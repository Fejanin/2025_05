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22754547-9A5E-428D-B9FE-4BE2CCA4F77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Z499" i="1" s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Y473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Y469" i="1" s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Y411" i="1" s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Y355" i="1" s="1"/>
  <c r="P353" i="1"/>
  <c r="X351" i="1"/>
  <c r="X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P316" i="1"/>
  <c r="BO316" i="1"/>
  <c r="BN316" i="1"/>
  <c r="BM316" i="1"/>
  <c r="Z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X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Y306" i="1" s="1"/>
  <c r="P298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BP247" i="1" s="1"/>
  <c r="P247" i="1"/>
  <c r="BP246" i="1"/>
  <c r="BO246" i="1"/>
  <c r="BN246" i="1"/>
  <c r="BM246" i="1"/>
  <c r="Z246" i="1"/>
  <c r="Y246" i="1"/>
  <c r="P246" i="1"/>
  <c r="BO245" i="1"/>
  <c r="BM245" i="1"/>
  <c r="Y245" i="1"/>
  <c r="Y250" i="1" s="1"/>
  <c r="P245" i="1"/>
  <c r="X243" i="1"/>
  <c r="X242" i="1"/>
  <c r="BO241" i="1"/>
  <c r="BM241" i="1"/>
  <c r="Y241" i="1"/>
  <c r="Y242" i="1" s="1"/>
  <c r="P241" i="1"/>
  <c r="X239" i="1"/>
  <c r="X238" i="1"/>
  <c r="BO237" i="1"/>
  <c r="BM237" i="1"/>
  <c r="Y237" i="1"/>
  <c r="Y238" i="1" s="1"/>
  <c r="P237" i="1"/>
  <c r="X235" i="1"/>
  <c r="X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Y221" i="1" s="1"/>
  <c r="P218" i="1"/>
  <c r="X216" i="1"/>
  <c r="X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Y215" i="1" s="1"/>
  <c r="P206" i="1"/>
  <c r="X204" i="1"/>
  <c r="X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BP196" i="1" s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3" i="1" s="1"/>
  <c r="P190" i="1"/>
  <c r="X188" i="1"/>
  <c r="X187" i="1"/>
  <c r="BO186" i="1"/>
  <c r="BM186" i="1"/>
  <c r="Y186" i="1"/>
  <c r="BP186" i="1" s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BP162" i="1" s="1"/>
  <c r="P162" i="1"/>
  <c r="BP161" i="1"/>
  <c r="BO161" i="1"/>
  <c r="BN161" i="1"/>
  <c r="BM161" i="1"/>
  <c r="Z161" i="1"/>
  <c r="Y161" i="1"/>
  <c r="Y172" i="1" s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X149" i="1"/>
  <c r="X148" i="1"/>
  <c r="BO147" i="1"/>
  <c r="BM147" i="1"/>
  <c r="Y147" i="1"/>
  <c r="BP147" i="1" s="1"/>
  <c r="P147" i="1"/>
  <c r="BP146" i="1"/>
  <c r="BO146" i="1"/>
  <c r="BN146" i="1"/>
  <c r="BM146" i="1"/>
  <c r="Z146" i="1"/>
  <c r="Y146" i="1"/>
  <c r="P146" i="1"/>
  <c r="BO145" i="1"/>
  <c r="BM145" i="1"/>
  <c r="Y145" i="1"/>
  <c r="Y148" i="1" s="1"/>
  <c r="P145" i="1"/>
  <c r="X143" i="1"/>
  <c r="X142" i="1"/>
  <c r="BO141" i="1"/>
  <c r="BM141" i="1"/>
  <c r="Y141" i="1"/>
  <c r="BP141" i="1" s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7" i="1" s="1"/>
  <c r="P134" i="1"/>
  <c r="X132" i="1"/>
  <c r="X131" i="1"/>
  <c r="BO130" i="1"/>
  <c r="BM130" i="1"/>
  <c r="Y130" i="1"/>
  <c r="BP130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G499" i="1" s="1"/>
  <c r="P124" i="1"/>
  <c r="X121" i="1"/>
  <c r="X120" i="1"/>
  <c r="BO119" i="1"/>
  <c r="BM119" i="1"/>
  <c r="Y119" i="1"/>
  <c r="Y120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499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499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9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1" i="1" s="1"/>
  <c r="P26" i="1"/>
  <c r="X24" i="1"/>
  <c r="X23" i="1"/>
  <c r="X493" i="1" s="1"/>
  <c r="BO22" i="1"/>
  <c r="X491" i="1" s="1"/>
  <c r="BM22" i="1"/>
  <c r="X490" i="1" s="1"/>
  <c r="X492" i="1" s="1"/>
  <c r="Y22" i="1"/>
  <c r="B499" i="1" s="1"/>
  <c r="P22" i="1"/>
  <c r="H10" i="1"/>
  <c r="A9" i="1"/>
  <c r="F10" i="1" s="1"/>
  <c r="D7" i="1"/>
  <c r="Q6" i="1"/>
  <c r="P2" i="1"/>
  <c r="Z95" i="1" l="1"/>
  <c r="Z116" i="1"/>
  <c r="Z203" i="1"/>
  <c r="Z370" i="1"/>
  <c r="Z411" i="1"/>
  <c r="H9" i="1"/>
  <c r="A10" i="1"/>
  <c r="Y24" i="1"/>
  <c r="Y32" i="1"/>
  <c r="Y36" i="1"/>
  <c r="Y44" i="1"/>
  <c r="Y48" i="1"/>
  <c r="Y57" i="1"/>
  <c r="Y63" i="1"/>
  <c r="Y69" i="1"/>
  <c r="Y77" i="1"/>
  <c r="Y81" i="1"/>
  <c r="Y88" i="1"/>
  <c r="Y96" i="1"/>
  <c r="Y103" i="1"/>
  <c r="Y109" i="1"/>
  <c r="Y117" i="1"/>
  <c r="Y121" i="1"/>
  <c r="Y126" i="1"/>
  <c r="Y132" i="1"/>
  <c r="Y136" i="1"/>
  <c r="Y143" i="1"/>
  <c r="Y149" i="1"/>
  <c r="Y171" i="1"/>
  <c r="Y177" i="1"/>
  <c r="Y188" i="1"/>
  <c r="Y192" i="1"/>
  <c r="Y204" i="1"/>
  <c r="Y216" i="1"/>
  <c r="Y220" i="1"/>
  <c r="Y235" i="1"/>
  <c r="Y239" i="1"/>
  <c r="Y243" i="1"/>
  <c r="Y251" i="1"/>
  <c r="L499" i="1"/>
  <c r="Y259" i="1"/>
  <c r="Y260" i="1"/>
  <c r="M499" i="1"/>
  <c r="Y268" i="1"/>
  <c r="BP263" i="1"/>
  <c r="BN263" i="1"/>
  <c r="Z263" i="1"/>
  <c r="Z267" i="1" s="1"/>
  <c r="Y267" i="1"/>
  <c r="Z274" i="1"/>
  <c r="BP272" i="1"/>
  <c r="BN272" i="1"/>
  <c r="Z272" i="1"/>
  <c r="BP284" i="1"/>
  <c r="BN284" i="1"/>
  <c r="Z284" i="1"/>
  <c r="Y286" i="1"/>
  <c r="Q499" i="1"/>
  <c r="Y296" i="1"/>
  <c r="BP289" i="1"/>
  <c r="BN289" i="1"/>
  <c r="Z289" i="1"/>
  <c r="Z295" i="1" s="1"/>
  <c r="BP293" i="1"/>
  <c r="BN293" i="1"/>
  <c r="Z293" i="1"/>
  <c r="BP301" i="1"/>
  <c r="BN301" i="1"/>
  <c r="Z301" i="1"/>
  <c r="Y305" i="1"/>
  <c r="BP309" i="1"/>
  <c r="BN309" i="1"/>
  <c r="Z309" i="1"/>
  <c r="Z312" i="1" s="1"/>
  <c r="BP317" i="1"/>
  <c r="BN317" i="1"/>
  <c r="Z317" i="1"/>
  <c r="Y319" i="1"/>
  <c r="Y326" i="1"/>
  <c r="BP321" i="1"/>
  <c r="BN321" i="1"/>
  <c r="Z321" i="1"/>
  <c r="Z325" i="1" s="1"/>
  <c r="Y325" i="1"/>
  <c r="Z331" i="1"/>
  <c r="BP329" i="1"/>
  <c r="BN329" i="1"/>
  <c r="Z329" i="1"/>
  <c r="BP344" i="1"/>
  <c r="BN344" i="1"/>
  <c r="Z344" i="1"/>
  <c r="BP348" i="1"/>
  <c r="BN348" i="1"/>
  <c r="Z348" i="1"/>
  <c r="BP369" i="1"/>
  <c r="BN369" i="1"/>
  <c r="Z369" i="1"/>
  <c r="Y371" i="1"/>
  <c r="Y376" i="1"/>
  <c r="BP373" i="1"/>
  <c r="BN373" i="1"/>
  <c r="Z373" i="1"/>
  <c r="Z375" i="1" s="1"/>
  <c r="BP387" i="1"/>
  <c r="BN387" i="1"/>
  <c r="Z387" i="1"/>
  <c r="BP391" i="1"/>
  <c r="BN391" i="1"/>
  <c r="Z391" i="1"/>
  <c r="BP408" i="1"/>
  <c r="BN408" i="1"/>
  <c r="Z408" i="1"/>
  <c r="BP423" i="1"/>
  <c r="BN423" i="1"/>
  <c r="Z423" i="1"/>
  <c r="BP459" i="1"/>
  <c r="BN459" i="1"/>
  <c r="Z459" i="1"/>
  <c r="Z462" i="1" s="1"/>
  <c r="Y463" i="1"/>
  <c r="F9" i="1"/>
  <c r="J9" i="1"/>
  <c r="Z22" i="1"/>
  <c r="Z23" i="1" s="1"/>
  <c r="BN22" i="1"/>
  <c r="BP22" i="1"/>
  <c r="Y23" i="1"/>
  <c r="X489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Z55" i="1"/>
  <c r="BN55" i="1"/>
  <c r="Y58" i="1"/>
  <c r="Z61" i="1"/>
  <c r="Z63" i="1" s="1"/>
  <c r="BN61" i="1"/>
  <c r="Z67" i="1"/>
  <c r="Z69" i="1" s="1"/>
  <c r="BN67" i="1"/>
  <c r="Z73" i="1"/>
  <c r="Z76" i="1" s="1"/>
  <c r="BN73" i="1"/>
  <c r="Z75" i="1"/>
  <c r="BN75" i="1"/>
  <c r="Z79" i="1"/>
  <c r="Z81" i="1" s="1"/>
  <c r="BN79" i="1"/>
  <c r="BP79" i="1"/>
  <c r="E499" i="1"/>
  <c r="Z86" i="1"/>
  <c r="Z88" i="1" s="1"/>
  <c r="BN86" i="1"/>
  <c r="Y89" i="1"/>
  <c r="Z92" i="1"/>
  <c r="BN92" i="1"/>
  <c r="Z94" i="1"/>
  <c r="BN94" i="1"/>
  <c r="Z99" i="1"/>
  <c r="BN99" i="1"/>
  <c r="BP99" i="1"/>
  <c r="Z101" i="1"/>
  <c r="BN101" i="1"/>
  <c r="Y104" i="1"/>
  <c r="Z107" i="1"/>
  <c r="Z109" i="1" s="1"/>
  <c r="BN107" i="1"/>
  <c r="Z113" i="1"/>
  <c r="BN113" i="1"/>
  <c r="Z115" i="1"/>
  <c r="BN115" i="1"/>
  <c r="Z119" i="1"/>
  <c r="Z120" i="1" s="1"/>
  <c r="BN119" i="1"/>
  <c r="BP119" i="1"/>
  <c r="Z124" i="1"/>
  <c r="Z126" i="1" s="1"/>
  <c r="BN124" i="1"/>
  <c r="BP124" i="1"/>
  <c r="Y127" i="1"/>
  <c r="Z130" i="1"/>
  <c r="Z131" i="1" s="1"/>
  <c r="BN130" i="1"/>
  <c r="Z134" i="1"/>
  <c r="Z136" i="1" s="1"/>
  <c r="BN134" i="1"/>
  <c r="BP134" i="1"/>
  <c r="H499" i="1"/>
  <c r="Z141" i="1"/>
  <c r="Z142" i="1" s="1"/>
  <c r="BN141" i="1"/>
  <c r="Y142" i="1"/>
  <c r="Z145" i="1"/>
  <c r="BN145" i="1"/>
  <c r="BP145" i="1"/>
  <c r="Z147" i="1"/>
  <c r="BN147" i="1"/>
  <c r="I499" i="1"/>
  <c r="Y159" i="1"/>
  <c r="Z162" i="1"/>
  <c r="Z171" i="1" s="1"/>
  <c r="BN162" i="1"/>
  <c r="Z164" i="1"/>
  <c r="BN164" i="1"/>
  <c r="Z165" i="1"/>
  <c r="BN165" i="1"/>
  <c r="Z167" i="1"/>
  <c r="BN167" i="1"/>
  <c r="Z169" i="1"/>
  <c r="BN169" i="1"/>
  <c r="Z175" i="1"/>
  <c r="Z177" i="1" s="1"/>
  <c r="BN175" i="1"/>
  <c r="J499" i="1"/>
  <c r="Z186" i="1"/>
  <c r="Z187" i="1" s="1"/>
  <c r="BN186" i="1"/>
  <c r="Y187" i="1"/>
  <c r="Z190" i="1"/>
  <c r="Z192" i="1" s="1"/>
  <c r="BN190" i="1"/>
  <c r="BP190" i="1"/>
  <c r="Z196" i="1"/>
  <c r="BN196" i="1"/>
  <c r="Z198" i="1"/>
  <c r="BN198" i="1"/>
  <c r="Z200" i="1"/>
  <c r="BN200" i="1"/>
  <c r="Z202" i="1"/>
  <c r="BN202" i="1"/>
  <c r="Z206" i="1"/>
  <c r="BN206" i="1"/>
  <c r="BP206" i="1"/>
  <c r="Z208" i="1"/>
  <c r="BN208" i="1"/>
  <c r="Z210" i="1"/>
  <c r="BN210" i="1"/>
  <c r="Z212" i="1"/>
  <c r="BN212" i="1"/>
  <c r="Z214" i="1"/>
  <c r="BN214" i="1"/>
  <c r="Z218" i="1"/>
  <c r="Z220" i="1" s="1"/>
  <c r="BN218" i="1"/>
  <c r="BP218" i="1"/>
  <c r="K499" i="1"/>
  <c r="Z225" i="1"/>
  <c r="Z234" i="1" s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Z241" i="1"/>
  <c r="Z242" i="1" s="1"/>
  <c r="BN241" i="1"/>
  <c r="BP241" i="1"/>
  <c r="Z245" i="1"/>
  <c r="BN245" i="1"/>
  <c r="BP245" i="1"/>
  <c r="Z247" i="1"/>
  <c r="BN247" i="1"/>
  <c r="Z249" i="1"/>
  <c r="BN249" i="1"/>
  <c r="Z254" i="1"/>
  <c r="Z259" i="1" s="1"/>
  <c r="BN254" i="1"/>
  <c r="BP254" i="1"/>
  <c r="Z256" i="1"/>
  <c r="BN256" i="1"/>
  <c r="Z258" i="1"/>
  <c r="BN258" i="1"/>
  <c r="BP265" i="1"/>
  <c r="BN265" i="1"/>
  <c r="Z265" i="1"/>
  <c r="Y274" i="1"/>
  <c r="BP279" i="1"/>
  <c r="BN279" i="1"/>
  <c r="Z279" i="1"/>
  <c r="Z280" i="1" s="1"/>
  <c r="Y281" i="1"/>
  <c r="Y285" i="1"/>
  <c r="BP283" i="1"/>
  <c r="BN283" i="1"/>
  <c r="Z283" i="1"/>
  <c r="Z285" i="1" s="1"/>
  <c r="BP291" i="1"/>
  <c r="BN291" i="1"/>
  <c r="Z291" i="1"/>
  <c r="Y295" i="1"/>
  <c r="BP299" i="1"/>
  <c r="BN299" i="1"/>
  <c r="Z299" i="1"/>
  <c r="Z305" i="1" s="1"/>
  <c r="BP303" i="1"/>
  <c r="BN303" i="1"/>
  <c r="Z303" i="1"/>
  <c r="Y312" i="1"/>
  <c r="BP311" i="1"/>
  <c r="BN311" i="1"/>
  <c r="Z311" i="1"/>
  <c r="Y313" i="1"/>
  <c r="Y318" i="1"/>
  <c r="BP315" i="1"/>
  <c r="BN315" i="1"/>
  <c r="Z315" i="1"/>
  <c r="Z318" i="1" s="1"/>
  <c r="BP323" i="1"/>
  <c r="BN323" i="1"/>
  <c r="Z323" i="1"/>
  <c r="Y332" i="1"/>
  <c r="Y331" i="1"/>
  <c r="Z338" i="1"/>
  <c r="BP336" i="1"/>
  <c r="BN336" i="1"/>
  <c r="Z336" i="1"/>
  <c r="BP346" i="1"/>
  <c r="BN346" i="1"/>
  <c r="Z346" i="1"/>
  <c r="Z350" i="1" s="1"/>
  <c r="Y350" i="1"/>
  <c r="BP354" i="1"/>
  <c r="BN354" i="1"/>
  <c r="Z354" i="1"/>
  <c r="Z355" i="1" s="1"/>
  <c r="Y356" i="1"/>
  <c r="Y361" i="1"/>
  <c r="BP358" i="1"/>
  <c r="BN358" i="1"/>
  <c r="Z358" i="1"/>
  <c r="Z360" i="1" s="1"/>
  <c r="Y375" i="1"/>
  <c r="BP379" i="1"/>
  <c r="BN379" i="1"/>
  <c r="Z379" i="1"/>
  <c r="Z380" i="1" s="1"/>
  <c r="Y381" i="1"/>
  <c r="U49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BP410" i="1"/>
  <c r="BN410" i="1"/>
  <c r="Z410" i="1"/>
  <c r="Y412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BP467" i="1"/>
  <c r="BN467" i="1"/>
  <c r="Z467" i="1"/>
  <c r="Y474" i="1"/>
  <c r="BP471" i="1"/>
  <c r="BN471" i="1"/>
  <c r="Z471" i="1"/>
  <c r="Z473" i="1" s="1"/>
  <c r="O499" i="1"/>
  <c r="Y275" i="1"/>
  <c r="P499" i="1"/>
  <c r="Y280" i="1"/>
  <c r="R499" i="1"/>
  <c r="Y339" i="1"/>
  <c r="S499" i="1"/>
  <c r="Y351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Z453" i="1"/>
  <c r="BP451" i="1"/>
  <c r="BN451" i="1"/>
  <c r="Z451" i="1"/>
  <c r="Y462" i="1"/>
  <c r="BP461" i="1"/>
  <c r="BN461" i="1"/>
  <c r="Z461" i="1"/>
  <c r="Y468" i="1"/>
  <c r="BP465" i="1"/>
  <c r="BN465" i="1"/>
  <c r="Z465" i="1"/>
  <c r="BP481" i="1"/>
  <c r="BN481" i="1"/>
  <c r="Z481" i="1"/>
  <c r="Z482" i="1" s="1"/>
  <c r="Y483" i="1"/>
  <c r="Y488" i="1"/>
  <c r="Y499" i="1"/>
  <c r="Z486" i="1"/>
  <c r="Z487" i="1" s="1"/>
  <c r="BN486" i="1"/>
  <c r="BP486" i="1"/>
  <c r="Y487" i="1"/>
  <c r="Z447" i="1" l="1"/>
  <c r="Z432" i="1"/>
  <c r="Y491" i="1"/>
  <c r="Z468" i="1"/>
  <c r="Z394" i="1"/>
  <c r="Z250" i="1"/>
  <c r="Z215" i="1"/>
  <c r="Z148" i="1"/>
  <c r="Z103" i="1"/>
  <c r="Z43" i="1"/>
  <c r="Z31" i="1"/>
  <c r="Z494" i="1" s="1"/>
  <c r="Y493" i="1"/>
  <c r="Y490" i="1"/>
  <c r="Y492" i="1" s="1"/>
  <c r="Y489" i="1"/>
</calcChain>
</file>

<file path=xl/sharedStrings.xml><?xml version="1.0" encoding="utf-8"?>
<sst xmlns="http://schemas.openxmlformats.org/spreadsheetml/2006/main" count="2337" uniqueCount="763">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</sst>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3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3" t="s">
        <v>0</v>
      </c>
      <c r="E1" s="573"/>
      <c r="F1" s="573"/>
      <c r="G1" s="12" t="s">
        <v>1</v>
      </c>
      <c r="H1" s="613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2" t="s">
        <v>8</v>
      </c>
      <c r="B5" s="628"/>
      <c r="C5" s="629"/>
      <c r="D5" s="616"/>
      <c r="E5" s="617"/>
      <c r="F5" s="825" t="s">
        <v>9</v>
      </c>
      <c r="G5" s="629"/>
      <c r="H5" s="616"/>
      <c r="I5" s="763"/>
      <c r="J5" s="763"/>
      <c r="K5" s="763"/>
      <c r="L5" s="763"/>
      <c r="M5" s="617"/>
      <c r="N5" s="58"/>
      <c r="P5" s="24" t="s">
        <v>10</v>
      </c>
      <c r="Q5" s="839">
        <v>45988</v>
      </c>
      <c r="R5" s="651"/>
      <c r="T5" s="699" t="s">
        <v>11</v>
      </c>
      <c r="U5" s="700"/>
      <c r="V5" s="702" t="s">
        <v>12</v>
      </c>
      <c r="W5" s="651"/>
      <c r="AB5" s="51"/>
      <c r="AC5" s="51"/>
      <c r="AD5" s="51"/>
      <c r="AE5" s="51"/>
    </row>
    <row r="6" spans="1:32" s="535" customFormat="1" ht="24" customHeight="1" x14ac:dyDescent="0.2">
      <c r="A6" s="652" t="s">
        <v>13</v>
      </c>
      <c r="B6" s="628"/>
      <c r="C6" s="629"/>
      <c r="D6" s="766" t="s">
        <v>14</v>
      </c>
      <c r="E6" s="767"/>
      <c r="F6" s="767"/>
      <c r="G6" s="767"/>
      <c r="H6" s="767"/>
      <c r="I6" s="767"/>
      <c r="J6" s="767"/>
      <c r="K6" s="767"/>
      <c r="L6" s="767"/>
      <c r="M6" s="651"/>
      <c r="N6" s="59"/>
      <c r="P6" s="24" t="s">
        <v>15</v>
      </c>
      <c r="Q6" s="845" t="str">
        <f>IF(Q5=0," ",CHOOSE(WEEKDAY(Q5,2),"Понедельник","Вторник","Среда","Четверг","Пятница","Суббота","Воскресенье"))</f>
        <v>Четверг</v>
      </c>
      <c r="R6" s="549"/>
      <c r="T6" s="706" t="s">
        <v>16</v>
      </c>
      <c r="U6" s="700"/>
      <c r="V6" s="751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0"/>
      <c r="V7" s="752"/>
      <c r="W7" s="753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7" t="s">
        <v>19</v>
      </c>
      <c r="E8" s="608"/>
      <c r="F8" s="608"/>
      <c r="G8" s="608"/>
      <c r="H8" s="608"/>
      <c r="I8" s="608"/>
      <c r="J8" s="608"/>
      <c r="K8" s="608"/>
      <c r="L8" s="608"/>
      <c r="M8" s="609"/>
      <c r="N8" s="61"/>
      <c r="P8" s="24" t="s">
        <v>20</v>
      </c>
      <c r="Q8" s="660">
        <v>0.41666666666666669</v>
      </c>
      <c r="R8" s="599"/>
      <c r="T8" s="555"/>
      <c r="U8" s="700"/>
      <c r="V8" s="752"/>
      <c r="W8" s="753"/>
      <c r="AB8" s="51"/>
      <c r="AC8" s="51"/>
      <c r="AD8" s="51"/>
      <c r="AE8" s="51"/>
    </row>
    <row r="9" spans="1:32" s="535" customFormat="1" ht="39.950000000000003" customHeight="1" x14ac:dyDescent="0.2">
      <c r="A9" s="6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2"/>
      <c r="E9" s="561"/>
      <c r="F9" s="6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8"/>
      <c r="R9" s="649"/>
      <c r="T9" s="555"/>
      <c r="U9" s="700"/>
      <c r="V9" s="754"/>
      <c r="W9" s="75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2"/>
      <c r="E10" s="561"/>
      <c r="F10" s="6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7"/>
      <c r="R10" s="70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90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3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60"/>
      <c r="R12" s="599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3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90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3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3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4"/>
      <c r="Q16" s="684"/>
      <c r="R16" s="684"/>
      <c r="S16" s="684"/>
      <c r="T16" s="68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9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29"/>
      <c r="W17" s="581" t="s">
        <v>52</v>
      </c>
      <c r="X17" s="581" t="s">
        <v>53</v>
      </c>
      <c r="Y17" s="859" t="s">
        <v>54</v>
      </c>
      <c r="Z17" s="761" t="s">
        <v>55</v>
      </c>
      <c r="AA17" s="742" t="s">
        <v>56</v>
      </c>
      <c r="AB17" s="742" t="s">
        <v>57</v>
      </c>
      <c r="AC17" s="742" t="s">
        <v>58</v>
      </c>
      <c r="AD17" s="742" t="s">
        <v>59</v>
      </c>
      <c r="AE17" s="820"/>
      <c r="AF17" s="821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2"/>
      <c r="AA18" s="743"/>
      <c r="AB18" s="743"/>
      <c r="AC18" s="743"/>
      <c r="AD18" s="822"/>
      <c r="AE18" s="823"/>
      <c r="AF18" s="824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99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9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100</v>
      </c>
      <c r="Y40" s="542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9.2592592592592595</v>
      </c>
      <c r="Y43" s="543">
        <f>IFERROR(Y40/H40,"0")+IFERROR(Y41/H41,"0")+IFERROR(Y42/H42,"0")</f>
        <v>10</v>
      </c>
      <c r="Z43" s="543">
        <f>IFERROR(IF(Z40="",0,Z40),"0")+IFERROR(IF(Z41="",0,Z41),"0")+IFERROR(IF(Z42="",0,Z42),"0")</f>
        <v>0.1898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100</v>
      </c>
      <c r="Y44" s="543">
        <f>IFERROR(SUM(Y40:Y42),"0")</f>
        <v>108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8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500</v>
      </c>
      <c r="Y52" s="542">
        <f t="shared" si="0"/>
        <v>507.6</v>
      </c>
      <c r="Z52" s="36">
        <f>IFERROR(IF(Y52=0,"",ROUNDUP(Y52/H52,0)*0.01898),"")</f>
        <v>0.89205999999999996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518.98148148148141</v>
      </c>
      <c r="BN52" s="64">
        <f t="shared" si="2"/>
        <v>526.87</v>
      </c>
      <c r="BO52" s="64">
        <f t="shared" si="3"/>
        <v>0.72337962962962954</v>
      </c>
      <c r="BP52" s="64">
        <f t="shared" si="4"/>
        <v>0.734375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5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46.296296296296291</v>
      </c>
      <c r="Y57" s="543">
        <f>IFERROR(Y51/H51,"0")+IFERROR(Y52/H52,"0")+IFERROR(Y53/H53,"0")+IFERROR(Y54/H54,"0")+IFERROR(Y55/H55,"0")+IFERROR(Y56/H56,"0")</f>
        <v>47</v>
      </c>
      <c r="Z57" s="543">
        <f>IFERROR(IF(Z51="",0,Z51),"0")+IFERROR(IF(Z52="",0,Z52),"0")+IFERROR(IF(Z53="",0,Z53),"0")+IFERROR(IF(Z54="",0,Z54),"0")+IFERROR(IF(Z55="",0,Z55),"0")+IFERROR(IF(Z56="",0,Z56),"0")</f>
        <v>0.89205999999999996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500</v>
      </c>
      <c r="Y58" s="543">
        <f>IFERROR(SUM(Y51:Y56),"0")</f>
        <v>507.6</v>
      </c>
      <c r="Z58" s="37"/>
      <c r="AA58" s="544"/>
      <c r="AB58" s="544"/>
      <c r="AC58" s="544"/>
    </row>
    <row r="59" spans="1:68" ht="14.25" customHeight="1" x14ac:dyDescent="0.25">
      <c r="A59" s="558" t="s">
        <v>136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300</v>
      </c>
      <c r="Y60" s="542">
        <f>IFERROR(IF(X60="",0,CEILING((X60/$H60),1)*$H60),"")</f>
        <v>302.40000000000003</v>
      </c>
      <c r="Z60" s="36">
        <f>IFERROR(IF(Y60=0,"",ROUNDUP(Y60/H60,0)*0.01898),"")</f>
        <v>0.53144000000000002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311.38888888888891</v>
      </c>
      <c r="BN60" s="64">
        <f>IFERROR(Y60*I60/H60,"0")</f>
        <v>313.88</v>
      </c>
      <c r="BO60" s="64">
        <f>IFERROR(1/J60*(X60/H60),"0")</f>
        <v>0.43402777777777773</v>
      </c>
      <c r="BP60" s="64">
        <f>IFERROR(1/J60*(Y60/H60),"0")</f>
        <v>0.4375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1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27.777777777777775</v>
      </c>
      <c r="Y63" s="543">
        <f>IFERROR(Y60/H60,"0")+IFERROR(Y61/H61,"0")+IFERROR(Y62/H62,"0")</f>
        <v>28</v>
      </c>
      <c r="Z63" s="543">
        <f>IFERROR(IF(Z60="",0,Z60),"0")+IFERROR(IF(Z61="",0,Z61),"0")+IFERROR(IF(Z62="",0,Z62),"0")</f>
        <v>0.53144000000000002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300</v>
      </c>
      <c r="Y64" s="543">
        <f>IFERROR(SUM(Y60:Y62),"0")</f>
        <v>302.40000000000003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164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9" t="s">
        <v>171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101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500</v>
      </c>
      <c r="Y85" s="542">
        <f>IFERROR(IF(X85="",0,CEILING((X85/$H85),1)*$H85),"")</f>
        <v>507.6</v>
      </c>
      <c r="Z85" s="36">
        <f>IFERROR(IF(Y85=0,"",ROUNDUP(Y85/H85,0)*0.01898),"")</f>
        <v>0.89205999999999996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518.98148148148141</v>
      </c>
      <c r="BN85" s="64">
        <f>IFERROR(Y85*I85/H85,"0")</f>
        <v>526.87</v>
      </c>
      <c r="BO85" s="64">
        <f>IFERROR(1/J85*(X85/H85),"0")</f>
        <v>0.72337962962962954</v>
      </c>
      <c r="BP85" s="64">
        <f>IFERROR(1/J85*(Y85/H85),"0")</f>
        <v>0.734375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46.296296296296291</v>
      </c>
      <c r="Y88" s="543">
        <f>IFERROR(Y85/H85,"0")+IFERROR(Y86/H86,"0")+IFERROR(Y87/H87,"0")</f>
        <v>47</v>
      </c>
      <c r="Z88" s="543">
        <f>IFERROR(IF(Z85="",0,Z85),"0")+IFERROR(IF(Z86="",0,Z86),"0")+IFERROR(IF(Z87="",0,Z87),"0")</f>
        <v>0.89205999999999996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500</v>
      </c>
      <c r="Y89" s="543">
        <f>IFERROR(SUM(Y85:Y87),"0")</f>
        <v>507.6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4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700</v>
      </c>
      <c r="Y91" s="542">
        <f>IFERROR(IF(X91="",0,CEILING((X91/$H91),1)*$H91),"")</f>
        <v>704.69999999999993</v>
      </c>
      <c r="Z91" s="36">
        <f>IFERROR(IF(Y91=0,"",ROUNDUP(Y91/H91,0)*0.01898),"")</f>
        <v>1.65126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742.69135802469134</v>
      </c>
      <c r="BN91" s="64">
        <f>IFERROR(Y91*I91/H91,"0")</f>
        <v>747.67799999999988</v>
      </c>
      <c r="BO91" s="64">
        <f>IFERROR(1/J91*(X91/H91),"0")</f>
        <v>1.3503086419753088</v>
      </c>
      <c r="BP91" s="64">
        <f>IFERROR(1/J91*(Y91/H91),"0")</f>
        <v>1.359375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450</v>
      </c>
      <c r="Y93" s="542">
        <f>IFERROR(IF(X93="",0,CEILING((X93/$H93),1)*$H93),"")</f>
        <v>450.90000000000003</v>
      </c>
      <c r="Z93" s="36">
        <f>IFERROR(IF(Y93=0,"",ROUNDUP(Y93/H93,0)*0.00651),"")</f>
        <v>1.08717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492</v>
      </c>
      <c r="BN93" s="64">
        <f>IFERROR(Y93*I93/H93,"0")</f>
        <v>492.98399999999998</v>
      </c>
      <c r="BO93" s="64">
        <f>IFERROR(1/J93*(X93/H93),"0")</f>
        <v>0.91575091575091572</v>
      </c>
      <c r="BP93" s="64">
        <f>IFERROR(1/J93*(Y93/H93),"0")</f>
        <v>0.91758241758241765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0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253.08641975308643</v>
      </c>
      <c r="Y95" s="543">
        <f>IFERROR(Y91/H91,"0")+IFERROR(Y92/H92,"0")+IFERROR(Y93/H93,"0")+IFERROR(Y94/H94,"0")</f>
        <v>254</v>
      </c>
      <c r="Z95" s="543">
        <f>IFERROR(IF(Z91="",0,Z91),"0")+IFERROR(IF(Z92="",0,Z92),"0")+IFERROR(IF(Z93="",0,Z93),"0")+IFERROR(IF(Z94="",0,Z94),"0")</f>
        <v>2.7384300000000001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1150</v>
      </c>
      <c r="Y96" s="543">
        <f>IFERROR(SUM(Y91:Y94),"0")</f>
        <v>1155.5999999999999</v>
      </c>
      <c r="Z96" s="37"/>
      <c r="AA96" s="544"/>
      <c r="AB96" s="544"/>
      <c r="AC96" s="544"/>
    </row>
    <row r="97" spans="1:68" ht="16.5" customHeight="1" x14ac:dyDescent="0.25">
      <c r="A97" s="559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101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500</v>
      </c>
      <c r="Y99" s="542">
        <f>IFERROR(IF(X99="",0,CEILING((X99/$H99),1)*$H99),"")</f>
        <v>507.6</v>
      </c>
      <c r="Z99" s="36">
        <f>IFERROR(IF(Y99=0,"",ROUNDUP(Y99/H99,0)*0.01898),"")</f>
        <v>0.89205999999999996</v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518.98148148148141</v>
      </c>
      <c r="BN99" s="64">
        <f>IFERROR(Y99*I99/H99,"0")</f>
        <v>526.87</v>
      </c>
      <c r="BO99" s="64">
        <f>IFERROR(1/J99*(X99/H99),"0")</f>
        <v>0.72337962962962954</v>
      </c>
      <c r="BP99" s="64">
        <f>IFERROR(1/J99*(Y99/H99),"0")</f>
        <v>0.734375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46.296296296296291</v>
      </c>
      <c r="Y103" s="543">
        <f>IFERROR(Y99/H99,"0")+IFERROR(Y100/H100,"0")+IFERROR(Y101/H101,"0")+IFERROR(Y102/H102,"0")</f>
        <v>47</v>
      </c>
      <c r="Z103" s="543">
        <f>IFERROR(IF(Z99="",0,Z99),"0")+IFERROR(IF(Z100="",0,Z100),"0")+IFERROR(IF(Z101="",0,Z101),"0")+IFERROR(IF(Z102="",0,Z102),"0")</f>
        <v>0.89205999999999996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500</v>
      </c>
      <c r="Y104" s="543">
        <f>IFERROR(SUM(Y99:Y102),"0")</f>
        <v>507.6</v>
      </c>
      <c r="Z104" s="37"/>
      <c r="AA104" s="544"/>
      <c r="AB104" s="544"/>
      <c r="AC104" s="544"/>
    </row>
    <row r="105" spans="1:68" ht="14.25" customHeight="1" x14ac:dyDescent="0.25">
      <c r="A105" s="558" t="s">
        <v>136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4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200</v>
      </c>
      <c r="Y112" s="542">
        <f>IFERROR(IF(X112="",0,CEILING((X112/$H112),1)*$H112),"")</f>
        <v>202.5</v>
      </c>
      <c r="Z112" s="36">
        <f>IFERROR(IF(Y112=0,"",ROUNDUP(Y112/H112,0)*0.01898),"")</f>
        <v>0.47450000000000003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212.04938271604939</v>
      </c>
      <c r="BN112" s="64">
        <f>IFERROR(Y112*I112/H112,"0")</f>
        <v>214.7</v>
      </c>
      <c r="BO112" s="64">
        <f>IFERROR(1/J112*(X112/H112),"0")</f>
        <v>0.38580246913580246</v>
      </c>
      <c r="BP112" s="64">
        <f>IFERROR(1/J112*(Y112/H112),"0")</f>
        <v>0.390625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79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720</v>
      </c>
      <c r="Y114" s="542">
        <f>IFERROR(IF(X114="",0,CEILING((X114/$H114),1)*$H114),"")</f>
        <v>720.90000000000009</v>
      </c>
      <c r="Z114" s="36">
        <f>IFERROR(IF(Y114=0,"",ROUNDUP(Y114/H114,0)*0.00651),"")</f>
        <v>1.73817</v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787.19999999999993</v>
      </c>
      <c r="BN114" s="64">
        <f>IFERROR(Y114*I114/H114,"0")</f>
        <v>788.18400000000008</v>
      </c>
      <c r="BO114" s="64">
        <f>IFERROR(1/J114*(X114/H114),"0")</f>
        <v>1.4652014652014651</v>
      </c>
      <c r="BP114" s="64">
        <f>IFERROR(1/J114*(Y114/H114),"0")</f>
        <v>1.4670329670329672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291.35802469135797</v>
      </c>
      <c r="Y116" s="543">
        <f>IFERROR(Y112/H112,"0")+IFERROR(Y113/H113,"0")+IFERROR(Y114/H114,"0")+IFERROR(Y115/H115,"0")</f>
        <v>292</v>
      </c>
      <c r="Z116" s="543">
        <f>IFERROR(IF(Z112="",0,Z112),"0")+IFERROR(IF(Z113="",0,Z113),"0")+IFERROR(IF(Z114="",0,Z114),"0")+IFERROR(IF(Z115="",0,Z115),"0")</f>
        <v>2.2126700000000001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920</v>
      </c>
      <c r="Y117" s="543">
        <f>IFERROR(SUM(Y112:Y115),"0")</f>
        <v>923.40000000000009</v>
      </c>
      <c r="Z117" s="37"/>
      <c r="AA117" s="544"/>
      <c r="AB117" s="544"/>
      <c r="AC117" s="544"/>
    </row>
    <row r="118" spans="1:68" ht="14.25" customHeight="1" x14ac:dyDescent="0.25">
      <c r="A118" s="558" t="s">
        <v>164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101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99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101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2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4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8" t="s">
        <v>64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4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8" t="s">
        <v>73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">
        <v>249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4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6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251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9" t="s">
        <v>252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6"/>
      <c r="AB155" s="536"/>
      <c r="AC155" s="536"/>
    </row>
    <row r="156" spans="1:68" ht="14.25" customHeight="1" x14ac:dyDescent="0.25">
      <c r="A156" s="558" t="s">
        <v>136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7"/>
      <c r="AB156" s="537"/>
      <c r="AC156" s="537"/>
    </row>
    <row r="157" spans="1:68" ht="27" customHeight="1" x14ac:dyDescent="0.25">
      <c r="A157" s="54" t="s">
        <v>253</v>
      </c>
      <c r="B157" s="54" t="s">
        <v>254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4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6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8" t="s">
        <v>64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7"/>
      <c r="AB160" s="537"/>
      <c r="AC160" s="537"/>
    </row>
    <row r="161" spans="1:68" ht="27" customHeight="1" x14ac:dyDescent="0.25">
      <c r="A161" s="54" t="s">
        <v>256</v>
      </c>
      <c r="B161" s="54" t="s">
        <v>257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258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259</v>
      </c>
      <c r="B162" s="54" t="s">
        <v>260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6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262</v>
      </c>
      <c r="B163" s="54" t="s">
        <v>263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7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258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270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261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264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0</v>
      </c>
      <c r="Y172" s="543">
        <f>IFERROR(SUM(Y161:Y170),"0")</f>
        <v>0</v>
      </c>
      <c r="Z172" s="37"/>
      <c r="AA172" s="544"/>
      <c r="AB172" s="544"/>
      <c r="AC172" s="544"/>
    </row>
    <row r="173" spans="1:68" ht="14.25" customHeight="1" x14ac:dyDescent="0.25">
      <c r="A173" s="558" t="s">
        <v>93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8" t="s">
        <v>294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59" t="s">
        <v>297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8" t="s">
        <v>101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8" t="s">
        <v>136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7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8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customHeight="1" x14ac:dyDescent="0.25">
      <c r="A205" s="558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8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80</v>
      </c>
      <c r="Y211" s="542">
        <f t="shared" si="15"/>
        <v>81.599999999999994</v>
      </c>
      <c r="Z211" s="36">
        <f t="shared" si="20"/>
        <v>0.22134000000000001</v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88.40000000000002</v>
      </c>
      <c r="BN211" s="64">
        <f t="shared" si="17"/>
        <v>90.168000000000006</v>
      </c>
      <c r="BO211" s="64">
        <f t="shared" si="18"/>
        <v>0.18315018315018317</v>
      </c>
      <c r="BP211" s="64">
        <f t="shared" si="19"/>
        <v>0.18681318681318682</v>
      </c>
    </row>
    <row r="212" spans="1:68" ht="27" customHeight="1" x14ac:dyDescent="0.25">
      <c r="A212" s="54" t="s">
        <v>343</v>
      </c>
      <c r="B212" s="54" t="s">
        <v>344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347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348</v>
      </c>
      <c r="B214" s="54" t="s">
        <v>349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33.333333333333336</v>
      </c>
      <c r="Y215" s="543">
        <f>IFERROR(Y206/H206,"0")+IFERROR(Y207/H207,"0")+IFERROR(Y208/H208,"0")+IFERROR(Y209/H209,"0")+IFERROR(Y210/H210,"0")+IFERROR(Y211/H211,"0")+IFERROR(Y212/H212,"0")+IFERROR(Y213/H213,"0")+IFERROR(Y214/H214,"0")</f>
        <v>34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0.22134000000000001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80</v>
      </c>
      <c r="Y216" s="543">
        <f>IFERROR(SUM(Y206:Y214),"0")</f>
        <v>81.599999999999994</v>
      </c>
      <c r="Z216" s="37"/>
      <c r="AA216" s="544"/>
      <c r="AB216" s="544"/>
      <c r="AC216" s="544"/>
    </row>
    <row r="217" spans="1:68" ht="14.25" customHeight="1" x14ac:dyDescent="0.25">
      <c r="A217" s="558" t="s">
        <v>164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350</v>
      </c>
      <c r="B218" s="54" t="s">
        <v>351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352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353</v>
      </c>
      <c r="B219" s="54" t="s">
        <v>354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59" t="s">
        <v>356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8" t="s">
        <v>101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357</v>
      </c>
      <c r="B224" s="54" t="s">
        <v>358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360</v>
      </c>
      <c r="B225" s="54" t="s">
        <v>361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359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366</v>
      </c>
      <c r="B228" s="54" t="s">
        <v>368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370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365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376</v>
      </c>
      <c r="B233" s="54" t="s">
        <v>378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2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8" t="s">
        <v>136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379</v>
      </c>
      <c r="B237" s="54" t="s">
        <v>380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8" t="s">
        <v>382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383</v>
      </c>
      <c r="B241" s="54" t="s">
        <v>384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8" t="s">
        <v>386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387</v>
      </c>
      <c r="B245" s="54" t="s">
        <v>388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59" t="s">
        <v>398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8" t="s">
        <v>101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399</v>
      </c>
      <c r="B254" s="54" t="s">
        <v>400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4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402</v>
      </c>
      <c r="B255" s="54" t="s">
        <v>403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405</v>
      </c>
      <c r="B256" s="54" t="s">
        <v>406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408</v>
      </c>
      <c r="B257" s="54" t="s">
        <v>409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411</v>
      </c>
      <c r="B258" s="54" t="s">
        <v>412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59" t="s">
        <v>414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8" t="s">
        <v>101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415</v>
      </c>
      <c r="B263" s="54" t="s">
        <v>416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4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417</v>
      </c>
      <c r="B264" s="54" t="s">
        <v>418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7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422</v>
      </c>
      <c r="B266" s="54" t="s">
        <v>423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9" t="s">
        <v>425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8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426</v>
      </c>
      <c r="B271" s="54" t="s">
        <v>427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429</v>
      </c>
      <c r="B272" s="54" t="s">
        <v>430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428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customHeight="1" x14ac:dyDescent="0.25">
      <c r="A276" s="559" t="s">
        <v>434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8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435</v>
      </c>
      <c r="B278" s="54" t="s">
        <v>436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438</v>
      </c>
      <c r="B279" s="54" t="s">
        <v>439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8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441</v>
      </c>
      <c r="B283" s="54" t="s">
        <v>442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444</v>
      </c>
      <c r="B284" s="54" t="s">
        <v>445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35" t="s">
        <v>446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59" t="s">
        <v>448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8" t="s">
        <v>101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7"/>
      <c r="AB288" s="537"/>
      <c r="AC288" s="537"/>
    </row>
    <row r="289" spans="1:68" ht="27" customHeight="1" x14ac:dyDescent="0.25">
      <c r="A289" s="54" t="s">
        <v>449</v>
      </c>
      <c r="B289" s="54" t="s">
        <v>450</v>
      </c>
      <c r="C289" s="31">
        <v>4301012126</v>
      </c>
      <c r="D289" s="548">
        <v>4607091386004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452</v>
      </c>
      <c r="B290" s="54" t="s">
        <v>453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7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customHeight="1" x14ac:dyDescent="0.25">
      <c r="A291" s="54" t="s">
        <v>455</v>
      </c>
      <c r="B291" s="54" t="s">
        <v>456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4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458</v>
      </c>
      <c r="B292" s="54" t="s">
        <v>459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461</v>
      </c>
      <c r="B293" s="54" t="s">
        <v>462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454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463</v>
      </c>
      <c r="B294" s="54" t="s">
        <v>464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465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IFERROR(X289/H289,"0")+IFERROR(X290/H290,"0")+IFERROR(X291/H291,"0")+IFERROR(X292/H292,"0")+IFERROR(X293/H293,"0")+IFERROR(X294/H294,"0")</f>
        <v>0</v>
      </c>
      <c r="Y295" s="543">
        <f>IFERROR(Y289/H289,"0")+IFERROR(Y290/H290,"0")+IFERROR(Y291/H291,"0")+IFERROR(Y292/H292,"0")+IFERROR(Y293/H293,"0")+IFERROR(Y294/H294,"0")</f>
        <v>0</v>
      </c>
      <c r="Z295" s="543">
        <f>IFERROR(IF(Z289="",0,Z289),"0")+IFERROR(IF(Z290="",0,Z290),"0")+IFERROR(IF(Z291="",0,Z291),"0")+IFERROR(IF(Z292="",0,Z292),"0")+IFERROR(IF(Z293="",0,Z293),"0")+IFERROR(IF(Z294="",0,Z294),"0")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IFERROR(SUM(X289:X294),"0")</f>
        <v>0</v>
      </c>
      <c r="Y296" s="543">
        <f>IFERROR(SUM(Y289:Y294),"0")</f>
        <v>0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466</v>
      </c>
      <c r="B298" s="54" t="s">
        <v>467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1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31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0</v>
      </c>
      <c r="BN298" s="64">
        <f t="shared" ref="BN298:BN304" si="33">IFERROR(Y298*I298/H298,"0")</f>
        <v>0</v>
      </c>
      <c r="BO298" s="64">
        <f t="shared" ref="BO298:BO304" si="34">IFERROR(1/J298*(X298/H298),"0")</f>
        <v>0</v>
      </c>
      <c r="BP298" s="64">
        <f t="shared" ref="BP298:BP304" si="35">IFERROR(1/J298*(Y298/H298),"0")</f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474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475</v>
      </c>
      <c r="B301" s="54" t="s">
        <v>476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471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477</v>
      </c>
      <c r="B302" s="54" t="s">
        <v>478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267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479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480</v>
      </c>
      <c r="B303" s="54" t="s">
        <v>481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482</v>
      </c>
      <c r="B304" s="54" t="s">
        <v>483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484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0</v>
      </c>
      <c r="Y305" s="543">
        <f>IFERROR(Y298/H298,"0")+IFERROR(Y299/H299,"0")+IFERROR(Y300/H300,"0")+IFERROR(Y301/H301,"0")+IFERROR(Y302/H302,"0")+IFERROR(Y303/H303,"0")+IFERROR(Y304/H304,"0")</f>
        <v>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0</v>
      </c>
      <c r="Y306" s="543">
        <f>IFERROR(SUM(Y298:Y304),"0")</f>
        <v>0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485</v>
      </c>
      <c r="B308" s="54" t="s">
        <v>486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100</v>
      </c>
      <c r="Y308" s="542">
        <f>IFERROR(IF(X308="",0,CEILING((X308/$H308),1)*$H308),"")</f>
        <v>101.39999999999999</v>
      </c>
      <c r="Z308" s="36">
        <f>IFERROR(IF(Y308=0,"",ROUNDUP(Y308/H308,0)*0.01898),"")</f>
        <v>0.24674000000000001</v>
      </c>
      <c r="AA308" s="56"/>
      <c r="AB308" s="57"/>
      <c r="AC308" s="357" t="s">
        <v>487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106.25641025641026</v>
      </c>
      <c r="BN308" s="64">
        <f>IFERROR(Y308*I308/H308,"0")</f>
        <v>107.744</v>
      </c>
      <c r="BO308" s="64">
        <f>IFERROR(1/J308*(X308/H308),"0")</f>
        <v>0.20032051282051283</v>
      </c>
      <c r="BP308" s="64">
        <f>IFERROR(1/J308*(Y308/H308),"0")</f>
        <v>0.203125</v>
      </c>
    </row>
    <row r="309" spans="1:68" ht="27" customHeight="1" x14ac:dyDescent="0.25">
      <c r="A309" s="54" t="s">
        <v>488</v>
      </c>
      <c r="B309" s="54" t="s">
        <v>489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1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494</v>
      </c>
      <c r="B311" s="54" t="s">
        <v>495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0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12.820512820512821</v>
      </c>
      <c r="Y312" s="543">
        <f>IFERROR(Y308/H308,"0")+IFERROR(Y309/H309,"0")+IFERROR(Y310/H310,"0")+IFERROR(Y311/H311,"0")</f>
        <v>13</v>
      </c>
      <c r="Z312" s="543">
        <f>IFERROR(IF(Z308="",0,Z308),"0")+IFERROR(IF(Z309="",0,Z309),"0")+IFERROR(IF(Z310="",0,Z310),"0")+IFERROR(IF(Z311="",0,Z311),"0")</f>
        <v>0.24674000000000001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100</v>
      </c>
      <c r="Y313" s="543">
        <f>IFERROR(SUM(Y308:Y311),"0")</f>
        <v>101.39999999999999</v>
      </c>
      <c r="Z313" s="37"/>
      <c r="AA313" s="544"/>
      <c r="AB313" s="544"/>
      <c r="AC313" s="544"/>
    </row>
    <row r="314" spans="1:68" ht="14.25" customHeight="1" x14ac:dyDescent="0.25">
      <c r="A314" s="558" t="s">
        <v>164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497</v>
      </c>
      <c r="B315" s="54" t="s">
        <v>498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100</v>
      </c>
      <c r="Y316" s="542">
        <f>IFERROR(IF(X316="",0,CEILING((X316/$H316),1)*$H316),"")</f>
        <v>101.39999999999999</v>
      </c>
      <c r="Z316" s="36">
        <f>IFERROR(IF(Y316=0,"",ROUNDUP(Y316/H316,0)*0.01898),"")</f>
        <v>0.24674000000000001</v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106.33333333333334</v>
      </c>
      <c r="BN316" s="64">
        <f>IFERROR(Y316*I316/H316,"0")</f>
        <v>107.82199999999999</v>
      </c>
      <c r="BO316" s="64">
        <f>IFERROR(1/J316*(X316/H316),"0")</f>
        <v>0.20032051282051283</v>
      </c>
      <c r="BP316" s="64">
        <f>IFERROR(1/J316*(Y316/H316),"0")</f>
        <v>0.203125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12.820512820512821</v>
      </c>
      <c r="Y318" s="543">
        <f>IFERROR(Y315/H315,"0")+IFERROR(Y316/H316,"0")+IFERROR(Y317/H317,"0")</f>
        <v>13</v>
      </c>
      <c r="Z318" s="543">
        <f>IFERROR(IF(Z315="",0,Z315),"0")+IFERROR(IF(Z316="",0,Z316),"0")+IFERROR(IF(Z317="",0,Z317),"0")</f>
        <v>0.24674000000000001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100</v>
      </c>
      <c r="Y319" s="543">
        <f>IFERROR(SUM(Y315:Y317),"0")</f>
        <v>101.39999999999999</v>
      </c>
      <c r="Z319" s="37"/>
      <c r="AA319" s="544"/>
      <c r="AB319" s="544"/>
      <c r="AC319" s="544"/>
    </row>
    <row r="320" spans="1:68" ht="14.25" customHeight="1" x14ac:dyDescent="0.25">
      <c r="A320" s="558" t="s">
        <v>93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506</v>
      </c>
      <c r="B321" s="54" t="s">
        <v>507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511</v>
      </c>
      <c r="B323" s="54" t="s">
        <v>512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514</v>
      </c>
      <c r="B324" s="54" t="s">
        <v>515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8" t="s">
        <v>516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517</v>
      </c>
      <c r="B328" s="54" t="s">
        <v>518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5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523</v>
      </c>
      <c r="B330" s="54" t="s">
        <v>524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525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526</v>
      </c>
      <c r="B335" s="54" t="s">
        <v>527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528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529</v>
      </c>
      <c r="B336" s="54" t="s">
        <v>530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42</v>
      </c>
      <c r="Y336" s="542">
        <f>IFERROR(IF(X336="",0,CEILING((X336/$H336),1)*$H336),"")</f>
        <v>42</v>
      </c>
      <c r="Z336" s="36">
        <f>IFERROR(IF(Y336=0,"",ROUNDUP(Y336/H336,0)*0.00651),"")</f>
        <v>0.13020000000000001</v>
      </c>
      <c r="AA336" s="56"/>
      <c r="AB336" s="57"/>
      <c r="AC336" s="387" t="s">
        <v>531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47.039999999999992</v>
      </c>
      <c r="BN336" s="64">
        <f>IFERROR(Y336*I336/H336,"0")</f>
        <v>47.039999999999992</v>
      </c>
      <c r="BO336" s="64">
        <f>IFERROR(1/J336*(X336/H336),"0")</f>
        <v>0.1098901098901099</v>
      </c>
      <c r="BP336" s="64">
        <f>IFERROR(1/J336*(Y336/H336),"0")</f>
        <v>0.1098901098901099</v>
      </c>
    </row>
    <row r="337" spans="1:68" ht="27" customHeight="1" x14ac:dyDescent="0.25">
      <c r="A337" s="54" t="s">
        <v>532</v>
      </c>
      <c r="B337" s="54" t="s">
        <v>533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84</v>
      </c>
      <c r="Y337" s="542">
        <f>IFERROR(IF(X337="",0,CEILING((X337/$H337),1)*$H337),"")</f>
        <v>84</v>
      </c>
      <c r="Z337" s="36">
        <f>IFERROR(IF(Y337=0,"",ROUNDUP(Y337/H337,0)*0.00651),"")</f>
        <v>0.26040000000000002</v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93.6</v>
      </c>
      <c r="BN337" s="64">
        <f>IFERROR(Y337*I337/H337,"0")</f>
        <v>93.6</v>
      </c>
      <c r="BO337" s="64">
        <f>IFERROR(1/J337*(X337/H337),"0")</f>
        <v>0.2197802197802198</v>
      </c>
      <c r="BP337" s="64">
        <f>IFERROR(1/J337*(Y337/H337),"0")</f>
        <v>0.2197802197802198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60</v>
      </c>
      <c r="Y338" s="543">
        <f>IFERROR(Y335/H335,"0")+IFERROR(Y336/H336,"0")+IFERROR(Y337/H337,"0")</f>
        <v>60</v>
      </c>
      <c r="Z338" s="543">
        <f>IFERROR(IF(Z335="",0,Z335),"0")+IFERROR(IF(Z336="",0,Z336),"0")+IFERROR(IF(Z337="",0,Z337),"0")</f>
        <v>0.39060000000000006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126</v>
      </c>
      <c r="Y339" s="543">
        <f>IFERROR(SUM(Y335:Y337),"0")</f>
        <v>126</v>
      </c>
      <c r="Z339" s="37"/>
      <c r="AA339" s="544"/>
      <c r="AB339" s="544"/>
      <c r="AC339" s="544"/>
    </row>
    <row r="340" spans="1:68" ht="27.75" customHeight="1" x14ac:dyDescent="0.2">
      <c r="A340" s="632" t="s">
        <v>535</v>
      </c>
      <c r="B340" s="633"/>
      <c r="C340" s="633"/>
      <c r="D340" s="633"/>
      <c r="E340" s="633"/>
      <c r="F340" s="633"/>
      <c r="G340" s="633"/>
      <c r="H340" s="633"/>
      <c r="I340" s="633"/>
      <c r="J340" s="633"/>
      <c r="K340" s="633"/>
      <c r="L340" s="633"/>
      <c r="M340" s="633"/>
      <c r="N340" s="633"/>
      <c r="O340" s="633"/>
      <c r="P340" s="633"/>
      <c r="Q340" s="633"/>
      <c r="R340" s="633"/>
      <c r="S340" s="633"/>
      <c r="T340" s="633"/>
      <c r="U340" s="633"/>
      <c r="V340" s="633"/>
      <c r="W340" s="633"/>
      <c r="X340" s="633"/>
      <c r="Y340" s="633"/>
      <c r="Z340" s="633"/>
      <c r="AA340" s="48"/>
      <c r="AB340" s="48"/>
      <c r="AC340" s="48"/>
    </row>
    <row r="341" spans="1:68" ht="16.5" customHeight="1" x14ac:dyDescent="0.25">
      <c r="A341" s="559" t="s">
        <v>536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101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500</v>
      </c>
      <c r="Y343" s="542">
        <f t="shared" ref="Y343:Y349" si="36">IFERROR(IF(X343="",0,CEILING((X343/$H343),1)*$H343),"")</f>
        <v>510</v>
      </c>
      <c r="Z343" s="36">
        <f>IFERROR(IF(Y343=0,"",ROUNDUP(Y343/H343,0)*0.02175),"")</f>
        <v>0.73949999999999994</v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515.66666666666663</v>
      </c>
      <c r="BN343" s="64">
        <f t="shared" ref="BN343:BN349" si="38">IFERROR(Y343*I343/H343,"0")</f>
        <v>525.98</v>
      </c>
      <c r="BO343" s="64">
        <f t="shared" ref="BO343:BO349" si="39">IFERROR(1/J343*(X343/H343),"0")</f>
        <v>0.69444444444444442</v>
      </c>
      <c r="BP343" s="64">
        <f t="shared" ref="BP343:BP349" si="40">IFERROR(1/J343*(Y343/H343),"0")</f>
        <v>0.70833333333333326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300</v>
      </c>
      <c r="Y344" s="542">
        <f t="shared" si="36"/>
        <v>300</v>
      </c>
      <c r="Z344" s="36">
        <f>IFERROR(IF(Y344=0,"",ROUNDUP(Y344/H344,0)*0.02175),"")</f>
        <v>0.43499999999999994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7"/>
        <v>309.39999999999998</v>
      </c>
      <c r="BN344" s="64">
        <f t="shared" si="38"/>
        <v>309.39999999999998</v>
      </c>
      <c r="BO344" s="64">
        <f t="shared" si="39"/>
        <v>0.41666666666666663</v>
      </c>
      <c r="BP344" s="64">
        <f t="shared" si="40"/>
        <v>0.41666666666666663</v>
      </c>
    </row>
    <row r="345" spans="1:68" ht="37.5" customHeight="1" x14ac:dyDescent="0.25">
      <c r="A345" s="54" t="s">
        <v>543</v>
      </c>
      <c r="B345" s="54" t="s">
        <v>544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5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2500</v>
      </c>
      <c r="Y345" s="542">
        <f t="shared" si="36"/>
        <v>2505</v>
      </c>
      <c r="Z345" s="36">
        <f>IFERROR(IF(Y345=0,"",ROUNDUP(Y345/H345,0)*0.02175),"")</f>
        <v>3.6322499999999995</v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7"/>
        <v>2578.3333333333335</v>
      </c>
      <c r="BN345" s="64">
        <f t="shared" si="38"/>
        <v>2583.4899999999998</v>
      </c>
      <c r="BO345" s="64">
        <f t="shared" si="39"/>
        <v>3.4722222222222219</v>
      </c>
      <c r="BP345" s="64">
        <f t="shared" si="40"/>
        <v>3.4791666666666665</v>
      </c>
    </row>
    <row r="346" spans="1:68" ht="27" customHeight="1" x14ac:dyDescent="0.25">
      <c r="A346" s="54" t="s">
        <v>546</v>
      </c>
      <c r="B346" s="54" t="s">
        <v>547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8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549</v>
      </c>
      <c r="B347" s="54" t="s">
        <v>550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552</v>
      </c>
      <c r="B348" s="54" t="s">
        <v>553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554</v>
      </c>
      <c r="B349" s="54" t="s">
        <v>555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1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220</v>
      </c>
      <c r="Y350" s="543">
        <f>IFERROR(Y343/H343,"0")+IFERROR(Y344/H344,"0")+IFERROR(Y345/H345,"0")+IFERROR(Y346/H346,"0")+IFERROR(Y347/H347,"0")+IFERROR(Y348/H348,"0")+IFERROR(Y349/H349,"0")</f>
        <v>221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4.8067499999999992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3300</v>
      </c>
      <c r="Y351" s="543">
        <f>IFERROR(SUM(Y343:Y349),"0")</f>
        <v>3315</v>
      </c>
      <c r="Z351" s="37"/>
      <c r="AA351" s="544"/>
      <c r="AB351" s="544"/>
      <c r="AC351" s="544"/>
    </row>
    <row r="352" spans="1:68" ht="14.25" customHeight="1" x14ac:dyDescent="0.25">
      <c r="A352" s="558" t="s">
        <v>136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8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1000</v>
      </c>
      <c r="Y353" s="542">
        <f>IFERROR(IF(X353="",0,CEILING((X353/$H353),1)*$H353),"")</f>
        <v>1005</v>
      </c>
      <c r="Z353" s="36">
        <f>IFERROR(IF(Y353=0,"",ROUNDUP(Y353/H353,0)*0.02175),"")</f>
        <v>1.4572499999999999</v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1031.3333333333333</v>
      </c>
      <c r="BN353" s="64">
        <f>IFERROR(Y353*I353/H353,"0")</f>
        <v>1036.49</v>
      </c>
      <c r="BO353" s="64">
        <f>IFERROR(1/J353*(X353/H353),"0")</f>
        <v>1.3888888888888888</v>
      </c>
      <c r="BP353" s="64">
        <f>IFERROR(1/J353*(Y353/H353),"0")</f>
        <v>1.3958333333333333</v>
      </c>
    </row>
    <row r="354" spans="1:68" ht="16.5" customHeight="1" x14ac:dyDescent="0.25">
      <c r="A354" s="54" t="s">
        <v>559</v>
      </c>
      <c r="B354" s="54" t="s">
        <v>560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66.666666666666671</v>
      </c>
      <c r="Y355" s="543">
        <f>IFERROR(Y353/H353,"0")+IFERROR(Y354/H354,"0")</f>
        <v>67</v>
      </c>
      <c r="Z355" s="543">
        <f>IFERROR(IF(Z353="",0,Z353),"0")+IFERROR(IF(Z354="",0,Z354),"0")</f>
        <v>1.4572499999999999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1000</v>
      </c>
      <c r="Y356" s="543">
        <f>IFERROR(SUM(Y353:Y354),"0")</f>
        <v>1005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8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164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9" t="s">
        <v>570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101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5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1500</v>
      </c>
      <c r="Y378" s="542">
        <f>IFERROR(IF(X378="",0,CEILING((X378/$H378),1)*$H378),"")</f>
        <v>1503</v>
      </c>
      <c r="Z378" s="36">
        <f>IFERROR(IF(Y378=0,"",ROUNDUP(Y378/H378,0)*0.01898),"")</f>
        <v>3.1696599999999999</v>
      </c>
      <c r="AA378" s="56"/>
      <c r="AB378" s="57"/>
      <c r="AC378" s="423" t="s">
        <v>583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1582.3333333333333</v>
      </c>
      <c r="BN378" s="64">
        <f>IFERROR(Y378*I378/H378,"0")</f>
        <v>1585.498</v>
      </c>
      <c r="BO378" s="64">
        <f>IFERROR(1/J378*(X378/H378),"0")</f>
        <v>2.6041666666666665</v>
      </c>
      <c r="BP378" s="64">
        <f>IFERROR(1/J378*(Y378/H378),"0")</f>
        <v>2.609375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40</v>
      </c>
      <c r="Y379" s="542">
        <f>IFERROR(IF(X379="",0,CEILING((X379/$H379),1)*$H379),"")</f>
        <v>40.799999999999997</v>
      </c>
      <c r="Z379" s="36">
        <f>IFERROR(IF(Y379=0,"",ROUNDUP(Y379/H379,0)*0.00651),"")</f>
        <v>0.11067</v>
      </c>
      <c r="AA379" s="56"/>
      <c r="AB379" s="57"/>
      <c r="AC379" s="425" t="s">
        <v>583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44.400000000000006</v>
      </c>
      <c r="BN379" s="64">
        <f>IFERROR(Y379*I379/H379,"0")</f>
        <v>45.287999999999997</v>
      </c>
      <c r="BO379" s="64">
        <f>IFERROR(1/J379*(X379/H379),"0")</f>
        <v>9.1575091575091583E-2</v>
      </c>
      <c r="BP379" s="64">
        <f>IFERROR(1/J379*(Y379/H379),"0")</f>
        <v>9.3406593406593408E-2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183.33333333333331</v>
      </c>
      <c r="Y380" s="543">
        <f>IFERROR(Y378/H378,"0")+IFERROR(Y379/H379,"0")</f>
        <v>184</v>
      </c>
      <c r="Z380" s="543">
        <f>IFERROR(IF(Z378="",0,Z378),"0")+IFERROR(IF(Z379="",0,Z379),"0")</f>
        <v>3.2803299999999997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1540</v>
      </c>
      <c r="Y381" s="543">
        <f>IFERROR(SUM(Y378:Y379),"0")</f>
        <v>1543.8</v>
      </c>
      <c r="Z381" s="37"/>
      <c r="AA381" s="544"/>
      <c r="AB381" s="544"/>
      <c r="AC381" s="544"/>
    </row>
    <row r="382" spans="1:68" ht="27.75" customHeight="1" x14ac:dyDescent="0.2">
      <c r="A382" s="632" t="s">
        <v>586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9" t="s">
        <v>587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588</v>
      </c>
      <c r="B385" s="54" t="s">
        <v>589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customHeight="1" x14ac:dyDescent="0.25">
      <c r="A386" s="54" t="s">
        <v>591</v>
      </c>
      <c r="B386" s="54" t="s">
        <v>592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customHeight="1" x14ac:dyDescent="0.25">
      <c r="A387" s="54" t="s">
        <v>594</v>
      </c>
      <c r="B387" s="54" t="s">
        <v>595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597</v>
      </c>
      <c r="B388" s="54" t="s">
        <v>598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customHeight="1" x14ac:dyDescent="0.25">
      <c r="A390" s="54" t="s">
        <v>601</v>
      </c>
      <c r="B390" s="54" t="s">
        <v>602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customHeight="1" x14ac:dyDescent="0.25">
      <c r="A391" s="54" t="s">
        <v>604</v>
      </c>
      <c r="B391" s="54" t="s">
        <v>605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607</v>
      </c>
      <c r="B392" s="54" t="s">
        <v>608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customHeight="1" x14ac:dyDescent="0.25">
      <c r="A393" s="54" t="s">
        <v>610</v>
      </c>
      <c r="B393" s="54" t="s">
        <v>611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612</v>
      </c>
      <c r="B397" s="54" t="s">
        <v>613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615</v>
      </c>
      <c r="B398" s="54" t="s">
        <v>616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618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136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619</v>
      </c>
      <c r="B403" s="54" t="s">
        <v>620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622</v>
      </c>
      <c r="B407" s="54" t="s">
        <v>623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624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625</v>
      </c>
      <c r="B408" s="54" t="s">
        <v>626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631</v>
      </c>
      <c r="B410" s="54" t="s">
        <v>632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9" t="s">
        <v>633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634</v>
      </c>
      <c r="B415" s="54" t="s">
        <v>635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2" t="s">
        <v>637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9" t="s">
        <v>637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101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638</v>
      </c>
      <c r="B421" s="54" t="s">
        <v>639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100</v>
      </c>
      <c r="Y421" s="542">
        <f t="shared" ref="Y421:Y431" si="47">IFERROR(IF(X421="",0,CEILING((X421/$H421),1)*$H421),"")</f>
        <v>100.32000000000001</v>
      </c>
      <c r="Z421" s="36">
        <f t="shared" ref="Z421:Z426" si="48">IFERROR(IF(Y421=0,"",ROUNDUP(Y421/H421,0)*0.01196),"")</f>
        <v>0.22724</v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106.62878787878788</v>
      </c>
      <c r="BN421" s="64">
        <f t="shared" ref="BN421:BN431" si="50">IFERROR(Y421*I421/H421,"0")</f>
        <v>106.97</v>
      </c>
      <c r="BO421" s="64">
        <f t="shared" ref="BO421:BO431" si="51">IFERROR(1/J421*(X421/H421),"0")</f>
        <v>0.18210955710955709</v>
      </c>
      <c r="BP421" s="64">
        <f t="shared" ref="BP421:BP431" si="52">IFERROR(1/J421*(Y421/H421),"0")</f>
        <v>0.18269230769230771</v>
      </c>
    </row>
    <row r="422" spans="1:68" ht="27" customHeight="1" x14ac:dyDescent="0.25">
      <c r="A422" s="54" t="s">
        <v>640</v>
      </c>
      <c r="B422" s="54" t="s">
        <v>641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/>
      <c r="M422" s="33" t="s">
        <v>106</v>
      </c>
      <c r="N422" s="33"/>
      <c r="O422" s="32">
        <v>60</v>
      </c>
      <c r="P422" s="67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50</v>
      </c>
      <c r="Y423" s="542">
        <f t="shared" si="47"/>
        <v>52.800000000000004</v>
      </c>
      <c r="Z423" s="36">
        <f t="shared" si="48"/>
        <v>0.1196</v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53.314393939393938</v>
      </c>
      <c r="BN423" s="64">
        <f t="shared" si="50"/>
        <v>56.3</v>
      </c>
      <c r="BO423" s="64">
        <f t="shared" si="51"/>
        <v>9.1054778554778545E-2</v>
      </c>
      <c r="BP423" s="64">
        <f t="shared" si="52"/>
        <v>9.6153846153846159E-2</v>
      </c>
    </row>
    <row r="424" spans="1:68" ht="27" customHeight="1" x14ac:dyDescent="0.25">
      <c r="A424" s="54" t="s">
        <v>646</v>
      </c>
      <c r="B424" s="54" t="s">
        <v>647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3500</v>
      </c>
      <c r="Y424" s="542">
        <f t="shared" si="47"/>
        <v>3500.6400000000003</v>
      </c>
      <c r="Z424" s="36">
        <f t="shared" si="48"/>
        <v>7.9294799999999999</v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3732.0075757575755</v>
      </c>
      <c r="BN424" s="64">
        <f t="shared" si="50"/>
        <v>3732.69</v>
      </c>
      <c r="BO424" s="64">
        <f t="shared" si="51"/>
        <v>6.3738344988344995</v>
      </c>
      <c r="BP424" s="64">
        <f t="shared" si="52"/>
        <v>6.375</v>
      </c>
    </row>
    <row r="425" spans="1:68" ht="16.5" customHeight="1" x14ac:dyDescent="0.25">
      <c r="A425" s="54" t="s">
        <v>649</v>
      </c>
      <c r="B425" s="54" t="s">
        <v>650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652</v>
      </c>
      <c r="B426" s="54" t="s">
        <v>653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500</v>
      </c>
      <c r="Y426" s="542">
        <f t="shared" si="47"/>
        <v>501.6</v>
      </c>
      <c r="Z426" s="36">
        <f t="shared" si="48"/>
        <v>1.1362000000000001</v>
      </c>
      <c r="AA426" s="56"/>
      <c r="AB426" s="57"/>
      <c r="AC426" s="471" t="s">
        <v>654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533.14393939393938</v>
      </c>
      <c r="BN426" s="64">
        <f t="shared" si="50"/>
        <v>534.85</v>
      </c>
      <c r="BO426" s="64">
        <f t="shared" si="51"/>
        <v>0.91054778554778548</v>
      </c>
      <c r="BP426" s="64">
        <f t="shared" si="52"/>
        <v>0.91346153846153855</v>
      </c>
    </row>
    <row r="427" spans="1:68" ht="27" customHeight="1" x14ac:dyDescent="0.25">
      <c r="A427" s="54" t="s">
        <v>655</v>
      </c>
      <c r="B427" s="54" t="s">
        <v>656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657</v>
      </c>
      <c r="B428" s="54" t="s">
        <v>658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645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664</v>
      </c>
      <c r="B431" s="54" t="s">
        <v>665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6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785.9848484848485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787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9.4125200000000007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4150</v>
      </c>
      <c r="Y433" s="543">
        <f>IFERROR(SUM(Y421:Y431),"0")</f>
        <v>4155.3600000000006</v>
      </c>
      <c r="Z433" s="37"/>
      <c r="AA433" s="544"/>
      <c r="AB433" s="544"/>
      <c r="AC433" s="544"/>
    </row>
    <row r="434" spans="1:68" ht="14.25" customHeight="1" x14ac:dyDescent="0.25">
      <c r="A434" s="558" t="s">
        <v>136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500</v>
      </c>
      <c r="Y435" s="542">
        <f>IFERROR(IF(X435="",0,CEILING((X435/$H435),1)*$H435),"")</f>
        <v>501.6</v>
      </c>
      <c r="Z435" s="36">
        <f>IFERROR(IF(Y435=0,"",ROUNDUP(Y435/H435,0)*0.01196),"")</f>
        <v>1.1362000000000001</v>
      </c>
      <c r="AA435" s="56"/>
      <c r="AB435" s="57"/>
      <c r="AC435" s="483" t="s">
        <v>668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533.14393939393938</v>
      </c>
      <c r="BN435" s="64">
        <f>IFERROR(Y435*I435/H435,"0")</f>
        <v>534.85</v>
      </c>
      <c r="BO435" s="64">
        <f>IFERROR(1/J435*(X435/H435),"0")</f>
        <v>0.91054778554778548</v>
      </c>
      <c r="BP435" s="64">
        <f>IFERROR(1/J435*(Y435/H435),"0")</f>
        <v>0.91346153846153855</v>
      </c>
    </row>
    <row r="436" spans="1:68" ht="16.5" customHeight="1" x14ac:dyDescent="0.25">
      <c r="A436" s="54" t="s">
        <v>669</v>
      </c>
      <c r="B436" s="54" t="s">
        <v>670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671</v>
      </c>
      <c r="B437" s="54" t="s">
        <v>672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94.696969696969688</v>
      </c>
      <c r="Y438" s="543">
        <f>IFERROR(Y435/H435,"0")+IFERROR(Y436/H436,"0")+IFERROR(Y437/H437,"0")</f>
        <v>95</v>
      </c>
      <c r="Z438" s="543">
        <f>IFERROR(IF(Z435="",0,Z435),"0")+IFERROR(IF(Z436="",0,Z436),"0")+IFERROR(IF(Z437="",0,Z437),"0")</f>
        <v>1.1362000000000001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500</v>
      </c>
      <c r="Y439" s="543">
        <f>IFERROR(SUM(Y435:Y437),"0")</f>
        <v>501.6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673</v>
      </c>
      <c r="B441" s="54" t="s">
        <v>674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500</v>
      </c>
      <c r="Y441" s="542">
        <f t="shared" ref="Y441:Y446" si="53">IFERROR(IF(X441="",0,CEILING((X441/$H441),1)*$H441),"")</f>
        <v>501.6</v>
      </c>
      <c r="Z441" s="36">
        <f>IFERROR(IF(Y441=0,"",ROUNDUP(Y441/H441,0)*0.01196),"")</f>
        <v>1.1362000000000001</v>
      </c>
      <c r="AA441" s="56"/>
      <c r="AB441" s="57"/>
      <c r="AC441" s="489" t="s">
        <v>675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533.14393939393938</v>
      </c>
      <c r="BN441" s="64">
        <f t="shared" ref="BN441:BN446" si="55">IFERROR(Y441*I441/H441,"0")</f>
        <v>534.85</v>
      </c>
      <c r="BO441" s="64">
        <f t="shared" ref="BO441:BO446" si="56">IFERROR(1/J441*(X441/H441),"0")</f>
        <v>0.91054778554778548</v>
      </c>
      <c r="BP441" s="64">
        <f t="shared" ref="BP441:BP446" si="57">IFERROR(1/J441*(Y441/H441),"0")</f>
        <v>0.91346153846153855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500</v>
      </c>
      <c r="Y442" s="542">
        <f t="shared" si="53"/>
        <v>501.6</v>
      </c>
      <c r="Z442" s="36">
        <f>IFERROR(IF(Y442=0,"",ROUNDUP(Y442/H442,0)*0.01196),"")</f>
        <v>1.1362000000000001</v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533.14393939393938</v>
      </c>
      <c r="BN442" s="64">
        <f t="shared" si="55"/>
        <v>534.85</v>
      </c>
      <c r="BO442" s="64">
        <f t="shared" si="56"/>
        <v>0.91054778554778548</v>
      </c>
      <c r="BP442" s="64">
        <f t="shared" si="57"/>
        <v>0.91346153846153855</v>
      </c>
    </row>
    <row r="443" spans="1:68" ht="27" customHeight="1" x14ac:dyDescent="0.25">
      <c r="A443" s="54" t="s">
        <v>679</v>
      </c>
      <c r="B443" s="54" t="s">
        <v>680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500</v>
      </c>
      <c r="Y443" s="542">
        <f t="shared" si="53"/>
        <v>501.6</v>
      </c>
      <c r="Z443" s="36">
        <f>IFERROR(IF(Y443=0,"",ROUNDUP(Y443/H443,0)*0.01196),"")</f>
        <v>1.1362000000000001</v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533.14393939393938</v>
      </c>
      <c r="BN443" s="64">
        <f t="shared" si="55"/>
        <v>534.85</v>
      </c>
      <c r="BO443" s="64">
        <f t="shared" si="56"/>
        <v>0.91054778554778548</v>
      </c>
      <c r="BP443" s="64">
        <f t="shared" si="57"/>
        <v>0.91346153846153855</v>
      </c>
    </row>
    <row r="444" spans="1:68" ht="27" customHeight="1" x14ac:dyDescent="0.25">
      <c r="A444" s="54" t="s">
        <v>682</v>
      </c>
      <c r="B444" s="54" t="s">
        <v>683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684</v>
      </c>
      <c r="B445" s="54" t="s">
        <v>685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686</v>
      </c>
      <c r="B446" s="54" t="s">
        <v>687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2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284.09090909090907</v>
      </c>
      <c r="Y447" s="543">
        <f>IFERROR(Y441/H441,"0")+IFERROR(Y442/H442,"0")+IFERROR(Y443/H443,"0")+IFERROR(Y444/H444,"0")+IFERROR(Y445/H445,"0")+IFERROR(Y446/H446,"0")</f>
        <v>285</v>
      </c>
      <c r="Z447" s="543">
        <f>IFERROR(IF(Z441="",0,Z441),"0")+IFERROR(IF(Z442="",0,Z442),"0")+IFERROR(IF(Z443="",0,Z443),"0")+IFERROR(IF(Z444="",0,Z444),"0")+IFERROR(IF(Z445="",0,Z445),"0")+IFERROR(IF(Z446="",0,Z446),"0")</f>
        <v>3.4086000000000003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1500</v>
      </c>
      <c r="Y448" s="543">
        <f>IFERROR(SUM(Y441:Y446),"0")</f>
        <v>1504.8000000000002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688</v>
      </c>
      <c r="B450" s="54" t="s">
        <v>689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691</v>
      </c>
      <c r="B451" s="54" t="s">
        <v>692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694</v>
      </c>
      <c r="B452" s="54" t="s">
        <v>695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697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9" t="s">
        <v>697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101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698</v>
      </c>
      <c r="B458" s="54" t="s">
        <v>699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60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701</v>
      </c>
      <c r="B459" s="54" t="s">
        <v>702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3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7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250</v>
      </c>
      <c r="Y460" s="542">
        <f>IFERROR(IF(X460="",0,CEILING((X460/$H460),1)*$H460),"")</f>
        <v>252</v>
      </c>
      <c r="Z460" s="36">
        <f>IFERROR(IF(Y460=0,"",ROUNDUP(Y460/H460,0)*0.01898),"")</f>
        <v>0.39857999999999999</v>
      </c>
      <c r="AA460" s="56"/>
      <c r="AB460" s="57"/>
      <c r="AC460" s="511" t="s">
        <v>706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258.54166666666669</v>
      </c>
      <c r="BN460" s="64">
        <f>IFERROR(Y460*I460/H460,"0")</f>
        <v>260.61</v>
      </c>
      <c r="BO460" s="64">
        <f>IFERROR(1/J460*(X460/H460),"0")</f>
        <v>0.32552083333333331</v>
      </c>
      <c r="BP460" s="64">
        <f>IFERROR(1/J460*(Y460/H460),"0")</f>
        <v>0.328125</v>
      </c>
    </row>
    <row r="461" spans="1:68" ht="27" customHeight="1" x14ac:dyDescent="0.25">
      <c r="A461" s="54" t="s">
        <v>707</v>
      </c>
      <c r="B461" s="54" t="s">
        <v>708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6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20.833333333333332</v>
      </c>
      <c r="Y462" s="543">
        <f>IFERROR(Y458/H458,"0")+IFERROR(Y459/H459,"0")+IFERROR(Y460/H460,"0")+IFERROR(Y461/H461,"0")</f>
        <v>21</v>
      </c>
      <c r="Z462" s="543">
        <f>IFERROR(IF(Z458="",0,Z458),"0")+IFERROR(IF(Z459="",0,Z459),"0")+IFERROR(IF(Z460="",0,Z460),"0")+IFERROR(IF(Z461="",0,Z461),"0")</f>
        <v>0.39857999999999999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250</v>
      </c>
      <c r="Y463" s="543">
        <f>IFERROR(SUM(Y458:Y461),"0")</f>
        <v>252</v>
      </c>
      <c r="Z463" s="37"/>
      <c r="AA463" s="544"/>
      <c r="AB463" s="544"/>
      <c r="AC463" s="544"/>
    </row>
    <row r="464" spans="1:68" ht="14.25" customHeight="1" x14ac:dyDescent="0.25">
      <c r="A464" s="558" t="s">
        <v>136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709</v>
      </c>
      <c r="B465" s="54" t="s">
        <v>710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712</v>
      </c>
      <c r="B466" s="54" t="s">
        <v>713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715</v>
      </c>
      <c r="B467" s="54" t="s">
        <v>716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6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718</v>
      </c>
      <c r="B471" s="54" t="s">
        <v>719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721</v>
      </c>
      <c r="B472" s="54" t="s">
        <v>722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4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724</v>
      </c>
      <c r="B476" s="54" t="s">
        <v>725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61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726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8" t="s">
        <v>164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727</v>
      </c>
      <c r="B480" s="54" t="s">
        <v>728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5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730</v>
      </c>
      <c r="B481" s="54" t="s">
        <v>731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733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136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734</v>
      </c>
      <c r="B486" s="54" t="s">
        <v>735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2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0"/>
      <c r="P489" s="627" t="s">
        <v>737</v>
      </c>
      <c r="Q489" s="628"/>
      <c r="R489" s="628"/>
      <c r="S489" s="628"/>
      <c r="T489" s="628"/>
      <c r="U489" s="628"/>
      <c r="V489" s="629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381+X395+X400+X405+X412+X417+X433+X439+X448+X454+X463+X469+X474+X478+X483+X488,"0")</f>
        <v>16616</v>
      </c>
      <c r="Y489" s="5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381+Y395+Y400+Y405+Y412+Y417+Y433+Y439+Y448+Y454+Y463+Y469+Y474+Y478+Y483+Y488,"0")</f>
        <v>16700.16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0"/>
      <c r="P490" s="627" t="s">
        <v>738</v>
      </c>
      <c r="Q490" s="628"/>
      <c r="R490" s="628"/>
      <c r="S490" s="628"/>
      <c r="T490" s="628"/>
      <c r="U490" s="628"/>
      <c r="V490" s="629"/>
      <c r="W490" s="37" t="s">
        <v>69</v>
      </c>
      <c r="X490" s="543">
        <f>IFERROR(SUM(BM22:BM486),"0")</f>
        <v>17525.378901838907</v>
      </c>
      <c r="Y490" s="543">
        <f>IFERROR(SUM(BN22:BN486),"0")</f>
        <v>17613.475999999999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0"/>
      <c r="P491" s="627" t="s">
        <v>739</v>
      </c>
      <c r="Q491" s="628"/>
      <c r="R491" s="628"/>
      <c r="S491" s="628"/>
      <c r="T491" s="628"/>
      <c r="U491" s="628"/>
      <c r="V491" s="629"/>
      <c r="W491" s="37" t="s">
        <v>740</v>
      </c>
      <c r="X491" s="38">
        <f>ROUNDUP(SUM(BO22:BO486),0)</f>
        <v>28</v>
      </c>
      <c r="Y491" s="38">
        <f>ROUNDUP(SUM(BP22:BP486),0)</f>
        <v>29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0"/>
      <c r="P492" s="627" t="s">
        <v>741</v>
      </c>
      <c r="Q492" s="628"/>
      <c r="R492" s="628"/>
      <c r="S492" s="628"/>
      <c r="T492" s="628"/>
      <c r="U492" s="628"/>
      <c r="V492" s="629"/>
      <c r="W492" s="37" t="s">
        <v>69</v>
      </c>
      <c r="X492" s="543">
        <f>GrossWeightTotal+PalletQtyTotal*25</f>
        <v>18225.378901838907</v>
      </c>
      <c r="Y492" s="543">
        <f>GrossWeightTotalR+PalletQtyTotalR*25</f>
        <v>18338.475999999999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0"/>
      <c r="P493" s="627" t="s">
        <v>742</v>
      </c>
      <c r="Q493" s="628"/>
      <c r="R493" s="628"/>
      <c r="S493" s="628"/>
      <c r="T493" s="628"/>
      <c r="U493" s="628"/>
      <c r="V493" s="629"/>
      <c r="W493" s="37" t="s">
        <v>740</v>
      </c>
      <c r="X493" s="5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380+X394+X399+X404+X411+X416+X432+X438+X447+X453+X462+X468+X473+X477+X482+X487,"0")</f>
        <v>2494.9507899507898</v>
      </c>
      <c r="Y493" s="5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380+Y394+Y399+Y404+Y411+Y416+Y432+Y438+Y447+Y453+Y462+Y468+Y473+Y477+Y482+Y487,"0")</f>
        <v>2505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0"/>
      <c r="P494" s="627" t="s">
        <v>743</v>
      </c>
      <c r="Q494" s="628"/>
      <c r="R494" s="628"/>
      <c r="S494" s="628"/>
      <c r="T494" s="628"/>
      <c r="U494" s="628"/>
      <c r="V494" s="629"/>
      <c r="W494" s="39" t="s">
        <v>744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380+Z394+Z399+Z404+Z411+Z416+Z432+Z438+Z447+Z453+Z462+Z468+Z473+Z477+Z482+Z487,"0")</f>
        <v>33.354170000000003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2" t="s">
        <v>99</v>
      </c>
      <c r="D496" s="653"/>
      <c r="E496" s="653"/>
      <c r="F496" s="653"/>
      <c r="G496" s="653"/>
      <c r="H496" s="621"/>
      <c r="I496" s="592" t="s">
        <v>251</v>
      </c>
      <c r="J496" s="653"/>
      <c r="K496" s="653"/>
      <c r="L496" s="653"/>
      <c r="M496" s="653"/>
      <c r="N496" s="653"/>
      <c r="O496" s="653"/>
      <c r="P496" s="653"/>
      <c r="Q496" s="653"/>
      <c r="R496" s="621"/>
      <c r="S496" s="592" t="s">
        <v>535</v>
      </c>
      <c r="T496" s="621"/>
      <c r="U496" s="592" t="s">
        <v>586</v>
      </c>
      <c r="V496" s="653"/>
      <c r="W496" s="621"/>
      <c r="X496" s="538" t="s">
        <v>637</v>
      </c>
      <c r="Y496" s="592" t="s">
        <v>697</v>
      </c>
      <c r="Z496" s="621"/>
      <c r="AB496" s="52"/>
      <c r="AC496" s="52"/>
      <c r="AF496" s="539"/>
    </row>
    <row r="497" spans="1:32" ht="14.25" customHeight="1" thickTop="1" x14ac:dyDescent="0.2">
      <c r="A497" s="835" t="s">
        <v>746</v>
      </c>
      <c r="B497" s="592" t="s">
        <v>63</v>
      </c>
      <c r="C497" s="592" t="s">
        <v>100</v>
      </c>
      <c r="D497" s="592" t="s">
        <v>117</v>
      </c>
      <c r="E497" s="592" t="s">
        <v>171</v>
      </c>
      <c r="F497" s="592" t="s">
        <v>190</v>
      </c>
      <c r="G497" s="592" t="s">
        <v>220</v>
      </c>
      <c r="H497" s="592" t="s">
        <v>99</v>
      </c>
      <c r="I497" s="592" t="s">
        <v>252</v>
      </c>
      <c r="J497" s="592" t="s">
        <v>297</v>
      </c>
      <c r="K497" s="592" t="s">
        <v>356</v>
      </c>
      <c r="L497" s="592" t="s">
        <v>398</v>
      </c>
      <c r="M497" s="592" t="s">
        <v>414</v>
      </c>
      <c r="N497" s="539"/>
      <c r="O497" s="592" t="s">
        <v>425</v>
      </c>
      <c r="P497" s="592" t="s">
        <v>434</v>
      </c>
      <c r="Q497" s="592" t="s">
        <v>448</v>
      </c>
      <c r="R497" s="592" t="s">
        <v>525</v>
      </c>
      <c r="S497" s="592" t="s">
        <v>536</v>
      </c>
      <c r="T497" s="592" t="s">
        <v>570</v>
      </c>
      <c r="U497" s="592" t="s">
        <v>587</v>
      </c>
      <c r="V497" s="592" t="s">
        <v>618</v>
      </c>
      <c r="W497" s="592" t="s">
        <v>633</v>
      </c>
      <c r="X497" s="592" t="s">
        <v>637</v>
      </c>
      <c r="Y497" s="592" t="s">
        <v>697</v>
      </c>
      <c r="Z497" s="592" t="s">
        <v>733</v>
      </c>
      <c r="AB497" s="52"/>
      <c r="AC497" s="52"/>
      <c r="AF497" s="539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108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810</v>
      </c>
      <c r="E499" s="46">
        <f>IFERROR(Y85*1,"0")+IFERROR(Y86*1,"0")+IFERROR(Y87*1,"0")+IFERROR(Y91*1,"0")+IFERROR(Y92*1,"0")+IFERROR(Y93*1,"0")+IFERROR(Y94*1,"0")</f>
        <v>1663.2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1431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81.599999999999994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202.79999999999998</v>
      </c>
      <c r="R499" s="46">
        <f>IFERROR(Y335*1,"0")+IFERROR(Y336*1,"0")+IFERROR(Y337*1,"0")</f>
        <v>126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4320</v>
      </c>
      <c r="T499" s="46">
        <f>IFERROR(Y368*1,"0")+IFERROR(Y369*1,"0")+IFERROR(Y373*1,"0")+IFERROR(Y374*1,"0")+IFERROR(Y378*1,"0")+IFERROR(Y379*1,"0")</f>
        <v>1543.8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6161.760000000002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252</v>
      </c>
      <c r="Z499" s="46">
        <f>IFERROR(Y486*1,"0")</f>
        <v>0</v>
      </c>
      <c r="AB499" s="52"/>
      <c r="AC499" s="52"/>
      <c r="AF499" s="539"/>
    </row>
  </sheetData>
  <sheetProtection algorithmName="SHA-512" hashValue="NjhFMacLMi0AVFjGZRa+SZP76Rb5C31Y081Tyz5obz3cCvz/gvKe/ledQpFZd3mH3Bl2MfOkdInM9gcE4LVQ2w==" saltValue="zfU5jkX3/jVTN/5R86Nu5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X17:X18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296:V296"/>
    <mergeCell ref="P356:V356"/>
    <mergeCell ref="A468:O469"/>
    <mergeCell ref="P363:T363"/>
    <mergeCell ref="D344:E344"/>
    <mergeCell ref="D42:E42"/>
    <mergeCell ref="D471:E471"/>
    <mergeCell ref="V12:W12"/>
    <mergeCell ref="D191:E191"/>
    <mergeCell ref="D458:E458"/>
    <mergeCell ref="P368:T368"/>
    <mergeCell ref="A362:Z362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D291:E291"/>
    <mergeCell ref="D266:E266"/>
    <mergeCell ref="P174:T174"/>
    <mergeCell ref="U17:V17"/>
    <mergeCell ref="P410:T410"/>
    <mergeCell ref="P385:T385"/>
    <mergeCell ref="Y17:Y18"/>
    <mergeCell ref="A484:Z484"/>
    <mergeCell ref="A479:Z479"/>
    <mergeCell ref="D17:E18"/>
    <mergeCell ref="A487:O488"/>
    <mergeCell ref="P81:V81"/>
    <mergeCell ref="A33:Z33"/>
    <mergeCell ref="T497:T498"/>
    <mergeCell ref="D196:E196"/>
    <mergeCell ref="V497:V498"/>
    <mergeCell ref="A440:Z440"/>
    <mergeCell ref="A269:Z269"/>
    <mergeCell ref="A126:O127"/>
    <mergeCell ref="P294:T294"/>
    <mergeCell ref="P381:V381"/>
    <mergeCell ref="A262:Z262"/>
    <mergeCell ref="A333:Z333"/>
    <mergeCell ref="D54:E54"/>
    <mergeCell ref="D271:E271"/>
    <mergeCell ref="Q497:Q498"/>
    <mergeCell ref="G497:G498"/>
    <mergeCell ref="I497:I498"/>
    <mergeCell ref="P373:T373"/>
    <mergeCell ref="P202:T202"/>
    <mergeCell ref="P444:T444"/>
    <mergeCell ref="D421:E421"/>
    <mergeCell ref="A497:A498"/>
    <mergeCell ref="D170:E170"/>
    <mergeCell ref="P132:V132"/>
    <mergeCell ref="P72:T72"/>
    <mergeCell ref="A31:O32"/>
    <mergeCell ref="N17:N18"/>
    <mergeCell ref="P199:T199"/>
    <mergeCell ref="F17:F18"/>
    <mergeCell ref="Q5:R5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D407:E407"/>
    <mergeCell ref="A447:O448"/>
    <mergeCell ref="Q6:R6"/>
    <mergeCell ref="P200:T200"/>
    <mergeCell ref="P134:T134"/>
    <mergeCell ref="AD17:AF18"/>
    <mergeCell ref="P142:V142"/>
    <mergeCell ref="D101:E101"/>
    <mergeCell ref="P117:V117"/>
    <mergeCell ref="F5:G5"/>
    <mergeCell ref="P365:V36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P146:T146"/>
    <mergeCell ref="A192:O193"/>
    <mergeCell ref="D279:E279"/>
    <mergeCell ref="A136:O137"/>
    <mergeCell ref="I496:R496"/>
    <mergeCell ref="W497:W498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D397:E397"/>
    <mergeCell ref="P376:V376"/>
    <mergeCell ref="D310:E310"/>
    <mergeCell ref="D430:E430"/>
    <mergeCell ref="P469:V469"/>
    <mergeCell ref="P486:T486"/>
    <mergeCell ref="D450:E450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P312:V312"/>
    <mergeCell ref="P371:V371"/>
    <mergeCell ref="P421:T421"/>
    <mergeCell ref="A411:O412"/>
    <mergeCell ref="P408:T408"/>
    <mergeCell ref="D218:E21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65:T465"/>
    <mergeCell ref="D386:E386"/>
    <mergeCell ref="P250:V250"/>
    <mergeCell ref="A364:O365"/>
    <mergeCell ref="B497:B498"/>
    <mergeCell ref="P492:V492"/>
    <mergeCell ref="A103:O104"/>
    <mergeCell ref="S496:T496"/>
    <mergeCell ref="P415:T415"/>
    <mergeCell ref="P286:V286"/>
    <mergeCell ref="P336:T336"/>
    <mergeCell ref="P131:V131"/>
    <mergeCell ref="P187:V187"/>
    <mergeCell ref="A453:O454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241:T241"/>
    <mergeCell ref="P41:T41"/>
    <mergeCell ref="A455:Z455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C496:H496"/>
    <mergeCell ref="P112:T112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AB17:AB18"/>
    <mergeCell ref="A90:Z90"/>
    <mergeCell ref="D446:E446"/>
    <mergeCell ref="A277:Z277"/>
    <mergeCell ref="P44:V44"/>
    <mergeCell ref="H5:M5"/>
    <mergeCell ref="P31:V31"/>
    <mergeCell ref="P473:V473"/>
    <mergeCell ref="P158:V158"/>
    <mergeCell ref="A154:Z154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P460:T460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D441:E441"/>
    <mergeCell ref="P398:T398"/>
    <mergeCell ref="P227:T227"/>
    <mergeCell ref="D368:E368"/>
    <mergeCell ref="P106:T106"/>
    <mergeCell ref="D481:E481"/>
    <mergeCell ref="P226:T226"/>
    <mergeCell ref="P335:T335"/>
    <mergeCell ref="D256:E256"/>
    <mergeCell ref="D207:E207"/>
    <mergeCell ref="P164:T164"/>
    <mergeCell ref="P120:V120"/>
    <mergeCell ref="P93:T93"/>
    <mergeCell ref="D85:E85"/>
    <mergeCell ref="D299:E299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Z17:Z18"/>
    <mergeCell ref="P483:V483"/>
    <mergeCell ref="D298:E298"/>
    <mergeCell ref="P91:T91"/>
    <mergeCell ref="P404:V404"/>
    <mergeCell ref="D273:E273"/>
    <mergeCell ref="P468:V468"/>
    <mergeCell ref="A464:Z464"/>
    <mergeCell ref="A160:Z160"/>
    <mergeCell ref="P212:T212"/>
    <mergeCell ref="P405:V405"/>
    <mergeCell ref="A401:Z401"/>
    <mergeCell ref="A152:O153"/>
    <mergeCell ref="P171:V171"/>
    <mergeCell ref="P242:V242"/>
    <mergeCell ref="P121:V121"/>
    <mergeCell ref="D459:E459"/>
    <mergeCell ref="P148:V148"/>
    <mergeCell ref="P130:T130"/>
    <mergeCell ref="P190:T190"/>
    <mergeCell ref="P482:V482"/>
    <mergeCell ref="D225:E225"/>
    <mergeCell ref="P409:T409"/>
    <mergeCell ref="A399:O400"/>
    <mergeCell ref="D461:E461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57:V57"/>
    <mergeCell ref="A81:O82"/>
    <mergeCell ref="D80:E80"/>
    <mergeCell ref="P46:T46"/>
    <mergeCell ref="P61:T61"/>
    <mergeCell ref="D200:E200"/>
    <mergeCell ref="P359:T359"/>
    <mergeCell ref="D436:E436"/>
    <mergeCell ref="A305:O306"/>
    <mergeCell ref="P346:T346"/>
    <mergeCell ref="D292:E292"/>
    <mergeCell ref="D227:E227"/>
    <mergeCell ref="P321:T321"/>
    <mergeCell ref="C497:C498"/>
    <mergeCell ref="D176:E176"/>
    <mergeCell ref="D114:E114"/>
    <mergeCell ref="E497:E498"/>
    <mergeCell ref="P220:V220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P330:T330"/>
    <mergeCell ref="D140:E140"/>
    <mergeCell ref="J9:M9"/>
    <mergeCell ref="A418:Z418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D347:E347"/>
    <mergeCell ref="P304:T304"/>
    <mergeCell ref="A38:Z38"/>
    <mergeCell ref="A340:Z340"/>
    <mergeCell ref="D425:E425"/>
    <mergeCell ref="D359:E359"/>
    <mergeCell ref="H17:H18"/>
    <mergeCell ref="A220:O221"/>
    <mergeCell ref="P161:T161"/>
    <mergeCell ref="P388:T388"/>
    <mergeCell ref="V6:W9"/>
    <mergeCell ref="G17:G18"/>
    <mergeCell ref="P125:T125"/>
    <mergeCell ref="A470:Z470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285:O286"/>
    <mergeCell ref="P211:T211"/>
    <mergeCell ref="P309:T309"/>
    <mergeCell ref="P324:T324"/>
    <mergeCell ref="A261:Z261"/>
    <mergeCell ref="P338:V338"/>
    <mergeCell ref="P313:V313"/>
    <mergeCell ref="A138:Z138"/>
    <mergeCell ref="D87:E87"/>
    <mergeCell ref="A367:Z367"/>
    <mergeCell ref="P115:T115"/>
    <mergeCell ref="D254:E254"/>
    <mergeCell ref="A183:Z183"/>
    <mergeCell ref="A88:O89"/>
    <mergeCell ref="D346:E346"/>
    <mergeCell ref="T5:U5"/>
    <mergeCell ref="D119:E119"/>
    <mergeCell ref="D190:E190"/>
    <mergeCell ref="P374:T374"/>
    <mergeCell ref="D246:E246"/>
    <mergeCell ref="D46:E46"/>
    <mergeCell ref="V5:W5"/>
    <mergeCell ref="D40:E40"/>
    <mergeCell ref="A295:O296"/>
    <mergeCell ref="D233:E233"/>
    <mergeCell ref="Q8:R8"/>
    <mergeCell ref="P311:T311"/>
    <mergeCell ref="P140:T140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A139:Z139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Y497:Y498"/>
    <mergeCell ref="P447:V447"/>
    <mergeCell ref="P387:T387"/>
    <mergeCell ref="A406:Z406"/>
    <mergeCell ref="D422:E422"/>
    <mergeCell ref="P360:V360"/>
    <mergeCell ref="D74:E74"/>
    <mergeCell ref="D130:E130"/>
    <mergeCell ref="P87:T87"/>
    <mergeCell ref="P451:T451"/>
    <mergeCell ref="D335:E335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P51:T51"/>
    <mergeCell ref="P26:T26"/>
    <mergeCell ref="P58:V58"/>
    <mergeCell ref="A13:M13"/>
    <mergeCell ref="D61:E61"/>
    <mergeCell ref="A15:M15"/>
    <mergeCell ref="P229:T229"/>
    <mergeCell ref="A133:Z133"/>
    <mergeCell ref="D125:E125"/>
    <mergeCell ref="P201:T201"/>
    <mergeCell ref="A35:O36"/>
    <mergeCell ref="D22:E22"/>
    <mergeCell ref="P34:T34"/>
    <mergeCell ref="P63:V63"/>
    <mergeCell ref="M17:M18"/>
    <mergeCell ref="D460:E460"/>
    <mergeCell ref="P210:T210"/>
    <mergeCell ref="P439:V439"/>
    <mergeCell ref="D398:E398"/>
    <mergeCell ref="A438:O439"/>
    <mergeCell ref="P433:V433"/>
    <mergeCell ref="P308:T308"/>
    <mergeCell ref="A267:O268"/>
    <mergeCell ref="A69:O70"/>
    <mergeCell ref="P185:T185"/>
    <mergeCell ref="D106:E106"/>
    <mergeCell ref="P427:T427"/>
    <mergeCell ref="P283:T283"/>
    <mergeCell ref="D264:E264"/>
    <mergeCell ref="D93:E93"/>
    <mergeCell ref="D391:E391"/>
    <mergeCell ref="P370:V370"/>
    <mergeCell ref="A394:O395"/>
    <mergeCell ref="D328:E328"/>
    <mergeCell ref="D157:E157"/>
    <mergeCell ref="P136:V136"/>
    <mergeCell ref="A253:Z253"/>
    <mergeCell ref="A419:Z419"/>
    <mergeCell ref="P446:T446"/>
    <mergeCell ref="D52:E52"/>
    <mergeCell ref="P110:V110"/>
    <mergeCell ref="D27:E27"/>
    <mergeCell ref="A338:O339"/>
    <mergeCell ref="P208:T208"/>
    <mergeCell ref="P15:T16"/>
    <mergeCell ref="P450:T450"/>
    <mergeCell ref="A325:O326"/>
    <mergeCell ref="P219:T219"/>
    <mergeCell ref="D91:E91"/>
    <mergeCell ref="D162:E162"/>
    <mergeCell ref="P272:T272"/>
    <mergeCell ref="O17:O18"/>
    <mergeCell ref="P102:T102"/>
    <mergeCell ref="P62:T62"/>
    <mergeCell ref="P436:T436"/>
    <mergeCell ref="P292:T292"/>
    <mergeCell ref="A360:O361"/>
    <mergeCell ref="D102:E102"/>
    <mergeCell ref="P23:V23"/>
    <mergeCell ref="A5:C5"/>
    <mergeCell ref="P412:V412"/>
    <mergeCell ref="P64:V64"/>
    <mergeCell ref="A485:Z485"/>
    <mergeCell ref="D337:E337"/>
    <mergeCell ref="D166:E166"/>
    <mergeCell ref="P195:T195"/>
    <mergeCell ref="P364:V364"/>
    <mergeCell ref="P300:T300"/>
    <mergeCell ref="A189:Z189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D26:E26"/>
    <mergeCell ref="P403:T403"/>
    <mergeCell ref="P378:T378"/>
    <mergeCell ref="D324:E324"/>
    <mergeCell ref="A259:O260"/>
    <mergeCell ref="D311:E311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246:T246"/>
    <mergeCell ref="A43:O44"/>
    <mergeCell ref="D390:E390"/>
    <mergeCell ref="A123:Z123"/>
    <mergeCell ref="P491:V491"/>
    <mergeCell ref="P127:V127"/>
    <mergeCell ref="F9:G9"/>
    <mergeCell ref="P53:T53"/>
    <mergeCell ref="D167:E167"/>
    <mergeCell ref="P422:T422"/>
    <mergeCell ref="P289:T289"/>
    <mergeCell ref="D403:E403"/>
    <mergeCell ref="D232:E232"/>
    <mergeCell ref="Z497:Z498"/>
    <mergeCell ref="P497:P498"/>
    <mergeCell ref="A402:Z402"/>
    <mergeCell ref="D229:E229"/>
    <mergeCell ref="R497:R498"/>
    <mergeCell ref="D108:E108"/>
    <mergeCell ref="P429:T429"/>
    <mergeCell ref="P258:T258"/>
    <mergeCell ref="D369:E369"/>
    <mergeCell ref="P423:T423"/>
    <mergeCell ref="P481:T481"/>
    <mergeCell ref="D141:E141"/>
    <mergeCell ref="D135:E135"/>
    <mergeCell ref="P203:V203"/>
    <mergeCell ref="P295:V295"/>
    <mergeCell ref="P178:V178"/>
    <mergeCell ref="A177:O178"/>
    <mergeCell ref="P463:V463"/>
    <mergeCell ref="P267:V267"/>
    <mergeCell ref="D161:E161"/>
    <mergeCell ref="P238:V238"/>
    <mergeCell ref="P264:T264"/>
    <mergeCell ref="A312:O313"/>
    <mergeCell ref="P353:T353"/>
    <mergeCell ref="D169:E169"/>
    <mergeCell ref="D1:F1"/>
    <mergeCell ref="P466:T466"/>
    <mergeCell ref="A71:Z71"/>
    <mergeCell ref="P488:V488"/>
    <mergeCell ref="A307:Z307"/>
    <mergeCell ref="J17:J18"/>
    <mergeCell ref="L17:L18"/>
    <mergeCell ref="A184:Z184"/>
    <mergeCell ref="A244:Z244"/>
    <mergeCell ref="P426:T426"/>
    <mergeCell ref="P255:T255"/>
    <mergeCell ref="A342:Z342"/>
    <mergeCell ref="P48:V48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A482:O483"/>
    <mergeCell ref="A416:O417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P337:T337"/>
    <mergeCell ref="D209:E209"/>
    <mergeCell ref="A282:Z282"/>
    <mergeCell ref="P188:V188"/>
    <mergeCell ref="A187:O188"/>
    <mergeCell ref="D445:E445"/>
    <mergeCell ref="D245:E245"/>
    <mergeCell ref="D301:E301"/>
    <mergeCell ref="P166:T166"/>
    <mergeCell ref="D147:E147"/>
    <mergeCell ref="D224:E224"/>
    <mergeCell ref="P230:T230"/>
    <mergeCell ref="D211:E211"/>
    <mergeCell ref="P168:T168"/>
    <mergeCell ref="P490:V490"/>
    <mergeCell ref="D329:E329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354:E354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P182:V182"/>
    <mergeCell ref="H497:H498"/>
    <mergeCell ref="A473:O474"/>
    <mergeCell ref="D289:E289"/>
    <mergeCell ref="J497:J498"/>
    <mergeCell ref="P159:V159"/>
    <mergeCell ref="P395:V395"/>
    <mergeCell ref="P209:T209"/>
    <mergeCell ref="P147:T147"/>
    <mergeCell ref="P445:T445"/>
    <mergeCell ref="A434:Z434"/>
    <mergeCell ref="P332:V332"/>
    <mergeCell ref="A384:Z384"/>
    <mergeCell ref="A331:O332"/>
    <mergeCell ref="A449:Z449"/>
    <mergeCell ref="P325:V325"/>
    <mergeCell ref="A150:Z150"/>
    <mergeCell ref="D378:E378"/>
    <mergeCell ref="P458:T458"/>
    <mergeCell ref="P487:V487"/>
    <mergeCell ref="P476:T476"/>
    <mergeCell ref="P407:T407"/>
    <mergeCell ref="P471:T471"/>
    <mergeCell ref="X497:X498"/>
    <mergeCell ref="A475:Z475"/>
    <mergeCell ref="V10:W10"/>
    <mergeCell ref="D431:E431"/>
    <mergeCell ref="P99:T99"/>
    <mergeCell ref="P170:T170"/>
    <mergeCell ref="P316:T316"/>
    <mergeCell ref="P145:T145"/>
    <mergeCell ref="D66:E66"/>
    <mergeCell ref="P443:T443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D316:E316"/>
    <mergeCell ref="P273:T273"/>
    <mergeCell ref="B17:B18"/>
    <mergeCell ref="P143:V143"/>
    <mergeCell ref="A171:O172"/>
    <mergeCell ref="D258:E258"/>
    <mergeCell ref="P235:V235"/>
    <mergeCell ref="P477:V477"/>
    <mergeCell ref="D124:E124"/>
    <mergeCell ref="P56:T56"/>
    <mergeCell ref="D195:E195"/>
    <mergeCell ref="P379:T379"/>
    <mergeCell ref="P462:V462"/>
    <mergeCell ref="A105:Z105"/>
    <mergeCell ref="P52:T52"/>
    <mergeCell ref="I17:I18"/>
    <mergeCell ref="D72:E72"/>
    <mergeCell ref="P68:T68"/>
    <mergeCell ref="P204:V204"/>
    <mergeCell ref="P82:V82"/>
    <mergeCell ref="P303:T303"/>
    <mergeCell ref="A357:Z357"/>
    <mergeCell ref="D330:E330"/>
    <mergeCell ref="P181:V181"/>
    <mergeCell ref="A98:Z98"/>
    <mergeCell ref="A396:Z396"/>
    <mergeCell ref="D486:E486"/>
    <mergeCell ref="P86:T86"/>
    <mergeCell ref="P328:T328"/>
    <mergeCell ref="P213:T213"/>
    <mergeCell ref="P157:T157"/>
    <mergeCell ref="D134:E134"/>
    <mergeCell ref="P249:T249"/>
    <mergeCell ref="D363:E363"/>
    <mergeCell ref="R1:T1"/>
    <mergeCell ref="A158:O159"/>
    <mergeCell ref="P28:T28"/>
    <mergeCell ref="P392:T392"/>
    <mergeCell ref="P386:T386"/>
    <mergeCell ref="P165:T165"/>
    <mergeCell ref="P400:V400"/>
    <mergeCell ref="D73:E73"/>
    <mergeCell ref="P77:V77"/>
    <mergeCell ref="P30:T30"/>
    <mergeCell ref="A76:O77"/>
    <mergeCell ref="P375:V375"/>
    <mergeCell ref="P290:T290"/>
    <mergeCell ref="P452:T452"/>
    <mergeCell ref="P448:V448"/>
    <mergeCell ref="A234:O235"/>
    <mergeCell ref="D472:E472"/>
    <mergeCell ref="A352:Z352"/>
    <mergeCell ref="D410:E410"/>
    <mergeCell ref="A276:Z276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P391:T391"/>
    <mergeCell ref="D263:E263"/>
    <mergeCell ref="A65:Z65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D426:E426"/>
    <mergeCell ref="A63:O64"/>
    <mergeCell ref="P306:V306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5 X387 X397:X398 X407 X421 X423:X424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NvGA1ffhtuTHDBr1gTaPeBNals08gBHrJnT+1rugpBzaNS7JgQ5aJK5LofGyOWT3UTo00B4doQxzch74YseIEw==" saltValue="IqqHN+MglwBB/YjfUeR2v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2025-11-24T07:25:51Z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