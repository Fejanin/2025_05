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E688D053-07C9-43C3-B5A4-73E49F84C7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42" i="1"/>
  <c r="Y49" i="1"/>
  <c r="Y56" i="1"/>
  <c r="Y274" i="1" s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3" i="1" l="1"/>
  <c r="X273" i="1"/>
  <c r="A283" i="1"/>
  <c r="Y270" i="1"/>
  <c r="C283" i="1" s="1"/>
  <c r="B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<sst xmlns="http://schemas.openxmlformats.org/spreadsheetml/2006/main" count="1222" uniqueCount="394">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</sst>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84</v>
      </c>
      <c r="Y39" s="269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42</v>
      </c>
      <c r="Y40" s="269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126</v>
      </c>
      <c r="Y41" s="270">
        <f>IFERROR(SUM(Y39:Y40),"0")</f>
        <v>126</v>
      </c>
      <c r="Z41" s="270">
        <f>IFERROR(IF(Z39="",0,Z39),"0")+IFERROR(IF(Z40="",0,Z40),"0")</f>
        <v>1.1856599999999999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189</v>
      </c>
      <c r="Y42" s="270">
        <f>IFERROR(SUMPRODUCT(Y39:Y40*H39:H40),"0")</f>
        <v>189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96</v>
      </c>
      <c r="Y47" s="269">
        <f>IFERROR(IF(X47="","",X47),"")</f>
        <v>96</v>
      </c>
      <c r="Z47" s="36">
        <f>IFERROR(IF(X47="","",X47*0.0155),"")</f>
        <v>1.488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563.52</v>
      </c>
      <c r="BN47" s="67">
        <f>IFERROR(Y47*I47,"0")</f>
        <v>563.52</v>
      </c>
      <c r="BO47" s="67">
        <f>IFERROR(X47/J47,"0")</f>
        <v>1.1428571428571428</v>
      </c>
      <c r="BP47" s="67">
        <f>IFERROR(Y47/J47,"0")</f>
        <v>1.1428571428571428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204</v>
      </c>
      <c r="Y48" s="270">
        <f>IFERROR(SUM(Y45:Y47),"0")</f>
        <v>204</v>
      </c>
      <c r="Z48" s="270">
        <f>IFERROR(IF(Z45="",0,Z45),"0")+IFERROR(IF(Z46="",0,Z46),"0")+IFERROR(IF(Z47="",0,Z47),"0")</f>
        <v>3.1619999999999999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1142.3999999999999</v>
      </c>
      <c r="Y49" s="270">
        <f>IFERROR(SUMPRODUCT(Y45:Y47*H45:H47),"0")</f>
        <v>1142.3999999999999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168</v>
      </c>
      <c r="Y57" s="270">
        <f>IFERROR(SUMPRODUCT(Y52:Y55*H52:H55),"0")</f>
        <v>168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72</v>
      </c>
      <c r="Y82" s="270">
        <f>IFERROR(SUM(Y80:Y81),"0")</f>
        <v>72</v>
      </c>
      <c r="Z82" s="270">
        <f>IFERROR(IF(Z80="",0,Z80),"0")+IFERROR(IF(Z81="",0,Z81),"0")</f>
        <v>0.62351999999999996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360</v>
      </c>
      <c r="Y83" s="270">
        <f>IFERROR(SUMPRODUCT(Y80:Y81*H80:H81),"0")</f>
        <v>360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84</v>
      </c>
      <c r="Y92" s="269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182</v>
      </c>
      <c r="Y93" s="270">
        <f>IFERROR(SUM(Y91:Y92),"0")</f>
        <v>182</v>
      </c>
      <c r="Z93" s="270">
        <f>IFERROR(IF(Z91="",0,Z91),"0")+IFERROR(IF(Z92="",0,Z92),"0")</f>
        <v>3.2541599999999997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655.20000000000005</v>
      </c>
      <c r="Y94" s="270">
        <f>IFERROR(SUMPRODUCT(Y91:Y92*H91:H92),"0")</f>
        <v>655.20000000000005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336</v>
      </c>
      <c r="Y103" s="270">
        <f>IFERROR(SUM(Y97:Y102),"0")</f>
        <v>336</v>
      </c>
      <c r="Z103" s="270">
        <f>IFERROR(IF(Z97="",0,Z97),"0")+IFERROR(IF(Z98="",0,Z98),"0")+IFERROR(IF(Z99="",0,Z99),"0")+IFERROR(IF(Z100="",0,Z100),"0")+IFERROR(IF(Z101="",0,Z101),"0")+IFERROR(IF(Z102="",0,Z102),"0")</f>
        <v>6.0076799999999997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1031.52</v>
      </c>
      <c r="Y104" s="270">
        <f>IFERROR(SUMPRODUCT(Y97:Y102*H97:H102),"0")</f>
        <v>1031.52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60</v>
      </c>
      <c r="Y116" s="269">
        <f t="shared" si="12"/>
        <v>60</v>
      </c>
      <c r="Z116" s="36">
        <f t="shared" si="13"/>
        <v>0.92999999999999994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216</v>
      </c>
      <c r="Y121" s="270">
        <f>IFERROR(SUM(Y113:Y120),"0")</f>
        <v>216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3.3479999999999999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1483.2</v>
      </c>
      <c r="Y122" s="270">
        <f>IFERROR(SUMPRODUCT(Y113:Y120*H113:H120),"0")</f>
        <v>1483.2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280</v>
      </c>
      <c r="Y133" s="269">
        <f>IFERROR(IF(X133="","",X133),"")</f>
        <v>280</v>
      </c>
      <c r="Z133" s="36">
        <f>IFERROR(IF(X133="","",X133*0.01788),"")</f>
        <v>5.0064000000000002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1037.008</v>
      </c>
      <c r="BN133" s="67">
        <f>IFERROR(Y133*I133,"0")</f>
        <v>1037.008</v>
      </c>
      <c r="BO133" s="67">
        <f>IFERROR(X133/J133,"0")</f>
        <v>4</v>
      </c>
      <c r="BP133" s="67">
        <f>IFERROR(Y133/J133,"0")</f>
        <v>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210</v>
      </c>
      <c r="Y134" s="269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490</v>
      </c>
      <c r="Y135" s="270">
        <f>IFERROR(SUM(Y133:Y134),"0")</f>
        <v>490</v>
      </c>
      <c r="Z135" s="270">
        <f>IFERROR(IF(Z133="",0,Z133),"0")+IFERROR(IF(Z134="",0,Z134),"0")</f>
        <v>8.7612000000000005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1470</v>
      </c>
      <c r="Y136" s="270">
        <f>IFERROR(SUMPRODUCT(Y133:Y134*H133:H134),"0")</f>
        <v>1470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56</v>
      </c>
      <c r="Y140" s="269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56</v>
      </c>
      <c r="Y146" s="269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84</v>
      </c>
      <c r="Y147" s="270">
        <f>IFERROR(SUM(Y145:Y146),"0")</f>
        <v>84</v>
      </c>
      <c r="Z147" s="270">
        <f>IFERROR(IF(Z145="",0,Z145),"0")+IFERROR(IF(Z146="",0,Z146),"0")</f>
        <v>1.5019199999999999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201.60000000000002</v>
      </c>
      <c r="Y148" s="270">
        <f>IFERROR(SUMPRODUCT(Y145:Y146*H145:H146),"0")</f>
        <v>201.60000000000002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228</v>
      </c>
      <c r="Y247" s="269">
        <f>IFERROR(IF(X247="","",X247),"")</f>
        <v>228</v>
      </c>
      <c r="Z247" s="36">
        <f>IFERROR(IF(X247="","",X247*0.0155),"")</f>
        <v>3.5339999999999998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1427.28</v>
      </c>
      <c r="BN247" s="67">
        <f>IFERROR(Y247*I247,"0")</f>
        <v>1427.28</v>
      </c>
      <c r="BO247" s="67">
        <f>IFERROR(X247/J247,"0")</f>
        <v>2.7142857142857144</v>
      </c>
      <c r="BP247" s="67">
        <f>IFERROR(Y247/J247,"0")</f>
        <v>2.7142857142857144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228</v>
      </c>
      <c r="Y249" s="270">
        <f>IFERROR(SUM(Y247:Y248),"0")</f>
        <v>228</v>
      </c>
      <c r="Z249" s="270">
        <f>IFERROR(IF(Z247="",0,Z247),"0")+IFERROR(IF(Z248="",0,Z248),"0")</f>
        <v>3.5339999999999998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1368</v>
      </c>
      <c r="Y250" s="270">
        <f>IFERROR(SUMPRODUCT(Y247:Y248*H247:H248),"0")</f>
        <v>1368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378</v>
      </c>
      <c r="Y259" s="269">
        <f t="shared" si="18"/>
        <v>378</v>
      </c>
      <c r="Z259" s="36">
        <f>IFERROR(IF(X259="","",X259*0.00936),"")</f>
        <v>3.5380799999999999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1471.1759999999999</v>
      </c>
      <c r="BN259" s="67">
        <f t="shared" si="20"/>
        <v>1471.1759999999999</v>
      </c>
      <c r="BO259" s="67">
        <f t="shared" si="21"/>
        <v>3</v>
      </c>
      <c r="BP259" s="67">
        <f t="shared" si="22"/>
        <v>3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72</v>
      </c>
      <c r="Y260" s="269">
        <f t="shared" si="18"/>
        <v>72</v>
      </c>
      <c r="Z260" s="36">
        <f>IFERROR(IF(X260="","",X260*0.0155),"")</f>
        <v>1.1160000000000001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412.92</v>
      </c>
      <c r="BN260" s="67">
        <f t="shared" si="20"/>
        <v>412.92</v>
      </c>
      <c r="BO260" s="67">
        <f t="shared" si="21"/>
        <v>0.8571428571428571</v>
      </c>
      <c r="BP260" s="67">
        <f t="shared" si="22"/>
        <v>0.8571428571428571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56</v>
      </c>
      <c r="Y261" s="269">
        <f t="shared" si="18"/>
        <v>56</v>
      </c>
      <c r="Z261" s="36">
        <f t="shared" ref="Z261:Z266" si="23">IFERROR(IF(X261="","",X261*0.00936),"")</f>
        <v>0.52415999999999996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178.75200000000001</v>
      </c>
      <c r="BN261" s="67">
        <f t="shared" si="20"/>
        <v>178.75200000000001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378</v>
      </c>
      <c r="Y262" s="269">
        <f t="shared" si="18"/>
        <v>378</v>
      </c>
      <c r="Z262" s="36">
        <f t="shared" si="23"/>
        <v>3.5380799999999999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1471.1759999999999</v>
      </c>
      <c r="BN262" s="67">
        <f t="shared" si="20"/>
        <v>1471.1759999999999</v>
      </c>
      <c r="BO262" s="67">
        <f t="shared" si="21"/>
        <v>3</v>
      </c>
      <c r="BP262" s="67">
        <f t="shared" si="22"/>
        <v>3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884</v>
      </c>
      <c r="Y268" s="270">
        <f>IFERROR(SUM(Y258:Y267),"0")</f>
        <v>884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8.7163199999999996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3361.2000000000003</v>
      </c>
      <c r="Y269" s="270">
        <f>IFERROR(SUMPRODUCT(Y258:Y267*H258:H267),"0")</f>
        <v>3361.2000000000003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12120.600000000002</v>
      </c>
      <c r="Y270" s="270">
        <f>IFERROR(Y29+Y35+Y42+Y49+Y57+Y62+Y66+Y71+Y77+Y83+Y88+Y94+Y104+Y110+Y122+Y126+Y130+Y136+Y142+Y148+Y153+Y158+Y163+Y168+Y175+Y183+Y187+Y193+Y201+Y206+Y211+Y216+Y222+Y228+Y234+Y238+Y245+Y250+Y256+Y269,"0")</f>
        <v>12120.600000000002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13399.430799999998</v>
      </c>
      <c r="Y271" s="270">
        <f>IFERROR(SUM(BN22:BN267),"0")</f>
        <v>13399.430799999998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36</v>
      </c>
      <c r="Y272" s="38">
        <f>ROUNDUP(SUM(BP22:BP267),0)</f>
        <v>36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14299.430799999998</v>
      </c>
      <c r="Y273" s="270">
        <f>GrossWeightTotalR+PalletQtyTotalR*25</f>
        <v>14299.430799999998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3098</v>
      </c>
      <c r="Y274" s="270">
        <f>IFERROR(Y28+Y34+Y41+Y48+Y56+Y61+Y65+Y70+Y76+Y82+Y87+Y93+Y103+Y109+Y121+Y125+Y129+Y135+Y141+Y147+Y152+Y157+Y162+Y167+Y174+Y182+Y186+Y192+Y200+Y205+Y210+Y215+Y221+Y227+Y233+Y237+Y244+Y249+Y255+Y268,"0")</f>
        <v>3098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44.497900000000001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189</v>
      </c>
      <c r="E280" s="46">
        <f>IFERROR(X45*H45,"0")+IFERROR(X46*H46,"0")+IFERROR(X47*H47,"0")</f>
        <v>1142.3999999999999</v>
      </c>
      <c r="F280" s="46">
        <f>IFERROR(X52*H52,"0")+IFERROR(X53*H53,"0")+IFERROR(X54*H54,"0")+IFERROR(X55*H55,"0")</f>
        <v>168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360</v>
      </c>
      <c r="I280" s="46">
        <f>IFERROR(X86*H86,"0")</f>
        <v>50.4</v>
      </c>
      <c r="J280" s="46">
        <f>IFERROR(X91*H91,"0")+IFERROR(X92*H92,"0")</f>
        <v>655.20000000000005</v>
      </c>
      <c r="K280" s="46">
        <f>IFERROR(X97*H97,"0")+IFERROR(X98*H98,"0")+IFERROR(X99*H99,"0")+IFERROR(X100*H100,"0")+IFERROR(X101*H101,"0")+IFERROR(X102*H102,"0")</f>
        <v>1031.52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1483.2</v>
      </c>
      <c r="N280" s="266"/>
      <c r="O280" s="46">
        <f>IFERROR(X133*H133,"0")+IFERROR(X134*H134,"0")</f>
        <v>1470</v>
      </c>
      <c r="P280" s="46">
        <f>IFERROR(X139*H139,"0")+IFERROR(X140*H140,"0")</f>
        <v>168</v>
      </c>
      <c r="Q280" s="46">
        <f>IFERROR(X145*H145,"0")+IFERROR(X146*H146,"0")</f>
        <v>201.60000000000002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4729.2000000000007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3153.6</v>
      </c>
      <c r="B283" s="60">
        <f>SUMPRODUCT(--(BB:BB="ПГП"),--(W:W="кор"),H:H,Y:Y)+SUMPRODUCT(--(BB:BB="ПГП"),--(W:W="кг"),Y:Y)</f>
        <v>8967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