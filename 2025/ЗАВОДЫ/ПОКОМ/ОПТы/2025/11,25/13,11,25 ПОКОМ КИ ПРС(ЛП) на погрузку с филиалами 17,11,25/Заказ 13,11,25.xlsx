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ПРС(ЛП) на погрузку с филиалами 17,11,25\"/>
    </mc:Choice>
  </mc:AlternateContent>
  <xr:revisionPtr revIDLastSave="0" documentId="13_ncr:1_{FD51E0CE-0F0E-4062-B57D-070DD691DB0C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<sst xmlns="http://schemas.openxmlformats.org/spreadsheetml/2006/main" count="37" uniqueCount="37">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</sst>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0,25/30,10,25%20&#1055;&#1054;&#1050;&#1054;&#1052;%20&#1050;&#1048;%20&#1055;&#1056;&#1057;(&#1051;&#1055;)%20&#1085;&#1072;%20&#1087;&#1086;&#1075;&#1088;&#1091;&#1079;&#1082;&#1091;%20&#1089;%20&#1092;&#1080;&#1083;&#1080;&#1072;&#1083;&#1072;&#1084;&#1080;%20&#1085;&#1072;%2003,11,25/&#1047;&#1072;&#1082;&#1072;&#1079;%2030,10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300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350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380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400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300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300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350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380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300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350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300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300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300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250</v>
          </cell>
          <cell r="E35">
            <v>0.6</v>
          </cell>
        </row>
        <row r="36">
          <cell r="D36">
            <v>10360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H2" sqref="H2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  <c r="F2" s="10">
        <f>SUM(F4:F102)</f>
        <v>3909.9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350</v>
      </c>
      <c r="E8" s="5">
        <f>VLOOKUP(C8,[1]TDSheet!$C:$E,3,0)</f>
        <v>0.3</v>
      </c>
      <c r="F8" s="5">
        <f t="shared" si="0"/>
        <v>105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380</v>
      </c>
      <c r="E12" s="5">
        <f>VLOOKUP(C12,[1]TDSheet!$C:$E,3,0)</f>
        <v>0.33</v>
      </c>
      <c r="F12" s="5">
        <f t="shared" si="0"/>
        <v>125.4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400</v>
      </c>
      <c r="E13" s="5">
        <f>VLOOKUP(C13,[1]TDSheet!$C:$E,3,0)</f>
        <v>0.4</v>
      </c>
      <c r="F13" s="5">
        <f t="shared" si="0"/>
        <v>160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>
        <f>VLOOKUP(C16,[1]TDSheet!$C:$E,3,0)</f>
        <v>0.4</v>
      </c>
      <c r="F16" s="5">
        <f t="shared" si="0"/>
        <v>120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380</v>
      </c>
      <c r="E24" s="5">
        <f>VLOOKUP(C24,[1]TDSheet!$C:$E,3,0)</f>
        <v>0.1</v>
      </c>
      <c r="F24" s="5">
        <f t="shared" si="0"/>
        <v>38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350</v>
      </c>
      <c r="E31" s="5">
        <f>VLOOKUP(C31,[1]TDSheet!$C:$E,3,0)</f>
        <v>0.35</v>
      </c>
      <c r="F31" s="5">
        <f t="shared" si="0"/>
        <v>122.49999999999999</v>
      </c>
    </row>
    <row r="32" spans="3:12" ht="11.45" customHeight="1" x14ac:dyDescent="0.2">
      <c r="C32" s="4" t="s">
        <v>28</v>
      </c>
      <c r="D32" s="5">
        <v>300</v>
      </c>
      <c r="E32" s="5">
        <f>VLOOKUP(C32,[1]TDSheet!$C:$E,3,0)</f>
        <v>0.35</v>
      </c>
      <c r="F32" s="5">
        <f t="shared" si="0"/>
        <v>105</v>
      </c>
    </row>
    <row r="33" spans="3:6" ht="11.45" customHeight="1" x14ac:dyDescent="0.2">
      <c r="C33" s="4" t="s">
        <v>29</v>
      </c>
      <c r="D33" s="5">
        <v>300</v>
      </c>
      <c r="E33" s="5">
        <f>VLOOKUP(C33,[1]TDSheet!$C:$E,3,0)</f>
        <v>0.6</v>
      </c>
      <c r="F33" s="5">
        <f t="shared" si="0"/>
        <v>180</v>
      </c>
    </row>
    <row r="34" spans="3:6" ht="11.45" customHeight="1" x14ac:dyDescent="0.2">
      <c r="C34" s="4" t="s">
        <v>30</v>
      </c>
      <c r="D34" s="5">
        <v>300</v>
      </c>
      <c r="E34" s="5">
        <f>VLOOKUP(C34,[1]TDSheet!$C:$E,3,0)</f>
        <v>0.33</v>
      </c>
      <c r="F34" s="5">
        <f t="shared" si="0"/>
        <v>99</v>
      </c>
    </row>
    <row r="35" spans="3:6" ht="11.45" customHeight="1" x14ac:dyDescent="0.2">
      <c r="C35" s="6" t="s">
        <v>31</v>
      </c>
      <c r="D35" s="5">
        <v>250</v>
      </c>
      <c r="E35" s="5">
        <f>VLOOKUP(C35,[1]TDSheet!$C:$E,3,0)</f>
        <v>0.6</v>
      </c>
      <c r="F35" s="5">
        <f t="shared" si="0"/>
        <v>150</v>
      </c>
    </row>
    <row r="36" spans="3:6" ht="11.45" customHeight="1" x14ac:dyDescent="0.2">
      <c r="C36" s="4"/>
      <c r="D36" s="8">
        <f>SUM(D4:D35)</f>
        <v>10360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2025-11-13T12:37:43Z</dcterms:modified>
</cp:coreProperties>
</file>