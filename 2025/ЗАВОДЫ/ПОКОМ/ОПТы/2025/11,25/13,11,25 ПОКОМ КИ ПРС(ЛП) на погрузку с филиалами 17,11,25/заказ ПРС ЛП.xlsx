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AFE6BCD-704A-4653-A9C2-6A0D2DA8009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Y470" i="1" s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P354" i="1"/>
  <c r="BO354" i="1"/>
  <c r="BN354" i="1"/>
  <c r="BM354" i="1"/>
  <c r="Z354" i="1"/>
  <c r="Y354" i="1"/>
  <c r="Y356" i="1" s="1"/>
  <c r="P354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Y313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50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3" i="1" s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500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0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4" i="1" s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4" i="1"/>
  <c r="Y150" i="1"/>
  <c r="Y172" i="1"/>
  <c r="Y178" i="1"/>
  <c r="Y189" i="1"/>
  <c r="Y193" i="1"/>
  <c r="Y205" i="1"/>
  <c r="Y217" i="1"/>
  <c r="Y221" i="1"/>
  <c r="Y236" i="1"/>
  <c r="Y240" i="1"/>
  <c r="Y244" i="1"/>
  <c r="Y252" i="1"/>
  <c r="Y261" i="1"/>
  <c r="M500" i="1"/>
  <c r="Y269" i="1"/>
  <c r="BP264" i="1"/>
  <c r="Y268" i="1"/>
  <c r="BP273" i="1"/>
  <c r="BN273" i="1"/>
  <c r="Z273" i="1"/>
  <c r="Z275" i="1" s="1"/>
  <c r="BP292" i="1"/>
  <c r="BN292" i="1"/>
  <c r="Z292" i="1"/>
  <c r="Y296" i="1"/>
  <c r="BP300" i="1"/>
  <c r="BN300" i="1"/>
  <c r="Z300" i="1"/>
  <c r="Z306" i="1" s="1"/>
  <c r="BP304" i="1"/>
  <c r="BN304" i="1"/>
  <c r="Z304" i="1"/>
  <c r="BP312" i="1"/>
  <c r="BN312" i="1"/>
  <c r="Z312" i="1"/>
  <c r="Y314" i="1"/>
  <c r="Y319" i="1"/>
  <c r="BP316" i="1"/>
  <c r="BN316" i="1"/>
  <c r="Z316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BP346" i="1"/>
  <c r="BN346" i="1"/>
  <c r="Z346" i="1"/>
  <c r="BP349" i="1"/>
  <c r="BN349" i="1"/>
  <c r="Z349" i="1"/>
  <c r="BP370" i="1"/>
  <c r="BN370" i="1"/>
  <c r="Z370" i="1"/>
  <c r="Z371" i="1" s="1"/>
  <c r="Y372" i="1"/>
  <c r="Y377" i="1"/>
  <c r="BP374" i="1"/>
  <c r="BN374" i="1"/>
  <c r="Z374" i="1"/>
  <c r="Z376" i="1" s="1"/>
  <c r="BP388" i="1"/>
  <c r="BN388" i="1"/>
  <c r="Z388" i="1"/>
  <c r="BP392" i="1"/>
  <c r="BN392" i="1"/>
  <c r="Z392" i="1"/>
  <c r="BP409" i="1"/>
  <c r="BN409" i="1"/>
  <c r="Z409" i="1"/>
  <c r="Z412" i="1" s="1"/>
  <c r="BP424" i="1"/>
  <c r="BN424" i="1"/>
  <c r="Z424" i="1"/>
  <c r="BP460" i="1"/>
  <c r="BN460" i="1"/>
  <c r="Z460" i="1"/>
  <c r="Z463" i="1" s="1"/>
  <c r="Y464" i="1"/>
  <c r="H9" i="1"/>
  <c r="B500" i="1"/>
  <c r="X491" i="1"/>
  <c r="X493" i="1" s="1"/>
  <c r="X492" i="1"/>
  <c r="X494" i="1"/>
  <c r="Y24" i="1"/>
  <c r="Z27" i="1"/>
  <c r="Z31" i="1" s="1"/>
  <c r="BN27" i="1"/>
  <c r="Y491" i="1" s="1"/>
  <c r="Z29" i="1"/>
  <c r="BN29" i="1"/>
  <c r="C500" i="1"/>
  <c r="Z41" i="1"/>
  <c r="Z43" i="1" s="1"/>
  <c r="BN41" i="1"/>
  <c r="Y44" i="1"/>
  <c r="D500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500" i="1"/>
  <c r="Z100" i="1"/>
  <c r="Z103" i="1" s="1"/>
  <c r="BN100" i="1"/>
  <c r="Z102" i="1"/>
  <c r="BN102" i="1"/>
  <c r="Y103" i="1"/>
  <c r="Z106" i="1"/>
  <c r="Z109" i="1" s="1"/>
  <c r="BN106" i="1"/>
  <c r="BP106" i="1"/>
  <c r="Z108" i="1"/>
  <c r="BN108" i="1"/>
  <c r="Z112" i="1"/>
  <c r="BN112" i="1"/>
  <c r="BP112" i="1"/>
  <c r="Z114" i="1"/>
  <c r="BN114" i="1"/>
  <c r="G500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500" i="1"/>
  <c r="Y160" i="1"/>
  <c r="Z162" i="1"/>
  <c r="Z172" i="1" s="1"/>
  <c r="BN162" i="1"/>
  <c r="BP162" i="1"/>
  <c r="Z164" i="1"/>
  <c r="BN164" i="1"/>
  <c r="Z166" i="1"/>
  <c r="BN166" i="1"/>
  <c r="Z168" i="1"/>
  <c r="BN168" i="1"/>
  <c r="Z170" i="1"/>
  <c r="BN170" i="1"/>
  <c r="Z176" i="1"/>
  <c r="Z178" i="1" s="1"/>
  <c r="BN176" i="1"/>
  <c r="J500" i="1"/>
  <c r="Z187" i="1"/>
  <c r="Z188" i="1" s="1"/>
  <c r="BN187" i="1"/>
  <c r="Y188" i="1"/>
  <c r="Z191" i="1"/>
  <c r="Z193" i="1" s="1"/>
  <c r="BN191" i="1"/>
  <c r="BP191" i="1"/>
  <c r="Z197" i="1"/>
  <c r="Z204" i="1" s="1"/>
  <c r="BN197" i="1"/>
  <c r="Z199" i="1"/>
  <c r="BN199" i="1"/>
  <c r="Z201" i="1"/>
  <c r="BN201" i="1"/>
  <c r="Z203" i="1"/>
  <c r="BN203" i="1"/>
  <c r="Z207" i="1"/>
  <c r="Z216" i="1" s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K500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Z251" i="1" s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6" i="1"/>
  <c r="BN266" i="1"/>
  <c r="Z266" i="1"/>
  <c r="Y275" i="1"/>
  <c r="BP280" i="1"/>
  <c r="BN280" i="1"/>
  <c r="Z280" i="1"/>
  <c r="Z281" i="1" s="1"/>
  <c r="Y282" i="1"/>
  <c r="BP285" i="1"/>
  <c r="BN285" i="1"/>
  <c r="Z285" i="1"/>
  <c r="Z286" i="1" s="1"/>
  <c r="Y287" i="1"/>
  <c r="Q500" i="1"/>
  <c r="Y297" i="1"/>
  <c r="BP290" i="1"/>
  <c r="BN290" i="1"/>
  <c r="Z290" i="1"/>
  <c r="BP294" i="1"/>
  <c r="BN294" i="1"/>
  <c r="Z294" i="1"/>
  <c r="Y307" i="1"/>
  <c r="BP302" i="1"/>
  <c r="BN302" i="1"/>
  <c r="Z302" i="1"/>
  <c r="Y306" i="1"/>
  <c r="BP310" i="1"/>
  <c r="BN310" i="1"/>
  <c r="Z310" i="1"/>
  <c r="Z313" i="1" s="1"/>
  <c r="BP318" i="1"/>
  <c r="BN318" i="1"/>
  <c r="Z318" i="1"/>
  <c r="Y320" i="1"/>
  <c r="Y326" i="1"/>
  <c r="BP322" i="1"/>
  <c r="BN322" i="1"/>
  <c r="Z322" i="1"/>
  <c r="Z326" i="1" s="1"/>
  <c r="BP325" i="1"/>
  <c r="BN325" i="1"/>
  <c r="Z325" i="1"/>
  <c r="Y327" i="1"/>
  <c r="Y332" i="1"/>
  <c r="BP329" i="1"/>
  <c r="BN329" i="1"/>
  <c r="Z329" i="1"/>
  <c r="Z332" i="1" s="1"/>
  <c r="BP338" i="1"/>
  <c r="BN338" i="1"/>
  <c r="Z338" i="1"/>
  <c r="Y340" i="1"/>
  <c r="S500" i="1"/>
  <c r="Y352" i="1"/>
  <c r="BP344" i="1"/>
  <c r="BN344" i="1"/>
  <c r="Z344" i="1"/>
  <c r="BP347" i="1"/>
  <c r="BN347" i="1"/>
  <c r="Z347" i="1"/>
  <c r="Y351" i="1"/>
  <c r="BP355" i="1"/>
  <c r="BN355" i="1"/>
  <c r="Z355" i="1"/>
  <c r="Z356" i="1" s="1"/>
  <c r="Y357" i="1"/>
  <c r="Y362" i="1"/>
  <c r="BP359" i="1"/>
  <c r="BN359" i="1"/>
  <c r="Z359" i="1"/>
  <c r="Z361" i="1" s="1"/>
  <c r="Y376" i="1"/>
  <c r="BP380" i="1"/>
  <c r="BN380" i="1"/>
  <c r="Z380" i="1"/>
  <c r="Z381" i="1" s="1"/>
  <c r="Y382" i="1"/>
  <c r="U500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Y413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BP468" i="1"/>
  <c r="BN468" i="1"/>
  <c r="Z468" i="1"/>
  <c r="Y475" i="1"/>
  <c r="BP472" i="1"/>
  <c r="BN472" i="1"/>
  <c r="Z472" i="1"/>
  <c r="Z474" i="1" s="1"/>
  <c r="O500" i="1"/>
  <c r="Y276" i="1"/>
  <c r="P500" i="1"/>
  <c r="Y281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Y489" i="1"/>
  <c r="Y500" i="1"/>
  <c r="Z487" i="1"/>
  <c r="Z488" i="1" s="1"/>
  <c r="BN487" i="1"/>
  <c r="BP487" i="1"/>
  <c r="Y488" i="1"/>
  <c r="Y493" i="1" l="1"/>
  <c r="Z339" i="1"/>
  <c r="Z319" i="1"/>
  <c r="Z448" i="1"/>
  <c r="Z433" i="1"/>
  <c r="Z395" i="1"/>
  <c r="Z351" i="1"/>
  <c r="Z296" i="1"/>
  <c r="Z268" i="1"/>
  <c r="Z260" i="1"/>
  <c r="Z149" i="1"/>
  <c r="Z143" i="1"/>
  <c r="Z116" i="1"/>
  <c r="Z95" i="1"/>
  <c r="Z88" i="1"/>
  <c r="Z69" i="1"/>
  <c r="Z495" i="1" s="1"/>
  <c r="Y490" i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<sst xmlns="http://schemas.openxmlformats.org/spreadsheetml/2006/main" count="2349" uniqueCount="770">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</sst>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90</v>
      </c>
      <c r="Y29" s="544">
        <f>IFERROR(IF(X29="",0,CEILING((X29/$H29),1)*$H29),"")</f>
        <v>90</v>
      </c>
      <c r="Z29" s="36">
        <f>IFERROR(IF(Y29=0,"",ROUNDUP(Y29/H29,0)*0.00651),"")</f>
        <v>0.32550000000000001</v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159</v>
      </c>
      <c r="BN29" s="64">
        <f>IFERROR(Y29*I29/H29,"0")</f>
        <v>159</v>
      </c>
      <c r="BO29" s="64">
        <f>IFERROR(1/J29*(X29/H29),"0")</f>
        <v>0.27472527472527475</v>
      </c>
      <c r="BP29" s="64">
        <f>IFERROR(1/J29*(Y29/H29),"0")</f>
        <v>0.27472527472527475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50</v>
      </c>
      <c r="Y31" s="545">
        <f>IFERROR(Y26/H26,"0")+IFERROR(Y27/H27,"0")+IFERROR(Y28/H28,"0")+IFERROR(Y29/H29,"0")+IFERROR(Y30/H30,"0")</f>
        <v>50</v>
      </c>
      <c r="Z31" s="545">
        <f>IFERROR(IF(Z26="",0,Z26),"0")+IFERROR(IF(Z27="",0,Z27),"0")+IFERROR(IF(Z28="",0,Z28),"0")+IFERROR(IF(Z29="",0,Z29),"0")+IFERROR(IF(Z30="",0,Z30),"0")</f>
        <v>0.32550000000000001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90</v>
      </c>
      <c r="Y32" s="545">
        <f>IFERROR(SUM(Y26:Y30),"0")</f>
        <v>90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140</v>
      </c>
      <c r="Y41" s="544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146.65</v>
      </c>
      <c r="BN41" s="64">
        <f>IFERROR(Y41*I41/H41,"0")</f>
        <v>146.65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35</v>
      </c>
      <c r="Y43" s="545">
        <f>IFERROR(Y40/H40,"0")+IFERROR(Y41/H41,"0")+IFERROR(Y42/H42,"0")</f>
        <v>35</v>
      </c>
      <c r="Z43" s="545">
        <f>IFERROR(IF(Z40="",0,Z40),"0")+IFERROR(IF(Z41="",0,Z41),"0")+IFERROR(IF(Z42="",0,Z42),"0")</f>
        <v>0.31569999999999998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140</v>
      </c>
      <c r="Y44" s="545">
        <f>IFERROR(SUM(Y40:Y42),"0")</f>
        <v>140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105</v>
      </c>
      <c r="Y46" s="544">
        <f>IFERROR(IF(X46="",0,CEILING((X46/$H46),1)*$H46),"")</f>
        <v>106.2</v>
      </c>
      <c r="Z46" s="36">
        <f>IFERROR(IF(Y46=0,"",ROUNDUP(Y46/H46,0)*0.00651),"")</f>
        <v>0.38408999999999999</v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115.5</v>
      </c>
      <c r="BN46" s="64">
        <f>IFERROR(Y46*I46/H46,"0")</f>
        <v>116.82000000000001</v>
      </c>
      <c r="BO46" s="64">
        <f>IFERROR(1/J46*(X46/H46),"0")</f>
        <v>0.32051282051282048</v>
      </c>
      <c r="BP46" s="64">
        <f>IFERROR(1/J46*(Y46/H46),"0")</f>
        <v>0.32417582417582419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58.333333333333329</v>
      </c>
      <c r="Y47" s="545">
        <f>IFERROR(Y46/H46,"0")</f>
        <v>59</v>
      </c>
      <c r="Z47" s="545">
        <f>IFERROR(IF(Z46="",0,Z46),"0")</f>
        <v>0.38408999999999999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105</v>
      </c>
      <c r="Y48" s="545">
        <f>IFERROR(SUM(Y46:Y46),"0")</f>
        <v>106.2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157.5</v>
      </c>
      <c r="Y62" s="544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58.333333333333329</v>
      </c>
      <c r="Y63" s="545">
        <f>IFERROR(Y60/H60,"0")+IFERROR(Y61/H61,"0")+IFERROR(Y62/H62,"0")</f>
        <v>59</v>
      </c>
      <c r="Z63" s="545">
        <f>IFERROR(IF(Z60="",0,Z60),"0")+IFERROR(IF(Z61="",0,Z61),"0")+IFERROR(IF(Z62="",0,Z62),"0")</f>
        <v>0.38408999999999999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157.5</v>
      </c>
      <c r="Y64" s="545">
        <f>IFERROR(SUM(Y60:Y62),"0")</f>
        <v>159.30000000000001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105</v>
      </c>
      <c r="Y73" s="544">
        <f>IFERROR(IF(X73="",0,CEILING((X73/$H73),1)*$H73),"")</f>
        <v>106.2</v>
      </c>
      <c r="Z73" s="36">
        <f>IFERROR(IF(Y73=0,"",ROUNDUP(Y73/H73,0)*0.00651),"")</f>
        <v>0.38408999999999999</v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119.35</v>
      </c>
      <c r="BN73" s="64">
        <f>IFERROR(Y73*I73/H73,"0")</f>
        <v>120.71399999999998</v>
      </c>
      <c r="BO73" s="64">
        <f>IFERROR(1/J73*(X73/H73),"0")</f>
        <v>0.32051282051282048</v>
      </c>
      <c r="BP73" s="64">
        <f>IFERROR(1/J73*(Y73/H73),"0")</f>
        <v>0.32417582417582419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90</v>
      </c>
      <c r="Y75" s="544">
        <f>IFERROR(IF(X75="",0,CEILING((X75/$H75),1)*$H75),"")</f>
        <v>90</v>
      </c>
      <c r="Z75" s="36">
        <f>IFERROR(IF(Y75=0,"",ROUNDUP(Y75/H75,0)*0.00651),"")</f>
        <v>0.32550000000000001</v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98.999999999999986</v>
      </c>
      <c r="BN75" s="64">
        <f>IFERROR(Y75*I75/H75,"0")</f>
        <v>98.999999999999986</v>
      </c>
      <c r="BO75" s="64">
        <f>IFERROR(1/J75*(X75/H75),"0")</f>
        <v>0.27472527472527475</v>
      </c>
      <c r="BP75" s="64">
        <f>IFERROR(1/J75*(Y75/H75),"0")</f>
        <v>0.27472527472527475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108.33333333333333</v>
      </c>
      <c r="Y76" s="545">
        <f>IFERROR(Y72/H72,"0")+IFERROR(Y73/H73,"0")+IFERROR(Y74/H74,"0")+IFERROR(Y75/H75,"0")</f>
        <v>109</v>
      </c>
      <c r="Z76" s="545">
        <f>IFERROR(IF(Z72="",0,Z72),"0")+IFERROR(IF(Z73="",0,Z73),"0")+IFERROR(IF(Z74="",0,Z74),"0")+IFERROR(IF(Z75="",0,Z75),"0")</f>
        <v>0.70958999999999994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195</v>
      </c>
      <c r="Y77" s="545">
        <f>IFERROR(SUM(Y72:Y75),"0")</f>
        <v>196.2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120</v>
      </c>
      <c r="Y80" s="544">
        <f>IFERROR(IF(X80="",0,CEILING((X80/$H80),1)*$H80),"")</f>
        <v>120</v>
      </c>
      <c r="Z80" s="36">
        <f>IFERROR(IF(Y80=0,"",ROUNDUP(Y80/H80,0)*0.00902),"")</f>
        <v>0.45100000000000001</v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129.5</v>
      </c>
      <c r="BN80" s="64">
        <f>IFERROR(Y80*I80/H80,"0")</f>
        <v>129.5</v>
      </c>
      <c r="BO80" s="64">
        <f>IFERROR(1/J80*(X80/H80),"0")</f>
        <v>0.37878787878787878</v>
      </c>
      <c r="BP80" s="64">
        <f>IFERROR(1/J80*(Y80/H80),"0")</f>
        <v>0.37878787878787878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50</v>
      </c>
      <c r="Y81" s="545">
        <f>IFERROR(Y79/H79,"0")+IFERROR(Y80/H80,"0")</f>
        <v>50</v>
      </c>
      <c r="Z81" s="545">
        <f>IFERROR(IF(Z79="",0,Z79),"0")+IFERROR(IF(Z80="",0,Z80),"0")</f>
        <v>0.45100000000000001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120</v>
      </c>
      <c r="Y82" s="545">
        <f>IFERROR(SUM(Y79:Y80),"0")</f>
        <v>120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105</v>
      </c>
      <c r="Y115" s="544">
        <f>IFERROR(IF(X115="",0,CEILING((X115/$H115),1)*$H115),"")</f>
        <v>106.2</v>
      </c>
      <c r="Z115" s="36">
        <f>IFERROR(IF(Y115=0,"",ROUNDUP(Y115/H115,0)*0.00651),"")</f>
        <v>0.38408999999999999</v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115.5</v>
      </c>
      <c r="BN115" s="64">
        <f>IFERROR(Y115*I115/H115,"0")</f>
        <v>116.82000000000001</v>
      </c>
      <c r="BO115" s="64">
        <f>IFERROR(1/J115*(X115/H115),"0")</f>
        <v>0.32051282051282048</v>
      </c>
      <c r="BP115" s="64">
        <f>IFERROR(1/J115*(Y115/H115),"0")</f>
        <v>0.32417582417582419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58.333333333333329</v>
      </c>
      <c r="Y116" s="545">
        <f>IFERROR(Y112/H112,"0")+IFERROR(Y113/H113,"0")+IFERROR(Y114/H114,"0")+IFERROR(Y115/H115,"0")</f>
        <v>59</v>
      </c>
      <c r="Z116" s="545">
        <f>IFERROR(IF(Z112="",0,Z112),"0")+IFERROR(IF(Z113="",0,Z113),"0")+IFERROR(IF(Z114="",0,Z114),"0")+IFERROR(IF(Z115="",0,Z115),"0")</f>
        <v>0.38408999999999999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105</v>
      </c>
      <c r="Y117" s="545">
        <f>IFERROR(SUM(Y112:Y115),"0")</f>
        <v>106.2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125.4</v>
      </c>
      <c r="Y119" s="544">
        <f>IFERROR(IF(X119="",0,CEILING((X119/$H119),1)*$H119),"")</f>
        <v>126.72</v>
      </c>
      <c r="Z119" s="36">
        <f>IFERROR(IF(Y119=0,"",ROUNDUP(Y119/H119,0)*0.00651),"")</f>
        <v>0.41664000000000001</v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141.74</v>
      </c>
      <c r="BN119" s="64">
        <f>IFERROR(Y119*I119/H119,"0")</f>
        <v>143.232</v>
      </c>
      <c r="BO119" s="64">
        <f>IFERROR(1/J119*(X119/H119),"0")</f>
        <v>0.34798534798534803</v>
      </c>
      <c r="BP119" s="64">
        <f>IFERROR(1/J119*(Y119/H119),"0")</f>
        <v>0.35164835164835168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63.333333333333336</v>
      </c>
      <c r="Y120" s="545">
        <f>IFERROR(Y119/H119,"0")</f>
        <v>64</v>
      </c>
      <c r="Z120" s="545">
        <f>IFERROR(IF(Z119="",0,Z119),"0")</f>
        <v>0.41664000000000001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125.4</v>
      </c>
      <c r="Y121" s="545">
        <f>IFERROR(SUM(Y119:Y119),"0")</f>
        <v>126.72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160</v>
      </c>
      <c r="Y212" s="544">
        <f t="shared" si="15"/>
        <v>160.79999999999998</v>
      </c>
      <c r="Z212" s="36">
        <f t="shared" si="20"/>
        <v>0.43617</v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176.80000000000004</v>
      </c>
      <c r="BN212" s="64">
        <f t="shared" si="17"/>
        <v>177.684</v>
      </c>
      <c r="BO212" s="64">
        <f t="shared" si="18"/>
        <v>0.36630036630036633</v>
      </c>
      <c r="BP212" s="64">
        <f t="shared" si="19"/>
        <v>0.36813186813186816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140</v>
      </c>
      <c r="Y213" s="544">
        <f t="shared" si="15"/>
        <v>141.6</v>
      </c>
      <c r="Z213" s="36">
        <f t="shared" si="20"/>
        <v>0.38408999999999999</v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154.70000000000002</v>
      </c>
      <c r="BN213" s="64">
        <f t="shared" si="17"/>
        <v>156.46800000000002</v>
      </c>
      <c r="BO213" s="64">
        <f t="shared" si="18"/>
        <v>0.32051282051282054</v>
      </c>
      <c r="BP213" s="64">
        <f t="shared" si="19"/>
        <v>0.32417582417582419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125</v>
      </c>
      <c r="Y216" s="545">
        <f>IFERROR(Y207/H207,"0")+IFERROR(Y208/H208,"0")+IFERROR(Y209/H209,"0")+IFERROR(Y210/H210,"0")+IFERROR(Y211/H211,"0")+IFERROR(Y212/H212,"0")+IFERROR(Y213/H213,"0")+IFERROR(Y214/H214,"0")+IFERROR(Y215/H215,"0")</f>
        <v>126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0.82025999999999999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300</v>
      </c>
      <c r="Y217" s="545">
        <f>IFERROR(SUM(Y207:Y215),"0")</f>
        <v>302.39999999999998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120</v>
      </c>
      <c r="Y228" s="544">
        <f t="shared" si="21"/>
        <v>120</v>
      </c>
      <c r="Z228" s="36">
        <f>IFERROR(IF(Y228=0,"",ROUNDUP(Y228/H228,0)*0.00902),"")</f>
        <v>0.27060000000000001</v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125.70000000000002</v>
      </c>
      <c r="BN228" s="64">
        <f t="shared" si="23"/>
        <v>125.70000000000002</v>
      </c>
      <c r="BO228" s="64">
        <f t="shared" si="24"/>
        <v>0.22727272727272729</v>
      </c>
      <c r="BP228" s="64">
        <f t="shared" si="25"/>
        <v>0.22727272727272729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120</v>
      </c>
      <c r="Y233" s="544">
        <f t="shared" si="21"/>
        <v>120</v>
      </c>
      <c r="Z233" s="36">
        <f>IFERROR(IF(Y233=0,"",ROUNDUP(Y233/H233,0)*0.00902),"")</f>
        <v>0.27060000000000001</v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125.70000000000002</v>
      </c>
      <c r="BN233" s="64">
        <f t="shared" si="23"/>
        <v>125.70000000000002</v>
      </c>
      <c r="BO233" s="64">
        <f t="shared" si="24"/>
        <v>0.22727272727272729</v>
      </c>
      <c r="BP233" s="64">
        <f t="shared" si="25"/>
        <v>0.22727272727272729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60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60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0.54120000000000001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240</v>
      </c>
      <c r="Y236" s="545">
        <f>IFERROR(SUM(Y225:Y234),"0")</f>
        <v>240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120</v>
      </c>
      <c r="Y259" s="544">
        <f>IFERROR(IF(X259="",0,CEILING((X259/$H259),1)*$H259),"")</f>
        <v>120</v>
      </c>
      <c r="Z259" s="36">
        <f>IFERROR(IF(Y259=0,"",ROUNDUP(Y259/H259,0)*0.00902),"")</f>
        <v>0.27060000000000001</v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125.70000000000002</v>
      </c>
      <c r="BN259" s="64">
        <f>IFERROR(Y259*I259/H259,"0")</f>
        <v>125.70000000000002</v>
      </c>
      <c r="BO259" s="64">
        <f>IFERROR(1/J259*(X259/H259),"0")</f>
        <v>0.22727272727272729</v>
      </c>
      <c r="BP259" s="64">
        <f>IFERROR(1/J259*(Y259/H259),"0")</f>
        <v>0.22727272727272729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30</v>
      </c>
      <c r="Y260" s="545">
        <f>IFERROR(Y255/H255,"0")+IFERROR(Y256/H256,"0")+IFERROR(Y257/H257,"0")+IFERROR(Y258/H258,"0")+IFERROR(Y259/H259,"0")</f>
        <v>30</v>
      </c>
      <c r="Z260" s="545">
        <f>IFERROR(IF(Z255="",0,Z255),"0")+IFERROR(IF(Z256="",0,Z256),"0")+IFERROR(IF(Z257="",0,Z257),"0")+IFERROR(IF(Z258="",0,Z258),"0")+IFERROR(IF(Z259="",0,Z259),"0")</f>
        <v>0.27060000000000001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120</v>
      </c>
      <c r="Y261" s="545">
        <f>IFERROR(SUM(Y255:Y259),"0")</f>
        <v>120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120</v>
      </c>
      <c r="Y273" s="544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132.60000000000002</v>
      </c>
      <c r="BN273" s="64">
        <f>IFERROR(Y273*I273/H273,"0")</f>
        <v>132.60000000000002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140</v>
      </c>
      <c r="Y274" s="544">
        <f>IFERROR(IF(X274="",0,CEILING((X274/$H274),1)*$H274),"")</f>
        <v>141.6</v>
      </c>
      <c r="Z274" s="36">
        <f>IFERROR(IF(Y274=0,"",ROUNDUP(Y274/H274,0)*0.00651),"")</f>
        <v>0.38408999999999999</v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150.5</v>
      </c>
      <c r="BN274" s="64">
        <f>IFERROR(Y274*I274/H274,"0")</f>
        <v>152.22</v>
      </c>
      <c r="BO274" s="64">
        <f>IFERROR(1/J274*(X274/H274),"0")</f>
        <v>0.32051282051282054</v>
      </c>
      <c r="BP274" s="64">
        <f>IFERROR(1/J274*(Y274/H274),"0")</f>
        <v>0.32417582417582419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108.33333333333334</v>
      </c>
      <c r="Y275" s="545">
        <f>IFERROR(Y272/H272,"0")+IFERROR(Y273/H273,"0")+IFERROR(Y274/H274,"0")</f>
        <v>109</v>
      </c>
      <c r="Z275" s="545">
        <f>IFERROR(IF(Z272="",0,Z272),"0")+IFERROR(IF(Z273="",0,Z273),"0")+IFERROR(IF(Z274="",0,Z274),"0")</f>
        <v>0.70958999999999994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260</v>
      </c>
      <c r="Y276" s="545">
        <f>IFERROR(SUM(Y272:Y274),"0")</f>
        <v>261.60000000000002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210</v>
      </c>
      <c r="Y285" s="544">
        <f>IFERROR(IF(X285="",0,CEILING((X285/$H285),1)*$H285),"")</f>
        <v>212.4</v>
      </c>
      <c r="Z285" s="36">
        <f>IFERROR(IF(Y285=0,"",ROUNDUP(Y285/H285,0)*0.00902),"")</f>
        <v>0.53217999999999999</v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221.08333333333331</v>
      </c>
      <c r="BN285" s="64">
        <f>IFERROR(Y285*I285/H285,"0")</f>
        <v>223.60999999999999</v>
      </c>
      <c r="BO285" s="64">
        <f>IFERROR(1/J285*(X285/H285),"0")</f>
        <v>0.44191919191919188</v>
      </c>
      <c r="BP285" s="64">
        <f>IFERROR(1/J285*(Y285/H285),"0")</f>
        <v>0.44696969696969696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58.333333333333329</v>
      </c>
      <c r="Y286" s="545">
        <f>IFERROR(Y284/H284,"0")+IFERROR(Y285/H285,"0")</f>
        <v>59</v>
      </c>
      <c r="Z286" s="545">
        <f>IFERROR(IF(Z284="",0,Z284),"0")+IFERROR(IF(Z285="",0,Z285),"0")</f>
        <v>0.53217999999999999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210</v>
      </c>
      <c r="Y287" s="545">
        <f>IFERROR(SUM(Y284:Y285),"0")</f>
        <v>212.4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120</v>
      </c>
      <c r="Y295" s="544">
        <f t="shared" si="26"/>
        <v>120</v>
      </c>
      <c r="Z295" s="36">
        <f>IFERROR(IF(Y295=0,"",ROUNDUP(Y295/H295,0)*0.00902),"")</f>
        <v>0.27060000000000001</v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125.70000000000002</v>
      </c>
      <c r="BN295" s="64">
        <f t="shared" si="28"/>
        <v>125.70000000000002</v>
      </c>
      <c r="BO295" s="64">
        <f t="shared" si="29"/>
        <v>0.22727272727272729</v>
      </c>
      <c r="BP295" s="64">
        <f t="shared" si="30"/>
        <v>0.22727272727272729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30</v>
      </c>
      <c r="Y296" s="545">
        <f>IFERROR(Y290/H290,"0")+IFERROR(Y291/H291,"0")+IFERROR(Y292/H292,"0")+IFERROR(Y293/H293,"0")+IFERROR(Y294/H294,"0")+IFERROR(Y295/H295,"0")</f>
        <v>30</v>
      </c>
      <c r="Z296" s="545">
        <f>IFERROR(IF(Z290="",0,Z290),"0")+IFERROR(IF(Z291="",0,Z291),"0")+IFERROR(IF(Z292="",0,Z292),"0")+IFERROR(IF(Z293="",0,Z293),"0")+IFERROR(IF(Z294="",0,Z294),"0")+IFERROR(IF(Z295="",0,Z295),"0")</f>
        <v>0.27060000000000001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120</v>
      </c>
      <c r="Y297" s="545">
        <f>IFERROR(SUM(Y290:Y295),"0")</f>
        <v>120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0</v>
      </c>
      <c r="Y299" s="544">
        <f t="shared" ref="Y299:Y305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0</v>
      </c>
      <c r="BN299" s="64">
        <f t="shared" ref="BN299:BN305" si="33">IFERROR(Y299*I299/H299,"0")</f>
        <v>0</v>
      </c>
      <c r="BO299" s="64">
        <f t="shared" ref="BO299:BO305" si="34">IFERROR(1/J299*(X299/H299),"0")</f>
        <v>0</v>
      </c>
      <c r="BP299" s="64">
        <f t="shared" ref="BP299:BP305" si="35">IFERROR(1/J299*(Y299/H299),"0")</f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105</v>
      </c>
      <c r="Y303" s="544">
        <f t="shared" si="31"/>
        <v>105</v>
      </c>
      <c r="Z303" s="36">
        <f>IFERROR(IF(Y303=0,"",ROUNDUP(Y303/H303,0)*0.00502),"")</f>
        <v>0.251</v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110.00000000000001</v>
      </c>
      <c r="BN303" s="64">
        <f t="shared" si="33"/>
        <v>110.00000000000001</v>
      </c>
      <c r="BO303" s="64">
        <f t="shared" si="34"/>
        <v>0.21367521367521369</v>
      </c>
      <c r="BP303" s="64">
        <f t="shared" si="35"/>
        <v>0.21367521367521369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90</v>
      </c>
      <c r="Y305" s="544">
        <f t="shared" si="31"/>
        <v>90</v>
      </c>
      <c r="Z305" s="36">
        <f>IFERROR(IF(Y305=0,"",ROUNDUP(Y305/H305,0)*0.00651),"")</f>
        <v>0.32550000000000001</v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101.4</v>
      </c>
      <c r="BN305" s="64">
        <f t="shared" si="33"/>
        <v>101.4</v>
      </c>
      <c r="BO305" s="64">
        <f t="shared" si="34"/>
        <v>0.27472527472527475</v>
      </c>
      <c r="BP305" s="64">
        <f t="shared" si="35"/>
        <v>0.27472527472527475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100</v>
      </c>
      <c r="Y306" s="545">
        <f>IFERROR(Y299/H299,"0")+IFERROR(Y300/H300,"0")+IFERROR(Y301/H301,"0")+IFERROR(Y302/H302,"0")+IFERROR(Y303/H303,"0")+IFERROR(Y304/H304,"0")+IFERROR(Y305/H305,"0")</f>
        <v>100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0.57650000000000001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195</v>
      </c>
      <c r="Y307" s="545">
        <f>IFERROR(SUM(Y299:Y305),"0")</f>
        <v>195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38</v>
      </c>
      <c r="Y331" s="544">
        <f>IFERROR(IF(X331="",0,CEILING((X331/$H331),1)*$H331),"")</f>
        <v>38</v>
      </c>
      <c r="Z331" s="36">
        <f>IFERROR(IF(Y331=0,"",ROUNDUP(Y331/H331,0)*0.00474),"")</f>
        <v>9.0060000000000001E-2</v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42.56</v>
      </c>
      <c r="BN331" s="64">
        <f>IFERROR(Y331*I331/H331,"0")</f>
        <v>42.56</v>
      </c>
      <c r="BO331" s="64">
        <f>IFERROR(1/J331*(X331/H331),"0")</f>
        <v>7.9831932773109238E-2</v>
      </c>
      <c r="BP331" s="64">
        <f>IFERROR(1/J331*(Y331/H331),"0")</f>
        <v>7.9831932773109238E-2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19</v>
      </c>
      <c r="Y332" s="545">
        <f>IFERROR(Y329/H329,"0")+IFERROR(Y330/H330,"0")+IFERROR(Y331/H331,"0")</f>
        <v>19</v>
      </c>
      <c r="Z332" s="545">
        <f>IFERROR(IF(Z329="",0,Z329),"0")+IFERROR(IF(Z330="",0,Z330),"0")+IFERROR(IF(Z331="",0,Z331),"0")</f>
        <v>9.0060000000000001E-2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38</v>
      </c>
      <c r="Y333" s="545">
        <f>IFERROR(SUM(Y329:Y331),"0")</f>
        <v>38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105</v>
      </c>
      <c r="Y337" s="544">
        <f>IFERROR(IF(X337="",0,CEILING((X337/$H337),1)*$H337),"")</f>
        <v>105</v>
      </c>
      <c r="Z337" s="36">
        <f>IFERROR(IF(Y337=0,"",ROUNDUP(Y337/H337,0)*0.00651),"")</f>
        <v>0.32550000000000001</v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117.59999999999998</v>
      </c>
      <c r="BN337" s="64">
        <f>IFERROR(Y337*I337/H337,"0")</f>
        <v>117.59999999999998</v>
      </c>
      <c r="BO337" s="64">
        <f>IFERROR(1/J337*(X337/H337),"0")</f>
        <v>0.27472527472527475</v>
      </c>
      <c r="BP337" s="64">
        <f>IFERROR(1/J337*(Y337/H337),"0")</f>
        <v>0.27472527472527475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122.5</v>
      </c>
      <c r="Y338" s="544">
        <f>IFERROR(IF(X338="",0,CEILING((X338/$H338),1)*$H338),"")</f>
        <v>123.9</v>
      </c>
      <c r="Z338" s="36">
        <f>IFERROR(IF(Y338=0,"",ROUNDUP(Y338/H338,0)*0.00651),"")</f>
        <v>0.38408999999999999</v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136.49999999999997</v>
      </c>
      <c r="BN338" s="64">
        <f>IFERROR(Y338*I338/H338,"0")</f>
        <v>138.06</v>
      </c>
      <c r="BO338" s="64">
        <f>IFERROR(1/J338*(X338/H338),"0")</f>
        <v>0.32051282051282048</v>
      </c>
      <c r="BP338" s="64">
        <f>IFERROR(1/J338*(Y338/H338),"0")</f>
        <v>0.32417582417582419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108.33333333333333</v>
      </c>
      <c r="Y339" s="545">
        <f>IFERROR(Y336/H336,"0")+IFERROR(Y337/H337,"0")+IFERROR(Y338/H338,"0")</f>
        <v>109</v>
      </c>
      <c r="Z339" s="545">
        <f>IFERROR(IF(Z336="",0,Z336),"0")+IFERROR(IF(Z337="",0,Z337),"0")+IFERROR(IF(Z338="",0,Z338),"0")</f>
        <v>0.70958999999999994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227.5</v>
      </c>
      <c r="Y340" s="545">
        <f>IFERROR(SUM(Y336:Y338),"0")</f>
        <v>228.9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175</v>
      </c>
      <c r="Y350" s="544">
        <f t="shared" si="36"/>
        <v>175</v>
      </c>
      <c r="Z350" s="36">
        <f>IFERROR(IF(Y350=0,"",ROUNDUP(Y350/H350,0)*0.00902),"")</f>
        <v>0.31569999999999998</v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181.65000000000003</v>
      </c>
      <c r="BN350" s="64">
        <f t="shared" si="38"/>
        <v>181.65000000000003</v>
      </c>
      <c r="BO350" s="64">
        <f t="shared" si="39"/>
        <v>0.26515151515151514</v>
      </c>
      <c r="BP350" s="64">
        <f t="shared" si="40"/>
        <v>0.26515151515151514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35</v>
      </c>
      <c r="Y351" s="545">
        <f>IFERROR(Y344/H344,"0")+IFERROR(Y345/H345,"0")+IFERROR(Y346/H346,"0")+IFERROR(Y347/H347,"0")+IFERROR(Y348/H348,"0")+IFERROR(Y349/H349,"0")+IFERROR(Y350/H350,"0")</f>
        <v>35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0.31569999999999998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175</v>
      </c>
      <c r="Y352" s="545">
        <f>IFERROR(SUM(Y344:Y350),"0")</f>
        <v>175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IFERROR(IF(Y354=0,"",ROUNDUP(Y354/H354,0)*0.02175),"")</f>
        <v/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120</v>
      </c>
      <c r="Y355" s="544">
        <f>IFERROR(IF(X355="",0,CEILING((X355/$H355),1)*$H355),"")</f>
        <v>120</v>
      </c>
      <c r="Z355" s="36">
        <f>IFERROR(IF(Y355=0,"",ROUNDUP(Y355/H355,0)*0.00902),"")</f>
        <v>0.27060000000000001</v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125.70000000000002</v>
      </c>
      <c r="BN355" s="64">
        <f>IFERROR(Y355*I355/H355,"0")</f>
        <v>125.70000000000002</v>
      </c>
      <c r="BO355" s="64">
        <f>IFERROR(1/J355*(X355/H355),"0")</f>
        <v>0.22727272727272729</v>
      </c>
      <c r="BP355" s="64">
        <f>IFERROR(1/J355*(Y355/H355),"0")</f>
        <v>0.22727272727272729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30</v>
      </c>
      <c r="Y356" s="545">
        <f>IFERROR(Y354/H354,"0")+IFERROR(Y355/H355,"0")</f>
        <v>30</v>
      </c>
      <c r="Z356" s="545">
        <f>IFERROR(IF(Z354="",0,Z354),"0")+IFERROR(IF(Z355="",0,Z355),"0")</f>
        <v>0.27060000000000001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120</v>
      </c>
      <c r="Y357" s="545">
        <f>IFERROR(SUM(Y354:Y355),"0")</f>
        <v>120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105</v>
      </c>
      <c r="Y390" s="544">
        <f t="shared" si="41"/>
        <v>105</v>
      </c>
      <c r="Z390" s="36">
        <f t="shared" si="46"/>
        <v>0.251</v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111.5</v>
      </c>
      <c r="BN390" s="64">
        <f t="shared" si="43"/>
        <v>111.5</v>
      </c>
      <c r="BO390" s="64">
        <f t="shared" si="44"/>
        <v>0.21367521367521369</v>
      </c>
      <c r="BP390" s="64">
        <f t="shared" si="45"/>
        <v>0.21367521367521369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105</v>
      </c>
      <c r="Y391" s="544">
        <f t="shared" si="41"/>
        <v>105</v>
      </c>
      <c r="Z391" s="36">
        <f t="shared" si="46"/>
        <v>0.251</v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111.5</v>
      </c>
      <c r="BN391" s="64">
        <f t="shared" si="43"/>
        <v>111.5</v>
      </c>
      <c r="BO391" s="64">
        <f t="shared" si="44"/>
        <v>0.21367521367521369</v>
      </c>
      <c r="BP391" s="64">
        <f t="shared" si="45"/>
        <v>0.21367521367521369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122.5</v>
      </c>
      <c r="Y393" s="544">
        <f t="shared" si="41"/>
        <v>123.9</v>
      </c>
      <c r="Z393" s="36">
        <f t="shared" si="46"/>
        <v>0.29618</v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130.08333333333334</v>
      </c>
      <c r="BN393" s="64">
        <f t="shared" si="43"/>
        <v>131.57</v>
      </c>
      <c r="BO393" s="64">
        <f t="shared" si="44"/>
        <v>0.2492877492877493</v>
      </c>
      <c r="BP393" s="64">
        <f t="shared" si="45"/>
        <v>0.25213675213675218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105</v>
      </c>
      <c r="Y394" s="544">
        <f t="shared" si="41"/>
        <v>105</v>
      </c>
      <c r="Z394" s="36">
        <f t="shared" si="46"/>
        <v>0.251</v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111.5</v>
      </c>
      <c r="BN394" s="64">
        <f t="shared" si="43"/>
        <v>111.5</v>
      </c>
      <c r="BO394" s="64">
        <f t="shared" si="44"/>
        <v>0.21367521367521369</v>
      </c>
      <c r="BP394" s="64">
        <f t="shared" si="45"/>
        <v>0.21367521367521369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208.33333333333331</v>
      </c>
      <c r="Y395" s="545">
        <f>IFERROR(Y386/H386,"0")+IFERROR(Y387/H387,"0")+IFERROR(Y388/H388,"0")+IFERROR(Y389/H389,"0")+IFERROR(Y390/H390,"0")+IFERROR(Y391/H391,"0")+IFERROR(Y392/H392,"0")+IFERROR(Y393/H393,"0")+IFERROR(Y394/H394,"0")</f>
        <v>209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1.04918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437.5</v>
      </c>
      <c r="Y396" s="545">
        <f>IFERROR(SUM(Y386:Y394),"0")</f>
        <v>438.9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180</v>
      </c>
      <c r="Y398" s="544">
        <f>IFERROR(IF(X398="",0,CEILING((X398/$H398),1)*$H398),"")</f>
        <v>180</v>
      </c>
      <c r="Z398" s="36">
        <f>IFERROR(IF(Y398=0,"",ROUNDUP(Y398/H398,0)*0.00902),"")</f>
        <v>0.67649999999999999</v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196.95000000000002</v>
      </c>
      <c r="BN398" s="64">
        <f>IFERROR(Y398*I398/H398,"0")</f>
        <v>196.95000000000002</v>
      </c>
      <c r="BO398" s="64">
        <f>IFERROR(1/J398*(X398/H398),"0")</f>
        <v>0.56818181818181823</v>
      </c>
      <c r="BP398" s="64">
        <f>IFERROR(1/J398*(Y398/H398),"0")</f>
        <v>0.56818181818181823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99</v>
      </c>
      <c r="Y399" s="544">
        <f>IFERROR(IF(X399="",0,CEILING((X399/$H399),1)*$H399),"")</f>
        <v>99</v>
      </c>
      <c r="Z399" s="36">
        <f>IFERROR(IF(Y399=0,"",ROUNDUP(Y399/H399,0)*0.00651),"")</f>
        <v>0.32550000000000001</v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111.9</v>
      </c>
      <c r="BN399" s="64">
        <f>IFERROR(Y399*I399/H399,"0")</f>
        <v>111.9</v>
      </c>
      <c r="BO399" s="64">
        <f>IFERROR(1/J399*(X399/H399),"0")</f>
        <v>0.27472527472527475</v>
      </c>
      <c r="BP399" s="64">
        <f>IFERROR(1/J399*(Y399/H399),"0")</f>
        <v>0.27472527472527475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125</v>
      </c>
      <c r="Y400" s="545">
        <f>IFERROR(Y398/H398,"0")+IFERROR(Y399/H399,"0")</f>
        <v>125</v>
      </c>
      <c r="Z400" s="545">
        <f>IFERROR(IF(Z398="",0,Z398),"0")+IFERROR(IF(Z399="",0,Z399),"0")</f>
        <v>1.002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279</v>
      </c>
      <c r="Y401" s="545">
        <f>IFERROR(SUM(Y398:Y399),"0")</f>
        <v>279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150</v>
      </c>
      <c r="Y432" s="544">
        <f t="shared" si="47"/>
        <v>153.6</v>
      </c>
      <c r="Z432" s="36">
        <f>IFERROR(IF(Y432=0,"",ROUNDUP(Y432/H432,0)*0.00902),"")</f>
        <v>0.28864000000000001</v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215.9375</v>
      </c>
      <c r="BN432" s="64">
        <f t="shared" si="50"/>
        <v>221.12</v>
      </c>
      <c r="BO432" s="64">
        <f t="shared" si="51"/>
        <v>0.23674242424242425</v>
      </c>
      <c r="BP432" s="64">
        <f t="shared" si="52"/>
        <v>0.24242424242424243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31.25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0.28864000000000001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150</v>
      </c>
      <c r="Y434" s="545">
        <f>IFERROR(SUM(Y422:Y432),"0")</f>
        <v>153.6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3909.9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3929.42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4337.5041666666666</v>
      </c>
      <c r="Y491" s="545">
        <f>IFERROR(SUM(BN22:BN487),"0")</f>
        <v>4360.0479999999998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10</v>
      </c>
      <c r="Y492" s="38">
        <f>ROUNDUP(SUM(BP22:BP487),0)</f>
        <v>10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4587.5041666666666</v>
      </c>
      <c r="Y493" s="545">
        <f>GrossWeightTotalR+PalletQtyTotalR*25</f>
        <v>4610.0479999999998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1550.2499999999998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1558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10.817400000000003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90</v>
      </c>
      <c r="C500" s="46">
        <f>IFERROR(Y40*1,"0")+IFERROR(Y41*1,"0")+IFERROR(Y42*1,"0")+IFERROR(Y46*1,"0")</f>
        <v>246.2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475.5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232.92000000000002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302.39999999999998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240</v>
      </c>
      <c r="L500" s="46">
        <f>IFERROR(Y255*1,"0")+IFERROR(Y256*1,"0")+IFERROR(Y257*1,"0")+IFERROR(Y258*1,"0")+IFERROR(Y259*1,"0")</f>
        <v>120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261.60000000000002</v>
      </c>
      <c r="P500" s="46">
        <f>IFERROR(Y279*1,"0")+IFERROR(Y280*1,"0")+IFERROR(Y284*1,"0")+IFERROR(Y285*1,"0")</f>
        <v>212.4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353</v>
      </c>
      <c r="R500" s="46">
        <f>IFERROR(Y336*1,"0")+IFERROR(Y337*1,"0")+IFERROR(Y338*1,"0")</f>
        <v>228.9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295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717.9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153.6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2025-11-14T06:27:52Z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