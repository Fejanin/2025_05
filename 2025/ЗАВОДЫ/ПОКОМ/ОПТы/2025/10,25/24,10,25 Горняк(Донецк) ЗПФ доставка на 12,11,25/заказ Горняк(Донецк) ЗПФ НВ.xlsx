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Don\"/>
    </mc:Choice>
  </mc:AlternateContent>
  <xr:revisionPtr revIDLastSave="0" documentId="13_ncr:1_{5BCA3985-78D7-45DD-8495-7DA39254B33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Y260" i="1"/>
  <c r="X260" i="1"/>
  <c r="Z259" i="1"/>
  <c r="X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X254" i="1"/>
  <c r="X253" i="1"/>
  <c r="BO252" i="1"/>
  <c r="BM252" i="1"/>
  <c r="Z252" i="1"/>
  <c r="Y252" i="1"/>
  <c r="P252" i="1"/>
  <c r="BP251" i="1"/>
  <c r="BO251" i="1"/>
  <c r="BN251" i="1"/>
  <c r="BM251" i="1"/>
  <c r="Z251" i="1"/>
  <c r="Z253" i="1" s="1"/>
  <c r="Y251" i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Z246" i="1"/>
  <c r="Y246" i="1"/>
  <c r="P246" i="1"/>
  <c r="BP245" i="1"/>
  <c r="BO245" i="1"/>
  <c r="BN245" i="1"/>
  <c r="BM245" i="1"/>
  <c r="Z245" i="1"/>
  <c r="Z248" i="1" s="1"/>
  <c r="Y245" i="1"/>
  <c r="P245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7" i="1"/>
  <c r="Y236" i="1"/>
  <c r="X236" i="1"/>
  <c r="BP235" i="1"/>
  <c r="BO235" i="1"/>
  <c r="BN235" i="1"/>
  <c r="BM235" i="1"/>
  <c r="Z235" i="1"/>
  <c r="Z236" i="1" s="1"/>
  <c r="Y235" i="1"/>
  <c r="Y237" i="1" s="1"/>
  <c r="P235" i="1"/>
  <c r="X231" i="1"/>
  <c r="Y230" i="1"/>
  <c r="X230" i="1"/>
  <c r="BP229" i="1"/>
  <c r="BO229" i="1"/>
  <c r="BN229" i="1"/>
  <c r="BM229" i="1"/>
  <c r="Z229" i="1"/>
  <c r="Z230" i="1" s="1"/>
  <c r="Y229" i="1"/>
  <c r="Y231" i="1" s="1"/>
  <c r="P229" i="1"/>
  <c r="X225" i="1"/>
  <c r="Y224" i="1"/>
  <c r="X224" i="1"/>
  <c r="BP223" i="1"/>
  <c r="BO223" i="1"/>
  <c r="BN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Y213" i="1"/>
  <c r="X213" i="1"/>
  <c r="Z212" i="1"/>
  <c r="X212" i="1"/>
  <c r="BO211" i="1"/>
  <c r="BM211" i="1"/>
  <c r="Z211" i="1"/>
  <c r="Y211" i="1"/>
  <c r="P211" i="1"/>
  <c r="BP210" i="1"/>
  <c r="BO210" i="1"/>
  <c r="BN210" i="1"/>
  <c r="BM210" i="1"/>
  <c r="Z210" i="1"/>
  <c r="Y210" i="1"/>
  <c r="P210" i="1"/>
  <c r="BO209" i="1"/>
  <c r="BM209" i="1"/>
  <c r="Z209" i="1"/>
  <c r="Y209" i="1"/>
  <c r="P209" i="1"/>
  <c r="X207" i="1"/>
  <c r="Z206" i="1"/>
  <c r="X206" i="1"/>
  <c r="BO205" i="1"/>
  <c r="BM205" i="1"/>
  <c r="Z205" i="1"/>
  <c r="Y205" i="1"/>
  <c r="P205" i="1"/>
  <c r="Y202" i="1"/>
  <c r="X202" i="1"/>
  <c r="Z201" i="1"/>
  <c r="X201" i="1"/>
  <c r="BO200" i="1"/>
  <c r="BM200" i="1"/>
  <c r="Z200" i="1"/>
  <c r="Y200" i="1"/>
  <c r="X197" i="1"/>
  <c r="X196" i="1"/>
  <c r="BP195" i="1"/>
  <c r="BO195" i="1"/>
  <c r="BN195" i="1"/>
  <c r="BM195" i="1"/>
  <c r="Z195" i="1"/>
  <c r="Y195" i="1"/>
  <c r="P195" i="1"/>
  <c r="BO194" i="1"/>
  <c r="BM194" i="1"/>
  <c r="Z194" i="1"/>
  <c r="Y194" i="1"/>
  <c r="P194" i="1"/>
  <c r="BP193" i="1"/>
  <c r="BO193" i="1"/>
  <c r="BN193" i="1"/>
  <c r="BM193" i="1"/>
  <c r="Z193" i="1"/>
  <c r="Y193" i="1"/>
  <c r="P193" i="1"/>
  <c r="BO192" i="1"/>
  <c r="BM192" i="1"/>
  <c r="Z192" i="1"/>
  <c r="Y192" i="1"/>
  <c r="P192" i="1"/>
  <c r="BP191" i="1"/>
  <c r="BO191" i="1"/>
  <c r="BN191" i="1"/>
  <c r="BM191" i="1"/>
  <c r="Z191" i="1"/>
  <c r="Z196" i="1" s="1"/>
  <c r="Y191" i="1"/>
  <c r="Y197" i="1" s="1"/>
  <c r="P191" i="1"/>
  <c r="X188" i="1"/>
  <c r="X187" i="1"/>
  <c r="BP186" i="1"/>
  <c r="BO186" i="1"/>
  <c r="BN186" i="1"/>
  <c r="BM186" i="1"/>
  <c r="Z186" i="1"/>
  <c r="Y186" i="1"/>
  <c r="P186" i="1"/>
  <c r="BO185" i="1"/>
  <c r="BM185" i="1"/>
  <c r="Z185" i="1"/>
  <c r="Y185" i="1"/>
  <c r="P185" i="1"/>
  <c r="BP184" i="1"/>
  <c r="BO184" i="1"/>
  <c r="BN184" i="1"/>
  <c r="BM184" i="1"/>
  <c r="Z184" i="1"/>
  <c r="Y184" i="1"/>
  <c r="P184" i="1"/>
  <c r="BO183" i="1"/>
  <c r="BM183" i="1"/>
  <c r="Z183" i="1"/>
  <c r="Z187" i="1" s="1"/>
  <c r="Y183" i="1"/>
  <c r="P183" i="1"/>
  <c r="X181" i="1"/>
  <c r="Z180" i="1"/>
  <c r="X180" i="1"/>
  <c r="BO179" i="1"/>
  <c r="BM179" i="1"/>
  <c r="Z179" i="1"/>
  <c r="Y179" i="1"/>
  <c r="P179" i="1"/>
  <c r="Y175" i="1"/>
  <c r="X175" i="1"/>
  <c r="Z174" i="1"/>
  <c r="X174" i="1"/>
  <c r="BO173" i="1"/>
  <c r="BM173" i="1"/>
  <c r="Z173" i="1"/>
  <c r="Y173" i="1"/>
  <c r="X171" i="1"/>
  <c r="X170" i="1"/>
  <c r="BP169" i="1"/>
  <c r="BO169" i="1"/>
  <c r="BN169" i="1"/>
  <c r="BM169" i="1"/>
  <c r="Z169" i="1"/>
  <c r="Y169" i="1"/>
  <c r="P169" i="1"/>
  <c r="BO168" i="1"/>
  <c r="BM168" i="1"/>
  <c r="Z168" i="1"/>
  <c r="Y168" i="1"/>
  <c r="P168" i="1"/>
  <c r="BP167" i="1"/>
  <c r="BO167" i="1"/>
  <c r="BN167" i="1"/>
  <c r="BM167" i="1"/>
  <c r="Z167" i="1"/>
  <c r="Z170" i="1" s="1"/>
  <c r="Y167" i="1"/>
  <c r="Y171" i="1" s="1"/>
  <c r="P167" i="1"/>
  <c r="X163" i="1"/>
  <c r="X162" i="1"/>
  <c r="BP161" i="1"/>
  <c r="BO161" i="1"/>
  <c r="BN161" i="1"/>
  <c r="BM161" i="1"/>
  <c r="Z161" i="1"/>
  <c r="Y161" i="1"/>
  <c r="P161" i="1"/>
  <c r="BO160" i="1"/>
  <c r="BM160" i="1"/>
  <c r="Z160" i="1"/>
  <c r="Z162" i="1" s="1"/>
  <c r="Y160" i="1"/>
  <c r="P160" i="1"/>
  <c r="X156" i="1"/>
  <c r="Z155" i="1"/>
  <c r="X155" i="1"/>
  <c r="BO154" i="1"/>
  <c r="BM154" i="1"/>
  <c r="Z154" i="1"/>
  <c r="Y154" i="1"/>
  <c r="P154" i="1"/>
  <c r="Y151" i="1"/>
  <c r="X151" i="1"/>
  <c r="X150" i="1"/>
  <c r="BO149" i="1"/>
  <c r="BM149" i="1"/>
  <c r="Z149" i="1"/>
  <c r="Z150" i="1" s="1"/>
  <c r="Y149" i="1"/>
  <c r="P149" i="1"/>
  <c r="X146" i="1"/>
  <c r="Y145" i="1"/>
  <c r="X145" i="1"/>
  <c r="BP144" i="1"/>
  <c r="BO144" i="1"/>
  <c r="BN144" i="1"/>
  <c r="BM144" i="1"/>
  <c r="Z144" i="1"/>
  <c r="Z145" i="1" s="1"/>
  <c r="Y144" i="1"/>
  <c r="Y146" i="1" s="1"/>
  <c r="P144" i="1"/>
  <c r="X141" i="1"/>
  <c r="Y140" i="1"/>
  <c r="X140" i="1"/>
  <c r="BP139" i="1"/>
  <c r="BO139" i="1"/>
  <c r="BN139" i="1"/>
  <c r="BM139" i="1"/>
  <c r="Z139" i="1"/>
  <c r="Z140" i="1" s="1"/>
  <c r="Y139" i="1"/>
  <c r="Y141" i="1" s="1"/>
  <c r="P139" i="1"/>
  <c r="X136" i="1"/>
  <c r="X135" i="1"/>
  <c r="BP134" i="1"/>
  <c r="BO134" i="1"/>
  <c r="BN134" i="1"/>
  <c r="BM134" i="1"/>
  <c r="Z134" i="1"/>
  <c r="Y134" i="1"/>
  <c r="P134" i="1"/>
  <c r="BO133" i="1"/>
  <c r="BM133" i="1"/>
  <c r="Z133" i="1"/>
  <c r="Z135" i="1" s="1"/>
  <c r="Y133" i="1"/>
  <c r="Y136" i="1" s="1"/>
  <c r="P133" i="1"/>
  <c r="X130" i="1"/>
  <c r="X129" i="1"/>
  <c r="BO128" i="1"/>
  <c r="BM128" i="1"/>
  <c r="Z128" i="1"/>
  <c r="Y128" i="1"/>
  <c r="BP128" i="1" s="1"/>
  <c r="P128" i="1"/>
  <c r="BP127" i="1"/>
  <c r="BO127" i="1"/>
  <c r="BN127" i="1"/>
  <c r="BM127" i="1"/>
  <c r="Z127" i="1"/>
  <c r="Z129" i="1" s="1"/>
  <c r="Y127" i="1"/>
  <c r="Y129" i="1" s="1"/>
  <c r="P127" i="1"/>
  <c r="X124" i="1"/>
  <c r="X123" i="1"/>
  <c r="BP122" i="1"/>
  <c r="BO122" i="1"/>
  <c r="BN122" i="1"/>
  <c r="BM122" i="1"/>
  <c r="Z122" i="1"/>
  <c r="Y122" i="1"/>
  <c r="P122" i="1"/>
  <c r="BO121" i="1"/>
  <c r="BM121" i="1"/>
  <c r="Z121" i="1"/>
  <c r="Z123" i="1" s="1"/>
  <c r="Y121" i="1"/>
  <c r="Y124" i="1" s="1"/>
  <c r="P121" i="1"/>
  <c r="X118" i="1"/>
  <c r="Z117" i="1"/>
  <c r="X117" i="1"/>
  <c r="BO116" i="1"/>
  <c r="BM116" i="1"/>
  <c r="Z116" i="1"/>
  <c r="Y116" i="1"/>
  <c r="Y117" i="1" s="1"/>
  <c r="P116" i="1"/>
  <c r="X114" i="1"/>
  <c r="Z113" i="1"/>
  <c r="X113" i="1"/>
  <c r="BO112" i="1"/>
  <c r="BM112" i="1"/>
  <c r="Z112" i="1"/>
  <c r="Y112" i="1"/>
  <c r="Y113" i="1" s="1"/>
  <c r="P112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Z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Z104" i="1"/>
  <c r="Y104" i="1"/>
  <c r="BP104" i="1" s="1"/>
  <c r="P104" i="1"/>
  <c r="BP103" i="1"/>
  <c r="BO103" i="1"/>
  <c r="BN103" i="1"/>
  <c r="BM103" i="1"/>
  <c r="Z103" i="1"/>
  <c r="Z109" i="1" s="1"/>
  <c r="Y103" i="1"/>
  <c r="P103" i="1"/>
  <c r="BO102" i="1"/>
  <c r="BM102" i="1"/>
  <c r="Z102" i="1"/>
  <c r="Y102" i="1"/>
  <c r="Y109" i="1" s="1"/>
  <c r="P102" i="1"/>
  <c r="X99" i="1"/>
  <c r="X98" i="1"/>
  <c r="BO97" i="1"/>
  <c r="BM97" i="1"/>
  <c r="Z97" i="1"/>
  <c r="Y97" i="1"/>
  <c r="BP97" i="1" s="1"/>
  <c r="P97" i="1"/>
  <c r="BP96" i="1"/>
  <c r="BO96" i="1"/>
  <c r="BN96" i="1"/>
  <c r="BM96" i="1"/>
  <c r="Z96" i="1"/>
  <c r="Z98" i="1" s="1"/>
  <c r="Y96" i="1"/>
  <c r="Y98" i="1" s="1"/>
  <c r="P96" i="1"/>
  <c r="X93" i="1"/>
  <c r="X92" i="1"/>
  <c r="BP91" i="1"/>
  <c r="BO91" i="1"/>
  <c r="BN91" i="1"/>
  <c r="BM91" i="1"/>
  <c r="Z91" i="1"/>
  <c r="Y91" i="1"/>
  <c r="P91" i="1"/>
  <c r="BO90" i="1"/>
  <c r="BM90" i="1"/>
  <c r="Z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Z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Z86" i="1"/>
  <c r="Z92" i="1" s="1"/>
  <c r="Y86" i="1"/>
  <c r="Y93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Y76" i="1"/>
  <c r="X76" i="1"/>
  <c r="BP75" i="1"/>
  <c r="BO75" i="1"/>
  <c r="BN75" i="1"/>
  <c r="BM75" i="1"/>
  <c r="Z75" i="1"/>
  <c r="Z76" i="1" s="1"/>
  <c r="Y75" i="1"/>
  <c r="Y77" i="1" s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Z71" i="1" s="1"/>
  <c r="Y69" i="1"/>
  <c r="Y72" i="1" s="1"/>
  <c r="P69" i="1"/>
  <c r="X66" i="1"/>
  <c r="X65" i="1"/>
  <c r="BO64" i="1"/>
  <c r="BM64" i="1"/>
  <c r="Z64" i="1"/>
  <c r="Y64" i="1"/>
  <c r="BP64" i="1" s="1"/>
  <c r="P64" i="1"/>
  <c r="BP63" i="1"/>
  <c r="BO63" i="1"/>
  <c r="BN63" i="1"/>
  <c r="BM63" i="1"/>
  <c r="Z63" i="1"/>
  <c r="Z65" i="1" s="1"/>
  <c r="Y63" i="1"/>
  <c r="P63" i="1"/>
  <c r="BO62" i="1"/>
  <c r="BM62" i="1"/>
  <c r="Z62" i="1"/>
  <c r="Y62" i="1"/>
  <c r="Y65" i="1" s="1"/>
  <c r="P62" i="1"/>
  <c r="X60" i="1"/>
  <c r="X59" i="1"/>
  <c r="BO58" i="1"/>
  <c r="BM58" i="1"/>
  <c r="Z58" i="1"/>
  <c r="Y58" i="1"/>
  <c r="BP58" i="1" s="1"/>
  <c r="P58" i="1"/>
  <c r="BP57" i="1"/>
  <c r="BO57" i="1"/>
  <c r="BN57" i="1"/>
  <c r="BM57" i="1"/>
  <c r="Z57" i="1"/>
  <c r="Z59" i="1" s="1"/>
  <c r="Y57" i="1"/>
  <c r="Y59" i="1" s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P44" i="1"/>
  <c r="BO44" i="1"/>
  <c r="BN44" i="1"/>
  <c r="BM44" i="1"/>
  <c r="Z44" i="1"/>
  <c r="Y44" i="1"/>
  <c r="P44" i="1"/>
  <c r="BO43" i="1"/>
  <c r="BM43" i="1"/>
  <c r="Z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Z41" i="1"/>
  <c r="Z45" i="1" s="1"/>
  <c r="Y41" i="1"/>
  <c r="Y46" i="1" s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7" i="1" s="1"/>
  <c r="P34" i="1"/>
  <c r="X31" i="1"/>
  <c r="X30" i="1"/>
  <c r="X278" i="1" s="1"/>
  <c r="BO29" i="1"/>
  <c r="X276" i="1" s="1"/>
  <c r="BM29" i="1"/>
  <c r="Z29" i="1"/>
  <c r="Y29" i="1"/>
  <c r="BP29" i="1" s="1"/>
  <c r="P29" i="1"/>
  <c r="BP28" i="1"/>
  <c r="BO28" i="1"/>
  <c r="BN28" i="1"/>
  <c r="BM28" i="1"/>
  <c r="Z28" i="1"/>
  <c r="Z30" i="1" s="1"/>
  <c r="Y28" i="1"/>
  <c r="Y30" i="1" s="1"/>
  <c r="P28" i="1"/>
  <c r="X24" i="1"/>
  <c r="X274" i="1" s="1"/>
  <c r="Y23" i="1"/>
  <c r="X23" i="1"/>
  <c r="BP22" i="1"/>
  <c r="BO22" i="1"/>
  <c r="BN22" i="1"/>
  <c r="BM22" i="1"/>
  <c r="X275" i="1" s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X277" i="1" l="1"/>
  <c r="Y31" i="1"/>
  <c r="Y274" i="1" s="1"/>
  <c r="Y38" i="1"/>
  <c r="Y45" i="1"/>
  <c r="Y278" i="1" s="1"/>
  <c r="Y60" i="1"/>
  <c r="Y66" i="1"/>
  <c r="Y71" i="1"/>
  <c r="Y83" i="1"/>
  <c r="Y92" i="1"/>
  <c r="Y99" i="1"/>
  <c r="Y110" i="1"/>
  <c r="Y114" i="1"/>
  <c r="Y118" i="1"/>
  <c r="Y123" i="1"/>
  <c r="Y130" i="1"/>
  <c r="Y135" i="1"/>
  <c r="Y155" i="1"/>
  <c r="BP154" i="1"/>
  <c r="BN154" i="1"/>
  <c r="Y180" i="1"/>
  <c r="BP179" i="1"/>
  <c r="BN179" i="1"/>
  <c r="Y206" i="1"/>
  <c r="BP205" i="1"/>
  <c r="BN205" i="1"/>
  <c r="Y219" i="1"/>
  <c r="BP216" i="1"/>
  <c r="BN216" i="1"/>
  <c r="Y218" i="1"/>
  <c r="BP246" i="1"/>
  <c r="BN246" i="1"/>
  <c r="Y248" i="1"/>
  <c r="BP252" i="1"/>
  <c r="BN252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H9" i="1"/>
  <c r="BN29" i="1"/>
  <c r="Y275" i="1" s="1"/>
  <c r="BN34" i="1"/>
  <c r="BP34" i="1"/>
  <c r="Y276" i="1" s="1"/>
  <c r="BN36" i="1"/>
  <c r="BN41" i="1"/>
  <c r="BP41" i="1"/>
  <c r="BN43" i="1"/>
  <c r="BN58" i="1"/>
  <c r="BN62" i="1"/>
  <c r="BP62" i="1"/>
  <c r="BN64" i="1"/>
  <c r="BN69" i="1"/>
  <c r="BP69" i="1"/>
  <c r="BN81" i="1"/>
  <c r="BN86" i="1"/>
  <c r="BP86" i="1"/>
  <c r="BN88" i="1"/>
  <c r="BN90" i="1"/>
  <c r="BN97" i="1"/>
  <c r="BN102" i="1"/>
  <c r="BP102" i="1"/>
  <c r="BN104" i="1"/>
  <c r="BN106" i="1"/>
  <c r="BN108" i="1"/>
  <c r="BN112" i="1"/>
  <c r="BP112" i="1"/>
  <c r="BN116" i="1"/>
  <c r="BP116" i="1"/>
  <c r="BN121" i="1"/>
  <c r="BP121" i="1"/>
  <c r="BN128" i="1"/>
  <c r="BN133" i="1"/>
  <c r="BP133" i="1"/>
  <c r="Y150" i="1"/>
  <c r="BP149" i="1"/>
  <c r="BN149" i="1"/>
  <c r="Y156" i="1"/>
  <c r="Y163" i="1"/>
  <c r="BP160" i="1"/>
  <c r="BN160" i="1"/>
  <c r="Y162" i="1"/>
  <c r="BP168" i="1"/>
  <c r="BN168" i="1"/>
  <c r="Y170" i="1"/>
  <c r="Y174" i="1"/>
  <c r="BP173" i="1"/>
  <c r="BN173" i="1"/>
  <c r="Y181" i="1"/>
  <c r="Y188" i="1"/>
  <c r="BP183" i="1"/>
  <c r="BN183" i="1"/>
  <c r="BP185" i="1"/>
  <c r="BN185" i="1"/>
  <c r="Y187" i="1"/>
  <c r="BP192" i="1"/>
  <c r="BN192" i="1"/>
  <c r="BP194" i="1"/>
  <c r="BN194" i="1"/>
  <c r="Y196" i="1"/>
  <c r="Y201" i="1"/>
  <c r="BP200" i="1"/>
  <c r="BN200" i="1"/>
  <c r="Y207" i="1"/>
  <c r="Y212" i="1"/>
  <c r="BP209" i="1"/>
  <c r="BN209" i="1"/>
  <c r="BP211" i="1"/>
  <c r="BN211" i="1"/>
  <c r="Z218" i="1"/>
  <c r="Z279" i="1" s="1"/>
  <c r="Y249" i="1"/>
  <c r="Y253" i="1"/>
  <c r="Y254" i="1"/>
  <c r="Y259" i="1"/>
  <c r="BP256" i="1"/>
  <c r="BN256" i="1"/>
  <c r="BP258" i="1"/>
  <c r="BN258" i="1"/>
  <c r="Z272" i="1"/>
  <c r="B287" i="1" l="1"/>
  <c r="Y277" i="1"/>
  <c r="C287" i="1"/>
  <c r="A287" i="1"/>
</calcChain>
</file>

<file path=xl/sharedStrings.xml><?xml version="1.0" encoding="utf-8"?>
<sst xmlns="http://schemas.openxmlformats.org/spreadsheetml/2006/main" count="1229" uniqueCount="396">
  <si>
    <t xml:space="preserve">  БЛАНК ЗАКАЗА </t>
  </si>
  <si>
    <t>ЗПФ</t>
  </si>
  <si>
    <t>на отгрузку продукции с ООО Трейд-Сервис с</t>
  </si>
  <si>
    <t>24.10.2025</t>
  </si>
  <si>
    <t>бланк создан</t>
  </si>
  <si>
    <t>22.10.2025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</si>
  <si>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</si>
  <si>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</si>
  <si>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</si>
  <si>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</si>
  <si>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</si>
  <si>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</si>
  <si>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</si>
  <si>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</si>
  <si>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</si>
  <si>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</si>
  <si>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</si>
  <si>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</si>
  <si>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</si>
  <si>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</si>
  <si>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</si>
  <si>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</si>
  <si>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</si>
  <si>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</si>
  <si>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</si>
  <si>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</si>
  <si>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</si>
  <si>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</si>
  <si>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</si>
  <si>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</si>
  <si>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</si>
  <si>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</si>
  <si>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</si>
  <si>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</si>
  <si>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</si>
  <si>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</si>
  <si>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</si>
  <si>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</si>
  <si>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</si>
  <si>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</si>
  <si>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</si>
  <si>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</si>
  <si>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</si>
  <si>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</si>
  <si>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</si>
  <si>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</si>
  <si>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</si>
  <si>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</si>
  <si>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</si>
  <si>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</si>
  <si>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</si>
  <si>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</si>
  <si>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</si>
  <si>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</si>
  <si>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</si>
  <si>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</si>
  <si>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</si>
  <si>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</si>
  <si>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</si>
  <si>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</si>
  <si>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</si>
  <si>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</si>
  <si>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</si>
  <si>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</si>
  <si>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</si>
  <si>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</si>
  <si>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</si>
  <si>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</si>
  <si>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</si>
  <si>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</si>
  <si>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</si>
  <si>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</si>
  <si>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</si>
  <si>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</si>
  <si>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</si>
  <si>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</si>
  <si>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</si>
  <si>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</si>
  <si>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</si>
  <si>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</si>
  <si>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</si>
  <si>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</si>
  <si>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</si>
  <si>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</si>
  <si>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</si>
  <si>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</si>
  <si>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</si>
  <si>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</si>
  <si>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</si>
  <si>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</si>
  <si>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</si>
  <si>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</si>
  <si>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</si>
  <si>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</si>
  <si>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</si>
  <si>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</si>
  <si>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</si>
  <si>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</si>
  <si>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</si>
  <si>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</si>
  <si>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</si>
  <si>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</si>
  <si>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</si>
  <si>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</si>
  <si>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</si>
  <si>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</si>
  <si>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</si>
  <si>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</si>
  <si>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</si>
  <si>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</si>
  <si>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</si>
  <si>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</si>
  <si>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</si>
  <si>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</si>
  <si>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</si>
  <si>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</si>
  <si>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</si>
  <si>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</si>
  <si>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</si>
  <si>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</si>
  <si>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</si>
  <si>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</si>
  <si>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</si>
  <si>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</si>
  <si>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</si>
  <si>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</si>
  <si>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</si>
  <si>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</si>
  <si>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</si>
  <si>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</si>
  <si>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</si>
  <si>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</si>
  <si>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</si>
  <si>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</si>
  <si>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</si>
  <si>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</si>
  <si>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</si>
  <si>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</si>
  <si>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</si>
  <si>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</si>
  <si>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</si>
  <si>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</si>
  <si>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</si>
  <si>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</si>
  <si>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</si>
  <si>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</si>
  <si>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</si>
  <si>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</si>
  <si>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</si>
  <si>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</si>
  <si>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</si>
  <si>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</si>
  <si>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</si>
  <si>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</si>
  <si>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</si>
  <si>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</si>
  <si>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</si>
  <si>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</si>
  <si>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</si>
  <si>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</si>
  <si>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</si>
  <si>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</si>
  <si>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</si>
  <si>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</si>
  <si>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</si>
  <si>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</si>
  <si>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</si>
  <si>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</si>
  <si>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</si>
  <si>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</si>
  <si>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</si>
  <si>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</si>
  <si>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</si>
  <si>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</si>
  <si>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</si>
  <si>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</si>
  <si>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</si>
  <si>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</si>
  <si>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</si>
  <si>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</si>
  <si>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</si>
  <si>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</si>
  <si>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</si>
  <si>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</si>
  <si>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</si>
  <si>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</si>
  <si>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</si>
  <si>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</si>
  <si>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</si>
  <si>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</si>
  <si>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</si>
  <si>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</si>
  <si>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</si>
  <si>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</si>
  <si>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</si>
  <si>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</si>
  <si>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</si>
  <si>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</si>
  <si>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</si>
  <si>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</si>
  <si>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</si>
  <si>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</si>
  <si>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</si>
  <si>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</si>
  <si>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</si>
  <si>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</si>
  <si>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</si>
  <si>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</si>
  <si>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</si>
  <si>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</si>
  <si>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</si>
  <si>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</si>
  <si>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</si>
  <si>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</si>
  <si>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</si>
  <si>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</si>
  <si>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</si>
  <si>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</si>
  <si>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</si>
  <si>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</si>
  <si>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</si>
  <si>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</si>
  <si>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</si>
  <si>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</si>
  <si>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</si>
  <si>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</si>
  <si>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</si>
  <si>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</si>
  <si>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</si>
  <si>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</si>
  <si>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</si>
  <si>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</si>
  <si>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</si>
  <si>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</si>
  <si>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</si>
  <si>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</si>
  <si>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</si>
  <si>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</si>
  <si>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</si>
  <si>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</si>
  <si>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</si>
  <si>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</si>
  <si>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</si>
  <si>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</si>
  <si>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</si>
  <si>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</si>
  <si>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</si>
  <si>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</si>
  <si>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</si>
  <si>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</si>
  <si>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</si>
  <si>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</si>
  <si>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</si>
  <si>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</si>
  <si>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</si>
  <si>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</si>
  <si>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</si>
  <si>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</si>
  <si>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</si>
  <si>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</si>
  <si>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</si>
  <si>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</si>
  <si>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</si>
  <si>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</si>
  <si>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</si>
  <si>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</si>
  <si>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</si>
  <si>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</si>
  <si>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</si>
  <si>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</si>
  <si>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</si>
  <si>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</si>
  <si>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</si>
  <si>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</si>
  <si>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</si>
  <si>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</si>
  <si>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</si>
  <si>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</si>
  <si>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</si>
  <si>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</si>
  <si>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</si>
  <si>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</si>
  <si>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</si>
  <si>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</si>
  <si>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</si>
  <si>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</si>
  <si>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</si>
  <si>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</si>
  <si>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Пельмени «Мясные с говядиной» Фикс.вес 1 сфера ТМ «Стародворье»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</si>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</sst>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9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23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4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9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9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topLeftCell="A266" zoomScaleNormal="100" zoomScaleSheetLayoutView="100" workbookViewId="0">
      <selection activeCell="AA280" sqref="AA280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3" t="s">
        <v>0</v>
      </c>
      <c r="E1" s="290"/>
      <c r="F1" s="290"/>
      <c r="G1" s="12" t="s">
        <v>1</v>
      </c>
      <c r="H1" s="323" t="s">
        <v>2</v>
      </c>
      <c r="I1" s="290"/>
      <c r="J1" s="290"/>
      <c r="K1" s="290"/>
      <c r="L1" s="290"/>
      <c r="M1" s="290"/>
      <c r="N1" s="290"/>
      <c r="O1" s="290"/>
      <c r="P1" s="290"/>
      <c r="Q1" s="290"/>
      <c r="R1" s="289" t="s">
        <v>3</v>
      </c>
      <c r="S1" s="290"/>
      <c r="T1" s="2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8" t="s">
        <v>8</v>
      </c>
      <c r="B5" s="318"/>
      <c r="C5" s="319"/>
      <c r="D5" s="325"/>
      <c r="E5" s="326"/>
      <c r="F5" s="439" t="s">
        <v>9</v>
      </c>
      <c r="G5" s="319"/>
      <c r="H5" s="325"/>
      <c r="I5" s="408"/>
      <c r="J5" s="408"/>
      <c r="K5" s="408"/>
      <c r="L5" s="408"/>
      <c r="M5" s="326"/>
      <c r="N5" s="61"/>
      <c r="P5" s="24" t="s">
        <v>10</v>
      </c>
      <c r="Q5" s="446">
        <v>45957</v>
      </c>
      <c r="R5" s="346"/>
      <c r="T5" s="367" t="s">
        <v>11</v>
      </c>
      <c r="U5" s="368"/>
      <c r="V5" s="369" t="s">
        <v>12</v>
      </c>
      <c r="W5" s="346"/>
      <c r="AB5" s="51"/>
      <c r="AC5" s="51"/>
      <c r="AD5" s="51"/>
      <c r="AE5" s="51"/>
    </row>
    <row r="6" spans="1:32" s="262" customFormat="1" ht="24" customHeight="1" x14ac:dyDescent="0.2">
      <c r="A6" s="348" t="s">
        <v>13</v>
      </c>
      <c r="B6" s="318"/>
      <c r="C6" s="319"/>
      <c r="D6" s="409" t="s">
        <v>14</v>
      </c>
      <c r="E6" s="410"/>
      <c r="F6" s="410"/>
      <c r="G6" s="410"/>
      <c r="H6" s="410"/>
      <c r="I6" s="410"/>
      <c r="J6" s="410"/>
      <c r="K6" s="410"/>
      <c r="L6" s="410"/>
      <c r="M6" s="346"/>
      <c r="N6" s="62"/>
      <c r="P6" s="24" t="s">
        <v>15</v>
      </c>
      <c r="Q6" s="449" t="str">
        <f>IF(Q5=0," ",CHOOSE(WEEKDAY(Q5,2),"Понедельник","Вторник","Среда","Четверг","Пятница","Суббота","Воскресенье"))</f>
        <v>Понедельник</v>
      </c>
      <c r="R6" s="285"/>
      <c r="T6" s="372" t="s">
        <v>16</v>
      </c>
      <c r="U6" s="368"/>
      <c r="V6" s="397" t="s">
        <v>17</v>
      </c>
      <c r="W6" s="298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4" t="str">
        <f>IFERROR(VLOOKUP(DeliveryAddress,Table,3,0),1)</f>
        <v>1</v>
      </c>
      <c r="E7" s="305"/>
      <c r="F7" s="305"/>
      <c r="G7" s="305"/>
      <c r="H7" s="305"/>
      <c r="I7" s="305"/>
      <c r="J7" s="305"/>
      <c r="K7" s="305"/>
      <c r="L7" s="305"/>
      <c r="M7" s="306"/>
      <c r="N7" s="63"/>
      <c r="P7" s="24"/>
      <c r="Q7" s="42"/>
      <c r="R7" s="42"/>
      <c r="T7" s="283"/>
      <c r="U7" s="368"/>
      <c r="V7" s="398"/>
      <c r="W7" s="399"/>
      <c r="AB7" s="51"/>
      <c r="AC7" s="51"/>
      <c r="AD7" s="51"/>
      <c r="AE7" s="51"/>
    </row>
    <row r="8" spans="1:32" s="262" customFormat="1" ht="25.5" customHeight="1" x14ac:dyDescent="0.2">
      <c r="A8" s="456" t="s">
        <v>18</v>
      </c>
      <c r="B8" s="280"/>
      <c r="C8" s="281"/>
      <c r="D8" s="313" t="s">
        <v>19</v>
      </c>
      <c r="E8" s="314"/>
      <c r="F8" s="314"/>
      <c r="G8" s="314"/>
      <c r="H8" s="314"/>
      <c r="I8" s="314"/>
      <c r="J8" s="314"/>
      <c r="K8" s="314"/>
      <c r="L8" s="314"/>
      <c r="M8" s="315"/>
      <c r="N8" s="64"/>
      <c r="P8" s="24" t="s">
        <v>20</v>
      </c>
      <c r="Q8" s="350">
        <v>0.41666666666666669</v>
      </c>
      <c r="R8" s="306"/>
      <c r="T8" s="283"/>
      <c r="U8" s="368"/>
      <c r="V8" s="398"/>
      <c r="W8" s="399"/>
      <c r="AB8" s="51"/>
      <c r="AC8" s="51"/>
      <c r="AD8" s="51"/>
      <c r="AE8" s="51"/>
    </row>
    <row r="9" spans="1:32" s="262" customFormat="1" ht="39.950000000000003" customHeight="1" x14ac:dyDescent="0.2">
      <c r="A9" s="3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55"/>
      <c r="E9" s="278"/>
      <c r="F9" s="3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77" t="str">
        <f>IF(AND($A$9="Тип доверенности/получателя при получении в адресе перегруза:",$D$9="Разовая доверенность"),"Введите ФИО","")</f>
        <v/>
      </c>
      <c r="I9" s="278"/>
      <c r="J9" s="27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8"/>
      <c r="L9" s="278"/>
      <c r="M9" s="278"/>
      <c r="N9" s="260"/>
      <c r="P9" s="26" t="s">
        <v>21</v>
      </c>
      <c r="Q9" s="343"/>
      <c r="R9" s="344"/>
      <c r="T9" s="283"/>
      <c r="U9" s="368"/>
      <c r="V9" s="400"/>
      <c r="W9" s="401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55"/>
      <c r="E10" s="278"/>
      <c r="F10" s="3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393" t="str">
        <f>IFERROR(VLOOKUP($D$10,Proxy,2,FALSE),"")</f>
        <v/>
      </c>
      <c r="I10" s="283"/>
      <c r="J10" s="283"/>
      <c r="K10" s="283"/>
      <c r="L10" s="283"/>
      <c r="M10" s="283"/>
      <c r="N10" s="261"/>
      <c r="P10" s="26" t="s">
        <v>22</v>
      </c>
      <c r="Q10" s="373"/>
      <c r="R10" s="374"/>
      <c r="U10" s="24" t="s">
        <v>23</v>
      </c>
      <c r="V10" s="297" t="s">
        <v>24</v>
      </c>
      <c r="W10" s="298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5"/>
      <c r="R11" s="346"/>
      <c r="U11" s="24" t="s">
        <v>27</v>
      </c>
      <c r="V11" s="415" t="s">
        <v>28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6" t="s">
        <v>29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9"/>
      <c r="N12" s="65"/>
      <c r="P12" s="24" t="s">
        <v>30</v>
      </c>
      <c r="Q12" s="350"/>
      <c r="R12" s="306"/>
      <c r="S12" s="23"/>
      <c r="U12" s="24"/>
      <c r="V12" s="290"/>
      <c r="W12" s="283"/>
      <c r="AB12" s="51"/>
      <c r="AC12" s="51"/>
      <c r="AD12" s="51"/>
      <c r="AE12" s="51"/>
    </row>
    <row r="13" spans="1:32" s="262" customFormat="1" ht="23.25" customHeight="1" x14ac:dyDescent="0.2">
      <c r="A13" s="366" t="s">
        <v>31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9"/>
      <c r="N13" s="65"/>
      <c r="O13" s="26"/>
      <c r="P13" s="26" t="s">
        <v>32</v>
      </c>
      <c r="Q13" s="415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6" t="s">
        <v>33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1" t="s">
        <v>34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9"/>
      <c r="N15" s="66"/>
      <c r="P15" s="360" t="s">
        <v>35</v>
      </c>
      <c r="Q15" s="290"/>
      <c r="R15" s="290"/>
      <c r="S15" s="290"/>
      <c r="T15" s="2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1"/>
      <c r="Q16" s="361"/>
      <c r="R16" s="361"/>
      <c r="S16" s="361"/>
      <c r="T16" s="36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3" t="s">
        <v>36</v>
      </c>
      <c r="B17" s="293" t="s">
        <v>37</v>
      </c>
      <c r="C17" s="354" t="s">
        <v>38</v>
      </c>
      <c r="D17" s="293" t="s">
        <v>39</v>
      </c>
      <c r="E17" s="335"/>
      <c r="F17" s="293" t="s">
        <v>40</v>
      </c>
      <c r="G17" s="293" t="s">
        <v>41</v>
      </c>
      <c r="H17" s="293" t="s">
        <v>42</v>
      </c>
      <c r="I17" s="293" t="s">
        <v>43</v>
      </c>
      <c r="J17" s="293" t="s">
        <v>44</v>
      </c>
      <c r="K17" s="293" t="s">
        <v>45</v>
      </c>
      <c r="L17" s="293" t="s">
        <v>46</v>
      </c>
      <c r="M17" s="293" t="s">
        <v>47</v>
      </c>
      <c r="N17" s="293" t="s">
        <v>48</v>
      </c>
      <c r="O17" s="293" t="s">
        <v>49</v>
      </c>
      <c r="P17" s="293" t="s">
        <v>50</v>
      </c>
      <c r="Q17" s="334"/>
      <c r="R17" s="334"/>
      <c r="S17" s="334"/>
      <c r="T17" s="335"/>
      <c r="U17" s="453" t="s">
        <v>51</v>
      </c>
      <c r="V17" s="319"/>
      <c r="W17" s="293" t="s">
        <v>52</v>
      </c>
      <c r="X17" s="293" t="s">
        <v>53</v>
      </c>
      <c r="Y17" s="454" t="s">
        <v>54</v>
      </c>
      <c r="Z17" s="406" t="s">
        <v>55</v>
      </c>
      <c r="AA17" s="391" t="s">
        <v>56</v>
      </c>
      <c r="AB17" s="391" t="s">
        <v>57</v>
      </c>
      <c r="AC17" s="391" t="s">
        <v>58</v>
      </c>
      <c r="AD17" s="391" t="s">
        <v>59</v>
      </c>
      <c r="AE17" s="434"/>
      <c r="AF17" s="435"/>
      <c r="AG17" s="69"/>
      <c r="BD17" s="68" t="s">
        <v>60</v>
      </c>
    </row>
    <row r="18" spans="1:68" ht="14.25" customHeight="1" x14ac:dyDescent="0.2">
      <c r="A18" s="294"/>
      <c r="B18" s="294"/>
      <c r="C18" s="294"/>
      <c r="D18" s="336"/>
      <c r="E18" s="338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336"/>
      <c r="Q18" s="337"/>
      <c r="R18" s="337"/>
      <c r="S18" s="337"/>
      <c r="T18" s="338"/>
      <c r="U18" s="70" t="s">
        <v>61</v>
      </c>
      <c r="V18" s="70" t="s">
        <v>62</v>
      </c>
      <c r="W18" s="294"/>
      <c r="X18" s="294"/>
      <c r="Y18" s="455"/>
      <c r="Z18" s="407"/>
      <c r="AA18" s="392"/>
      <c r="AB18" s="392"/>
      <c r="AC18" s="392"/>
      <c r="AD18" s="436"/>
      <c r="AE18" s="437"/>
      <c r="AF18" s="438"/>
      <c r="AG18" s="69"/>
      <c r="BD18" s="68"/>
    </row>
    <row r="19" spans="1:68" ht="27.75" customHeight="1" x14ac:dyDescent="0.2">
      <c r="A19" s="320" t="s">
        <v>63</v>
      </c>
      <c r="B19" s="321"/>
      <c r="C19" s="321"/>
      <c r="D19" s="321"/>
      <c r="E19" s="321"/>
      <c r="F19" s="321"/>
      <c r="G19" s="321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48"/>
      <c r="AB19" s="48"/>
      <c r="AC19" s="48"/>
    </row>
    <row r="20" spans="1:68" ht="16.5" customHeight="1" x14ac:dyDescent="0.25">
      <c r="A20" s="282" t="s">
        <v>63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63"/>
      <c r="AB20" s="263"/>
      <c r="AC20" s="263"/>
    </row>
    <row r="21" spans="1:68" ht="14.25" customHeight="1" x14ac:dyDescent="0.25">
      <c r="A21" s="303" t="s">
        <v>64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64"/>
      <c r="AB21" s="264"/>
      <c r="AC21" s="264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284">
        <v>4607111035752</v>
      </c>
      <c r="E22" s="285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3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73"/>
      <c r="R22" s="273"/>
      <c r="S22" s="273"/>
      <c r="T22" s="274"/>
      <c r="U22" s="34"/>
      <c r="V22" s="34"/>
      <c r="W22" s="35" t="s">
        <v>70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86"/>
      <c r="B23" s="283"/>
      <c r="C23" s="283"/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7"/>
      <c r="P23" s="279" t="s">
        <v>73</v>
      </c>
      <c r="Q23" s="280"/>
      <c r="R23" s="280"/>
      <c r="S23" s="280"/>
      <c r="T23" s="280"/>
      <c r="U23" s="280"/>
      <c r="V23" s="281"/>
      <c r="W23" s="37" t="s">
        <v>70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x14ac:dyDescent="0.2">
      <c r="A24" s="283"/>
      <c r="B24" s="283"/>
      <c r="C24" s="283"/>
      <c r="D24" s="283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7"/>
      <c r="P24" s="279" t="s">
        <v>73</v>
      </c>
      <c r="Q24" s="280"/>
      <c r="R24" s="280"/>
      <c r="S24" s="280"/>
      <c r="T24" s="280"/>
      <c r="U24" s="280"/>
      <c r="V24" s="281"/>
      <c r="W24" s="37" t="s">
        <v>74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customHeight="1" x14ac:dyDescent="0.2">
      <c r="A25" s="320" t="s">
        <v>75</v>
      </c>
      <c r="B25" s="321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48"/>
      <c r="AB25" s="48"/>
      <c r="AC25" s="48"/>
    </row>
    <row r="26" spans="1:68" ht="16.5" customHeight="1" x14ac:dyDescent="0.25">
      <c r="A26" s="282" t="s">
        <v>76</v>
      </c>
      <c r="B26" s="283"/>
      <c r="C26" s="283"/>
      <c r="D26" s="283"/>
      <c r="E26" s="283"/>
      <c r="F26" s="283"/>
      <c r="G26" s="283"/>
      <c r="H26" s="283"/>
      <c r="I26" s="283"/>
      <c r="J26" s="283"/>
      <c r="K26" s="283"/>
      <c r="L26" s="283"/>
      <c r="M26" s="283"/>
      <c r="N26" s="283"/>
      <c r="O26" s="283"/>
      <c r="P26" s="283"/>
      <c r="Q26" s="283"/>
      <c r="R26" s="283"/>
      <c r="S26" s="283"/>
      <c r="T26" s="283"/>
      <c r="U26" s="283"/>
      <c r="V26" s="283"/>
      <c r="W26" s="283"/>
      <c r="X26" s="283"/>
      <c r="Y26" s="283"/>
      <c r="Z26" s="283"/>
      <c r="AA26" s="263"/>
      <c r="AB26" s="263"/>
      <c r="AC26" s="263"/>
    </row>
    <row r="27" spans="1:68" ht="14.25" customHeight="1" x14ac:dyDescent="0.25">
      <c r="A27" s="303" t="s">
        <v>77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3"/>
      <c r="P27" s="283"/>
      <c r="Q27" s="283"/>
      <c r="R27" s="283"/>
      <c r="S27" s="283"/>
      <c r="T27" s="283"/>
      <c r="U27" s="283"/>
      <c r="V27" s="283"/>
      <c r="W27" s="283"/>
      <c r="X27" s="283"/>
      <c r="Y27" s="283"/>
      <c r="Z27" s="283"/>
      <c r="AA27" s="264"/>
      <c r="AB27" s="264"/>
      <c r="AC27" s="264"/>
    </row>
    <row r="28" spans="1:68" ht="27" customHeight="1" x14ac:dyDescent="0.25">
      <c r="A28" s="54" t="s">
        <v>78</v>
      </c>
      <c r="B28" s="54" t="s">
        <v>79</v>
      </c>
      <c r="C28" s="31">
        <v>4301132190</v>
      </c>
      <c r="D28" s="284">
        <v>4607111036537</v>
      </c>
      <c r="E28" s="285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80</v>
      </c>
      <c r="L28" s="32" t="s">
        <v>81</v>
      </c>
      <c r="M28" s="33" t="s">
        <v>69</v>
      </c>
      <c r="N28" s="33"/>
      <c r="O28" s="32">
        <v>365</v>
      </c>
      <c r="P28" s="29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73"/>
      <c r="R28" s="273"/>
      <c r="S28" s="273"/>
      <c r="T28" s="274"/>
      <c r="U28" s="34"/>
      <c r="V28" s="34"/>
      <c r="W28" s="35" t="s">
        <v>70</v>
      </c>
      <c r="X28" s="268">
        <v>84</v>
      </c>
      <c r="Y28" s="269">
        <f>IFERROR(IF(X28="","",X28),"")</f>
        <v>84</v>
      </c>
      <c r="Z28" s="36">
        <f>IFERROR(IF(X28="","",X28*0.00941),"")</f>
        <v>0.79044000000000003</v>
      </c>
      <c r="AA28" s="56"/>
      <c r="AB28" s="57"/>
      <c r="AC28" s="74" t="s">
        <v>82</v>
      </c>
      <c r="AG28" s="67"/>
      <c r="AJ28" s="71" t="s">
        <v>83</v>
      </c>
      <c r="AK28" s="71">
        <v>14</v>
      </c>
      <c r="BB28" s="75" t="s">
        <v>84</v>
      </c>
      <c r="BM28" s="67">
        <f>IFERROR(X28*I28,"0")</f>
        <v>161.43119999999999</v>
      </c>
      <c r="BN28" s="67">
        <f>IFERROR(Y28*I28,"0")</f>
        <v>161.43119999999999</v>
      </c>
      <c r="BO28" s="67">
        <f>IFERROR(X28/J28,"0")</f>
        <v>0.6</v>
      </c>
      <c r="BP28" s="67">
        <f>IFERROR(Y28/J28,"0")</f>
        <v>0.6</v>
      </c>
    </row>
    <row r="29" spans="1:68" ht="27" customHeight="1" x14ac:dyDescent="0.25">
      <c r="A29" s="54" t="s">
        <v>85</v>
      </c>
      <c r="B29" s="54" t="s">
        <v>86</v>
      </c>
      <c r="C29" s="31">
        <v>4301132188</v>
      </c>
      <c r="D29" s="284">
        <v>4607111036605</v>
      </c>
      <c r="E29" s="285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80</v>
      </c>
      <c r="L29" s="32" t="s">
        <v>81</v>
      </c>
      <c r="M29" s="33" t="s">
        <v>69</v>
      </c>
      <c r="N29" s="33"/>
      <c r="O29" s="32">
        <v>365</v>
      </c>
      <c r="P29" s="31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73"/>
      <c r="R29" s="273"/>
      <c r="S29" s="273"/>
      <c r="T29" s="274"/>
      <c r="U29" s="34"/>
      <c r="V29" s="34"/>
      <c r="W29" s="35" t="s">
        <v>70</v>
      </c>
      <c r="X29" s="268">
        <v>140</v>
      </c>
      <c r="Y29" s="269">
        <f>IFERROR(IF(X29="","",X29),"")</f>
        <v>140</v>
      </c>
      <c r="Z29" s="36">
        <f>IFERROR(IF(X29="","",X29*0.00941),"")</f>
        <v>1.3173999999999999</v>
      </c>
      <c r="AA29" s="56"/>
      <c r="AB29" s="57"/>
      <c r="AC29" s="76" t="s">
        <v>82</v>
      </c>
      <c r="AG29" s="67"/>
      <c r="AJ29" s="71" t="s">
        <v>83</v>
      </c>
      <c r="AK29" s="71">
        <v>14</v>
      </c>
      <c r="BB29" s="77" t="s">
        <v>84</v>
      </c>
      <c r="BM29" s="67">
        <f>IFERROR(X29*I29,"0")</f>
        <v>269.05200000000002</v>
      </c>
      <c r="BN29" s="67">
        <f>IFERROR(Y29*I29,"0")</f>
        <v>269.05200000000002</v>
      </c>
      <c r="BO29" s="67">
        <f>IFERROR(X29/J29,"0")</f>
        <v>1</v>
      </c>
      <c r="BP29" s="67">
        <f>IFERROR(Y29/J29,"0")</f>
        <v>1</v>
      </c>
    </row>
    <row r="30" spans="1:68" x14ac:dyDescent="0.2">
      <c r="A30" s="286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7"/>
      <c r="P30" s="279" t="s">
        <v>73</v>
      </c>
      <c r="Q30" s="280"/>
      <c r="R30" s="280"/>
      <c r="S30" s="280"/>
      <c r="T30" s="280"/>
      <c r="U30" s="280"/>
      <c r="V30" s="281"/>
      <c r="W30" s="37" t="s">
        <v>70</v>
      </c>
      <c r="X30" s="270">
        <f>IFERROR(SUM(X28:X29),"0")</f>
        <v>224</v>
      </c>
      <c r="Y30" s="270">
        <f>IFERROR(SUM(Y28:Y29),"0")</f>
        <v>224</v>
      </c>
      <c r="Z30" s="270">
        <f>IFERROR(IF(Z28="",0,Z28),"0")+IFERROR(IF(Z29="",0,Z29),"0")</f>
        <v>2.1078399999999999</v>
      </c>
      <c r="AA30" s="271"/>
      <c r="AB30" s="271"/>
      <c r="AC30" s="271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7"/>
      <c r="P31" s="279" t="s">
        <v>73</v>
      </c>
      <c r="Q31" s="280"/>
      <c r="R31" s="280"/>
      <c r="S31" s="280"/>
      <c r="T31" s="280"/>
      <c r="U31" s="280"/>
      <c r="V31" s="281"/>
      <c r="W31" s="37" t="s">
        <v>74</v>
      </c>
      <c r="X31" s="270">
        <f>IFERROR(SUMPRODUCT(X28:X29*H28:H29),"0")</f>
        <v>336</v>
      </c>
      <c r="Y31" s="270">
        <f>IFERROR(SUMPRODUCT(Y28:Y29*H28:H29),"0")</f>
        <v>336</v>
      </c>
      <c r="Z31" s="37"/>
      <c r="AA31" s="271"/>
      <c r="AB31" s="271"/>
      <c r="AC31" s="271"/>
    </row>
    <row r="32" spans="1:68" ht="16.5" customHeight="1" x14ac:dyDescent="0.25">
      <c r="A32" s="282" t="s">
        <v>87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63"/>
      <c r="AB32" s="263"/>
      <c r="AC32" s="263"/>
    </row>
    <row r="33" spans="1:68" ht="14.25" customHeight="1" x14ac:dyDescent="0.25">
      <c r="A33" s="303" t="s">
        <v>64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64"/>
      <c r="AB33" s="264"/>
      <c r="AC33" s="264"/>
    </row>
    <row r="34" spans="1:68" ht="27" customHeight="1" x14ac:dyDescent="0.25">
      <c r="A34" s="54" t="s">
        <v>88</v>
      </c>
      <c r="B34" s="54" t="s">
        <v>89</v>
      </c>
      <c r="C34" s="31">
        <v>4301071090</v>
      </c>
      <c r="D34" s="284">
        <v>4620207490075</v>
      </c>
      <c r="E34" s="285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67</v>
      </c>
      <c r="L34" s="32" t="s">
        <v>81</v>
      </c>
      <c r="M34" s="33" t="s">
        <v>69</v>
      </c>
      <c r="N34" s="33"/>
      <c r="O34" s="32">
        <v>180</v>
      </c>
      <c r="P34" s="41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73"/>
      <c r="R34" s="273"/>
      <c r="S34" s="273"/>
      <c r="T34" s="274"/>
      <c r="U34" s="34"/>
      <c r="V34" s="34"/>
      <c r="W34" s="35" t="s">
        <v>70</v>
      </c>
      <c r="X34" s="268">
        <v>24</v>
      </c>
      <c r="Y34" s="269">
        <f>IFERROR(IF(X34="","",X34),"")</f>
        <v>24</v>
      </c>
      <c r="Z34" s="36">
        <f>IFERROR(IF(X34="","",X34*0.0155),"")</f>
        <v>0.372</v>
      </c>
      <c r="AA34" s="56"/>
      <c r="AB34" s="57"/>
      <c r="AC34" s="78" t="s">
        <v>90</v>
      </c>
      <c r="AG34" s="67"/>
      <c r="AJ34" s="71" t="s">
        <v>83</v>
      </c>
      <c r="AK34" s="71">
        <v>12</v>
      </c>
      <c r="BB34" s="79" t="s">
        <v>1</v>
      </c>
      <c r="BM34" s="67">
        <f>IFERROR(X34*I34,"0")</f>
        <v>140.88</v>
      </c>
      <c r="BN34" s="67">
        <f>IFERROR(Y34*I34,"0")</f>
        <v>140.88</v>
      </c>
      <c r="BO34" s="67">
        <f>IFERROR(X34/J34,"0")</f>
        <v>0.2857142857142857</v>
      </c>
      <c r="BP34" s="67">
        <f>IFERROR(Y34/J34,"0")</f>
        <v>0.2857142857142857</v>
      </c>
    </row>
    <row r="35" spans="1:68" ht="27" customHeight="1" x14ac:dyDescent="0.25">
      <c r="A35" s="54" t="s">
        <v>91</v>
      </c>
      <c r="B35" s="54" t="s">
        <v>92</v>
      </c>
      <c r="C35" s="31">
        <v>4301071092</v>
      </c>
      <c r="D35" s="284">
        <v>4620207490174</v>
      </c>
      <c r="E35" s="285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67</v>
      </c>
      <c r="L35" s="32" t="s">
        <v>81</v>
      </c>
      <c r="M35" s="33" t="s">
        <v>69</v>
      </c>
      <c r="N35" s="33"/>
      <c r="O35" s="32">
        <v>180</v>
      </c>
      <c r="P35" s="41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73"/>
      <c r="R35" s="273"/>
      <c r="S35" s="273"/>
      <c r="T35" s="274"/>
      <c r="U35" s="34"/>
      <c r="V35" s="34"/>
      <c r="W35" s="35" t="s">
        <v>70</v>
      </c>
      <c r="X35" s="268">
        <v>36</v>
      </c>
      <c r="Y35" s="269">
        <f>IFERROR(IF(X35="","",X35),"")</f>
        <v>36</v>
      </c>
      <c r="Z35" s="36">
        <f>IFERROR(IF(X35="","",X35*0.0155),"")</f>
        <v>0.55800000000000005</v>
      </c>
      <c r="AA35" s="56"/>
      <c r="AB35" s="57"/>
      <c r="AC35" s="80" t="s">
        <v>93</v>
      </c>
      <c r="AG35" s="67"/>
      <c r="AJ35" s="71" t="s">
        <v>83</v>
      </c>
      <c r="AK35" s="71">
        <v>12</v>
      </c>
      <c r="BB35" s="81" t="s">
        <v>1</v>
      </c>
      <c r="BM35" s="67">
        <f>IFERROR(X35*I35,"0")</f>
        <v>211.32</v>
      </c>
      <c r="BN35" s="67">
        <f>IFERROR(Y35*I35,"0")</f>
        <v>211.32</v>
      </c>
      <c r="BO35" s="67">
        <f>IFERROR(X35/J35,"0")</f>
        <v>0.42857142857142855</v>
      </c>
      <c r="BP35" s="67">
        <f>IFERROR(Y35/J35,"0")</f>
        <v>0.42857142857142855</v>
      </c>
    </row>
    <row r="36" spans="1:68" ht="27" customHeight="1" x14ac:dyDescent="0.25">
      <c r="A36" s="54" t="s">
        <v>94</v>
      </c>
      <c r="B36" s="54" t="s">
        <v>95</v>
      </c>
      <c r="C36" s="31">
        <v>4301071091</v>
      </c>
      <c r="D36" s="284">
        <v>4620207490044</v>
      </c>
      <c r="E36" s="285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67</v>
      </c>
      <c r="L36" s="32" t="s">
        <v>81</v>
      </c>
      <c r="M36" s="33" t="s">
        <v>69</v>
      </c>
      <c r="N36" s="33"/>
      <c r="O36" s="32">
        <v>180</v>
      </c>
      <c r="P36" s="423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73"/>
      <c r="R36" s="273"/>
      <c r="S36" s="273"/>
      <c r="T36" s="274"/>
      <c r="U36" s="34"/>
      <c r="V36" s="34"/>
      <c r="W36" s="35" t="s">
        <v>70</v>
      </c>
      <c r="X36" s="268">
        <v>12</v>
      </c>
      <c r="Y36" s="269">
        <f>IFERROR(IF(X36="","",X36),"")</f>
        <v>12</v>
      </c>
      <c r="Z36" s="36">
        <f>IFERROR(IF(X36="","",X36*0.0155),"")</f>
        <v>0.186</v>
      </c>
      <c r="AA36" s="56"/>
      <c r="AB36" s="57"/>
      <c r="AC36" s="82" t="s">
        <v>96</v>
      </c>
      <c r="AG36" s="67"/>
      <c r="AJ36" s="71" t="s">
        <v>83</v>
      </c>
      <c r="AK36" s="71">
        <v>12</v>
      </c>
      <c r="BB36" s="83" t="s">
        <v>1</v>
      </c>
      <c r="BM36" s="67">
        <f>IFERROR(X36*I36,"0")</f>
        <v>70.44</v>
      </c>
      <c r="BN36" s="67">
        <f>IFERROR(Y36*I36,"0")</f>
        <v>70.44</v>
      </c>
      <c r="BO36" s="67">
        <f>IFERROR(X36/J36,"0")</f>
        <v>0.14285714285714285</v>
      </c>
      <c r="BP36" s="67">
        <f>IFERROR(Y36/J36,"0")</f>
        <v>0.14285714285714285</v>
      </c>
    </row>
    <row r="37" spans="1:68" x14ac:dyDescent="0.2">
      <c r="A37" s="286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7"/>
      <c r="P37" s="279" t="s">
        <v>73</v>
      </c>
      <c r="Q37" s="280"/>
      <c r="R37" s="280"/>
      <c r="S37" s="280"/>
      <c r="T37" s="280"/>
      <c r="U37" s="280"/>
      <c r="V37" s="281"/>
      <c r="W37" s="37" t="s">
        <v>70</v>
      </c>
      <c r="X37" s="270">
        <f>IFERROR(SUM(X34:X36),"0")</f>
        <v>72</v>
      </c>
      <c r="Y37" s="270">
        <f>IFERROR(SUM(Y34:Y36),"0")</f>
        <v>72</v>
      </c>
      <c r="Z37" s="270">
        <f>IFERROR(IF(Z34="",0,Z34),"0")+IFERROR(IF(Z35="",0,Z35),"0")+IFERROR(IF(Z36="",0,Z36),"0")</f>
        <v>1.1160000000000001</v>
      </c>
      <c r="AA37" s="271"/>
      <c r="AB37" s="271"/>
      <c r="AC37" s="271"/>
    </row>
    <row r="38" spans="1:68" x14ac:dyDescent="0.2">
      <c r="A38" s="283"/>
      <c r="B38" s="283"/>
      <c r="C38" s="283"/>
      <c r="D38" s="283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7"/>
      <c r="P38" s="279" t="s">
        <v>73</v>
      </c>
      <c r="Q38" s="280"/>
      <c r="R38" s="280"/>
      <c r="S38" s="280"/>
      <c r="T38" s="280"/>
      <c r="U38" s="280"/>
      <c r="V38" s="281"/>
      <c r="W38" s="37" t="s">
        <v>74</v>
      </c>
      <c r="X38" s="270">
        <f>IFERROR(SUMPRODUCT(X34:X36*H34:H36),"0")</f>
        <v>403.2</v>
      </c>
      <c r="Y38" s="270">
        <f>IFERROR(SUMPRODUCT(Y34:Y36*H34:H36),"0")</f>
        <v>403.2</v>
      </c>
      <c r="Z38" s="37"/>
      <c r="AA38" s="271"/>
      <c r="AB38" s="271"/>
      <c r="AC38" s="271"/>
    </row>
    <row r="39" spans="1:68" ht="16.5" customHeight="1" x14ac:dyDescent="0.25">
      <c r="A39" s="282" t="s">
        <v>97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63"/>
      <c r="AB39" s="263"/>
      <c r="AC39" s="263"/>
    </row>
    <row r="40" spans="1:68" ht="14.25" customHeight="1" x14ac:dyDescent="0.25">
      <c r="A40" s="303" t="s">
        <v>64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64"/>
      <c r="AB40" s="264"/>
      <c r="AC40" s="264"/>
    </row>
    <row r="41" spans="1:68" ht="27" customHeight="1" x14ac:dyDescent="0.25">
      <c r="A41" s="54" t="s">
        <v>98</v>
      </c>
      <c r="B41" s="54" t="s">
        <v>99</v>
      </c>
      <c r="C41" s="31">
        <v>4301071044</v>
      </c>
      <c r="D41" s="284">
        <v>4607111039385</v>
      </c>
      <c r="E41" s="285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67</v>
      </c>
      <c r="L41" s="32" t="s">
        <v>81</v>
      </c>
      <c r="M41" s="33" t="s">
        <v>69</v>
      </c>
      <c r="N41" s="33"/>
      <c r="O41" s="32">
        <v>180</v>
      </c>
      <c r="P41" s="41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73"/>
      <c r="R41" s="273"/>
      <c r="S41" s="273"/>
      <c r="T41" s="274"/>
      <c r="U41" s="34"/>
      <c r="V41" s="34"/>
      <c r="W41" s="35" t="s">
        <v>70</v>
      </c>
      <c r="X41" s="268">
        <v>12</v>
      </c>
      <c r="Y41" s="269">
        <f>IFERROR(IF(X41="","",X41),"")</f>
        <v>12</v>
      </c>
      <c r="Z41" s="36">
        <f>IFERROR(IF(X41="","",X41*0.0155),"")</f>
        <v>0.186</v>
      </c>
      <c r="AA41" s="56"/>
      <c r="AB41" s="57"/>
      <c r="AC41" s="84" t="s">
        <v>100</v>
      </c>
      <c r="AG41" s="67"/>
      <c r="AJ41" s="71" t="s">
        <v>83</v>
      </c>
      <c r="AK41" s="71">
        <v>12</v>
      </c>
      <c r="BB41" s="85" t="s">
        <v>1</v>
      </c>
      <c r="BM41" s="67">
        <f>IFERROR(X41*I41,"0")</f>
        <v>87.6</v>
      </c>
      <c r="BN41" s="67">
        <f>IFERROR(Y41*I41,"0")</f>
        <v>87.6</v>
      </c>
      <c r="BO41" s="67">
        <f>IFERROR(X41/J41,"0")</f>
        <v>0.14285714285714285</v>
      </c>
      <c r="BP41" s="67">
        <f>IFERROR(Y41/J41,"0")</f>
        <v>0.14285714285714285</v>
      </c>
    </row>
    <row r="42" spans="1:68" ht="27" customHeight="1" x14ac:dyDescent="0.25">
      <c r="A42" s="54" t="s">
        <v>101</v>
      </c>
      <c r="B42" s="54" t="s">
        <v>102</v>
      </c>
      <c r="C42" s="31">
        <v>4301071031</v>
      </c>
      <c r="D42" s="284">
        <v>4607111038982</v>
      </c>
      <c r="E42" s="285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67</v>
      </c>
      <c r="L42" s="32" t="s">
        <v>81</v>
      </c>
      <c r="M42" s="33" t="s">
        <v>69</v>
      </c>
      <c r="N42" s="33"/>
      <c r="O42" s="32">
        <v>180</v>
      </c>
      <c r="P42" s="32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73"/>
      <c r="R42" s="273"/>
      <c r="S42" s="273"/>
      <c r="T42" s="274"/>
      <c r="U42" s="34"/>
      <c r="V42" s="34"/>
      <c r="W42" s="35" t="s">
        <v>70</v>
      </c>
      <c r="X42" s="268">
        <v>0</v>
      </c>
      <c r="Y42" s="269">
        <f>IFERROR(IF(X42="","",X42),"")</f>
        <v>0</v>
      </c>
      <c r="Z42" s="36">
        <f>IFERROR(IF(X42="","",X42*0.0155),"")</f>
        <v>0</v>
      </c>
      <c r="AA42" s="56"/>
      <c r="AB42" s="57"/>
      <c r="AC42" s="86" t="s">
        <v>103</v>
      </c>
      <c r="AG42" s="67"/>
      <c r="AJ42" s="71" t="s">
        <v>83</v>
      </c>
      <c r="AK42" s="71">
        <v>12</v>
      </c>
      <c r="BB42" s="87" t="s">
        <v>1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t="27" customHeight="1" x14ac:dyDescent="0.25">
      <c r="A43" s="54" t="s">
        <v>104</v>
      </c>
      <c r="B43" s="54" t="s">
        <v>105</v>
      </c>
      <c r="C43" s="31">
        <v>4301071046</v>
      </c>
      <c r="D43" s="284">
        <v>4607111039354</v>
      </c>
      <c r="E43" s="285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67</v>
      </c>
      <c r="L43" s="32" t="s">
        <v>81</v>
      </c>
      <c r="M43" s="33" t="s">
        <v>69</v>
      </c>
      <c r="N43" s="33"/>
      <c r="O43" s="32">
        <v>180</v>
      </c>
      <c r="P43" s="36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73"/>
      <c r="R43" s="273"/>
      <c r="S43" s="273"/>
      <c r="T43" s="274"/>
      <c r="U43" s="34"/>
      <c r="V43" s="34"/>
      <c r="W43" s="35" t="s">
        <v>70</v>
      </c>
      <c r="X43" s="268">
        <v>12</v>
      </c>
      <c r="Y43" s="269">
        <f>IFERROR(IF(X43="","",X43),"")</f>
        <v>12</v>
      </c>
      <c r="Z43" s="36">
        <f>IFERROR(IF(X43="","",X43*0.0155),"")</f>
        <v>0.186</v>
      </c>
      <c r="AA43" s="56"/>
      <c r="AB43" s="57"/>
      <c r="AC43" s="88" t="s">
        <v>103</v>
      </c>
      <c r="AG43" s="67"/>
      <c r="AJ43" s="71" t="s">
        <v>83</v>
      </c>
      <c r="AK43" s="71">
        <v>12</v>
      </c>
      <c r="BB43" s="89" t="s">
        <v>1</v>
      </c>
      <c r="BM43" s="67">
        <f>IFERROR(X43*I43,"0")</f>
        <v>80.635199999999998</v>
      </c>
      <c r="BN43" s="67">
        <f>IFERROR(Y43*I43,"0")</f>
        <v>80.635199999999998</v>
      </c>
      <c r="BO43" s="67">
        <f>IFERROR(X43/J43,"0")</f>
        <v>0.14285714285714285</v>
      </c>
      <c r="BP43" s="67">
        <f>IFERROR(Y43/J43,"0")</f>
        <v>0.14285714285714285</v>
      </c>
    </row>
    <row r="44" spans="1:68" ht="27" customHeight="1" x14ac:dyDescent="0.25">
      <c r="A44" s="54" t="s">
        <v>106</v>
      </c>
      <c r="B44" s="54" t="s">
        <v>107</v>
      </c>
      <c r="C44" s="31">
        <v>4301071047</v>
      </c>
      <c r="D44" s="284">
        <v>4607111039330</v>
      </c>
      <c r="E44" s="285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67</v>
      </c>
      <c r="L44" s="32" t="s">
        <v>81</v>
      </c>
      <c r="M44" s="33" t="s">
        <v>69</v>
      </c>
      <c r="N44" s="33"/>
      <c r="O44" s="32">
        <v>180</v>
      </c>
      <c r="P44" s="31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73"/>
      <c r="R44" s="273"/>
      <c r="S44" s="273"/>
      <c r="T44" s="274"/>
      <c r="U44" s="34"/>
      <c r="V44" s="34"/>
      <c r="W44" s="35" t="s">
        <v>70</v>
      </c>
      <c r="X44" s="268">
        <v>36</v>
      </c>
      <c r="Y44" s="269">
        <f>IFERROR(IF(X44="","",X44),"")</f>
        <v>36</v>
      </c>
      <c r="Z44" s="36">
        <f>IFERROR(IF(X44="","",X44*0.0155),"")</f>
        <v>0.55800000000000005</v>
      </c>
      <c r="AA44" s="56"/>
      <c r="AB44" s="57"/>
      <c r="AC44" s="90" t="s">
        <v>103</v>
      </c>
      <c r="AG44" s="67"/>
      <c r="AJ44" s="71" t="s">
        <v>83</v>
      </c>
      <c r="AK44" s="71">
        <v>12</v>
      </c>
      <c r="BB44" s="91" t="s">
        <v>1</v>
      </c>
      <c r="BM44" s="67">
        <f>IFERROR(X44*I44,"0")</f>
        <v>262.8</v>
      </c>
      <c r="BN44" s="67">
        <f>IFERROR(Y44*I44,"0")</f>
        <v>262.8</v>
      </c>
      <c r="BO44" s="67">
        <f>IFERROR(X44/J44,"0")</f>
        <v>0.42857142857142855</v>
      </c>
      <c r="BP44" s="67">
        <f>IFERROR(Y44/J44,"0")</f>
        <v>0.42857142857142855</v>
      </c>
    </row>
    <row r="45" spans="1:68" x14ac:dyDescent="0.2">
      <c r="A45" s="286"/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7"/>
      <c r="P45" s="279" t="s">
        <v>73</v>
      </c>
      <c r="Q45" s="280"/>
      <c r="R45" s="280"/>
      <c r="S45" s="280"/>
      <c r="T45" s="280"/>
      <c r="U45" s="280"/>
      <c r="V45" s="281"/>
      <c r="W45" s="37" t="s">
        <v>70</v>
      </c>
      <c r="X45" s="270">
        <f>IFERROR(SUM(X41:X44),"0")</f>
        <v>60</v>
      </c>
      <c r="Y45" s="270">
        <f>IFERROR(SUM(Y41:Y44),"0")</f>
        <v>60</v>
      </c>
      <c r="Z45" s="270">
        <f>IFERROR(IF(Z41="",0,Z41),"0")+IFERROR(IF(Z42="",0,Z42),"0")+IFERROR(IF(Z43="",0,Z43),"0")+IFERROR(IF(Z44="",0,Z44),"0")</f>
        <v>0.93</v>
      </c>
      <c r="AA45" s="271"/>
      <c r="AB45" s="271"/>
      <c r="AC45" s="271"/>
    </row>
    <row r="46" spans="1:68" x14ac:dyDescent="0.2">
      <c r="A46" s="283"/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7"/>
      <c r="P46" s="279" t="s">
        <v>73</v>
      </c>
      <c r="Q46" s="280"/>
      <c r="R46" s="280"/>
      <c r="S46" s="280"/>
      <c r="T46" s="280"/>
      <c r="U46" s="280"/>
      <c r="V46" s="281"/>
      <c r="W46" s="37" t="s">
        <v>74</v>
      </c>
      <c r="X46" s="270">
        <f>IFERROR(SUMPRODUCT(X41:X44*H41:H44),"0")</f>
        <v>412.8</v>
      </c>
      <c r="Y46" s="270">
        <f>IFERROR(SUMPRODUCT(Y41:Y44*H41:H44),"0")</f>
        <v>412.8</v>
      </c>
      <c r="Z46" s="37"/>
      <c r="AA46" s="271"/>
      <c r="AB46" s="271"/>
      <c r="AC46" s="271"/>
    </row>
    <row r="47" spans="1:68" ht="16.5" customHeight="1" x14ac:dyDescent="0.25">
      <c r="A47" s="282" t="s">
        <v>108</v>
      </c>
      <c r="B47" s="283"/>
      <c r="C47" s="283"/>
      <c r="D47" s="283"/>
      <c r="E47" s="283"/>
      <c r="F47" s="283"/>
      <c r="G47" s="283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283"/>
      <c r="S47" s="283"/>
      <c r="T47" s="283"/>
      <c r="U47" s="283"/>
      <c r="V47" s="283"/>
      <c r="W47" s="283"/>
      <c r="X47" s="283"/>
      <c r="Y47" s="283"/>
      <c r="Z47" s="283"/>
      <c r="AA47" s="263"/>
      <c r="AB47" s="263"/>
      <c r="AC47" s="263"/>
    </row>
    <row r="48" spans="1:68" ht="14.25" customHeight="1" x14ac:dyDescent="0.25">
      <c r="A48" s="303" t="s">
        <v>64</v>
      </c>
      <c r="B48" s="283"/>
      <c r="C48" s="283"/>
      <c r="D48" s="283"/>
      <c r="E48" s="283"/>
      <c r="F48" s="283"/>
      <c r="G48" s="283"/>
      <c r="H48" s="283"/>
      <c r="I48" s="283"/>
      <c r="J48" s="283"/>
      <c r="K48" s="283"/>
      <c r="L48" s="283"/>
      <c r="M48" s="283"/>
      <c r="N48" s="283"/>
      <c r="O48" s="283"/>
      <c r="P48" s="283"/>
      <c r="Q48" s="283"/>
      <c r="R48" s="283"/>
      <c r="S48" s="283"/>
      <c r="T48" s="283"/>
      <c r="U48" s="283"/>
      <c r="V48" s="283"/>
      <c r="W48" s="283"/>
      <c r="X48" s="283"/>
      <c r="Y48" s="283"/>
      <c r="Z48" s="283"/>
      <c r="AA48" s="264"/>
      <c r="AB48" s="264"/>
      <c r="AC48" s="264"/>
    </row>
    <row r="49" spans="1:68" ht="16.5" customHeight="1" x14ac:dyDescent="0.25">
      <c r="A49" s="54" t="s">
        <v>109</v>
      </c>
      <c r="B49" s="54" t="s">
        <v>110</v>
      </c>
      <c r="C49" s="31">
        <v>4301071073</v>
      </c>
      <c r="D49" s="284">
        <v>4620207490822</v>
      </c>
      <c r="E49" s="285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67</v>
      </c>
      <c r="L49" s="32" t="s">
        <v>68</v>
      </c>
      <c r="M49" s="33" t="s">
        <v>69</v>
      </c>
      <c r="N49" s="33"/>
      <c r="O49" s="32">
        <v>365</v>
      </c>
      <c r="P49" s="422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73"/>
      <c r="R49" s="273"/>
      <c r="S49" s="273"/>
      <c r="T49" s="274"/>
      <c r="U49" s="34"/>
      <c r="V49" s="34"/>
      <c r="W49" s="35" t="s">
        <v>70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111</v>
      </c>
      <c r="AG49" s="67"/>
      <c r="AJ49" s="71" t="s">
        <v>72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86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7"/>
      <c r="P50" s="279" t="s">
        <v>73</v>
      </c>
      <c r="Q50" s="280"/>
      <c r="R50" s="280"/>
      <c r="S50" s="280"/>
      <c r="T50" s="280"/>
      <c r="U50" s="280"/>
      <c r="V50" s="281"/>
      <c r="W50" s="37" t="s">
        <v>70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x14ac:dyDescent="0.2">
      <c r="A51" s="283"/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7"/>
      <c r="P51" s="279" t="s">
        <v>73</v>
      </c>
      <c r="Q51" s="280"/>
      <c r="R51" s="280"/>
      <c r="S51" s="280"/>
      <c r="T51" s="280"/>
      <c r="U51" s="280"/>
      <c r="V51" s="281"/>
      <c r="W51" s="37" t="s">
        <v>74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customHeight="1" x14ac:dyDescent="0.25">
      <c r="A52" s="303" t="s">
        <v>77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64"/>
      <c r="AB52" s="264"/>
      <c r="AC52" s="264"/>
    </row>
    <row r="53" spans="1:68" ht="27" customHeight="1" x14ac:dyDescent="0.25">
      <c r="A53" s="54" t="s">
        <v>112</v>
      </c>
      <c r="B53" s="54" t="s">
        <v>113</v>
      </c>
      <c r="C53" s="31">
        <v>4301132194</v>
      </c>
      <c r="D53" s="284">
        <v>4607111039712</v>
      </c>
      <c r="E53" s="285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80</v>
      </c>
      <c r="L53" s="32" t="s">
        <v>68</v>
      </c>
      <c r="M53" s="33" t="s">
        <v>69</v>
      </c>
      <c r="N53" s="33"/>
      <c r="O53" s="32">
        <v>365</v>
      </c>
      <c r="P53" s="35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73"/>
      <c r="R53" s="273"/>
      <c r="S53" s="273"/>
      <c r="T53" s="274"/>
      <c r="U53" s="34"/>
      <c r="V53" s="34"/>
      <c r="W53" s="35" t="s">
        <v>70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114</v>
      </c>
      <c r="AG53" s="67"/>
      <c r="AJ53" s="71" t="s">
        <v>72</v>
      </c>
      <c r="AK53" s="71">
        <v>1</v>
      </c>
      <c r="BB53" s="95" t="s">
        <v>84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286"/>
      <c r="B54" s="283"/>
      <c r="C54" s="283"/>
      <c r="D54" s="283"/>
      <c r="E54" s="283"/>
      <c r="F54" s="283"/>
      <c r="G54" s="283"/>
      <c r="H54" s="283"/>
      <c r="I54" s="283"/>
      <c r="J54" s="283"/>
      <c r="K54" s="283"/>
      <c r="L54" s="283"/>
      <c r="M54" s="283"/>
      <c r="N54" s="283"/>
      <c r="O54" s="287"/>
      <c r="P54" s="279" t="s">
        <v>73</v>
      </c>
      <c r="Q54" s="280"/>
      <c r="R54" s="280"/>
      <c r="S54" s="280"/>
      <c r="T54" s="280"/>
      <c r="U54" s="280"/>
      <c r="V54" s="281"/>
      <c r="W54" s="37" t="s">
        <v>70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x14ac:dyDescent="0.2">
      <c r="A55" s="283"/>
      <c r="B55" s="283"/>
      <c r="C55" s="283"/>
      <c r="D55" s="283"/>
      <c r="E55" s="283"/>
      <c r="F55" s="283"/>
      <c r="G55" s="283"/>
      <c r="H55" s="283"/>
      <c r="I55" s="283"/>
      <c r="J55" s="283"/>
      <c r="K55" s="283"/>
      <c r="L55" s="283"/>
      <c r="M55" s="283"/>
      <c r="N55" s="283"/>
      <c r="O55" s="287"/>
      <c r="P55" s="279" t="s">
        <v>73</v>
      </c>
      <c r="Q55" s="280"/>
      <c r="R55" s="280"/>
      <c r="S55" s="280"/>
      <c r="T55" s="280"/>
      <c r="U55" s="280"/>
      <c r="V55" s="281"/>
      <c r="W55" s="37" t="s">
        <v>74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customHeight="1" x14ac:dyDescent="0.25">
      <c r="A56" s="303" t="s">
        <v>115</v>
      </c>
      <c r="B56" s="283"/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  <c r="N56" s="283"/>
      <c r="O56" s="283"/>
      <c r="P56" s="283"/>
      <c r="Q56" s="283"/>
      <c r="R56" s="283"/>
      <c r="S56" s="283"/>
      <c r="T56" s="283"/>
      <c r="U56" s="283"/>
      <c r="V56" s="283"/>
      <c r="W56" s="283"/>
      <c r="X56" s="283"/>
      <c r="Y56" s="283"/>
      <c r="Z56" s="283"/>
      <c r="AA56" s="264"/>
      <c r="AB56" s="264"/>
      <c r="AC56" s="264"/>
    </row>
    <row r="57" spans="1:68" ht="16.5" customHeight="1" x14ac:dyDescent="0.25">
      <c r="A57" s="54" t="s">
        <v>116</v>
      </c>
      <c r="B57" s="54" t="s">
        <v>117</v>
      </c>
      <c r="C57" s="31">
        <v>4301136018</v>
      </c>
      <c r="D57" s="284">
        <v>4607111037008</v>
      </c>
      <c r="E57" s="285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80</v>
      </c>
      <c r="L57" s="32" t="s">
        <v>68</v>
      </c>
      <c r="M57" s="33" t="s">
        <v>69</v>
      </c>
      <c r="N57" s="33"/>
      <c r="O57" s="32">
        <v>365</v>
      </c>
      <c r="P57" s="44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73"/>
      <c r="R57" s="273"/>
      <c r="S57" s="273"/>
      <c r="T57" s="274"/>
      <c r="U57" s="34"/>
      <c r="V57" s="34"/>
      <c r="W57" s="35" t="s">
        <v>70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118</v>
      </c>
      <c r="AG57" s="67"/>
      <c r="AJ57" s="71" t="s">
        <v>72</v>
      </c>
      <c r="AK57" s="71">
        <v>1</v>
      </c>
      <c r="BB57" s="97" t="s">
        <v>84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119</v>
      </c>
      <c r="B58" s="54" t="s">
        <v>120</v>
      </c>
      <c r="C58" s="31">
        <v>4301136015</v>
      </c>
      <c r="D58" s="284">
        <v>4607111037398</v>
      </c>
      <c r="E58" s="285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73"/>
      <c r="R58" s="273"/>
      <c r="S58" s="273"/>
      <c r="T58" s="274"/>
      <c r="U58" s="34"/>
      <c r="V58" s="34"/>
      <c r="W58" s="35" t="s">
        <v>70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118</v>
      </c>
      <c r="AG58" s="67"/>
      <c r="AJ58" s="71" t="s">
        <v>72</v>
      </c>
      <c r="AK58" s="71">
        <v>1</v>
      </c>
      <c r="BB58" s="99" t="s">
        <v>84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86"/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7"/>
      <c r="P59" s="279" t="s">
        <v>73</v>
      </c>
      <c r="Q59" s="280"/>
      <c r="R59" s="280"/>
      <c r="S59" s="280"/>
      <c r="T59" s="280"/>
      <c r="U59" s="280"/>
      <c r="V59" s="281"/>
      <c r="W59" s="37" t="s">
        <v>70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x14ac:dyDescent="0.2">
      <c r="A60" s="283"/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7"/>
      <c r="P60" s="279" t="s">
        <v>73</v>
      </c>
      <c r="Q60" s="280"/>
      <c r="R60" s="280"/>
      <c r="S60" s="280"/>
      <c r="T60" s="280"/>
      <c r="U60" s="280"/>
      <c r="V60" s="281"/>
      <c r="W60" s="37" t="s">
        <v>74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customHeight="1" x14ac:dyDescent="0.25">
      <c r="A61" s="303" t="s">
        <v>121</v>
      </c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3"/>
      <c r="AA61" s="264"/>
      <c r="AB61" s="264"/>
      <c r="AC61" s="264"/>
    </row>
    <row r="62" spans="1:68" ht="27" customHeight="1" x14ac:dyDescent="0.25">
      <c r="A62" s="54" t="s">
        <v>122</v>
      </c>
      <c r="B62" s="54" t="s">
        <v>123</v>
      </c>
      <c r="C62" s="31">
        <v>4301135664</v>
      </c>
      <c r="D62" s="284">
        <v>4607111039705</v>
      </c>
      <c r="E62" s="285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42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73"/>
      <c r="R62" s="273"/>
      <c r="S62" s="273"/>
      <c r="T62" s="274"/>
      <c r="U62" s="34"/>
      <c r="V62" s="34"/>
      <c r="W62" s="35" t="s">
        <v>70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118</v>
      </c>
      <c r="AG62" s="67"/>
      <c r="AJ62" s="71" t="s">
        <v>72</v>
      </c>
      <c r="AK62" s="71">
        <v>1</v>
      </c>
      <c r="BB62" s="101" t="s">
        <v>84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124</v>
      </c>
      <c r="B63" s="54" t="s">
        <v>125</v>
      </c>
      <c r="C63" s="31">
        <v>4301135665</v>
      </c>
      <c r="D63" s="284">
        <v>4607111039729</v>
      </c>
      <c r="E63" s="285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33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73"/>
      <c r="R63" s="273"/>
      <c r="S63" s="273"/>
      <c r="T63" s="274"/>
      <c r="U63" s="34"/>
      <c r="V63" s="34"/>
      <c r="W63" s="35" t="s">
        <v>70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126</v>
      </c>
      <c r="AG63" s="67"/>
      <c r="AJ63" s="71" t="s">
        <v>72</v>
      </c>
      <c r="AK63" s="71">
        <v>1</v>
      </c>
      <c r="BB63" s="103" t="s">
        <v>84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customHeight="1" x14ac:dyDescent="0.25">
      <c r="A64" s="54" t="s">
        <v>127</v>
      </c>
      <c r="B64" s="54" t="s">
        <v>128</v>
      </c>
      <c r="C64" s="31">
        <v>4301135702</v>
      </c>
      <c r="D64" s="284">
        <v>4620207490228</v>
      </c>
      <c r="E64" s="285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80</v>
      </c>
      <c r="L64" s="32" t="s">
        <v>68</v>
      </c>
      <c r="M64" s="33" t="s">
        <v>69</v>
      </c>
      <c r="N64" s="33"/>
      <c r="O64" s="32">
        <v>365</v>
      </c>
      <c r="P64" s="43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73"/>
      <c r="R64" s="273"/>
      <c r="S64" s="273"/>
      <c r="T64" s="274"/>
      <c r="U64" s="34"/>
      <c r="V64" s="34"/>
      <c r="W64" s="35" t="s">
        <v>70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126</v>
      </c>
      <c r="AG64" s="67"/>
      <c r="AJ64" s="71" t="s">
        <v>72</v>
      </c>
      <c r="AK64" s="71">
        <v>1</v>
      </c>
      <c r="BB64" s="105" t="s">
        <v>84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6"/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7"/>
      <c r="P65" s="279" t="s">
        <v>73</v>
      </c>
      <c r="Q65" s="280"/>
      <c r="R65" s="280"/>
      <c r="S65" s="280"/>
      <c r="T65" s="280"/>
      <c r="U65" s="280"/>
      <c r="V65" s="281"/>
      <c r="W65" s="37" t="s">
        <v>70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x14ac:dyDescent="0.2">
      <c r="A66" s="283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7"/>
      <c r="P66" s="279" t="s">
        <v>73</v>
      </c>
      <c r="Q66" s="280"/>
      <c r="R66" s="280"/>
      <c r="S66" s="280"/>
      <c r="T66" s="280"/>
      <c r="U66" s="280"/>
      <c r="V66" s="281"/>
      <c r="W66" s="37" t="s">
        <v>74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customHeight="1" x14ac:dyDescent="0.25">
      <c r="A67" s="282" t="s">
        <v>129</v>
      </c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  <c r="Z67" s="283"/>
      <c r="AA67" s="263"/>
      <c r="AB67" s="263"/>
      <c r="AC67" s="263"/>
    </row>
    <row r="68" spans="1:68" ht="14.25" customHeight="1" x14ac:dyDescent="0.25">
      <c r="A68" s="303" t="s">
        <v>64</v>
      </c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64"/>
      <c r="AB68" s="264"/>
      <c r="AC68" s="264"/>
    </row>
    <row r="69" spans="1:68" ht="27" customHeight="1" x14ac:dyDescent="0.25">
      <c r="A69" s="54" t="s">
        <v>130</v>
      </c>
      <c r="B69" s="54" t="s">
        <v>131</v>
      </c>
      <c r="C69" s="31">
        <v>4301070977</v>
      </c>
      <c r="D69" s="284">
        <v>4607111037411</v>
      </c>
      <c r="E69" s="285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132</v>
      </c>
      <c r="L69" s="32" t="s">
        <v>81</v>
      </c>
      <c r="M69" s="33" t="s">
        <v>69</v>
      </c>
      <c r="N69" s="33"/>
      <c r="O69" s="32">
        <v>180</v>
      </c>
      <c r="P69" s="37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73"/>
      <c r="R69" s="273"/>
      <c r="S69" s="273"/>
      <c r="T69" s="274"/>
      <c r="U69" s="34"/>
      <c r="V69" s="34"/>
      <c r="W69" s="35" t="s">
        <v>70</v>
      </c>
      <c r="X69" s="268">
        <v>126</v>
      </c>
      <c r="Y69" s="269">
        <f>IFERROR(IF(X69="","",X69),"")</f>
        <v>126</v>
      </c>
      <c r="Z69" s="36">
        <f>IFERROR(IF(X69="","",X69*0.00502),"")</f>
        <v>0.63251999999999997</v>
      </c>
      <c r="AA69" s="56"/>
      <c r="AB69" s="57"/>
      <c r="AC69" s="106" t="s">
        <v>133</v>
      </c>
      <c r="AG69" s="67"/>
      <c r="AJ69" s="71" t="s">
        <v>83</v>
      </c>
      <c r="AK69" s="71">
        <v>18</v>
      </c>
      <c r="BB69" s="107" t="s">
        <v>1</v>
      </c>
      <c r="BM69" s="67">
        <f>IFERROR(X69*I69,"0")</f>
        <v>354.46320000000003</v>
      </c>
      <c r="BN69" s="67">
        <f>IFERROR(Y69*I69,"0")</f>
        <v>354.46320000000003</v>
      </c>
      <c r="BO69" s="67">
        <f>IFERROR(X69/J69,"0")</f>
        <v>0.53846153846153844</v>
      </c>
      <c r="BP69" s="67">
        <f>IFERROR(Y69/J69,"0")</f>
        <v>0.53846153846153844</v>
      </c>
    </row>
    <row r="70" spans="1:68" ht="27" customHeight="1" x14ac:dyDescent="0.25">
      <c r="A70" s="54" t="s">
        <v>134</v>
      </c>
      <c r="B70" s="54" t="s">
        <v>135</v>
      </c>
      <c r="C70" s="31">
        <v>4301070981</v>
      </c>
      <c r="D70" s="284">
        <v>4607111036728</v>
      </c>
      <c r="E70" s="285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67</v>
      </c>
      <c r="L70" s="32" t="s">
        <v>81</v>
      </c>
      <c r="M70" s="33" t="s">
        <v>69</v>
      </c>
      <c r="N70" s="33"/>
      <c r="O70" s="32">
        <v>180</v>
      </c>
      <c r="P70" s="44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73"/>
      <c r="R70" s="273"/>
      <c r="S70" s="273"/>
      <c r="T70" s="274"/>
      <c r="U70" s="34"/>
      <c r="V70" s="34"/>
      <c r="W70" s="35" t="s">
        <v>70</v>
      </c>
      <c r="X70" s="268">
        <v>36</v>
      </c>
      <c r="Y70" s="269">
        <f>IFERROR(IF(X70="","",X70),"")</f>
        <v>36</v>
      </c>
      <c r="Z70" s="36">
        <f>IFERROR(IF(X70="","",X70*0.00866),"")</f>
        <v>0.31175999999999998</v>
      </c>
      <c r="AA70" s="56"/>
      <c r="AB70" s="57"/>
      <c r="AC70" s="108" t="s">
        <v>133</v>
      </c>
      <c r="AG70" s="67"/>
      <c r="AJ70" s="71" t="s">
        <v>83</v>
      </c>
      <c r="AK70" s="71">
        <v>12</v>
      </c>
      <c r="BB70" s="109" t="s">
        <v>1</v>
      </c>
      <c r="BM70" s="67">
        <f>IFERROR(X70*I70,"0")</f>
        <v>187.67519999999999</v>
      </c>
      <c r="BN70" s="67">
        <f>IFERROR(Y70*I70,"0")</f>
        <v>187.67519999999999</v>
      </c>
      <c r="BO70" s="67">
        <f>IFERROR(X70/J70,"0")</f>
        <v>0.25</v>
      </c>
      <c r="BP70" s="67">
        <f>IFERROR(Y70/J70,"0")</f>
        <v>0.25</v>
      </c>
    </row>
    <row r="71" spans="1:68" x14ac:dyDescent="0.2">
      <c r="A71" s="286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7"/>
      <c r="P71" s="279" t="s">
        <v>73</v>
      </c>
      <c r="Q71" s="280"/>
      <c r="R71" s="280"/>
      <c r="S71" s="280"/>
      <c r="T71" s="280"/>
      <c r="U71" s="280"/>
      <c r="V71" s="281"/>
      <c r="W71" s="37" t="s">
        <v>70</v>
      </c>
      <c r="X71" s="270">
        <f>IFERROR(SUM(X69:X70),"0")</f>
        <v>162</v>
      </c>
      <c r="Y71" s="270">
        <f>IFERROR(SUM(Y69:Y70),"0")</f>
        <v>162</v>
      </c>
      <c r="Z71" s="270">
        <f>IFERROR(IF(Z69="",0,Z69),"0")+IFERROR(IF(Z70="",0,Z70),"0")</f>
        <v>0.94428000000000001</v>
      </c>
      <c r="AA71" s="271"/>
      <c r="AB71" s="271"/>
      <c r="AC71" s="271"/>
    </row>
    <row r="72" spans="1:68" x14ac:dyDescent="0.2">
      <c r="A72" s="283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7"/>
      <c r="P72" s="279" t="s">
        <v>73</v>
      </c>
      <c r="Q72" s="280"/>
      <c r="R72" s="280"/>
      <c r="S72" s="280"/>
      <c r="T72" s="280"/>
      <c r="U72" s="280"/>
      <c r="V72" s="281"/>
      <c r="W72" s="37" t="s">
        <v>74</v>
      </c>
      <c r="X72" s="270">
        <f>IFERROR(SUMPRODUCT(X69:X70*H69:H70),"0")</f>
        <v>520.20000000000005</v>
      </c>
      <c r="Y72" s="270">
        <f>IFERROR(SUMPRODUCT(Y69:Y70*H69:H70),"0")</f>
        <v>520.20000000000005</v>
      </c>
      <c r="Z72" s="37"/>
      <c r="AA72" s="271"/>
      <c r="AB72" s="271"/>
      <c r="AC72" s="271"/>
    </row>
    <row r="73" spans="1:68" ht="16.5" customHeight="1" x14ac:dyDescent="0.25">
      <c r="A73" s="282" t="s">
        <v>136</v>
      </c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3"/>
      <c r="P73" s="283"/>
      <c r="Q73" s="283"/>
      <c r="R73" s="283"/>
      <c r="S73" s="283"/>
      <c r="T73" s="283"/>
      <c r="U73" s="283"/>
      <c r="V73" s="283"/>
      <c r="W73" s="283"/>
      <c r="X73" s="283"/>
      <c r="Y73" s="283"/>
      <c r="Z73" s="283"/>
      <c r="AA73" s="263"/>
      <c r="AB73" s="263"/>
      <c r="AC73" s="263"/>
    </row>
    <row r="74" spans="1:68" ht="14.25" customHeight="1" x14ac:dyDescent="0.25">
      <c r="A74" s="303" t="s">
        <v>121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64"/>
      <c r="AB74" s="264"/>
      <c r="AC74" s="264"/>
    </row>
    <row r="75" spans="1:68" ht="27" customHeight="1" x14ac:dyDescent="0.25">
      <c r="A75" s="54" t="s">
        <v>137</v>
      </c>
      <c r="B75" s="54" t="s">
        <v>138</v>
      </c>
      <c r="C75" s="31">
        <v>4301135574</v>
      </c>
      <c r="D75" s="284">
        <v>4607111033659</v>
      </c>
      <c r="E75" s="285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80</v>
      </c>
      <c r="L75" s="32" t="s">
        <v>81</v>
      </c>
      <c r="M75" s="33" t="s">
        <v>69</v>
      </c>
      <c r="N75" s="33"/>
      <c r="O75" s="32">
        <v>180</v>
      </c>
      <c r="P75" s="44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73"/>
      <c r="R75" s="273"/>
      <c r="S75" s="273"/>
      <c r="T75" s="274"/>
      <c r="U75" s="34"/>
      <c r="V75" s="34"/>
      <c r="W75" s="35" t="s">
        <v>70</v>
      </c>
      <c r="X75" s="268">
        <v>14</v>
      </c>
      <c r="Y75" s="269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139</v>
      </c>
      <c r="AG75" s="67"/>
      <c r="AJ75" s="71" t="s">
        <v>83</v>
      </c>
      <c r="AK75" s="71">
        <v>14</v>
      </c>
      <c r="BB75" s="111" t="s">
        <v>84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86"/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7"/>
      <c r="P76" s="279" t="s">
        <v>73</v>
      </c>
      <c r="Q76" s="280"/>
      <c r="R76" s="280"/>
      <c r="S76" s="280"/>
      <c r="T76" s="280"/>
      <c r="U76" s="280"/>
      <c r="V76" s="281"/>
      <c r="W76" s="37" t="s">
        <v>70</v>
      </c>
      <c r="X76" s="270">
        <f>IFERROR(SUM(X75:X75),"0")</f>
        <v>14</v>
      </c>
      <c r="Y76" s="270">
        <f>IFERROR(SUM(Y75:Y75),"0")</f>
        <v>14</v>
      </c>
      <c r="Z76" s="270">
        <f>IFERROR(IF(Z75="",0,Z75),"0")</f>
        <v>0.25031999999999999</v>
      </c>
      <c r="AA76" s="271"/>
      <c r="AB76" s="271"/>
      <c r="AC76" s="271"/>
    </row>
    <row r="77" spans="1:68" x14ac:dyDescent="0.2">
      <c r="A77" s="283"/>
      <c r="B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7"/>
      <c r="P77" s="279" t="s">
        <v>73</v>
      </c>
      <c r="Q77" s="280"/>
      <c r="R77" s="280"/>
      <c r="S77" s="280"/>
      <c r="T77" s="280"/>
      <c r="U77" s="280"/>
      <c r="V77" s="281"/>
      <c r="W77" s="37" t="s">
        <v>74</v>
      </c>
      <c r="X77" s="270">
        <f>IFERROR(SUMPRODUCT(X75:X75*H75:H75),"0")</f>
        <v>50.4</v>
      </c>
      <c r="Y77" s="270">
        <f>IFERROR(SUMPRODUCT(Y75:Y75*H75:H75),"0")</f>
        <v>50.4</v>
      </c>
      <c r="Z77" s="37"/>
      <c r="AA77" s="271"/>
      <c r="AB77" s="271"/>
      <c r="AC77" s="271"/>
    </row>
    <row r="78" spans="1:68" ht="16.5" customHeight="1" x14ac:dyDescent="0.25">
      <c r="A78" s="282" t="s">
        <v>140</v>
      </c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  <c r="Y78" s="283"/>
      <c r="Z78" s="283"/>
      <c r="AA78" s="263"/>
      <c r="AB78" s="263"/>
      <c r="AC78" s="263"/>
    </row>
    <row r="79" spans="1:68" ht="14.25" customHeight="1" x14ac:dyDescent="0.25">
      <c r="A79" s="303" t="s">
        <v>141</v>
      </c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  <c r="Z79" s="283"/>
      <c r="AA79" s="264"/>
      <c r="AB79" s="264"/>
      <c r="AC79" s="264"/>
    </row>
    <row r="80" spans="1:68" ht="27" customHeight="1" x14ac:dyDescent="0.25">
      <c r="A80" s="54" t="s">
        <v>142</v>
      </c>
      <c r="B80" s="54" t="s">
        <v>143</v>
      </c>
      <c r="C80" s="31">
        <v>4301131047</v>
      </c>
      <c r="D80" s="284">
        <v>4607111034120</v>
      </c>
      <c r="E80" s="285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80</v>
      </c>
      <c r="L80" s="32" t="s">
        <v>81</v>
      </c>
      <c r="M80" s="33" t="s">
        <v>69</v>
      </c>
      <c r="N80" s="33"/>
      <c r="O80" s="32">
        <v>180</v>
      </c>
      <c r="P80" s="40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73"/>
      <c r="R80" s="273"/>
      <c r="S80" s="273"/>
      <c r="T80" s="274"/>
      <c r="U80" s="34"/>
      <c r="V80" s="34"/>
      <c r="W80" s="35" t="s">
        <v>70</v>
      </c>
      <c r="X80" s="268">
        <v>56</v>
      </c>
      <c r="Y80" s="269">
        <f>IFERROR(IF(X80="","",X80),"")</f>
        <v>56</v>
      </c>
      <c r="Z80" s="36">
        <f>IFERROR(IF(X80="","",X80*0.01788),"")</f>
        <v>1.0012799999999999</v>
      </c>
      <c r="AA80" s="56"/>
      <c r="AB80" s="57"/>
      <c r="AC80" s="112" t="s">
        <v>144</v>
      </c>
      <c r="AG80" s="67"/>
      <c r="AJ80" s="71" t="s">
        <v>83</v>
      </c>
      <c r="AK80" s="71">
        <v>14</v>
      </c>
      <c r="BB80" s="113" t="s">
        <v>84</v>
      </c>
      <c r="BM80" s="67">
        <f>IFERROR(X80*I80,"0")</f>
        <v>241.00160000000002</v>
      </c>
      <c r="BN80" s="67">
        <f>IFERROR(Y80*I80,"0")</f>
        <v>241.00160000000002</v>
      </c>
      <c r="BO80" s="67">
        <f>IFERROR(X80/J80,"0")</f>
        <v>0.8</v>
      </c>
      <c r="BP80" s="67">
        <f>IFERROR(Y80/J80,"0")</f>
        <v>0.8</v>
      </c>
    </row>
    <row r="81" spans="1:68" ht="27" customHeight="1" x14ac:dyDescent="0.25">
      <c r="A81" s="54" t="s">
        <v>145</v>
      </c>
      <c r="B81" s="54" t="s">
        <v>146</v>
      </c>
      <c r="C81" s="31">
        <v>4301131046</v>
      </c>
      <c r="D81" s="284">
        <v>4607111034137</v>
      </c>
      <c r="E81" s="285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80</v>
      </c>
      <c r="L81" s="32" t="s">
        <v>81</v>
      </c>
      <c r="M81" s="33" t="s">
        <v>69</v>
      </c>
      <c r="N81" s="33"/>
      <c r="O81" s="32">
        <v>180</v>
      </c>
      <c r="P81" s="29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73"/>
      <c r="R81" s="273"/>
      <c r="S81" s="273"/>
      <c r="T81" s="274"/>
      <c r="U81" s="34"/>
      <c r="V81" s="34"/>
      <c r="W81" s="35" t="s">
        <v>70</v>
      </c>
      <c r="X81" s="268">
        <v>56</v>
      </c>
      <c r="Y81" s="269">
        <f>IFERROR(IF(X81="","",X81),"")</f>
        <v>56</v>
      </c>
      <c r="Z81" s="36">
        <f>IFERROR(IF(X81="","",X81*0.01788),"")</f>
        <v>1.0012799999999999</v>
      </c>
      <c r="AA81" s="56"/>
      <c r="AB81" s="57"/>
      <c r="AC81" s="114" t="s">
        <v>147</v>
      </c>
      <c r="AG81" s="67"/>
      <c r="AJ81" s="71" t="s">
        <v>83</v>
      </c>
      <c r="AK81" s="71">
        <v>14</v>
      </c>
      <c r="BB81" s="115" t="s">
        <v>84</v>
      </c>
      <c r="BM81" s="67">
        <f>IFERROR(X81*I81,"0")</f>
        <v>241.00160000000002</v>
      </c>
      <c r="BN81" s="67">
        <f>IFERROR(Y81*I81,"0")</f>
        <v>241.00160000000002</v>
      </c>
      <c r="BO81" s="67">
        <f>IFERROR(X81/J81,"0")</f>
        <v>0.8</v>
      </c>
      <c r="BP81" s="67">
        <f>IFERROR(Y81/J81,"0")</f>
        <v>0.8</v>
      </c>
    </row>
    <row r="82" spans="1:68" x14ac:dyDescent="0.2">
      <c r="A82" s="286"/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7"/>
      <c r="P82" s="279" t="s">
        <v>73</v>
      </c>
      <c r="Q82" s="280"/>
      <c r="R82" s="280"/>
      <c r="S82" s="280"/>
      <c r="T82" s="280"/>
      <c r="U82" s="280"/>
      <c r="V82" s="281"/>
      <c r="W82" s="37" t="s">
        <v>70</v>
      </c>
      <c r="X82" s="270">
        <f>IFERROR(SUM(X80:X81),"0")</f>
        <v>112</v>
      </c>
      <c r="Y82" s="270">
        <f>IFERROR(SUM(Y80:Y81),"0")</f>
        <v>112</v>
      </c>
      <c r="Z82" s="270">
        <f>IFERROR(IF(Z80="",0,Z80),"0")+IFERROR(IF(Z81="",0,Z81),"0")</f>
        <v>2.0025599999999999</v>
      </c>
      <c r="AA82" s="271"/>
      <c r="AB82" s="271"/>
      <c r="AC82" s="271"/>
    </row>
    <row r="83" spans="1:68" x14ac:dyDescent="0.2">
      <c r="A83" s="283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7"/>
      <c r="P83" s="279" t="s">
        <v>73</v>
      </c>
      <c r="Q83" s="280"/>
      <c r="R83" s="280"/>
      <c r="S83" s="280"/>
      <c r="T83" s="280"/>
      <c r="U83" s="280"/>
      <c r="V83" s="281"/>
      <c r="W83" s="37" t="s">
        <v>74</v>
      </c>
      <c r="X83" s="270">
        <f>IFERROR(SUMPRODUCT(X80:X81*H80:H81),"0")</f>
        <v>403.2</v>
      </c>
      <c r="Y83" s="270">
        <f>IFERROR(SUMPRODUCT(Y80:Y81*H80:H81),"0")</f>
        <v>403.2</v>
      </c>
      <c r="Z83" s="37"/>
      <c r="AA83" s="271"/>
      <c r="AB83" s="271"/>
      <c r="AC83" s="271"/>
    </row>
    <row r="84" spans="1:68" ht="16.5" customHeight="1" x14ac:dyDescent="0.25">
      <c r="A84" s="282" t="s">
        <v>148</v>
      </c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  <c r="Y84" s="283"/>
      <c r="Z84" s="283"/>
      <c r="AA84" s="263"/>
      <c r="AB84" s="263"/>
      <c r="AC84" s="263"/>
    </row>
    <row r="85" spans="1:68" ht="14.25" customHeight="1" x14ac:dyDescent="0.25">
      <c r="A85" s="303" t="s">
        <v>121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64"/>
      <c r="AB85" s="264"/>
      <c r="AC85" s="264"/>
    </row>
    <row r="86" spans="1:68" ht="27" customHeight="1" x14ac:dyDescent="0.25">
      <c r="A86" s="54" t="s">
        <v>149</v>
      </c>
      <c r="B86" s="54" t="s">
        <v>150</v>
      </c>
      <c r="C86" s="31">
        <v>4301135763</v>
      </c>
      <c r="D86" s="284">
        <v>4620207491027</v>
      </c>
      <c r="E86" s="285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80</v>
      </c>
      <c r="L86" s="32" t="s">
        <v>81</v>
      </c>
      <c r="M86" s="33" t="s">
        <v>69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73"/>
      <c r="R86" s="273"/>
      <c r="S86" s="273"/>
      <c r="T86" s="274"/>
      <c r="U86" s="34"/>
      <c r="V86" s="34"/>
      <c r="W86" s="35" t="s">
        <v>70</v>
      </c>
      <c r="X86" s="268">
        <v>42</v>
      </c>
      <c r="Y86" s="269">
        <f t="shared" ref="Y86:Y91" si="0">IFERROR(IF(X86="","",X86),"")</f>
        <v>42</v>
      </c>
      <c r="Z86" s="36">
        <f t="shared" ref="Z86:Z91" si="1">IFERROR(IF(X86="","",X86*0.01788),"")</f>
        <v>0.75095999999999996</v>
      </c>
      <c r="AA86" s="56"/>
      <c r="AB86" s="57"/>
      <c r="AC86" s="116" t="s">
        <v>139</v>
      </c>
      <c r="AG86" s="67"/>
      <c r="AJ86" s="71" t="s">
        <v>83</v>
      </c>
      <c r="AK86" s="71">
        <v>14</v>
      </c>
      <c r="BB86" s="117" t="s">
        <v>84</v>
      </c>
      <c r="BM86" s="67">
        <f t="shared" ref="BM86:BM91" si="2">IFERROR(X86*I86,"0")</f>
        <v>150.5112</v>
      </c>
      <c r="BN86" s="67">
        <f t="shared" ref="BN86:BN91" si="3">IFERROR(Y86*I86,"0")</f>
        <v>150.5112</v>
      </c>
      <c r="BO86" s="67">
        <f t="shared" ref="BO86:BO91" si="4">IFERROR(X86/J86,"0")</f>
        <v>0.6</v>
      </c>
      <c r="BP86" s="67">
        <f t="shared" ref="BP86:BP91" si="5">IFERROR(Y86/J86,"0")</f>
        <v>0.6</v>
      </c>
    </row>
    <row r="87" spans="1:68" ht="27" customHeight="1" x14ac:dyDescent="0.25">
      <c r="A87" s="54" t="s">
        <v>151</v>
      </c>
      <c r="B87" s="54" t="s">
        <v>152</v>
      </c>
      <c r="C87" s="31">
        <v>4301135793</v>
      </c>
      <c r="D87" s="284">
        <v>4620207491003</v>
      </c>
      <c r="E87" s="285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80</v>
      </c>
      <c r="L87" s="32" t="s">
        <v>81</v>
      </c>
      <c r="M87" s="33" t="s">
        <v>69</v>
      </c>
      <c r="N87" s="33"/>
      <c r="O87" s="32">
        <v>180</v>
      </c>
      <c r="P87" s="37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73"/>
      <c r="R87" s="273"/>
      <c r="S87" s="273"/>
      <c r="T87" s="274"/>
      <c r="U87" s="34"/>
      <c r="V87" s="34"/>
      <c r="W87" s="35" t="s">
        <v>70</v>
      </c>
      <c r="X87" s="268">
        <v>84</v>
      </c>
      <c r="Y87" s="269">
        <f t="shared" si="0"/>
        <v>84</v>
      </c>
      <c r="Z87" s="36">
        <f t="shared" si="1"/>
        <v>1.5019199999999999</v>
      </c>
      <c r="AA87" s="56"/>
      <c r="AB87" s="57"/>
      <c r="AC87" s="118" t="s">
        <v>139</v>
      </c>
      <c r="AG87" s="67"/>
      <c r="AJ87" s="71" t="s">
        <v>83</v>
      </c>
      <c r="AK87" s="71">
        <v>14</v>
      </c>
      <c r="BB87" s="119" t="s">
        <v>84</v>
      </c>
      <c r="BM87" s="67">
        <f t="shared" si="2"/>
        <v>301.0224</v>
      </c>
      <c r="BN87" s="67">
        <f t="shared" si="3"/>
        <v>301.0224</v>
      </c>
      <c r="BO87" s="67">
        <f t="shared" si="4"/>
        <v>1.2</v>
      </c>
      <c r="BP87" s="67">
        <f t="shared" si="5"/>
        <v>1.2</v>
      </c>
    </row>
    <row r="88" spans="1:68" ht="27" customHeight="1" x14ac:dyDescent="0.25">
      <c r="A88" s="54" t="s">
        <v>153</v>
      </c>
      <c r="B88" s="54" t="s">
        <v>154</v>
      </c>
      <c r="C88" s="31">
        <v>4301135768</v>
      </c>
      <c r="D88" s="284">
        <v>4620207491034</v>
      </c>
      <c r="E88" s="285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80</v>
      </c>
      <c r="L88" s="32" t="s">
        <v>81</v>
      </c>
      <c r="M88" s="33" t="s">
        <v>69</v>
      </c>
      <c r="N88" s="33"/>
      <c r="O88" s="32">
        <v>180</v>
      </c>
      <c r="P88" s="38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73"/>
      <c r="R88" s="273"/>
      <c r="S88" s="273"/>
      <c r="T88" s="274"/>
      <c r="U88" s="34"/>
      <c r="V88" s="34"/>
      <c r="W88" s="35" t="s">
        <v>70</v>
      </c>
      <c r="X88" s="268">
        <v>28</v>
      </c>
      <c r="Y88" s="269">
        <f t="shared" si="0"/>
        <v>28</v>
      </c>
      <c r="Z88" s="36">
        <f t="shared" si="1"/>
        <v>0.50063999999999997</v>
      </c>
      <c r="AA88" s="56"/>
      <c r="AB88" s="57"/>
      <c r="AC88" s="120" t="s">
        <v>155</v>
      </c>
      <c r="AG88" s="67"/>
      <c r="AJ88" s="71" t="s">
        <v>83</v>
      </c>
      <c r="AK88" s="71">
        <v>14</v>
      </c>
      <c r="BB88" s="121" t="s">
        <v>84</v>
      </c>
      <c r="BM88" s="67">
        <f t="shared" si="2"/>
        <v>100.3408</v>
      </c>
      <c r="BN88" s="67">
        <f t="shared" si="3"/>
        <v>100.3408</v>
      </c>
      <c r="BO88" s="67">
        <f t="shared" si="4"/>
        <v>0.4</v>
      </c>
      <c r="BP88" s="67">
        <f t="shared" si="5"/>
        <v>0.4</v>
      </c>
    </row>
    <row r="89" spans="1:68" ht="27" customHeight="1" x14ac:dyDescent="0.25">
      <c r="A89" s="54" t="s">
        <v>156</v>
      </c>
      <c r="B89" s="54" t="s">
        <v>157</v>
      </c>
      <c r="C89" s="31">
        <v>4301135760</v>
      </c>
      <c r="D89" s="284">
        <v>4620207491010</v>
      </c>
      <c r="E89" s="285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80</v>
      </c>
      <c r="L89" s="32" t="s">
        <v>81</v>
      </c>
      <c r="M89" s="33" t="s">
        <v>69</v>
      </c>
      <c r="N89" s="33"/>
      <c r="O89" s="32">
        <v>180</v>
      </c>
      <c r="P89" s="37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73"/>
      <c r="R89" s="273"/>
      <c r="S89" s="273"/>
      <c r="T89" s="274"/>
      <c r="U89" s="34"/>
      <c r="V89" s="34"/>
      <c r="W89" s="35" t="s">
        <v>70</v>
      </c>
      <c r="X89" s="268">
        <v>56</v>
      </c>
      <c r="Y89" s="269">
        <f t="shared" si="0"/>
        <v>56</v>
      </c>
      <c r="Z89" s="36">
        <f t="shared" si="1"/>
        <v>1.0012799999999999</v>
      </c>
      <c r="AA89" s="56"/>
      <c r="AB89" s="57"/>
      <c r="AC89" s="122" t="s">
        <v>139</v>
      </c>
      <c r="AG89" s="67"/>
      <c r="AJ89" s="71" t="s">
        <v>83</v>
      </c>
      <c r="AK89" s="71">
        <v>14</v>
      </c>
      <c r="BB89" s="123" t="s">
        <v>84</v>
      </c>
      <c r="BM89" s="67">
        <f t="shared" si="2"/>
        <v>200.6816</v>
      </c>
      <c r="BN89" s="67">
        <f t="shared" si="3"/>
        <v>200.6816</v>
      </c>
      <c r="BO89" s="67">
        <f t="shared" si="4"/>
        <v>0.8</v>
      </c>
      <c r="BP89" s="67">
        <f t="shared" si="5"/>
        <v>0.8</v>
      </c>
    </row>
    <row r="90" spans="1:68" ht="27" customHeight="1" x14ac:dyDescent="0.25">
      <c r="A90" s="54" t="s">
        <v>158</v>
      </c>
      <c r="B90" s="54" t="s">
        <v>159</v>
      </c>
      <c r="C90" s="31">
        <v>4301135571</v>
      </c>
      <c r="D90" s="284">
        <v>4607111035028</v>
      </c>
      <c r="E90" s="285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80</v>
      </c>
      <c r="L90" s="32" t="s">
        <v>81</v>
      </c>
      <c r="M90" s="33" t="s">
        <v>69</v>
      </c>
      <c r="N90" s="33"/>
      <c r="O90" s="32">
        <v>180</v>
      </c>
      <c r="P90" s="38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73"/>
      <c r="R90" s="273"/>
      <c r="S90" s="273"/>
      <c r="T90" s="274"/>
      <c r="U90" s="34"/>
      <c r="V90" s="34"/>
      <c r="W90" s="35" t="s">
        <v>70</v>
      </c>
      <c r="X90" s="268">
        <v>56</v>
      </c>
      <c r="Y90" s="269">
        <f t="shared" si="0"/>
        <v>56</v>
      </c>
      <c r="Z90" s="36">
        <f t="shared" si="1"/>
        <v>1.0012799999999999</v>
      </c>
      <c r="AA90" s="56"/>
      <c r="AB90" s="57"/>
      <c r="AC90" s="124" t="s">
        <v>139</v>
      </c>
      <c r="AG90" s="67"/>
      <c r="AJ90" s="71" t="s">
        <v>83</v>
      </c>
      <c r="AK90" s="71">
        <v>14</v>
      </c>
      <c r="BB90" s="125" t="s">
        <v>84</v>
      </c>
      <c r="BM90" s="67">
        <f t="shared" si="2"/>
        <v>249.13280000000003</v>
      </c>
      <c r="BN90" s="67">
        <f t="shared" si="3"/>
        <v>249.13280000000003</v>
      </c>
      <c r="BO90" s="67">
        <f t="shared" si="4"/>
        <v>0.8</v>
      </c>
      <c r="BP90" s="67">
        <f t="shared" si="5"/>
        <v>0.8</v>
      </c>
    </row>
    <row r="91" spans="1:68" ht="27" customHeight="1" x14ac:dyDescent="0.25">
      <c r="A91" s="54" t="s">
        <v>160</v>
      </c>
      <c r="B91" s="54" t="s">
        <v>161</v>
      </c>
      <c r="C91" s="31">
        <v>4301135285</v>
      </c>
      <c r="D91" s="284">
        <v>4607111036407</v>
      </c>
      <c r="E91" s="285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80</v>
      </c>
      <c r="L91" s="32" t="s">
        <v>81</v>
      </c>
      <c r="M91" s="33" t="s">
        <v>69</v>
      </c>
      <c r="N91" s="33"/>
      <c r="O91" s="32">
        <v>180</v>
      </c>
      <c r="P91" s="39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73"/>
      <c r="R91" s="273"/>
      <c r="S91" s="273"/>
      <c r="T91" s="274"/>
      <c r="U91" s="34"/>
      <c r="V91" s="34"/>
      <c r="W91" s="35" t="s">
        <v>70</v>
      </c>
      <c r="X91" s="268">
        <v>14</v>
      </c>
      <c r="Y91" s="269">
        <f t="shared" si="0"/>
        <v>14</v>
      </c>
      <c r="Z91" s="36">
        <f t="shared" si="1"/>
        <v>0.25031999999999999</v>
      </c>
      <c r="AA91" s="56"/>
      <c r="AB91" s="57"/>
      <c r="AC91" s="126" t="s">
        <v>162</v>
      </c>
      <c r="AG91" s="67"/>
      <c r="AJ91" s="71" t="s">
        <v>83</v>
      </c>
      <c r="AK91" s="71">
        <v>14</v>
      </c>
      <c r="BB91" s="127" t="s">
        <v>84</v>
      </c>
      <c r="BM91" s="67">
        <f t="shared" si="2"/>
        <v>63.408800000000006</v>
      </c>
      <c r="BN91" s="67">
        <f t="shared" si="3"/>
        <v>63.408800000000006</v>
      </c>
      <c r="BO91" s="67">
        <f t="shared" si="4"/>
        <v>0.2</v>
      </c>
      <c r="BP91" s="67">
        <f t="shared" si="5"/>
        <v>0.2</v>
      </c>
    </row>
    <row r="92" spans="1:68" x14ac:dyDescent="0.2">
      <c r="A92" s="286"/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7"/>
      <c r="P92" s="279" t="s">
        <v>73</v>
      </c>
      <c r="Q92" s="280"/>
      <c r="R92" s="280"/>
      <c r="S92" s="280"/>
      <c r="T92" s="280"/>
      <c r="U92" s="280"/>
      <c r="V92" s="281"/>
      <c r="W92" s="37" t="s">
        <v>70</v>
      </c>
      <c r="X92" s="270">
        <f>IFERROR(SUM(X86:X91),"0")</f>
        <v>280</v>
      </c>
      <c r="Y92" s="270">
        <f>IFERROR(SUM(Y86:Y91),"0")</f>
        <v>280</v>
      </c>
      <c r="Z92" s="270">
        <f>IFERROR(IF(Z86="",0,Z86),"0")+IFERROR(IF(Z87="",0,Z87),"0")+IFERROR(IF(Z88="",0,Z88),"0")+IFERROR(IF(Z89="",0,Z89),"0")+IFERROR(IF(Z90="",0,Z90),"0")+IFERROR(IF(Z91="",0,Z91),"0")</f>
        <v>5.0064000000000002</v>
      </c>
      <c r="AA92" s="271"/>
      <c r="AB92" s="271"/>
      <c r="AC92" s="271"/>
    </row>
    <row r="93" spans="1:68" x14ac:dyDescent="0.2">
      <c r="A93" s="283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7"/>
      <c r="P93" s="279" t="s">
        <v>73</v>
      </c>
      <c r="Q93" s="280"/>
      <c r="R93" s="280"/>
      <c r="S93" s="280"/>
      <c r="T93" s="280"/>
      <c r="U93" s="280"/>
      <c r="V93" s="281"/>
      <c r="W93" s="37" t="s">
        <v>74</v>
      </c>
      <c r="X93" s="270">
        <f>IFERROR(SUMPRODUCT(X86:X91*H86:H91),"0")</f>
        <v>878.63999999999987</v>
      </c>
      <c r="Y93" s="270">
        <f>IFERROR(SUMPRODUCT(Y86:Y91*H86:H91),"0")</f>
        <v>878.63999999999987</v>
      </c>
      <c r="Z93" s="37"/>
      <c r="AA93" s="271"/>
      <c r="AB93" s="271"/>
      <c r="AC93" s="271"/>
    </row>
    <row r="94" spans="1:68" ht="16.5" customHeight="1" x14ac:dyDescent="0.25">
      <c r="A94" s="282" t="s">
        <v>163</v>
      </c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  <c r="Z94" s="283"/>
      <c r="AA94" s="263"/>
      <c r="AB94" s="263"/>
      <c r="AC94" s="263"/>
    </row>
    <row r="95" spans="1:68" ht="14.25" customHeight="1" x14ac:dyDescent="0.25">
      <c r="A95" s="303" t="s">
        <v>115</v>
      </c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  <c r="AA95" s="264"/>
      <c r="AB95" s="264"/>
      <c r="AC95" s="264"/>
    </row>
    <row r="96" spans="1:68" ht="27" customHeight="1" x14ac:dyDescent="0.25">
      <c r="A96" s="54" t="s">
        <v>164</v>
      </c>
      <c r="B96" s="54" t="s">
        <v>165</v>
      </c>
      <c r="C96" s="31">
        <v>4301136070</v>
      </c>
      <c r="D96" s="284">
        <v>4607025784012</v>
      </c>
      <c r="E96" s="285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80</v>
      </c>
      <c r="L96" s="32" t="s">
        <v>81</v>
      </c>
      <c r="M96" s="33" t="s">
        <v>69</v>
      </c>
      <c r="N96" s="33"/>
      <c r="O96" s="32">
        <v>180</v>
      </c>
      <c r="P96" s="38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73"/>
      <c r="R96" s="273"/>
      <c r="S96" s="273"/>
      <c r="T96" s="274"/>
      <c r="U96" s="34"/>
      <c r="V96" s="34"/>
      <c r="W96" s="35" t="s">
        <v>70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166</v>
      </c>
      <c r="AG96" s="67"/>
      <c r="AJ96" s="71" t="s">
        <v>83</v>
      </c>
      <c r="AK96" s="71">
        <v>14</v>
      </c>
      <c r="BB96" s="129" t="s">
        <v>84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167</v>
      </c>
      <c r="B97" s="54" t="s">
        <v>168</v>
      </c>
      <c r="C97" s="31">
        <v>4301136079</v>
      </c>
      <c r="D97" s="284">
        <v>4607025784319</v>
      </c>
      <c r="E97" s="285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80</v>
      </c>
      <c r="L97" s="32" t="s">
        <v>81</v>
      </c>
      <c r="M97" s="33" t="s">
        <v>69</v>
      </c>
      <c r="N97" s="33"/>
      <c r="O97" s="32">
        <v>180</v>
      </c>
      <c r="P97" s="33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73"/>
      <c r="R97" s="273"/>
      <c r="S97" s="273"/>
      <c r="T97" s="274"/>
      <c r="U97" s="34"/>
      <c r="V97" s="34"/>
      <c r="W97" s="35" t="s">
        <v>70</v>
      </c>
      <c r="X97" s="268">
        <v>0</v>
      </c>
      <c r="Y97" s="269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139</v>
      </c>
      <c r="AG97" s="67"/>
      <c r="AJ97" s="71" t="s">
        <v>83</v>
      </c>
      <c r="AK97" s="71">
        <v>14</v>
      </c>
      <c r="BB97" s="131" t="s">
        <v>84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x14ac:dyDescent="0.2">
      <c r="A98" s="286"/>
      <c r="B98" s="283"/>
      <c r="C98" s="283"/>
      <c r="D98" s="283"/>
      <c r="E98" s="283"/>
      <c r="F98" s="283"/>
      <c r="G98" s="283"/>
      <c r="H98" s="283"/>
      <c r="I98" s="283"/>
      <c r="J98" s="283"/>
      <c r="K98" s="283"/>
      <c r="L98" s="283"/>
      <c r="M98" s="283"/>
      <c r="N98" s="283"/>
      <c r="O98" s="287"/>
      <c r="P98" s="279" t="s">
        <v>73</v>
      </c>
      <c r="Q98" s="280"/>
      <c r="R98" s="280"/>
      <c r="S98" s="280"/>
      <c r="T98" s="280"/>
      <c r="U98" s="280"/>
      <c r="V98" s="281"/>
      <c r="W98" s="37" t="s">
        <v>70</v>
      </c>
      <c r="X98" s="270">
        <f>IFERROR(SUM(X96:X97),"0")</f>
        <v>0</v>
      </c>
      <c r="Y98" s="270">
        <f>IFERROR(SUM(Y96:Y97),"0")</f>
        <v>0</v>
      </c>
      <c r="Z98" s="270">
        <f>IFERROR(IF(Z96="",0,Z96),"0")+IFERROR(IF(Z97="",0,Z97),"0")</f>
        <v>0</v>
      </c>
      <c r="AA98" s="271"/>
      <c r="AB98" s="271"/>
      <c r="AC98" s="271"/>
    </row>
    <row r="99" spans="1:68" x14ac:dyDescent="0.2">
      <c r="A99" s="283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7"/>
      <c r="P99" s="279" t="s">
        <v>73</v>
      </c>
      <c r="Q99" s="280"/>
      <c r="R99" s="280"/>
      <c r="S99" s="280"/>
      <c r="T99" s="280"/>
      <c r="U99" s="280"/>
      <c r="V99" s="281"/>
      <c r="W99" s="37" t="s">
        <v>74</v>
      </c>
      <c r="X99" s="270">
        <f>IFERROR(SUMPRODUCT(X96:X97*H96:H97),"0")</f>
        <v>0</v>
      </c>
      <c r="Y99" s="270">
        <f>IFERROR(SUMPRODUCT(Y96:Y97*H96:H97),"0")</f>
        <v>0</v>
      </c>
      <c r="Z99" s="37"/>
      <c r="AA99" s="271"/>
      <c r="AB99" s="271"/>
      <c r="AC99" s="271"/>
    </row>
    <row r="100" spans="1:68" ht="16.5" customHeight="1" x14ac:dyDescent="0.25">
      <c r="A100" s="282" t="s">
        <v>169</v>
      </c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3"/>
      <c r="P100" s="283"/>
      <c r="Q100" s="283"/>
      <c r="R100" s="283"/>
      <c r="S100" s="283"/>
      <c r="T100" s="283"/>
      <c r="U100" s="283"/>
      <c r="V100" s="283"/>
      <c r="W100" s="283"/>
      <c r="X100" s="283"/>
      <c r="Y100" s="283"/>
      <c r="Z100" s="283"/>
      <c r="AA100" s="263"/>
      <c r="AB100" s="263"/>
      <c r="AC100" s="263"/>
    </row>
    <row r="101" spans="1:68" ht="14.25" customHeight="1" x14ac:dyDescent="0.25">
      <c r="A101" s="303" t="s">
        <v>64</v>
      </c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64"/>
      <c r="AB101" s="264"/>
      <c r="AC101" s="264"/>
    </row>
    <row r="102" spans="1:68" ht="27" customHeight="1" x14ac:dyDescent="0.25">
      <c r="A102" s="54" t="s">
        <v>170</v>
      </c>
      <c r="B102" s="54" t="s">
        <v>171</v>
      </c>
      <c r="C102" s="31">
        <v>4301071074</v>
      </c>
      <c r="D102" s="284">
        <v>4620207491157</v>
      </c>
      <c r="E102" s="285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67</v>
      </c>
      <c r="L102" s="32" t="s">
        <v>81</v>
      </c>
      <c r="M102" s="33" t="s">
        <v>69</v>
      </c>
      <c r="N102" s="33"/>
      <c r="O102" s="32">
        <v>180</v>
      </c>
      <c r="P102" s="42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73"/>
      <c r="R102" s="273"/>
      <c r="S102" s="273"/>
      <c r="T102" s="274"/>
      <c r="U102" s="34"/>
      <c r="V102" s="34"/>
      <c r="W102" s="35" t="s">
        <v>70</v>
      </c>
      <c r="X102" s="268">
        <v>0</v>
      </c>
      <c r="Y102" s="269">
        <f t="shared" ref="Y102:Y108" si="6">IFERROR(IF(X102="","",X102),"")</f>
        <v>0</v>
      </c>
      <c r="Z102" s="36">
        <f t="shared" ref="Z102:Z108" si="7">IFERROR(IF(X102="","",X102*0.0155),"")</f>
        <v>0</v>
      </c>
      <c r="AA102" s="56"/>
      <c r="AB102" s="57"/>
      <c r="AC102" s="132" t="s">
        <v>172</v>
      </c>
      <c r="AG102" s="67"/>
      <c r="AJ102" s="71" t="s">
        <v>83</v>
      </c>
      <c r="AK102" s="71">
        <v>12</v>
      </c>
      <c r="BB102" s="133" t="s">
        <v>1</v>
      </c>
      <c r="BM102" s="67">
        <f t="shared" ref="BM102:BM108" si="8">IFERROR(X102*I102,"0")</f>
        <v>0</v>
      </c>
      <c r="BN102" s="67">
        <f t="shared" ref="BN102:BN108" si="9">IFERROR(Y102*I102,"0")</f>
        <v>0</v>
      </c>
      <c r="BO102" s="67">
        <f t="shared" ref="BO102:BO108" si="10">IFERROR(X102/J102,"0")</f>
        <v>0</v>
      </c>
      <c r="BP102" s="67">
        <f t="shared" ref="BP102:BP108" si="11">IFERROR(Y102/J102,"0")</f>
        <v>0</v>
      </c>
    </row>
    <row r="103" spans="1:68" ht="27" customHeight="1" x14ac:dyDescent="0.25">
      <c r="A103" s="54" t="s">
        <v>173</v>
      </c>
      <c r="B103" s="54" t="s">
        <v>174</v>
      </c>
      <c r="C103" s="31">
        <v>4301071051</v>
      </c>
      <c r="D103" s="284">
        <v>4607111039262</v>
      </c>
      <c r="E103" s="285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67</v>
      </c>
      <c r="L103" s="32" t="s">
        <v>81</v>
      </c>
      <c r="M103" s="33" t="s">
        <v>69</v>
      </c>
      <c r="N103" s="33"/>
      <c r="O103" s="32">
        <v>180</v>
      </c>
      <c r="P103" s="32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73"/>
      <c r="R103" s="273"/>
      <c r="S103" s="273"/>
      <c r="T103" s="274"/>
      <c r="U103" s="34"/>
      <c r="V103" s="34"/>
      <c r="W103" s="35" t="s">
        <v>70</v>
      </c>
      <c r="X103" s="268">
        <v>36</v>
      </c>
      <c r="Y103" s="269">
        <f t="shared" si="6"/>
        <v>36</v>
      </c>
      <c r="Z103" s="36">
        <f t="shared" si="7"/>
        <v>0.55800000000000005</v>
      </c>
      <c r="AA103" s="56"/>
      <c r="AB103" s="57"/>
      <c r="AC103" s="134" t="s">
        <v>133</v>
      </c>
      <c r="AG103" s="67"/>
      <c r="AJ103" s="71" t="s">
        <v>83</v>
      </c>
      <c r="AK103" s="71">
        <v>12</v>
      </c>
      <c r="BB103" s="135" t="s">
        <v>1</v>
      </c>
      <c r="BM103" s="67">
        <f t="shared" si="8"/>
        <v>241.90559999999999</v>
      </c>
      <c r="BN103" s="67">
        <f t="shared" si="9"/>
        <v>241.90559999999999</v>
      </c>
      <c r="BO103" s="67">
        <f t="shared" si="10"/>
        <v>0.42857142857142855</v>
      </c>
      <c r="BP103" s="67">
        <f t="shared" si="11"/>
        <v>0.42857142857142855</v>
      </c>
    </row>
    <row r="104" spans="1:68" ht="27" customHeight="1" x14ac:dyDescent="0.25">
      <c r="A104" s="54" t="s">
        <v>175</v>
      </c>
      <c r="B104" s="54" t="s">
        <v>176</v>
      </c>
      <c r="C104" s="31">
        <v>4301071038</v>
      </c>
      <c r="D104" s="284">
        <v>4607111039248</v>
      </c>
      <c r="E104" s="285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67</v>
      </c>
      <c r="L104" s="32" t="s">
        <v>81</v>
      </c>
      <c r="M104" s="33" t="s">
        <v>69</v>
      </c>
      <c r="N104" s="33"/>
      <c r="O104" s="32">
        <v>180</v>
      </c>
      <c r="P104" s="29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73"/>
      <c r="R104" s="273"/>
      <c r="S104" s="273"/>
      <c r="T104" s="274"/>
      <c r="U104" s="34"/>
      <c r="V104" s="34"/>
      <c r="W104" s="35" t="s">
        <v>70</v>
      </c>
      <c r="X104" s="268">
        <v>204</v>
      </c>
      <c r="Y104" s="269">
        <f t="shared" si="6"/>
        <v>204</v>
      </c>
      <c r="Z104" s="36">
        <f t="shared" si="7"/>
        <v>3.1619999999999999</v>
      </c>
      <c r="AA104" s="56"/>
      <c r="AB104" s="57"/>
      <c r="AC104" s="136" t="s">
        <v>133</v>
      </c>
      <c r="AG104" s="67"/>
      <c r="AJ104" s="71" t="s">
        <v>83</v>
      </c>
      <c r="AK104" s="71">
        <v>12</v>
      </c>
      <c r="BB104" s="137" t="s">
        <v>1</v>
      </c>
      <c r="BM104" s="67">
        <f t="shared" si="8"/>
        <v>1489.2</v>
      </c>
      <c r="BN104" s="67">
        <f t="shared" si="9"/>
        <v>1489.2</v>
      </c>
      <c r="BO104" s="67">
        <f t="shared" si="10"/>
        <v>2.4285714285714284</v>
      </c>
      <c r="BP104" s="67">
        <f t="shared" si="11"/>
        <v>2.4285714285714284</v>
      </c>
    </row>
    <row r="105" spans="1:68" ht="27" customHeight="1" x14ac:dyDescent="0.25">
      <c r="A105" s="54" t="s">
        <v>177</v>
      </c>
      <c r="B105" s="54" t="s">
        <v>178</v>
      </c>
      <c r="C105" s="31">
        <v>4301070979</v>
      </c>
      <c r="D105" s="284">
        <v>4607111037145</v>
      </c>
      <c r="E105" s="285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67</v>
      </c>
      <c r="L105" s="32" t="s">
        <v>68</v>
      </c>
      <c r="M105" s="33" t="s">
        <v>69</v>
      </c>
      <c r="N105" s="33"/>
      <c r="O105" s="32">
        <v>180</v>
      </c>
      <c r="P105" s="42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73"/>
      <c r="R105" s="273"/>
      <c r="S105" s="273"/>
      <c r="T105" s="274"/>
      <c r="U105" s="34"/>
      <c r="V105" s="34"/>
      <c r="W105" s="35" t="s">
        <v>70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179</v>
      </c>
      <c r="AG105" s="67"/>
      <c r="AJ105" s="71" t="s">
        <v>72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180</v>
      </c>
      <c r="B106" s="54" t="s">
        <v>181</v>
      </c>
      <c r="C106" s="31">
        <v>4301071049</v>
      </c>
      <c r="D106" s="284">
        <v>4607111039293</v>
      </c>
      <c r="E106" s="285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67</v>
      </c>
      <c r="L106" s="32" t="s">
        <v>81</v>
      </c>
      <c r="M106" s="33" t="s">
        <v>69</v>
      </c>
      <c r="N106" s="33"/>
      <c r="O106" s="32">
        <v>180</v>
      </c>
      <c r="P106" s="41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73"/>
      <c r="R106" s="273"/>
      <c r="S106" s="273"/>
      <c r="T106" s="274"/>
      <c r="U106" s="34"/>
      <c r="V106" s="34"/>
      <c r="W106" s="35" t="s">
        <v>70</v>
      </c>
      <c r="X106" s="268">
        <v>120</v>
      </c>
      <c r="Y106" s="269">
        <f t="shared" si="6"/>
        <v>120</v>
      </c>
      <c r="Z106" s="36">
        <f t="shared" si="7"/>
        <v>1.8599999999999999</v>
      </c>
      <c r="AA106" s="56"/>
      <c r="AB106" s="57"/>
      <c r="AC106" s="140" t="s">
        <v>133</v>
      </c>
      <c r="AG106" s="67"/>
      <c r="AJ106" s="71" t="s">
        <v>83</v>
      </c>
      <c r="AK106" s="71">
        <v>12</v>
      </c>
      <c r="BB106" s="141" t="s">
        <v>1</v>
      </c>
      <c r="BM106" s="67">
        <f t="shared" si="8"/>
        <v>806.35199999999998</v>
      </c>
      <c r="BN106" s="67">
        <f t="shared" si="9"/>
        <v>806.35199999999998</v>
      </c>
      <c r="BO106" s="67">
        <f t="shared" si="10"/>
        <v>1.4285714285714286</v>
      </c>
      <c r="BP106" s="67">
        <f t="shared" si="11"/>
        <v>1.4285714285714286</v>
      </c>
    </row>
    <row r="107" spans="1:68" ht="27" customHeight="1" x14ac:dyDescent="0.25">
      <c r="A107" s="54" t="s">
        <v>182</v>
      </c>
      <c r="B107" s="54" t="s">
        <v>183</v>
      </c>
      <c r="C107" s="31">
        <v>4301071039</v>
      </c>
      <c r="D107" s="284">
        <v>4607111039279</v>
      </c>
      <c r="E107" s="285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67</v>
      </c>
      <c r="L107" s="32" t="s">
        <v>81</v>
      </c>
      <c r="M107" s="33" t="s">
        <v>69</v>
      </c>
      <c r="N107" s="33"/>
      <c r="O107" s="32">
        <v>180</v>
      </c>
      <c r="P107" s="42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73"/>
      <c r="R107" s="273"/>
      <c r="S107" s="273"/>
      <c r="T107" s="274"/>
      <c r="U107" s="34"/>
      <c r="V107" s="34"/>
      <c r="W107" s="35" t="s">
        <v>70</v>
      </c>
      <c r="X107" s="268">
        <v>132</v>
      </c>
      <c r="Y107" s="269">
        <f t="shared" si="6"/>
        <v>132</v>
      </c>
      <c r="Z107" s="36">
        <f t="shared" si="7"/>
        <v>2.0459999999999998</v>
      </c>
      <c r="AA107" s="56"/>
      <c r="AB107" s="57"/>
      <c r="AC107" s="142" t="s">
        <v>133</v>
      </c>
      <c r="AG107" s="67"/>
      <c r="AJ107" s="71" t="s">
        <v>83</v>
      </c>
      <c r="AK107" s="71">
        <v>12</v>
      </c>
      <c r="BB107" s="143" t="s">
        <v>1</v>
      </c>
      <c r="BM107" s="67">
        <f t="shared" si="8"/>
        <v>963.6</v>
      </c>
      <c r="BN107" s="67">
        <f t="shared" si="9"/>
        <v>963.6</v>
      </c>
      <c r="BO107" s="67">
        <f t="shared" si="10"/>
        <v>1.5714285714285714</v>
      </c>
      <c r="BP107" s="67">
        <f t="shared" si="11"/>
        <v>1.5714285714285714</v>
      </c>
    </row>
    <row r="108" spans="1:68" ht="27" customHeight="1" x14ac:dyDescent="0.25">
      <c r="A108" s="54" t="s">
        <v>184</v>
      </c>
      <c r="B108" s="54" t="s">
        <v>185</v>
      </c>
      <c r="C108" s="31">
        <v>4301070978</v>
      </c>
      <c r="D108" s="284">
        <v>4607111037435</v>
      </c>
      <c r="E108" s="285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67</v>
      </c>
      <c r="L108" s="32" t="s">
        <v>68</v>
      </c>
      <c r="M108" s="33" t="s">
        <v>69</v>
      </c>
      <c r="N108" s="33"/>
      <c r="O108" s="32">
        <v>180</v>
      </c>
      <c r="P108" s="394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73"/>
      <c r="R108" s="273"/>
      <c r="S108" s="273"/>
      <c r="T108" s="274"/>
      <c r="U108" s="34"/>
      <c r="V108" s="34"/>
      <c r="W108" s="35" t="s">
        <v>70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186</v>
      </c>
      <c r="AG108" s="67"/>
      <c r="AJ108" s="71" t="s">
        <v>72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6"/>
      <c r="B109" s="283"/>
      <c r="C109" s="283"/>
      <c r="D109" s="283"/>
      <c r="E109" s="283"/>
      <c r="F109" s="283"/>
      <c r="G109" s="283"/>
      <c r="H109" s="283"/>
      <c r="I109" s="283"/>
      <c r="J109" s="283"/>
      <c r="K109" s="283"/>
      <c r="L109" s="283"/>
      <c r="M109" s="283"/>
      <c r="N109" s="283"/>
      <c r="O109" s="287"/>
      <c r="P109" s="279" t="s">
        <v>73</v>
      </c>
      <c r="Q109" s="280"/>
      <c r="R109" s="280"/>
      <c r="S109" s="280"/>
      <c r="T109" s="280"/>
      <c r="U109" s="280"/>
      <c r="V109" s="281"/>
      <c r="W109" s="37" t="s">
        <v>70</v>
      </c>
      <c r="X109" s="270">
        <f>IFERROR(SUM(X102:X108),"0")</f>
        <v>492</v>
      </c>
      <c r="Y109" s="270">
        <f>IFERROR(SUM(Y102:Y108),"0")</f>
        <v>492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7.6259999999999994</v>
      </c>
      <c r="AA109" s="271"/>
      <c r="AB109" s="271"/>
      <c r="AC109" s="271"/>
    </row>
    <row r="110" spans="1:68" x14ac:dyDescent="0.2">
      <c r="A110" s="283"/>
      <c r="B110" s="283"/>
      <c r="C110" s="283"/>
      <c r="D110" s="283"/>
      <c r="E110" s="283"/>
      <c r="F110" s="283"/>
      <c r="G110" s="283"/>
      <c r="H110" s="283"/>
      <c r="I110" s="283"/>
      <c r="J110" s="283"/>
      <c r="K110" s="283"/>
      <c r="L110" s="283"/>
      <c r="M110" s="283"/>
      <c r="N110" s="283"/>
      <c r="O110" s="287"/>
      <c r="P110" s="279" t="s">
        <v>73</v>
      </c>
      <c r="Q110" s="280"/>
      <c r="R110" s="280"/>
      <c r="S110" s="280"/>
      <c r="T110" s="280"/>
      <c r="U110" s="280"/>
      <c r="V110" s="281"/>
      <c r="W110" s="37" t="s">
        <v>74</v>
      </c>
      <c r="X110" s="270">
        <f>IFERROR(SUMPRODUCT(X102:X108*H102:H108),"0")</f>
        <v>3350.4</v>
      </c>
      <c r="Y110" s="270">
        <f>IFERROR(SUMPRODUCT(Y102:Y108*H102:H108),"0")</f>
        <v>3350.4</v>
      </c>
      <c r="Z110" s="37"/>
      <c r="AA110" s="271"/>
      <c r="AB110" s="271"/>
      <c r="AC110" s="271"/>
    </row>
    <row r="111" spans="1:68" ht="14.25" customHeight="1" x14ac:dyDescent="0.25">
      <c r="A111" s="303" t="s">
        <v>121</v>
      </c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283"/>
      <c r="P111" s="283"/>
      <c r="Q111" s="283"/>
      <c r="R111" s="283"/>
      <c r="S111" s="283"/>
      <c r="T111" s="283"/>
      <c r="U111" s="283"/>
      <c r="V111" s="283"/>
      <c r="W111" s="283"/>
      <c r="X111" s="283"/>
      <c r="Y111" s="283"/>
      <c r="Z111" s="283"/>
      <c r="AA111" s="264"/>
      <c r="AB111" s="264"/>
      <c r="AC111" s="264"/>
    </row>
    <row r="112" spans="1:68" ht="27" customHeight="1" x14ac:dyDescent="0.25">
      <c r="A112" s="54" t="s">
        <v>187</v>
      </c>
      <c r="B112" s="54" t="s">
        <v>188</v>
      </c>
      <c r="C112" s="31">
        <v>4301135826</v>
      </c>
      <c r="D112" s="284">
        <v>4620207490983</v>
      </c>
      <c r="E112" s="285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80</v>
      </c>
      <c r="L112" s="32" t="s">
        <v>68</v>
      </c>
      <c r="M112" s="33" t="s">
        <v>69</v>
      </c>
      <c r="N112" s="33"/>
      <c r="O112" s="32">
        <v>180</v>
      </c>
      <c r="P112" s="41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73"/>
      <c r="R112" s="273"/>
      <c r="S112" s="273"/>
      <c r="T112" s="274"/>
      <c r="U112" s="34"/>
      <c r="V112" s="34"/>
      <c r="W112" s="35" t="s">
        <v>70</v>
      </c>
      <c r="X112" s="268">
        <v>0</v>
      </c>
      <c r="Y112" s="269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189</v>
      </c>
      <c r="AG112" s="67"/>
      <c r="AJ112" s="71" t="s">
        <v>72</v>
      </c>
      <c r="AK112" s="71">
        <v>1</v>
      </c>
      <c r="BB112" s="147" t="s">
        <v>84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x14ac:dyDescent="0.2">
      <c r="A113" s="286"/>
      <c r="B113" s="283"/>
      <c r="C113" s="283"/>
      <c r="D113" s="283"/>
      <c r="E113" s="283"/>
      <c r="F113" s="283"/>
      <c r="G113" s="283"/>
      <c r="H113" s="283"/>
      <c r="I113" s="283"/>
      <c r="J113" s="283"/>
      <c r="K113" s="283"/>
      <c r="L113" s="283"/>
      <c r="M113" s="283"/>
      <c r="N113" s="283"/>
      <c r="O113" s="287"/>
      <c r="P113" s="279" t="s">
        <v>73</v>
      </c>
      <c r="Q113" s="280"/>
      <c r="R113" s="280"/>
      <c r="S113" s="280"/>
      <c r="T113" s="280"/>
      <c r="U113" s="280"/>
      <c r="V113" s="281"/>
      <c r="W113" s="37" t="s">
        <v>70</v>
      </c>
      <c r="X113" s="270">
        <f>IFERROR(SUM(X112:X112),"0")</f>
        <v>0</v>
      </c>
      <c r="Y113" s="270">
        <f>IFERROR(SUM(Y112:Y112),"0")</f>
        <v>0</v>
      </c>
      <c r="Z113" s="270">
        <f>IFERROR(IF(Z112="",0,Z112),"0")</f>
        <v>0</v>
      </c>
      <c r="AA113" s="271"/>
      <c r="AB113" s="271"/>
      <c r="AC113" s="271"/>
    </row>
    <row r="114" spans="1:68" x14ac:dyDescent="0.2">
      <c r="A114" s="283"/>
      <c r="B114" s="283"/>
      <c r="C114" s="283"/>
      <c r="D114" s="283"/>
      <c r="E114" s="283"/>
      <c r="F114" s="283"/>
      <c r="G114" s="283"/>
      <c r="H114" s="283"/>
      <c r="I114" s="283"/>
      <c r="J114" s="283"/>
      <c r="K114" s="283"/>
      <c r="L114" s="283"/>
      <c r="M114" s="283"/>
      <c r="N114" s="283"/>
      <c r="O114" s="287"/>
      <c r="P114" s="279" t="s">
        <v>73</v>
      </c>
      <c r="Q114" s="280"/>
      <c r="R114" s="280"/>
      <c r="S114" s="280"/>
      <c r="T114" s="280"/>
      <c r="U114" s="280"/>
      <c r="V114" s="281"/>
      <c r="W114" s="37" t="s">
        <v>74</v>
      </c>
      <c r="X114" s="270">
        <f>IFERROR(SUMPRODUCT(X112:X112*H112:H112),"0")</f>
        <v>0</v>
      </c>
      <c r="Y114" s="270">
        <f>IFERROR(SUMPRODUCT(Y112:Y112*H112:H112),"0")</f>
        <v>0</v>
      </c>
      <c r="Z114" s="37"/>
      <c r="AA114" s="271"/>
      <c r="AB114" s="271"/>
      <c r="AC114" s="271"/>
    </row>
    <row r="115" spans="1:68" ht="14.25" customHeight="1" x14ac:dyDescent="0.25">
      <c r="A115" s="303" t="s">
        <v>190</v>
      </c>
      <c r="B115" s="283"/>
      <c r="C115" s="283"/>
      <c r="D115" s="283"/>
      <c r="E115" s="283"/>
      <c r="F115" s="283"/>
      <c r="G115" s="283"/>
      <c r="H115" s="283"/>
      <c r="I115" s="283"/>
      <c r="J115" s="283"/>
      <c r="K115" s="283"/>
      <c r="L115" s="283"/>
      <c r="M115" s="283"/>
      <c r="N115" s="283"/>
      <c r="O115" s="283"/>
      <c r="P115" s="283"/>
      <c r="Q115" s="283"/>
      <c r="R115" s="283"/>
      <c r="S115" s="283"/>
      <c r="T115" s="283"/>
      <c r="U115" s="283"/>
      <c r="V115" s="283"/>
      <c r="W115" s="283"/>
      <c r="X115" s="283"/>
      <c r="Y115" s="283"/>
      <c r="Z115" s="283"/>
      <c r="AA115" s="264"/>
      <c r="AB115" s="264"/>
      <c r="AC115" s="264"/>
    </row>
    <row r="116" spans="1:68" ht="27" customHeight="1" x14ac:dyDescent="0.25">
      <c r="A116" s="54" t="s">
        <v>191</v>
      </c>
      <c r="B116" s="54" t="s">
        <v>192</v>
      </c>
      <c r="C116" s="31">
        <v>4301071094</v>
      </c>
      <c r="D116" s="284">
        <v>4620207491140</v>
      </c>
      <c r="E116" s="285"/>
      <c r="F116" s="267">
        <v>0.6</v>
      </c>
      <c r="G116" s="32">
        <v>10</v>
      </c>
      <c r="H116" s="267">
        <v>6</v>
      </c>
      <c r="I116" s="267">
        <v>6.28</v>
      </c>
      <c r="J116" s="32">
        <v>84</v>
      </c>
      <c r="K116" s="32" t="s">
        <v>67</v>
      </c>
      <c r="L116" s="32" t="s">
        <v>68</v>
      </c>
      <c r="M116" s="33" t="s">
        <v>69</v>
      </c>
      <c r="N116" s="33"/>
      <c r="O116" s="32">
        <v>180</v>
      </c>
      <c r="P116" s="32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273"/>
      <c r="R116" s="273"/>
      <c r="S116" s="273"/>
      <c r="T116" s="274"/>
      <c r="U116" s="34"/>
      <c r="V116" s="34"/>
      <c r="W116" s="35" t="s">
        <v>70</v>
      </c>
      <c r="X116" s="268">
        <v>0</v>
      </c>
      <c r="Y116" s="269">
        <f>IFERROR(IF(X116="","",X116),"")</f>
        <v>0</v>
      </c>
      <c r="Z116" s="36">
        <f>IFERROR(IF(X116="","",X116*0.0155),"")</f>
        <v>0</v>
      </c>
      <c r="AA116" s="56"/>
      <c r="AB116" s="57"/>
      <c r="AC116" s="148" t="s">
        <v>193</v>
      </c>
      <c r="AG116" s="67"/>
      <c r="AJ116" s="71" t="s">
        <v>72</v>
      </c>
      <c r="AK116" s="71">
        <v>1</v>
      </c>
      <c r="BB116" s="149" t="s">
        <v>84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x14ac:dyDescent="0.2">
      <c r="A117" s="286"/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7"/>
      <c r="P117" s="279" t="s">
        <v>73</v>
      </c>
      <c r="Q117" s="280"/>
      <c r="R117" s="280"/>
      <c r="S117" s="280"/>
      <c r="T117" s="280"/>
      <c r="U117" s="280"/>
      <c r="V117" s="281"/>
      <c r="W117" s="37" t="s">
        <v>70</v>
      </c>
      <c r="X117" s="270">
        <f>IFERROR(SUM(X116:X116),"0")</f>
        <v>0</v>
      </c>
      <c r="Y117" s="270">
        <f>IFERROR(SUM(Y116:Y116),"0")</f>
        <v>0</v>
      </c>
      <c r="Z117" s="270">
        <f>IFERROR(IF(Z116="",0,Z116),"0")</f>
        <v>0</v>
      </c>
      <c r="AA117" s="271"/>
      <c r="AB117" s="271"/>
      <c r="AC117" s="271"/>
    </row>
    <row r="118" spans="1:68" x14ac:dyDescent="0.2">
      <c r="A118" s="283"/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7"/>
      <c r="P118" s="279" t="s">
        <v>73</v>
      </c>
      <c r="Q118" s="280"/>
      <c r="R118" s="280"/>
      <c r="S118" s="280"/>
      <c r="T118" s="280"/>
      <c r="U118" s="280"/>
      <c r="V118" s="281"/>
      <c r="W118" s="37" t="s">
        <v>74</v>
      </c>
      <c r="X118" s="270">
        <f>IFERROR(SUMPRODUCT(X116:X116*H116:H116),"0")</f>
        <v>0</v>
      </c>
      <c r="Y118" s="270">
        <f>IFERROR(SUMPRODUCT(Y116:Y116*H116:H116),"0")</f>
        <v>0</v>
      </c>
      <c r="Z118" s="37"/>
      <c r="AA118" s="271"/>
      <c r="AB118" s="271"/>
      <c r="AC118" s="271"/>
    </row>
    <row r="119" spans="1:68" ht="16.5" customHeight="1" x14ac:dyDescent="0.25">
      <c r="A119" s="282" t="s">
        <v>194</v>
      </c>
      <c r="B119" s="283"/>
      <c r="C119" s="283"/>
      <c r="D119" s="283"/>
      <c r="E119" s="283"/>
      <c r="F119" s="283"/>
      <c r="G119" s="283"/>
      <c r="H119" s="283"/>
      <c r="I119" s="283"/>
      <c r="J119" s="283"/>
      <c r="K119" s="283"/>
      <c r="L119" s="283"/>
      <c r="M119" s="283"/>
      <c r="N119" s="283"/>
      <c r="O119" s="283"/>
      <c r="P119" s="283"/>
      <c r="Q119" s="283"/>
      <c r="R119" s="283"/>
      <c r="S119" s="283"/>
      <c r="T119" s="283"/>
      <c r="U119" s="283"/>
      <c r="V119" s="283"/>
      <c r="W119" s="283"/>
      <c r="X119" s="283"/>
      <c r="Y119" s="283"/>
      <c r="Z119" s="283"/>
      <c r="AA119" s="263"/>
      <c r="AB119" s="263"/>
      <c r="AC119" s="263"/>
    </row>
    <row r="120" spans="1:68" ht="14.25" customHeight="1" x14ac:dyDescent="0.25">
      <c r="A120" s="303" t="s">
        <v>121</v>
      </c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3"/>
      <c r="P120" s="283"/>
      <c r="Q120" s="283"/>
      <c r="R120" s="283"/>
      <c r="S120" s="283"/>
      <c r="T120" s="283"/>
      <c r="U120" s="283"/>
      <c r="V120" s="283"/>
      <c r="W120" s="283"/>
      <c r="X120" s="283"/>
      <c r="Y120" s="283"/>
      <c r="Z120" s="283"/>
      <c r="AA120" s="264"/>
      <c r="AB120" s="264"/>
      <c r="AC120" s="264"/>
    </row>
    <row r="121" spans="1:68" ht="27" customHeight="1" x14ac:dyDescent="0.25">
      <c r="A121" s="54" t="s">
        <v>195</v>
      </c>
      <c r="B121" s="54" t="s">
        <v>196</v>
      </c>
      <c r="C121" s="31">
        <v>4301135555</v>
      </c>
      <c r="D121" s="284">
        <v>4607111034014</v>
      </c>
      <c r="E121" s="285"/>
      <c r="F121" s="267">
        <v>0.25</v>
      </c>
      <c r="G121" s="32">
        <v>12</v>
      </c>
      <c r="H121" s="267">
        <v>3</v>
      </c>
      <c r="I121" s="267">
        <v>3.7035999999999998</v>
      </c>
      <c r="J121" s="32">
        <v>70</v>
      </c>
      <c r="K121" s="32" t="s">
        <v>80</v>
      </c>
      <c r="L121" s="32" t="s">
        <v>81</v>
      </c>
      <c r="M121" s="33" t="s">
        <v>69</v>
      </c>
      <c r="N121" s="33"/>
      <c r="O121" s="32">
        <v>180</v>
      </c>
      <c r="P121" s="44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273"/>
      <c r="R121" s="273"/>
      <c r="S121" s="273"/>
      <c r="T121" s="274"/>
      <c r="U121" s="34"/>
      <c r="V121" s="34"/>
      <c r="W121" s="35" t="s">
        <v>70</v>
      </c>
      <c r="X121" s="268">
        <v>308</v>
      </c>
      <c r="Y121" s="269">
        <f>IFERROR(IF(X121="","",X121),"")</f>
        <v>308</v>
      </c>
      <c r="Z121" s="36">
        <f>IFERROR(IF(X121="","",X121*0.01788),"")</f>
        <v>5.5070399999999999</v>
      </c>
      <c r="AA121" s="56"/>
      <c r="AB121" s="57"/>
      <c r="AC121" s="150" t="s">
        <v>197</v>
      </c>
      <c r="AG121" s="67"/>
      <c r="AJ121" s="71" t="s">
        <v>83</v>
      </c>
      <c r="AK121" s="71">
        <v>14</v>
      </c>
      <c r="BB121" s="151" t="s">
        <v>84</v>
      </c>
      <c r="BM121" s="67">
        <f>IFERROR(X121*I121,"0")</f>
        <v>1140.7087999999999</v>
      </c>
      <c r="BN121" s="67">
        <f>IFERROR(Y121*I121,"0")</f>
        <v>1140.7087999999999</v>
      </c>
      <c r="BO121" s="67">
        <f>IFERROR(X121/J121,"0")</f>
        <v>4.4000000000000004</v>
      </c>
      <c r="BP121" s="67">
        <f>IFERROR(Y121/J121,"0")</f>
        <v>4.4000000000000004</v>
      </c>
    </row>
    <row r="122" spans="1:68" ht="27" customHeight="1" x14ac:dyDescent="0.25">
      <c r="A122" s="54" t="s">
        <v>198</v>
      </c>
      <c r="B122" s="54" t="s">
        <v>199</v>
      </c>
      <c r="C122" s="31">
        <v>4301135532</v>
      </c>
      <c r="D122" s="284">
        <v>4607111033994</v>
      </c>
      <c r="E122" s="285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80</v>
      </c>
      <c r="L122" s="32" t="s">
        <v>200</v>
      </c>
      <c r="M122" s="33" t="s">
        <v>69</v>
      </c>
      <c r="N122" s="33"/>
      <c r="O122" s="32">
        <v>180</v>
      </c>
      <c r="P122" s="36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273"/>
      <c r="R122" s="273"/>
      <c r="S122" s="273"/>
      <c r="T122" s="274"/>
      <c r="U122" s="34"/>
      <c r="V122" s="34"/>
      <c r="W122" s="35" t="s">
        <v>70</v>
      </c>
      <c r="X122" s="268">
        <v>294</v>
      </c>
      <c r="Y122" s="269">
        <f>IFERROR(IF(X122="","",X122),"")</f>
        <v>294</v>
      </c>
      <c r="Z122" s="36">
        <f>IFERROR(IF(X122="","",X122*0.01788),"")</f>
        <v>5.2567199999999996</v>
      </c>
      <c r="AA122" s="56"/>
      <c r="AB122" s="57"/>
      <c r="AC122" s="152" t="s">
        <v>139</v>
      </c>
      <c r="AG122" s="67"/>
      <c r="AJ122" s="71" t="s">
        <v>201</v>
      </c>
      <c r="AK122" s="71">
        <v>70</v>
      </c>
      <c r="BB122" s="153" t="s">
        <v>84</v>
      </c>
      <c r="BM122" s="67">
        <f>IFERROR(X122*I122,"0")</f>
        <v>1088.8583999999998</v>
      </c>
      <c r="BN122" s="67">
        <f>IFERROR(Y122*I122,"0")</f>
        <v>1088.8583999999998</v>
      </c>
      <c r="BO122" s="67">
        <f>IFERROR(X122/J122,"0")</f>
        <v>4.2</v>
      </c>
      <c r="BP122" s="67">
        <f>IFERROR(Y122/J122,"0")</f>
        <v>4.2</v>
      </c>
    </row>
    <row r="123" spans="1:68" x14ac:dyDescent="0.2">
      <c r="A123" s="286"/>
      <c r="B123" s="283"/>
      <c r="C123" s="283"/>
      <c r="D123" s="283"/>
      <c r="E123" s="283"/>
      <c r="F123" s="283"/>
      <c r="G123" s="283"/>
      <c r="H123" s="283"/>
      <c r="I123" s="283"/>
      <c r="J123" s="283"/>
      <c r="K123" s="283"/>
      <c r="L123" s="283"/>
      <c r="M123" s="283"/>
      <c r="N123" s="283"/>
      <c r="O123" s="287"/>
      <c r="P123" s="279" t="s">
        <v>73</v>
      </c>
      <c r="Q123" s="280"/>
      <c r="R123" s="280"/>
      <c r="S123" s="280"/>
      <c r="T123" s="280"/>
      <c r="U123" s="280"/>
      <c r="V123" s="281"/>
      <c r="W123" s="37" t="s">
        <v>70</v>
      </c>
      <c r="X123" s="270">
        <f>IFERROR(SUM(X121:X122),"0")</f>
        <v>602</v>
      </c>
      <c r="Y123" s="270">
        <f>IFERROR(SUM(Y121:Y122),"0")</f>
        <v>602</v>
      </c>
      <c r="Z123" s="270">
        <f>IFERROR(IF(Z121="",0,Z121),"0")+IFERROR(IF(Z122="",0,Z122),"0")</f>
        <v>10.76376</v>
      </c>
      <c r="AA123" s="271"/>
      <c r="AB123" s="271"/>
      <c r="AC123" s="271"/>
    </row>
    <row r="124" spans="1:68" x14ac:dyDescent="0.2">
      <c r="A124" s="283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7"/>
      <c r="P124" s="279" t="s">
        <v>73</v>
      </c>
      <c r="Q124" s="280"/>
      <c r="R124" s="280"/>
      <c r="S124" s="280"/>
      <c r="T124" s="280"/>
      <c r="U124" s="280"/>
      <c r="V124" s="281"/>
      <c r="W124" s="37" t="s">
        <v>74</v>
      </c>
      <c r="X124" s="270">
        <f>IFERROR(SUMPRODUCT(X121:X122*H121:H122),"0")</f>
        <v>1806</v>
      </c>
      <c r="Y124" s="270">
        <f>IFERROR(SUMPRODUCT(Y121:Y122*H121:H122),"0")</f>
        <v>1806</v>
      </c>
      <c r="Z124" s="37"/>
      <c r="AA124" s="271"/>
      <c r="AB124" s="271"/>
      <c r="AC124" s="271"/>
    </row>
    <row r="125" spans="1:68" ht="16.5" customHeight="1" x14ac:dyDescent="0.25">
      <c r="A125" s="282" t="s">
        <v>202</v>
      </c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3"/>
      <c r="P125" s="283"/>
      <c r="Q125" s="283"/>
      <c r="R125" s="283"/>
      <c r="S125" s="283"/>
      <c r="T125" s="283"/>
      <c r="U125" s="283"/>
      <c r="V125" s="283"/>
      <c r="W125" s="283"/>
      <c r="X125" s="283"/>
      <c r="Y125" s="283"/>
      <c r="Z125" s="283"/>
      <c r="AA125" s="263"/>
      <c r="AB125" s="263"/>
      <c r="AC125" s="263"/>
    </row>
    <row r="126" spans="1:68" ht="14.25" customHeight="1" x14ac:dyDescent="0.25">
      <c r="A126" s="303" t="s">
        <v>121</v>
      </c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64"/>
      <c r="AB126" s="264"/>
      <c r="AC126" s="264"/>
    </row>
    <row r="127" spans="1:68" ht="27" customHeight="1" x14ac:dyDescent="0.25">
      <c r="A127" s="54" t="s">
        <v>203</v>
      </c>
      <c r="B127" s="54" t="s">
        <v>204</v>
      </c>
      <c r="C127" s="31">
        <v>4301135824</v>
      </c>
      <c r="D127" s="284">
        <v>4607111039095</v>
      </c>
      <c r="E127" s="285"/>
      <c r="F127" s="267">
        <v>0.25</v>
      </c>
      <c r="G127" s="32">
        <v>12</v>
      </c>
      <c r="H127" s="267">
        <v>3</v>
      </c>
      <c r="I127" s="267">
        <v>3.7480000000000002</v>
      </c>
      <c r="J127" s="32">
        <v>70</v>
      </c>
      <c r="K127" s="32" t="s">
        <v>80</v>
      </c>
      <c r="L127" s="32" t="s">
        <v>68</v>
      </c>
      <c r="M127" s="33" t="s">
        <v>69</v>
      </c>
      <c r="N127" s="33"/>
      <c r="O127" s="32">
        <v>180</v>
      </c>
      <c r="P127" s="43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273"/>
      <c r="R127" s="273"/>
      <c r="S127" s="273"/>
      <c r="T127" s="274"/>
      <c r="U127" s="34"/>
      <c r="V127" s="34"/>
      <c r="W127" s="35" t="s">
        <v>70</v>
      </c>
      <c r="X127" s="268">
        <v>0</v>
      </c>
      <c r="Y127" s="269">
        <f>IFERROR(IF(X127="","",X127),"")</f>
        <v>0</v>
      </c>
      <c r="Z127" s="36">
        <f>IFERROR(IF(X127="","",X127*0.01788),"")</f>
        <v>0</v>
      </c>
      <c r="AA127" s="56"/>
      <c r="AB127" s="57"/>
      <c r="AC127" s="154" t="s">
        <v>205</v>
      </c>
      <c r="AG127" s="67"/>
      <c r="AJ127" s="71" t="s">
        <v>72</v>
      </c>
      <c r="AK127" s="71">
        <v>1</v>
      </c>
      <c r="BB127" s="155" t="s">
        <v>84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t="16.5" customHeight="1" x14ac:dyDescent="0.25">
      <c r="A128" s="54" t="s">
        <v>206</v>
      </c>
      <c r="B128" s="54" t="s">
        <v>207</v>
      </c>
      <c r="C128" s="31">
        <v>4301135550</v>
      </c>
      <c r="D128" s="284">
        <v>4607111034199</v>
      </c>
      <c r="E128" s="285"/>
      <c r="F128" s="267">
        <v>0.25</v>
      </c>
      <c r="G128" s="32">
        <v>12</v>
      </c>
      <c r="H128" s="267">
        <v>3</v>
      </c>
      <c r="I128" s="267">
        <v>3.7035999999999998</v>
      </c>
      <c r="J128" s="32">
        <v>70</v>
      </c>
      <c r="K128" s="32" t="s">
        <v>80</v>
      </c>
      <c r="L128" s="32" t="s">
        <v>81</v>
      </c>
      <c r="M128" s="33" t="s">
        <v>69</v>
      </c>
      <c r="N128" s="33"/>
      <c r="O128" s="32">
        <v>180</v>
      </c>
      <c r="P128" s="43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273"/>
      <c r="R128" s="273"/>
      <c r="S128" s="273"/>
      <c r="T128" s="274"/>
      <c r="U128" s="34"/>
      <c r="V128" s="34"/>
      <c r="W128" s="35" t="s">
        <v>70</v>
      </c>
      <c r="X128" s="268">
        <v>224</v>
      </c>
      <c r="Y128" s="269">
        <f>IFERROR(IF(X128="","",X128),"")</f>
        <v>224</v>
      </c>
      <c r="Z128" s="36">
        <f>IFERROR(IF(X128="","",X128*0.01788),"")</f>
        <v>4.0051199999999998</v>
      </c>
      <c r="AA128" s="56"/>
      <c r="AB128" s="57"/>
      <c r="AC128" s="156" t="s">
        <v>208</v>
      </c>
      <c r="AG128" s="67"/>
      <c r="AJ128" s="71" t="s">
        <v>83</v>
      </c>
      <c r="AK128" s="71">
        <v>14</v>
      </c>
      <c r="BB128" s="157" t="s">
        <v>84</v>
      </c>
      <c r="BM128" s="67">
        <f>IFERROR(X128*I128,"0")</f>
        <v>829.60639999999989</v>
      </c>
      <c r="BN128" s="67">
        <f>IFERROR(Y128*I128,"0")</f>
        <v>829.60639999999989</v>
      </c>
      <c r="BO128" s="67">
        <f>IFERROR(X128/J128,"0")</f>
        <v>3.2</v>
      </c>
      <c r="BP128" s="67">
        <f>IFERROR(Y128/J128,"0")</f>
        <v>3.2</v>
      </c>
    </row>
    <row r="129" spans="1:68" x14ac:dyDescent="0.2">
      <c r="A129" s="286"/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7"/>
      <c r="P129" s="279" t="s">
        <v>73</v>
      </c>
      <c r="Q129" s="280"/>
      <c r="R129" s="280"/>
      <c r="S129" s="280"/>
      <c r="T129" s="280"/>
      <c r="U129" s="280"/>
      <c r="V129" s="281"/>
      <c r="W129" s="37" t="s">
        <v>70</v>
      </c>
      <c r="X129" s="270">
        <f>IFERROR(SUM(X127:X128),"0")</f>
        <v>224</v>
      </c>
      <c r="Y129" s="270">
        <f>IFERROR(SUM(Y127:Y128),"0")</f>
        <v>224</v>
      </c>
      <c r="Z129" s="270">
        <f>IFERROR(IF(Z127="",0,Z127),"0")+IFERROR(IF(Z128="",0,Z128),"0")</f>
        <v>4.0051199999999998</v>
      </c>
      <c r="AA129" s="271"/>
      <c r="AB129" s="271"/>
      <c r="AC129" s="271"/>
    </row>
    <row r="130" spans="1:68" x14ac:dyDescent="0.2">
      <c r="A130" s="28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7"/>
      <c r="P130" s="279" t="s">
        <v>73</v>
      </c>
      <c r="Q130" s="280"/>
      <c r="R130" s="280"/>
      <c r="S130" s="280"/>
      <c r="T130" s="280"/>
      <c r="U130" s="280"/>
      <c r="V130" s="281"/>
      <c r="W130" s="37" t="s">
        <v>74</v>
      </c>
      <c r="X130" s="270">
        <f>IFERROR(SUMPRODUCT(X127:X128*H127:H128),"0")</f>
        <v>672</v>
      </c>
      <c r="Y130" s="270">
        <f>IFERROR(SUMPRODUCT(Y127:Y128*H127:H128),"0")</f>
        <v>672</v>
      </c>
      <c r="Z130" s="37"/>
      <c r="AA130" s="271"/>
      <c r="AB130" s="271"/>
      <c r="AC130" s="271"/>
    </row>
    <row r="131" spans="1:68" ht="16.5" customHeight="1" x14ac:dyDescent="0.25">
      <c r="A131" s="282" t="s">
        <v>209</v>
      </c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  <c r="AA131" s="263"/>
      <c r="AB131" s="263"/>
      <c r="AC131" s="263"/>
    </row>
    <row r="132" spans="1:68" ht="14.25" customHeight="1" x14ac:dyDescent="0.25">
      <c r="A132" s="303" t="s">
        <v>121</v>
      </c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  <c r="X132" s="283"/>
      <c r="Y132" s="283"/>
      <c r="Z132" s="283"/>
      <c r="AA132" s="264"/>
      <c r="AB132" s="264"/>
      <c r="AC132" s="264"/>
    </row>
    <row r="133" spans="1:68" ht="27" customHeight="1" x14ac:dyDescent="0.25">
      <c r="A133" s="54" t="s">
        <v>210</v>
      </c>
      <c r="B133" s="54" t="s">
        <v>211</v>
      </c>
      <c r="C133" s="31">
        <v>4301135753</v>
      </c>
      <c r="D133" s="284">
        <v>4620207490914</v>
      </c>
      <c r="E133" s="285"/>
      <c r="F133" s="267">
        <v>0.2</v>
      </c>
      <c r="G133" s="32">
        <v>12</v>
      </c>
      <c r="H133" s="267">
        <v>2.4</v>
      </c>
      <c r="I133" s="267">
        <v>2.68</v>
      </c>
      <c r="J133" s="32">
        <v>70</v>
      </c>
      <c r="K133" s="32" t="s">
        <v>80</v>
      </c>
      <c r="L133" s="32" t="s">
        <v>68</v>
      </c>
      <c r="M133" s="33" t="s">
        <v>69</v>
      </c>
      <c r="N133" s="33"/>
      <c r="O133" s="32">
        <v>180</v>
      </c>
      <c r="P133" s="42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273"/>
      <c r="R133" s="273"/>
      <c r="S133" s="273"/>
      <c r="T133" s="274"/>
      <c r="U133" s="34"/>
      <c r="V133" s="34"/>
      <c r="W133" s="35" t="s">
        <v>70</v>
      </c>
      <c r="X133" s="268">
        <v>42</v>
      </c>
      <c r="Y133" s="269">
        <f>IFERROR(IF(X133="","",X133),"")</f>
        <v>42</v>
      </c>
      <c r="Z133" s="36">
        <f>IFERROR(IF(X133="","",X133*0.01788),"")</f>
        <v>0.75095999999999996</v>
      </c>
      <c r="AA133" s="56"/>
      <c r="AB133" s="57"/>
      <c r="AC133" s="158" t="s">
        <v>197</v>
      </c>
      <c r="AG133" s="67"/>
      <c r="AJ133" s="71" t="s">
        <v>72</v>
      </c>
      <c r="AK133" s="71">
        <v>1</v>
      </c>
      <c r="BB133" s="159" t="s">
        <v>84</v>
      </c>
      <c r="BM133" s="67">
        <f>IFERROR(X133*I133,"0")</f>
        <v>112.56</v>
      </c>
      <c r="BN133" s="67">
        <f>IFERROR(Y133*I133,"0")</f>
        <v>112.56</v>
      </c>
      <c r="BO133" s="67">
        <f>IFERROR(X133/J133,"0")</f>
        <v>0.6</v>
      </c>
      <c r="BP133" s="67">
        <f>IFERROR(Y133/J133,"0")</f>
        <v>0.6</v>
      </c>
    </row>
    <row r="134" spans="1:68" ht="27" customHeight="1" x14ac:dyDescent="0.25">
      <c r="A134" s="54" t="s">
        <v>212</v>
      </c>
      <c r="B134" s="54" t="s">
        <v>213</v>
      </c>
      <c r="C134" s="31">
        <v>4301135778</v>
      </c>
      <c r="D134" s="284">
        <v>4620207490853</v>
      </c>
      <c r="E134" s="285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80</v>
      </c>
      <c r="L134" s="32" t="s">
        <v>81</v>
      </c>
      <c r="M134" s="33" t="s">
        <v>69</v>
      </c>
      <c r="N134" s="33"/>
      <c r="O134" s="32">
        <v>180</v>
      </c>
      <c r="P134" s="45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273"/>
      <c r="R134" s="273"/>
      <c r="S134" s="273"/>
      <c r="T134" s="274"/>
      <c r="U134" s="34"/>
      <c r="V134" s="34"/>
      <c r="W134" s="35" t="s">
        <v>70</v>
      </c>
      <c r="X134" s="268">
        <v>42</v>
      </c>
      <c r="Y134" s="269">
        <f>IFERROR(IF(X134="","",X134),"")</f>
        <v>42</v>
      </c>
      <c r="Z134" s="36">
        <f>IFERROR(IF(X134="","",X134*0.01788),"")</f>
        <v>0.75095999999999996</v>
      </c>
      <c r="AA134" s="56"/>
      <c r="AB134" s="57"/>
      <c r="AC134" s="160" t="s">
        <v>197</v>
      </c>
      <c r="AG134" s="67"/>
      <c r="AJ134" s="71" t="s">
        <v>83</v>
      </c>
      <c r="AK134" s="71">
        <v>14</v>
      </c>
      <c r="BB134" s="161" t="s">
        <v>84</v>
      </c>
      <c r="BM134" s="67">
        <f>IFERROR(X134*I134,"0")</f>
        <v>112.56</v>
      </c>
      <c r="BN134" s="67">
        <f>IFERROR(Y134*I134,"0")</f>
        <v>112.56</v>
      </c>
      <c r="BO134" s="67">
        <f>IFERROR(X134/J134,"0")</f>
        <v>0.6</v>
      </c>
      <c r="BP134" s="67">
        <f>IFERROR(Y134/J134,"0")</f>
        <v>0.6</v>
      </c>
    </row>
    <row r="135" spans="1:68" x14ac:dyDescent="0.2">
      <c r="A135" s="286"/>
      <c r="B135" s="283"/>
      <c r="C135" s="283"/>
      <c r="D135" s="283"/>
      <c r="E135" s="283"/>
      <c r="F135" s="283"/>
      <c r="G135" s="283"/>
      <c r="H135" s="283"/>
      <c r="I135" s="283"/>
      <c r="J135" s="283"/>
      <c r="K135" s="283"/>
      <c r="L135" s="283"/>
      <c r="M135" s="283"/>
      <c r="N135" s="283"/>
      <c r="O135" s="287"/>
      <c r="P135" s="279" t="s">
        <v>73</v>
      </c>
      <c r="Q135" s="280"/>
      <c r="R135" s="280"/>
      <c r="S135" s="280"/>
      <c r="T135" s="280"/>
      <c r="U135" s="280"/>
      <c r="V135" s="281"/>
      <c r="W135" s="37" t="s">
        <v>70</v>
      </c>
      <c r="X135" s="270">
        <f>IFERROR(SUM(X133:X134),"0")</f>
        <v>84</v>
      </c>
      <c r="Y135" s="270">
        <f>IFERROR(SUM(Y133:Y134),"0")</f>
        <v>84</v>
      </c>
      <c r="Z135" s="270">
        <f>IFERROR(IF(Z133="",0,Z133),"0")+IFERROR(IF(Z134="",0,Z134),"0")</f>
        <v>1.5019199999999999</v>
      </c>
      <c r="AA135" s="271"/>
      <c r="AB135" s="271"/>
      <c r="AC135" s="271"/>
    </row>
    <row r="136" spans="1:68" x14ac:dyDescent="0.2">
      <c r="A136" s="283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7"/>
      <c r="P136" s="279" t="s">
        <v>73</v>
      </c>
      <c r="Q136" s="280"/>
      <c r="R136" s="280"/>
      <c r="S136" s="280"/>
      <c r="T136" s="280"/>
      <c r="U136" s="280"/>
      <c r="V136" s="281"/>
      <c r="W136" s="37" t="s">
        <v>74</v>
      </c>
      <c r="X136" s="270">
        <f>IFERROR(SUMPRODUCT(X133:X134*H133:H134),"0")</f>
        <v>201.6</v>
      </c>
      <c r="Y136" s="270">
        <f>IFERROR(SUMPRODUCT(Y133:Y134*H133:H134),"0")</f>
        <v>201.6</v>
      </c>
      <c r="Z136" s="37"/>
      <c r="AA136" s="271"/>
      <c r="AB136" s="271"/>
      <c r="AC136" s="271"/>
    </row>
    <row r="137" spans="1:68" ht="16.5" customHeight="1" x14ac:dyDescent="0.25">
      <c r="A137" s="282" t="s">
        <v>214</v>
      </c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3"/>
      <c r="P137" s="283"/>
      <c r="Q137" s="283"/>
      <c r="R137" s="283"/>
      <c r="S137" s="283"/>
      <c r="T137" s="283"/>
      <c r="U137" s="283"/>
      <c r="V137" s="283"/>
      <c r="W137" s="283"/>
      <c r="X137" s="283"/>
      <c r="Y137" s="283"/>
      <c r="Z137" s="283"/>
      <c r="AA137" s="263"/>
      <c r="AB137" s="263"/>
      <c r="AC137" s="263"/>
    </row>
    <row r="138" spans="1:68" ht="14.25" customHeight="1" x14ac:dyDescent="0.25">
      <c r="A138" s="303" t="s">
        <v>121</v>
      </c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  <c r="AA138" s="264"/>
      <c r="AB138" s="264"/>
      <c r="AC138" s="264"/>
    </row>
    <row r="139" spans="1:68" ht="27" customHeight="1" x14ac:dyDescent="0.25">
      <c r="A139" s="54" t="s">
        <v>215</v>
      </c>
      <c r="B139" s="54" t="s">
        <v>216</v>
      </c>
      <c r="C139" s="31">
        <v>4301135570</v>
      </c>
      <c r="D139" s="284">
        <v>4607111035806</v>
      </c>
      <c r="E139" s="285"/>
      <c r="F139" s="267">
        <v>0.25</v>
      </c>
      <c r="G139" s="32">
        <v>12</v>
      </c>
      <c r="H139" s="267">
        <v>3</v>
      </c>
      <c r="I139" s="267">
        <v>3.7035999999999998</v>
      </c>
      <c r="J139" s="32">
        <v>70</v>
      </c>
      <c r="K139" s="32" t="s">
        <v>80</v>
      </c>
      <c r="L139" s="32" t="s">
        <v>81</v>
      </c>
      <c r="M139" s="33" t="s">
        <v>69</v>
      </c>
      <c r="N139" s="33"/>
      <c r="O139" s="32">
        <v>180</v>
      </c>
      <c r="P139" s="41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273"/>
      <c r="R139" s="273"/>
      <c r="S139" s="273"/>
      <c r="T139" s="274"/>
      <c r="U139" s="34"/>
      <c r="V139" s="34"/>
      <c r="W139" s="35" t="s">
        <v>70</v>
      </c>
      <c r="X139" s="268">
        <v>56</v>
      </c>
      <c r="Y139" s="269">
        <f>IFERROR(IF(X139="","",X139),"")</f>
        <v>56</v>
      </c>
      <c r="Z139" s="36">
        <f>IFERROR(IF(X139="","",X139*0.01788),"")</f>
        <v>1.0012799999999999</v>
      </c>
      <c r="AA139" s="56"/>
      <c r="AB139" s="57"/>
      <c r="AC139" s="162" t="s">
        <v>217</v>
      </c>
      <c r="AG139" s="67"/>
      <c r="AJ139" s="71" t="s">
        <v>83</v>
      </c>
      <c r="AK139" s="71">
        <v>14</v>
      </c>
      <c r="BB139" s="163" t="s">
        <v>84</v>
      </c>
      <c r="BM139" s="67">
        <f>IFERROR(X139*I139,"0")</f>
        <v>207.40159999999997</v>
      </c>
      <c r="BN139" s="67">
        <f>IFERROR(Y139*I139,"0")</f>
        <v>207.40159999999997</v>
      </c>
      <c r="BO139" s="67">
        <f>IFERROR(X139/J139,"0")</f>
        <v>0.8</v>
      </c>
      <c r="BP139" s="67">
        <f>IFERROR(Y139/J139,"0")</f>
        <v>0.8</v>
      </c>
    </row>
    <row r="140" spans="1:68" x14ac:dyDescent="0.2">
      <c r="A140" s="286"/>
      <c r="B140" s="283"/>
      <c r="C140" s="283"/>
      <c r="D140" s="283"/>
      <c r="E140" s="283"/>
      <c r="F140" s="283"/>
      <c r="G140" s="283"/>
      <c r="H140" s="283"/>
      <c r="I140" s="283"/>
      <c r="J140" s="283"/>
      <c r="K140" s="283"/>
      <c r="L140" s="283"/>
      <c r="M140" s="283"/>
      <c r="N140" s="283"/>
      <c r="O140" s="287"/>
      <c r="P140" s="279" t="s">
        <v>73</v>
      </c>
      <c r="Q140" s="280"/>
      <c r="R140" s="280"/>
      <c r="S140" s="280"/>
      <c r="T140" s="280"/>
      <c r="U140" s="280"/>
      <c r="V140" s="281"/>
      <c r="W140" s="37" t="s">
        <v>70</v>
      </c>
      <c r="X140" s="270">
        <f>IFERROR(SUM(X139:X139),"0")</f>
        <v>56</v>
      </c>
      <c r="Y140" s="270">
        <f>IFERROR(SUM(Y139:Y139),"0")</f>
        <v>56</v>
      </c>
      <c r="Z140" s="270">
        <f>IFERROR(IF(Z139="",0,Z139),"0")</f>
        <v>1.0012799999999999</v>
      </c>
      <c r="AA140" s="271"/>
      <c r="AB140" s="271"/>
      <c r="AC140" s="271"/>
    </row>
    <row r="141" spans="1:68" x14ac:dyDescent="0.2">
      <c r="A141" s="283"/>
      <c r="B141" s="283"/>
      <c r="C141" s="283"/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N141" s="283"/>
      <c r="O141" s="287"/>
      <c r="P141" s="279" t="s">
        <v>73</v>
      </c>
      <c r="Q141" s="280"/>
      <c r="R141" s="280"/>
      <c r="S141" s="280"/>
      <c r="T141" s="280"/>
      <c r="U141" s="280"/>
      <c r="V141" s="281"/>
      <c r="W141" s="37" t="s">
        <v>74</v>
      </c>
      <c r="X141" s="270">
        <f>IFERROR(SUMPRODUCT(X139:X139*H139:H139),"0")</f>
        <v>168</v>
      </c>
      <c r="Y141" s="270">
        <f>IFERROR(SUMPRODUCT(Y139:Y139*H139:H139),"0")</f>
        <v>168</v>
      </c>
      <c r="Z141" s="37"/>
      <c r="AA141" s="271"/>
      <c r="AB141" s="271"/>
      <c r="AC141" s="271"/>
    </row>
    <row r="142" spans="1:68" ht="16.5" customHeight="1" x14ac:dyDescent="0.25">
      <c r="A142" s="282" t="s">
        <v>218</v>
      </c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3"/>
      <c r="P142" s="283"/>
      <c r="Q142" s="283"/>
      <c r="R142" s="283"/>
      <c r="S142" s="283"/>
      <c r="T142" s="283"/>
      <c r="U142" s="283"/>
      <c r="V142" s="283"/>
      <c r="W142" s="283"/>
      <c r="X142" s="283"/>
      <c r="Y142" s="283"/>
      <c r="Z142" s="283"/>
      <c r="AA142" s="263"/>
      <c r="AB142" s="263"/>
      <c r="AC142" s="263"/>
    </row>
    <row r="143" spans="1:68" ht="14.25" customHeight="1" x14ac:dyDescent="0.25">
      <c r="A143" s="303" t="s">
        <v>121</v>
      </c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W143" s="283"/>
      <c r="X143" s="283"/>
      <c r="Y143" s="283"/>
      <c r="Z143" s="283"/>
      <c r="AA143" s="264"/>
      <c r="AB143" s="264"/>
      <c r="AC143" s="264"/>
    </row>
    <row r="144" spans="1:68" ht="16.5" customHeight="1" x14ac:dyDescent="0.25">
      <c r="A144" s="54" t="s">
        <v>219</v>
      </c>
      <c r="B144" s="54" t="s">
        <v>220</v>
      </c>
      <c r="C144" s="31">
        <v>4301135607</v>
      </c>
      <c r="D144" s="284">
        <v>4607111039613</v>
      </c>
      <c r="E144" s="285"/>
      <c r="F144" s="267">
        <v>0.09</v>
      </c>
      <c r="G144" s="32">
        <v>30</v>
      </c>
      <c r="H144" s="267">
        <v>2.7</v>
      </c>
      <c r="I144" s="267">
        <v>3.09</v>
      </c>
      <c r="J144" s="32">
        <v>126</v>
      </c>
      <c r="K144" s="32" t="s">
        <v>80</v>
      </c>
      <c r="L144" s="32" t="s">
        <v>81</v>
      </c>
      <c r="M144" s="33" t="s">
        <v>69</v>
      </c>
      <c r="N144" s="33"/>
      <c r="O144" s="32">
        <v>180</v>
      </c>
      <c r="P144" s="27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273"/>
      <c r="R144" s="273"/>
      <c r="S144" s="273"/>
      <c r="T144" s="274"/>
      <c r="U144" s="34"/>
      <c r="V144" s="34"/>
      <c r="W144" s="35" t="s">
        <v>70</v>
      </c>
      <c r="X144" s="268">
        <v>0</v>
      </c>
      <c r="Y144" s="269">
        <f>IFERROR(IF(X144="","",X144),"")</f>
        <v>0</v>
      </c>
      <c r="Z144" s="36">
        <f>IFERROR(IF(X144="","",X144*0.00936),"")</f>
        <v>0</v>
      </c>
      <c r="AA144" s="56"/>
      <c r="AB144" s="57"/>
      <c r="AC144" s="164" t="s">
        <v>205</v>
      </c>
      <c r="AG144" s="67"/>
      <c r="AJ144" s="71" t="s">
        <v>83</v>
      </c>
      <c r="AK144" s="71">
        <v>14</v>
      </c>
      <c r="BB144" s="165" t="s">
        <v>84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x14ac:dyDescent="0.2">
      <c r="A145" s="286"/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7"/>
      <c r="P145" s="279" t="s">
        <v>73</v>
      </c>
      <c r="Q145" s="280"/>
      <c r="R145" s="280"/>
      <c r="S145" s="280"/>
      <c r="T145" s="280"/>
      <c r="U145" s="280"/>
      <c r="V145" s="281"/>
      <c r="W145" s="37" t="s">
        <v>70</v>
      </c>
      <c r="X145" s="270">
        <f>IFERROR(SUM(X144:X144),"0")</f>
        <v>0</v>
      </c>
      <c r="Y145" s="270">
        <f>IFERROR(SUM(Y144:Y144),"0")</f>
        <v>0</v>
      </c>
      <c r="Z145" s="270">
        <f>IFERROR(IF(Z144="",0,Z144),"0")</f>
        <v>0</v>
      </c>
      <c r="AA145" s="271"/>
      <c r="AB145" s="271"/>
      <c r="AC145" s="271"/>
    </row>
    <row r="146" spans="1:68" x14ac:dyDescent="0.2">
      <c r="A146" s="283"/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7"/>
      <c r="P146" s="279" t="s">
        <v>73</v>
      </c>
      <c r="Q146" s="280"/>
      <c r="R146" s="280"/>
      <c r="S146" s="280"/>
      <c r="T146" s="280"/>
      <c r="U146" s="280"/>
      <c r="V146" s="281"/>
      <c r="W146" s="37" t="s">
        <v>74</v>
      </c>
      <c r="X146" s="270">
        <f>IFERROR(SUMPRODUCT(X144:X144*H144:H144),"0")</f>
        <v>0</v>
      </c>
      <c r="Y146" s="270">
        <f>IFERROR(SUMPRODUCT(Y144:Y144*H144:H144),"0")</f>
        <v>0</v>
      </c>
      <c r="Z146" s="37"/>
      <c r="AA146" s="271"/>
      <c r="AB146" s="271"/>
      <c r="AC146" s="271"/>
    </row>
    <row r="147" spans="1:68" ht="16.5" customHeight="1" x14ac:dyDescent="0.25">
      <c r="A147" s="282" t="s">
        <v>221</v>
      </c>
      <c r="B147" s="283"/>
      <c r="C147" s="283"/>
      <c r="D147" s="283"/>
      <c r="E147" s="283"/>
      <c r="F147" s="283"/>
      <c r="G147" s="283"/>
      <c r="H147" s="283"/>
      <c r="I147" s="283"/>
      <c r="J147" s="283"/>
      <c r="K147" s="283"/>
      <c r="L147" s="283"/>
      <c r="M147" s="283"/>
      <c r="N147" s="283"/>
      <c r="O147" s="283"/>
      <c r="P147" s="283"/>
      <c r="Q147" s="283"/>
      <c r="R147" s="283"/>
      <c r="S147" s="283"/>
      <c r="T147" s="283"/>
      <c r="U147" s="283"/>
      <c r="V147" s="283"/>
      <c r="W147" s="283"/>
      <c r="X147" s="283"/>
      <c r="Y147" s="283"/>
      <c r="Z147" s="283"/>
      <c r="AA147" s="263"/>
      <c r="AB147" s="263"/>
      <c r="AC147" s="263"/>
    </row>
    <row r="148" spans="1:68" ht="14.25" customHeight="1" x14ac:dyDescent="0.25">
      <c r="A148" s="303" t="s">
        <v>190</v>
      </c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  <c r="X148" s="283"/>
      <c r="Y148" s="283"/>
      <c r="Z148" s="283"/>
      <c r="AA148" s="264"/>
      <c r="AB148" s="264"/>
      <c r="AC148" s="264"/>
    </row>
    <row r="149" spans="1:68" ht="27" customHeight="1" x14ac:dyDescent="0.25">
      <c r="A149" s="54" t="s">
        <v>222</v>
      </c>
      <c r="B149" s="54" t="s">
        <v>223</v>
      </c>
      <c r="C149" s="31">
        <v>4301135540</v>
      </c>
      <c r="D149" s="284">
        <v>4607111035646</v>
      </c>
      <c r="E149" s="285"/>
      <c r="F149" s="267">
        <v>0.2</v>
      </c>
      <c r="G149" s="32">
        <v>8</v>
      </c>
      <c r="H149" s="267">
        <v>1.6</v>
      </c>
      <c r="I149" s="267">
        <v>2.12</v>
      </c>
      <c r="J149" s="32">
        <v>72</v>
      </c>
      <c r="K149" s="32" t="s">
        <v>224</v>
      </c>
      <c r="L149" s="32" t="s">
        <v>68</v>
      </c>
      <c r="M149" s="33" t="s">
        <v>69</v>
      </c>
      <c r="N149" s="33"/>
      <c r="O149" s="32">
        <v>180</v>
      </c>
      <c r="P149" s="45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273"/>
      <c r="R149" s="273"/>
      <c r="S149" s="273"/>
      <c r="T149" s="274"/>
      <c r="U149" s="34"/>
      <c r="V149" s="34"/>
      <c r="W149" s="35" t="s">
        <v>70</v>
      </c>
      <c r="X149" s="268">
        <v>0</v>
      </c>
      <c r="Y149" s="269">
        <f>IFERROR(IF(X149="","",X149),"")</f>
        <v>0</v>
      </c>
      <c r="Z149" s="36">
        <f>IFERROR(IF(X149="","",X149*0.01157),"")</f>
        <v>0</v>
      </c>
      <c r="AA149" s="56"/>
      <c r="AB149" s="57"/>
      <c r="AC149" s="166" t="s">
        <v>225</v>
      </c>
      <c r="AG149" s="67"/>
      <c r="AJ149" s="71" t="s">
        <v>72</v>
      </c>
      <c r="AK149" s="71">
        <v>1</v>
      </c>
      <c r="BB149" s="167" t="s">
        <v>84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x14ac:dyDescent="0.2">
      <c r="A150" s="286"/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7"/>
      <c r="P150" s="279" t="s">
        <v>73</v>
      </c>
      <c r="Q150" s="280"/>
      <c r="R150" s="280"/>
      <c r="S150" s="280"/>
      <c r="T150" s="280"/>
      <c r="U150" s="280"/>
      <c r="V150" s="281"/>
      <c r="W150" s="37" t="s">
        <v>70</v>
      </c>
      <c r="X150" s="270">
        <f>IFERROR(SUM(X149:X149),"0")</f>
        <v>0</v>
      </c>
      <c r="Y150" s="270">
        <f>IFERROR(SUM(Y149:Y149),"0")</f>
        <v>0</v>
      </c>
      <c r="Z150" s="270">
        <f>IFERROR(IF(Z149="",0,Z149),"0")</f>
        <v>0</v>
      </c>
      <c r="AA150" s="271"/>
      <c r="AB150" s="271"/>
      <c r="AC150" s="271"/>
    </row>
    <row r="151" spans="1:68" x14ac:dyDescent="0.2">
      <c r="A151" s="283"/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7"/>
      <c r="P151" s="279" t="s">
        <v>73</v>
      </c>
      <c r="Q151" s="280"/>
      <c r="R151" s="280"/>
      <c r="S151" s="280"/>
      <c r="T151" s="280"/>
      <c r="U151" s="280"/>
      <c r="V151" s="281"/>
      <c r="W151" s="37" t="s">
        <v>74</v>
      </c>
      <c r="X151" s="270">
        <f>IFERROR(SUMPRODUCT(X149:X149*H149:H149),"0")</f>
        <v>0</v>
      </c>
      <c r="Y151" s="270">
        <f>IFERROR(SUMPRODUCT(Y149:Y149*H149:H149),"0")</f>
        <v>0</v>
      </c>
      <c r="Z151" s="37"/>
      <c r="AA151" s="271"/>
      <c r="AB151" s="271"/>
      <c r="AC151" s="271"/>
    </row>
    <row r="152" spans="1:68" ht="16.5" customHeight="1" x14ac:dyDescent="0.25">
      <c r="A152" s="282" t="s">
        <v>226</v>
      </c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3"/>
      <c r="P152" s="283"/>
      <c r="Q152" s="283"/>
      <c r="R152" s="283"/>
      <c r="S152" s="283"/>
      <c r="T152" s="283"/>
      <c r="U152" s="283"/>
      <c r="V152" s="283"/>
      <c r="W152" s="283"/>
      <c r="X152" s="283"/>
      <c r="Y152" s="283"/>
      <c r="Z152" s="283"/>
      <c r="AA152" s="263"/>
      <c r="AB152" s="263"/>
      <c r="AC152" s="263"/>
    </row>
    <row r="153" spans="1:68" ht="14.25" customHeight="1" x14ac:dyDescent="0.25">
      <c r="A153" s="303" t="s">
        <v>121</v>
      </c>
      <c r="B153" s="283"/>
      <c r="C153" s="283"/>
      <c r="D153" s="283"/>
      <c r="E153" s="283"/>
      <c r="F153" s="283"/>
      <c r="G153" s="283"/>
      <c r="H153" s="283"/>
      <c r="I153" s="283"/>
      <c r="J153" s="283"/>
      <c r="K153" s="283"/>
      <c r="L153" s="283"/>
      <c r="M153" s="283"/>
      <c r="N153" s="283"/>
      <c r="O153" s="283"/>
      <c r="P153" s="283"/>
      <c r="Q153" s="283"/>
      <c r="R153" s="283"/>
      <c r="S153" s="283"/>
      <c r="T153" s="283"/>
      <c r="U153" s="283"/>
      <c r="V153" s="283"/>
      <c r="W153" s="283"/>
      <c r="X153" s="283"/>
      <c r="Y153" s="283"/>
      <c r="Z153" s="283"/>
      <c r="AA153" s="264"/>
      <c r="AB153" s="264"/>
      <c r="AC153" s="264"/>
    </row>
    <row r="154" spans="1:68" ht="27" customHeight="1" x14ac:dyDescent="0.25">
      <c r="A154" s="54" t="s">
        <v>227</v>
      </c>
      <c r="B154" s="54" t="s">
        <v>228</v>
      </c>
      <c r="C154" s="31">
        <v>4301135591</v>
      </c>
      <c r="D154" s="284">
        <v>4607111036568</v>
      </c>
      <c r="E154" s="285"/>
      <c r="F154" s="267">
        <v>0.28000000000000003</v>
      </c>
      <c r="G154" s="32">
        <v>6</v>
      </c>
      <c r="H154" s="267">
        <v>1.68</v>
      </c>
      <c r="I154" s="267">
        <v>2.1017999999999999</v>
      </c>
      <c r="J154" s="32">
        <v>140</v>
      </c>
      <c r="K154" s="32" t="s">
        <v>80</v>
      </c>
      <c r="L154" s="32" t="s">
        <v>81</v>
      </c>
      <c r="M154" s="33" t="s">
        <v>69</v>
      </c>
      <c r="N154" s="33"/>
      <c r="O154" s="32">
        <v>180</v>
      </c>
      <c r="P154" s="38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273"/>
      <c r="R154" s="273"/>
      <c r="S154" s="273"/>
      <c r="T154" s="274"/>
      <c r="U154" s="34"/>
      <c r="V154" s="34"/>
      <c r="W154" s="35" t="s">
        <v>70</v>
      </c>
      <c r="X154" s="268">
        <v>126</v>
      </c>
      <c r="Y154" s="269">
        <f>IFERROR(IF(X154="","",X154),"")</f>
        <v>126</v>
      </c>
      <c r="Z154" s="36">
        <f>IFERROR(IF(X154="","",X154*0.00941),"")</f>
        <v>1.1856599999999999</v>
      </c>
      <c r="AA154" s="56"/>
      <c r="AB154" s="57"/>
      <c r="AC154" s="168" t="s">
        <v>229</v>
      </c>
      <c r="AG154" s="67"/>
      <c r="AJ154" s="71" t="s">
        <v>83</v>
      </c>
      <c r="AK154" s="71">
        <v>14</v>
      </c>
      <c r="BB154" s="169" t="s">
        <v>84</v>
      </c>
      <c r="BM154" s="67">
        <f>IFERROR(X154*I154,"0")</f>
        <v>264.82679999999999</v>
      </c>
      <c r="BN154" s="67">
        <f>IFERROR(Y154*I154,"0")</f>
        <v>264.82679999999999</v>
      </c>
      <c r="BO154" s="67">
        <f>IFERROR(X154/J154,"0")</f>
        <v>0.9</v>
      </c>
      <c r="BP154" s="67">
        <f>IFERROR(Y154/J154,"0")</f>
        <v>0.9</v>
      </c>
    </row>
    <row r="155" spans="1:68" x14ac:dyDescent="0.2">
      <c r="A155" s="286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7"/>
      <c r="P155" s="279" t="s">
        <v>73</v>
      </c>
      <c r="Q155" s="280"/>
      <c r="R155" s="280"/>
      <c r="S155" s="280"/>
      <c r="T155" s="280"/>
      <c r="U155" s="280"/>
      <c r="V155" s="281"/>
      <c r="W155" s="37" t="s">
        <v>70</v>
      </c>
      <c r="X155" s="270">
        <f>IFERROR(SUM(X154:X154),"0")</f>
        <v>126</v>
      </c>
      <c r="Y155" s="270">
        <f>IFERROR(SUM(Y154:Y154),"0")</f>
        <v>126</v>
      </c>
      <c r="Z155" s="270">
        <f>IFERROR(IF(Z154="",0,Z154),"0")</f>
        <v>1.1856599999999999</v>
      </c>
      <c r="AA155" s="271"/>
      <c r="AB155" s="271"/>
      <c r="AC155" s="271"/>
    </row>
    <row r="156" spans="1:68" x14ac:dyDescent="0.2">
      <c r="A156" s="283"/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7"/>
      <c r="P156" s="279" t="s">
        <v>73</v>
      </c>
      <c r="Q156" s="280"/>
      <c r="R156" s="280"/>
      <c r="S156" s="280"/>
      <c r="T156" s="280"/>
      <c r="U156" s="280"/>
      <c r="V156" s="281"/>
      <c r="W156" s="37" t="s">
        <v>74</v>
      </c>
      <c r="X156" s="270">
        <f>IFERROR(SUMPRODUCT(X154:X154*H154:H154),"0")</f>
        <v>211.67999999999998</v>
      </c>
      <c r="Y156" s="270">
        <f>IFERROR(SUMPRODUCT(Y154:Y154*H154:H154),"0")</f>
        <v>211.67999999999998</v>
      </c>
      <c r="Z156" s="37"/>
      <c r="AA156" s="271"/>
      <c r="AB156" s="271"/>
      <c r="AC156" s="271"/>
    </row>
    <row r="157" spans="1:68" ht="27.75" customHeight="1" x14ac:dyDescent="0.2">
      <c r="A157" s="320" t="s">
        <v>230</v>
      </c>
      <c r="B157" s="321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48"/>
      <c r="AB157" s="48"/>
      <c r="AC157" s="48"/>
    </row>
    <row r="158" spans="1:68" ht="16.5" customHeight="1" x14ac:dyDescent="0.25">
      <c r="A158" s="282" t="s">
        <v>231</v>
      </c>
      <c r="B158" s="283"/>
      <c r="C158" s="283"/>
      <c r="D158" s="283"/>
      <c r="E158" s="283"/>
      <c r="F158" s="283"/>
      <c r="G158" s="283"/>
      <c r="H158" s="283"/>
      <c r="I158" s="283"/>
      <c r="J158" s="283"/>
      <c r="K158" s="283"/>
      <c r="L158" s="283"/>
      <c r="M158" s="283"/>
      <c r="N158" s="283"/>
      <c r="O158" s="283"/>
      <c r="P158" s="283"/>
      <c r="Q158" s="283"/>
      <c r="R158" s="283"/>
      <c r="S158" s="283"/>
      <c r="T158" s="283"/>
      <c r="U158" s="283"/>
      <c r="V158" s="283"/>
      <c r="W158" s="283"/>
      <c r="X158" s="283"/>
      <c r="Y158" s="283"/>
      <c r="Z158" s="283"/>
      <c r="AA158" s="263"/>
      <c r="AB158" s="263"/>
      <c r="AC158" s="263"/>
    </row>
    <row r="159" spans="1:68" ht="14.25" customHeight="1" x14ac:dyDescent="0.25">
      <c r="A159" s="303" t="s">
        <v>64</v>
      </c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  <c r="X159" s="283"/>
      <c r="Y159" s="283"/>
      <c r="Z159" s="283"/>
      <c r="AA159" s="264"/>
      <c r="AB159" s="264"/>
      <c r="AC159" s="264"/>
    </row>
    <row r="160" spans="1:68" ht="16.5" customHeight="1" x14ac:dyDescent="0.25">
      <c r="A160" s="54" t="s">
        <v>232</v>
      </c>
      <c r="B160" s="54" t="s">
        <v>233</v>
      </c>
      <c r="C160" s="31">
        <v>4301071062</v>
      </c>
      <c r="D160" s="284">
        <v>4607111036384</v>
      </c>
      <c r="E160" s="285"/>
      <c r="F160" s="267">
        <v>5</v>
      </c>
      <c r="G160" s="32">
        <v>1</v>
      </c>
      <c r="H160" s="267">
        <v>5</v>
      </c>
      <c r="I160" s="267">
        <v>5.2106000000000003</v>
      </c>
      <c r="J160" s="32">
        <v>144</v>
      </c>
      <c r="K160" s="32" t="s">
        <v>67</v>
      </c>
      <c r="L160" s="32" t="s">
        <v>68</v>
      </c>
      <c r="M160" s="33" t="s">
        <v>69</v>
      </c>
      <c r="N160" s="33"/>
      <c r="O160" s="32">
        <v>180</v>
      </c>
      <c r="P160" s="30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273"/>
      <c r="R160" s="273"/>
      <c r="S160" s="273"/>
      <c r="T160" s="274"/>
      <c r="U160" s="34"/>
      <c r="V160" s="34"/>
      <c r="W160" s="35" t="s">
        <v>70</v>
      </c>
      <c r="X160" s="268">
        <v>0</v>
      </c>
      <c r="Y160" s="269">
        <f>IFERROR(IF(X160="","",X160),"")</f>
        <v>0</v>
      </c>
      <c r="Z160" s="36">
        <f>IFERROR(IF(X160="","",X160*0.00866),"")</f>
        <v>0</v>
      </c>
      <c r="AA160" s="56"/>
      <c r="AB160" s="57"/>
      <c r="AC160" s="170" t="s">
        <v>234</v>
      </c>
      <c r="AG160" s="67"/>
      <c r="AJ160" s="71" t="s">
        <v>72</v>
      </c>
      <c r="AK160" s="71">
        <v>1</v>
      </c>
      <c r="BB160" s="171" t="s">
        <v>1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customHeight="1" x14ac:dyDescent="0.25">
      <c r="A161" s="54" t="s">
        <v>235</v>
      </c>
      <c r="B161" s="54" t="s">
        <v>236</v>
      </c>
      <c r="C161" s="31">
        <v>4301071050</v>
      </c>
      <c r="D161" s="284">
        <v>4607111036216</v>
      </c>
      <c r="E161" s="285"/>
      <c r="F161" s="267">
        <v>5</v>
      </c>
      <c r="G161" s="32">
        <v>1</v>
      </c>
      <c r="H161" s="267">
        <v>5</v>
      </c>
      <c r="I161" s="267">
        <v>5.2131999999999996</v>
      </c>
      <c r="J161" s="32">
        <v>144</v>
      </c>
      <c r="K161" s="32" t="s">
        <v>67</v>
      </c>
      <c r="L161" s="32" t="s">
        <v>81</v>
      </c>
      <c r="M161" s="33" t="s">
        <v>69</v>
      </c>
      <c r="N161" s="33"/>
      <c r="O161" s="32">
        <v>180</v>
      </c>
      <c r="P161" s="38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273"/>
      <c r="R161" s="273"/>
      <c r="S161" s="273"/>
      <c r="T161" s="274"/>
      <c r="U161" s="34"/>
      <c r="V161" s="34"/>
      <c r="W161" s="35" t="s">
        <v>70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237</v>
      </c>
      <c r="AG161" s="67"/>
      <c r="AJ161" s="71" t="s">
        <v>83</v>
      </c>
      <c r="AK161" s="71">
        <v>12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6"/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7"/>
      <c r="P162" s="279" t="s">
        <v>73</v>
      </c>
      <c r="Q162" s="280"/>
      <c r="R162" s="280"/>
      <c r="S162" s="280"/>
      <c r="T162" s="280"/>
      <c r="U162" s="280"/>
      <c r="V162" s="281"/>
      <c r="W162" s="37" t="s">
        <v>70</v>
      </c>
      <c r="X162" s="270">
        <f>IFERROR(SUM(X160:X161),"0")</f>
        <v>0</v>
      </c>
      <c r="Y162" s="270">
        <f>IFERROR(SUM(Y160:Y161),"0")</f>
        <v>0</v>
      </c>
      <c r="Z162" s="270">
        <f>IFERROR(IF(Z160="",0,Z160),"0")+IFERROR(IF(Z161="",0,Z161),"0")</f>
        <v>0</v>
      </c>
      <c r="AA162" s="271"/>
      <c r="AB162" s="271"/>
      <c r="AC162" s="271"/>
    </row>
    <row r="163" spans="1:68" x14ac:dyDescent="0.2">
      <c r="A163" s="283"/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7"/>
      <c r="P163" s="279" t="s">
        <v>73</v>
      </c>
      <c r="Q163" s="280"/>
      <c r="R163" s="280"/>
      <c r="S163" s="280"/>
      <c r="T163" s="280"/>
      <c r="U163" s="280"/>
      <c r="V163" s="281"/>
      <c r="W163" s="37" t="s">
        <v>74</v>
      </c>
      <c r="X163" s="270">
        <f>IFERROR(SUMPRODUCT(X160:X161*H160:H161),"0")</f>
        <v>0</v>
      </c>
      <c r="Y163" s="270">
        <f>IFERROR(SUMPRODUCT(Y160:Y161*H160:H161),"0")</f>
        <v>0</v>
      </c>
      <c r="Z163" s="37"/>
      <c r="AA163" s="271"/>
      <c r="AB163" s="271"/>
      <c r="AC163" s="271"/>
    </row>
    <row r="164" spans="1:68" ht="27.75" customHeight="1" x14ac:dyDescent="0.2">
      <c r="A164" s="320" t="s">
        <v>238</v>
      </c>
      <c r="B164" s="321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48"/>
      <c r="AB164" s="48"/>
      <c r="AC164" s="48"/>
    </row>
    <row r="165" spans="1:68" ht="16.5" customHeight="1" x14ac:dyDescent="0.25">
      <c r="A165" s="282" t="s">
        <v>239</v>
      </c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3"/>
      <c r="P165" s="283"/>
      <c r="Q165" s="283"/>
      <c r="R165" s="283"/>
      <c r="S165" s="283"/>
      <c r="T165" s="283"/>
      <c r="U165" s="283"/>
      <c r="V165" s="283"/>
      <c r="W165" s="283"/>
      <c r="X165" s="283"/>
      <c r="Y165" s="283"/>
      <c r="Z165" s="283"/>
      <c r="AA165" s="263"/>
      <c r="AB165" s="263"/>
      <c r="AC165" s="263"/>
    </row>
    <row r="166" spans="1:68" ht="14.25" customHeight="1" x14ac:dyDescent="0.25">
      <c r="A166" s="303" t="s">
        <v>77</v>
      </c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  <c r="X166" s="283"/>
      <c r="Y166" s="283"/>
      <c r="Z166" s="283"/>
      <c r="AA166" s="264"/>
      <c r="AB166" s="264"/>
      <c r="AC166" s="264"/>
    </row>
    <row r="167" spans="1:68" ht="16.5" customHeight="1" x14ac:dyDescent="0.25">
      <c r="A167" s="54" t="s">
        <v>240</v>
      </c>
      <c r="B167" s="54" t="s">
        <v>241</v>
      </c>
      <c r="C167" s="31">
        <v>4301132179</v>
      </c>
      <c r="D167" s="284">
        <v>4607111035691</v>
      </c>
      <c r="E167" s="285"/>
      <c r="F167" s="267">
        <v>0.25</v>
      </c>
      <c r="G167" s="32">
        <v>12</v>
      </c>
      <c r="H167" s="267">
        <v>3</v>
      </c>
      <c r="I167" s="267">
        <v>3.3879999999999999</v>
      </c>
      <c r="J167" s="32">
        <v>70</v>
      </c>
      <c r="K167" s="32" t="s">
        <v>80</v>
      </c>
      <c r="L167" s="32" t="s">
        <v>81</v>
      </c>
      <c r="M167" s="33" t="s">
        <v>69</v>
      </c>
      <c r="N167" s="33"/>
      <c r="O167" s="32">
        <v>365</v>
      </c>
      <c r="P167" s="34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273"/>
      <c r="R167" s="273"/>
      <c r="S167" s="273"/>
      <c r="T167" s="274"/>
      <c r="U167" s="34"/>
      <c r="V167" s="34"/>
      <c r="W167" s="35" t="s">
        <v>70</v>
      </c>
      <c r="X167" s="268">
        <v>0</v>
      </c>
      <c r="Y167" s="269">
        <f>IFERROR(IF(X167="","",X167),"")</f>
        <v>0</v>
      </c>
      <c r="Z167" s="36">
        <f>IFERROR(IF(X167="","",X167*0.01788),"")</f>
        <v>0</v>
      </c>
      <c r="AA167" s="56"/>
      <c r="AB167" s="57"/>
      <c r="AC167" s="174" t="s">
        <v>242</v>
      </c>
      <c r="AG167" s="67"/>
      <c r="AJ167" s="71" t="s">
        <v>83</v>
      </c>
      <c r="AK167" s="71">
        <v>14</v>
      </c>
      <c r="BB167" s="175" t="s">
        <v>84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t="27" customHeight="1" x14ac:dyDescent="0.25">
      <c r="A168" s="54" t="s">
        <v>243</v>
      </c>
      <c r="B168" s="54" t="s">
        <v>244</v>
      </c>
      <c r="C168" s="31">
        <v>4301132182</v>
      </c>
      <c r="D168" s="284">
        <v>4607111035721</v>
      </c>
      <c r="E168" s="285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80</v>
      </c>
      <c r="L168" s="32" t="s">
        <v>81</v>
      </c>
      <c r="M168" s="33" t="s">
        <v>69</v>
      </c>
      <c r="N168" s="33"/>
      <c r="O168" s="32">
        <v>365</v>
      </c>
      <c r="P168" s="33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273"/>
      <c r="R168" s="273"/>
      <c r="S168" s="273"/>
      <c r="T168" s="274"/>
      <c r="U168" s="34"/>
      <c r="V168" s="34"/>
      <c r="W168" s="35" t="s">
        <v>70</v>
      </c>
      <c r="X168" s="268">
        <v>42</v>
      </c>
      <c r="Y168" s="269">
        <f>IFERROR(IF(X168="","",X168),"")</f>
        <v>42</v>
      </c>
      <c r="Z168" s="36">
        <f>IFERROR(IF(X168="","",X168*0.01788),"")</f>
        <v>0.75095999999999996</v>
      </c>
      <c r="AA168" s="56"/>
      <c r="AB168" s="57"/>
      <c r="AC168" s="176" t="s">
        <v>245</v>
      </c>
      <c r="AG168" s="67"/>
      <c r="AJ168" s="71" t="s">
        <v>83</v>
      </c>
      <c r="AK168" s="71">
        <v>14</v>
      </c>
      <c r="BB168" s="177" t="s">
        <v>84</v>
      </c>
      <c r="BM168" s="67">
        <f>IFERROR(X168*I168,"0")</f>
        <v>142.29599999999999</v>
      </c>
      <c r="BN168" s="67">
        <f>IFERROR(Y168*I168,"0")</f>
        <v>142.29599999999999</v>
      </c>
      <c r="BO168" s="67">
        <f>IFERROR(X168/J168,"0")</f>
        <v>0.6</v>
      </c>
      <c r="BP168" s="67">
        <f>IFERROR(Y168/J168,"0")</f>
        <v>0.6</v>
      </c>
    </row>
    <row r="169" spans="1:68" ht="27" customHeight="1" x14ac:dyDescent="0.25">
      <c r="A169" s="54" t="s">
        <v>246</v>
      </c>
      <c r="B169" s="54" t="s">
        <v>247</v>
      </c>
      <c r="C169" s="31">
        <v>4301132170</v>
      </c>
      <c r="D169" s="284">
        <v>4607111038487</v>
      </c>
      <c r="E169" s="285"/>
      <c r="F169" s="267">
        <v>0.25</v>
      </c>
      <c r="G169" s="32">
        <v>12</v>
      </c>
      <c r="H169" s="267">
        <v>3</v>
      </c>
      <c r="I169" s="267">
        <v>3.7360000000000002</v>
      </c>
      <c r="J169" s="32">
        <v>70</v>
      </c>
      <c r="K169" s="32" t="s">
        <v>80</v>
      </c>
      <c r="L169" s="32" t="s">
        <v>81</v>
      </c>
      <c r="M169" s="33" t="s">
        <v>69</v>
      </c>
      <c r="N169" s="33"/>
      <c r="O169" s="32">
        <v>180</v>
      </c>
      <c r="P169" s="35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273"/>
      <c r="R169" s="273"/>
      <c r="S169" s="273"/>
      <c r="T169" s="274"/>
      <c r="U169" s="34"/>
      <c r="V169" s="34"/>
      <c r="W169" s="35" t="s">
        <v>70</v>
      </c>
      <c r="X169" s="268">
        <v>0</v>
      </c>
      <c r="Y169" s="269">
        <f>IFERROR(IF(X169="","",X169),"")</f>
        <v>0</v>
      </c>
      <c r="Z169" s="36">
        <f>IFERROR(IF(X169="","",X169*0.01788),"")</f>
        <v>0</v>
      </c>
      <c r="AA169" s="56"/>
      <c r="AB169" s="57"/>
      <c r="AC169" s="178" t="s">
        <v>248</v>
      </c>
      <c r="AG169" s="67"/>
      <c r="AJ169" s="71" t="s">
        <v>83</v>
      </c>
      <c r="AK169" s="71">
        <v>14</v>
      </c>
      <c r="BB169" s="179" t="s">
        <v>84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x14ac:dyDescent="0.2">
      <c r="A170" s="286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7"/>
      <c r="P170" s="279" t="s">
        <v>73</v>
      </c>
      <c r="Q170" s="280"/>
      <c r="R170" s="280"/>
      <c r="S170" s="280"/>
      <c r="T170" s="280"/>
      <c r="U170" s="280"/>
      <c r="V170" s="281"/>
      <c r="W170" s="37" t="s">
        <v>70</v>
      </c>
      <c r="X170" s="270">
        <f>IFERROR(SUM(X167:X169),"0")</f>
        <v>42</v>
      </c>
      <c r="Y170" s="270">
        <f>IFERROR(SUM(Y167:Y169),"0")</f>
        <v>42</v>
      </c>
      <c r="Z170" s="270">
        <f>IFERROR(IF(Z167="",0,Z167),"0")+IFERROR(IF(Z168="",0,Z168),"0")+IFERROR(IF(Z169="",0,Z169),"0")</f>
        <v>0.75095999999999996</v>
      </c>
      <c r="AA170" s="271"/>
      <c r="AB170" s="271"/>
      <c r="AC170" s="271"/>
    </row>
    <row r="171" spans="1:68" x14ac:dyDescent="0.2">
      <c r="A171" s="283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7"/>
      <c r="P171" s="279" t="s">
        <v>73</v>
      </c>
      <c r="Q171" s="280"/>
      <c r="R171" s="280"/>
      <c r="S171" s="280"/>
      <c r="T171" s="280"/>
      <c r="U171" s="280"/>
      <c r="V171" s="281"/>
      <c r="W171" s="37" t="s">
        <v>74</v>
      </c>
      <c r="X171" s="270">
        <f>IFERROR(SUMPRODUCT(X167:X169*H167:H169),"0")</f>
        <v>126</v>
      </c>
      <c r="Y171" s="270">
        <f>IFERROR(SUMPRODUCT(Y167:Y169*H167:H169),"0")</f>
        <v>126</v>
      </c>
      <c r="Z171" s="37"/>
      <c r="AA171" s="271"/>
      <c r="AB171" s="271"/>
      <c r="AC171" s="271"/>
    </row>
    <row r="172" spans="1:68" ht="14.25" customHeight="1" x14ac:dyDescent="0.25">
      <c r="A172" s="303" t="s">
        <v>249</v>
      </c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64"/>
      <c r="AB172" s="264"/>
      <c r="AC172" s="264"/>
    </row>
    <row r="173" spans="1:68" ht="27" customHeight="1" x14ac:dyDescent="0.25">
      <c r="A173" s="54" t="s">
        <v>250</v>
      </c>
      <c r="B173" s="54" t="s">
        <v>251</v>
      </c>
      <c r="C173" s="31">
        <v>4301051855</v>
      </c>
      <c r="D173" s="284">
        <v>4680115885875</v>
      </c>
      <c r="E173" s="285"/>
      <c r="F173" s="267">
        <v>1</v>
      </c>
      <c r="G173" s="32">
        <v>9</v>
      </c>
      <c r="H173" s="267">
        <v>9</v>
      </c>
      <c r="I173" s="267">
        <v>9.4350000000000005</v>
      </c>
      <c r="J173" s="32">
        <v>64</v>
      </c>
      <c r="K173" s="32" t="s">
        <v>252</v>
      </c>
      <c r="L173" s="32" t="s">
        <v>68</v>
      </c>
      <c r="M173" s="33" t="s">
        <v>253</v>
      </c>
      <c r="N173" s="33"/>
      <c r="O173" s="32">
        <v>365</v>
      </c>
      <c r="P173" s="309" t="s">
        <v>254</v>
      </c>
      <c r="Q173" s="273"/>
      <c r="R173" s="273"/>
      <c r="S173" s="273"/>
      <c r="T173" s="274"/>
      <c r="U173" s="34"/>
      <c r="V173" s="34"/>
      <c r="W173" s="35" t="s">
        <v>70</v>
      </c>
      <c r="X173" s="268">
        <v>0</v>
      </c>
      <c r="Y173" s="269">
        <f>IFERROR(IF(X173="","",X173),"")</f>
        <v>0</v>
      </c>
      <c r="Z173" s="36">
        <f>IFERROR(IF(X173="","",X173*0.01898),"")</f>
        <v>0</v>
      </c>
      <c r="AA173" s="56"/>
      <c r="AB173" s="57"/>
      <c r="AC173" s="180" t="s">
        <v>255</v>
      </c>
      <c r="AG173" s="67"/>
      <c r="AJ173" s="71" t="s">
        <v>72</v>
      </c>
      <c r="AK173" s="71">
        <v>1</v>
      </c>
      <c r="BB173" s="181" t="s">
        <v>256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286"/>
      <c r="B174" s="283"/>
      <c r="C174" s="283"/>
      <c r="D174" s="283"/>
      <c r="E174" s="283"/>
      <c r="F174" s="283"/>
      <c r="G174" s="283"/>
      <c r="H174" s="283"/>
      <c r="I174" s="283"/>
      <c r="J174" s="283"/>
      <c r="K174" s="283"/>
      <c r="L174" s="283"/>
      <c r="M174" s="283"/>
      <c r="N174" s="283"/>
      <c r="O174" s="287"/>
      <c r="P174" s="279" t="s">
        <v>73</v>
      </c>
      <c r="Q174" s="280"/>
      <c r="R174" s="280"/>
      <c r="S174" s="280"/>
      <c r="T174" s="280"/>
      <c r="U174" s="280"/>
      <c r="V174" s="281"/>
      <c r="W174" s="37" t="s">
        <v>70</v>
      </c>
      <c r="X174" s="270">
        <f>IFERROR(SUM(X173:X173),"0")</f>
        <v>0</v>
      </c>
      <c r="Y174" s="270">
        <f>IFERROR(SUM(Y173:Y173),"0")</f>
        <v>0</v>
      </c>
      <c r="Z174" s="270">
        <f>IFERROR(IF(Z173="",0,Z173),"0")</f>
        <v>0</v>
      </c>
      <c r="AA174" s="271"/>
      <c r="AB174" s="271"/>
      <c r="AC174" s="271"/>
    </row>
    <row r="175" spans="1:68" x14ac:dyDescent="0.2">
      <c r="A175" s="283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7"/>
      <c r="P175" s="279" t="s">
        <v>73</v>
      </c>
      <c r="Q175" s="280"/>
      <c r="R175" s="280"/>
      <c r="S175" s="280"/>
      <c r="T175" s="280"/>
      <c r="U175" s="280"/>
      <c r="V175" s="281"/>
      <c r="W175" s="37" t="s">
        <v>74</v>
      </c>
      <c r="X175" s="270">
        <f>IFERROR(SUMPRODUCT(X173:X173*H173:H173),"0")</f>
        <v>0</v>
      </c>
      <c r="Y175" s="270">
        <f>IFERROR(SUMPRODUCT(Y173:Y173*H173:H173),"0")</f>
        <v>0</v>
      </c>
      <c r="Z175" s="37"/>
      <c r="AA175" s="271"/>
      <c r="AB175" s="271"/>
      <c r="AC175" s="271"/>
    </row>
    <row r="176" spans="1:68" ht="27.75" customHeight="1" x14ac:dyDescent="0.2">
      <c r="A176" s="320" t="s">
        <v>257</v>
      </c>
      <c r="B176" s="321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48"/>
      <c r="AB176" s="48"/>
      <c r="AC176" s="48"/>
    </row>
    <row r="177" spans="1:68" ht="16.5" customHeight="1" x14ac:dyDescent="0.25">
      <c r="A177" s="282" t="s">
        <v>258</v>
      </c>
      <c r="B177" s="283"/>
      <c r="C177" s="283"/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283"/>
      <c r="P177" s="283"/>
      <c r="Q177" s="283"/>
      <c r="R177" s="283"/>
      <c r="S177" s="283"/>
      <c r="T177" s="283"/>
      <c r="U177" s="283"/>
      <c r="V177" s="283"/>
      <c r="W177" s="283"/>
      <c r="X177" s="283"/>
      <c r="Y177" s="283"/>
      <c r="Z177" s="283"/>
      <c r="AA177" s="263"/>
      <c r="AB177" s="263"/>
      <c r="AC177" s="263"/>
    </row>
    <row r="178" spans="1:68" ht="14.25" customHeight="1" x14ac:dyDescent="0.25">
      <c r="A178" s="303" t="s">
        <v>77</v>
      </c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64"/>
      <c r="AB178" s="264"/>
      <c r="AC178" s="264"/>
    </row>
    <row r="179" spans="1:68" ht="27" customHeight="1" x14ac:dyDescent="0.25">
      <c r="A179" s="54" t="s">
        <v>259</v>
      </c>
      <c r="B179" s="54" t="s">
        <v>260</v>
      </c>
      <c r="C179" s="31">
        <v>4301132227</v>
      </c>
      <c r="D179" s="284">
        <v>4620207491133</v>
      </c>
      <c r="E179" s="285"/>
      <c r="F179" s="267">
        <v>0.23</v>
      </c>
      <c r="G179" s="32">
        <v>12</v>
      </c>
      <c r="H179" s="267">
        <v>2.76</v>
      </c>
      <c r="I179" s="267">
        <v>2.98</v>
      </c>
      <c r="J179" s="32">
        <v>70</v>
      </c>
      <c r="K179" s="32" t="s">
        <v>80</v>
      </c>
      <c r="L179" s="32" t="s">
        <v>81</v>
      </c>
      <c r="M179" s="33" t="s">
        <v>69</v>
      </c>
      <c r="N179" s="33"/>
      <c r="O179" s="32">
        <v>180</v>
      </c>
      <c r="P179" s="38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273"/>
      <c r="R179" s="273"/>
      <c r="S179" s="273"/>
      <c r="T179" s="274"/>
      <c r="U179" s="34"/>
      <c r="V179" s="34"/>
      <c r="W179" s="35" t="s">
        <v>70</v>
      </c>
      <c r="X179" s="268">
        <v>0</v>
      </c>
      <c r="Y179" s="269">
        <f>IFERROR(IF(X179="","",X179),"")</f>
        <v>0</v>
      </c>
      <c r="Z179" s="36">
        <f>IFERROR(IF(X179="","",X179*0.01788),"")</f>
        <v>0</v>
      </c>
      <c r="AA179" s="56"/>
      <c r="AB179" s="57"/>
      <c r="AC179" s="182" t="s">
        <v>261</v>
      </c>
      <c r="AG179" s="67"/>
      <c r="AJ179" s="71" t="s">
        <v>83</v>
      </c>
      <c r="AK179" s="71">
        <v>14</v>
      </c>
      <c r="BB179" s="183" t="s">
        <v>84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x14ac:dyDescent="0.2">
      <c r="A180" s="286"/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7"/>
      <c r="P180" s="279" t="s">
        <v>73</v>
      </c>
      <c r="Q180" s="280"/>
      <c r="R180" s="280"/>
      <c r="S180" s="280"/>
      <c r="T180" s="280"/>
      <c r="U180" s="280"/>
      <c r="V180" s="281"/>
      <c r="W180" s="37" t="s">
        <v>70</v>
      </c>
      <c r="X180" s="270">
        <f>IFERROR(SUM(X179:X179),"0")</f>
        <v>0</v>
      </c>
      <c r="Y180" s="270">
        <f>IFERROR(SUM(Y179:Y179),"0")</f>
        <v>0</v>
      </c>
      <c r="Z180" s="270">
        <f>IFERROR(IF(Z179="",0,Z179),"0")</f>
        <v>0</v>
      </c>
      <c r="AA180" s="271"/>
      <c r="AB180" s="271"/>
      <c r="AC180" s="271"/>
    </row>
    <row r="181" spans="1:68" x14ac:dyDescent="0.2">
      <c r="A181" s="283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7"/>
      <c r="P181" s="279" t="s">
        <v>73</v>
      </c>
      <c r="Q181" s="280"/>
      <c r="R181" s="280"/>
      <c r="S181" s="280"/>
      <c r="T181" s="280"/>
      <c r="U181" s="280"/>
      <c r="V181" s="281"/>
      <c r="W181" s="37" t="s">
        <v>74</v>
      </c>
      <c r="X181" s="270">
        <f>IFERROR(SUMPRODUCT(X179:X179*H179:H179),"0")</f>
        <v>0</v>
      </c>
      <c r="Y181" s="270">
        <f>IFERROR(SUMPRODUCT(Y179:Y179*H179:H179),"0")</f>
        <v>0</v>
      </c>
      <c r="Z181" s="37"/>
      <c r="AA181" s="271"/>
      <c r="AB181" s="271"/>
      <c r="AC181" s="271"/>
    </row>
    <row r="182" spans="1:68" ht="14.25" customHeight="1" x14ac:dyDescent="0.25">
      <c r="A182" s="303" t="s">
        <v>121</v>
      </c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283"/>
      <c r="Q182" s="283"/>
      <c r="R182" s="283"/>
      <c r="S182" s="283"/>
      <c r="T182" s="283"/>
      <c r="U182" s="283"/>
      <c r="V182" s="283"/>
      <c r="W182" s="283"/>
      <c r="X182" s="283"/>
      <c r="Y182" s="283"/>
      <c r="Z182" s="283"/>
      <c r="AA182" s="264"/>
      <c r="AB182" s="264"/>
      <c r="AC182" s="264"/>
    </row>
    <row r="183" spans="1:68" ht="27" customHeight="1" x14ac:dyDescent="0.25">
      <c r="A183" s="54" t="s">
        <v>262</v>
      </c>
      <c r="B183" s="54" t="s">
        <v>263</v>
      </c>
      <c r="C183" s="31">
        <v>4301135707</v>
      </c>
      <c r="D183" s="284">
        <v>4620207490198</v>
      </c>
      <c r="E183" s="285"/>
      <c r="F183" s="267">
        <v>0.2</v>
      </c>
      <c r="G183" s="32">
        <v>12</v>
      </c>
      <c r="H183" s="267">
        <v>2.4</v>
      </c>
      <c r="I183" s="267">
        <v>3.1036000000000001</v>
      </c>
      <c r="J183" s="32">
        <v>70</v>
      </c>
      <c r="K183" s="32" t="s">
        <v>80</v>
      </c>
      <c r="L183" s="32" t="s">
        <v>81</v>
      </c>
      <c r="M183" s="33" t="s">
        <v>69</v>
      </c>
      <c r="N183" s="33"/>
      <c r="O183" s="32">
        <v>180</v>
      </c>
      <c r="P183" s="42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273"/>
      <c r="R183" s="273"/>
      <c r="S183" s="273"/>
      <c r="T183" s="274"/>
      <c r="U183" s="34"/>
      <c r="V183" s="34"/>
      <c r="W183" s="35" t="s">
        <v>70</v>
      </c>
      <c r="X183" s="268">
        <v>0</v>
      </c>
      <c r="Y183" s="269">
        <f>IFERROR(IF(X183="","",X183),"")</f>
        <v>0</v>
      </c>
      <c r="Z183" s="36">
        <f>IFERROR(IF(X183="","",X183*0.01788),"")</f>
        <v>0</v>
      </c>
      <c r="AA183" s="56"/>
      <c r="AB183" s="57"/>
      <c r="AC183" s="184" t="s">
        <v>264</v>
      </c>
      <c r="AG183" s="67"/>
      <c r="AJ183" s="71" t="s">
        <v>83</v>
      </c>
      <c r="AK183" s="71">
        <v>14</v>
      </c>
      <c r="BB183" s="185" t="s">
        <v>84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265</v>
      </c>
      <c r="B184" s="54" t="s">
        <v>266</v>
      </c>
      <c r="C184" s="31">
        <v>4301135696</v>
      </c>
      <c r="D184" s="284">
        <v>4620207490235</v>
      </c>
      <c r="E184" s="285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80</v>
      </c>
      <c r="L184" s="32" t="s">
        <v>68</v>
      </c>
      <c r="M184" s="33" t="s">
        <v>69</v>
      </c>
      <c r="N184" s="33"/>
      <c r="O184" s="32">
        <v>180</v>
      </c>
      <c r="P184" s="32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84" s="273"/>
      <c r="R184" s="273"/>
      <c r="S184" s="273"/>
      <c r="T184" s="274"/>
      <c r="U184" s="34"/>
      <c r="V184" s="34"/>
      <c r="W184" s="35" t="s">
        <v>70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72</v>
      </c>
      <c r="AK184" s="71">
        <v>1</v>
      </c>
      <c r="BB184" s="187" t="s">
        <v>84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268</v>
      </c>
      <c r="B185" s="54" t="s">
        <v>269</v>
      </c>
      <c r="C185" s="31">
        <v>4301135697</v>
      </c>
      <c r="D185" s="284">
        <v>4620207490259</v>
      </c>
      <c r="E185" s="285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80</v>
      </c>
      <c r="L185" s="32" t="s">
        <v>81</v>
      </c>
      <c r="M185" s="33" t="s">
        <v>69</v>
      </c>
      <c r="N185" s="33"/>
      <c r="O185" s="32">
        <v>180</v>
      </c>
      <c r="P185" s="36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273"/>
      <c r="R185" s="273"/>
      <c r="S185" s="273"/>
      <c r="T185" s="274"/>
      <c r="U185" s="34"/>
      <c r="V185" s="34"/>
      <c r="W185" s="35" t="s">
        <v>70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264</v>
      </c>
      <c r="AG185" s="67"/>
      <c r="AJ185" s="71" t="s">
        <v>83</v>
      </c>
      <c r="AK185" s="71">
        <v>14</v>
      </c>
      <c r="BB185" s="189" t="s">
        <v>84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270</v>
      </c>
      <c r="B186" s="54" t="s">
        <v>271</v>
      </c>
      <c r="C186" s="31">
        <v>4301135681</v>
      </c>
      <c r="D186" s="284">
        <v>4620207490143</v>
      </c>
      <c r="E186" s="285"/>
      <c r="F186" s="267">
        <v>0.22</v>
      </c>
      <c r="G186" s="32">
        <v>12</v>
      </c>
      <c r="H186" s="267">
        <v>2.64</v>
      </c>
      <c r="I186" s="267">
        <v>3.3435999999999999</v>
      </c>
      <c r="J186" s="32">
        <v>70</v>
      </c>
      <c r="K186" s="32" t="s">
        <v>80</v>
      </c>
      <c r="L186" s="32" t="s">
        <v>68</v>
      </c>
      <c r="M186" s="33" t="s">
        <v>69</v>
      </c>
      <c r="N186" s="33"/>
      <c r="O186" s="32">
        <v>180</v>
      </c>
      <c r="P186" s="44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273"/>
      <c r="R186" s="273"/>
      <c r="S186" s="273"/>
      <c r="T186" s="274"/>
      <c r="U186" s="34"/>
      <c r="V186" s="34"/>
      <c r="W186" s="35" t="s">
        <v>70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272</v>
      </c>
      <c r="AG186" s="67"/>
      <c r="AJ186" s="71" t="s">
        <v>72</v>
      </c>
      <c r="AK186" s="71">
        <v>1</v>
      </c>
      <c r="BB186" s="191" t="s">
        <v>84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86"/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7"/>
      <c r="P187" s="279" t="s">
        <v>73</v>
      </c>
      <c r="Q187" s="280"/>
      <c r="R187" s="280"/>
      <c r="S187" s="280"/>
      <c r="T187" s="280"/>
      <c r="U187" s="280"/>
      <c r="V187" s="281"/>
      <c r="W187" s="37" t="s">
        <v>70</v>
      </c>
      <c r="X187" s="270">
        <f>IFERROR(SUM(X183:X186),"0")</f>
        <v>0</v>
      </c>
      <c r="Y187" s="270">
        <f>IFERROR(SUM(Y183:Y186),"0")</f>
        <v>0</v>
      </c>
      <c r="Z187" s="270">
        <f>IFERROR(IF(Z183="",0,Z183),"0")+IFERROR(IF(Z184="",0,Z184),"0")+IFERROR(IF(Z185="",0,Z185),"0")+IFERROR(IF(Z186="",0,Z186),"0")</f>
        <v>0</v>
      </c>
      <c r="AA187" s="271"/>
      <c r="AB187" s="271"/>
      <c r="AC187" s="271"/>
    </row>
    <row r="188" spans="1:68" x14ac:dyDescent="0.2">
      <c r="A188" s="283"/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7"/>
      <c r="P188" s="279" t="s">
        <v>73</v>
      </c>
      <c r="Q188" s="280"/>
      <c r="R188" s="280"/>
      <c r="S188" s="280"/>
      <c r="T188" s="280"/>
      <c r="U188" s="280"/>
      <c r="V188" s="281"/>
      <c r="W188" s="37" t="s">
        <v>74</v>
      </c>
      <c r="X188" s="270">
        <f>IFERROR(SUMPRODUCT(X183:X186*H183:H186),"0")</f>
        <v>0</v>
      </c>
      <c r="Y188" s="270">
        <f>IFERROR(SUMPRODUCT(Y183:Y186*H183:H186),"0")</f>
        <v>0</v>
      </c>
      <c r="Z188" s="37"/>
      <c r="AA188" s="271"/>
      <c r="AB188" s="271"/>
      <c r="AC188" s="271"/>
    </row>
    <row r="189" spans="1:68" ht="16.5" customHeight="1" x14ac:dyDescent="0.25">
      <c r="A189" s="282" t="s">
        <v>273</v>
      </c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283"/>
      <c r="Q189" s="283"/>
      <c r="R189" s="283"/>
      <c r="S189" s="283"/>
      <c r="T189" s="283"/>
      <c r="U189" s="283"/>
      <c r="V189" s="283"/>
      <c r="W189" s="283"/>
      <c r="X189" s="283"/>
      <c r="Y189" s="283"/>
      <c r="Z189" s="283"/>
      <c r="AA189" s="263"/>
      <c r="AB189" s="263"/>
      <c r="AC189" s="263"/>
    </row>
    <row r="190" spans="1:68" ht="14.25" customHeight="1" x14ac:dyDescent="0.25">
      <c r="A190" s="303" t="s">
        <v>64</v>
      </c>
      <c r="B190" s="283"/>
      <c r="C190" s="283"/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283"/>
      <c r="Q190" s="283"/>
      <c r="R190" s="283"/>
      <c r="S190" s="283"/>
      <c r="T190" s="283"/>
      <c r="U190" s="283"/>
      <c r="V190" s="283"/>
      <c r="W190" s="283"/>
      <c r="X190" s="283"/>
      <c r="Y190" s="283"/>
      <c r="Z190" s="283"/>
      <c r="AA190" s="264"/>
      <c r="AB190" s="264"/>
      <c r="AC190" s="264"/>
    </row>
    <row r="191" spans="1:68" ht="27" customHeight="1" x14ac:dyDescent="0.25">
      <c r="A191" s="54" t="s">
        <v>274</v>
      </c>
      <c r="B191" s="54" t="s">
        <v>275</v>
      </c>
      <c r="C191" s="31">
        <v>4301071108</v>
      </c>
      <c r="D191" s="284">
        <v>4607111035912</v>
      </c>
      <c r="E191" s="285"/>
      <c r="F191" s="267">
        <v>0.43</v>
      </c>
      <c r="G191" s="32">
        <v>16</v>
      </c>
      <c r="H191" s="267">
        <v>6.88</v>
      </c>
      <c r="I191" s="267">
        <v>7.19</v>
      </c>
      <c r="J191" s="32">
        <v>84</v>
      </c>
      <c r="K191" s="32" t="s">
        <v>67</v>
      </c>
      <c r="L191" s="32" t="s">
        <v>68</v>
      </c>
      <c r="M191" s="33" t="s">
        <v>69</v>
      </c>
      <c r="N191" s="33"/>
      <c r="O191" s="32">
        <v>180</v>
      </c>
      <c r="P191" s="432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1" s="273"/>
      <c r="R191" s="273"/>
      <c r="S191" s="273"/>
      <c r="T191" s="274"/>
      <c r="U191" s="34"/>
      <c r="V191" s="34"/>
      <c r="W191" s="35" t="s">
        <v>70</v>
      </c>
      <c r="X191" s="268">
        <v>0</v>
      </c>
      <c r="Y191" s="269">
        <f>IFERROR(IF(X191="","",X191),"")</f>
        <v>0</v>
      </c>
      <c r="Z191" s="36">
        <f>IFERROR(IF(X191="","",X191*0.0155),"")</f>
        <v>0</v>
      </c>
      <c r="AA191" s="56"/>
      <c r="AB191" s="57"/>
      <c r="AC191" s="192" t="s">
        <v>276</v>
      </c>
      <c r="AG191" s="67"/>
      <c r="AJ191" s="71" t="s">
        <v>72</v>
      </c>
      <c r="AK191" s="71">
        <v>1</v>
      </c>
      <c r="BB191" s="193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customHeight="1" x14ac:dyDescent="0.25">
      <c r="A192" s="54" t="s">
        <v>277</v>
      </c>
      <c r="B192" s="54" t="s">
        <v>278</v>
      </c>
      <c r="C192" s="31">
        <v>4301071110</v>
      </c>
      <c r="D192" s="284">
        <v>4607111035103</v>
      </c>
      <c r="E192" s="285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67</v>
      </c>
      <c r="L192" s="32" t="s">
        <v>68</v>
      </c>
      <c r="M192" s="33" t="s">
        <v>69</v>
      </c>
      <c r="N192" s="33"/>
      <c r="O192" s="32">
        <v>180</v>
      </c>
      <c r="P192" s="333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73"/>
      <c r="R192" s="273"/>
      <c r="S192" s="273"/>
      <c r="T192" s="274"/>
      <c r="U192" s="34"/>
      <c r="V192" s="34"/>
      <c r="W192" s="35" t="s">
        <v>70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276</v>
      </c>
      <c r="AG192" s="67"/>
      <c r="AJ192" s="71" t="s">
        <v>72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279</v>
      </c>
      <c r="B193" s="54" t="s">
        <v>280</v>
      </c>
      <c r="C193" s="31">
        <v>4301071109</v>
      </c>
      <c r="D193" s="284">
        <v>4607111035929</v>
      </c>
      <c r="E193" s="285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67</v>
      </c>
      <c r="L193" s="32" t="s">
        <v>68</v>
      </c>
      <c r="M193" s="33" t="s">
        <v>69</v>
      </c>
      <c r="N193" s="33"/>
      <c r="O193" s="32">
        <v>180</v>
      </c>
      <c r="P193" s="402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73"/>
      <c r="R193" s="273"/>
      <c r="S193" s="273"/>
      <c r="T193" s="274"/>
      <c r="U193" s="34"/>
      <c r="V193" s="34"/>
      <c r="W193" s="35" t="s">
        <v>70</v>
      </c>
      <c r="X193" s="268">
        <v>0</v>
      </c>
      <c r="Y193" s="269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276</v>
      </c>
      <c r="AG193" s="67"/>
      <c r="AJ193" s="71" t="s">
        <v>72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281</v>
      </c>
      <c r="B194" s="54" t="s">
        <v>282</v>
      </c>
      <c r="C194" s="31">
        <v>4301071106</v>
      </c>
      <c r="D194" s="284">
        <v>4607111035882</v>
      </c>
      <c r="E194" s="285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67</v>
      </c>
      <c r="L194" s="32" t="s">
        <v>68</v>
      </c>
      <c r="M194" s="33" t="s">
        <v>69</v>
      </c>
      <c r="N194" s="33"/>
      <c r="O194" s="32">
        <v>180</v>
      </c>
      <c r="P194" s="340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73"/>
      <c r="R194" s="273"/>
      <c r="S194" s="273"/>
      <c r="T194" s="274"/>
      <c r="U194" s="34"/>
      <c r="V194" s="34"/>
      <c r="W194" s="35" t="s">
        <v>70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276</v>
      </c>
      <c r="AG194" s="67"/>
      <c r="AJ194" s="71" t="s">
        <v>72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283</v>
      </c>
      <c r="B195" s="54" t="s">
        <v>284</v>
      </c>
      <c r="C195" s="31">
        <v>4301071107</v>
      </c>
      <c r="D195" s="284">
        <v>4607111035905</v>
      </c>
      <c r="E195" s="285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67</v>
      </c>
      <c r="L195" s="32" t="s">
        <v>68</v>
      </c>
      <c r="M195" s="33" t="s">
        <v>69</v>
      </c>
      <c r="N195" s="33"/>
      <c r="O195" s="32">
        <v>180</v>
      </c>
      <c r="P195" s="353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5" s="273"/>
      <c r="R195" s="273"/>
      <c r="S195" s="273"/>
      <c r="T195" s="274"/>
      <c r="U195" s="34"/>
      <c r="V195" s="34"/>
      <c r="W195" s="35" t="s">
        <v>70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276</v>
      </c>
      <c r="AG195" s="67"/>
      <c r="AJ195" s="71" t="s">
        <v>72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x14ac:dyDescent="0.2">
      <c r="A196" s="286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7"/>
      <c r="P196" s="279" t="s">
        <v>73</v>
      </c>
      <c r="Q196" s="280"/>
      <c r="R196" s="280"/>
      <c r="S196" s="280"/>
      <c r="T196" s="280"/>
      <c r="U196" s="280"/>
      <c r="V196" s="281"/>
      <c r="W196" s="37" t="s">
        <v>70</v>
      </c>
      <c r="X196" s="270">
        <f>IFERROR(SUM(X191:X195),"0")</f>
        <v>0</v>
      </c>
      <c r="Y196" s="270">
        <f>IFERROR(SUM(Y191:Y195),"0")</f>
        <v>0</v>
      </c>
      <c r="Z196" s="270">
        <f>IFERROR(IF(Z191="",0,Z191),"0")+IFERROR(IF(Z192="",0,Z192),"0")+IFERROR(IF(Z193="",0,Z193),"0")+IFERROR(IF(Z194="",0,Z194),"0")+IFERROR(IF(Z195="",0,Z195),"0")</f>
        <v>0</v>
      </c>
      <c r="AA196" s="271"/>
      <c r="AB196" s="271"/>
      <c r="AC196" s="271"/>
    </row>
    <row r="197" spans="1:68" x14ac:dyDescent="0.2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7"/>
      <c r="P197" s="279" t="s">
        <v>73</v>
      </c>
      <c r="Q197" s="280"/>
      <c r="R197" s="280"/>
      <c r="S197" s="280"/>
      <c r="T197" s="280"/>
      <c r="U197" s="280"/>
      <c r="V197" s="281"/>
      <c r="W197" s="37" t="s">
        <v>74</v>
      </c>
      <c r="X197" s="270">
        <f>IFERROR(SUMPRODUCT(X191:X195*H191:H195),"0")</f>
        <v>0</v>
      </c>
      <c r="Y197" s="270">
        <f>IFERROR(SUMPRODUCT(Y191:Y195*H191:H195),"0")</f>
        <v>0</v>
      </c>
      <c r="Z197" s="37"/>
      <c r="AA197" s="271"/>
      <c r="AB197" s="271"/>
      <c r="AC197" s="271"/>
    </row>
    <row r="198" spans="1:68" ht="16.5" customHeight="1" x14ac:dyDescent="0.25">
      <c r="A198" s="282" t="s">
        <v>285</v>
      </c>
      <c r="B198" s="283"/>
      <c r="C198" s="283"/>
      <c r="D198" s="283"/>
      <c r="E198" s="283"/>
      <c r="F198" s="283"/>
      <c r="G198" s="283"/>
      <c r="H198" s="283"/>
      <c r="I198" s="283"/>
      <c r="J198" s="283"/>
      <c r="K198" s="283"/>
      <c r="L198" s="283"/>
      <c r="M198" s="283"/>
      <c r="N198" s="283"/>
      <c r="O198" s="283"/>
      <c r="P198" s="283"/>
      <c r="Q198" s="283"/>
      <c r="R198" s="283"/>
      <c r="S198" s="283"/>
      <c r="T198" s="283"/>
      <c r="U198" s="283"/>
      <c r="V198" s="283"/>
      <c r="W198" s="283"/>
      <c r="X198" s="283"/>
      <c r="Y198" s="283"/>
      <c r="Z198" s="283"/>
      <c r="AA198" s="263"/>
      <c r="AB198" s="263"/>
      <c r="AC198" s="263"/>
    </row>
    <row r="199" spans="1:68" ht="14.25" customHeight="1" x14ac:dyDescent="0.25">
      <c r="A199" s="303" t="s">
        <v>64</v>
      </c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64"/>
      <c r="AB199" s="264"/>
      <c r="AC199" s="264"/>
    </row>
    <row r="200" spans="1:68" ht="27" customHeight="1" x14ac:dyDescent="0.25">
      <c r="A200" s="54" t="s">
        <v>286</v>
      </c>
      <c r="B200" s="54" t="s">
        <v>287</v>
      </c>
      <c r="C200" s="31">
        <v>4301071097</v>
      </c>
      <c r="D200" s="284">
        <v>4620207491096</v>
      </c>
      <c r="E200" s="285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67</v>
      </c>
      <c r="L200" s="32" t="s">
        <v>81</v>
      </c>
      <c r="M200" s="33" t="s">
        <v>69</v>
      </c>
      <c r="N200" s="33"/>
      <c r="O200" s="32">
        <v>180</v>
      </c>
      <c r="P200" s="450" t="s">
        <v>288</v>
      </c>
      <c r="Q200" s="273"/>
      <c r="R200" s="273"/>
      <c r="S200" s="273"/>
      <c r="T200" s="274"/>
      <c r="U200" s="34"/>
      <c r="V200" s="34"/>
      <c r="W200" s="35" t="s">
        <v>70</v>
      </c>
      <c r="X200" s="268">
        <v>0</v>
      </c>
      <c r="Y200" s="269">
        <f>IFERROR(IF(X200="","",X200),"")</f>
        <v>0</v>
      </c>
      <c r="Z200" s="36">
        <f>IFERROR(IF(X200="","",X200*0.0155),"")</f>
        <v>0</v>
      </c>
      <c r="AA200" s="56"/>
      <c r="AB200" s="57"/>
      <c r="AC200" s="202" t="s">
        <v>289</v>
      </c>
      <c r="AG200" s="67"/>
      <c r="AJ200" s="71" t="s">
        <v>83</v>
      </c>
      <c r="AK200" s="71">
        <v>12</v>
      </c>
      <c r="BB200" s="203" t="s">
        <v>1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6"/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7"/>
      <c r="P201" s="279" t="s">
        <v>73</v>
      </c>
      <c r="Q201" s="280"/>
      <c r="R201" s="280"/>
      <c r="S201" s="280"/>
      <c r="T201" s="280"/>
      <c r="U201" s="280"/>
      <c r="V201" s="281"/>
      <c r="W201" s="37" t="s">
        <v>70</v>
      </c>
      <c r="X201" s="270">
        <f>IFERROR(SUM(X200:X200),"0")</f>
        <v>0</v>
      </c>
      <c r="Y201" s="270">
        <f>IFERROR(SUM(Y200:Y200),"0")</f>
        <v>0</v>
      </c>
      <c r="Z201" s="270">
        <f>IFERROR(IF(Z200="",0,Z200),"0")</f>
        <v>0</v>
      </c>
      <c r="AA201" s="271"/>
      <c r="AB201" s="271"/>
      <c r="AC201" s="271"/>
    </row>
    <row r="202" spans="1:68" x14ac:dyDescent="0.2">
      <c r="A202" s="283"/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7"/>
      <c r="P202" s="279" t="s">
        <v>73</v>
      </c>
      <c r="Q202" s="280"/>
      <c r="R202" s="280"/>
      <c r="S202" s="280"/>
      <c r="T202" s="280"/>
      <c r="U202" s="280"/>
      <c r="V202" s="281"/>
      <c r="W202" s="37" t="s">
        <v>74</v>
      </c>
      <c r="X202" s="270">
        <f>IFERROR(SUMPRODUCT(X200:X200*H200:H200),"0")</f>
        <v>0</v>
      </c>
      <c r="Y202" s="270">
        <f>IFERROR(SUMPRODUCT(Y200:Y200*H200:H200),"0")</f>
        <v>0</v>
      </c>
      <c r="Z202" s="37"/>
      <c r="AA202" s="271"/>
      <c r="AB202" s="271"/>
      <c r="AC202" s="271"/>
    </row>
    <row r="203" spans="1:68" ht="16.5" customHeight="1" x14ac:dyDescent="0.25">
      <c r="A203" s="282" t="s">
        <v>290</v>
      </c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283"/>
      <c r="Q203" s="283"/>
      <c r="R203" s="283"/>
      <c r="S203" s="283"/>
      <c r="T203" s="283"/>
      <c r="U203" s="283"/>
      <c r="V203" s="283"/>
      <c r="W203" s="283"/>
      <c r="X203" s="283"/>
      <c r="Y203" s="283"/>
      <c r="Z203" s="283"/>
      <c r="AA203" s="263"/>
      <c r="AB203" s="263"/>
      <c r="AC203" s="263"/>
    </row>
    <row r="204" spans="1:68" ht="14.25" customHeight="1" x14ac:dyDescent="0.25">
      <c r="A204" s="303" t="s">
        <v>64</v>
      </c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283"/>
      <c r="P204" s="283"/>
      <c r="Q204" s="283"/>
      <c r="R204" s="283"/>
      <c r="S204" s="283"/>
      <c r="T204" s="283"/>
      <c r="U204" s="283"/>
      <c r="V204" s="283"/>
      <c r="W204" s="283"/>
      <c r="X204" s="283"/>
      <c r="Y204" s="283"/>
      <c r="Z204" s="283"/>
      <c r="AA204" s="264"/>
      <c r="AB204" s="264"/>
      <c r="AC204" s="264"/>
    </row>
    <row r="205" spans="1:68" ht="27" customHeight="1" x14ac:dyDescent="0.25">
      <c r="A205" s="54" t="s">
        <v>291</v>
      </c>
      <c r="B205" s="54" t="s">
        <v>292</v>
      </c>
      <c r="C205" s="31">
        <v>4301071093</v>
      </c>
      <c r="D205" s="284">
        <v>4620207490709</v>
      </c>
      <c r="E205" s="285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67</v>
      </c>
      <c r="L205" s="32" t="s">
        <v>68</v>
      </c>
      <c r="M205" s="33" t="s">
        <v>69</v>
      </c>
      <c r="N205" s="33"/>
      <c r="O205" s="32">
        <v>180</v>
      </c>
      <c r="P205" s="347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73"/>
      <c r="R205" s="273"/>
      <c r="S205" s="273"/>
      <c r="T205" s="274"/>
      <c r="U205" s="34"/>
      <c r="V205" s="34"/>
      <c r="W205" s="35" t="s">
        <v>70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293</v>
      </c>
      <c r="AG205" s="67"/>
      <c r="AJ205" s="71" t="s">
        <v>72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6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7"/>
      <c r="P206" s="279" t="s">
        <v>73</v>
      </c>
      <c r="Q206" s="280"/>
      <c r="R206" s="280"/>
      <c r="S206" s="280"/>
      <c r="T206" s="280"/>
      <c r="U206" s="280"/>
      <c r="V206" s="281"/>
      <c r="W206" s="37" t="s">
        <v>70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x14ac:dyDescent="0.2">
      <c r="A207" s="283"/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7"/>
      <c r="P207" s="279" t="s">
        <v>73</v>
      </c>
      <c r="Q207" s="280"/>
      <c r="R207" s="280"/>
      <c r="S207" s="280"/>
      <c r="T207" s="280"/>
      <c r="U207" s="280"/>
      <c r="V207" s="281"/>
      <c r="W207" s="37" t="s">
        <v>74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customHeight="1" x14ac:dyDescent="0.25">
      <c r="A208" s="303" t="s">
        <v>121</v>
      </c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64"/>
      <c r="AB208" s="264"/>
      <c r="AC208" s="264"/>
    </row>
    <row r="209" spans="1:68" ht="27" customHeight="1" x14ac:dyDescent="0.25">
      <c r="A209" s="54" t="s">
        <v>294</v>
      </c>
      <c r="B209" s="54" t="s">
        <v>295</v>
      </c>
      <c r="C209" s="31">
        <v>4301135692</v>
      </c>
      <c r="D209" s="284">
        <v>4620207490570</v>
      </c>
      <c r="E209" s="285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02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73"/>
      <c r="R209" s="273"/>
      <c r="S209" s="273"/>
      <c r="T209" s="274"/>
      <c r="U209" s="34"/>
      <c r="V209" s="34"/>
      <c r="W209" s="35" t="s">
        <v>70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296</v>
      </c>
      <c r="AG209" s="67"/>
      <c r="AJ209" s="71" t="s">
        <v>72</v>
      </c>
      <c r="AK209" s="71">
        <v>1</v>
      </c>
      <c r="BB209" s="207" t="s">
        <v>84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297</v>
      </c>
      <c r="B210" s="54" t="s">
        <v>298</v>
      </c>
      <c r="C210" s="31">
        <v>4301135691</v>
      </c>
      <c r="D210" s="284">
        <v>4620207490549</v>
      </c>
      <c r="E210" s="285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36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73"/>
      <c r="R210" s="273"/>
      <c r="S210" s="273"/>
      <c r="T210" s="274"/>
      <c r="U210" s="34"/>
      <c r="V210" s="34"/>
      <c r="W210" s="35" t="s">
        <v>70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296</v>
      </c>
      <c r="AG210" s="67"/>
      <c r="AJ210" s="71" t="s">
        <v>72</v>
      </c>
      <c r="AK210" s="71">
        <v>1</v>
      </c>
      <c r="BB210" s="209" t="s">
        <v>84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299</v>
      </c>
      <c r="B211" s="54" t="s">
        <v>300</v>
      </c>
      <c r="C211" s="31">
        <v>4301135694</v>
      </c>
      <c r="D211" s="284">
        <v>4620207490501</v>
      </c>
      <c r="E211" s="285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37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73"/>
      <c r="R211" s="273"/>
      <c r="S211" s="273"/>
      <c r="T211" s="274"/>
      <c r="U211" s="34"/>
      <c r="V211" s="34"/>
      <c r="W211" s="35" t="s">
        <v>70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296</v>
      </c>
      <c r="AG211" s="67"/>
      <c r="AJ211" s="71" t="s">
        <v>72</v>
      </c>
      <c r="AK211" s="71">
        <v>1</v>
      </c>
      <c r="BB211" s="211" t="s">
        <v>84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6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7"/>
      <c r="P212" s="279" t="s">
        <v>73</v>
      </c>
      <c r="Q212" s="280"/>
      <c r="R212" s="280"/>
      <c r="S212" s="280"/>
      <c r="T212" s="280"/>
      <c r="U212" s="280"/>
      <c r="V212" s="281"/>
      <c r="W212" s="37" t="s">
        <v>70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x14ac:dyDescent="0.2">
      <c r="A213" s="283"/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7"/>
      <c r="P213" s="279" t="s">
        <v>73</v>
      </c>
      <c r="Q213" s="280"/>
      <c r="R213" s="280"/>
      <c r="S213" s="280"/>
      <c r="T213" s="280"/>
      <c r="U213" s="280"/>
      <c r="V213" s="281"/>
      <c r="W213" s="37" t="s">
        <v>74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customHeight="1" x14ac:dyDescent="0.25">
      <c r="A214" s="282" t="s">
        <v>301</v>
      </c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  <c r="Z214" s="283"/>
      <c r="AA214" s="263"/>
      <c r="AB214" s="263"/>
      <c r="AC214" s="263"/>
    </row>
    <row r="215" spans="1:68" ht="14.25" customHeight="1" x14ac:dyDescent="0.25">
      <c r="A215" s="303" t="s">
        <v>64</v>
      </c>
      <c r="B215" s="283"/>
      <c r="C215" s="283"/>
      <c r="D215" s="283"/>
      <c r="E215" s="283"/>
      <c r="F215" s="283"/>
      <c r="G215" s="283"/>
      <c r="H215" s="283"/>
      <c r="I215" s="283"/>
      <c r="J215" s="283"/>
      <c r="K215" s="283"/>
      <c r="L215" s="283"/>
      <c r="M215" s="283"/>
      <c r="N215" s="283"/>
      <c r="O215" s="283"/>
      <c r="P215" s="283"/>
      <c r="Q215" s="283"/>
      <c r="R215" s="283"/>
      <c r="S215" s="283"/>
      <c r="T215" s="283"/>
      <c r="U215" s="283"/>
      <c r="V215" s="283"/>
      <c r="W215" s="283"/>
      <c r="X215" s="283"/>
      <c r="Y215" s="283"/>
      <c r="Z215" s="283"/>
      <c r="AA215" s="264"/>
      <c r="AB215" s="264"/>
      <c r="AC215" s="264"/>
    </row>
    <row r="216" spans="1:68" ht="16.5" customHeight="1" x14ac:dyDescent="0.25">
      <c r="A216" s="54" t="s">
        <v>302</v>
      </c>
      <c r="B216" s="54" t="s">
        <v>303</v>
      </c>
      <c r="C216" s="31">
        <v>4301071099</v>
      </c>
      <c r="D216" s="284">
        <v>4607111039019</v>
      </c>
      <c r="E216" s="285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375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73"/>
      <c r="R216" s="273"/>
      <c r="S216" s="273"/>
      <c r="T216" s="274"/>
      <c r="U216" s="34"/>
      <c r="V216" s="34"/>
      <c r="W216" s="35" t="s">
        <v>70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304</v>
      </c>
      <c r="AG216" s="67"/>
      <c r="AJ216" s="71" t="s">
        <v>72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customHeight="1" x14ac:dyDescent="0.25">
      <c r="A217" s="54" t="s">
        <v>305</v>
      </c>
      <c r="B217" s="54" t="s">
        <v>306</v>
      </c>
      <c r="C217" s="31">
        <v>4301071100</v>
      </c>
      <c r="D217" s="284">
        <v>4607111038708</v>
      </c>
      <c r="E217" s="285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388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73"/>
      <c r="R217" s="273"/>
      <c r="S217" s="273"/>
      <c r="T217" s="274"/>
      <c r="U217" s="34"/>
      <c r="V217" s="34"/>
      <c r="W217" s="35" t="s">
        <v>70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304</v>
      </c>
      <c r="AG217" s="67"/>
      <c r="AJ217" s="71" t="s">
        <v>72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6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7"/>
      <c r="P218" s="279" t="s">
        <v>73</v>
      </c>
      <c r="Q218" s="280"/>
      <c r="R218" s="280"/>
      <c r="S218" s="280"/>
      <c r="T218" s="280"/>
      <c r="U218" s="280"/>
      <c r="V218" s="281"/>
      <c r="W218" s="37" t="s">
        <v>70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x14ac:dyDescent="0.2">
      <c r="A219" s="283"/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7"/>
      <c r="P219" s="279" t="s">
        <v>73</v>
      </c>
      <c r="Q219" s="280"/>
      <c r="R219" s="280"/>
      <c r="S219" s="280"/>
      <c r="T219" s="280"/>
      <c r="U219" s="280"/>
      <c r="V219" s="281"/>
      <c r="W219" s="37" t="s">
        <v>74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customHeight="1" x14ac:dyDescent="0.2">
      <c r="A220" s="320" t="s">
        <v>307</v>
      </c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48"/>
      <c r="AB220" s="48"/>
      <c r="AC220" s="48"/>
    </row>
    <row r="221" spans="1:68" ht="16.5" customHeight="1" x14ac:dyDescent="0.25">
      <c r="A221" s="282" t="s">
        <v>308</v>
      </c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  <c r="AA221" s="263"/>
      <c r="AB221" s="263"/>
      <c r="AC221" s="263"/>
    </row>
    <row r="222" spans="1:68" ht="14.25" customHeight="1" x14ac:dyDescent="0.25">
      <c r="A222" s="303" t="s">
        <v>64</v>
      </c>
      <c r="B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  <c r="AA222" s="264"/>
      <c r="AB222" s="264"/>
      <c r="AC222" s="264"/>
    </row>
    <row r="223" spans="1:68" ht="27" customHeight="1" x14ac:dyDescent="0.25">
      <c r="A223" s="54" t="s">
        <v>309</v>
      </c>
      <c r="B223" s="54" t="s">
        <v>310</v>
      </c>
      <c r="C223" s="31">
        <v>4301071036</v>
      </c>
      <c r="D223" s="284">
        <v>4607111036162</v>
      </c>
      <c r="E223" s="285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90</v>
      </c>
      <c r="P223" s="34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73"/>
      <c r="R223" s="273"/>
      <c r="S223" s="273"/>
      <c r="T223" s="274"/>
      <c r="U223" s="34"/>
      <c r="V223" s="34"/>
      <c r="W223" s="35" t="s">
        <v>70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311</v>
      </c>
      <c r="AG223" s="67"/>
      <c r="AJ223" s="71" t="s">
        <v>72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286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7"/>
      <c r="P224" s="279" t="s">
        <v>73</v>
      </c>
      <c r="Q224" s="280"/>
      <c r="R224" s="280"/>
      <c r="S224" s="280"/>
      <c r="T224" s="280"/>
      <c r="U224" s="280"/>
      <c r="V224" s="281"/>
      <c r="W224" s="37" t="s">
        <v>70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x14ac:dyDescent="0.2">
      <c r="A225" s="283"/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7"/>
      <c r="P225" s="279" t="s">
        <v>73</v>
      </c>
      <c r="Q225" s="280"/>
      <c r="R225" s="280"/>
      <c r="S225" s="280"/>
      <c r="T225" s="280"/>
      <c r="U225" s="280"/>
      <c r="V225" s="281"/>
      <c r="W225" s="37" t="s">
        <v>74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customHeight="1" x14ac:dyDescent="0.2">
      <c r="A226" s="320" t="s">
        <v>312</v>
      </c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48"/>
      <c r="AB226" s="48"/>
      <c r="AC226" s="48"/>
    </row>
    <row r="227" spans="1:68" ht="16.5" customHeight="1" x14ac:dyDescent="0.25">
      <c r="A227" s="282" t="s">
        <v>313</v>
      </c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  <c r="Z227" s="283"/>
      <c r="AA227" s="263"/>
      <c r="AB227" s="263"/>
      <c r="AC227" s="263"/>
    </row>
    <row r="228" spans="1:68" ht="14.25" customHeight="1" x14ac:dyDescent="0.25">
      <c r="A228" s="303" t="s">
        <v>64</v>
      </c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3"/>
      <c r="P228" s="283"/>
      <c r="Q228" s="283"/>
      <c r="R228" s="283"/>
      <c r="S228" s="283"/>
      <c r="T228" s="283"/>
      <c r="U228" s="283"/>
      <c r="V228" s="283"/>
      <c r="W228" s="283"/>
      <c r="X228" s="283"/>
      <c r="Y228" s="283"/>
      <c r="Z228" s="283"/>
      <c r="AA228" s="264"/>
      <c r="AB228" s="264"/>
      <c r="AC228" s="264"/>
    </row>
    <row r="229" spans="1:68" ht="27" customHeight="1" x14ac:dyDescent="0.25">
      <c r="A229" s="54" t="s">
        <v>314</v>
      </c>
      <c r="B229" s="54" t="s">
        <v>315</v>
      </c>
      <c r="C229" s="31">
        <v>4301071029</v>
      </c>
      <c r="D229" s="284">
        <v>4607111035899</v>
      </c>
      <c r="E229" s="285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67</v>
      </c>
      <c r="L229" s="32" t="s">
        <v>68</v>
      </c>
      <c r="M229" s="33" t="s">
        <v>69</v>
      </c>
      <c r="N229" s="33"/>
      <c r="O229" s="32">
        <v>180</v>
      </c>
      <c r="P229" s="38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73"/>
      <c r="R229" s="273"/>
      <c r="S229" s="273"/>
      <c r="T229" s="274"/>
      <c r="U229" s="34"/>
      <c r="V229" s="34"/>
      <c r="W229" s="35" t="s">
        <v>70</v>
      </c>
      <c r="X229" s="268">
        <v>0</v>
      </c>
      <c r="Y229" s="269">
        <f>IFERROR(IF(X229="","",X229),"")</f>
        <v>0</v>
      </c>
      <c r="Z229" s="36">
        <f>IFERROR(IF(X229="","",X229*0.0155),"")</f>
        <v>0</v>
      </c>
      <c r="AA229" s="56"/>
      <c r="AB229" s="57"/>
      <c r="AC229" s="218" t="s">
        <v>237</v>
      </c>
      <c r="AG229" s="67"/>
      <c r="AJ229" s="71" t="s">
        <v>72</v>
      </c>
      <c r="AK229" s="71">
        <v>1</v>
      </c>
      <c r="BB229" s="219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286"/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7"/>
      <c r="P230" s="279" t="s">
        <v>73</v>
      </c>
      <c r="Q230" s="280"/>
      <c r="R230" s="280"/>
      <c r="S230" s="280"/>
      <c r="T230" s="280"/>
      <c r="U230" s="280"/>
      <c r="V230" s="281"/>
      <c r="W230" s="37" t="s">
        <v>70</v>
      </c>
      <c r="X230" s="270">
        <f>IFERROR(SUM(X229:X229),"0")</f>
        <v>0</v>
      </c>
      <c r="Y230" s="270">
        <f>IFERROR(SUM(Y229:Y229),"0")</f>
        <v>0</v>
      </c>
      <c r="Z230" s="270">
        <f>IFERROR(IF(Z229="",0,Z229),"0")</f>
        <v>0</v>
      </c>
      <c r="AA230" s="271"/>
      <c r="AB230" s="271"/>
      <c r="AC230" s="271"/>
    </row>
    <row r="231" spans="1:68" x14ac:dyDescent="0.2">
      <c r="A231" s="283"/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7"/>
      <c r="P231" s="279" t="s">
        <v>73</v>
      </c>
      <c r="Q231" s="280"/>
      <c r="R231" s="280"/>
      <c r="S231" s="280"/>
      <c r="T231" s="280"/>
      <c r="U231" s="280"/>
      <c r="V231" s="281"/>
      <c r="W231" s="37" t="s">
        <v>74</v>
      </c>
      <c r="X231" s="270">
        <f>IFERROR(SUMPRODUCT(X229:X229*H229:H229),"0")</f>
        <v>0</v>
      </c>
      <c r="Y231" s="270">
        <f>IFERROR(SUMPRODUCT(Y229:Y229*H229:H229),"0")</f>
        <v>0</v>
      </c>
      <c r="Z231" s="37"/>
      <c r="AA231" s="271"/>
      <c r="AB231" s="271"/>
      <c r="AC231" s="271"/>
    </row>
    <row r="232" spans="1:68" ht="27.75" customHeight="1" x14ac:dyDescent="0.2">
      <c r="A232" s="320" t="s">
        <v>316</v>
      </c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48"/>
      <c r="AB232" s="48"/>
      <c r="AC232" s="48"/>
    </row>
    <row r="233" spans="1:68" ht="16.5" customHeight="1" x14ac:dyDescent="0.25">
      <c r="A233" s="282" t="s">
        <v>317</v>
      </c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  <c r="AA233" s="263"/>
      <c r="AB233" s="263"/>
      <c r="AC233" s="263"/>
    </row>
    <row r="234" spans="1:68" ht="14.25" customHeight="1" x14ac:dyDescent="0.25">
      <c r="A234" s="303" t="s">
        <v>318</v>
      </c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3"/>
      <c r="P234" s="283"/>
      <c r="Q234" s="283"/>
      <c r="R234" s="283"/>
      <c r="S234" s="283"/>
      <c r="T234" s="283"/>
      <c r="U234" s="283"/>
      <c r="V234" s="283"/>
      <c r="W234" s="283"/>
      <c r="X234" s="283"/>
      <c r="Y234" s="283"/>
      <c r="Z234" s="283"/>
      <c r="AA234" s="264"/>
      <c r="AB234" s="264"/>
      <c r="AC234" s="264"/>
    </row>
    <row r="235" spans="1:68" ht="27" customHeight="1" x14ac:dyDescent="0.25">
      <c r="A235" s="54" t="s">
        <v>319</v>
      </c>
      <c r="B235" s="54" t="s">
        <v>320</v>
      </c>
      <c r="C235" s="31">
        <v>4301133004</v>
      </c>
      <c r="D235" s="284">
        <v>4607111039774</v>
      </c>
      <c r="E235" s="285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38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73"/>
      <c r="R235" s="273"/>
      <c r="S235" s="273"/>
      <c r="T235" s="274"/>
      <c r="U235" s="34"/>
      <c r="V235" s="34"/>
      <c r="W235" s="35" t="s">
        <v>70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321</v>
      </c>
      <c r="AG235" s="67"/>
      <c r="AJ235" s="71" t="s">
        <v>72</v>
      </c>
      <c r="AK235" s="71">
        <v>1</v>
      </c>
      <c r="BB235" s="221" t="s">
        <v>84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286"/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287"/>
      <c r="P236" s="279" t="s">
        <v>73</v>
      </c>
      <c r="Q236" s="280"/>
      <c r="R236" s="280"/>
      <c r="S236" s="280"/>
      <c r="T236" s="280"/>
      <c r="U236" s="280"/>
      <c r="V236" s="281"/>
      <c r="W236" s="37" t="s">
        <v>70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x14ac:dyDescent="0.2">
      <c r="A237" s="283"/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7"/>
      <c r="P237" s="279" t="s">
        <v>73</v>
      </c>
      <c r="Q237" s="280"/>
      <c r="R237" s="280"/>
      <c r="S237" s="280"/>
      <c r="T237" s="280"/>
      <c r="U237" s="280"/>
      <c r="V237" s="281"/>
      <c r="W237" s="37" t="s">
        <v>74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customHeight="1" x14ac:dyDescent="0.25">
      <c r="A238" s="303" t="s">
        <v>121</v>
      </c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64"/>
      <c r="AB238" s="264"/>
      <c r="AC238" s="264"/>
    </row>
    <row r="239" spans="1:68" ht="37.5" customHeight="1" x14ac:dyDescent="0.25">
      <c r="A239" s="54" t="s">
        <v>322</v>
      </c>
      <c r="B239" s="54" t="s">
        <v>323</v>
      </c>
      <c r="C239" s="31">
        <v>4301135400</v>
      </c>
      <c r="D239" s="284">
        <v>4607111039361</v>
      </c>
      <c r="E239" s="285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80</v>
      </c>
      <c r="L239" s="32" t="s">
        <v>68</v>
      </c>
      <c r="M239" s="33" t="s">
        <v>69</v>
      </c>
      <c r="N239" s="33"/>
      <c r="O239" s="32">
        <v>180</v>
      </c>
      <c r="P239" s="35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73"/>
      <c r="R239" s="273"/>
      <c r="S239" s="273"/>
      <c r="T239" s="274"/>
      <c r="U239" s="34"/>
      <c r="V239" s="34"/>
      <c r="W239" s="35" t="s">
        <v>70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321</v>
      </c>
      <c r="AG239" s="67"/>
      <c r="AJ239" s="71" t="s">
        <v>72</v>
      </c>
      <c r="AK239" s="71">
        <v>1</v>
      </c>
      <c r="BB239" s="223" t="s">
        <v>84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286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7"/>
      <c r="P240" s="279" t="s">
        <v>73</v>
      </c>
      <c r="Q240" s="280"/>
      <c r="R240" s="280"/>
      <c r="S240" s="280"/>
      <c r="T240" s="280"/>
      <c r="U240" s="280"/>
      <c r="V240" s="281"/>
      <c r="W240" s="37" t="s">
        <v>70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x14ac:dyDescent="0.2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7"/>
      <c r="P241" s="279" t="s">
        <v>73</v>
      </c>
      <c r="Q241" s="280"/>
      <c r="R241" s="280"/>
      <c r="S241" s="280"/>
      <c r="T241" s="280"/>
      <c r="U241" s="280"/>
      <c r="V241" s="281"/>
      <c r="W241" s="37" t="s">
        <v>74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customHeight="1" x14ac:dyDescent="0.2">
      <c r="A242" s="320" t="s">
        <v>324</v>
      </c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48"/>
      <c r="AB242" s="48"/>
      <c r="AC242" s="48"/>
    </row>
    <row r="243" spans="1:68" ht="16.5" customHeight="1" x14ac:dyDescent="0.25">
      <c r="A243" s="282" t="s">
        <v>324</v>
      </c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  <c r="Z243" s="283"/>
      <c r="AA243" s="263"/>
      <c r="AB243" s="263"/>
      <c r="AC243" s="263"/>
    </row>
    <row r="244" spans="1:68" ht="14.25" customHeight="1" x14ac:dyDescent="0.25">
      <c r="A244" s="303" t="s">
        <v>64</v>
      </c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3"/>
      <c r="P244" s="283"/>
      <c r="Q244" s="283"/>
      <c r="R244" s="283"/>
      <c r="S244" s="283"/>
      <c r="T244" s="283"/>
      <c r="U244" s="283"/>
      <c r="V244" s="283"/>
      <c r="W244" s="283"/>
      <c r="X244" s="283"/>
      <c r="Y244" s="283"/>
      <c r="Z244" s="283"/>
      <c r="AA244" s="264"/>
      <c r="AB244" s="264"/>
      <c r="AC244" s="264"/>
    </row>
    <row r="245" spans="1:68" ht="27" customHeight="1" x14ac:dyDescent="0.25">
      <c r="A245" s="54" t="s">
        <v>325</v>
      </c>
      <c r="B245" s="54" t="s">
        <v>326</v>
      </c>
      <c r="C245" s="31">
        <v>4301071014</v>
      </c>
      <c r="D245" s="284">
        <v>4640242181264</v>
      </c>
      <c r="E245" s="285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67</v>
      </c>
      <c r="L245" s="32" t="s">
        <v>68</v>
      </c>
      <c r="M245" s="33" t="s">
        <v>69</v>
      </c>
      <c r="N245" s="33"/>
      <c r="O245" s="32">
        <v>180</v>
      </c>
      <c r="P245" s="37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73"/>
      <c r="R245" s="273"/>
      <c r="S245" s="273"/>
      <c r="T245" s="274"/>
      <c r="U245" s="34"/>
      <c r="V245" s="34"/>
      <c r="W245" s="35" t="s">
        <v>70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327</v>
      </c>
      <c r="AG245" s="67"/>
      <c r="AJ245" s="71" t="s">
        <v>72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328</v>
      </c>
      <c r="B246" s="54" t="s">
        <v>329</v>
      </c>
      <c r="C246" s="31">
        <v>4301071021</v>
      </c>
      <c r="D246" s="284">
        <v>4640242181325</v>
      </c>
      <c r="E246" s="285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67</v>
      </c>
      <c r="L246" s="32" t="s">
        <v>68</v>
      </c>
      <c r="M246" s="33" t="s">
        <v>69</v>
      </c>
      <c r="N246" s="33"/>
      <c r="O246" s="32">
        <v>180</v>
      </c>
      <c r="P246" s="35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73"/>
      <c r="R246" s="273"/>
      <c r="S246" s="273"/>
      <c r="T246" s="274"/>
      <c r="U246" s="34"/>
      <c r="V246" s="34"/>
      <c r="W246" s="35" t="s">
        <v>70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327</v>
      </c>
      <c r="AG246" s="67"/>
      <c r="AJ246" s="71" t="s">
        <v>72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330</v>
      </c>
      <c r="B247" s="54" t="s">
        <v>331</v>
      </c>
      <c r="C247" s="31">
        <v>4301070993</v>
      </c>
      <c r="D247" s="284">
        <v>4640242180670</v>
      </c>
      <c r="E247" s="285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417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73"/>
      <c r="R247" s="273"/>
      <c r="S247" s="273"/>
      <c r="T247" s="274"/>
      <c r="U247" s="34"/>
      <c r="V247" s="34"/>
      <c r="W247" s="35" t="s">
        <v>70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332</v>
      </c>
      <c r="AG247" s="67"/>
      <c r="AJ247" s="71" t="s">
        <v>72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86"/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7"/>
      <c r="P248" s="279" t="s">
        <v>73</v>
      </c>
      <c r="Q248" s="280"/>
      <c r="R248" s="280"/>
      <c r="S248" s="280"/>
      <c r="T248" s="280"/>
      <c r="U248" s="280"/>
      <c r="V248" s="281"/>
      <c r="W248" s="37" t="s">
        <v>70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x14ac:dyDescent="0.2">
      <c r="A249" s="283"/>
      <c r="B249" s="283"/>
      <c r="C249" s="283"/>
      <c r="D249" s="283"/>
      <c r="E249" s="283"/>
      <c r="F249" s="283"/>
      <c r="G249" s="283"/>
      <c r="H249" s="283"/>
      <c r="I249" s="283"/>
      <c r="J249" s="283"/>
      <c r="K249" s="283"/>
      <c r="L249" s="283"/>
      <c r="M249" s="283"/>
      <c r="N249" s="283"/>
      <c r="O249" s="287"/>
      <c r="P249" s="279" t="s">
        <v>73</v>
      </c>
      <c r="Q249" s="280"/>
      <c r="R249" s="280"/>
      <c r="S249" s="280"/>
      <c r="T249" s="280"/>
      <c r="U249" s="280"/>
      <c r="V249" s="281"/>
      <c r="W249" s="37" t="s">
        <v>74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customHeight="1" x14ac:dyDescent="0.25">
      <c r="A250" s="303" t="s">
        <v>77</v>
      </c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  <c r="Z250" s="283"/>
      <c r="AA250" s="264"/>
      <c r="AB250" s="264"/>
      <c r="AC250" s="264"/>
    </row>
    <row r="251" spans="1:68" ht="27" customHeight="1" x14ac:dyDescent="0.25">
      <c r="A251" s="54" t="s">
        <v>333</v>
      </c>
      <c r="B251" s="54" t="s">
        <v>334</v>
      </c>
      <c r="C251" s="31">
        <v>4301132080</v>
      </c>
      <c r="D251" s="284">
        <v>4640242180397</v>
      </c>
      <c r="E251" s="285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67</v>
      </c>
      <c r="L251" s="32" t="s">
        <v>81</v>
      </c>
      <c r="M251" s="33" t="s">
        <v>69</v>
      </c>
      <c r="N251" s="33"/>
      <c r="O251" s="32">
        <v>180</v>
      </c>
      <c r="P251" s="39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73"/>
      <c r="R251" s="273"/>
      <c r="S251" s="273"/>
      <c r="T251" s="274"/>
      <c r="U251" s="34"/>
      <c r="V251" s="34"/>
      <c r="W251" s="35" t="s">
        <v>70</v>
      </c>
      <c r="X251" s="268">
        <v>0</v>
      </c>
      <c r="Y251" s="269">
        <f>IFERROR(IF(X251="","",X251),"")</f>
        <v>0</v>
      </c>
      <c r="Z251" s="36">
        <f>IFERROR(IF(X251="","",X251*0.0155),"")</f>
        <v>0</v>
      </c>
      <c r="AA251" s="56"/>
      <c r="AB251" s="57"/>
      <c r="AC251" s="230" t="s">
        <v>335</v>
      </c>
      <c r="AG251" s="67"/>
      <c r="AJ251" s="71" t="s">
        <v>83</v>
      </c>
      <c r="AK251" s="71">
        <v>12</v>
      </c>
      <c r="BB251" s="231" t="s">
        <v>84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t="27" customHeight="1" x14ac:dyDescent="0.25">
      <c r="A252" s="54" t="s">
        <v>336</v>
      </c>
      <c r="B252" s="54" t="s">
        <v>337</v>
      </c>
      <c r="C252" s="31">
        <v>4301132104</v>
      </c>
      <c r="D252" s="284">
        <v>4640242181219</v>
      </c>
      <c r="E252" s="285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132</v>
      </c>
      <c r="L252" s="32" t="s">
        <v>68</v>
      </c>
      <c r="M252" s="33" t="s">
        <v>69</v>
      </c>
      <c r="N252" s="33"/>
      <c r="O252" s="32">
        <v>180</v>
      </c>
      <c r="P252" s="295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73"/>
      <c r="R252" s="273"/>
      <c r="S252" s="273"/>
      <c r="T252" s="274"/>
      <c r="U252" s="34"/>
      <c r="V252" s="34"/>
      <c r="W252" s="35" t="s">
        <v>70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335</v>
      </c>
      <c r="AG252" s="67"/>
      <c r="AJ252" s="71" t="s">
        <v>72</v>
      </c>
      <c r="AK252" s="71">
        <v>1</v>
      </c>
      <c r="BB252" s="233" t="s">
        <v>84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3"/>
      <c r="C253" s="283"/>
      <c r="D253" s="283"/>
      <c r="E253" s="283"/>
      <c r="F253" s="283"/>
      <c r="G253" s="283"/>
      <c r="H253" s="283"/>
      <c r="I253" s="283"/>
      <c r="J253" s="283"/>
      <c r="K253" s="283"/>
      <c r="L253" s="283"/>
      <c r="M253" s="283"/>
      <c r="N253" s="283"/>
      <c r="O253" s="287"/>
      <c r="P253" s="279" t="s">
        <v>73</v>
      </c>
      <c r="Q253" s="280"/>
      <c r="R253" s="280"/>
      <c r="S253" s="280"/>
      <c r="T253" s="280"/>
      <c r="U253" s="280"/>
      <c r="V253" s="281"/>
      <c r="W253" s="37" t="s">
        <v>70</v>
      </c>
      <c r="X253" s="270">
        <f>IFERROR(SUM(X251:X252),"0")</f>
        <v>0</v>
      </c>
      <c r="Y253" s="270">
        <f>IFERROR(SUM(Y251:Y252),"0")</f>
        <v>0</v>
      </c>
      <c r="Z253" s="270">
        <f>IFERROR(IF(Z251="",0,Z251),"0")+IFERROR(IF(Z252="",0,Z252),"0")</f>
        <v>0</v>
      </c>
      <c r="AA253" s="271"/>
      <c r="AB253" s="271"/>
      <c r="AC253" s="271"/>
    </row>
    <row r="254" spans="1:68" x14ac:dyDescent="0.2">
      <c r="A254" s="283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7"/>
      <c r="P254" s="279" t="s">
        <v>73</v>
      </c>
      <c r="Q254" s="280"/>
      <c r="R254" s="280"/>
      <c r="S254" s="280"/>
      <c r="T254" s="280"/>
      <c r="U254" s="280"/>
      <c r="V254" s="281"/>
      <c r="W254" s="37" t="s">
        <v>74</v>
      </c>
      <c r="X254" s="270">
        <f>IFERROR(SUMPRODUCT(X251:X252*H251:H252),"0")</f>
        <v>0</v>
      </c>
      <c r="Y254" s="270">
        <f>IFERROR(SUMPRODUCT(Y251:Y252*H251:H252),"0")</f>
        <v>0</v>
      </c>
      <c r="Z254" s="37"/>
      <c r="AA254" s="271"/>
      <c r="AB254" s="271"/>
      <c r="AC254" s="271"/>
    </row>
    <row r="255" spans="1:68" ht="14.25" customHeight="1" x14ac:dyDescent="0.25">
      <c r="A255" s="303" t="s">
        <v>115</v>
      </c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3"/>
      <c r="P255" s="283"/>
      <c r="Q255" s="283"/>
      <c r="R255" s="283"/>
      <c r="S255" s="283"/>
      <c r="T255" s="283"/>
      <c r="U255" s="283"/>
      <c r="V255" s="283"/>
      <c r="W255" s="283"/>
      <c r="X255" s="283"/>
      <c r="Y255" s="283"/>
      <c r="Z255" s="283"/>
      <c r="AA255" s="264"/>
      <c r="AB255" s="264"/>
      <c r="AC255" s="264"/>
    </row>
    <row r="256" spans="1:68" ht="27" customHeight="1" x14ac:dyDescent="0.25">
      <c r="A256" s="54" t="s">
        <v>338</v>
      </c>
      <c r="B256" s="54" t="s">
        <v>339</v>
      </c>
      <c r="C256" s="31">
        <v>4301136051</v>
      </c>
      <c r="D256" s="284">
        <v>4640242180304</v>
      </c>
      <c r="E256" s="285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80</v>
      </c>
      <c r="L256" s="32" t="s">
        <v>81</v>
      </c>
      <c r="M256" s="33" t="s">
        <v>69</v>
      </c>
      <c r="N256" s="33"/>
      <c r="O256" s="32">
        <v>180</v>
      </c>
      <c r="P256" s="39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73"/>
      <c r="R256" s="273"/>
      <c r="S256" s="273"/>
      <c r="T256" s="274"/>
      <c r="U256" s="34"/>
      <c r="V256" s="34"/>
      <c r="W256" s="35" t="s">
        <v>70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340</v>
      </c>
      <c r="AG256" s="67"/>
      <c r="AJ256" s="71" t="s">
        <v>83</v>
      </c>
      <c r="AK256" s="71">
        <v>14</v>
      </c>
      <c r="BB256" s="235" t="s">
        <v>84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341</v>
      </c>
      <c r="B257" s="54" t="s">
        <v>342</v>
      </c>
      <c r="C257" s="31">
        <v>4301136053</v>
      </c>
      <c r="D257" s="284">
        <v>4640242180236</v>
      </c>
      <c r="E257" s="285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67</v>
      </c>
      <c r="L257" s="32" t="s">
        <v>81</v>
      </c>
      <c r="M257" s="33" t="s">
        <v>69</v>
      </c>
      <c r="N257" s="33"/>
      <c r="O257" s="32">
        <v>180</v>
      </c>
      <c r="P257" s="40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73"/>
      <c r="R257" s="273"/>
      <c r="S257" s="273"/>
      <c r="T257" s="274"/>
      <c r="U257" s="34"/>
      <c r="V257" s="34"/>
      <c r="W257" s="35" t="s">
        <v>70</v>
      </c>
      <c r="X257" s="268">
        <v>0</v>
      </c>
      <c r="Y257" s="269">
        <f>IFERROR(IF(X257="","",X257),"")</f>
        <v>0</v>
      </c>
      <c r="Z257" s="36">
        <f>IFERROR(IF(X257="","",X257*0.0155),"")</f>
        <v>0</v>
      </c>
      <c r="AA257" s="56"/>
      <c r="AB257" s="57"/>
      <c r="AC257" s="236" t="s">
        <v>340</v>
      </c>
      <c r="AG257" s="67"/>
      <c r="AJ257" s="71" t="s">
        <v>83</v>
      </c>
      <c r="AK257" s="71">
        <v>12</v>
      </c>
      <c r="BB257" s="237" t="s">
        <v>84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customHeight="1" x14ac:dyDescent="0.25">
      <c r="A258" s="54" t="s">
        <v>343</v>
      </c>
      <c r="B258" s="54" t="s">
        <v>344</v>
      </c>
      <c r="C258" s="31">
        <v>4301136052</v>
      </c>
      <c r="D258" s="284">
        <v>4640242180410</v>
      </c>
      <c r="E258" s="285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80</v>
      </c>
      <c r="L258" s="32" t="s">
        <v>68</v>
      </c>
      <c r="M258" s="33" t="s">
        <v>69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73"/>
      <c r="R258" s="273"/>
      <c r="S258" s="273"/>
      <c r="T258" s="274"/>
      <c r="U258" s="34"/>
      <c r="V258" s="34"/>
      <c r="W258" s="35" t="s">
        <v>70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340</v>
      </c>
      <c r="AG258" s="67"/>
      <c r="AJ258" s="71" t="s">
        <v>72</v>
      </c>
      <c r="AK258" s="71">
        <v>1</v>
      </c>
      <c r="BB258" s="239" t="s">
        <v>84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86"/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7"/>
      <c r="P259" s="279" t="s">
        <v>73</v>
      </c>
      <c r="Q259" s="280"/>
      <c r="R259" s="280"/>
      <c r="S259" s="280"/>
      <c r="T259" s="280"/>
      <c r="U259" s="280"/>
      <c r="V259" s="281"/>
      <c r="W259" s="37" t="s">
        <v>70</v>
      </c>
      <c r="X259" s="270">
        <f>IFERROR(SUM(X256:X258),"0")</f>
        <v>0</v>
      </c>
      <c r="Y259" s="270">
        <f>IFERROR(SUM(Y256:Y258),"0")</f>
        <v>0</v>
      </c>
      <c r="Z259" s="270">
        <f>IFERROR(IF(Z256="",0,Z256),"0")+IFERROR(IF(Z257="",0,Z257),"0")+IFERROR(IF(Z258="",0,Z258),"0")</f>
        <v>0</v>
      </c>
      <c r="AA259" s="271"/>
      <c r="AB259" s="271"/>
      <c r="AC259" s="271"/>
    </row>
    <row r="260" spans="1:68" x14ac:dyDescent="0.2">
      <c r="A260" s="283"/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287"/>
      <c r="P260" s="279" t="s">
        <v>73</v>
      </c>
      <c r="Q260" s="280"/>
      <c r="R260" s="280"/>
      <c r="S260" s="280"/>
      <c r="T260" s="280"/>
      <c r="U260" s="280"/>
      <c r="V260" s="281"/>
      <c r="W260" s="37" t="s">
        <v>74</v>
      </c>
      <c r="X260" s="270">
        <f>IFERROR(SUMPRODUCT(X256:X258*H256:H258),"0")</f>
        <v>0</v>
      </c>
      <c r="Y260" s="270">
        <f>IFERROR(SUMPRODUCT(Y256:Y258*H256:H258),"0")</f>
        <v>0</v>
      </c>
      <c r="Z260" s="37"/>
      <c r="AA260" s="271"/>
      <c r="AB260" s="271"/>
      <c r="AC260" s="271"/>
    </row>
    <row r="261" spans="1:68" ht="14.25" customHeight="1" x14ac:dyDescent="0.25">
      <c r="A261" s="303" t="s">
        <v>121</v>
      </c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3"/>
      <c r="P261" s="283"/>
      <c r="Q261" s="283"/>
      <c r="R261" s="283"/>
      <c r="S261" s="283"/>
      <c r="T261" s="283"/>
      <c r="U261" s="283"/>
      <c r="V261" s="283"/>
      <c r="W261" s="283"/>
      <c r="X261" s="283"/>
      <c r="Y261" s="283"/>
      <c r="Z261" s="283"/>
      <c r="AA261" s="264"/>
      <c r="AB261" s="264"/>
      <c r="AC261" s="264"/>
    </row>
    <row r="262" spans="1:68" ht="37.5" customHeight="1" x14ac:dyDescent="0.25">
      <c r="A262" s="54" t="s">
        <v>345</v>
      </c>
      <c r="B262" s="54" t="s">
        <v>346</v>
      </c>
      <c r="C262" s="31">
        <v>4301135504</v>
      </c>
      <c r="D262" s="284">
        <v>4640242181554</v>
      </c>
      <c r="E262" s="285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80</v>
      </c>
      <c r="L262" s="32" t="s">
        <v>68</v>
      </c>
      <c r="M262" s="33" t="s">
        <v>69</v>
      </c>
      <c r="N262" s="33"/>
      <c r="O262" s="32">
        <v>180</v>
      </c>
      <c r="P262" s="44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73"/>
      <c r="R262" s="273"/>
      <c r="S262" s="273"/>
      <c r="T262" s="274"/>
      <c r="U262" s="34"/>
      <c r="V262" s="34"/>
      <c r="W262" s="35" t="s">
        <v>70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347</v>
      </c>
      <c r="AG262" s="67"/>
      <c r="AJ262" s="71" t="s">
        <v>72</v>
      </c>
      <c r="AK262" s="71">
        <v>1</v>
      </c>
      <c r="BB262" s="241" t="s">
        <v>84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348</v>
      </c>
      <c r="B263" s="54" t="s">
        <v>349</v>
      </c>
      <c r="C263" s="31">
        <v>4301135518</v>
      </c>
      <c r="D263" s="284">
        <v>4640242181561</v>
      </c>
      <c r="E263" s="285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80</v>
      </c>
      <c r="L263" s="32" t="s">
        <v>81</v>
      </c>
      <c r="M263" s="33" t="s">
        <v>69</v>
      </c>
      <c r="N263" s="33"/>
      <c r="O263" s="32">
        <v>180</v>
      </c>
      <c r="P263" s="44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73"/>
      <c r="R263" s="273"/>
      <c r="S263" s="273"/>
      <c r="T263" s="274"/>
      <c r="U263" s="34"/>
      <c r="V263" s="34"/>
      <c r="W263" s="35" t="s">
        <v>70</v>
      </c>
      <c r="X263" s="268">
        <v>0</v>
      </c>
      <c r="Y263" s="269">
        <f t="shared" si="12"/>
        <v>0</v>
      </c>
      <c r="Z263" s="36">
        <f>IFERROR(IF(X263="","",X263*0.00936),"")</f>
        <v>0</v>
      </c>
      <c r="AA263" s="56"/>
      <c r="AB263" s="57"/>
      <c r="AC263" s="242" t="s">
        <v>350</v>
      </c>
      <c r="AG263" s="67"/>
      <c r="AJ263" s="71" t="s">
        <v>83</v>
      </c>
      <c r="AK263" s="71">
        <v>14</v>
      </c>
      <c r="BB263" s="243" t="s">
        <v>84</v>
      </c>
      <c r="BM263" s="67">
        <f t="shared" si="13"/>
        <v>0</v>
      </c>
      <c r="BN263" s="67">
        <f t="shared" si="14"/>
        <v>0</v>
      </c>
      <c r="BO263" s="67">
        <f t="shared" si="15"/>
        <v>0</v>
      </c>
      <c r="BP263" s="67">
        <f t="shared" si="16"/>
        <v>0</v>
      </c>
    </row>
    <row r="264" spans="1:68" ht="27" customHeight="1" x14ac:dyDescent="0.25">
      <c r="A264" s="54" t="s">
        <v>351</v>
      </c>
      <c r="B264" s="54" t="s">
        <v>352</v>
      </c>
      <c r="C264" s="31">
        <v>4301135374</v>
      </c>
      <c r="D264" s="284">
        <v>4640242181424</v>
      </c>
      <c r="E264" s="285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67</v>
      </c>
      <c r="L264" s="32" t="s">
        <v>81</v>
      </c>
      <c r="M264" s="33" t="s">
        <v>69</v>
      </c>
      <c r="N264" s="33"/>
      <c r="O264" s="32">
        <v>180</v>
      </c>
      <c r="P264" s="35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73"/>
      <c r="R264" s="273"/>
      <c r="S264" s="273"/>
      <c r="T264" s="274"/>
      <c r="U264" s="34"/>
      <c r="V264" s="34"/>
      <c r="W264" s="35" t="s">
        <v>70</v>
      </c>
      <c r="X264" s="268">
        <v>0</v>
      </c>
      <c r="Y264" s="269">
        <f t="shared" si="12"/>
        <v>0</v>
      </c>
      <c r="Z264" s="36">
        <f>IFERROR(IF(X264="","",X264*0.0155),"")</f>
        <v>0</v>
      </c>
      <c r="AA264" s="56"/>
      <c r="AB264" s="57"/>
      <c r="AC264" s="244" t="s">
        <v>347</v>
      </c>
      <c r="AG264" s="67"/>
      <c r="AJ264" s="71" t="s">
        <v>83</v>
      </c>
      <c r="AK264" s="71">
        <v>12</v>
      </c>
      <c r="BB264" s="245" t="s">
        <v>84</v>
      </c>
      <c r="BM264" s="67">
        <f t="shared" si="13"/>
        <v>0</v>
      </c>
      <c r="BN264" s="67">
        <f t="shared" si="14"/>
        <v>0</v>
      </c>
      <c r="BO264" s="67">
        <f t="shared" si="15"/>
        <v>0</v>
      </c>
      <c r="BP264" s="67">
        <f t="shared" si="16"/>
        <v>0</v>
      </c>
    </row>
    <row r="265" spans="1:68" ht="27" customHeight="1" x14ac:dyDescent="0.25">
      <c r="A265" s="54" t="s">
        <v>353</v>
      </c>
      <c r="B265" s="54" t="s">
        <v>354</v>
      </c>
      <c r="C265" s="31">
        <v>4301135405</v>
      </c>
      <c r="D265" s="284">
        <v>4640242181523</v>
      </c>
      <c r="E265" s="285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80</v>
      </c>
      <c r="L265" s="32" t="s">
        <v>81</v>
      </c>
      <c r="M265" s="33" t="s">
        <v>69</v>
      </c>
      <c r="N265" s="33"/>
      <c r="O265" s="32">
        <v>180</v>
      </c>
      <c r="P265" s="3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73"/>
      <c r="R265" s="273"/>
      <c r="S265" s="273"/>
      <c r="T265" s="274"/>
      <c r="U265" s="34"/>
      <c r="V265" s="34"/>
      <c r="W265" s="35" t="s">
        <v>70</v>
      </c>
      <c r="X265" s="268">
        <v>0</v>
      </c>
      <c r="Y265" s="269">
        <f t="shared" si="12"/>
        <v>0</v>
      </c>
      <c r="Z265" s="36">
        <f t="shared" ref="Z265:Z270" si="17">IFERROR(IF(X265="","",X265*0.00936),"")</f>
        <v>0</v>
      </c>
      <c r="AA265" s="56"/>
      <c r="AB265" s="57"/>
      <c r="AC265" s="246" t="s">
        <v>350</v>
      </c>
      <c r="AG265" s="67"/>
      <c r="AJ265" s="71" t="s">
        <v>83</v>
      </c>
      <c r="AK265" s="71">
        <v>14</v>
      </c>
      <c r="BB265" s="247" t="s">
        <v>84</v>
      </c>
      <c r="BM265" s="67">
        <f t="shared" si="13"/>
        <v>0</v>
      </c>
      <c r="BN265" s="67">
        <f t="shared" si="14"/>
        <v>0</v>
      </c>
      <c r="BO265" s="67">
        <f t="shared" si="15"/>
        <v>0</v>
      </c>
      <c r="BP265" s="67">
        <f t="shared" si="16"/>
        <v>0</v>
      </c>
    </row>
    <row r="266" spans="1:68" ht="27" customHeight="1" x14ac:dyDescent="0.25">
      <c r="A266" s="54" t="s">
        <v>355</v>
      </c>
      <c r="B266" s="54" t="s">
        <v>356</v>
      </c>
      <c r="C266" s="31">
        <v>4301135375</v>
      </c>
      <c r="D266" s="284">
        <v>4640242181486</v>
      </c>
      <c r="E266" s="285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80</v>
      </c>
      <c r="L266" s="32" t="s">
        <v>200</v>
      </c>
      <c r="M266" s="33" t="s">
        <v>69</v>
      </c>
      <c r="N266" s="33"/>
      <c r="O266" s="32">
        <v>180</v>
      </c>
      <c r="P266" s="32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73"/>
      <c r="R266" s="273"/>
      <c r="S266" s="273"/>
      <c r="T266" s="274"/>
      <c r="U266" s="34"/>
      <c r="V266" s="34"/>
      <c r="W266" s="35" t="s">
        <v>70</v>
      </c>
      <c r="X266" s="268">
        <v>0</v>
      </c>
      <c r="Y266" s="269">
        <f t="shared" si="12"/>
        <v>0</v>
      </c>
      <c r="Z266" s="36">
        <f t="shared" si="17"/>
        <v>0</v>
      </c>
      <c r="AA266" s="56"/>
      <c r="AB266" s="57"/>
      <c r="AC266" s="248" t="s">
        <v>347</v>
      </c>
      <c r="AG266" s="67"/>
      <c r="AJ266" s="71" t="s">
        <v>201</v>
      </c>
      <c r="AK266" s="71">
        <v>126</v>
      </c>
      <c r="BB266" s="249" t="s">
        <v>84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customHeight="1" x14ac:dyDescent="0.25">
      <c r="A267" s="54" t="s">
        <v>357</v>
      </c>
      <c r="B267" s="54" t="s">
        <v>358</v>
      </c>
      <c r="C267" s="31">
        <v>4301135402</v>
      </c>
      <c r="D267" s="284">
        <v>4640242181493</v>
      </c>
      <c r="E267" s="285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80</v>
      </c>
      <c r="L267" s="32" t="s">
        <v>81</v>
      </c>
      <c r="M267" s="33" t="s">
        <v>69</v>
      </c>
      <c r="N267" s="33"/>
      <c r="O267" s="32">
        <v>180</v>
      </c>
      <c r="P267" s="37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73"/>
      <c r="R267" s="273"/>
      <c r="S267" s="273"/>
      <c r="T267" s="274"/>
      <c r="U267" s="34"/>
      <c r="V267" s="34"/>
      <c r="W267" s="35" t="s">
        <v>70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347</v>
      </c>
      <c r="AG267" s="67"/>
      <c r="AJ267" s="71" t="s">
        <v>83</v>
      </c>
      <c r="AK267" s="71">
        <v>14</v>
      </c>
      <c r="BB267" s="251" t="s">
        <v>84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customHeight="1" x14ac:dyDescent="0.25">
      <c r="A268" s="54" t="s">
        <v>359</v>
      </c>
      <c r="B268" s="54" t="s">
        <v>360</v>
      </c>
      <c r="C268" s="31">
        <v>4301135403</v>
      </c>
      <c r="D268" s="284">
        <v>4640242181509</v>
      </c>
      <c r="E268" s="285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80</v>
      </c>
      <c r="L268" s="32" t="s">
        <v>68</v>
      </c>
      <c r="M268" s="33" t="s">
        <v>69</v>
      </c>
      <c r="N268" s="33"/>
      <c r="O268" s="32">
        <v>180</v>
      </c>
      <c r="P268" s="33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73"/>
      <c r="R268" s="273"/>
      <c r="S268" s="273"/>
      <c r="T268" s="274"/>
      <c r="U268" s="34"/>
      <c r="V268" s="34"/>
      <c r="W268" s="35" t="s">
        <v>70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347</v>
      </c>
      <c r="AG268" s="67"/>
      <c r="AJ268" s="71" t="s">
        <v>72</v>
      </c>
      <c r="AK268" s="71">
        <v>1</v>
      </c>
      <c r="BB268" s="253" t="s">
        <v>84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customHeight="1" x14ac:dyDescent="0.25">
      <c r="A269" s="54" t="s">
        <v>361</v>
      </c>
      <c r="B269" s="54" t="s">
        <v>362</v>
      </c>
      <c r="C269" s="31">
        <v>4301135304</v>
      </c>
      <c r="D269" s="284">
        <v>4640242181240</v>
      </c>
      <c r="E269" s="285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41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73"/>
      <c r="R269" s="273"/>
      <c r="S269" s="273"/>
      <c r="T269" s="274"/>
      <c r="U269" s="34"/>
      <c r="V269" s="34"/>
      <c r="W269" s="35" t="s">
        <v>70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347</v>
      </c>
      <c r="AG269" s="67"/>
      <c r="AJ269" s="71" t="s">
        <v>72</v>
      </c>
      <c r="AK269" s="71">
        <v>1</v>
      </c>
      <c r="BB269" s="255" t="s">
        <v>84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363</v>
      </c>
      <c r="B270" s="54" t="s">
        <v>364</v>
      </c>
      <c r="C270" s="31">
        <v>4301135610</v>
      </c>
      <c r="D270" s="284">
        <v>4640242181318</v>
      </c>
      <c r="E270" s="285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80</v>
      </c>
      <c r="L270" s="32" t="s">
        <v>68</v>
      </c>
      <c r="M270" s="33" t="s">
        <v>69</v>
      </c>
      <c r="N270" s="33"/>
      <c r="O270" s="32">
        <v>180</v>
      </c>
      <c r="P270" s="42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73"/>
      <c r="R270" s="273"/>
      <c r="S270" s="273"/>
      <c r="T270" s="274"/>
      <c r="U270" s="34"/>
      <c r="V270" s="34"/>
      <c r="W270" s="35" t="s">
        <v>70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350</v>
      </c>
      <c r="AG270" s="67"/>
      <c r="AJ270" s="71" t="s">
        <v>72</v>
      </c>
      <c r="AK270" s="71">
        <v>1</v>
      </c>
      <c r="BB270" s="257" t="s">
        <v>84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customHeight="1" x14ac:dyDescent="0.25">
      <c r="A271" s="54" t="s">
        <v>365</v>
      </c>
      <c r="B271" s="54" t="s">
        <v>366</v>
      </c>
      <c r="C271" s="31">
        <v>4301135306</v>
      </c>
      <c r="D271" s="284">
        <v>4640242181387</v>
      </c>
      <c r="E271" s="285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132</v>
      </c>
      <c r="L271" s="32" t="s">
        <v>68</v>
      </c>
      <c r="M271" s="33" t="s">
        <v>69</v>
      </c>
      <c r="N271" s="33"/>
      <c r="O271" s="32">
        <v>180</v>
      </c>
      <c r="P271" s="3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73"/>
      <c r="R271" s="273"/>
      <c r="S271" s="273"/>
      <c r="T271" s="274"/>
      <c r="U271" s="34"/>
      <c r="V271" s="34"/>
      <c r="W271" s="35" t="s">
        <v>70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347</v>
      </c>
      <c r="AG271" s="67"/>
      <c r="AJ271" s="71" t="s">
        <v>72</v>
      </c>
      <c r="AK271" s="71">
        <v>1</v>
      </c>
      <c r="BB271" s="259" t="s">
        <v>84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3"/>
      <c r="C272" s="283"/>
      <c r="D272" s="283"/>
      <c r="E272" s="283"/>
      <c r="F272" s="283"/>
      <c r="G272" s="283"/>
      <c r="H272" s="283"/>
      <c r="I272" s="283"/>
      <c r="J272" s="283"/>
      <c r="K272" s="283"/>
      <c r="L272" s="283"/>
      <c r="M272" s="283"/>
      <c r="N272" s="283"/>
      <c r="O272" s="287"/>
      <c r="P272" s="279" t="s">
        <v>73</v>
      </c>
      <c r="Q272" s="280"/>
      <c r="R272" s="280"/>
      <c r="S272" s="280"/>
      <c r="T272" s="280"/>
      <c r="U272" s="280"/>
      <c r="V272" s="281"/>
      <c r="W272" s="37" t="s">
        <v>70</v>
      </c>
      <c r="X272" s="270">
        <f>IFERROR(SUM(X262:X271),"0")</f>
        <v>0</v>
      </c>
      <c r="Y272" s="270">
        <f>IFERROR(SUM(Y262:Y271),"0")</f>
        <v>0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271"/>
      <c r="AB272" s="271"/>
      <c r="AC272" s="271"/>
    </row>
    <row r="273" spans="1:32" x14ac:dyDescent="0.2">
      <c r="A273" s="283"/>
      <c r="B273" s="283"/>
      <c r="C273" s="283"/>
      <c r="D273" s="283"/>
      <c r="E273" s="283"/>
      <c r="F273" s="283"/>
      <c r="G273" s="283"/>
      <c r="H273" s="283"/>
      <c r="I273" s="283"/>
      <c r="J273" s="283"/>
      <c r="K273" s="283"/>
      <c r="L273" s="283"/>
      <c r="M273" s="283"/>
      <c r="N273" s="283"/>
      <c r="O273" s="287"/>
      <c r="P273" s="279" t="s">
        <v>73</v>
      </c>
      <c r="Q273" s="280"/>
      <c r="R273" s="280"/>
      <c r="S273" s="280"/>
      <c r="T273" s="280"/>
      <c r="U273" s="280"/>
      <c r="V273" s="281"/>
      <c r="W273" s="37" t="s">
        <v>74</v>
      </c>
      <c r="X273" s="270">
        <f>IFERROR(SUMPRODUCT(X262:X271*H262:H271),"0")</f>
        <v>0</v>
      </c>
      <c r="Y273" s="270">
        <f>IFERROR(SUMPRODUCT(Y262:Y271*H262:H271),"0")</f>
        <v>0</v>
      </c>
      <c r="Z273" s="37"/>
      <c r="AA273" s="271"/>
      <c r="AB273" s="271"/>
      <c r="AC273" s="271"/>
    </row>
    <row r="274" spans="1:32" ht="15" customHeight="1" x14ac:dyDescent="0.2">
      <c r="A274" s="445"/>
      <c r="B274" s="283"/>
      <c r="C274" s="283"/>
      <c r="D274" s="283"/>
      <c r="E274" s="283"/>
      <c r="F274" s="283"/>
      <c r="G274" s="283"/>
      <c r="H274" s="283"/>
      <c r="I274" s="283"/>
      <c r="J274" s="283"/>
      <c r="K274" s="283"/>
      <c r="L274" s="283"/>
      <c r="M274" s="283"/>
      <c r="N274" s="283"/>
      <c r="O274" s="368"/>
      <c r="P274" s="317" t="s">
        <v>367</v>
      </c>
      <c r="Q274" s="318"/>
      <c r="R274" s="318"/>
      <c r="S274" s="318"/>
      <c r="T274" s="318"/>
      <c r="U274" s="318"/>
      <c r="V274" s="319"/>
      <c r="W274" s="37" t="s">
        <v>74</v>
      </c>
      <c r="X274" s="270">
        <f>IFERROR(X24+X31+X38+X46+X51+X55+X60+X66+X72+X77+X83+X93+X99+X110+X114+X118+X124+X130+X136+X141+X146+X151+X156+X163+X171+X175+X181+X188+X197+X202+X207+X213+X219+X225+X231+X237+X241+X249+X254+X260+X273,"0")</f>
        <v>9540.1200000000008</v>
      </c>
      <c r="Y274" s="270">
        <f>IFERROR(Y24+Y31+Y38+Y46+Y51+Y55+Y60+Y66+Y72+Y77+Y83+Y93+Y99+Y110+Y114+Y118+Y124+Y130+Y136+Y141+Y146+Y151+Y156+Y163+Y171+Y175+Y181+Y188+Y197+Y202+Y207+Y213+Y219+Y225+Y231+Y237+Y241+Y249+Y254+Y260+Y273,"0")</f>
        <v>9540.1200000000008</v>
      </c>
      <c r="Z274" s="37"/>
      <c r="AA274" s="271"/>
      <c r="AB274" s="271"/>
      <c r="AC274" s="271"/>
    </row>
    <row r="275" spans="1:32" x14ac:dyDescent="0.2">
      <c r="A275" s="283"/>
      <c r="B275" s="283"/>
      <c r="C275" s="283"/>
      <c r="D275" s="283"/>
      <c r="E275" s="283"/>
      <c r="F275" s="283"/>
      <c r="G275" s="283"/>
      <c r="H275" s="283"/>
      <c r="I275" s="283"/>
      <c r="J275" s="283"/>
      <c r="K275" s="283"/>
      <c r="L275" s="283"/>
      <c r="M275" s="283"/>
      <c r="N275" s="283"/>
      <c r="O275" s="368"/>
      <c r="P275" s="317" t="s">
        <v>368</v>
      </c>
      <c r="Q275" s="318"/>
      <c r="R275" s="318"/>
      <c r="S275" s="318"/>
      <c r="T275" s="318"/>
      <c r="U275" s="318"/>
      <c r="V275" s="319"/>
      <c r="W275" s="37" t="s">
        <v>74</v>
      </c>
      <c r="X275" s="270">
        <f>IFERROR(SUM(BM22:BM271),"0")</f>
        <v>10833.523599999999</v>
      </c>
      <c r="Y275" s="270">
        <f>IFERROR(SUM(BN22:BN271),"0")</f>
        <v>10833.523599999999</v>
      </c>
      <c r="Z275" s="37"/>
      <c r="AA275" s="271"/>
      <c r="AB275" s="271"/>
      <c r="AC275" s="271"/>
    </row>
    <row r="276" spans="1:32" x14ac:dyDescent="0.2">
      <c r="A276" s="283"/>
      <c r="B276" s="283"/>
      <c r="C276" s="283"/>
      <c r="D276" s="283"/>
      <c r="E276" s="283"/>
      <c r="F276" s="283"/>
      <c r="G276" s="283"/>
      <c r="H276" s="283"/>
      <c r="I276" s="283"/>
      <c r="J276" s="283"/>
      <c r="K276" s="283"/>
      <c r="L276" s="283"/>
      <c r="M276" s="283"/>
      <c r="N276" s="283"/>
      <c r="O276" s="368"/>
      <c r="P276" s="317" t="s">
        <v>369</v>
      </c>
      <c r="Q276" s="318"/>
      <c r="R276" s="318"/>
      <c r="S276" s="318"/>
      <c r="T276" s="318"/>
      <c r="U276" s="318"/>
      <c r="V276" s="319"/>
      <c r="W276" s="37" t="s">
        <v>370</v>
      </c>
      <c r="X276" s="38">
        <f>ROUNDUP(SUM(BO22:BO271),0)</f>
        <v>31</v>
      </c>
      <c r="Y276" s="38">
        <f>ROUNDUP(SUM(BP22:BP271),0)</f>
        <v>31</v>
      </c>
      <c r="Z276" s="37"/>
      <c r="AA276" s="271"/>
      <c r="AB276" s="271"/>
      <c r="AC276" s="271"/>
    </row>
    <row r="277" spans="1:32" x14ac:dyDescent="0.2">
      <c r="A277" s="283"/>
      <c r="B277" s="283"/>
      <c r="C277" s="283"/>
      <c r="D277" s="283"/>
      <c r="E277" s="283"/>
      <c r="F277" s="283"/>
      <c r="G277" s="283"/>
      <c r="H277" s="283"/>
      <c r="I277" s="283"/>
      <c r="J277" s="283"/>
      <c r="K277" s="283"/>
      <c r="L277" s="283"/>
      <c r="M277" s="283"/>
      <c r="N277" s="283"/>
      <c r="O277" s="368"/>
      <c r="P277" s="317" t="s">
        <v>371</v>
      </c>
      <c r="Q277" s="318"/>
      <c r="R277" s="318"/>
      <c r="S277" s="318"/>
      <c r="T277" s="318"/>
      <c r="U277" s="318"/>
      <c r="V277" s="319"/>
      <c r="W277" s="37" t="s">
        <v>74</v>
      </c>
      <c r="X277" s="270">
        <f>GrossWeightTotal+PalletQtyTotal*25</f>
        <v>11608.523599999999</v>
      </c>
      <c r="Y277" s="270">
        <f>GrossWeightTotalR+PalletQtyTotalR*25</f>
        <v>11608.523599999999</v>
      </c>
      <c r="Z277" s="37"/>
      <c r="AA277" s="271"/>
      <c r="AB277" s="271"/>
      <c r="AC277" s="271"/>
    </row>
    <row r="278" spans="1:32" x14ac:dyDescent="0.2">
      <c r="A278" s="283"/>
      <c r="B278" s="283"/>
      <c r="C278" s="283"/>
      <c r="D278" s="283"/>
      <c r="E278" s="283"/>
      <c r="F278" s="283"/>
      <c r="G278" s="283"/>
      <c r="H278" s="283"/>
      <c r="I278" s="283"/>
      <c r="J278" s="283"/>
      <c r="K278" s="283"/>
      <c r="L278" s="283"/>
      <c r="M278" s="283"/>
      <c r="N278" s="283"/>
      <c r="O278" s="368"/>
      <c r="P278" s="317" t="s">
        <v>372</v>
      </c>
      <c r="Q278" s="318"/>
      <c r="R278" s="318"/>
      <c r="S278" s="318"/>
      <c r="T278" s="318"/>
      <c r="U278" s="318"/>
      <c r="V278" s="319"/>
      <c r="W278" s="37" t="s">
        <v>370</v>
      </c>
      <c r="X278" s="270">
        <f>IFERROR(X23+X30+X37+X45+X50+X54+X59+X65+X71+X76+X82+X92+X98+X109+X113+X117+X123+X129+X135+X140+X145+X150+X155+X162+X170+X174+X180+X187+X196+X201+X206+X212+X218+X224+X230+X236+X240+X248+X253+X259+X272,"0")</f>
        <v>2550</v>
      </c>
      <c r="Y278" s="270">
        <f>IFERROR(Y23+Y30+Y37+Y45+Y50+Y54+Y59+Y65+Y71+Y76+Y82+Y92+Y98+Y109+Y113+Y117+Y123+Y129+Y135+Y140+Y145+Y150+Y155+Y162+Y170+Y174+Y180+Y187+Y196+Y201+Y206+Y212+Y218+Y224+Y230+Y236+Y240+Y248+Y253+Y259+Y272,"0")</f>
        <v>2550</v>
      </c>
      <c r="Z278" s="37"/>
      <c r="AA278" s="271"/>
      <c r="AB278" s="271"/>
      <c r="AC278" s="271"/>
    </row>
    <row r="279" spans="1:32" ht="14.25" customHeight="1" x14ac:dyDescent="0.2">
      <c r="A279" s="283"/>
      <c r="B279" s="283"/>
      <c r="C279" s="283"/>
      <c r="D279" s="283"/>
      <c r="E279" s="283"/>
      <c r="F279" s="283"/>
      <c r="G279" s="283"/>
      <c r="H279" s="283"/>
      <c r="I279" s="283"/>
      <c r="J279" s="283"/>
      <c r="K279" s="283"/>
      <c r="L279" s="283"/>
      <c r="M279" s="283"/>
      <c r="N279" s="283"/>
      <c r="O279" s="368"/>
      <c r="P279" s="317" t="s">
        <v>373</v>
      </c>
      <c r="Q279" s="318"/>
      <c r="R279" s="318"/>
      <c r="S279" s="318"/>
      <c r="T279" s="318"/>
      <c r="U279" s="318"/>
      <c r="V279" s="319"/>
      <c r="W279" s="39" t="s">
        <v>374</v>
      </c>
      <c r="X279" s="37"/>
      <c r="Y279" s="37"/>
      <c r="Z279" s="37">
        <f>IFERROR(Z23+Z30+Z37+Z45+Z50+Z54+Z59+Z65+Z71+Z76+Z82+Z92+Z98+Z109+Z113+Z117+Z123+Z129+Z135+Z140+Z145+Z150+Z155+Z162+Z170+Z174+Z180+Z187+Z196+Z201+Z206+Z212+Z218+Z224+Z230+Z236+Z240+Z248+Z253+Z259+Z272,"0")</f>
        <v>39.192099999999996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375</v>
      </c>
      <c r="B281" s="265" t="s">
        <v>63</v>
      </c>
      <c r="C281" s="275" t="s">
        <v>75</v>
      </c>
      <c r="D281" s="307"/>
      <c r="E281" s="307"/>
      <c r="F281" s="307"/>
      <c r="G281" s="307"/>
      <c r="H281" s="307"/>
      <c r="I281" s="307"/>
      <c r="J281" s="307"/>
      <c r="K281" s="307"/>
      <c r="L281" s="307"/>
      <c r="M281" s="307"/>
      <c r="N281" s="307"/>
      <c r="O281" s="307"/>
      <c r="P281" s="307"/>
      <c r="Q281" s="307"/>
      <c r="R281" s="307"/>
      <c r="S281" s="307"/>
      <c r="T281" s="308"/>
      <c r="U281" s="265" t="s">
        <v>230</v>
      </c>
      <c r="V281" s="265" t="s">
        <v>238</v>
      </c>
      <c r="W281" s="275" t="s">
        <v>257</v>
      </c>
      <c r="X281" s="307"/>
      <c r="Y281" s="307"/>
      <c r="Z281" s="307"/>
      <c r="AA281" s="308"/>
      <c r="AB281" s="265" t="s">
        <v>307</v>
      </c>
      <c r="AC281" s="265" t="s">
        <v>312</v>
      </c>
      <c r="AD281" s="265" t="s">
        <v>316</v>
      </c>
      <c r="AE281" s="265" t="s">
        <v>324</v>
      </c>
      <c r="AF281" s="266"/>
    </row>
    <row r="282" spans="1:32" ht="14.25" customHeight="1" thickTop="1" x14ac:dyDescent="0.2">
      <c r="A282" s="299" t="s">
        <v>376</v>
      </c>
      <c r="B282" s="275" t="s">
        <v>63</v>
      </c>
      <c r="C282" s="275" t="s">
        <v>76</v>
      </c>
      <c r="D282" s="275" t="s">
        <v>87</v>
      </c>
      <c r="E282" s="275" t="s">
        <v>97</v>
      </c>
      <c r="F282" s="275" t="s">
        <v>108</v>
      </c>
      <c r="G282" s="275" t="s">
        <v>129</v>
      </c>
      <c r="H282" s="275" t="s">
        <v>136</v>
      </c>
      <c r="I282" s="275" t="s">
        <v>140</v>
      </c>
      <c r="J282" s="275" t="s">
        <v>148</v>
      </c>
      <c r="K282" s="275" t="s">
        <v>163</v>
      </c>
      <c r="L282" s="275" t="s">
        <v>169</v>
      </c>
      <c r="M282" s="275" t="s">
        <v>194</v>
      </c>
      <c r="N282" s="266"/>
      <c r="O282" s="275" t="s">
        <v>202</v>
      </c>
      <c r="P282" s="275" t="s">
        <v>209</v>
      </c>
      <c r="Q282" s="275" t="s">
        <v>214</v>
      </c>
      <c r="R282" s="275" t="s">
        <v>218</v>
      </c>
      <c r="S282" s="275" t="s">
        <v>221</v>
      </c>
      <c r="T282" s="275" t="s">
        <v>226</v>
      </c>
      <c r="U282" s="275" t="s">
        <v>231</v>
      </c>
      <c r="V282" s="275" t="s">
        <v>239</v>
      </c>
      <c r="W282" s="275" t="s">
        <v>258</v>
      </c>
      <c r="X282" s="275" t="s">
        <v>273</v>
      </c>
      <c r="Y282" s="275" t="s">
        <v>285</v>
      </c>
      <c r="Z282" s="275" t="s">
        <v>290</v>
      </c>
      <c r="AA282" s="275" t="s">
        <v>301</v>
      </c>
      <c r="AB282" s="275" t="s">
        <v>308</v>
      </c>
      <c r="AC282" s="275" t="s">
        <v>313</v>
      </c>
      <c r="AD282" s="275" t="s">
        <v>317</v>
      </c>
      <c r="AE282" s="275" t="s">
        <v>324</v>
      </c>
      <c r="AF282" s="266"/>
    </row>
    <row r="283" spans="1:32" ht="13.5" customHeight="1" thickBot="1" x14ac:dyDescent="0.25">
      <c r="A283" s="300"/>
      <c r="B283" s="276"/>
      <c r="C283" s="276"/>
      <c r="D283" s="276"/>
      <c r="E283" s="276"/>
      <c r="F283" s="276"/>
      <c r="G283" s="276"/>
      <c r="H283" s="276"/>
      <c r="I283" s="276"/>
      <c r="J283" s="276"/>
      <c r="K283" s="276"/>
      <c r="L283" s="276"/>
      <c r="M283" s="276"/>
      <c r="N283" s="266"/>
      <c r="O283" s="276"/>
      <c r="P283" s="276"/>
      <c r="Q283" s="276"/>
      <c r="R283" s="276"/>
      <c r="S283" s="276"/>
      <c r="T283" s="276"/>
      <c r="U283" s="276"/>
      <c r="V283" s="276"/>
      <c r="W283" s="276"/>
      <c r="X283" s="276"/>
      <c r="Y283" s="276"/>
      <c r="Z283" s="276"/>
      <c r="AA283" s="276"/>
      <c r="AB283" s="276"/>
      <c r="AC283" s="276"/>
      <c r="AD283" s="276"/>
      <c r="AE283" s="276"/>
      <c r="AF283" s="266"/>
    </row>
    <row r="284" spans="1:32" ht="18" customHeight="1" thickTop="1" thickBot="1" x14ac:dyDescent="0.25">
      <c r="A284" s="40" t="s">
        <v>377</v>
      </c>
      <c r="B284" s="46">
        <f>IFERROR(X22*H22,"0")</f>
        <v>0</v>
      </c>
      <c r="C284" s="46">
        <f>IFERROR(X28*H28,"0")+IFERROR(X29*H29,"0")</f>
        <v>336</v>
      </c>
      <c r="D284" s="46">
        <f>IFERROR(X34*H34,"0")+IFERROR(X35*H35,"0")+IFERROR(X36*H36,"0")</f>
        <v>403.2</v>
      </c>
      <c r="E284" s="46">
        <f>IFERROR(X41*H41,"0")+IFERROR(X42*H42,"0")+IFERROR(X43*H43,"0")+IFERROR(X44*H44,"0")</f>
        <v>412.8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520.20000000000005</v>
      </c>
      <c r="H284" s="46">
        <f>IFERROR(X75*H75,"0")</f>
        <v>50.4</v>
      </c>
      <c r="I284" s="46">
        <f>IFERROR(X80*H80,"0")+IFERROR(X81*H81,"0")</f>
        <v>403.2</v>
      </c>
      <c r="J284" s="46">
        <f>IFERROR(X86*H86,"0")+IFERROR(X87*H87,"0")+IFERROR(X88*H88,"0")+IFERROR(X89*H89,"0")+IFERROR(X90*H90,"0")+IFERROR(X91*H91,"0")</f>
        <v>878.63999999999987</v>
      </c>
      <c r="K284" s="46">
        <f>IFERROR(X96*H96,"0")+IFERROR(X97*H97,"0")</f>
        <v>0</v>
      </c>
      <c r="L284" s="46">
        <f>IFERROR(X102*H102,"0")+IFERROR(X103*H103,"0")+IFERROR(X104*H104,"0")+IFERROR(X105*H105,"0")+IFERROR(X106*H106,"0")+IFERROR(X107*H107,"0")+IFERROR(X108*H108,"0")+IFERROR(X112*H112,"0")+IFERROR(X116*H116,"0")</f>
        <v>3350.4</v>
      </c>
      <c r="M284" s="46">
        <f>IFERROR(X121*H121,"0")+IFERROR(X122*H122,"0")</f>
        <v>1806</v>
      </c>
      <c r="N284" s="266"/>
      <c r="O284" s="46">
        <f>IFERROR(X127*H127,"0")+IFERROR(X128*H128,"0")</f>
        <v>672</v>
      </c>
      <c r="P284" s="46">
        <f>IFERROR(X133*H133,"0")+IFERROR(X134*H134,"0")</f>
        <v>201.6</v>
      </c>
      <c r="Q284" s="46">
        <f>IFERROR(X139*H139,"0")</f>
        <v>168</v>
      </c>
      <c r="R284" s="46">
        <f>IFERROR(X144*H144,"0")</f>
        <v>0</v>
      </c>
      <c r="S284" s="46">
        <f>IFERROR(X149*H149,"0")</f>
        <v>0</v>
      </c>
      <c r="T284" s="46">
        <f>IFERROR(X154*H154,"0")</f>
        <v>211.67999999999998</v>
      </c>
      <c r="U284" s="46">
        <f>IFERROR(X160*H160,"0")+IFERROR(X161*H161,"0")</f>
        <v>0</v>
      </c>
      <c r="V284" s="46">
        <f>IFERROR(X167*H167,"0")+IFERROR(X168*H168,"0")+IFERROR(X169*H169,"0")+IFERROR(X173*H173,"0")</f>
        <v>126</v>
      </c>
      <c r="W284" s="46">
        <f>IFERROR(X179*H179,"0")+IFERROR(X183*H183,"0")+IFERROR(X184*H184,"0")+IFERROR(X185*H185,"0")+IFERROR(X186*H186,"0")</f>
        <v>0</v>
      </c>
      <c r="X284" s="46">
        <f>IFERROR(X191*H191,"0")+IFERROR(X192*H192,"0")+IFERROR(X193*H193,"0")+IFERROR(X194*H194,"0")+IFERROR(X195*H195,"0")</f>
        <v>0</v>
      </c>
      <c r="Y284" s="46">
        <f>IFERROR(X200*H200,"0")</f>
        <v>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0</v>
      </c>
      <c r="AF284" s="266"/>
    </row>
    <row r="285" spans="1:32" ht="13.5" customHeight="1" thickTop="1" x14ac:dyDescent="0.2">
      <c r="C285" s="266"/>
    </row>
    <row r="286" spans="1:32" ht="19.5" customHeight="1" x14ac:dyDescent="0.2">
      <c r="A286" s="58" t="s">
        <v>378</v>
      </c>
      <c r="B286" s="58" t="s">
        <v>379</v>
      </c>
      <c r="C286" s="58" t="s">
        <v>380</v>
      </c>
    </row>
    <row r="287" spans="1:32" x14ac:dyDescent="0.2">
      <c r="A287" s="59">
        <f>SUMPRODUCT(--(BB:BB="ЗПФ"),--(W:W="кор"),H:H,Y:Y)+SUMPRODUCT(--(BB:BB="ЗПФ"),--(W:W="кг"),Y:Y)</f>
        <v>4686.6000000000004</v>
      </c>
      <c r="B287" s="60">
        <f>SUMPRODUCT(--(BB:BB="ПГП"),--(W:W="кор"),H:H,Y:Y)+SUMPRODUCT(--(BB:BB="ПГП"),--(W:W="кг"),Y:Y)</f>
        <v>4853.5200000000004</v>
      </c>
      <c r="C287" s="60">
        <f>SUMPRODUCT(--(BB:BB="КИЗ"),--(W:W="кор"),H:H,Y:Y)+SUMPRODUCT(--(BB:BB="КИЗ"),--(W:W="кг"),Y:Y)</f>
        <v>0</v>
      </c>
    </row>
  </sheetData>
  <sheetProtection algorithmName="SHA-512" hashValue="GvBa3TQTScGt1cVAgF8ouW0LNQuf9zc4wCSNQS7ZFOIc6d+tjDS1zvlvyTGgIRxaZKTNQn6grIDetZxcbhCrwQ==" saltValue="5Ev+O+NV/nh6wTFcX+KBR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5">
    <mergeCell ref="J282:J283"/>
    <mergeCell ref="L282:L283"/>
    <mergeCell ref="D121:E121"/>
    <mergeCell ref="D192:E192"/>
    <mergeCell ref="D42:E42"/>
    <mergeCell ref="D173:E173"/>
    <mergeCell ref="D17:E18"/>
    <mergeCell ref="A131:Z131"/>
    <mergeCell ref="X17:X18"/>
    <mergeCell ref="P58:T58"/>
    <mergeCell ref="A52:Z52"/>
    <mergeCell ref="D44:E44"/>
    <mergeCell ref="A8:C8"/>
    <mergeCell ref="P163:V163"/>
    <mergeCell ref="A153:Z153"/>
    <mergeCell ref="D268:E268"/>
    <mergeCell ref="D97:E97"/>
    <mergeCell ref="P76:V76"/>
    <mergeCell ref="A255:Z255"/>
    <mergeCell ref="A10:C10"/>
    <mergeCell ref="P140:V140"/>
    <mergeCell ref="A21:Z21"/>
    <mergeCell ref="D184:E184"/>
    <mergeCell ref="Q6:R6"/>
    <mergeCell ref="P200:T200"/>
    <mergeCell ref="P134:T134"/>
    <mergeCell ref="M282:M283"/>
    <mergeCell ref="W282:W283"/>
    <mergeCell ref="O282:O283"/>
    <mergeCell ref="D102:E102"/>
    <mergeCell ref="Q282:Q283"/>
    <mergeCell ref="A204:Z204"/>
    <mergeCell ref="A33:Z33"/>
    <mergeCell ref="P219:V219"/>
    <mergeCell ref="P145:V145"/>
    <mergeCell ref="P23:V23"/>
    <mergeCell ref="P272:V272"/>
    <mergeCell ref="D133:E133"/>
    <mergeCell ref="D271:E271"/>
    <mergeCell ref="V12:W12"/>
    <mergeCell ref="D282:D283"/>
    <mergeCell ref="D191:E191"/>
    <mergeCell ref="D262:E262"/>
    <mergeCell ref="A39:Z39"/>
    <mergeCell ref="D239:E239"/>
    <mergeCell ref="D266:E266"/>
    <mergeCell ref="P149:T149"/>
    <mergeCell ref="AD17:AF18"/>
    <mergeCell ref="W281:AA281"/>
    <mergeCell ref="A132:Z132"/>
    <mergeCell ref="P117:V117"/>
    <mergeCell ref="F5:G5"/>
    <mergeCell ref="P55:V55"/>
    <mergeCell ref="A172:Z172"/>
    <mergeCell ref="A221:Z221"/>
    <mergeCell ref="A25:Z25"/>
    <mergeCell ref="P186:T186"/>
    <mergeCell ref="V11:W11"/>
    <mergeCell ref="P57:T57"/>
    <mergeCell ref="P75:T75"/>
    <mergeCell ref="D223:E223"/>
    <mergeCell ref="P121:T121"/>
    <mergeCell ref="D29:E29"/>
    <mergeCell ref="D265:E265"/>
    <mergeCell ref="D216:E216"/>
    <mergeCell ref="A20:Z20"/>
    <mergeCell ref="A125:Z125"/>
    <mergeCell ref="D252:E252"/>
    <mergeCell ref="P66:V66"/>
    <mergeCell ref="P197:V197"/>
    <mergeCell ref="D247:E247"/>
    <mergeCell ref="V282:V283"/>
    <mergeCell ref="P62:T62"/>
    <mergeCell ref="P2:W3"/>
    <mergeCell ref="X282:X283"/>
    <mergeCell ref="P133:T133"/>
    <mergeCell ref="P127:T127"/>
    <mergeCell ref="P218:V218"/>
    <mergeCell ref="D35:E35"/>
    <mergeCell ref="A23:O24"/>
    <mergeCell ref="P64:T64"/>
    <mergeCell ref="D10:E10"/>
    <mergeCell ref="F10:G10"/>
    <mergeCell ref="P191:T191"/>
    <mergeCell ref="D34:E34"/>
    <mergeCell ref="D270:E270"/>
    <mergeCell ref="P128:T128"/>
    <mergeCell ref="A176:Z176"/>
    <mergeCell ref="P262:T262"/>
    <mergeCell ref="D105:E105"/>
    <mergeCell ref="A178:Z178"/>
    <mergeCell ref="A274:O279"/>
    <mergeCell ref="N17:N18"/>
    <mergeCell ref="D49:E49"/>
    <mergeCell ref="Q5:R5"/>
    <mergeCell ref="H5:M5"/>
    <mergeCell ref="A56:Z56"/>
    <mergeCell ref="A27:Z27"/>
    <mergeCell ref="P31:V31"/>
    <mergeCell ref="A214:Z214"/>
    <mergeCell ref="D6:M6"/>
    <mergeCell ref="A85:Z85"/>
    <mergeCell ref="P106:T106"/>
    <mergeCell ref="D256:E256"/>
    <mergeCell ref="A150:O151"/>
    <mergeCell ref="P35:T35"/>
    <mergeCell ref="G17:G18"/>
    <mergeCell ref="A143:Z143"/>
    <mergeCell ref="P171:V171"/>
    <mergeCell ref="A232:Z232"/>
    <mergeCell ref="D80:E80"/>
    <mergeCell ref="A182:Z182"/>
    <mergeCell ref="P123:V123"/>
    <mergeCell ref="P240:V240"/>
    <mergeCell ref="D154:E154"/>
    <mergeCell ref="A227:Z227"/>
    <mergeCell ref="D200:E200"/>
    <mergeCell ref="A9:C9"/>
    <mergeCell ref="A71:O72"/>
    <mergeCell ref="P282:P283"/>
    <mergeCell ref="F282:F283"/>
    <mergeCell ref="P22:T22"/>
    <mergeCell ref="A170:O171"/>
    <mergeCell ref="P236:V236"/>
    <mergeCell ref="A61:Z61"/>
    <mergeCell ref="P92:V92"/>
    <mergeCell ref="P257:T257"/>
    <mergeCell ref="P54:V54"/>
    <mergeCell ref="P80:T80"/>
    <mergeCell ref="D194:E194"/>
    <mergeCell ref="P237:V237"/>
    <mergeCell ref="P269:T269"/>
    <mergeCell ref="Y282:Y283"/>
    <mergeCell ref="H282:H283"/>
    <mergeCell ref="P112:T112"/>
    <mergeCell ref="D58:E58"/>
    <mergeCell ref="A236:O237"/>
    <mergeCell ref="P273:V273"/>
    <mergeCell ref="A113:O114"/>
    <mergeCell ref="E282:E283"/>
    <mergeCell ref="G282:G283"/>
    <mergeCell ref="A220:Z220"/>
    <mergeCell ref="P139:T139"/>
    <mergeCell ref="AA17:AA18"/>
    <mergeCell ref="H10:M10"/>
    <mergeCell ref="AC17:AC18"/>
    <mergeCell ref="P108:T108"/>
    <mergeCell ref="D89:E89"/>
    <mergeCell ref="A199:Z199"/>
    <mergeCell ref="P251:T251"/>
    <mergeCell ref="P256:T256"/>
    <mergeCell ref="D128:E128"/>
    <mergeCell ref="D186:E186"/>
    <mergeCell ref="A155:O156"/>
    <mergeCell ref="D217:E217"/>
    <mergeCell ref="P193:T193"/>
    <mergeCell ref="Z17:Z18"/>
    <mergeCell ref="AB17:AB18"/>
    <mergeCell ref="Q13:R13"/>
    <mergeCell ref="P247:T247"/>
    <mergeCell ref="P41:T41"/>
    <mergeCell ref="A157:Z157"/>
    <mergeCell ref="D22:E22"/>
    <mergeCell ref="D149:E149"/>
    <mergeCell ref="A222:Z222"/>
    <mergeCell ref="P34:T34"/>
    <mergeCell ref="P105:T105"/>
    <mergeCell ref="D269:E269"/>
    <mergeCell ref="P275:V275"/>
    <mergeCell ref="P154:T154"/>
    <mergeCell ref="D75:E75"/>
    <mergeCell ref="P241:V241"/>
    <mergeCell ref="A50:O51"/>
    <mergeCell ref="A158:Z158"/>
    <mergeCell ref="P91:T91"/>
    <mergeCell ref="P99:V99"/>
    <mergeCell ref="P170:V170"/>
    <mergeCell ref="D257:E257"/>
    <mergeCell ref="P270:T270"/>
    <mergeCell ref="D86:E86"/>
    <mergeCell ref="P107:T107"/>
    <mergeCell ref="P129:V129"/>
    <mergeCell ref="P50:V50"/>
    <mergeCell ref="A233:Z233"/>
    <mergeCell ref="P187:V187"/>
    <mergeCell ref="P174:V174"/>
    <mergeCell ref="P102:T102"/>
    <mergeCell ref="P183:T183"/>
    <mergeCell ref="D107:E107"/>
    <mergeCell ref="P70:T70"/>
    <mergeCell ref="P263:T263"/>
    <mergeCell ref="J9:M9"/>
    <mergeCell ref="D112:E112"/>
    <mergeCell ref="D62:E62"/>
    <mergeCell ref="A65:O66"/>
    <mergeCell ref="D193:E193"/>
    <mergeCell ref="D127:E127"/>
    <mergeCell ref="P155:V155"/>
    <mergeCell ref="D64:E64"/>
    <mergeCell ref="A129:O130"/>
    <mergeCell ref="A147:Z147"/>
    <mergeCell ref="P150:V150"/>
    <mergeCell ref="A40:Z40"/>
    <mergeCell ref="A67:Z67"/>
    <mergeCell ref="P30:V30"/>
    <mergeCell ref="P96:T96"/>
    <mergeCell ref="H17:H18"/>
    <mergeCell ref="P90:T90"/>
    <mergeCell ref="P161:T161"/>
    <mergeCell ref="V6:W9"/>
    <mergeCell ref="P49:T49"/>
    <mergeCell ref="P36:T36"/>
    <mergeCell ref="M17:M18"/>
    <mergeCell ref="O17:O18"/>
    <mergeCell ref="F17:F18"/>
    <mergeCell ref="A13:M13"/>
    <mergeCell ref="A230:O231"/>
    <mergeCell ref="A59:O60"/>
    <mergeCell ref="A119:Z119"/>
    <mergeCell ref="A94:Z94"/>
    <mergeCell ref="P231:V231"/>
    <mergeCell ref="A15:M15"/>
    <mergeCell ref="P229:T229"/>
    <mergeCell ref="P179:T179"/>
    <mergeCell ref="A198:Z198"/>
    <mergeCell ref="A54:O55"/>
    <mergeCell ref="P213:V213"/>
    <mergeCell ref="P217:T217"/>
    <mergeCell ref="U17:V17"/>
    <mergeCell ref="Y17:Y18"/>
    <mergeCell ref="D57:E57"/>
    <mergeCell ref="Z282:Z283"/>
    <mergeCell ref="D185:E185"/>
    <mergeCell ref="AB282:AB283"/>
    <mergeCell ref="D41:E41"/>
    <mergeCell ref="T282:T283"/>
    <mergeCell ref="A137:Z137"/>
    <mergeCell ref="A208:Z208"/>
    <mergeCell ref="P60:V60"/>
    <mergeCell ref="D43:E43"/>
    <mergeCell ref="P216:T216"/>
    <mergeCell ref="P124:V124"/>
    <mergeCell ref="P151:V151"/>
    <mergeCell ref="P87:T87"/>
    <mergeCell ref="A203:Z203"/>
    <mergeCell ref="P245:T245"/>
    <mergeCell ref="P211:T211"/>
    <mergeCell ref="P89:T89"/>
    <mergeCell ref="A206:O207"/>
    <mergeCell ref="P225:V225"/>
    <mergeCell ref="P88:T88"/>
    <mergeCell ref="A261:Z261"/>
    <mergeCell ref="P71:V71"/>
    <mergeCell ref="A138:Z138"/>
    <mergeCell ref="P202:V202"/>
    <mergeCell ref="A12:M12"/>
    <mergeCell ref="A190:Z190"/>
    <mergeCell ref="A68:Z68"/>
    <mergeCell ref="A19:Z19"/>
    <mergeCell ref="A14:M14"/>
    <mergeCell ref="A111:Z111"/>
    <mergeCell ref="T5:U5"/>
    <mergeCell ref="V5:W5"/>
    <mergeCell ref="D246:E246"/>
    <mergeCell ref="A48:Z48"/>
    <mergeCell ref="A224:O225"/>
    <mergeCell ref="P212:V212"/>
    <mergeCell ref="A142:Z142"/>
    <mergeCell ref="Q8:R8"/>
    <mergeCell ref="P69:T69"/>
    <mergeCell ref="D183:E183"/>
    <mergeCell ref="D104:E104"/>
    <mergeCell ref="P83:V83"/>
    <mergeCell ref="A82:O83"/>
    <mergeCell ref="A79:Z79"/>
    <mergeCell ref="T6:U9"/>
    <mergeCell ref="A30:O31"/>
    <mergeCell ref="Q10:R10"/>
    <mergeCell ref="D36:E36"/>
    <mergeCell ref="AA282:AA283"/>
    <mergeCell ref="AC282:AC283"/>
    <mergeCell ref="D9:E9"/>
    <mergeCell ref="F9:G9"/>
    <mergeCell ref="P53:T53"/>
    <mergeCell ref="D167:E167"/>
    <mergeCell ref="A47:Z47"/>
    <mergeCell ref="A248:O249"/>
    <mergeCell ref="D161:E161"/>
    <mergeCell ref="A272:O273"/>
    <mergeCell ref="P264:T264"/>
    <mergeCell ref="P239:T239"/>
    <mergeCell ref="D169:E169"/>
    <mergeCell ref="P253:V253"/>
    <mergeCell ref="P82:V82"/>
    <mergeCell ref="P146:V146"/>
    <mergeCell ref="D63:E63"/>
    <mergeCell ref="P181:V181"/>
    <mergeCell ref="D96:E96"/>
    <mergeCell ref="A201:O202"/>
    <mergeCell ref="P110:V110"/>
    <mergeCell ref="P15:T16"/>
    <mergeCell ref="D116:E116"/>
    <mergeCell ref="A177:Z177"/>
    <mergeCell ref="P278:V278"/>
    <mergeCell ref="A159:Z159"/>
    <mergeCell ref="A37:O38"/>
    <mergeCell ref="Q11:R11"/>
    <mergeCell ref="P205:T205"/>
    <mergeCell ref="A6:C6"/>
    <mergeCell ref="P167:T167"/>
    <mergeCell ref="D88:E88"/>
    <mergeCell ref="A259:O260"/>
    <mergeCell ref="A253:O254"/>
    <mergeCell ref="Q12:R12"/>
    <mergeCell ref="P169:T169"/>
    <mergeCell ref="D90:E90"/>
    <mergeCell ref="P196:V196"/>
    <mergeCell ref="P246:T246"/>
    <mergeCell ref="A250:Z250"/>
    <mergeCell ref="P135:V135"/>
    <mergeCell ref="P51:V51"/>
    <mergeCell ref="D179:E179"/>
    <mergeCell ref="P195:T195"/>
    <mergeCell ref="A17:A18"/>
    <mergeCell ref="A189:Z189"/>
    <mergeCell ref="C17:C18"/>
    <mergeCell ref="K17:K18"/>
    <mergeCell ref="P277:V277"/>
    <mergeCell ref="P17:T18"/>
    <mergeCell ref="S282:S283"/>
    <mergeCell ref="A148:Z148"/>
    <mergeCell ref="P63:T63"/>
    <mergeCell ref="U282:U283"/>
    <mergeCell ref="P194:T194"/>
    <mergeCell ref="A180:O181"/>
    <mergeCell ref="A166:Z166"/>
    <mergeCell ref="D229:E229"/>
    <mergeCell ref="A117:O118"/>
    <mergeCell ref="D108:E108"/>
    <mergeCell ref="P258:T258"/>
    <mergeCell ref="P223:T223"/>
    <mergeCell ref="P201:V201"/>
    <mergeCell ref="D160:E160"/>
    <mergeCell ref="I17:I18"/>
    <mergeCell ref="P114:V114"/>
    <mergeCell ref="A120:Z120"/>
    <mergeCell ref="P276:V276"/>
    <mergeCell ref="D235:E235"/>
    <mergeCell ref="A95:Z95"/>
    <mergeCell ref="R282:R283"/>
    <mergeCell ref="A32:Z32"/>
    <mergeCell ref="D1:F1"/>
    <mergeCell ref="A234:Z234"/>
    <mergeCell ref="J17:J18"/>
    <mergeCell ref="L17:L18"/>
    <mergeCell ref="A244:Z244"/>
    <mergeCell ref="A100:Z100"/>
    <mergeCell ref="A165:Z165"/>
    <mergeCell ref="P192:T192"/>
    <mergeCell ref="A115:Z115"/>
    <mergeCell ref="Q9:R9"/>
    <mergeCell ref="A5:C5"/>
    <mergeCell ref="A238:Z238"/>
    <mergeCell ref="D103:E103"/>
    <mergeCell ref="D168:E168"/>
    <mergeCell ref="D91:E91"/>
    <mergeCell ref="A164:Z164"/>
    <mergeCell ref="P210:T210"/>
    <mergeCell ref="A196:O197"/>
    <mergeCell ref="P185:T185"/>
    <mergeCell ref="D106:E106"/>
    <mergeCell ref="P72:V72"/>
    <mergeCell ref="P122:T122"/>
    <mergeCell ref="P43:T43"/>
    <mergeCell ref="P65:V65"/>
    <mergeCell ref="D245:E245"/>
    <mergeCell ref="P116:T116"/>
    <mergeCell ref="D122:E122"/>
    <mergeCell ref="A162:O163"/>
    <mergeCell ref="P103:T103"/>
    <mergeCell ref="A26:Z26"/>
    <mergeCell ref="P268:T268"/>
    <mergeCell ref="P97:T97"/>
    <mergeCell ref="D211:E211"/>
    <mergeCell ref="P168:T168"/>
    <mergeCell ref="P130:V130"/>
    <mergeCell ref="P59:V59"/>
    <mergeCell ref="A242:Z242"/>
    <mergeCell ref="P46:V46"/>
    <mergeCell ref="D264:E264"/>
    <mergeCell ref="P136:V136"/>
    <mergeCell ref="A135:O136"/>
    <mergeCell ref="A126:Z126"/>
    <mergeCell ref="D251:E251"/>
    <mergeCell ref="P267:T267"/>
    <mergeCell ref="P254:V254"/>
    <mergeCell ref="P235:T235"/>
    <mergeCell ref="P249:V249"/>
    <mergeCell ref="D267:E267"/>
    <mergeCell ref="H1:Q1"/>
    <mergeCell ref="P109:V109"/>
    <mergeCell ref="A243:Z243"/>
    <mergeCell ref="P274:V274"/>
    <mergeCell ref="A74:Z74"/>
    <mergeCell ref="D28:E28"/>
    <mergeCell ref="A101:Z101"/>
    <mergeCell ref="P184:T184"/>
    <mergeCell ref="A174:O175"/>
    <mergeCell ref="D5:E5"/>
    <mergeCell ref="P42:T42"/>
    <mergeCell ref="P98:V98"/>
    <mergeCell ref="D69:E69"/>
    <mergeCell ref="A109:O110"/>
    <mergeCell ref="P175:V175"/>
    <mergeCell ref="A240:O241"/>
    <mergeCell ref="P162:V162"/>
    <mergeCell ref="P93:V93"/>
    <mergeCell ref="A123:O124"/>
    <mergeCell ref="D210:E210"/>
    <mergeCell ref="D209:E209"/>
    <mergeCell ref="D87:E87"/>
    <mergeCell ref="P188:V188"/>
    <mergeCell ref="A187:O188"/>
    <mergeCell ref="D7:M7"/>
    <mergeCell ref="AD282:AD283"/>
    <mergeCell ref="P156:V156"/>
    <mergeCell ref="A152:Z152"/>
    <mergeCell ref="C281:T281"/>
    <mergeCell ref="D144:E144"/>
    <mergeCell ref="P173:T173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80:V180"/>
    <mergeCell ref="D139:E139"/>
    <mergeCell ref="P118:V118"/>
    <mergeCell ref="P45:V45"/>
    <mergeCell ref="A98:O99"/>
    <mergeCell ref="A228:Z228"/>
    <mergeCell ref="P266:T266"/>
    <mergeCell ref="A212:O213"/>
    <mergeCell ref="P38:V38"/>
    <mergeCell ref="R1:T1"/>
    <mergeCell ref="P28:T28"/>
    <mergeCell ref="A218:O219"/>
    <mergeCell ref="A145:O146"/>
    <mergeCell ref="P77:V77"/>
    <mergeCell ref="A76:O77"/>
    <mergeCell ref="P141:V141"/>
    <mergeCell ref="A140:O141"/>
    <mergeCell ref="P206:V206"/>
    <mergeCell ref="P37:V37"/>
    <mergeCell ref="P104:T104"/>
    <mergeCell ref="B17:B18"/>
    <mergeCell ref="A73:Z73"/>
    <mergeCell ref="A92:O93"/>
    <mergeCell ref="P207:V207"/>
    <mergeCell ref="P81:T81"/>
    <mergeCell ref="D195:E195"/>
    <mergeCell ref="V10:W10"/>
    <mergeCell ref="P113:V113"/>
    <mergeCell ref="D53:E53"/>
    <mergeCell ref="A84:Z84"/>
    <mergeCell ref="P160:T160"/>
    <mergeCell ref="P209:T209"/>
    <mergeCell ref="W17:W18"/>
    <mergeCell ref="P144:T144"/>
    <mergeCell ref="AE282:AE283"/>
    <mergeCell ref="H9:I9"/>
    <mergeCell ref="P224:V224"/>
    <mergeCell ref="P24:V24"/>
    <mergeCell ref="P260:V260"/>
    <mergeCell ref="P259:V259"/>
    <mergeCell ref="A78:Z78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K282:K283"/>
    <mergeCell ref="A282:A283"/>
    <mergeCell ref="C282:C283"/>
    <mergeCell ref="A215:Z215"/>
    <mergeCell ref="B282:B283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9 X53 X57:X58 X62:X64 X105 X108 X112 X116 X127 X133 X149 X160 X173 X184 X186 X191:X195 X205 X209:X211 X216:X217 X223 X229 X235 X239 X245:X247 X252 X258 X262 X268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4 X69:X70 X75 X80:X81 X86:X91 X96:X97 X102:X104 X106:X107 X121 X128 X134 X139 X144 X154 X161 X167:X169 X179 X183 X185 X200 X251 X256:X257 X263:X265 X267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2 X266" xr:uid="{00000000-0002-0000-0000-000013000000}">
      <formula1>IF(AK122&gt;0,OR(X122=0,AND(IF(X122-AK122&gt;=0,TRUE,FALSE),X122&gt;0,IF(X122/J122=ROUND(X122/J122,0),TRUE,FALSE))),FALSE)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52"/>
    </row>
    <row r="3" spans="2:8" x14ac:dyDescent="0.2">
      <c r="B3" s="47" t="s">
        <v>382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383</v>
      </c>
      <c r="D6" s="47" t="s">
        <v>384</v>
      </c>
      <c r="E6" s="47"/>
    </row>
    <row r="8" spans="2:8" x14ac:dyDescent="0.2">
      <c r="B8" s="47" t="s">
        <v>19</v>
      </c>
      <c r="C8" s="47" t="s">
        <v>383</v>
      </c>
      <c r="D8" s="47"/>
      <c r="E8" s="47"/>
    </row>
    <row r="10" spans="2:8" x14ac:dyDescent="0.2">
      <c r="B10" s="47" t="s">
        <v>385</v>
      </c>
      <c r="C10" s="47"/>
      <c r="D10" s="47"/>
      <c r="E10" s="47"/>
    </row>
    <row r="11" spans="2:8" x14ac:dyDescent="0.2">
      <c r="B11" s="47" t="s">
        <v>386</v>
      </c>
      <c r="C11" s="47"/>
      <c r="D11" s="47"/>
      <c r="E11" s="47"/>
    </row>
    <row r="12" spans="2:8" x14ac:dyDescent="0.2">
      <c r="B12" s="47" t="s">
        <v>387</v>
      </c>
      <c r="C12" s="47"/>
      <c r="D12" s="47"/>
      <c r="E12" s="47"/>
    </row>
    <row r="13" spans="2:8" x14ac:dyDescent="0.2">
      <c r="B13" s="47" t="s">
        <v>388</v>
      </c>
      <c r="C13" s="47"/>
      <c r="D13" s="47"/>
      <c r="E13" s="47"/>
    </row>
    <row r="14" spans="2:8" x14ac:dyDescent="0.2">
      <c r="B14" s="47" t="s">
        <v>389</v>
      </c>
      <c r="C14" s="47"/>
      <c r="D14" s="47"/>
      <c r="E14" s="47"/>
    </row>
    <row r="15" spans="2:8" x14ac:dyDescent="0.2">
      <c r="B15" s="47" t="s">
        <v>390</v>
      </c>
      <c r="C15" s="47"/>
      <c r="D15" s="47"/>
      <c r="E15" s="47"/>
    </row>
    <row r="16" spans="2:8" x14ac:dyDescent="0.2">
      <c r="B16" s="47" t="s">
        <v>391</v>
      </c>
      <c r="C16" s="47"/>
      <c r="D16" s="47"/>
      <c r="E16" s="47"/>
    </row>
    <row r="17" spans="2:5" x14ac:dyDescent="0.2">
      <c r="B17" s="47" t="s">
        <v>392</v>
      </c>
      <c r="C17" s="47"/>
      <c r="D17" s="47"/>
      <c r="E17" s="47"/>
    </row>
    <row r="18" spans="2:5" x14ac:dyDescent="0.2">
      <c r="B18" s="47" t="s">
        <v>393</v>
      </c>
      <c r="C18" s="47"/>
      <c r="D18" s="47"/>
      <c r="E18" s="47"/>
    </row>
    <row r="19" spans="2:5" x14ac:dyDescent="0.2">
      <c r="B19" s="47" t="s">
        <v>394</v>
      </c>
      <c r="C19" s="47"/>
      <c r="D19" s="47"/>
      <c r="E19" s="47"/>
    </row>
    <row r="20" spans="2:5" x14ac:dyDescent="0.2">
      <c r="B20" s="47" t="s">
        <v>395</v>
      </c>
      <c r="C20" s="47"/>
      <c r="D20" s="47"/>
      <c r="E20" s="47"/>
    </row>
  </sheetData>
  <sheetProtection algorithmName="SHA-512" hashValue="EaP37O+K2XzQ3s86tMVUnK1z53PKfxSs7+tVMeyTEHGfvqVQZ3a0R3IGPeSJmVbPfGMoC8cVlGhD6mS6pbgVsQ==" saltValue="8M+IAi4UMNUqoJbS9ZM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2025-11-07T06:01:14Z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