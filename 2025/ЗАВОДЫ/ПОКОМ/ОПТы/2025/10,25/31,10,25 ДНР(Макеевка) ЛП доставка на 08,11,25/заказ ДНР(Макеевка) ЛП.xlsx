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872AA104-331F-4F2A-B193-33EF0E34780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Y483" i="1" s="1"/>
  <c r="P481" i="1"/>
  <c r="X479" i="1"/>
  <c r="X478" i="1"/>
  <c r="BO477" i="1"/>
  <c r="BM477" i="1"/>
  <c r="Y477" i="1"/>
  <c r="Y479" i="1" s="1"/>
  <c r="P477" i="1"/>
  <c r="X475" i="1"/>
  <c r="X474" i="1"/>
  <c r="BO473" i="1"/>
  <c r="BM473" i="1"/>
  <c r="Y473" i="1"/>
  <c r="Y475" i="1" s="1"/>
  <c r="P473" i="1"/>
  <c r="BP472" i="1"/>
  <c r="BO472" i="1"/>
  <c r="BN472" i="1"/>
  <c r="BM472" i="1"/>
  <c r="Z472" i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Y469" i="1" s="1"/>
  <c r="P467" i="1"/>
  <c r="BP466" i="1"/>
  <c r="BO466" i="1"/>
  <c r="BN466" i="1"/>
  <c r="BM466" i="1"/>
  <c r="Z466" i="1"/>
  <c r="Y466" i="1"/>
  <c r="Y470" i="1" s="1"/>
  <c r="P466" i="1"/>
  <c r="X464" i="1"/>
  <c r="X463" i="1"/>
  <c r="BP462" i="1"/>
  <c r="BO462" i="1"/>
  <c r="BN462" i="1"/>
  <c r="BM462" i="1"/>
  <c r="Z462" i="1"/>
  <c r="Y462" i="1"/>
  <c r="P462" i="1"/>
  <c r="BO461" i="1"/>
  <c r="BM461" i="1"/>
  <c r="Y461" i="1"/>
  <c r="BP461" i="1" s="1"/>
  <c r="P461" i="1"/>
  <c r="BP460" i="1"/>
  <c r="BO460" i="1"/>
  <c r="BN460" i="1"/>
  <c r="BM460" i="1"/>
  <c r="Z460" i="1"/>
  <c r="Y460" i="1"/>
  <c r="P460" i="1"/>
  <c r="BO459" i="1"/>
  <c r="BM459" i="1"/>
  <c r="Y459" i="1"/>
  <c r="Y463" i="1" s="1"/>
  <c r="P459" i="1"/>
  <c r="X455" i="1"/>
  <c r="X454" i="1"/>
  <c r="BO453" i="1"/>
  <c r="BM453" i="1"/>
  <c r="Y453" i="1"/>
  <c r="BP453" i="1" s="1"/>
  <c r="P453" i="1"/>
  <c r="BP452" i="1"/>
  <c r="BO452" i="1"/>
  <c r="BN452" i="1"/>
  <c r="BM452" i="1"/>
  <c r="Z452" i="1"/>
  <c r="Y452" i="1"/>
  <c r="P452" i="1"/>
  <c r="BO451" i="1"/>
  <c r="BM451" i="1"/>
  <c r="Y451" i="1"/>
  <c r="Y455" i="1" s="1"/>
  <c r="P451" i="1"/>
  <c r="X449" i="1"/>
  <c r="X448" i="1"/>
  <c r="BO447" i="1"/>
  <c r="BM447" i="1"/>
  <c r="Y447" i="1"/>
  <c r="BP447" i="1" s="1"/>
  <c r="P447" i="1"/>
  <c r="BP446" i="1"/>
  <c r="BO446" i="1"/>
  <c r="BN446" i="1"/>
  <c r="BM446" i="1"/>
  <c r="Z446" i="1"/>
  <c r="Y446" i="1"/>
  <c r="P446" i="1"/>
  <c r="BO445" i="1"/>
  <c r="BM445" i="1"/>
  <c r="Y445" i="1"/>
  <c r="BP445" i="1" s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X440" i="1"/>
  <c r="Y439" i="1"/>
  <c r="X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Y440" i="1" s="1"/>
  <c r="P436" i="1"/>
  <c r="X434" i="1"/>
  <c r="X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X500" i="1" s="1"/>
  <c r="P422" i="1"/>
  <c r="X418" i="1"/>
  <c r="Y417" i="1"/>
  <c r="X417" i="1"/>
  <c r="BP416" i="1"/>
  <c r="BO416" i="1"/>
  <c r="BN416" i="1"/>
  <c r="BM416" i="1"/>
  <c r="Z416" i="1"/>
  <c r="Z417" i="1" s="1"/>
  <c r="Y416" i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Y412" i="1" s="1"/>
  <c r="P408" i="1"/>
  <c r="X406" i="1"/>
  <c r="X405" i="1"/>
  <c r="BO404" i="1"/>
  <c r="BM404" i="1"/>
  <c r="Y404" i="1"/>
  <c r="V500" i="1" s="1"/>
  <c r="P404" i="1"/>
  <c r="X401" i="1"/>
  <c r="X400" i="1"/>
  <c r="BO399" i="1"/>
  <c r="BM399" i="1"/>
  <c r="Y399" i="1"/>
  <c r="Y401" i="1" s="1"/>
  <c r="P399" i="1"/>
  <c r="BP398" i="1"/>
  <c r="BO398" i="1"/>
  <c r="BN398" i="1"/>
  <c r="BM398" i="1"/>
  <c r="Z398" i="1"/>
  <c r="Y398" i="1"/>
  <c r="Y400" i="1" s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1" i="1" s="1"/>
  <c r="P379" i="1"/>
  <c r="X377" i="1"/>
  <c r="X376" i="1"/>
  <c r="BO375" i="1"/>
  <c r="BM375" i="1"/>
  <c r="Y375" i="1"/>
  <c r="Y377" i="1" s="1"/>
  <c r="P375" i="1"/>
  <c r="BP374" i="1"/>
  <c r="BO374" i="1"/>
  <c r="BN374" i="1"/>
  <c r="BM374" i="1"/>
  <c r="Z374" i="1"/>
  <c r="Y374" i="1"/>
  <c r="Y376" i="1" s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T500" i="1" s="1"/>
  <c r="P369" i="1"/>
  <c r="X366" i="1"/>
  <c r="X365" i="1"/>
  <c r="BO364" i="1"/>
  <c r="BM364" i="1"/>
  <c r="Y364" i="1"/>
  <c r="Y366" i="1" s="1"/>
  <c r="P364" i="1"/>
  <c r="X362" i="1"/>
  <c r="X361" i="1"/>
  <c r="BO360" i="1"/>
  <c r="BM360" i="1"/>
  <c r="Y360" i="1"/>
  <c r="Y362" i="1" s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Y356" i="1" s="1"/>
  <c r="P354" i="1"/>
  <c r="X352" i="1"/>
  <c r="X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S500" i="1" s="1"/>
  <c r="P344" i="1"/>
  <c r="X340" i="1"/>
  <c r="X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R500" i="1" s="1"/>
  <c r="P336" i="1"/>
  <c r="X333" i="1"/>
  <c r="X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Y333" i="1" s="1"/>
  <c r="P329" i="1"/>
  <c r="X327" i="1"/>
  <c r="X326" i="1"/>
  <c r="BO325" i="1"/>
  <c r="BM325" i="1"/>
  <c r="Y325" i="1"/>
  <c r="BP325" i="1" s="1"/>
  <c r="P325" i="1"/>
  <c r="BP324" i="1"/>
  <c r="BO324" i="1"/>
  <c r="BN324" i="1"/>
  <c r="BM324" i="1"/>
  <c r="Z324" i="1"/>
  <c r="Y324" i="1"/>
  <c r="P324" i="1"/>
  <c r="BO323" i="1"/>
  <c r="BM323" i="1"/>
  <c r="Y323" i="1"/>
  <c r="BP323" i="1" s="1"/>
  <c r="BO322" i="1"/>
  <c r="BM322" i="1"/>
  <c r="Y322" i="1"/>
  <c r="Y327" i="1" s="1"/>
  <c r="P322" i="1"/>
  <c r="X320" i="1"/>
  <c r="X319" i="1"/>
  <c r="BO318" i="1"/>
  <c r="BM318" i="1"/>
  <c r="Y318" i="1"/>
  <c r="BP318" i="1" s="1"/>
  <c r="P318" i="1"/>
  <c r="BP317" i="1"/>
  <c r="BO317" i="1"/>
  <c r="BN317" i="1"/>
  <c r="BM317" i="1"/>
  <c r="Z317" i="1"/>
  <c r="Y317" i="1"/>
  <c r="P317" i="1"/>
  <c r="BO316" i="1"/>
  <c r="BM316" i="1"/>
  <c r="Y316" i="1"/>
  <c r="Y320" i="1" s="1"/>
  <c r="P316" i="1"/>
  <c r="X314" i="1"/>
  <c r="X313" i="1"/>
  <c r="BO312" i="1"/>
  <c r="BM312" i="1"/>
  <c r="Y312" i="1"/>
  <c r="BP312" i="1" s="1"/>
  <c r="P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Y314" i="1" s="1"/>
  <c r="P308" i="1"/>
  <c r="X306" i="1"/>
  <c r="X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Y306" i="1" s="1"/>
  <c r="P298" i="1"/>
  <c r="X296" i="1"/>
  <c r="X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Y296" i="1" s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Z285" i="1" s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Y276" i="1" s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N256" i="1"/>
  <c r="BM256" i="1"/>
  <c r="Z256" i="1"/>
  <c r="Y256" i="1"/>
  <c r="BP256" i="1" s="1"/>
  <c r="P256" i="1"/>
  <c r="BO255" i="1"/>
  <c r="BM255" i="1"/>
  <c r="Y255" i="1"/>
  <c r="Y260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2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7" i="1" s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Y205" i="1" s="1"/>
  <c r="P197" i="1"/>
  <c r="BP196" i="1"/>
  <c r="BO196" i="1"/>
  <c r="BN196" i="1"/>
  <c r="BM196" i="1"/>
  <c r="Z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Y189" i="1" s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Y178" i="1" s="1"/>
  <c r="P176" i="1"/>
  <c r="BP175" i="1"/>
  <c r="BO175" i="1"/>
  <c r="BN175" i="1"/>
  <c r="BM175" i="1"/>
  <c r="Z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Y172" i="1" s="1"/>
  <c r="P164" i="1"/>
  <c r="BP163" i="1"/>
  <c r="BO163" i="1"/>
  <c r="BN163" i="1"/>
  <c r="BM163" i="1"/>
  <c r="Z163" i="1"/>
  <c r="Y163" i="1"/>
  <c r="Y173" i="1" s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1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H500" i="1" s="1"/>
  <c r="P141" i="1"/>
  <c r="X138" i="1"/>
  <c r="X137" i="1"/>
  <c r="BO136" i="1"/>
  <c r="BM136" i="1"/>
  <c r="Y136" i="1"/>
  <c r="Y138" i="1" s="1"/>
  <c r="P136" i="1"/>
  <c r="BP135" i="1"/>
  <c r="BO135" i="1"/>
  <c r="BN135" i="1"/>
  <c r="BM135" i="1"/>
  <c r="Z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Y128" i="1" s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Y105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500" i="1" s="1"/>
  <c r="P86" i="1"/>
  <c r="X83" i="1"/>
  <c r="X82" i="1"/>
  <c r="BO81" i="1"/>
  <c r="BM81" i="1"/>
  <c r="Y81" i="1"/>
  <c r="Y83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8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00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90" i="1" s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Z43" i="1" s="1"/>
  <c r="BN40" i="1"/>
  <c r="BP40" i="1"/>
  <c r="Z42" i="1"/>
  <c r="BN42" i="1"/>
  <c r="Y43" i="1"/>
  <c r="Z46" i="1"/>
  <c r="Z47" i="1" s="1"/>
  <c r="BN46" i="1"/>
  <c r="BP46" i="1"/>
  <c r="Y47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9" i="1" s="1"/>
  <c r="BN67" i="1"/>
  <c r="BP67" i="1"/>
  <c r="Z73" i="1"/>
  <c r="Z77" i="1" s="1"/>
  <c r="BN73" i="1"/>
  <c r="BP73" i="1"/>
  <c r="Z75" i="1"/>
  <c r="BN75" i="1"/>
  <c r="Z81" i="1"/>
  <c r="Z82" i="1" s="1"/>
  <c r="BN81" i="1"/>
  <c r="BP81" i="1"/>
  <c r="Z86" i="1"/>
  <c r="Z89" i="1" s="1"/>
  <c r="BN86" i="1"/>
  <c r="BP86" i="1"/>
  <c r="Z88" i="1"/>
  <c r="BN88" i="1"/>
  <c r="Y89" i="1"/>
  <c r="Z92" i="1"/>
  <c r="Z96" i="1" s="1"/>
  <c r="BN92" i="1"/>
  <c r="BP92" i="1"/>
  <c r="Z94" i="1"/>
  <c r="BN94" i="1"/>
  <c r="Y97" i="1"/>
  <c r="F500" i="1"/>
  <c r="Z101" i="1"/>
  <c r="Z104" i="1" s="1"/>
  <c r="BN101" i="1"/>
  <c r="BP101" i="1"/>
  <c r="Z103" i="1"/>
  <c r="BN103" i="1"/>
  <c r="Y104" i="1"/>
  <c r="Z107" i="1"/>
  <c r="BN107" i="1"/>
  <c r="BP107" i="1"/>
  <c r="Z109" i="1"/>
  <c r="BN109" i="1"/>
  <c r="Y110" i="1"/>
  <c r="Z113" i="1"/>
  <c r="BN113" i="1"/>
  <c r="BP113" i="1"/>
  <c r="Z115" i="1"/>
  <c r="BN115" i="1"/>
  <c r="Y118" i="1"/>
  <c r="G500" i="1"/>
  <c r="Z126" i="1"/>
  <c r="Z127" i="1" s="1"/>
  <c r="BN126" i="1"/>
  <c r="BP126" i="1"/>
  <c r="Y127" i="1"/>
  <c r="Z130" i="1"/>
  <c r="Z132" i="1" s="1"/>
  <c r="BN130" i="1"/>
  <c r="BP130" i="1"/>
  <c r="Y133" i="1"/>
  <c r="Z136" i="1"/>
  <c r="Z137" i="1" s="1"/>
  <c r="BN136" i="1"/>
  <c r="BP136" i="1"/>
  <c r="Z141" i="1"/>
  <c r="BN141" i="1"/>
  <c r="BP141" i="1"/>
  <c r="Z143" i="1"/>
  <c r="BN143" i="1"/>
  <c r="Y144" i="1"/>
  <c r="Z147" i="1"/>
  <c r="BN147" i="1"/>
  <c r="BP147" i="1"/>
  <c r="Z149" i="1"/>
  <c r="BN149" i="1"/>
  <c r="Y150" i="1"/>
  <c r="I500" i="1"/>
  <c r="Y161" i="1"/>
  <c r="Z164" i="1"/>
  <c r="Z172" i="1" s="1"/>
  <c r="BN164" i="1"/>
  <c r="BP164" i="1"/>
  <c r="Z166" i="1"/>
  <c r="BN166" i="1"/>
  <c r="Z168" i="1"/>
  <c r="BN168" i="1"/>
  <c r="Z170" i="1"/>
  <c r="BN170" i="1"/>
  <c r="Z176" i="1"/>
  <c r="Z178" i="1" s="1"/>
  <c r="BN176" i="1"/>
  <c r="BP176" i="1"/>
  <c r="J500" i="1"/>
  <c r="Z187" i="1"/>
  <c r="Z188" i="1" s="1"/>
  <c r="BN187" i="1"/>
  <c r="BP187" i="1"/>
  <c r="Y188" i="1"/>
  <c r="Z191" i="1"/>
  <c r="Z193" i="1" s="1"/>
  <c r="BN191" i="1"/>
  <c r="BP191" i="1"/>
  <c r="Y194" i="1"/>
  <c r="Z197" i="1"/>
  <c r="Z204" i="1" s="1"/>
  <c r="BN197" i="1"/>
  <c r="BP197" i="1"/>
  <c r="Z199" i="1"/>
  <c r="BN199" i="1"/>
  <c r="Z201" i="1"/>
  <c r="BN201" i="1"/>
  <c r="Z203" i="1"/>
  <c r="BN203" i="1"/>
  <c r="Z207" i="1"/>
  <c r="BN207" i="1"/>
  <c r="BP207" i="1"/>
  <c r="Z209" i="1"/>
  <c r="BN209" i="1"/>
  <c r="Z211" i="1"/>
  <c r="BN211" i="1"/>
  <c r="Z213" i="1"/>
  <c r="BN213" i="1"/>
  <c r="Z215" i="1"/>
  <c r="BN215" i="1"/>
  <c r="Y216" i="1"/>
  <c r="Z219" i="1"/>
  <c r="Z221" i="1" s="1"/>
  <c r="BN219" i="1"/>
  <c r="BP219" i="1"/>
  <c r="Y222" i="1"/>
  <c r="K500" i="1"/>
  <c r="Z226" i="1"/>
  <c r="Z235" i="1" s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Y239" i="1"/>
  <c r="Z242" i="1"/>
  <c r="Z243" i="1" s="1"/>
  <c r="BN242" i="1"/>
  <c r="BP242" i="1"/>
  <c r="Y243" i="1"/>
  <c r="Z246" i="1"/>
  <c r="Z251" i="1" s="1"/>
  <c r="BN246" i="1"/>
  <c r="BP246" i="1"/>
  <c r="Z248" i="1"/>
  <c r="BN248" i="1"/>
  <c r="Z250" i="1"/>
  <c r="BN250" i="1"/>
  <c r="Y251" i="1"/>
  <c r="Z255" i="1"/>
  <c r="BN255" i="1"/>
  <c r="BP255" i="1"/>
  <c r="BP265" i="1"/>
  <c r="BN265" i="1"/>
  <c r="Z265" i="1"/>
  <c r="Z268" i="1" s="1"/>
  <c r="BP274" i="1"/>
  <c r="BN274" i="1"/>
  <c r="Z274" i="1"/>
  <c r="P500" i="1"/>
  <c r="Y281" i="1"/>
  <c r="Y282" i="1"/>
  <c r="BP279" i="1"/>
  <c r="BN279" i="1"/>
  <c r="Z279" i="1"/>
  <c r="Z281" i="1" s="1"/>
  <c r="H9" i="1"/>
  <c r="Y24" i="1"/>
  <c r="Y44" i="1"/>
  <c r="Y57" i="1"/>
  <c r="Y90" i="1"/>
  <c r="Y145" i="1"/>
  <c r="Y236" i="1"/>
  <c r="L500" i="1"/>
  <c r="Y261" i="1"/>
  <c r="BP258" i="1"/>
  <c r="BN258" i="1"/>
  <c r="Z258" i="1"/>
  <c r="BP267" i="1"/>
  <c r="BN267" i="1"/>
  <c r="Z267" i="1"/>
  <c r="Y269" i="1"/>
  <c r="O500" i="1"/>
  <c r="Y275" i="1"/>
  <c r="BP272" i="1"/>
  <c r="BN272" i="1"/>
  <c r="Z272" i="1"/>
  <c r="Z275" i="1" s="1"/>
  <c r="M500" i="1"/>
  <c r="Y268" i="1"/>
  <c r="Q500" i="1"/>
  <c r="Z290" i="1"/>
  <c r="Z295" i="1" s="1"/>
  <c r="BN290" i="1"/>
  <c r="BP290" i="1"/>
  <c r="Z292" i="1"/>
  <c r="BN292" i="1"/>
  <c r="Z294" i="1"/>
  <c r="BN294" i="1"/>
  <c r="Y295" i="1"/>
  <c r="Z298" i="1"/>
  <c r="BN298" i="1"/>
  <c r="BP298" i="1"/>
  <c r="Z300" i="1"/>
  <c r="BN300" i="1"/>
  <c r="Z302" i="1"/>
  <c r="BN302" i="1"/>
  <c r="Z304" i="1"/>
  <c r="BN304" i="1"/>
  <c r="Y305" i="1"/>
  <c r="Z308" i="1"/>
  <c r="BN308" i="1"/>
  <c r="BP308" i="1"/>
  <c r="Z310" i="1"/>
  <c r="BN310" i="1"/>
  <c r="Z312" i="1"/>
  <c r="BN312" i="1"/>
  <c r="Y313" i="1"/>
  <c r="Z316" i="1"/>
  <c r="BN316" i="1"/>
  <c r="BP316" i="1"/>
  <c r="Z318" i="1"/>
  <c r="BN318" i="1"/>
  <c r="Y319" i="1"/>
  <c r="Z322" i="1"/>
  <c r="BN322" i="1"/>
  <c r="BP322" i="1"/>
  <c r="Z323" i="1"/>
  <c r="BN323" i="1"/>
  <c r="Z325" i="1"/>
  <c r="BN325" i="1"/>
  <c r="Y326" i="1"/>
  <c r="Z329" i="1"/>
  <c r="BN329" i="1"/>
  <c r="BP329" i="1"/>
  <c r="Z331" i="1"/>
  <c r="BN331" i="1"/>
  <c r="Y332" i="1"/>
  <c r="Z336" i="1"/>
  <c r="BN336" i="1"/>
  <c r="BP336" i="1"/>
  <c r="Z338" i="1"/>
  <c r="BN338" i="1"/>
  <c r="Y339" i="1"/>
  <c r="Z344" i="1"/>
  <c r="BN344" i="1"/>
  <c r="BP344" i="1"/>
  <c r="Z346" i="1"/>
  <c r="BN346" i="1"/>
  <c r="Z348" i="1"/>
  <c r="BN348" i="1"/>
  <c r="Z350" i="1"/>
  <c r="BN350" i="1"/>
  <c r="Y351" i="1"/>
  <c r="Z354" i="1"/>
  <c r="Z356" i="1" s="1"/>
  <c r="BN354" i="1"/>
  <c r="BP354" i="1"/>
  <c r="Y357" i="1"/>
  <c r="Z360" i="1"/>
  <c r="Z361" i="1" s="1"/>
  <c r="BN360" i="1"/>
  <c r="BP360" i="1"/>
  <c r="Z364" i="1"/>
  <c r="Z365" i="1" s="1"/>
  <c r="BN364" i="1"/>
  <c r="BP364" i="1"/>
  <c r="Y365" i="1"/>
  <c r="Z369" i="1"/>
  <c r="Z371" i="1" s="1"/>
  <c r="BN369" i="1"/>
  <c r="BP369" i="1"/>
  <c r="Y372" i="1"/>
  <c r="Z375" i="1"/>
  <c r="Z376" i="1" s="1"/>
  <c r="BN375" i="1"/>
  <c r="BP375" i="1"/>
  <c r="Z379" i="1"/>
  <c r="Z381" i="1" s="1"/>
  <c r="BN379" i="1"/>
  <c r="BP379" i="1"/>
  <c r="Y382" i="1"/>
  <c r="U500" i="1"/>
  <c r="Z387" i="1"/>
  <c r="Z395" i="1" s="1"/>
  <c r="BN387" i="1"/>
  <c r="Z389" i="1"/>
  <c r="BN389" i="1"/>
  <c r="Z391" i="1"/>
  <c r="BN391" i="1"/>
  <c r="Z393" i="1"/>
  <c r="BN393" i="1"/>
  <c r="Y396" i="1"/>
  <c r="Z399" i="1"/>
  <c r="Z400" i="1" s="1"/>
  <c r="BN399" i="1"/>
  <c r="BP399" i="1"/>
  <c r="Z404" i="1"/>
  <c r="Z405" i="1" s="1"/>
  <c r="BN404" i="1"/>
  <c r="BP404" i="1"/>
  <c r="Y405" i="1"/>
  <c r="Z408" i="1"/>
  <c r="BN408" i="1"/>
  <c r="BP408" i="1"/>
  <c r="Z410" i="1"/>
  <c r="BN410" i="1"/>
  <c r="Y413" i="1"/>
  <c r="W500" i="1"/>
  <c r="Y418" i="1"/>
  <c r="BP423" i="1"/>
  <c r="BN423" i="1"/>
  <c r="Z423" i="1"/>
  <c r="Z433" i="1" s="1"/>
  <c r="BP427" i="1"/>
  <c r="BN427" i="1"/>
  <c r="Z427" i="1"/>
  <c r="BP431" i="1"/>
  <c r="BN431" i="1"/>
  <c r="Z431" i="1"/>
  <c r="BP443" i="1"/>
  <c r="BN443" i="1"/>
  <c r="Z443" i="1"/>
  <c r="Z448" i="1" s="1"/>
  <c r="Y340" i="1"/>
  <c r="Y352" i="1"/>
  <c r="Y371" i="1"/>
  <c r="Y395" i="1"/>
  <c r="Y406" i="1"/>
  <c r="BP425" i="1"/>
  <c r="BN425" i="1"/>
  <c r="Z425" i="1"/>
  <c r="BP429" i="1"/>
  <c r="BN429" i="1"/>
  <c r="Z429" i="1"/>
  <c r="Y433" i="1"/>
  <c r="BP437" i="1"/>
  <c r="BN437" i="1"/>
  <c r="Z437" i="1"/>
  <c r="Z439" i="1" s="1"/>
  <c r="Y449" i="1"/>
  <c r="Y434" i="1"/>
  <c r="Z445" i="1"/>
  <c r="BN445" i="1"/>
  <c r="Z447" i="1"/>
  <c r="BN447" i="1"/>
  <c r="Y448" i="1"/>
  <c r="Z451" i="1"/>
  <c r="Z454" i="1" s="1"/>
  <c r="BN451" i="1"/>
  <c r="BP451" i="1"/>
  <c r="Z453" i="1"/>
  <c r="BN453" i="1"/>
  <c r="Y454" i="1"/>
  <c r="Z459" i="1"/>
  <c r="Z463" i="1" s="1"/>
  <c r="BN459" i="1"/>
  <c r="BP459" i="1"/>
  <c r="Z461" i="1"/>
  <c r="BN461" i="1"/>
  <c r="Y464" i="1"/>
  <c r="Z467" i="1"/>
  <c r="Z469" i="1" s="1"/>
  <c r="BN467" i="1"/>
  <c r="BP467" i="1"/>
  <c r="Z473" i="1"/>
  <c r="Z474" i="1" s="1"/>
  <c r="BN473" i="1"/>
  <c r="BP473" i="1"/>
  <c r="Z477" i="1"/>
  <c r="Z478" i="1" s="1"/>
  <c r="BN477" i="1"/>
  <c r="BP477" i="1"/>
  <c r="Y478" i="1"/>
  <c r="Z481" i="1"/>
  <c r="Z483" i="1" s="1"/>
  <c r="BN481" i="1"/>
  <c r="BP481" i="1"/>
  <c r="Y484" i="1"/>
  <c r="Y489" i="1"/>
  <c r="Y500" i="1"/>
  <c r="Z487" i="1"/>
  <c r="Z488" i="1" s="1"/>
  <c r="BN487" i="1"/>
  <c r="BP487" i="1"/>
  <c r="Y488" i="1"/>
  <c r="Z351" i="1" l="1"/>
  <c r="Z339" i="1"/>
  <c r="Z332" i="1"/>
  <c r="Z326" i="1"/>
  <c r="Z319" i="1"/>
  <c r="Z313" i="1"/>
  <c r="Z305" i="1"/>
  <c r="Y490" i="1"/>
  <c r="Z260" i="1"/>
  <c r="Z216" i="1"/>
  <c r="Z150" i="1"/>
  <c r="Z144" i="1"/>
  <c r="Z117" i="1"/>
  <c r="Z110" i="1"/>
  <c r="Y494" i="1"/>
  <c r="Y491" i="1"/>
  <c r="Z412" i="1"/>
  <c r="Z31" i="1"/>
  <c r="Z495" i="1" s="1"/>
  <c r="Y492" i="1"/>
  <c r="Y493" i="1" l="1"/>
</calcChain>
</file>

<file path=xl/sharedStrings.xml><?xml version="1.0" encoding="utf-8"?>
<sst xmlns="http://schemas.openxmlformats.org/spreadsheetml/2006/main" count="2355" uniqueCount="766">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</sst>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3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6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659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4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7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3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6" customWidth="1"/>
    <col min="19" max="19" width="6.140625" style="53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6" customWidth="1"/>
    <col min="25" max="25" width="11" style="536" customWidth="1"/>
    <col min="26" max="26" width="10" style="536" customWidth="1"/>
    <col min="27" max="27" width="11.5703125" style="536" customWidth="1"/>
    <col min="28" max="28" width="10.42578125" style="536" customWidth="1"/>
    <col min="29" max="29" width="30" style="53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6" customWidth="1"/>
    <col min="34" max="34" width="9.140625" style="536" customWidth="1"/>
    <col min="35" max="16384" width="9.140625" style="536"/>
  </cols>
  <sheetData>
    <row r="1" spans="1:32" s="540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4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4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0" customFormat="1" ht="23.45" customHeight="1" x14ac:dyDescent="0.2">
      <c r="A5" s="670" t="s">
        <v>8</v>
      </c>
      <c r="B5" s="645"/>
      <c r="C5" s="646"/>
      <c r="D5" s="627"/>
      <c r="E5" s="628"/>
      <c r="F5" s="837" t="s">
        <v>9</v>
      </c>
      <c r="G5" s="646"/>
      <c r="H5" s="627"/>
      <c r="I5" s="781"/>
      <c r="J5" s="781"/>
      <c r="K5" s="781"/>
      <c r="L5" s="781"/>
      <c r="M5" s="628"/>
      <c r="N5" s="58"/>
      <c r="P5" s="24" t="s">
        <v>10</v>
      </c>
      <c r="Q5" s="846">
        <v>45967</v>
      </c>
      <c r="R5" s="669"/>
      <c r="T5" s="708" t="s">
        <v>11</v>
      </c>
      <c r="U5" s="709"/>
      <c r="V5" s="711" t="s">
        <v>12</v>
      </c>
      <c r="W5" s="669"/>
      <c r="AB5" s="51"/>
      <c r="AC5" s="51"/>
      <c r="AD5" s="51"/>
      <c r="AE5" s="51"/>
    </row>
    <row r="6" spans="1:32" s="540" customFormat="1" ht="24" customHeight="1" x14ac:dyDescent="0.2">
      <c r="A6" s="670" t="s">
        <v>13</v>
      </c>
      <c r="B6" s="645"/>
      <c r="C6" s="646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69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Четверг</v>
      </c>
      <c r="R6" s="548"/>
      <c r="T6" s="717" t="s">
        <v>16</v>
      </c>
      <c r="U6" s="709"/>
      <c r="V6" s="766" t="s">
        <v>17</v>
      </c>
      <c r="W6" s="590"/>
      <c r="AB6" s="51"/>
      <c r="AC6" s="51"/>
      <c r="AD6" s="51"/>
      <c r="AE6" s="51"/>
    </row>
    <row r="7" spans="1:32" s="540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4"/>
      <c r="U7" s="709"/>
      <c r="V7" s="767"/>
      <c r="W7" s="768"/>
      <c r="AB7" s="51"/>
      <c r="AC7" s="51"/>
      <c r="AD7" s="51"/>
      <c r="AE7" s="51"/>
    </row>
    <row r="8" spans="1:32" s="540" customFormat="1" ht="25.5" customHeight="1" x14ac:dyDescent="0.2">
      <c r="A8" s="864" t="s">
        <v>18</v>
      </c>
      <c r="B8" s="563"/>
      <c r="C8" s="564"/>
      <c r="D8" s="613" t="s">
        <v>19</v>
      </c>
      <c r="E8" s="614"/>
      <c r="F8" s="614"/>
      <c r="G8" s="614"/>
      <c r="H8" s="614"/>
      <c r="I8" s="614"/>
      <c r="J8" s="614"/>
      <c r="K8" s="614"/>
      <c r="L8" s="614"/>
      <c r="M8" s="615"/>
      <c r="N8" s="61"/>
      <c r="P8" s="24" t="s">
        <v>20</v>
      </c>
      <c r="Q8" s="675">
        <v>0.41666666666666669</v>
      </c>
      <c r="R8" s="606"/>
      <c r="T8" s="554"/>
      <c r="U8" s="709"/>
      <c r="V8" s="767"/>
      <c r="W8" s="768"/>
      <c r="AB8" s="51"/>
      <c r="AC8" s="51"/>
      <c r="AD8" s="51"/>
      <c r="AE8" s="51"/>
    </row>
    <row r="9" spans="1:32" s="540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6"/>
      <c r="E9" s="561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41"/>
      <c r="P9" s="26" t="s">
        <v>21</v>
      </c>
      <c r="Q9" s="665"/>
      <c r="R9" s="666"/>
      <c r="T9" s="554"/>
      <c r="U9" s="709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40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6"/>
      <c r="E10" s="561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9"/>
      <c r="P10" s="26" t="s">
        <v>22</v>
      </c>
      <c r="Q10" s="719"/>
      <c r="R10" s="720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4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5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0" customFormat="1" ht="18.600000000000001" customHeight="1" x14ac:dyDescent="0.2">
      <c r="A12" s="703" t="s">
        <v>29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30</v>
      </c>
      <c r="Q12" s="675"/>
      <c r="R12" s="606"/>
      <c r="S12" s="23"/>
      <c r="U12" s="24"/>
      <c r="V12" s="574"/>
      <c r="W12" s="554"/>
      <c r="AB12" s="51"/>
      <c r="AC12" s="51"/>
      <c r="AD12" s="51"/>
      <c r="AE12" s="51"/>
    </row>
    <row r="13" spans="1:32" s="540" customFormat="1" ht="23.25" customHeight="1" x14ac:dyDescent="0.2">
      <c r="A13" s="703" t="s">
        <v>31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32</v>
      </c>
      <c r="Q13" s="805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0" customFormat="1" ht="18.600000000000001" customHeight="1" x14ac:dyDescent="0.2">
      <c r="A14" s="703" t="s">
        <v>33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0" customFormat="1" ht="22.5" customHeight="1" x14ac:dyDescent="0.2">
      <c r="A15" s="735" t="s">
        <v>34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696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4" t="s">
        <v>36</v>
      </c>
      <c r="B17" s="584" t="s">
        <v>37</v>
      </c>
      <c r="C17" s="683" t="s">
        <v>38</v>
      </c>
      <c r="D17" s="584" t="s">
        <v>39</v>
      </c>
      <c r="E17" s="652"/>
      <c r="F17" s="584" t="s">
        <v>40</v>
      </c>
      <c r="G17" s="584" t="s">
        <v>41</v>
      </c>
      <c r="H17" s="584" t="s">
        <v>42</v>
      </c>
      <c r="I17" s="584" t="s">
        <v>43</v>
      </c>
      <c r="J17" s="584" t="s">
        <v>44</v>
      </c>
      <c r="K17" s="584" t="s">
        <v>45</v>
      </c>
      <c r="L17" s="584" t="s">
        <v>46</v>
      </c>
      <c r="M17" s="584" t="s">
        <v>47</v>
      </c>
      <c r="N17" s="584" t="s">
        <v>48</v>
      </c>
      <c r="O17" s="584" t="s">
        <v>49</v>
      </c>
      <c r="P17" s="584" t="s">
        <v>50</v>
      </c>
      <c r="Q17" s="651"/>
      <c r="R17" s="651"/>
      <c r="S17" s="651"/>
      <c r="T17" s="652"/>
      <c r="U17" s="861" t="s">
        <v>51</v>
      </c>
      <c r="V17" s="646"/>
      <c r="W17" s="584" t="s">
        <v>52</v>
      </c>
      <c r="X17" s="584" t="s">
        <v>53</v>
      </c>
      <c r="Y17" s="862" t="s">
        <v>54</v>
      </c>
      <c r="Z17" s="779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85"/>
      <c r="B18" s="585"/>
      <c r="C18" s="585"/>
      <c r="D18" s="653"/>
      <c r="E18" s="655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5"/>
      <c r="X18" s="585"/>
      <c r="Y18" s="863"/>
      <c r="Z18" s="780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8"/>
      <c r="AB19" s="48"/>
      <c r="AC19" s="48"/>
    </row>
    <row r="20" spans="1:68" ht="16.5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customHeight="1" x14ac:dyDescent="0.25">
      <c r="A21" s="559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9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9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8"/>
      <c r="AB37" s="48"/>
      <c r="AC37" s="48"/>
    </row>
    <row r="38" spans="1:68" ht="16.5" customHeight="1" x14ac:dyDescent="0.25">
      <c r="A38" s="558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customHeight="1" x14ac:dyDescent="0.25">
      <c r="A39" s="559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200</v>
      </c>
      <c r="Y40" s="544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208.05555555555554</v>
      </c>
      <c r="BN40" s="64">
        <f>IFERROR(Y40*I40/H40,"0")</f>
        <v>213.46499999999997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5">
        <f>IFERROR(X40/H40,"0")+IFERROR(X41/H41,"0")+IFERROR(X42/H42,"0")</f>
        <v>18.518518518518519</v>
      </c>
      <c r="Y43" s="545">
        <f>IFERROR(Y40/H40,"0")+IFERROR(Y41/H41,"0")+IFERROR(Y42/H42,"0")</f>
        <v>19</v>
      </c>
      <c r="Z43" s="545">
        <f>IFERROR(IF(Z40="",0,Z40),"0")+IFERROR(IF(Z41="",0,Z41),"0")+IFERROR(IF(Z42="",0,Z42),"0")</f>
        <v>0.36062</v>
      </c>
      <c r="AA43" s="546"/>
      <c r="AB43" s="546"/>
      <c r="AC43" s="546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5">
        <f>IFERROR(SUM(X40:X42),"0")</f>
        <v>200</v>
      </c>
      <c r="Y44" s="545">
        <f>IFERROR(SUM(Y40:Y42),"0")</f>
        <v>205.20000000000002</v>
      </c>
      <c r="Z44" s="37"/>
      <c r="AA44" s="546"/>
      <c r="AB44" s="546"/>
      <c r="AC44" s="546"/>
    </row>
    <row r="45" spans="1:68" ht="14.25" customHeight="1" x14ac:dyDescent="0.25">
      <c r="A45" s="559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8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customHeight="1" x14ac:dyDescent="0.25">
      <c r="A50" s="559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200</v>
      </c>
      <c r="Y52" s="544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208.05555555555554</v>
      </c>
      <c r="BN52" s="64">
        <f t="shared" si="2"/>
        <v>213.46499999999997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5">
        <f>IFERROR(X51/H51,"0")+IFERROR(X52/H52,"0")+IFERROR(X53/H53,"0")+IFERROR(X54/H54,"0")+IFERROR(X55/H55,"0")+IFERROR(X56/H56,"0")</f>
        <v>18.518518518518519</v>
      </c>
      <c r="Y57" s="545">
        <f>IFERROR(Y51/H51,"0")+IFERROR(Y52/H52,"0")+IFERROR(Y53/H53,"0")+IFERROR(Y54/H54,"0")+IFERROR(Y55/H55,"0")+IFERROR(Y56/H56,"0")</f>
        <v>19</v>
      </c>
      <c r="Z57" s="545">
        <f>IFERROR(IF(Z51="",0,Z51),"0")+IFERROR(IF(Z52="",0,Z52),"0")+IFERROR(IF(Z53="",0,Z53),"0")+IFERROR(IF(Z54="",0,Z54),"0")+IFERROR(IF(Z55="",0,Z55),"0")+IFERROR(IF(Z56="",0,Z56),"0")</f>
        <v>0.36062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5">
        <f>IFERROR(SUM(X51:X56),"0")</f>
        <v>200</v>
      </c>
      <c r="Y58" s="545">
        <f>IFERROR(SUM(Y51:Y56),"0")</f>
        <v>205.20000000000002</v>
      </c>
      <c r="Z58" s="37"/>
      <c r="AA58" s="546"/>
      <c r="AB58" s="546"/>
      <c r="AC58" s="546"/>
    </row>
    <row r="59" spans="1:68" ht="14.25" customHeight="1" x14ac:dyDescent="0.25">
      <c r="A59" s="559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200</v>
      </c>
      <c r="Y60" s="544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208.05555555555554</v>
      </c>
      <c r="BN60" s="64">
        <f>IFERROR(Y60*I60/H60,"0")</f>
        <v>213.46499999999997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5">
        <f>IFERROR(X60/H60,"0")+IFERROR(X61/H61,"0")+IFERROR(X62/H62,"0")</f>
        <v>18.518518518518519</v>
      </c>
      <c r="Y63" s="545">
        <f>IFERROR(Y60/H60,"0")+IFERROR(Y61/H61,"0")+IFERROR(Y62/H62,"0")</f>
        <v>19</v>
      </c>
      <c r="Z63" s="545">
        <f>IFERROR(IF(Z60="",0,Z60),"0")+IFERROR(IF(Z61="",0,Z61),"0")+IFERROR(IF(Z62="",0,Z62),"0")</f>
        <v>0.36062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5">
        <f>IFERROR(SUM(X60:X62),"0")</f>
        <v>200</v>
      </c>
      <c r="Y64" s="545">
        <f>IFERROR(SUM(Y60:Y62),"0")</f>
        <v>205.20000000000002</v>
      </c>
      <c r="Z64" s="37"/>
      <c r="AA64" s="546"/>
      <c r="AB64" s="546"/>
      <c r="AC64" s="546"/>
    </row>
    <row r="65" spans="1:68" ht="14.25" customHeight="1" x14ac:dyDescent="0.25">
      <c r="A65" s="559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9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customHeight="1" x14ac:dyDescent="0.25">
      <c r="A72" s="54" t="s">
        <v>153</v>
      </c>
      <c r="B72" s="54" t="s">
        <v>154</v>
      </c>
      <c r="C72" s="31">
        <v>4301051838</v>
      </c>
      <c r="D72" s="547">
        <v>4680115881891</v>
      </c>
      <c r="E72" s="548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84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2" t="s">
        <v>71</v>
      </c>
      <c r="Q77" s="563"/>
      <c r="R77" s="563"/>
      <c r="S77" s="563"/>
      <c r="T77" s="563"/>
      <c r="U77" s="563"/>
      <c r="V77" s="564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2" t="s">
        <v>71</v>
      </c>
      <c r="Q78" s="563"/>
      <c r="R78" s="563"/>
      <c r="S78" s="563"/>
      <c r="T78" s="563"/>
      <c r="U78" s="563"/>
      <c r="V78" s="564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customHeight="1" x14ac:dyDescent="0.25">
      <c r="A79" s="559" t="s">
        <v>166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2" t="s">
        <v>71</v>
      </c>
      <c r="Q82" s="563"/>
      <c r="R82" s="563"/>
      <c r="S82" s="563"/>
      <c r="T82" s="563"/>
      <c r="U82" s="563"/>
      <c r="V82" s="564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2" t="s">
        <v>71</v>
      </c>
      <c r="Q83" s="563"/>
      <c r="R83" s="563"/>
      <c r="S83" s="563"/>
      <c r="T83" s="563"/>
      <c r="U83" s="563"/>
      <c r="V83" s="564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customHeight="1" x14ac:dyDescent="0.25">
      <c r="A84" s="558" t="s">
        <v>173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8"/>
      <c r="AB84" s="538"/>
      <c r="AC84" s="538"/>
    </row>
    <row r="85" spans="1:68" ht="14.25" customHeight="1" x14ac:dyDescent="0.25">
      <c r="A85" s="559" t="s">
        <v>101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500</v>
      </c>
      <c r="Y86" s="544">
        <f>IFERROR(IF(X86="",0,CEILING((X86/$H86),1)*$H86),"")</f>
        <v>507.6</v>
      </c>
      <c r="Z86" s="36">
        <f>IFERROR(IF(Y86=0,"",ROUNDUP(Y86/H86,0)*0.01898),"")</f>
        <v>0.89205999999999996</v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520.1388888888888</v>
      </c>
      <c r="BN86" s="64">
        <f>IFERROR(Y86*I86/H86,"0")</f>
        <v>528.04499999999996</v>
      </c>
      <c r="BO86" s="64">
        <f>IFERROR(1/J86*(X86/H86),"0")</f>
        <v>0.72337962962962954</v>
      </c>
      <c r="BP86" s="64">
        <f>IFERROR(1/J86*(Y86/H86),"0")</f>
        <v>0.734375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2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2" t="s">
        <v>71</v>
      </c>
      <c r="Q89" s="563"/>
      <c r="R89" s="563"/>
      <c r="S89" s="563"/>
      <c r="T89" s="563"/>
      <c r="U89" s="563"/>
      <c r="V89" s="564"/>
      <c r="W89" s="37" t="s">
        <v>72</v>
      </c>
      <c r="X89" s="545">
        <f>IFERROR(X86/H86,"0")+IFERROR(X87/H87,"0")+IFERROR(X88/H88,"0")</f>
        <v>46.296296296296291</v>
      </c>
      <c r="Y89" s="545">
        <f>IFERROR(Y86/H86,"0")+IFERROR(Y87/H87,"0")+IFERROR(Y88/H88,"0")</f>
        <v>47</v>
      </c>
      <c r="Z89" s="545">
        <f>IFERROR(IF(Z86="",0,Z86),"0")+IFERROR(IF(Z87="",0,Z87),"0")+IFERROR(IF(Z88="",0,Z88),"0")</f>
        <v>0.89205999999999996</v>
      </c>
      <c r="AA89" s="546"/>
      <c r="AB89" s="546"/>
      <c r="AC89" s="546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2" t="s">
        <v>71</v>
      </c>
      <c r="Q90" s="563"/>
      <c r="R90" s="563"/>
      <c r="S90" s="563"/>
      <c r="T90" s="563"/>
      <c r="U90" s="563"/>
      <c r="V90" s="564"/>
      <c r="W90" s="37" t="s">
        <v>69</v>
      </c>
      <c r="X90" s="545">
        <f>IFERROR(SUM(X86:X88),"0")</f>
        <v>500</v>
      </c>
      <c r="Y90" s="545">
        <f>IFERROR(SUM(Y86:Y88),"0")</f>
        <v>507.6</v>
      </c>
      <c r="Z90" s="37"/>
      <c r="AA90" s="546"/>
      <c r="AB90" s="546"/>
      <c r="AC90" s="546"/>
    </row>
    <row r="91" spans="1:68" ht="14.25" customHeight="1" x14ac:dyDescent="0.25">
      <c r="A91" s="559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500</v>
      </c>
      <c r="Y92" s="544">
        <f>IFERROR(IF(X92="",0,CEILING((X92/$H92),1)*$H92),"")</f>
        <v>502.2</v>
      </c>
      <c r="Z92" s="36">
        <f>IFERROR(IF(Y92=0,"",ROUNDUP(Y92/H92,0)*0.01898),"")</f>
        <v>1.17676</v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532.03703703703707</v>
      </c>
      <c r="BN92" s="64">
        <f>IFERROR(Y92*I92/H92,"0")</f>
        <v>534.37800000000004</v>
      </c>
      <c r="BO92" s="64">
        <f>IFERROR(1/J92*(X92/H92),"0")</f>
        <v>0.96450617283950624</v>
      </c>
      <c r="BP92" s="64">
        <f>IFERROR(1/J92*(Y92/H92),"0")</f>
        <v>0.96875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9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3">
        <v>225</v>
      </c>
      <c r="Y94" s="544">
        <f>IFERROR(IF(X94="",0,CEILING((X94/$H94),1)*$H94),"")</f>
        <v>226.8</v>
      </c>
      <c r="Z94" s="36">
        <f>IFERROR(IF(Y94=0,"",ROUNDUP(Y94/H94,0)*0.00651),"")</f>
        <v>0.54683999999999999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246</v>
      </c>
      <c r="BN94" s="64">
        <f>IFERROR(Y94*I94/H94,"0")</f>
        <v>247.96799999999999</v>
      </c>
      <c r="BO94" s="64">
        <f>IFERROR(1/J94*(X94/H94),"0")</f>
        <v>0.45787545787545786</v>
      </c>
      <c r="BP94" s="64">
        <f>IFERROR(1/J94*(Y94/H94),"0")</f>
        <v>0.46153846153846156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2" t="s">
        <v>71</v>
      </c>
      <c r="Q96" s="563"/>
      <c r="R96" s="563"/>
      <c r="S96" s="563"/>
      <c r="T96" s="563"/>
      <c r="U96" s="563"/>
      <c r="V96" s="564"/>
      <c r="W96" s="37" t="s">
        <v>72</v>
      </c>
      <c r="X96" s="545">
        <f>IFERROR(X92/H92,"0")+IFERROR(X93/H93,"0")+IFERROR(X94/H94,"0")+IFERROR(X95/H95,"0")</f>
        <v>145.06172839506172</v>
      </c>
      <c r="Y96" s="545">
        <f>IFERROR(Y92/H92,"0")+IFERROR(Y93/H93,"0")+IFERROR(Y94/H94,"0")+IFERROR(Y95/H95,"0")</f>
        <v>146</v>
      </c>
      <c r="Z96" s="545">
        <f>IFERROR(IF(Z92="",0,Z92),"0")+IFERROR(IF(Z93="",0,Z93),"0")+IFERROR(IF(Z94="",0,Z94),"0")+IFERROR(IF(Z95="",0,Z95),"0")</f>
        <v>1.7236</v>
      </c>
      <c r="AA96" s="546"/>
      <c r="AB96" s="546"/>
      <c r="AC96" s="546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2" t="s">
        <v>71</v>
      </c>
      <c r="Q97" s="563"/>
      <c r="R97" s="563"/>
      <c r="S97" s="563"/>
      <c r="T97" s="563"/>
      <c r="U97" s="563"/>
      <c r="V97" s="564"/>
      <c r="W97" s="37" t="s">
        <v>69</v>
      </c>
      <c r="X97" s="545">
        <f>IFERROR(SUM(X92:X95),"0")</f>
        <v>725</v>
      </c>
      <c r="Y97" s="545">
        <f>IFERROR(SUM(Y92:Y95),"0")</f>
        <v>729</v>
      </c>
      <c r="Z97" s="37"/>
      <c r="AA97" s="546"/>
      <c r="AB97" s="546"/>
      <c r="AC97" s="546"/>
    </row>
    <row r="98" spans="1:68" ht="16.5" customHeight="1" x14ac:dyDescent="0.25">
      <c r="A98" s="558" t="s">
        <v>192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8"/>
      <c r="AB98" s="538"/>
      <c r="AC98" s="538"/>
    </row>
    <row r="99" spans="1:68" ht="14.25" customHeight="1" x14ac:dyDescent="0.25">
      <c r="A99" s="559" t="s">
        <v>101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500</v>
      </c>
      <c r="Y100" s="544">
        <f>IFERROR(IF(X100="",0,CEILING((X100/$H100),1)*$H100),"")</f>
        <v>507.6</v>
      </c>
      <c r="Z100" s="36">
        <f>IFERROR(IF(Y100=0,"",ROUNDUP(Y100/H100,0)*0.01898),"")</f>
        <v>0.89205999999999996</v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520.1388888888888</v>
      </c>
      <c r="BN100" s="64">
        <f>IFERROR(Y100*I100/H100,"0")</f>
        <v>528.04499999999996</v>
      </c>
      <c r="BO100" s="64">
        <f>IFERROR(1/J100*(X100/H100),"0")</f>
        <v>0.72337962962962954</v>
      </c>
      <c r="BP100" s="64">
        <f>IFERROR(1/J100*(Y100/H100),"0")</f>
        <v>0.734375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6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2" t="s">
        <v>71</v>
      </c>
      <c r="Q104" s="563"/>
      <c r="R104" s="563"/>
      <c r="S104" s="563"/>
      <c r="T104" s="563"/>
      <c r="U104" s="563"/>
      <c r="V104" s="564"/>
      <c r="W104" s="37" t="s">
        <v>72</v>
      </c>
      <c r="X104" s="545">
        <f>IFERROR(X100/H100,"0")+IFERROR(X101/H101,"0")+IFERROR(X102/H102,"0")+IFERROR(X103/H103,"0")</f>
        <v>46.296296296296291</v>
      </c>
      <c r="Y104" s="545">
        <f>IFERROR(Y100/H100,"0")+IFERROR(Y101/H101,"0")+IFERROR(Y102/H102,"0")+IFERROR(Y103/H103,"0")</f>
        <v>47</v>
      </c>
      <c r="Z104" s="545">
        <f>IFERROR(IF(Z100="",0,Z100),"0")+IFERROR(IF(Z101="",0,Z101),"0")+IFERROR(IF(Z102="",0,Z102),"0")+IFERROR(IF(Z103="",0,Z103),"0")</f>
        <v>0.89205999999999996</v>
      </c>
      <c r="AA104" s="546"/>
      <c r="AB104" s="546"/>
      <c r="AC104" s="546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2" t="s">
        <v>71</v>
      </c>
      <c r="Q105" s="563"/>
      <c r="R105" s="563"/>
      <c r="S105" s="563"/>
      <c r="T105" s="563"/>
      <c r="U105" s="563"/>
      <c r="V105" s="564"/>
      <c r="W105" s="37" t="s">
        <v>69</v>
      </c>
      <c r="X105" s="545">
        <f>IFERROR(SUM(X100:X103),"0")</f>
        <v>500</v>
      </c>
      <c r="Y105" s="545">
        <f>IFERROR(SUM(Y100:Y103),"0")</f>
        <v>507.6</v>
      </c>
      <c r="Z105" s="37"/>
      <c r="AA105" s="546"/>
      <c r="AB105" s="546"/>
      <c r="AC105" s="546"/>
    </row>
    <row r="106" spans="1:68" ht="14.25" customHeight="1" x14ac:dyDescent="0.25">
      <c r="A106" s="559" t="s">
        <v>136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7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2" t="s">
        <v>71</v>
      </c>
      <c r="Q110" s="563"/>
      <c r="R110" s="563"/>
      <c r="S110" s="563"/>
      <c r="T110" s="563"/>
      <c r="U110" s="563"/>
      <c r="V110" s="564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2" t="s">
        <v>71</v>
      </c>
      <c r="Q111" s="563"/>
      <c r="R111" s="563"/>
      <c r="S111" s="563"/>
      <c r="T111" s="563"/>
      <c r="U111" s="563"/>
      <c r="V111" s="564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9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64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500</v>
      </c>
      <c r="Y113" s="544">
        <f>IFERROR(IF(X113="",0,CEILING((X113/$H113),1)*$H113),"")</f>
        <v>502.2</v>
      </c>
      <c r="Z113" s="36">
        <f>IFERROR(IF(Y113=0,"",ROUNDUP(Y113/H113,0)*0.01898),"")</f>
        <v>1.17676</v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531.66666666666674</v>
      </c>
      <c r="BN113" s="64">
        <f>IFERROR(Y113*I113/H113,"0")</f>
        <v>534.00599999999997</v>
      </c>
      <c r="BO113" s="64">
        <f>IFERROR(1/J113*(X113/H113),"0")</f>
        <v>0.96450617283950624</v>
      </c>
      <c r="BP113" s="64">
        <f>IFERROR(1/J113*(Y113/H113),"0")</f>
        <v>0.96875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675</v>
      </c>
      <c r="Y115" s="544">
        <f>IFERROR(IF(X115="",0,CEILING((X115/$H115),1)*$H115),"")</f>
        <v>675</v>
      </c>
      <c r="Z115" s="36">
        <f>IFERROR(IF(Y115=0,"",ROUNDUP(Y115/H115,0)*0.00651),"")</f>
        <v>1.6274999999999999</v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737.99999999999989</v>
      </c>
      <c r="BN115" s="64">
        <f>IFERROR(Y115*I115/H115,"0")</f>
        <v>737.99999999999989</v>
      </c>
      <c r="BO115" s="64">
        <f>IFERROR(1/J115*(X115/H115),"0")</f>
        <v>1.3736263736263736</v>
      </c>
      <c r="BP115" s="64">
        <f>IFERROR(1/J115*(Y115/H115),"0")</f>
        <v>1.3736263736263736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6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2" t="s">
        <v>71</v>
      </c>
      <c r="Q117" s="563"/>
      <c r="R117" s="563"/>
      <c r="S117" s="563"/>
      <c r="T117" s="563"/>
      <c r="U117" s="563"/>
      <c r="V117" s="564"/>
      <c r="W117" s="37" t="s">
        <v>72</v>
      </c>
      <c r="X117" s="545">
        <f>IFERROR(X113/H113,"0")+IFERROR(X114/H114,"0")+IFERROR(X115/H115,"0")+IFERROR(X116/H116,"0")</f>
        <v>311.72839506172835</v>
      </c>
      <c r="Y117" s="545">
        <f>IFERROR(Y113/H113,"0")+IFERROR(Y114/H114,"0")+IFERROR(Y115/H115,"0")+IFERROR(Y116/H116,"0")</f>
        <v>312</v>
      </c>
      <c r="Z117" s="545">
        <f>IFERROR(IF(Z113="",0,Z113),"0")+IFERROR(IF(Z114="",0,Z114),"0")+IFERROR(IF(Z115="",0,Z115),"0")+IFERROR(IF(Z116="",0,Z116),"0")</f>
        <v>2.8042600000000002</v>
      </c>
      <c r="AA117" s="546"/>
      <c r="AB117" s="546"/>
      <c r="AC117" s="546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2" t="s">
        <v>71</v>
      </c>
      <c r="Q118" s="563"/>
      <c r="R118" s="563"/>
      <c r="S118" s="563"/>
      <c r="T118" s="563"/>
      <c r="U118" s="563"/>
      <c r="V118" s="564"/>
      <c r="W118" s="37" t="s">
        <v>69</v>
      </c>
      <c r="X118" s="545">
        <f>IFERROR(SUM(X113:X116),"0")</f>
        <v>1175</v>
      </c>
      <c r="Y118" s="545">
        <f>IFERROR(SUM(Y113:Y116),"0")</f>
        <v>1177.2</v>
      </c>
      <c r="Z118" s="37"/>
      <c r="AA118" s="546"/>
      <c r="AB118" s="546"/>
      <c r="AC118" s="546"/>
    </row>
    <row r="119" spans="1:68" ht="14.25" customHeight="1" x14ac:dyDescent="0.25">
      <c r="A119" s="559" t="s">
        <v>166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6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2" t="s">
        <v>71</v>
      </c>
      <c r="Q121" s="563"/>
      <c r="R121" s="563"/>
      <c r="S121" s="563"/>
      <c r="T121" s="563"/>
      <c r="U121" s="563"/>
      <c r="V121" s="564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2" t="s">
        <v>71</v>
      </c>
      <c r="Q122" s="563"/>
      <c r="R122" s="563"/>
      <c r="S122" s="563"/>
      <c r="T122" s="563"/>
      <c r="U122" s="563"/>
      <c r="V122" s="564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8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8"/>
      <c r="AB123" s="538"/>
      <c r="AC123" s="538"/>
    </row>
    <row r="124" spans="1:68" ht="14.25" customHeight="1" x14ac:dyDescent="0.25">
      <c r="A124" s="559" t="s">
        <v>101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86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2" t="s">
        <v>71</v>
      </c>
      <c r="Q127" s="563"/>
      <c r="R127" s="563"/>
      <c r="S127" s="563"/>
      <c r="T127" s="563"/>
      <c r="U127" s="563"/>
      <c r="V127" s="564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2" t="s">
        <v>71</v>
      </c>
      <c r="Q128" s="563"/>
      <c r="R128" s="563"/>
      <c r="S128" s="563"/>
      <c r="T128" s="563"/>
      <c r="U128" s="563"/>
      <c r="V128" s="564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9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2" t="s">
        <v>71</v>
      </c>
      <c r="Q132" s="563"/>
      <c r="R132" s="563"/>
      <c r="S132" s="563"/>
      <c r="T132" s="563"/>
      <c r="U132" s="563"/>
      <c r="V132" s="564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2" t="s">
        <v>71</v>
      </c>
      <c r="Q133" s="563"/>
      <c r="R133" s="563"/>
      <c r="S133" s="563"/>
      <c r="T133" s="563"/>
      <c r="U133" s="563"/>
      <c r="V133" s="564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9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84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2" t="s">
        <v>71</v>
      </c>
      <c r="Q137" s="563"/>
      <c r="R137" s="563"/>
      <c r="S137" s="563"/>
      <c r="T137" s="563"/>
      <c r="U137" s="563"/>
      <c r="V137" s="564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2" t="s">
        <v>71</v>
      </c>
      <c r="Q138" s="563"/>
      <c r="R138" s="563"/>
      <c r="S138" s="563"/>
      <c r="T138" s="563"/>
      <c r="U138" s="563"/>
      <c r="V138" s="564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58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8"/>
      <c r="AB139" s="538"/>
      <c r="AC139" s="538"/>
    </row>
    <row r="140" spans="1:68" ht="14.25" customHeight="1" x14ac:dyDescent="0.25">
      <c r="A140" s="559" t="s">
        <v>101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4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4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2" t="s">
        <v>71</v>
      </c>
      <c r="Q144" s="563"/>
      <c r="R144" s="563"/>
      <c r="S144" s="563"/>
      <c r="T144" s="563"/>
      <c r="U144" s="563"/>
      <c r="V144" s="564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2" t="s">
        <v>71</v>
      </c>
      <c r="Q145" s="563"/>
      <c r="R145" s="563"/>
      <c r="S145" s="563"/>
      <c r="T145" s="563"/>
      <c r="U145" s="563"/>
      <c r="V145" s="564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customHeight="1" x14ac:dyDescent="0.25">
      <c r="A146" s="559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3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86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2" t="s">
        <v>71</v>
      </c>
      <c r="Q150" s="563"/>
      <c r="R150" s="563"/>
      <c r="S150" s="563"/>
      <c r="T150" s="563"/>
      <c r="U150" s="563"/>
      <c r="V150" s="564"/>
      <c r="W150" s="37" t="s">
        <v>72</v>
      </c>
      <c r="X150" s="545">
        <f>IFERROR(X147/H147,"0")+IFERROR(X148/H148,"0")+IFERROR(X149/H149,"0")</f>
        <v>0</v>
      </c>
      <c r="Y150" s="545">
        <f>IFERROR(Y147/H147,"0")+IFERROR(Y148/H148,"0")+IFERROR(Y149/H149,"0")</f>
        <v>0</v>
      </c>
      <c r="Z150" s="545">
        <f>IFERROR(IF(Z147="",0,Z147),"0")+IFERROR(IF(Z148="",0,Z148),"0")+IFERROR(IF(Z149="",0,Z149),"0")</f>
        <v>0</v>
      </c>
      <c r="AA150" s="546"/>
      <c r="AB150" s="546"/>
      <c r="AC150" s="546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2" t="s">
        <v>71</v>
      </c>
      <c r="Q151" s="563"/>
      <c r="R151" s="563"/>
      <c r="S151" s="563"/>
      <c r="T151" s="563"/>
      <c r="U151" s="563"/>
      <c r="V151" s="564"/>
      <c r="W151" s="37" t="s">
        <v>69</v>
      </c>
      <c r="X151" s="545">
        <f>IFERROR(SUM(X147:X149),"0")</f>
        <v>0</v>
      </c>
      <c r="Y151" s="545">
        <f>IFERROR(SUM(Y147:Y149),"0")</f>
        <v>0</v>
      </c>
      <c r="Z151" s="37"/>
      <c r="AA151" s="546"/>
      <c r="AB151" s="546"/>
      <c r="AC151" s="546"/>
    </row>
    <row r="152" spans="1:68" ht="14.25" customHeight="1" x14ac:dyDescent="0.25">
      <c r="A152" s="559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31" t="s">
        <v>255</v>
      </c>
      <c r="Q153" s="550"/>
      <c r="R153" s="550"/>
      <c r="S153" s="550"/>
      <c r="T153" s="551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2" t="s">
        <v>71</v>
      </c>
      <c r="Q154" s="563"/>
      <c r="R154" s="563"/>
      <c r="S154" s="563"/>
      <c r="T154" s="563"/>
      <c r="U154" s="563"/>
      <c r="V154" s="564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2" t="s">
        <v>71</v>
      </c>
      <c r="Q155" s="563"/>
      <c r="R155" s="563"/>
      <c r="S155" s="563"/>
      <c r="T155" s="563"/>
      <c r="U155" s="563"/>
      <c r="V155" s="564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customHeight="1" x14ac:dyDescent="0.2">
      <c r="A156" s="566" t="s">
        <v>257</v>
      </c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48"/>
      <c r="AB156" s="48"/>
      <c r="AC156" s="48"/>
    </row>
    <row r="157" spans="1:68" ht="16.5" customHeight="1" x14ac:dyDescent="0.25">
      <c r="A157" s="558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8"/>
      <c r="AB157" s="538"/>
      <c r="AC157" s="538"/>
    </row>
    <row r="158" spans="1:68" ht="14.25" customHeight="1" x14ac:dyDescent="0.25">
      <c r="A158" s="559" t="s">
        <v>136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0"/>
      <c r="R159" s="550"/>
      <c r="S159" s="550"/>
      <c r="T159" s="551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2" t="s">
        <v>71</v>
      </c>
      <c r="Q160" s="563"/>
      <c r="R160" s="563"/>
      <c r="S160" s="563"/>
      <c r="T160" s="563"/>
      <c r="U160" s="563"/>
      <c r="V160" s="564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2" t="s">
        <v>71</v>
      </c>
      <c r="Q161" s="563"/>
      <c r="R161" s="563"/>
      <c r="S161" s="563"/>
      <c r="T161" s="563"/>
      <c r="U161" s="563"/>
      <c r="V161" s="564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customHeight="1" x14ac:dyDescent="0.25">
      <c r="A162" s="559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5">
        <f>IFERROR(SUM(X163:X171),"0")</f>
        <v>0</v>
      </c>
      <c r="Y173" s="545">
        <f>IFERROR(SUM(Y163:Y171),"0")</f>
        <v>0</v>
      </c>
      <c r="Z173" s="37"/>
      <c r="AA173" s="546"/>
      <c r="AB173" s="546"/>
      <c r="AC173" s="546"/>
    </row>
    <row r="174" spans="1:68" ht="14.25" customHeight="1" x14ac:dyDescent="0.25">
      <c r="A174" s="559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59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8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customHeight="1" x14ac:dyDescent="0.25">
      <c r="A185" s="559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9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9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59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5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80</v>
      </c>
      <c r="Y212" s="544">
        <f t="shared" si="15"/>
        <v>81.599999999999994</v>
      </c>
      <c r="Z212" s="36">
        <f t="shared" si="20"/>
        <v>0.22134000000000001</v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88.40000000000002</v>
      </c>
      <c r="BN212" s="64">
        <f t="shared" si="17"/>
        <v>90.168000000000006</v>
      </c>
      <c r="BO212" s="64">
        <f t="shared" si="18"/>
        <v>0.18315018315018317</v>
      </c>
      <c r="BP212" s="64">
        <f t="shared" si="19"/>
        <v>0.18681318681318682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160</v>
      </c>
      <c r="Y213" s="544">
        <f t="shared" si="15"/>
        <v>160.79999999999998</v>
      </c>
      <c r="Z213" s="36">
        <f t="shared" si="20"/>
        <v>0.43617</v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176.80000000000004</v>
      </c>
      <c r="BN213" s="64">
        <f t="shared" si="17"/>
        <v>177.684</v>
      </c>
      <c r="BO213" s="64">
        <f t="shared" si="18"/>
        <v>0.36630036630036633</v>
      </c>
      <c r="BP213" s="64">
        <f t="shared" si="19"/>
        <v>0.36813186813186816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100</v>
      </c>
      <c r="Y216" s="545">
        <f>IFERROR(Y207/H207,"0")+IFERROR(Y208/H208,"0")+IFERROR(Y209/H209,"0")+IFERROR(Y210/H210,"0")+IFERROR(Y211/H211,"0")+IFERROR(Y212/H212,"0")+IFERROR(Y213/H213,"0")+IFERROR(Y214/H214,"0")+IFERROR(Y215/H215,"0")</f>
        <v>101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0.65751000000000004</v>
      </c>
      <c r="AA216" s="546"/>
      <c r="AB216" s="546"/>
      <c r="AC216" s="546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5">
        <f>IFERROR(SUM(X207:X215),"0")</f>
        <v>240</v>
      </c>
      <c r="Y217" s="545">
        <f>IFERROR(SUM(Y207:Y215),"0")</f>
        <v>242.39999999999998</v>
      </c>
      <c r="Z217" s="37"/>
      <c r="AA217" s="546"/>
      <c r="AB217" s="546"/>
      <c r="AC217" s="546"/>
    </row>
    <row r="218" spans="1:68" ht="14.25" customHeight="1" x14ac:dyDescent="0.25">
      <c r="A218" s="559" t="s">
        <v>166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8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customHeight="1" x14ac:dyDescent="0.25">
      <c r="A224" s="559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59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9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59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8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customHeight="1" x14ac:dyDescent="0.25">
      <c r="A254" s="559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7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8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customHeight="1" x14ac:dyDescent="0.25">
      <c r="A263" s="559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8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customHeight="1" x14ac:dyDescent="0.25">
      <c r="A271" s="559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8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customHeight="1" x14ac:dyDescent="0.25">
      <c r="A278" s="559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9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6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customHeight="1" x14ac:dyDescent="0.25">
      <c r="A287" s="558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8"/>
      <c r="AB287" s="538"/>
      <c r="AC287" s="538"/>
    </row>
    <row r="288" spans="1:68" ht="14.25" customHeight="1" x14ac:dyDescent="0.25">
      <c r="A288" s="559" t="s">
        <v>101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customHeight="1" x14ac:dyDescent="0.25">
      <c r="A289" s="54" t="s">
        <v>448</v>
      </c>
      <c r="B289" s="54" t="s">
        <v>449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9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451</v>
      </c>
      <c r="B290" s="54" t="s">
        <v>452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454</v>
      </c>
      <c r="B291" s="54" t="s">
        <v>455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3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4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customHeight="1" x14ac:dyDescent="0.25">
      <c r="A297" s="559" t="s">
        <v>64</v>
      </c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4"/>
      <c r="P297" s="554"/>
      <c r="Q297" s="554"/>
      <c r="R297" s="554"/>
      <c r="S297" s="554"/>
      <c r="T297" s="554"/>
      <c r="U297" s="554"/>
      <c r="V297" s="554"/>
      <c r="W297" s="554"/>
      <c r="X297" s="554"/>
      <c r="Y297" s="554"/>
      <c r="Z297" s="554"/>
      <c r="AA297" s="537"/>
      <c r="AB297" s="537"/>
      <c r="AC297" s="537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0</v>
      </c>
      <c r="Y298" s="544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0</v>
      </c>
      <c r="Y299" s="544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9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3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0</v>
      </c>
      <c r="Y305" s="545">
        <f>IFERROR(Y298/H298,"0")+IFERROR(Y299/H299,"0")+IFERROR(Y300/H300,"0")+IFERROR(Y301/H301,"0")+IFERROR(Y302/H302,"0")+IFERROR(Y303/H303,"0")+IFERROR(Y304/H304,"0")</f>
        <v>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6"/>
      <c r="AB305" s="546"/>
      <c r="AC305" s="546"/>
    </row>
    <row r="306" spans="1:68" x14ac:dyDescent="0.2">
      <c r="A306" s="554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5">
        <f>IFERROR(SUM(X298:X304),"0")</f>
        <v>0</v>
      </c>
      <c r="Y306" s="545">
        <f>IFERROR(SUM(Y298:Y304),"0")</f>
        <v>0</v>
      </c>
      <c r="Z306" s="37"/>
      <c r="AA306" s="546"/>
      <c r="AB306" s="546"/>
      <c r="AC306" s="546"/>
    </row>
    <row r="307" spans="1:68" ht="14.25" customHeight="1" x14ac:dyDescent="0.25">
      <c r="A307" s="559" t="s">
        <v>73</v>
      </c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4"/>
      <c r="P307" s="554"/>
      <c r="Q307" s="554"/>
      <c r="R307" s="554"/>
      <c r="S307" s="554"/>
      <c r="T307" s="554"/>
      <c r="U307" s="554"/>
      <c r="V307" s="554"/>
      <c r="W307" s="554"/>
      <c r="X307" s="554"/>
      <c r="Y307" s="554"/>
      <c r="Z307" s="554"/>
      <c r="AA307" s="537"/>
      <c r="AB307" s="537"/>
      <c r="AC307" s="537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0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496</v>
      </c>
      <c r="B312" s="54" t="s">
        <v>497</v>
      </c>
      <c r="C312" s="31">
        <v>4301051578</v>
      </c>
      <c r="D312" s="547">
        <v>4607091387513</v>
      </c>
      <c r="E312" s="548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66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2" t="s">
        <v>71</v>
      </c>
      <c r="Q313" s="563"/>
      <c r="R313" s="563"/>
      <c r="S313" s="563"/>
      <c r="T313" s="563"/>
      <c r="U313" s="563"/>
      <c r="V313" s="564"/>
      <c r="W313" s="37" t="s">
        <v>72</v>
      </c>
      <c r="X313" s="545">
        <f>IFERROR(X308/H308,"0")+IFERROR(X309/H309,"0")+IFERROR(X310/H310,"0")+IFERROR(X311/H311,"0")+IFERROR(X312/H312,"0")</f>
        <v>0</v>
      </c>
      <c r="Y313" s="545">
        <f>IFERROR(Y308/H308,"0")+IFERROR(Y309/H309,"0")+IFERROR(Y310/H310,"0")+IFERROR(Y311/H311,"0")+IFERROR(Y312/H312,"0")</f>
        <v>0</v>
      </c>
      <c r="Z313" s="545">
        <f>IFERROR(IF(Z308="",0,Z308),"0")+IFERROR(IF(Z309="",0,Z309),"0")+IFERROR(IF(Z310="",0,Z310),"0")+IFERROR(IF(Z311="",0,Z311),"0")+IFERROR(IF(Z312="",0,Z312),"0")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2" t="s">
        <v>71</v>
      </c>
      <c r="Q314" s="563"/>
      <c r="R314" s="563"/>
      <c r="S314" s="563"/>
      <c r="T314" s="563"/>
      <c r="U314" s="563"/>
      <c r="V314" s="564"/>
      <c r="W314" s="37" t="s">
        <v>69</v>
      </c>
      <c r="X314" s="545">
        <f>IFERROR(SUM(X308:X312),"0")</f>
        <v>0</v>
      </c>
      <c r="Y314" s="545">
        <f>IFERROR(SUM(Y308:Y312),"0")</f>
        <v>0</v>
      </c>
      <c r="Z314" s="37"/>
      <c r="AA314" s="546"/>
      <c r="AB314" s="546"/>
      <c r="AC314" s="546"/>
    </row>
    <row r="315" spans="1:68" ht="14.25" customHeight="1" x14ac:dyDescent="0.25">
      <c r="A315" s="559" t="s">
        <v>166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7"/>
      <c r="AB315" s="537"/>
      <c r="AC315" s="537"/>
    </row>
    <row r="316" spans="1:68" ht="27" customHeight="1" x14ac:dyDescent="0.25">
      <c r="A316" s="54" t="s">
        <v>499</v>
      </c>
      <c r="B316" s="54" t="s">
        <v>500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400</v>
      </c>
      <c r="Y317" s="544">
        <f>IFERROR(IF(X317="",0,CEILING((X317/$H317),1)*$H317),"")</f>
        <v>405.59999999999997</v>
      </c>
      <c r="Z317" s="36">
        <f>IFERROR(IF(Y317=0,"",ROUNDUP(Y317/H317,0)*0.01898),"")</f>
        <v>0.98696000000000006</v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426.6153846153847</v>
      </c>
      <c r="BN317" s="64">
        <f>IFERROR(Y317*I317/H317,"0")</f>
        <v>432.58800000000002</v>
      </c>
      <c r="BO317" s="64">
        <f>IFERROR(1/J317*(X317/H317),"0")</f>
        <v>0.80128205128205132</v>
      </c>
      <c r="BP317" s="64">
        <f>IFERROR(1/J317*(Y317/H317),"0")</f>
        <v>0.8125</v>
      </c>
    </row>
    <row r="318" spans="1:68" ht="16.5" customHeight="1" x14ac:dyDescent="0.25">
      <c r="A318" s="54" t="s">
        <v>505</v>
      </c>
      <c r="B318" s="54" t="s">
        <v>506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2" t="s">
        <v>71</v>
      </c>
      <c r="Q319" s="563"/>
      <c r="R319" s="563"/>
      <c r="S319" s="563"/>
      <c r="T319" s="563"/>
      <c r="U319" s="563"/>
      <c r="V319" s="564"/>
      <c r="W319" s="37" t="s">
        <v>72</v>
      </c>
      <c r="X319" s="545">
        <f>IFERROR(X316/H316,"0")+IFERROR(X317/H317,"0")+IFERROR(X318/H318,"0")</f>
        <v>51.282051282051285</v>
      </c>
      <c r="Y319" s="545">
        <f>IFERROR(Y316/H316,"0")+IFERROR(Y317/H317,"0")+IFERROR(Y318/H318,"0")</f>
        <v>52</v>
      </c>
      <c r="Z319" s="545">
        <f>IFERROR(IF(Z316="",0,Z316),"0")+IFERROR(IF(Z317="",0,Z317),"0")+IFERROR(IF(Z318="",0,Z318),"0")</f>
        <v>0.98696000000000006</v>
      </c>
      <c r="AA319" s="546"/>
      <c r="AB319" s="546"/>
      <c r="AC319" s="546"/>
    </row>
    <row r="320" spans="1:68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2" t="s">
        <v>71</v>
      </c>
      <c r="Q320" s="563"/>
      <c r="R320" s="563"/>
      <c r="S320" s="563"/>
      <c r="T320" s="563"/>
      <c r="U320" s="563"/>
      <c r="V320" s="564"/>
      <c r="W320" s="37" t="s">
        <v>69</v>
      </c>
      <c r="X320" s="545">
        <f>IFERROR(SUM(X316:X318),"0")</f>
        <v>400</v>
      </c>
      <c r="Y320" s="545">
        <f>IFERROR(SUM(Y316:Y318),"0")</f>
        <v>405.59999999999997</v>
      </c>
      <c r="Z320" s="37"/>
      <c r="AA320" s="546"/>
      <c r="AB320" s="546"/>
      <c r="AC320" s="546"/>
    </row>
    <row r="321" spans="1:68" ht="14.25" customHeight="1" x14ac:dyDescent="0.25">
      <c r="A321" s="559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7"/>
      <c r="AB321" s="537"/>
      <c r="AC321" s="537"/>
    </row>
    <row r="322" spans="1:68" ht="27" customHeight="1" x14ac:dyDescent="0.25">
      <c r="A322" s="54" t="s">
        <v>508</v>
      </c>
      <c r="B322" s="54" t="s">
        <v>509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4" t="s">
        <v>513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517</v>
      </c>
      <c r="B325" s="54" t="s">
        <v>518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34</v>
      </c>
      <c r="Y325" s="544">
        <f>IFERROR(IF(X325="",0,CEILING((X325/$H325),1)*$H325),"")</f>
        <v>35.699999999999996</v>
      </c>
      <c r="Z325" s="36">
        <f>IFERROR(IF(Y325=0,"",ROUNDUP(Y325/H325,0)*0.00651),"")</f>
        <v>9.1139999999999999E-2</v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38.400000000000006</v>
      </c>
      <c r="BN325" s="64">
        <f>IFERROR(Y325*I325/H325,"0")</f>
        <v>40.32</v>
      </c>
      <c r="BO325" s="64">
        <f>IFERROR(1/J325*(X325/H325),"0")</f>
        <v>7.3260073260073263E-2</v>
      </c>
      <c r="BP325" s="64">
        <f>IFERROR(1/J325*(Y325/H325),"0")</f>
        <v>7.6923076923076927E-2</v>
      </c>
    </row>
    <row r="326" spans="1:68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2" t="s">
        <v>71</v>
      </c>
      <c r="Q326" s="563"/>
      <c r="R326" s="563"/>
      <c r="S326" s="563"/>
      <c r="T326" s="563"/>
      <c r="U326" s="563"/>
      <c r="V326" s="564"/>
      <c r="W326" s="37" t="s">
        <v>72</v>
      </c>
      <c r="X326" s="545">
        <f>IFERROR(X322/H322,"0")+IFERROR(X323/H323,"0")+IFERROR(X324/H324,"0")+IFERROR(X325/H325,"0")</f>
        <v>13.333333333333334</v>
      </c>
      <c r="Y326" s="545">
        <f>IFERROR(Y322/H322,"0")+IFERROR(Y323/H323,"0")+IFERROR(Y324/H324,"0")+IFERROR(Y325/H325,"0")</f>
        <v>14</v>
      </c>
      <c r="Z326" s="545">
        <f>IFERROR(IF(Z322="",0,Z322),"0")+IFERROR(IF(Z323="",0,Z323),"0")+IFERROR(IF(Z324="",0,Z324),"0")+IFERROR(IF(Z325="",0,Z325),"0")</f>
        <v>9.1139999999999999E-2</v>
      </c>
      <c r="AA326" s="546"/>
      <c r="AB326" s="546"/>
      <c r="AC326" s="546"/>
    </row>
    <row r="327" spans="1:68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2" t="s">
        <v>71</v>
      </c>
      <c r="Q327" s="563"/>
      <c r="R327" s="563"/>
      <c r="S327" s="563"/>
      <c r="T327" s="563"/>
      <c r="U327" s="563"/>
      <c r="V327" s="564"/>
      <c r="W327" s="37" t="s">
        <v>69</v>
      </c>
      <c r="X327" s="545">
        <f>IFERROR(SUM(X322:X325),"0")</f>
        <v>34</v>
      </c>
      <c r="Y327" s="545">
        <f>IFERROR(SUM(Y322:Y325),"0")</f>
        <v>35.699999999999996</v>
      </c>
      <c r="Z327" s="37"/>
      <c r="AA327" s="546"/>
      <c r="AB327" s="546"/>
      <c r="AC327" s="546"/>
    </row>
    <row r="328" spans="1:68" ht="14.25" customHeight="1" x14ac:dyDescent="0.25">
      <c r="A328" s="559" t="s">
        <v>519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7"/>
      <c r="AB328" s="537"/>
      <c r="AC328" s="537"/>
    </row>
    <row r="329" spans="1:68" ht="16.5" customHeight="1" x14ac:dyDescent="0.25">
      <c r="A329" s="54" t="s">
        <v>520</v>
      </c>
      <c r="B329" s="54" t="s">
        <v>521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5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526</v>
      </c>
      <c r="B331" s="54" t="s">
        <v>527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6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2" t="s">
        <v>71</v>
      </c>
      <c r="Q332" s="563"/>
      <c r="R332" s="563"/>
      <c r="S332" s="563"/>
      <c r="T332" s="563"/>
      <c r="U332" s="563"/>
      <c r="V332" s="564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2" t="s">
        <v>71</v>
      </c>
      <c r="Q333" s="563"/>
      <c r="R333" s="563"/>
      <c r="S333" s="563"/>
      <c r="T333" s="563"/>
      <c r="U333" s="563"/>
      <c r="V333" s="564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8" t="s">
        <v>528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customHeight="1" x14ac:dyDescent="0.25">
      <c r="A335" s="559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7"/>
      <c r="AB335" s="537"/>
      <c r="AC335" s="537"/>
    </row>
    <row r="336" spans="1:68" ht="27" customHeight="1" x14ac:dyDescent="0.25">
      <c r="A336" s="54" t="s">
        <v>529</v>
      </c>
      <c r="B336" s="54" t="s">
        <v>530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535</v>
      </c>
      <c r="B338" s="54" t="s">
        <v>536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2" t="s">
        <v>71</v>
      </c>
      <c r="Q339" s="563"/>
      <c r="R339" s="563"/>
      <c r="S339" s="563"/>
      <c r="T339" s="563"/>
      <c r="U339" s="563"/>
      <c r="V339" s="564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2" t="s">
        <v>71</v>
      </c>
      <c r="Q340" s="563"/>
      <c r="R340" s="563"/>
      <c r="S340" s="563"/>
      <c r="T340" s="563"/>
      <c r="U340" s="563"/>
      <c r="V340" s="564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customHeight="1" x14ac:dyDescent="0.2">
      <c r="A341" s="566" t="s">
        <v>538</v>
      </c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48"/>
      <c r="AB341" s="48"/>
      <c r="AC341" s="48"/>
    </row>
    <row r="342" spans="1:68" ht="16.5" customHeight="1" x14ac:dyDescent="0.25">
      <c r="A342" s="558" t="s">
        <v>539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customHeight="1" x14ac:dyDescent="0.25">
      <c r="A343" s="559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7"/>
      <c r="AB343" s="537"/>
      <c r="AC343" s="537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1000</v>
      </c>
      <c r="Y344" s="544">
        <f t="shared" ref="Y344:Y350" si="36">IFERROR(IF(X344="",0,CEILING((X344/$H344),1)*$H344),"")</f>
        <v>1005</v>
      </c>
      <c r="Z344" s="36">
        <f>IFERROR(IF(Y344=0,"",ROUNDUP(Y344/H344,0)*0.02175),"")</f>
        <v>1.4572499999999999</v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1032</v>
      </c>
      <c r="BN344" s="64">
        <f t="shared" ref="BN344:BN350" si="38">IFERROR(Y344*I344/H344,"0")</f>
        <v>1037.1600000000001</v>
      </c>
      <c r="BO344" s="64">
        <f t="shared" ref="BO344:BO350" si="39">IFERROR(1/J344*(X344/H344),"0")</f>
        <v>1.3888888888888888</v>
      </c>
      <c r="BP344" s="64">
        <f t="shared" ref="BP344:BP350" si="40">IFERROR(1/J344*(Y344/H344),"0")</f>
        <v>1.3958333333333333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1000</v>
      </c>
      <c r="Y345" s="544">
        <f t="shared" si="36"/>
        <v>1005</v>
      </c>
      <c r="Z345" s="36">
        <f>IFERROR(IF(Y345=0,"",ROUNDUP(Y345/H345,0)*0.02175),"")</f>
        <v>1.4572499999999999</v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1032</v>
      </c>
      <c r="BN345" s="64">
        <f t="shared" si="38"/>
        <v>1037.1600000000001</v>
      </c>
      <c r="BO345" s="64">
        <f t="shared" si="39"/>
        <v>1.3888888888888888</v>
      </c>
      <c r="BP345" s="64">
        <f t="shared" si="40"/>
        <v>1.3958333333333333</v>
      </c>
    </row>
    <row r="346" spans="1:68" ht="27" customHeight="1" x14ac:dyDescent="0.25">
      <c r="A346" s="54" t="s">
        <v>546</v>
      </c>
      <c r="B346" s="54" t="s">
        <v>547</v>
      </c>
      <c r="C346" s="31">
        <v>4301011832</v>
      </c>
      <c r="D346" s="547">
        <v>4607091383997</v>
      </c>
      <c r="E346" s="548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80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37.5" customHeight="1" x14ac:dyDescent="0.25">
      <c r="A347" s="54" t="s">
        <v>549</v>
      </c>
      <c r="B347" s="54" t="s">
        <v>550</v>
      </c>
      <c r="C347" s="31">
        <v>4301011867</v>
      </c>
      <c r="D347" s="547">
        <v>4680115884830</v>
      </c>
      <c r="E347" s="548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1000</v>
      </c>
      <c r="Y347" s="544">
        <f t="shared" si="36"/>
        <v>1005</v>
      </c>
      <c r="Z347" s="36">
        <f>IFERROR(IF(Y347=0,"",ROUNDUP(Y347/H347,0)*0.02175),"")</f>
        <v>1.4572499999999999</v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1032</v>
      </c>
      <c r="BN347" s="64">
        <f t="shared" si="38"/>
        <v>1037.1600000000001</v>
      </c>
      <c r="BO347" s="64">
        <f t="shared" si="39"/>
        <v>1.3888888888888888</v>
      </c>
      <c r="BP347" s="64">
        <f t="shared" si="40"/>
        <v>1.3958333333333333</v>
      </c>
    </row>
    <row r="348" spans="1:68" ht="27" customHeight="1" x14ac:dyDescent="0.25">
      <c r="A348" s="54" t="s">
        <v>552</v>
      </c>
      <c r="B348" s="54" t="s">
        <v>553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557</v>
      </c>
      <c r="B350" s="54" t="s">
        <v>558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2" t="s">
        <v>71</v>
      </c>
      <c r="Q351" s="563"/>
      <c r="R351" s="563"/>
      <c r="S351" s="563"/>
      <c r="T351" s="563"/>
      <c r="U351" s="563"/>
      <c r="V351" s="564"/>
      <c r="W351" s="37" t="s">
        <v>72</v>
      </c>
      <c r="X351" s="545">
        <f>IFERROR(X344/H344,"0")+IFERROR(X345/H345,"0")+IFERROR(X346/H346,"0")+IFERROR(X347/H347,"0")+IFERROR(X348/H348,"0")+IFERROR(X349/H349,"0")+IFERROR(X350/H350,"0")</f>
        <v>200</v>
      </c>
      <c r="Y351" s="545">
        <f>IFERROR(Y344/H344,"0")+IFERROR(Y345/H345,"0")+IFERROR(Y346/H346,"0")+IFERROR(Y347/H347,"0")+IFERROR(Y348/H348,"0")+IFERROR(Y349/H349,"0")+IFERROR(Y350/H350,"0")</f>
        <v>201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4.3717499999999996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2" t="s">
        <v>71</v>
      </c>
      <c r="Q352" s="563"/>
      <c r="R352" s="563"/>
      <c r="S352" s="563"/>
      <c r="T352" s="563"/>
      <c r="U352" s="563"/>
      <c r="V352" s="564"/>
      <c r="W352" s="37" t="s">
        <v>69</v>
      </c>
      <c r="X352" s="545">
        <f>IFERROR(SUM(X344:X350),"0")</f>
        <v>3000</v>
      </c>
      <c r="Y352" s="545">
        <f>IFERROR(SUM(Y344:Y350),"0")</f>
        <v>3015</v>
      </c>
      <c r="Z352" s="37"/>
      <c r="AA352" s="546"/>
      <c r="AB352" s="546"/>
      <c r="AC352" s="546"/>
    </row>
    <row r="353" spans="1:68" ht="14.25" customHeight="1" x14ac:dyDescent="0.25">
      <c r="A353" s="559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7"/>
      <c r="AB353" s="537"/>
      <c r="AC353" s="537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1000</v>
      </c>
      <c r="Y354" s="544">
        <f>IFERROR(IF(X354="",0,CEILING((X354/$H354),1)*$H354),"")</f>
        <v>1005</v>
      </c>
      <c r="Z354" s="36">
        <f>IFERROR(IF(Y354=0,"",ROUNDUP(Y354/H354,0)*0.02175),"")</f>
        <v>1.4572499999999999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1032</v>
      </c>
      <c r="BN354" s="64">
        <f>IFERROR(Y354*I354/H354,"0")</f>
        <v>1037.1600000000001</v>
      </c>
      <c r="BO354" s="64">
        <f>IFERROR(1/J354*(X354/H354),"0")</f>
        <v>1.3888888888888888</v>
      </c>
      <c r="BP354" s="64">
        <f>IFERROR(1/J354*(Y354/H354),"0")</f>
        <v>1.3958333333333333</v>
      </c>
    </row>
    <row r="355" spans="1:68" ht="16.5" customHeight="1" x14ac:dyDescent="0.25">
      <c r="A355" s="54" t="s">
        <v>562</v>
      </c>
      <c r="B355" s="54" t="s">
        <v>563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2" t="s">
        <v>71</v>
      </c>
      <c r="Q356" s="563"/>
      <c r="R356" s="563"/>
      <c r="S356" s="563"/>
      <c r="T356" s="563"/>
      <c r="U356" s="563"/>
      <c r="V356" s="564"/>
      <c r="W356" s="37" t="s">
        <v>72</v>
      </c>
      <c r="X356" s="545">
        <f>IFERROR(X354/H354,"0")+IFERROR(X355/H355,"0")</f>
        <v>66.666666666666671</v>
      </c>
      <c r="Y356" s="545">
        <f>IFERROR(Y354/H354,"0")+IFERROR(Y355/H355,"0")</f>
        <v>67</v>
      </c>
      <c r="Z356" s="545">
        <f>IFERROR(IF(Z354="",0,Z354),"0")+IFERROR(IF(Z355="",0,Z355),"0")</f>
        <v>1.4572499999999999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2" t="s">
        <v>71</v>
      </c>
      <c r="Q357" s="563"/>
      <c r="R357" s="563"/>
      <c r="S357" s="563"/>
      <c r="T357" s="563"/>
      <c r="U357" s="563"/>
      <c r="V357" s="564"/>
      <c r="W357" s="37" t="s">
        <v>69</v>
      </c>
      <c r="X357" s="545">
        <f>IFERROR(SUM(X354:X355),"0")</f>
        <v>1000</v>
      </c>
      <c r="Y357" s="545">
        <f>IFERROR(SUM(Y354:Y355),"0")</f>
        <v>1005</v>
      </c>
      <c r="Z357" s="37"/>
      <c r="AA357" s="546"/>
      <c r="AB357" s="546"/>
      <c r="AC357" s="546"/>
    </row>
    <row r="358" spans="1:68" ht="14.25" customHeight="1" x14ac:dyDescent="0.25">
      <c r="A358" s="559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7"/>
      <c r="AB358" s="537"/>
      <c r="AC358" s="537"/>
    </row>
    <row r="359" spans="1:68" ht="27" customHeight="1" x14ac:dyDescent="0.25">
      <c r="A359" s="54" t="s">
        <v>564</v>
      </c>
      <c r="B359" s="54" t="s">
        <v>565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567</v>
      </c>
      <c r="B360" s="54" t="s">
        <v>568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2" t="s">
        <v>71</v>
      </c>
      <c r="Q361" s="563"/>
      <c r="R361" s="563"/>
      <c r="S361" s="563"/>
      <c r="T361" s="563"/>
      <c r="U361" s="563"/>
      <c r="V361" s="564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2" t="s">
        <v>71</v>
      </c>
      <c r="Q362" s="563"/>
      <c r="R362" s="563"/>
      <c r="S362" s="563"/>
      <c r="T362" s="563"/>
      <c r="U362" s="563"/>
      <c r="V362" s="564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59" t="s">
        <v>166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7"/>
      <c r="AB363" s="537"/>
      <c r="AC363" s="537"/>
    </row>
    <row r="364" spans="1:68" ht="16.5" customHeight="1" x14ac:dyDescent="0.25">
      <c r="A364" s="54" t="s">
        <v>570</v>
      </c>
      <c r="B364" s="54" t="s">
        <v>571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2" t="s">
        <v>71</v>
      </c>
      <c r="Q365" s="563"/>
      <c r="R365" s="563"/>
      <c r="S365" s="563"/>
      <c r="T365" s="563"/>
      <c r="U365" s="563"/>
      <c r="V365" s="564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2" t="s">
        <v>71</v>
      </c>
      <c r="Q366" s="563"/>
      <c r="R366" s="563"/>
      <c r="S366" s="563"/>
      <c r="T366" s="563"/>
      <c r="U366" s="563"/>
      <c r="V366" s="564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8" t="s">
        <v>573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customHeight="1" x14ac:dyDescent="0.25">
      <c r="A368" s="559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7"/>
      <c r="AB368" s="537"/>
      <c r="AC368" s="537"/>
    </row>
    <row r="369" spans="1:68" ht="37.5" customHeight="1" x14ac:dyDescent="0.25">
      <c r="A369" s="54" t="s">
        <v>574</v>
      </c>
      <c r="B369" s="54" t="s">
        <v>575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577</v>
      </c>
      <c r="B370" s="54" t="s">
        <v>578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2" t="s">
        <v>71</v>
      </c>
      <c r="Q371" s="563"/>
      <c r="R371" s="563"/>
      <c r="S371" s="563"/>
      <c r="T371" s="563"/>
      <c r="U371" s="563"/>
      <c r="V371" s="564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2" t="s">
        <v>71</v>
      </c>
      <c r="Q372" s="563"/>
      <c r="R372" s="563"/>
      <c r="S372" s="563"/>
      <c r="T372" s="563"/>
      <c r="U372" s="563"/>
      <c r="V372" s="564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59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7"/>
      <c r="AB373" s="537"/>
      <c r="AC373" s="537"/>
    </row>
    <row r="374" spans="1:68" ht="27" customHeight="1" x14ac:dyDescent="0.25">
      <c r="A374" s="54" t="s">
        <v>579</v>
      </c>
      <c r="B374" s="54" t="s">
        <v>580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579</v>
      </c>
      <c r="B375" s="54" t="s">
        <v>582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2" t="s">
        <v>71</v>
      </c>
      <c r="Q376" s="563"/>
      <c r="R376" s="563"/>
      <c r="S376" s="563"/>
      <c r="T376" s="563"/>
      <c r="U376" s="563"/>
      <c r="V376" s="564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2" t="s">
        <v>71</v>
      </c>
      <c r="Q377" s="563"/>
      <c r="R377" s="563"/>
      <c r="S377" s="563"/>
      <c r="T377" s="563"/>
      <c r="U377" s="563"/>
      <c r="V377" s="564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59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7"/>
      <c r="AB378" s="537"/>
      <c r="AC378" s="537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500</v>
      </c>
      <c r="Y379" s="544">
        <f>IFERROR(IF(X379="",0,CEILING((X379/$H379),1)*$H379),"")</f>
        <v>504</v>
      </c>
      <c r="Z379" s="36">
        <f>IFERROR(IF(Y379=0,"",ROUNDUP(Y379/H379,0)*0.01898),"")</f>
        <v>1.06288</v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528.83333333333337</v>
      </c>
      <c r="BN379" s="64">
        <f>IFERROR(Y379*I379/H379,"0")</f>
        <v>533.06399999999996</v>
      </c>
      <c r="BO379" s="64">
        <f>IFERROR(1/J379*(X379/H379),"0")</f>
        <v>0.86805555555555558</v>
      </c>
      <c r="BP379" s="64">
        <f>IFERROR(1/J379*(Y379/H379),"0")</f>
        <v>0.875</v>
      </c>
    </row>
    <row r="380" spans="1:68" ht="27" customHeight="1" x14ac:dyDescent="0.25">
      <c r="A380" s="54" t="s">
        <v>587</v>
      </c>
      <c r="B380" s="54" t="s">
        <v>588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80</v>
      </c>
      <c r="Y380" s="544">
        <f>IFERROR(IF(X380="",0,CEILING((X380/$H380),1)*$H380),"")</f>
        <v>81.599999999999994</v>
      </c>
      <c r="Z380" s="36">
        <f>IFERROR(IF(Y380=0,"",ROUNDUP(Y380/H380,0)*0.00651),"")</f>
        <v>0.22134000000000001</v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88.800000000000011</v>
      </c>
      <c r="BN380" s="64">
        <f>IFERROR(Y380*I380/H380,"0")</f>
        <v>90.575999999999993</v>
      </c>
      <c r="BO380" s="64">
        <f>IFERROR(1/J380*(X380/H380),"0")</f>
        <v>0.18315018315018317</v>
      </c>
      <c r="BP380" s="64">
        <f>IFERROR(1/J380*(Y380/H380),"0")</f>
        <v>0.18681318681318682</v>
      </c>
    </row>
    <row r="381" spans="1:68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2" t="s">
        <v>71</v>
      </c>
      <c r="Q381" s="563"/>
      <c r="R381" s="563"/>
      <c r="S381" s="563"/>
      <c r="T381" s="563"/>
      <c r="U381" s="563"/>
      <c r="V381" s="564"/>
      <c r="W381" s="37" t="s">
        <v>72</v>
      </c>
      <c r="X381" s="545">
        <f>IFERROR(X379/H379,"0")+IFERROR(X380/H380,"0")</f>
        <v>88.888888888888886</v>
      </c>
      <c r="Y381" s="545">
        <f>IFERROR(Y379/H379,"0")+IFERROR(Y380/H380,"0")</f>
        <v>90</v>
      </c>
      <c r="Z381" s="545">
        <f>IFERROR(IF(Z379="",0,Z379),"0")+IFERROR(IF(Z380="",0,Z380),"0")</f>
        <v>1.2842200000000001</v>
      </c>
      <c r="AA381" s="546"/>
      <c r="AB381" s="546"/>
      <c r="AC381" s="546"/>
    </row>
    <row r="382" spans="1:68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2" t="s">
        <v>71</v>
      </c>
      <c r="Q382" s="563"/>
      <c r="R382" s="563"/>
      <c r="S382" s="563"/>
      <c r="T382" s="563"/>
      <c r="U382" s="563"/>
      <c r="V382" s="564"/>
      <c r="W382" s="37" t="s">
        <v>69</v>
      </c>
      <c r="X382" s="545">
        <f>IFERROR(SUM(X379:X380),"0")</f>
        <v>580</v>
      </c>
      <c r="Y382" s="545">
        <f>IFERROR(SUM(Y379:Y380),"0")</f>
        <v>585.6</v>
      </c>
      <c r="Z382" s="37"/>
      <c r="AA382" s="546"/>
      <c r="AB382" s="546"/>
      <c r="AC382" s="546"/>
    </row>
    <row r="383" spans="1:68" ht="27.75" customHeight="1" x14ac:dyDescent="0.2">
      <c r="A383" s="566" t="s">
        <v>589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8"/>
      <c r="AB383" s="48"/>
      <c r="AC383" s="48"/>
    </row>
    <row r="384" spans="1:68" ht="16.5" customHeight="1" x14ac:dyDescent="0.25">
      <c r="A384" s="558" t="s">
        <v>590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customHeight="1" x14ac:dyDescent="0.25">
      <c r="A385" s="559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7"/>
      <c r="AB385" s="537"/>
      <c r="AC385" s="537"/>
    </row>
    <row r="386" spans="1:68" ht="27" customHeight="1" x14ac:dyDescent="0.25">
      <c r="A386" s="54" t="s">
        <v>591</v>
      </c>
      <c r="B386" s="54" t="s">
        <v>592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600</v>
      </c>
      <c r="B389" s="54" t="s">
        <v>601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602</v>
      </c>
      <c r="B390" s="54" t="s">
        <v>603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604</v>
      </c>
      <c r="B391" s="54" t="s">
        <v>605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610</v>
      </c>
      <c r="B393" s="54" t="s">
        <v>611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613</v>
      </c>
      <c r="B394" s="54" t="s">
        <v>614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0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2" t="s">
        <v>71</v>
      </c>
      <c r="Q395" s="563"/>
      <c r="R395" s="563"/>
      <c r="S395" s="563"/>
      <c r="T395" s="563"/>
      <c r="U395" s="563"/>
      <c r="V395" s="56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2" t="s">
        <v>71</v>
      </c>
      <c r="Q396" s="563"/>
      <c r="R396" s="563"/>
      <c r="S396" s="563"/>
      <c r="T396" s="563"/>
      <c r="U396" s="563"/>
      <c r="V396" s="564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customHeight="1" x14ac:dyDescent="0.25">
      <c r="A397" s="559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7"/>
      <c r="AB397" s="537"/>
      <c r="AC397" s="537"/>
    </row>
    <row r="398" spans="1:68" ht="27" customHeight="1" x14ac:dyDescent="0.25">
      <c r="A398" s="54" t="s">
        <v>615</v>
      </c>
      <c r="B398" s="54" t="s">
        <v>616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618</v>
      </c>
      <c r="B399" s="54" t="s">
        <v>619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2" t="s">
        <v>71</v>
      </c>
      <c r="Q400" s="563"/>
      <c r="R400" s="563"/>
      <c r="S400" s="563"/>
      <c r="T400" s="563"/>
      <c r="U400" s="563"/>
      <c r="V400" s="56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2" t="s">
        <v>71</v>
      </c>
      <c r="Q401" s="563"/>
      <c r="R401" s="563"/>
      <c r="S401" s="563"/>
      <c r="T401" s="563"/>
      <c r="U401" s="563"/>
      <c r="V401" s="56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8" t="s">
        <v>621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customHeight="1" x14ac:dyDescent="0.25">
      <c r="A403" s="559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7"/>
      <c r="AB403" s="537"/>
      <c r="AC403" s="537"/>
    </row>
    <row r="404" spans="1:68" ht="27" customHeight="1" x14ac:dyDescent="0.25">
      <c r="A404" s="54" t="s">
        <v>622</v>
      </c>
      <c r="B404" s="54" t="s">
        <v>623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2" t="s">
        <v>71</v>
      </c>
      <c r="Q405" s="563"/>
      <c r="R405" s="563"/>
      <c r="S405" s="563"/>
      <c r="T405" s="563"/>
      <c r="U405" s="563"/>
      <c r="V405" s="56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2" t="s">
        <v>71</v>
      </c>
      <c r="Q406" s="563"/>
      <c r="R406" s="563"/>
      <c r="S406" s="563"/>
      <c r="T406" s="563"/>
      <c r="U406" s="563"/>
      <c r="V406" s="56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9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7"/>
      <c r="AB407" s="537"/>
      <c r="AC407" s="537"/>
    </row>
    <row r="408" spans="1:68" ht="27" customHeight="1" x14ac:dyDescent="0.25">
      <c r="A408" s="54" t="s">
        <v>625</v>
      </c>
      <c r="B408" s="54" t="s">
        <v>626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634</v>
      </c>
      <c r="B411" s="54" t="s">
        <v>635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2" t="s">
        <v>71</v>
      </c>
      <c r="Q412" s="563"/>
      <c r="R412" s="563"/>
      <c r="S412" s="563"/>
      <c r="T412" s="563"/>
      <c r="U412" s="563"/>
      <c r="V412" s="56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2" t="s">
        <v>71</v>
      </c>
      <c r="Q413" s="563"/>
      <c r="R413" s="563"/>
      <c r="S413" s="563"/>
      <c r="T413" s="563"/>
      <c r="U413" s="563"/>
      <c r="V413" s="56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8" t="s">
        <v>636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customHeight="1" x14ac:dyDescent="0.25">
      <c r="A415" s="559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7"/>
      <c r="AB415" s="537"/>
      <c r="AC415" s="537"/>
    </row>
    <row r="416" spans="1:68" ht="27" customHeight="1" x14ac:dyDescent="0.25">
      <c r="A416" s="54" t="s">
        <v>637</v>
      </c>
      <c r="B416" s="54" t="s">
        <v>638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2" t="s">
        <v>71</v>
      </c>
      <c r="Q417" s="563"/>
      <c r="R417" s="563"/>
      <c r="S417" s="563"/>
      <c r="T417" s="563"/>
      <c r="U417" s="563"/>
      <c r="V417" s="56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2" t="s">
        <v>71</v>
      </c>
      <c r="Q418" s="563"/>
      <c r="R418" s="563"/>
      <c r="S418" s="563"/>
      <c r="T418" s="563"/>
      <c r="U418" s="563"/>
      <c r="V418" s="56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6" t="s">
        <v>640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8"/>
      <c r="AB419" s="48"/>
      <c r="AC419" s="48"/>
    </row>
    <row r="420" spans="1:68" ht="16.5" customHeight="1" x14ac:dyDescent="0.25">
      <c r="A420" s="558" t="s">
        <v>640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customHeight="1" x14ac:dyDescent="0.25">
      <c r="A421" s="559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7"/>
      <c r="AB421" s="537"/>
      <c r="AC421" s="537"/>
    </row>
    <row r="422" spans="1:68" ht="27" customHeight="1" x14ac:dyDescent="0.25">
      <c r="A422" s="54" t="s">
        <v>641</v>
      </c>
      <c r="B422" s="54" t="s">
        <v>642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300</v>
      </c>
      <c r="Y422" s="544">
        <f t="shared" ref="Y422:Y432" si="47">IFERROR(IF(X422="",0,CEILING((X422/$H422),1)*$H422),"")</f>
        <v>300.96000000000004</v>
      </c>
      <c r="Z422" s="36">
        <f t="shared" ref="Z422:Z427" si="48">IFERROR(IF(Y422=0,"",ROUNDUP(Y422/H422,0)*0.01196),"")</f>
        <v>0.68171999999999999</v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320.45454545454544</v>
      </c>
      <c r="BN422" s="64">
        <f t="shared" ref="BN422:BN432" si="50">IFERROR(Y422*I422/H422,"0")</f>
        <v>321.48</v>
      </c>
      <c r="BO422" s="64">
        <f t="shared" ref="BO422:BO432" si="51">IFERROR(1/J422*(X422/H422),"0")</f>
        <v>0.54632867132867136</v>
      </c>
      <c r="BP422" s="64">
        <f t="shared" ref="BP422:BP432" si="52">IFERROR(1/J422*(Y422/H422),"0")</f>
        <v>0.54807692307692313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200</v>
      </c>
      <c r="Y423" s="544">
        <f t="shared" si="47"/>
        <v>200.64000000000001</v>
      </c>
      <c r="Z423" s="36">
        <f t="shared" si="48"/>
        <v>0.45448</v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213.63636363636363</v>
      </c>
      <c r="BN423" s="64">
        <f t="shared" si="50"/>
        <v>214.32</v>
      </c>
      <c r="BO423" s="64">
        <f t="shared" si="51"/>
        <v>0.36421911421911418</v>
      </c>
      <c r="BP423" s="64">
        <f t="shared" si="52"/>
        <v>0.36538461538461542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1000</v>
      </c>
      <c r="Y424" s="544">
        <f t="shared" si="47"/>
        <v>1003.2</v>
      </c>
      <c r="Z424" s="36">
        <f t="shared" si="48"/>
        <v>2.2724000000000002</v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1068.1818181818182</v>
      </c>
      <c r="BN424" s="64">
        <f t="shared" si="50"/>
        <v>1071.5999999999999</v>
      </c>
      <c r="BO424" s="64">
        <f t="shared" si="51"/>
        <v>1.821095571095571</v>
      </c>
      <c r="BP424" s="64">
        <f t="shared" si="52"/>
        <v>1.8269230769230771</v>
      </c>
    </row>
    <row r="425" spans="1:68" ht="27" customHeight="1" x14ac:dyDescent="0.25">
      <c r="A425" s="54" t="s">
        <v>649</v>
      </c>
      <c r="B425" s="54" t="s">
        <v>650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652</v>
      </c>
      <c r="B426" s="54" t="s">
        <v>653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1000</v>
      </c>
      <c r="Y427" s="544">
        <f t="shared" si="47"/>
        <v>1003.2</v>
      </c>
      <c r="Z427" s="36">
        <f t="shared" si="48"/>
        <v>2.2724000000000002</v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1068.1818181818182</v>
      </c>
      <c r="BN427" s="64">
        <f t="shared" si="50"/>
        <v>1071.5999999999999</v>
      </c>
      <c r="BO427" s="64">
        <f t="shared" si="51"/>
        <v>1.821095571095571</v>
      </c>
      <c r="BP427" s="64">
        <f t="shared" si="52"/>
        <v>1.8269230769230771</v>
      </c>
    </row>
    <row r="428" spans="1:68" ht="27" customHeight="1" x14ac:dyDescent="0.25">
      <c r="A428" s="54" t="s">
        <v>658</v>
      </c>
      <c r="B428" s="54" t="s">
        <v>659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667</v>
      </c>
      <c r="B432" s="54" t="s">
        <v>668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2" t="s">
        <v>71</v>
      </c>
      <c r="Q433" s="563"/>
      <c r="R433" s="563"/>
      <c r="S433" s="563"/>
      <c r="T433" s="563"/>
      <c r="U433" s="563"/>
      <c r="V433" s="56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473.48484848484844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475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5.6810000000000009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2" t="s">
        <v>71</v>
      </c>
      <c r="Q434" s="563"/>
      <c r="R434" s="563"/>
      <c r="S434" s="563"/>
      <c r="T434" s="563"/>
      <c r="U434" s="563"/>
      <c r="V434" s="564"/>
      <c r="W434" s="37" t="s">
        <v>69</v>
      </c>
      <c r="X434" s="545">
        <f>IFERROR(SUM(X422:X432),"0")</f>
        <v>2500</v>
      </c>
      <c r="Y434" s="545">
        <f>IFERROR(SUM(Y422:Y432),"0")</f>
        <v>2508</v>
      </c>
      <c r="Z434" s="37"/>
      <c r="AA434" s="546"/>
      <c r="AB434" s="546"/>
      <c r="AC434" s="546"/>
    </row>
    <row r="435" spans="1:68" ht="14.25" customHeight="1" x14ac:dyDescent="0.25">
      <c r="A435" s="559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7"/>
      <c r="AB435" s="537"/>
      <c r="AC435" s="537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1000</v>
      </c>
      <c r="Y436" s="544">
        <f>IFERROR(IF(X436="",0,CEILING((X436/$H436),1)*$H436),"")</f>
        <v>1003.2</v>
      </c>
      <c r="Z436" s="36">
        <f>IFERROR(IF(Y436=0,"",ROUNDUP(Y436/H436,0)*0.01196),"")</f>
        <v>2.2724000000000002</v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1068.1818181818182</v>
      </c>
      <c r="BN436" s="64">
        <f>IFERROR(Y436*I436/H436,"0")</f>
        <v>1071.5999999999999</v>
      </c>
      <c r="BO436" s="64">
        <f>IFERROR(1/J436*(X436/H436),"0")</f>
        <v>1.821095571095571</v>
      </c>
      <c r="BP436" s="64">
        <f>IFERROR(1/J436*(Y436/H436),"0")</f>
        <v>1.8269230769230771</v>
      </c>
    </row>
    <row r="437" spans="1:68" ht="16.5" customHeight="1" x14ac:dyDescent="0.25">
      <c r="A437" s="54" t="s">
        <v>672</v>
      </c>
      <c r="B437" s="54" t="s">
        <v>673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674</v>
      </c>
      <c r="B438" s="54" t="s">
        <v>675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2" t="s">
        <v>71</v>
      </c>
      <c r="Q439" s="563"/>
      <c r="R439" s="563"/>
      <c r="S439" s="563"/>
      <c r="T439" s="563"/>
      <c r="U439" s="563"/>
      <c r="V439" s="564"/>
      <c r="W439" s="37" t="s">
        <v>72</v>
      </c>
      <c r="X439" s="545">
        <f>IFERROR(X436/H436,"0")+IFERROR(X437/H437,"0")+IFERROR(X438/H438,"0")</f>
        <v>189.39393939393938</v>
      </c>
      <c r="Y439" s="545">
        <f>IFERROR(Y436/H436,"0")+IFERROR(Y437/H437,"0")+IFERROR(Y438/H438,"0")</f>
        <v>190</v>
      </c>
      <c r="Z439" s="545">
        <f>IFERROR(IF(Z436="",0,Z436),"0")+IFERROR(IF(Z437="",0,Z437),"0")+IFERROR(IF(Z438="",0,Z438),"0")</f>
        <v>2.2724000000000002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2" t="s">
        <v>71</v>
      </c>
      <c r="Q440" s="563"/>
      <c r="R440" s="563"/>
      <c r="S440" s="563"/>
      <c r="T440" s="563"/>
      <c r="U440" s="563"/>
      <c r="V440" s="564"/>
      <c r="W440" s="37" t="s">
        <v>69</v>
      </c>
      <c r="X440" s="545">
        <f>IFERROR(SUM(X436:X438),"0")</f>
        <v>1000</v>
      </c>
      <c r="Y440" s="545">
        <f>IFERROR(SUM(Y436:Y438),"0")</f>
        <v>1003.2</v>
      </c>
      <c r="Z440" s="37"/>
      <c r="AA440" s="546"/>
      <c r="AB440" s="546"/>
      <c r="AC440" s="546"/>
    </row>
    <row r="441" spans="1:68" ht="14.25" customHeight="1" x14ac:dyDescent="0.25">
      <c r="A441" s="559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7"/>
      <c r="AB441" s="537"/>
      <c r="AC441" s="537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200</v>
      </c>
      <c r="Y442" s="544">
        <f t="shared" ref="Y442:Y447" si="53">IFERROR(IF(X442="",0,CEILING((X442/$H442),1)*$H442),"")</f>
        <v>200.64000000000001</v>
      </c>
      <c r="Z442" s="36">
        <f>IFERROR(IF(Y442=0,"",ROUNDUP(Y442/H442,0)*0.01196),"")</f>
        <v>0.45448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213.63636363636363</v>
      </c>
      <c r="BN442" s="64">
        <f t="shared" ref="BN442:BN447" si="55">IFERROR(Y442*I442/H442,"0")</f>
        <v>214.32</v>
      </c>
      <c r="BO442" s="64">
        <f t="shared" ref="BO442:BO447" si="56">IFERROR(1/J442*(X442/H442),"0")</f>
        <v>0.36421911421911418</v>
      </c>
      <c r="BP442" s="64">
        <f t="shared" ref="BP442:BP447" si="57">IFERROR(1/J442*(Y442/H442),"0")</f>
        <v>0.36538461538461542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300</v>
      </c>
      <c r="Y443" s="544">
        <f t="shared" si="53"/>
        <v>300.96000000000004</v>
      </c>
      <c r="Z443" s="36">
        <f>IFERROR(IF(Y443=0,"",ROUNDUP(Y443/H443,0)*0.01196),"")</f>
        <v>0.68171999999999999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320.45454545454544</v>
      </c>
      <c r="BN443" s="64">
        <f t="shared" si="55"/>
        <v>321.48</v>
      </c>
      <c r="BO443" s="64">
        <f t="shared" si="56"/>
        <v>0.54632867132867136</v>
      </c>
      <c r="BP443" s="64">
        <f t="shared" si="57"/>
        <v>0.54807692307692313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500</v>
      </c>
      <c r="Y444" s="544">
        <f t="shared" si="53"/>
        <v>501.6</v>
      </c>
      <c r="Z444" s="36">
        <f>IFERROR(IF(Y444=0,"",ROUNDUP(Y444/H444,0)*0.01196),"")</f>
        <v>1.1362000000000001</v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534.09090909090912</v>
      </c>
      <c r="BN444" s="64">
        <f t="shared" si="55"/>
        <v>535.79999999999995</v>
      </c>
      <c r="BO444" s="64">
        <f t="shared" si="56"/>
        <v>0.91054778554778548</v>
      </c>
      <c r="BP444" s="64">
        <f t="shared" si="57"/>
        <v>0.91346153846153855</v>
      </c>
    </row>
    <row r="445" spans="1:68" ht="27" customHeight="1" x14ac:dyDescent="0.25">
      <c r="A445" s="54" t="s">
        <v>685</v>
      </c>
      <c r="B445" s="54" t="s">
        <v>686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687</v>
      </c>
      <c r="B446" s="54" t="s">
        <v>688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689</v>
      </c>
      <c r="B447" s="54" t="s">
        <v>690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2" t="s">
        <v>71</v>
      </c>
      <c r="Q448" s="563"/>
      <c r="R448" s="563"/>
      <c r="S448" s="563"/>
      <c r="T448" s="563"/>
      <c r="U448" s="563"/>
      <c r="V448" s="564"/>
      <c r="W448" s="37" t="s">
        <v>72</v>
      </c>
      <c r="X448" s="545">
        <f>IFERROR(X442/H442,"0")+IFERROR(X443/H443,"0")+IFERROR(X444/H444,"0")+IFERROR(X445/H445,"0")+IFERROR(X446/H446,"0")+IFERROR(X447/H447,"0")</f>
        <v>189.39393939393938</v>
      </c>
      <c r="Y448" s="545">
        <f>IFERROR(Y442/H442,"0")+IFERROR(Y443/H443,"0")+IFERROR(Y444/H444,"0")+IFERROR(Y445/H445,"0")+IFERROR(Y446/H446,"0")+IFERROR(Y447/H447,"0")</f>
        <v>190</v>
      </c>
      <c r="Z448" s="545">
        <f>IFERROR(IF(Z442="",0,Z442),"0")+IFERROR(IF(Z443="",0,Z443),"0")+IFERROR(IF(Z444="",0,Z444),"0")+IFERROR(IF(Z445="",0,Z445),"0")+IFERROR(IF(Z446="",0,Z446),"0")+IFERROR(IF(Z447="",0,Z447),"0")</f>
        <v>2.2724000000000002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2" t="s">
        <v>71</v>
      </c>
      <c r="Q449" s="563"/>
      <c r="R449" s="563"/>
      <c r="S449" s="563"/>
      <c r="T449" s="563"/>
      <c r="U449" s="563"/>
      <c r="V449" s="564"/>
      <c r="W449" s="37" t="s">
        <v>69</v>
      </c>
      <c r="X449" s="545">
        <f>IFERROR(SUM(X442:X447),"0")</f>
        <v>1000</v>
      </c>
      <c r="Y449" s="545">
        <f>IFERROR(SUM(Y442:Y447),"0")</f>
        <v>1003.2</v>
      </c>
      <c r="Z449" s="37"/>
      <c r="AA449" s="546"/>
      <c r="AB449" s="546"/>
      <c r="AC449" s="546"/>
    </row>
    <row r="450" spans="1:68" ht="14.25" customHeight="1" x14ac:dyDescent="0.25">
      <c r="A450" s="559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7"/>
      <c r="AB450" s="537"/>
      <c r="AC450" s="537"/>
    </row>
    <row r="451" spans="1:68" ht="16.5" customHeight="1" x14ac:dyDescent="0.25">
      <c r="A451" s="54" t="s">
        <v>691</v>
      </c>
      <c r="B451" s="54" t="s">
        <v>692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694</v>
      </c>
      <c r="B452" s="54" t="s">
        <v>695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697</v>
      </c>
      <c r="B453" s="54" t="s">
        <v>698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2" t="s">
        <v>71</v>
      </c>
      <c r="Q454" s="563"/>
      <c r="R454" s="563"/>
      <c r="S454" s="563"/>
      <c r="T454" s="563"/>
      <c r="U454" s="563"/>
      <c r="V454" s="56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2" t="s">
        <v>71</v>
      </c>
      <c r="Q455" s="563"/>
      <c r="R455" s="563"/>
      <c r="S455" s="563"/>
      <c r="T455" s="563"/>
      <c r="U455" s="563"/>
      <c r="V455" s="56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6" t="s">
        <v>700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8"/>
      <c r="AB456" s="48"/>
      <c r="AC456" s="48"/>
    </row>
    <row r="457" spans="1:68" ht="16.5" customHeight="1" x14ac:dyDescent="0.25">
      <c r="A457" s="558" t="s">
        <v>700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customHeight="1" x14ac:dyDescent="0.25">
      <c r="A458" s="559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7"/>
      <c r="AB458" s="537"/>
      <c r="AC458" s="537"/>
    </row>
    <row r="459" spans="1:68" ht="27" customHeight="1" x14ac:dyDescent="0.25">
      <c r="A459" s="54" t="s">
        <v>701</v>
      </c>
      <c r="B459" s="54" t="s">
        <v>702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710</v>
      </c>
      <c r="B462" s="54" t="s">
        <v>711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2" t="s">
        <v>71</v>
      </c>
      <c r="Q463" s="563"/>
      <c r="R463" s="563"/>
      <c r="S463" s="563"/>
      <c r="T463" s="563"/>
      <c r="U463" s="563"/>
      <c r="V463" s="564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2" t="s">
        <v>71</v>
      </c>
      <c r="Q464" s="563"/>
      <c r="R464" s="563"/>
      <c r="S464" s="563"/>
      <c r="T464" s="563"/>
      <c r="U464" s="563"/>
      <c r="V464" s="564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9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7"/>
      <c r="AB465" s="537"/>
      <c r="AC465" s="537"/>
    </row>
    <row r="466" spans="1:68" ht="27" customHeight="1" x14ac:dyDescent="0.25">
      <c r="A466" s="54" t="s">
        <v>712</v>
      </c>
      <c r="B466" s="54" t="s">
        <v>713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718</v>
      </c>
      <c r="B468" s="54" t="s">
        <v>719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2" t="s">
        <v>71</v>
      </c>
      <c r="Q469" s="563"/>
      <c r="R469" s="563"/>
      <c r="S469" s="563"/>
      <c r="T469" s="563"/>
      <c r="U469" s="563"/>
      <c r="V469" s="56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2" t="s">
        <v>71</v>
      </c>
      <c r="Q470" s="563"/>
      <c r="R470" s="563"/>
      <c r="S470" s="563"/>
      <c r="T470" s="563"/>
      <c r="U470" s="563"/>
      <c r="V470" s="56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9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7"/>
      <c r="AB471" s="537"/>
      <c r="AC471" s="537"/>
    </row>
    <row r="472" spans="1:68" ht="27" customHeight="1" x14ac:dyDescent="0.25">
      <c r="A472" s="54" t="s">
        <v>721</v>
      </c>
      <c r="B472" s="54" t="s">
        <v>722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2" t="s">
        <v>71</v>
      </c>
      <c r="Q474" s="563"/>
      <c r="R474" s="563"/>
      <c r="S474" s="563"/>
      <c r="T474" s="563"/>
      <c r="U474" s="563"/>
      <c r="V474" s="564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2" t="s">
        <v>71</v>
      </c>
      <c r="Q475" s="563"/>
      <c r="R475" s="563"/>
      <c r="S475" s="563"/>
      <c r="T475" s="563"/>
      <c r="U475" s="563"/>
      <c r="V475" s="564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9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7"/>
      <c r="AB476" s="537"/>
      <c r="AC476" s="537"/>
    </row>
    <row r="477" spans="1:68" ht="27" customHeight="1" x14ac:dyDescent="0.25">
      <c r="A477" s="54" t="s">
        <v>727</v>
      </c>
      <c r="B477" s="54" t="s">
        <v>728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200</v>
      </c>
      <c r="Y477" s="544">
        <f>IFERROR(IF(X477="",0,CEILING((X477/$H477),1)*$H477),"")</f>
        <v>207</v>
      </c>
      <c r="Z477" s="36">
        <f>IFERROR(IF(Y477=0,"",ROUNDUP(Y477/H477,0)*0.01898),"")</f>
        <v>0.43653999999999998</v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211.53333333333333</v>
      </c>
      <c r="BN477" s="64">
        <f>IFERROR(Y477*I477/H477,"0")</f>
        <v>218.93700000000001</v>
      </c>
      <c r="BO477" s="64">
        <f>IFERROR(1/J477*(X477/H477),"0")</f>
        <v>0.34722222222222221</v>
      </c>
      <c r="BP477" s="64">
        <f>IFERROR(1/J477*(Y477/H477),"0")</f>
        <v>0.359375</v>
      </c>
    </row>
    <row r="478" spans="1:68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2" t="s">
        <v>71</v>
      </c>
      <c r="Q478" s="563"/>
      <c r="R478" s="563"/>
      <c r="S478" s="563"/>
      <c r="T478" s="563"/>
      <c r="U478" s="563"/>
      <c r="V478" s="564"/>
      <c r="W478" s="37" t="s">
        <v>72</v>
      </c>
      <c r="X478" s="545">
        <f>IFERROR(X477/H477,"0")</f>
        <v>22.222222222222221</v>
      </c>
      <c r="Y478" s="545">
        <f>IFERROR(Y477/H477,"0")</f>
        <v>23</v>
      </c>
      <c r="Z478" s="545">
        <f>IFERROR(IF(Z477="",0,Z477),"0")</f>
        <v>0.43653999999999998</v>
      </c>
      <c r="AA478" s="546"/>
      <c r="AB478" s="546"/>
      <c r="AC478" s="546"/>
    </row>
    <row r="479" spans="1:68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2" t="s">
        <v>71</v>
      </c>
      <c r="Q479" s="563"/>
      <c r="R479" s="563"/>
      <c r="S479" s="563"/>
      <c r="T479" s="563"/>
      <c r="U479" s="563"/>
      <c r="V479" s="564"/>
      <c r="W479" s="37" t="s">
        <v>69</v>
      </c>
      <c r="X479" s="545">
        <f>IFERROR(SUM(X477:X477),"0")</f>
        <v>200</v>
      </c>
      <c r="Y479" s="545">
        <f>IFERROR(SUM(Y477:Y477),"0")</f>
        <v>207</v>
      </c>
      <c r="Z479" s="37"/>
      <c r="AA479" s="546"/>
      <c r="AB479" s="546"/>
      <c r="AC479" s="546"/>
    </row>
    <row r="480" spans="1:68" ht="14.25" customHeight="1" x14ac:dyDescent="0.25">
      <c r="A480" s="559" t="s">
        <v>166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7"/>
      <c r="AB480" s="537"/>
      <c r="AC480" s="537"/>
    </row>
    <row r="481" spans="1:68" ht="27" customHeight="1" x14ac:dyDescent="0.25">
      <c r="A481" s="54" t="s">
        <v>730</v>
      </c>
      <c r="B481" s="54" t="s">
        <v>731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2" t="s">
        <v>71</v>
      </c>
      <c r="Q483" s="563"/>
      <c r="R483" s="563"/>
      <c r="S483" s="563"/>
      <c r="T483" s="563"/>
      <c r="U483" s="563"/>
      <c r="V483" s="56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2" t="s">
        <v>71</v>
      </c>
      <c r="Q484" s="563"/>
      <c r="R484" s="563"/>
      <c r="S484" s="563"/>
      <c r="T484" s="563"/>
      <c r="U484" s="563"/>
      <c r="V484" s="56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8" t="s">
        <v>736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customHeight="1" x14ac:dyDescent="0.25">
      <c r="A486" s="559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7"/>
      <c r="AB486" s="537"/>
      <c r="AC486" s="537"/>
    </row>
    <row r="487" spans="1:68" ht="27" customHeight="1" x14ac:dyDescent="0.25">
      <c r="A487" s="54" t="s">
        <v>737</v>
      </c>
      <c r="B487" s="54" t="s">
        <v>738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2" t="s">
        <v>71</v>
      </c>
      <c r="Q488" s="563"/>
      <c r="R488" s="563"/>
      <c r="S488" s="563"/>
      <c r="T488" s="563"/>
      <c r="U488" s="563"/>
      <c r="V488" s="56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2" t="s">
        <v>71</v>
      </c>
      <c r="Q489" s="563"/>
      <c r="R489" s="563"/>
      <c r="S489" s="563"/>
      <c r="T489" s="563"/>
      <c r="U489" s="563"/>
      <c r="V489" s="56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9"/>
      <c r="P490" s="644" t="s">
        <v>740</v>
      </c>
      <c r="Q490" s="645"/>
      <c r="R490" s="645"/>
      <c r="S490" s="645"/>
      <c r="T490" s="645"/>
      <c r="U490" s="645"/>
      <c r="V490" s="646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13454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13547.700000000003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9"/>
      <c r="P491" s="644" t="s">
        <v>741</v>
      </c>
      <c r="Q491" s="645"/>
      <c r="R491" s="645"/>
      <c r="S491" s="645"/>
      <c r="T491" s="645"/>
      <c r="U491" s="645"/>
      <c r="V491" s="646"/>
      <c r="W491" s="37" t="s">
        <v>69</v>
      </c>
      <c r="X491" s="545">
        <f>IFERROR(SUM(BM22:BM487),"0")</f>
        <v>14206.348381248381</v>
      </c>
      <c r="Y491" s="545">
        <f>IFERROR(SUM(BN22:BN487),"0")</f>
        <v>14305.013999999997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9"/>
      <c r="P492" s="644" t="s">
        <v>742</v>
      </c>
      <c r="Q492" s="645"/>
      <c r="R492" s="645"/>
      <c r="S492" s="645"/>
      <c r="T492" s="645"/>
      <c r="U492" s="645"/>
      <c r="V492" s="646"/>
      <c r="W492" s="37" t="s">
        <v>743</v>
      </c>
      <c r="X492" s="38">
        <f>ROUNDUP(SUM(BO22:BO487),0)</f>
        <v>23</v>
      </c>
      <c r="Y492" s="38">
        <f>ROUNDUP(SUM(BP22:BP487),0)</f>
        <v>23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9"/>
      <c r="P493" s="644" t="s">
        <v>744</v>
      </c>
      <c r="Q493" s="645"/>
      <c r="R493" s="645"/>
      <c r="S493" s="645"/>
      <c r="T493" s="645"/>
      <c r="U493" s="645"/>
      <c r="V493" s="646"/>
      <c r="W493" s="37" t="s">
        <v>69</v>
      </c>
      <c r="X493" s="545">
        <f>GrossWeightTotal+PalletQtyTotal*25</f>
        <v>14781.348381248381</v>
      </c>
      <c r="Y493" s="545">
        <f>GrossWeightTotalR+PalletQtyTotalR*25</f>
        <v>14880.013999999997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9"/>
      <c r="P494" s="644" t="s">
        <v>745</v>
      </c>
      <c r="Q494" s="645"/>
      <c r="R494" s="645"/>
      <c r="S494" s="645"/>
      <c r="T494" s="645"/>
      <c r="U494" s="645"/>
      <c r="V494" s="646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1999.6041612708282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2012</v>
      </c>
      <c r="Z494" s="37"/>
      <c r="AA494" s="546"/>
      <c r="AB494" s="546"/>
      <c r="AC494" s="546"/>
    </row>
    <row r="495" spans="1:68" ht="14.25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09"/>
      <c r="P495" s="644" t="s">
        <v>746</v>
      </c>
      <c r="Q495" s="645"/>
      <c r="R495" s="645"/>
      <c r="S495" s="645"/>
      <c r="T495" s="645"/>
      <c r="U495" s="645"/>
      <c r="V495" s="646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26.905010000000001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35" t="s">
        <v>63</v>
      </c>
      <c r="C497" s="596" t="s">
        <v>99</v>
      </c>
      <c r="D497" s="599"/>
      <c r="E497" s="599"/>
      <c r="F497" s="599"/>
      <c r="G497" s="599"/>
      <c r="H497" s="600"/>
      <c r="I497" s="596" t="s">
        <v>257</v>
      </c>
      <c r="J497" s="599"/>
      <c r="K497" s="599"/>
      <c r="L497" s="599"/>
      <c r="M497" s="599"/>
      <c r="N497" s="599"/>
      <c r="O497" s="599"/>
      <c r="P497" s="599"/>
      <c r="Q497" s="599"/>
      <c r="R497" s="600"/>
      <c r="S497" s="596" t="s">
        <v>538</v>
      </c>
      <c r="T497" s="600"/>
      <c r="U497" s="596" t="s">
        <v>589</v>
      </c>
      <c r="V497" s="599"/>
      <c r="W497" s="600"/>
      <c r="X497" s="535" t="s">
        <v>640</v>
      </c>
      <c r="Y497" s="596" t="s">
        <v>700</v>
      </c>
      <c r="Z497" s="600"/>
      <c r="AB497" s="52"/>
      <c r="AC497" s="52"/>
      <c r="AF497" s="536"/>
    </row>
    <row r="498" spans="1:32" ht="14.25" customHeight="1" thickTop="1" x14ac:dyDescent="0.2">
      <c r="A498" s="616" t="s">
        <v>749</v>
      </c>
      <c r="B498" s="596" t="s">
        <v>63</v>
      </c>
      <c r="C498" s="596" t="s">
        <v>100</v>
      </c>
      <c r="D498" s="596" t="s">
        <v>117</v>
      </c>
      <c r="E498" s="596" t="s">
        <v>173</v>
      </c>
      <c r="F498" s="596" t="s">
        <v>192</v>
      </c>
      <c r="G498" s="596" t="s">
        <v>222</v>
      </c>
      <c r="H498" s="596" t="s">
        <v>99</v>
      </c>
      <c r="I498" s="596" t="s">
        <v>258</v>
      </c>
      <c r="J498" s="596" t="s">
        <v>299</v>
      </c>
      <c r="K498" s="596" t="s">
        <v>359</v>
      </c>
      <c r="L498" s="596" t="s">
        <v>401</v>
      </c>
      <c r="M498" s="596" t="s">
        <v>417</v>
      </c>
      <c r="N498" s="536"/>
      <c r="O498" s="596" t="s">
        <v>428</v>
      </c>
      <c r="P498" s="596" t="s">
        <v>437</v>
      </c>
      <c r="Q498" s="596" t="s">
        <v>447</v>
      </c>
      <c r="R498" s="596" t="s">
        <v>528</v>
      </c>
      <c r="S498" s="596" t="s">
        <v>539</v>
      </c>
      <c r="T498" s="596" t="s">
        <v>573</v>
      </c>
      <c r="U498" s="596" t="s">
        <v>590</v>
      </c>
      <c r="V498" s="596" t="s">
        <v>621</v>
      </c>
      <c r="W498" s="596" t="s">
        <v>636</v>
      </c>
      <c r="X498" s="596" t="s">
        <v>640</v>
      </c>
      <c r="Y498" s="596" t="s">
        <v>700</v>
      </c>
      <c r="Z498" s="596" t="s">
        <v>736</v>
      </c>
      <c r="AB498" s="52"/>
      <c r="AC498" s="52"/>
      <c r="AF498" s="536"/>
    </row>
    <row r="499" spans="1:32" ht="13.5" customHeight="1" thickBot="1" x14ac:dyDescent="0.25">
      <c r="A499" s="617"/>
      <c r="B499" s="597"/>
      <c r="C499" s="597"/>
      <c r="D499" s="597"/>
      <c r="E499" s="597"/>
      <c r="F499" s="597"/>
      <c r="G499" s="597"/>
      <c r="H499" s="597"/>
      <c r="I499" s="597"/>
      <c r="J499" s="597"/>
      <c r="K499" s="597"/>
      <c r="L499" s="597"/>
      <c r="M499" s="597"/>
      <c r="N499" s="536"/>
      <c r="O499" s="597"/>
      <c r="P499" s="597"/>
      <c r="Q499" s="597"/>
      <c r="R499" s="597"/>
      <c r="S499" s="597"/>
      <c r="T499" s="597"/>
      <c r="U499" s="597"/>
      <c r="V499" s="597"/>
      <c r="W499" s="597"/>
      <c r="X499" s="597"/>
      <c r="Y499" s="597"/>
      <c r="Z499" s="597"/>
      <c r="AB499" s="52"/>
      <c r="AC499" s="52"/>
      <c r="AF499" s="536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205.20000000000002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410.40000000000003</v>
      </c>
      <c r="E500" s="46">
        <f>IFERROR(Y86*1,"0")+IFERROR(Y87*1,"0")+IFERROR(Y88*1,"0")+IFERROR(Y92*1,"0")+IFERROR(Y93*1,"0")+IFERROR(Y94*1,"0")+IFERROR(Y95*1,"0")</f>
        <v>1236.5999999999999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1684.8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0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242.39999999999998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36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441.29999999999995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4020</v>
      </c>
      <c r="T500" s="46">
        <f>IFERROR(Y369*1,"0")+IFERROR(Y370*1,"0")+IFERROR(Y374*1,"0")+IFERROR(Y375*1,"0")+IFERROR(Y379*1,"0")+IFERROR(Y380*1,"0")</f>
        <v>585.6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4514.3999999999996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207</v>
      </c>
      <c r="Z500" s="46">
        <f>IFERROR(Y487*1,"0")</f>
        <v>0</v>
      </c>
      <c r="AB500" s="52"/>
      <c r="AC500" s="52"/>
      <c r="AF500" s="536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D408:E408"/>
    <mergeCell ref="P216:V216"/>
    <mergeCell ref="A8:C8"/>
    <mergeCell ref="A260:O261"/>
    <mergeCell ref="D355:E355"/>
    <mergeCell ref="P410:T410"/>
    <mergeCell ref="D293:E293"/>
    <mergeCell ref="P447:T447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415:Z415"/>
    <mergeCell ref="A129:Z129"/>
    <mergeCell ref="D192:E192"/>
    <mergeCell ref="P296:V296"/>
    <mergeCell ref="D42:E42"/>
    <mergeCell ref="P356:V356"/>
    <mergeCell ref="P338:T338"/>
    <mergeCell ref="D17:E18"/>
    <mergeCell ref="D344:E344"/>
    <mergeCell ref="V12:W12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D95:E95"/>
    <mergeCell ref="P149:T149"/>
    <mergeCell ref="D266:E266"/>
    <mergeCell ref="U17:V17"/>
    <mergeCell ref="Y17:Y18"/>
    <mergeCell ref="X17:X18"/>
    <mergeCell ref="A188:O189"/>
    <mergeCell ref="P202:T202"/>
    <mergeCell ref="D250:E250"/>
    <mergeCell ref="Q5:R5"/>
    <mergeCell ref="F17:F18"/>
    <mergeCell ref="D120:E120"/>
    <mergeCell ref="P132:V132"/>
    <mergeCell ref="P199:T199"/>
    <mergeCell ref="D242:E242"/>
    <mergeCell ref="A315:Z315"/>
    <mergeCell ref="D107:E107"/>
    <mergeCell ref="D163:E163"/>
    <mergeCell ref="P291:T291"/>
    <mergeCell ref="D234:E234"/>
    <mergeCell ref="P136:T136"/>
    <mergeCell ref="P305:V305"/>
    <mergeCell ref="P228:T228"/>
    <mergeCell ref="D171:E171"/>
    <mergeCell ref="P293:T293"/>
    <mergeCell ref="Q6:R6"/>
    <mergeCell ref="P200:T200"/>
    <mergeCell ref="A251:O252"/>
    <mergeCell ref="P292:T292"/>
    <mergeCell ref="D102:E102"/>
    <mergeCell ref="A33:Z33"/>
    <mergeCell ref="D196:E196"/>
    <mergeCell ref="P294:T294"/>
    <mergeCell ref="M498:M499"/>
    <mergeCell ref="O498:O499"/>
    <mergeCell ref="D249:E249"/>
    <mergeCell ref="D170:E170"/>
    <mergeCell ref="A476:Z476"/>
    <mergeCell ref="D468:E468"/>
    <mergeCell ref="A31:O32"/>
    <mergeCell ref="N17:N18"/>
    <mergeCell ref="P72:T72"/>
    <mergeCell ref="P355:T355"/>
    <mergeCell ref="D336:E336"/>
    <mergeCell ref="P436:T436"/>
    <mergeCell ref="U497:W497"/>
    <mergeCell ref="P23:V23"/>
    <mergeCell ref="P145:V145"/>
    <mergeCell ref="P381:V381"/>
    <mergeCell ref="A206:Z206"/>
    <mergeCell ref="A262:Z262"/>
    <mergeCell ref="D54:E54"/>
    <mergeCell ref="P160:V160"/>
    <mergeCell ref="P370:T370"/>
    <mergeCell ref="D331:E331"/>
    <mergeCell ref="P372:V372"/>
    <mergeCell ref="P444:T444"/>
    <mergeCell ref="A20:Z20"/>
    <mergeCell ref="P371:V371"/>
    <mergeCell ref="D452:E452"/>
    <mergeCell ref="P493:V493"/>
    <mergeCell ref="A112:Z112"/>
    <mergeCell ref="P408:T408"/>
    <mergeCell ref="P137:V137"/>
    <mergeCell ref="D247:E247"/>
    <mergeCell ref="P495:V495"/>
    <mergeCell ref="P351:V351"/>
    <mergeCell ref="P239:V239"/>
    <mergeCell ref="AD17:AF18"/>
    <mergeCell ref="D101:E101"/>
    <mergeCell ref="D76:E76"/>
    <mergeCell ref="F5:G5"/>
    <mergeCell ref="P117:V117"/>
    <mergeCell ref="P365:V365"/>
    <mergeCell ref="P144:V144"/>
    <mergeCell ref="A25:Z25"/>
    <mergeCell ref="P67:T67"/>
    <mergeCell ref="D175:E175"/>
    <mergeCell ref="P186:T186"/>
    <mergeCell ref="A223:Z223"/>
    <mergeCell ref="V11:W11"/>
    <mergeCell ref="A326:O327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D265:E265"/>
    <mergeCell ref="P344:T344"/>
    <mergeCell ref="P2:W3"/>
    <mergeCell ref="A57:O58"/>
    <mergeCell ref="P298:T298"/>
    <mergeCell ref="P198:T198"/>
    <mergeCell ref="P369:T369"/>
    <mergeCell ref="P54:T54"/>
    <mergeCell ref="P347:T347"/>
    <mergeCell ref="D437:E437"/>
    <mergeCell ref="D228:E228"/>
    <mergeCell ref="A371:O372"/>
    <mergeCell ref="D404:E404"/>
    <mergeCell ref="D10:E10"/>
    <mergeCell ref="A23:O24"/>
    <mergeCell ref="F10:G10"/>
    <mergeCell ref="A121:O122"/>
    <mergeCell ref="D34:E34"/>
    <mergeCell ref="P135:T135"/>
    <mergeCell ref="P191:T191"/>
    <mergeCell ref="P349:T349"/>
    <mergeCell ref="P78:V78"/>
    <mergeCell ref="P205:V205"/>
    <mergeCell ref="P376:V376"/>
    <mergeCell ref="D310:E310"/>
    <mergeCell ref="P364:T364"/>
    <mergeCell ref="M17:M18"/>
    <mergeCell ref="A339:O340"/>
    <mergeCell ref="O17:O18"/>
    <mergeCell ref="P336:T336"/>
    <mergeCell ref="C498:C499"/>
    <mergeCell ref="E498:E499"/>
    <mergeCell ref="P430:T430"/>
    <mergeCell ref="P494:V494"/>
    <mergeCell ref="A297:Z297"/>
    <mergeCell ref="P102:T102"/>
    <mergeCell ref="P189:V189"/>
    <mergeCell ref="A185:Z185"/>
    <mergeCell ref="P196:T196"/>
    <mergeCell ref="D177:E177"/>
    <mergeCell ref="P281:V281"/>
    <mergeCell ref="A106:Z106"/>
    <mergeCell ref="D226:E226"/>
    <mergeCell ref="D164:E164"/>
    <mergeCell ref="A313:O314"/>
    <mergeCell ref="P352:V352"/>
    <mergeCell ref="P354:T354"/>
    <mergeCell ref="D462:E462"/>
    <mergeCell ref="P62:T62"/>
    <mergeCell ref="Z498:Z499"/>
    <mergeCell ref="A110:O111"/>
    <mergeCell ref="P107:T107"/>
    <mergeCell ref="P63:V63"/>
    <mergeCell ref="P101:T101"/>
    <mergeCell ref="D215:E215"/>
    <mergeCell ref="D386:E386"/>
    <mergeCell ref="P194:V194"/>
    <mergeCell ref="P492:V492"/>
    <mergeCell ref="P286:V286"/>
    <mergeCell ref="P479:V479"/>
    <mergeCell ref="D430:E430"/>
    <mergeCell ref="D392:E392"/>
    <mergeCell ref="A465:Z465"/>
    <mergeCell ref="P469:V469"/>
    <mergeCell ref="P406:V406"/>
    <mergeCell ref="D394:E394"/>
    <mergeCell ref="A9:C9"/>
    <mergeCell ref="P125:T125"/>
    <mergeCell ref="D202:E202"/>
    <mergeCell ref="D294:E294"/>
    <mergeCell ref="P348:T348"/>
    <mergeCell ref="A478:O479"/>
    <mergeCell ref="P323:T323"/>
    <mergeCell ref="A414:Z414"/>
    <mergeCell ref="D231:E231"/>
    <mergeCell ref="P70:V70"/>
    <mergeCell ref="A91:Z91"/>
    <mergeCell ref="A156:Z156"/>
    <mergeCell ref="P32:V32"/>
    <mergeCell ref="P474:V474"/>
    <mergeCell ref="Q13:R13"/>
    <mergeCell ref="P97:V97"/>
    <mergeCell ref="P268:V268"/>
    <mergeCell ref="D318:E318"/>
    <mergeCell ref="P201:T201"/>
    <mergeCell ref="P339:V339"/>
    <mergeCell ref="D389:E389"/>
    <mergeCell ref="P401:V401"/>
    <mergeCell ref="P47:V47"/>
    <mergeCell ref="P176:T176"/>
    <mergeCell ref="Y498:Y499"/>
    <mergeCell ref="A412:O413"/>
    <mergeCell ref="D225:E225"/>
    <mergeCell ref="P409:T409"/>
    <mergeCell ref="D461:E461"/>
    <mergeCell ref="P61:T61"/>
    <mergeCell ref="D200:E200"/>
    <mergeCell ref="P359:T359"/>
    <mergeCell ref="A178:O179"/>
    <mergeCell ref="D436:E436"/>
    <mergeCell ref="D292:E292"/>
    <mergeCell ref="A305:O306"/>
    <mergeCell ref="A243:O244"/>
    <mergeCell ref="P346:T346"/>
    <mergeCell ref="D227:E227"/>
    <mergeCell ref="A463:O464"/>
    <mergeCell ref="X498:X499"/>
    <mergeCell ref="P114:T114"/>
    <mergeCell ref="P247:T247"/>
    <mergeCell ref="A157:Z157"/>
    <mergeCell ref="D149:E149"/>
    <mergeCell ref="A328:Z328"/>
    <mergeCell ref="D447:E447"/>
    <mergeCell ref="A127:O128"/>
    <mergeCell ref="D498:D499"/>
    <mergeCell ref="P93:T93"/>
    <mergeCell ref="P226:T226"/>
    <mergeCell ref="P164:T164"/>
    <mergeCell ref="A150:O151"/>
    <mergeCell ref="D207:E207"/>
    <mergeCell ref="D256:E256"/>
    <mergeCell ref="P462:T462"/>
    <mergeCell ref="D481:E481"/>
    <mergeCell ref="F498:F499"/>
    <mergeCell ref="D299:E299"/>
    <mergeCell ref="D370:E370"/>
    <mergeCell ref="P405:V405"/>
    <mergeCell ref="P399:T399"/>
    <mergeCell ref="P413:V413"/>
    <mergeCell ref="D159:E159"/>
    <mergeCell ref="A403:Z403"/>
    <mergeCell ref="P121:V121"/>
    <mergeCell ref="P382:V382"/>
    <mergeCell ref="P357:V357"/>
    <mergeCell ref="D459:E459"/>
    <mergeCell ref="P130:T130"/>
    <mergeCell ref="D136:E136"/>
    <mergeCell ref="A271:Z271"/>
    <mergeCell ref="P498:P499"/>
    <mergeCell ref="I497:R497"/>
    <mergeCell ref="A283:Z283"/>
    <mergeCell ref="A277:Z277"/>
    <mergeCell ref="D446:E446"/>
    <mergeCell ref="P44:V44"/>
    <mergeCell ref="H5:M5"/>
    <mergeCell ref="P31:V31"/>
    <mergeCell ref="D212:E212"/>
    <mergeCell ref="P225:T225"/>
    <mergeCell ref="D317:E317"/>
    <mergeCell ref="A341:Z341"/>
    <mergeCell ref="D6:M6"/>
    <mergeCell ref="A456:Z456"/>
    <mergeCell ref="P461:T461"/>
    <mergeCell ref="D304:E304"/>
    <mergeCell ref="Y497:Z497"/>
    <mergeCell ref="P175:T175"/>
    <mergeCell ref="A85:Z85"/>
    <mergeCell ref="D143:E143"/>
    <mergeCell ref="A278:Z278"/>
    <mergeCell ref="P460:T460"/>
    <mergeCell ref="P227:T227"/>
    <mergeCell ref="P398:T398"/>
    <mergeCell ref="P487:T487"/>
    <mergeCell ref="D153:E153"/>
    <mergeCell ref="A288:Z288"/>
    <mergeCell ref="P318:T318"/>
    <mergeCell ref="V6:W9"/>
    <mergeCell ref="P256:T256"/>
    <mergeCell ref="D199:E199"/>
    <mergeCell ref="P109:T109"/>
    <mergeCell ref="A59:Z59"/>
    <mergeCell ref="D364:E364"/>
    <mergeCell ref="D186:E186"/>
    <mergeCell ref="P274:T274"/>
    <mergeCell ref="P345:T345"/>
    <mergeCell ref="P22:T22"/>
    <mergeCell ref="P40:T40"/>
    <mergeCell ref="D428:E428"/>
    <mergeCell ref="P236:V236"/>
    <mergeCell ref="P257:T257"/>
    <mergeCell ref="P80:T80"/>
    <mergeCell ref="Z17:Z18"/>
    <mergeCell ref="P173:V173"/>
    <mergeCell ref="A172:O173"/>
    <mergeCell ref="P177:T177"/>
    <mergeCell ref="G17:G18"/>
    <mergeCell ref="H10:M10"/>
    <mergeCell ref="AA17:AA18"/>
    <mergeCell ref="P212:T212"/>
    <mergeCell ref="AC17:AC18"/>
    <mergeCell ref="P108:T108"/>
    <mergeCell ref="P279:T279"/>
    <mergeCell ref="A224:Z224"/>
    <mergeCell ref="D393:E393"/>
    <mergeCell ref="A420:Z420"/>
    <mergeCell ref="A104:O105"/>
    <mergeCell ref="A235:O236"/>
    <mergeCell ref="AB17:AB18"/>
    <mergeCell ref="P57:V57"/>
    <mergeCell ref="D80:E80"/>
    <mergeCell ref="P46:T46"/>
    <mergeCell ref="P240:V240"/>
    <mergeCell ref="P41:T41"/>
    <mergeCell ref="D22:E22"/>
    <mergeCell ref="A35:O36"/>
    <mergeCell ref="P301:T301"/>
    <mergeCell ref="P34:T34"/>
    <mergeCell ref="D86:E86"/>
    <mergeCell ref="P214:T214"/>
    <mergeCell ref="D257:E257"/>
    <mergeCell ref="H17:H18"/>
    <mergeCell ref="A146:Z146"/>
    <mergeCell ref="P388:T388"/>
    <mergeCell ref="D198:E198"/>
    <mergeCell ref="P459:T459"/>
    <mergeCell ref="P104:V104"/>
    <mergeCell ref="P275:V275"/>
    <mergeCell ref="D427:E427"/>
    <mergeCell ref="P27:T27"/>
    <mergeCell ref="D75:E75"/>
    <mergeCell ref="P325:T32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A435:Z435"/>
    <mergeCell ref="D213:E213"/>
    <mergeCell ref="A400:O401"/>
    <mergeCell ref="D374:E374"/>
    <mergeCell ref="P232:T232"/>
    <mergeCell ref="P159:T159"/>
    <mergeCell ref="P330:T330"/>
    <mergeCell ref="D267:E267"/>
    <mergeCell ref="D438:E438"/>
    <mergeCell ref="D425:E425"/>
    <mergeCell ref="D359:E359"/>
    <mergeCell ref="A486:Z486"/>
    <mergeCell ref="P483:V483"/>
    <mergeCell ref="P472:T472"/>
    <mergeCell ref="A457:Z457"/>
    <mergeCell ref="J9:M9"/>
    <mergeCell ref="D348:E348"/>
    <mergeCell ref="D62:E62"/>
    <mergeCell ref="P141:T141"/>
    <mergeCell ref="P454:V454"/>
    <mergeCell ref="D56:E56"/>
    <mergeCell ref="Q498:Q499"/>
    <mergeCell ref="P233:T233"/>
    <mergeCell ref="D176:E176"/>
    <mergeCell ref="P304:T304"/>
    <mergeCell ref="D114:E114"/>
    <mergeCell ref="P155:V155"/>
    <mergeCell ref="A154:O155"/>
    <mergeCell ref="D347:E347"/>
    <mergeCell ref="S498:S499"/>
    <mergeCell ref="P143:T143"/>
    <mergeCell ref="P248:T248"/>
    <mergeCell ref="D51:E51"/>
    <mergeCell ref="A365:O366"/>
    <mergeCell ref="D349:E349"/>
    <mergeCell ref="P477:T477"/>
    <mergeCell ref="A38:Z38"/>
    <mergeCell ref="P455:V455"/>
    <mergeCell ref="A454:O455"/>
    <mergeCell ref="R498:R499"/>
    <mergeCell ref="P313:V313"/>
    <mergeCell ref="P58:V58"/>
    <mergeCell ref="A13:M13"/>
    <mergeCell ref="P380:T380"/>
    <mergeCell ref="A119:Z119"/>
    <mergeCell ref="P244:V244"/>
    <mergeCell ref="D61:E61"/>
    <mergeCell ref="P115:T115"/>
    <mergeCell ref="A367:Z367"/>
    <mergeCell ref="A15:M15"/>
    <mergeCell ref="P238:T238"/>
    <mergeCell ref="D346:E346"/>
    <mergeCell ref="P229:T229"/>
    <mergeCell ref="A419:Z419"/>
    <mergeCell ref="D477:E477"/>
    <mergeCell ref="D125:E125"/>
    <mergeCell ref="P375:T375"/>
    <mergeCell ref="P446:T446"/>
    <mergeCell ref="P207:T207"/>
    <mergeCell ref="P172:V172"/>
    <mergeCell ref="P299:T299"/>
    <mergeCell ref="P150:V150"/>
    <mergeCell ref="P221:V221"/>
    <mergeCell ref="T6:U9"/>
    <mergeCell ref="P425:T425"/>
    <mergeCell ref="P319:V319"/>
    <mergeCell ref="Q10:R10"/>
    <mergeCell ref="D41:E41"/>
    <mergeCell ref="A490:O495"/>
    <mergeCell ref="A37:Z37"/>
    <mergeCell ref="P320:V320"/>
    <mergeCell ref="P314:V314"/>
    <mergeCell ref="A139:Z139"/>
    <mergeCell ref="P387:T387"/>
    <mergeCell ref="D422:E422"/>
    <mergeCell ref="D74:E74"/>
    <mergeCell ref="P87:T87"/>
    <mergeCell ref="D130:E130"/>
    <mergeCell ref="D68:E68"/>
    <mergeCell ref="P151:V151"/>
    <mergeCell ref="D201:E201"/>
    <mergeCell ref="A204:O205"/>
    <mergeCell ref="P449:V449"/>
    <mergeCell ref="P451:T451"/>
    <mergeCell ref="D424:E424"/>
    <mergeCell ref="A285:O286"/>
    <mergeCell ref="P322:T322"/>
    <mergeCell ref="T5:U5"/>
    <mergeCell ref="P76:T76"/>
    <mergeCell ref="G498:G499"/>
    <mergeCell ref="V5:W5"/>
    <mergeCell ref="P203:T203"/>
    <mergeCell ref="D46:E46"/>
    <mergeCell ref="D246:E246"/>
    <mergeCell ref="P374:T374"/>
    <mergeCell ref="D40:E40"/>
    <mergeCell ref="I498:I499"/>
    <mergeCell ref="D233:E233"/>
    <mergeCell ref="A295:O296"/>
    <mergeCell ref="D338:E338"/>
    <mergeCell ref="D409:E409"/>
    <mergeCell ref="Q8:R8"/>
    <mergeCell ref="P311:T311"/>
    <mergeCell ref="P267:T267"/>
    <mergeCell ref="P438:T438"/>
    <mergeCell ref="D248:E248"/>
    <mergeCell ref="D219:E219"/>
    <mergeCell ref="D444:E444"/>
    <mergeCell ref="P83:V83"/>
    <mergeCell ref="A79:Z79"/>
    <mergeCell ref="A82:O83"/>
    <mergeCell ref="A12:M12"/>
    <mergeCell ref="A180:Z180"/>
    <mergeCell ref="D487:E487"/>
    <mergeCell ref="P74:T74"/>
    <mergeCell ref="P243:V243"/>
    <mergeCell ref="A19:Z19"/>
    <mergeCell ref="A190:Z190"/>
    <mergeCell ref="P310:T310"/>
    <mergeCell ref="A14:M14"/>
    <mergeCell ref="D109:E109"/>
    <mergeCell ref="A160:O161"/>
    <mergeCell ref="P163:T163"/>
    <mergeCell ref="D280:E280"/>
    <mergeCell ref="A353:Z353"/>
    <mergeCell ref="D345:E345"/>
    <mergeCell ref="P424:T424"/>
    <mergeCell ref="D467:E467"/>
    <mergeCell ref="A480:Z480"/>
    <mergeCell ref="P211:T211"/>
    <mergeCell ref="D399:E399"/>
    <mergeCell ref="A439:O440"/>
    <mergeCell ref="P309:T309"/>
    <mergeCell ref="P88:T88"/>
    <mergeCell ref="P51:T51"/>
    <mergeCell ref="D52:E52"/>
    <mergeCell ref="D350:E350"/>
    <mergeCell ref="P110:V110"/>
    <mergeCell ref="A162:Z162"/>
    <mergeCell ref="D27:E27"/>
    <mergeCell ref="D325:E325"/>
    <mergeCell ref="P208:T208"/>
    <mergeCell ref="P15:T16"/>
    <mergeCell ref="A132:O133"/>
    <mergeCell ref="D116:E116"/>
    <mergeCell ref="P219:T219"/>
    <mergeCell ref="A275:O276"/>
    <mergeCell ref="A335:Z335"/>
    <mergeCell ref="A69:O70"/>
    <mergeCell ref="P272:T272"/>
    <mergeCell ref="P210:T210"/>
    <mergeCell ref="P308:T308"/>
    <mergeCell ref="D93:E93"/>
    <mergeCell ref="D264:E264"/>
    <mergeCell ref="D220:E220"/>
    <mergeCell ref="A195:Z195"/>
    <mergeCell ref="A253:Z253"/>
    <mergeCell ref="P26:T26"/>
    <mergeCell ref="P153:T153"/>
    <mergeCell ref="A483:O484"/>
    <mergeCell ref="P82:V82"/>
    <mergeCell ref="P204:V204"/>
    <mergeCell ref="A134:Z134"/>
    <mergeCell ref="P440:V440"/>
    <mergeCell ref="P303:T303"/>
    <mergeCell ref="D330:E330"/>
    <mergeCell ref="A421:Z421"/>
    <mergeCell ref="A98:Z98"/>
    <mergeCell ref="P306:V306"/>
    <mergeCell ref="D398:E398"/>
    <mergeCell ref="P439:V439"/>
    <mergeCell ref="D460:E460"/>
    <mergeCell ref="P433:V433"/>
    <mergeCell ref="D416:E416"/>
    <mergeCell ref="P427:T427"/>
    <mergeCell ref="D391:E391"/>
    <mergeCell ref="P484:V484"/>
    <mergeCell ref="P434:V434"/>
    <mergeCell ref="A433:O434"/>
    <mergeCell ref="P324:T324"/>
    <mergeCell ref="P326:V326"/>
    <mergeCell ref="P393:T393"/>
    <mergeCell ref="D203:E203"/>
    <mergeCell ref="P491:V491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166:E166"/>
    <mergeCell ref="D337:E337"/>
    <mergeCell ref="P128:V128"/>
    <mergeCell ref="A17:A18"/>
    <mergeCell ref="K17:K18"/>
    <mergeCell ref="P300:T300"/>
    <mergeCell ref="C17:C18"/>
    <mergeCell ref="P431:T431"/>
    <mergeCell ref="D103:E103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D88:E88"/>
    <mergeCell ref="P142:T142"/>
    <mergeCell ref="D26:E26"/>
    <mergeCell ref="D148:E148"/>
    <mergeCell ref="P167:T167"/>
    <mergeCell ref="D324:E324"/>
    <mergeCell ref="P55:T55"/>
    <mergeCell ref="D115:E115"/>
    <mergeCell ref="D311:E311"/>
    <mergeCell ref="P417:V417"/>
    <mergeCell ref="Q12:R12"/>
    <mergeCell ref="P280:T280"/>
    <mergeCell ref="P169:T169"/>
    <mergeCell ref="P411:T411"/>
    <mergeCell ref="D388:E388"/>
    <mergeCell ref="P442:T442"/>
    <mergeCell ref="P467:T467"/>
    <mergeCell ref="P489:V489"/>
    <mergeCell ref="Q9:R9"/>
    <mergeCell ref="P463:V463"/>
    <mergeCell ref="P312:T312"/>
    <mergeCell ref="D451:E451"/>
    <mergeCell ref="D255:E255"/>
    <mergeCell ref="P36:V36"/>
    <mergeCell ref="P478:V478"/>
    <mergeCell ref="Q11:R11"/>
    <mergeCell ref="D322:E322"/>
    <mergeCell ref="P183:V183"/>
    <mergeCell ref="A43:O44"/>
    <mergeCell ref="P246:T246"/>
    <mergeCell ref="P133:V133"/>
    <mergeCell ref="P127:V127"/>
    <mergeCell ref="A123:Z123"/>
    <mergeCell ref="D390:E390"/>
    <mergeCell ref="P66:T66"/>
    <mergeCell ref="D9:E9"/>
    <mergeCell ref="P197:T197"/>
    <mergeCell ref="F9:G9"/>
    <mergeCell ref="P53:T53"/>
    <mergeCell ref="D167:E167"/>
    <mergeCell ref="P289:T289"/>
    <mergeCell ref="P422:T422"/>
    <mergeCell ref="D369:E369"/>
    <mergeCell ref="A182:O183"/>
    <mergeCell ref="P52:T52"/>
    <mergeCell ref="P423:T423"/>
    <mergeCell ref="D375:E375"/>
    <mergeCell ref="P350:T350"/>
    <mergeCell ref="P429:T429"/>
    <mergeCell ref="P481:T481"/>
    <mergeCell ref="I17:I18"/>
    <mergeCell ref="D141:E141"/>
    <mergeCell ref="D135:E135"/>
    <mergeCell ref="A319:O320"/>
    <mergeCell ref="A417:O418"/>
    <mergeCell ref="P470:V470"/>
    <mergeCell ref="D72:E72"/>
    <mergeCell ref="P295:V295"/>
    <mergeCell ref="P178:V178"/>
    <mergeCell ref="P276:V276"/>
    <mergeCell ref="D232:E232"/>
    <mergeCell ref="A263:Z263"/>
    <mergeCell ref="P264:T264"/>
    <mergeCell ref="P68:T68"/>
    <mergeCell ref="A356:O357"/>
    <mergeCell ref="D169:E169"/>
    <mergeCell ref="D1:F1"/>
    <mergeCell ref="P466:T466"/>
    <mergeCell ref="A71:Z71"/>
    <mergeCell ref="P488:V488"/>
    <mergeCell ref="P111:V111"/>
    <mergeCell ref="P282:V282"/>
    <mergeCell ref="A307:Z307"/>
    <mergeCell ref="J17:J18"/>
    <mergeCell ref="L17:L18"/>
    <mergeCell ref="A184:Z184"/>
    <mergeCell ref="P48:V48"/>
    <mergeCell ref="P255:T255"/>
    <mergeCell ref="P426:T426"/>
    <mergeCell ref="A342:Z342"/>
    <mergeCell ref="A407:Z407"/>
    <mergeCell ref="P192:T192"/>
    <mergeCell ref="P428:T428"/>
    <mergeCell ref="D100:E100"/>
    <mergeCell ref="P113:T113"/>
    <mergeCell ref="P284:T284"/>
    <mergeCell ref="P17:T18"/>
    <mergeCell ref="A471:Z471"/>
    <mergeCell ref="P250:T250"/>
    <mergeCell ref="D329:E329"/>
    <mergeCell ref="A45:Z45"/>
    <mergeCell ref="A287:Z287"/>
    <mergeCell ref="A343:Z343"/>
    <mergeCell ref="A458:Z458"/>
    <mergeCell ref="P35:V35"/>
    <mergeCell ref="P333:V333"/>
    <mergeCell ref="P273:T273"/>
    <mergeCell ref="D316:E316"/>
    <mergeCell ref="A218:Z218"/>
    <mergeCell ref="D272:E272"/>
    <mergeCell ref="D387:E387"/>
    <mergeCell ref="D210:E210"/>
    <mergeCell ref="D443:E443"/>
    <mergeCell ref="D308:E308"/>
    <mergeCell ref="D87:E87"/>
    <mergeCell ref="P166:T166"/>
    <mergeCell ref="D147:E147"/>
    <mergeCell ref="P188:V188"/>
    <mergeCell ref="D209:E209"/>
    <mergeCell ref="D274:E274"/>
    <mergeCell ref="P337:T337"/>
    <mergeCell ref="D301:E301"/>
    <mergeCell ref="D380:E380"/>
    <mergeCell ref="P116:T116"/>
    <mergeCell ref="A47:O48"/>
    <mergeCell ref="A96:O97"/>
    <mergeCell ref="D354:E354"/>
    <mergeCell ref="P482:T482"/>
    <mergeCell ref="A332:O333"/>
    <mergeCell ref="P475:V475"/>
    <mergeCell ref="U498:U499"/>
    <mergeCell ref="W498:W499"/>
    <mergeCell ref="P269:V269"/>
    <mergeCell ref="D445:E445"/>
    <mergeCell ref="P103:T103"/>
    <mergeCell ref="P230:T230"/>
    <mergeCell ref="A469:O470"/>
    <mergeCell ref="P168:T168"/>
    <mergeCell ref="D211:E211"/>
    <mergeCell ref="B498:B499"/>
    <mergeCell ref="P490:V490"/>
    <mergeCell ref="D229:E229"/>
    <mergeCell ref="A402:Z402"/>
    <mergeCell ref="P131:T131"/>
    <mergeCell ref="D108:E108"/>
    <mergeCell ref="A117:O118"/>
    <mergeCell ref="P187:T187"/>
    <mergeCell ref="P258:T258"/>
    <mergeCell ref="H1:Q1"/>
    <mergeCell ref="A448:O449"/>
    <mergeCell ref="A99:Z99"/>
    <mergeCell ref="A397:Z397"/>
    <mergeCell ref="D214:E214"/>
    <mergeCell ref="P222:V222"/>
    <mergeCell ref="P193:V193"/>
    <mergeCell ref="D284:E284"/>
    <mergeCell ref="P120:T120"/>
    <mergeCell ref="D259:E259"/>
    <mergeCell ref="D28:E28"/>
    <mergeCell ref="D432:E432"/>
    <mergeCell ref="D92:E92"/>
    <mergeCell ref="D55:E55"/>
    <mergeCell ref="D30:E30"/>
    <mergeCell ref="P171:T171"/>
    <mergeCell ref="A239:O240"/>
    <mergeCell ref="P242:T242"/>
    <mergeCell ref="P340:V340"/>
    <mergeCell ref="D67:E67"/>
    <mergeCell ref="D5:E5"/>
    <mergeCell ref="A140:Z140"/>
    <mergeCell ref="D303:E303"/>
    <mergeCell ref="P42:T42"/>
    <mergeCell ref="D7:M7"/>
    <mergeCell ref="A373:Z373"/>
    <mergeCell ref="A405:O406"/>
    <mergeCell ref="P92:T92"/>
    <mergeCell ref="A152:Z152"/>
    <mergeCell ref="P327:V327"/>
    <mergeCell ref="P394:T394"/>
    <mergeCell ref="A450:Z450"/>
    <mergeCell ref="D442:E442"/>
    <mergeCell ref="D302:E302"/>
    <mergeCell ref="D429:E429"/>
    <mergeCell ref="P29:T29"/>
    <mergeCell ref="P100:T100"/>
    <mergeCell ref="D81:E81"/>
    <mergeCell ref="P94:T94"/>
    <mergeCell ref="P265:T265"/>
    <mergeCell ref="D208:E208"/>
    <mergeCell ref="D8:M8"/>
    <mergeCell ref="D379:E379"/>
    <mergeCell ref="D300:E300"/>
    <mergeCell ref="P329:T329"/>
    <mergeCell ref="P118:V118"/>
    <mergeCell ref="P251:V251"/>
    <mergeCell ref="A241:Z241"/>
    <mergeCell ref="W17:W18"/>
    <mergeCell ref="A50:Z50"/>
    <mergeCell ref="P96:V96"/>
    <mergeCell ref="P445:T445"/>
    <mergeCell ref="P90:V90"/>
    <mergeCell ref="P261:V261"/>
    <mergeCell ref="P161:V161"/>
    <mergeCell ref="P217:V217"/>
    <mergeCell ref="P332:V332"/>
    <mergeCell ref="A384:Z384"/>
    <mergeCell ref="A376:O377"/>
    <mergeCell ref="P234:T234"/>
    <mergeCell ref="P154:V154"/>
    <mergeCell ref="A321:Z321"/>
    <mergeCell ref="D142:E142"/>
    <mergeCell ref="P95:T95"/>
    <mergeCell ref="P266:T266"/>
    <mergeCell ref="P331:T331"/>
    <mergeCell ref="P182:V182"/>
    <mergeCell ref="D290:E290"/>
    <mergeCell ref="D94:E94"/>
    <mergeCell ref="P396:V396"/>
    <mergeCell ref="P259:T259"/>
    <mergeCell ref="A395:O396"/>
    <mergeCell ref="D66:E66"/>
    <mergeCell ref="P316:T316"/>
    <mergeCell ref="D126:E126"/>
    <mergeCell ref="P443:T443"/>
    <mergeCell ref="D197:E197"/>
    <mergeCell ref="T498:T499"/>
    <mergeCell ref="D53:E53"/>
    <mergeCell ref="A84:Z84"/>
    <mergeCell ref="D289:E289"/>
    <mergeCell ref="D411:E411"/>
    <mergeCell ref="D482:E482"/>
    <mergeCell ref="P395:V395"/>
    <mergeCell ref="P209:T209"/>
    <mergeCell ref="C497:H497"/>
    <mergeCell ref="P147:T147"/>
    <mergeCell ref="A385:Z385"/>
    <mergeCell ref="A193:O194"/>
    <mergeCell ref="A498:A499"/>
    <mergeCell ref="P473:T473"/>
    <mergeCell ref="S497:T497"/>
    <mergeCell ref="V498:V499"/>
    <mergeCell ref="P453:T453"/>
    <mergeCell ref="A474:O475"/>
    <mergeCell ref="P148:T148"/>
    <mergeCell ref="R1:T1"/>
    <mergeCell ref="P28:T28"/>
    <mergeCell ref="A351:O352"/>
    <mergeCell ref="P392:T392"/>
    <mergeCell ref="P215:T215"/>
    <mergeCell ref="P386:T386"/>
    <mergeCell ref="A381:O382"/>
    <mergeCell ref="P165:T165"/>
    <mergeCell ref="P432:T432"/>
    <mergeCell ref="P400:V400"/>
    <mergeCell ref="A89:O90"/>
    <mergeCell ref="P30:T30"/>
    <mergeCell ref="D73:E73"/>
    <mergeCell ref="P77:V77"/>
    <mergeCell ref="P179:V179"/>
    <mergeCell ref="P290:T290"/>
    <mergeCell ref="P377:V377"/>
    <mergeCell ref="A63:O64"/>
    <mergeCell ref="B17:B18"/>
    <mergeCell ref="A77:O78"/>
    <mergeCell ref="D131:E131"/>
    <mergeCell ref="P235:V235"/>
    <mergeCell ref="D258:E258"/>
    <mergeCell ref="A358:Z358"/>
    <mergeCell ref="H9:I9"/>
    <mergeCell ref="A49:Z49"/>
    <mergeCell ref="P24:V24"/>
    <mergeCell ref="P89:V89"/>
    <mergeCell ref="P260:V260"/>
    <mergeCell ref="P389:T389"/>
    <mergeCell ref="A334:Z334"/>
    <mergeCell ref="A383:Z383"/>
    <mergeCell ref="P220:T220"/>
    <mergeCell ref="A65:Z65"/>
    <mergeCell ref="D312:E312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360:E360"/>
    <mergeCell ref="D473:E473"/>
    <mergeCell ref="D60:E60"/>
    <mergeCell ref="P73:T73"/>
    <mergeCell ref="D187:E187"/>
    <mergeCell ref="P437:T437"/>
    <mergeCell ref="A361:O362"/>
    <mergeCell ref="P231:T231"/>
    <mergeCell ref="D423:E423"/>
    <mergeCell ref="P302:T302"/>
    <mergeCell ref="D472:E472"/>
    <mergeCell ref="D410:E410"/>
    <mergeCell ref="A270:Z270"/>
    <mergeCell ref="A441:Z441"/>
    <mergeCell ref="A368:Z368"/>
    <mergeCell ref="P391:T391"/>
    <mergeCell ref="D426:E426"/>
    <mergeCell ref="P464:V464"/>
    <mergeCell ref="P452:T452"/>
    <mergeCell ref="P448:V448"/>
    <mergeCell ref="P404:T404"/>
    <mergeCell ref="A124:Z124"/>
    <mergeCell ref="D431:E431"/>
    <mergeCell ref="P170:T170"/>
    <mergeCell ref="P468:T4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2025-11-03T07:38:18Z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