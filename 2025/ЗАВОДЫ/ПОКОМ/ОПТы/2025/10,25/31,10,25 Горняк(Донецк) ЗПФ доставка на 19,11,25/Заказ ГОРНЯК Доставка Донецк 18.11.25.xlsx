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31,10,25 Горняк(Донецк) ЗПФ доставка на 19,11,25\"/>
    </mc:Choice>
  </mc:AlternateContent>
  <xr:revisionPtr revIDLastSave="0" documentId="13_ncr:1_{F2066634-71E3-45C7-8E2A-CCA52AB447F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" r:id="rId1"/>
  </sheets>
  <definedNames>
    <definedName name="_xlnm._FilterDatabase" localSheetId="0" hidden="1">заказ!$H$1:$H$80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<sst xmlns="http://schemas.openxmlformats.org/spreadsheetml/2006/main" count="165" uniqueCount="72">
  <si>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</si>
  <si>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</si>
  <si>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</si>
  <si>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</si>
  <si>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</si>
  <si>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</si>
  <si>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</si>
  <si>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</si>
  <si>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</si>
  <si>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</si>
  <si>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</si>
  <si>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</si>
  <si>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</si>
  <si>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</si>
  <si>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</si>
  <si>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</si>
  <si>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</si>
  <si>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</si>
  <si>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</si>
  <si>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</si>
  <si>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</si>
  <si>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</si>
  <si>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</si>
  <si>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</si>
  <si>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</si>
  <si>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</si>
  <si>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</si>
  <si>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</si>
  <si>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</si>
  <si>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</si>
  <si>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</si>
  <si>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</si>
  <si>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</si>
  <si>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</si>
  <si>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</si>
  <si>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</si>
  <si>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</si>
  <si>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</si>
  <si>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</si>
  <si>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</si>
  <si>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</si>
  <si>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</si>
  <si>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</si>
  <si>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</si>
  <si>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</si>
  <si>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</si>
  <si>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</si>
  <si>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</si>
  <si>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</si>
  <si>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</si>
  <si>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</si>
  <si>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</si>
  <si>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</si>
  <si>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</si>
  <si>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</si>
  <si>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</si>
  <si>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</si>
  <si>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</si>
  <si>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</si>
  <si>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</si>
  <si>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</si>
  <si>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</si>
  <si>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</si>
  <si>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</si>
  <si>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</si>
  <si>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</si>
  <si>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</si>
  <si>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</si>
  <si>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</si>
  <si>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</si>
  <si>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</si>
  <si>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18.11.25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</si>
</sst>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 xr:uid="{00000000-0005-0000-0000-000000000000}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"/>
  <sheetViews>
    <sheetView tabSelected="1" zoomScale="90" zoomScaleNormal="90" workbookViewId="0">
      <pane xSplit="2" ySplit="7" topLeftCell="C44" activePane="bottomRight" state="frozen"/>
      <selection pane="topRight" activeCell="F1" sqref="F1"/>
      <selection pane="bottomLeft" activeCell="A8" sqref="A8"/>
      <selection pane="bottomRight" activeCell="O53" sqref="O53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>
        <v>182</v>
      </c>
      <c r="J8" s="77">
        <f t="shared" ref="J8:J37" si="0">I8*$D8</f>
        <v>273</v>
      </c>
      <c r="K8" s="48">
        <f t="shared" ref="K8:K37" si="1">I8*$E8</f>
        <v>349.76760000000002</v>
      </c>
      <c r="L8" s="48">
        <f t="shared" ref="L8:L37" si="2">I8/$F8</f>
        <v>1.3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>
        <v>308</v>
      </c>
      <c r="J9" s="77">
        <f t="shared" si="0"/>
        <v>462</v>
      </c>
      <c r="K9" s="48">
        <f t="shared" si="1"/>
        <v>591.9144</v>
      </c>
      <c r="L9" s="48">
        <f t="shared" si="2"/>
        <v>2.2000000000000002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>
        <v>96</v>
      </c>
      <c r="J10" s="77">
        <f t="shared" si="0"/>
        <v>537.59999999999991</v>
      </c>
      <c r="K10" s="48">
        <f t="shared" si="1"/>
        <v>563.52</v>
      </c>
      <c r="L10" s="48">
        <f t="shared" si="2"/>
        <v>1.1428571428571428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>
        <v>0</v>
      </c>
      <c r="J11" s="77">
        <f t="shared" si="0"/>
        <v>0</v>
      </c>
      <c r="K11" s="48">
        <f t="shared" si="1"/>
        <v>0</v>
      </c>
      <c r="L11" s="48">
        <f t="shared" si="2"/>
        <v>0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>
        <v>24</v>
      </c>
      <c r="J12" s="77">
        <f t="shared" si="0"/>
        <v>134.39999999999998</v>
      </c>
      <c r="K12" s="48">
        <f t="shared" si="1"/>
        <v>140.88</v>
      </c>
      <c r="L12" s="48">
        <f t="shared" si="2"/>
        <v>0.2857142857142857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>
        <v>0</v>
      </c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>
        <v>12</v>
      </c>
      <c r="J14" s="77">
        <f t="shared" si="0"/>
        <v>84</v>
      </c>
      <c r="K14" s="48">
        <f t="shared" si="1"/>
        <v>87.6</v>
      </c>
      <c r="L14" s="48">
        <f t="shared" si="2"/>
        <v>0.14285714285714285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>
        <v>0</v>
      </c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>
        <v>0</v>
      </c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>
        <v>0</v>
      </c>
      <c r="J17" s="77">
        <f t="shared" si="0"/>
        <v>0</v>
      </c>
      <c r="K17" s="48">
        <f t="shared" si="1"/>
        <v>0</v>
      </c>
      <c r="L17" s="48">
        <f t="shared" si="2"/>
        <v>0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>
        <v>24</v>
      </c>
      <c r="J18" s="77">
        <f t="shared" si="0"/>
        <v>168</v>
      </c>
      <c r="K18" s="48">
        <f t="shared" si="1"/>
        <v>175.2</v>
      </c>
      <c r="L18" s="48">
        <f t="shared" si="2"/>
        <v>0.2857142857142857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>
        <v>0</v>
      </c>
      <c r="J19" s="77">
        <f t="shared" si="0"/>
        <v>0</v>
      </c>
      <c r="K19" s="48">
        <f t="shared" si="1"/>
        <v>0</v>
      </c>
      <c r="L19" s="48">
        <f t="shared" si="2"/>
        <v>0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>
        <v>24</v>
      </c>
      <c r="J20" s="77">
        <f t="shared" si="0"/>
        <v>120</v>
      </c>
      <c r="K20" s="48">
        <f t="shared" si="1"/>
        <v>125.11679999999998</v>
      </c>
      <c r="L20" s="48">
        <f t="shared" si="2"/>
        <v>0.16666666666666666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>
        <v>28</v>
      </c>
      <c r="J21" s="77">
        <f t="shared" si="0"/>
        <v>100.8</v>
      </c>
      <c r="K21" s="48">
        <f t="shared" si="1"/>
        <v>120.50080000000001</v>
      </c>
      <c r="L21" s="48">
        <f t="shared" si="2"/>
        <v>0.4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>
        <v>154</v>
      </c>
      <c r="J22" s="77">
        <f t="shared" si="0"/>
        <v>554.4</v>
      </c>
      <c r="K22" s="48">
        <f t="shared" si="1"/>
        <v>662.75440000000003</v>
      </c>
      <c r="L22" s="48">
        <f t="shared" si="2"/>
        <v>2.2000000000000002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>
        <v>56</v>
      </c>
      <c r="J23" s="77">
        <f t="shared" si="0"/>
        <v>201.6</v>
      </c>
      <c r="K23" s="48">
        <f t="shared" si="1"/>
        <v>241.00160000000002</v>
      </c>
      <c r="L23" s="48">
        <f t="shared" si="2"/>
        <v>0.8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>
        <v>70</v>
      </c>
      <c r="J24" s="77">
        <f t="shared" si="0"/>
        <v>201.6</v>
      </c>
      <c r="K24" s="48">
        <f t="shared" si="1"/>
        <v>250.852</v>
      </c>
      <c r="L24" s="48">
        <f t="shared" si="2"/>
        <v>1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>
        <v>98</v>
      </c>
      <c r="J25" s="77">
        <f t="shared" si="0"/>
        <v>282.24</v>
      </c>
      <c r="K25" s="48">
        <f t="shared" si="1"/>
        <v>351.19280000000003</v>
      </c>
      <c r="L25" s="48">
        <f t="shared" si="2"/>
        <v>1.4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>
        <v>14</v>
      </c>
      <c r="J26" s="77">
        <f t="shared" si="0"/>
        <v>40.32</v>
      </c>
      <c r="K26" s="48">
        <f t="shared" si="1"/>
        <v>50.170400000000001</v>
      </c>
      <c r="L26" s="48">
        <f t="shared" si="2"/>
        <v>0.2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>
        <v>70</v>
      </c>
      <c r="J27" s="77">
        <f t="shared" si="0"/>
        <v>201.6</v>
      </c>
      <c r="K27" s="48">
        <f t="shared" si="1"/>
        <v>250.852</v>
      </c>
      <c r="L27" s="48">
        <f t="shared" si="2"/>
        <v>1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>
        <v>70</v>
      </c>
      <c r="J28" s="77">
        <f t="shared" si="0"/>
        <v>268.8</v>
      </c>
      <c r="K28" s="48">
        <f t="shared" si="1"/>
        <v>311.416</v>
      </c>
      <c r="L28" s="48">
        <f t="shared" si="2"/>
        <v>1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>
        <v>14</v>
      </c>
      <c r="J29" s="77">
        <f t="shared" si="0"/>
        <v>58.800000000000004</v>
      </c>
      <c r="K29" s="48">
        <f t="shared" si="1"/>
        <v>63.408800000000006</v>
      </c>
      <c r="L29" s="48">
        <f t="shared" si="2"/>
        <v>0.2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>
        <v>72</v>
      </c>
      <c r="J30" s="77">
        <f t="shared" si="0"/>
        <v>460.8</v>
      </c>
      <c r="K30" s="48">
        <f t="shared" si="1"/>
        <v>483.81119999999999</v>
      </c>
      <c r="L30" s="48">
        <f t="shared" si="2"/>
        <v>0.8571428571428571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>
        <v>192</v>
      </c>
      <c r="J31" s="77">
        <f t="shared" si="0"/>
        <v>1344</v>
      </c>
      <c r="K31" s="48">
        <f t="shared" si="1"/>
        <v>1401.6</v>
      </c>
      <c r="L31" s="48">
        <f t="shared" si="2"/>
        <v>2.2857142857142856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>
        <v>132</v>
      </c>
      <c r="J32" s="77">
        <f t="shared" si="0"/>
        <v>844.80000000000007</v>
      </c>
      <c r="K32" s="48">
        <f t="shared" si="1"/>
        <v>886.98720000000003</v>
      </c>
      <c r="L32" s="48">
        <f t="shared" si="2"/>
        <v>1.5714285714285714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>
        <v>144</v>
      </c>
      <c r="J33" s="77">
        <f t="shared" si="0"/>
        <v>1008</v>
      </c>
      <c r="K33" s="48">
        <f t="shared" si="1"/>
        <v>1051.2</v>
      </c>
      <c r="L33" s="48">
        <f t="shared" si="2"/>
        <v>1.7142857142857142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>
        <v>210</v>
      </c>
      <c r="J34" s="77">
        <f t="shared" si="0"/>
        <v>630</v>
      </c>
      <c r="K34" s="48">
        <f t="shared" si="1"/>
        <v>777.75599999999997</v>
      </c>
      <c r="L34" s="48">
        <f t="shared" si="2"/>
        <v>3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>
        <v>280</v>
      </c>
      <c r="J35" s="77">
        <f t="shared" si="0"/>
        <v>840</v>
      </c>
      <c r="K35" s="48">
        <f t="shared" si="1"/>
        <v>1037.008</v>
      </c>
      <c r="L35" s="48">
        <f t="shared" si="2"/>
        <v>4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>
        <v>0</v>
      </c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>
        <v>154</v>
      </c>
      <c r="J37" s="77">
        <f t="shared" si="0"/>
        <v>462</v>
      </c>
      <c r="K37" s="48">
        <f t="shared" si="1"/>
        <v>570.35439999999994</v>
      </c>
      <c r="L37" s="48">
        <f t="shared" si="2"/>
        <v>2.2000000000000002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>
        <v>98</v>
      </c>
      <c r="J38" s="77">
        <f t="shared" ref="J38:J58" si="3">I38*$D38</f>
        <v>235.2</v>
      </c>
      <c r="K38" s="48">
        <f t="shared" ref="K38:K58" si="4">I38*$E38</f>
        <v>262.64000000000004</v>
      </c>
      <c r="L38" s="48">
        <f t="shared" ref="L38:L58" si="5">I38/$F38</f>
        <v>1.4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>
        <v>42</v>
      </c>
      <c r="J39" s="77">
        <f t="shared" si="3"/>
        <v>100.8</v>
      </c>
      <c r="K39" s="48">
        <f t="shared" si="4"/>
        <v>112.56</v>
      </c>
      <c r="L39" s="48">
        <f t="shared" si="5"/>
        <v>0.6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/>
      <c r="J40" s="77">
        <f t="shared" si="3"/>
        <v>0</v>
      </c>
      <c r="K40" s="48">
        <f t="shared" si="4"/>
        <v>0</v>
      </c>
      <c r="L40" s="48">
        <f t="shared" si="5"/>
        <v>0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/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/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/>
      <c r="J43" s="77">
        <f t="shared" si="3"/>
        <v>0</v>
      </c>
      <c r="K43" s="48">
        <f t="shared" si="4"/>
        <v>0</v>
      </c>
      <c r="L43" s="48">
        <f t="shared" si="5"/>
        <v>0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/>
      <c r="J44" s="77">
        <f t="shared" si="3"/>
        <v>0</v>
      </c>
      <c r="K44" s="48">
        <f t="shared" si="4"/>
        <v>0</v>
      </c>
      <c r="L44" s="48">
        <f t="shared" si="5"/>
        <v>0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/>
      <c r="J45" s="77">
        <f t="shared" si="3"/>
        <v>0</v>
      </c>
      <c r="K45" s="48">
        <f t="shared" si="4"/>
        <v>0</v>
      </c>
      <c r="L45" s="48">
        <f t="shared" si="5"/>
        <v>0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/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/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/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/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/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/>
      <c r="J51" s="77">
        <f t="shared" si="3"/>
        <v>0</v>
      </c>
      <c r="K51" s="48">
        <f t="shared" si="4"/>
        <v>0</v>
      </c>
      <c r="L51" s="48">
        <f t="shared" si="5"/>
        <v>0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/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/>
      <c r="J53" s="77">
        <f t="shared" si="3"/>
        <v>0</v>
      </c>
      <c r="K53" s="48">
        <f t="shared" si="4"/>
        <v>0</v>
      </c>
      <c r="L53" s="48">
        <f t="shared" si="5"/>
        <v>0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/>
      <c r="J54" s="77">
        <f t="shared" si="3"/>
        <v>0</v>
      </c>
      <c r="K54" s="48">
        <f t="shared" si="4"/>
        <v>0</v>
      </c>
      <c r="L54" s="48">
        <f t="shared" si="5"/>
        <v>0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/>
      <c r="J55" s="77">
        <f t="shared" si="3"/>
        <v>0</v>
      </c>
      <c r="K55" s="48">
        <f t="shared" si="4"/>
        <v>0</v>
      </c>
      <c r="L55" s="48">
        <f t="shared" si="5"/>
        <v>0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/>
      <c r="J56" s="77">
        <f t="shared" si="3"/>
        <v>0</v>
      </c>
      <c r="K56" s="48">
        <f t="shared" si="4"/>
        <v>0</v>
      </c>
      <c r="L56" s="48">
        <f t="shared" si="5"/>
        <v>0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/>
      <c r="J57" s="77">
        <f t="shared" si="3"/>
        <v>0</v>
      </c>
      <c r="K57" s="48">
        <f t="shared" si="4"/>
        <v>0</v>
      </c>
      <c r="L57" s="48">
        <f t="shared" si="5"/>
        <v>0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/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2568</v>
      </c>
      <c r="J59" s="30">
        <f>SUM(J8:J58)</f>
        <v>9614.76</v>
      </c>
      <c r="K59" s="30">
        <f>SUM(K8:K58)</f>
        <v>10920.064399999999</v>
      </c>
      <c r="L59" s="49">
        <f>SUM(L8:L58)</f>
        <v>31.352380952380955</v>
      </c>
      <c r="M59" s="47">
        <f>ROUNDUP(L59,0)</f>
        <v>32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11547.112019047618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xmlns:xlrd2="http://schemas.microsoft.com/office/spreadsheetml/2017/richdata2"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Uaer4</cp:lastModifiedBy>
  <cp:lastPrinted>2024-07-25T10:24:37Z</cp:lastPrinted>
  <dcterms:created xsi:type="dcterms:W3CDTF">2022-04-04T13:38:25Z</dcterms:created>
  <dcterms:modified xsi:type="dcterms:W3CDTF">2025-11-14T08:44:58Z</dcterms:modified>
</cp:coreProperties>
</file>