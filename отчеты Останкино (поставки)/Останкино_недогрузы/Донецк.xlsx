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535A8D9-4D29-4649-823D-A680AED51FF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Донецк!$A$1:$JE$206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89" i="1" l="1"/>
  <c r="N172" i="1"/>
  <c r="N134" i="1"/>
  <c r="N113" i="1"/>
  <c r="N111" i="1"/>
  <c r="N29" i="1"/>
  <c r="N28" i="1"/>
  <c r="M165" i="1"/>
  <c r="M36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9" i="1"/>
  <c r="M200" i="1"/>
  <c r="M201" i="1"/>
  <c r="M202" i="1"/>
  <c r="M203" i="1"/>
  <c r="M204" i="1"/>
  <c r="M206" i="1"/>
  <c r="M3" i="1"/>
  <c r="T189" i="1"/>
  <c r="T172" i="1"/>
  <c r="T134" i="1"/>
  <c r="T113" i="1"/>
  <c r="T111" i="1"/>
  <c r="T51" i="1"/>
  <c r="T47" i="1"/>
  <c r="T29" i="1"/>
  <c r="T28" i="1"/>
  <c r="T24" i="1"/>
  <c r="S36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6" i="1"/>
  <c r="S3" i="1"/>
  <c r="Z189" i="1"/>
  <c r="Z179" i="1"/>
  <c r="Z172" i="1"/>
  <c r="Z134" i="1"/>
  <c r="Z113" i="1"/>
  <c r="Z83" i="1"/>
  <c r="Z47" i="1"/>
  <c r="Z29" i="1"/>
  <c r="Z28" i="1"/>
  <c r="Y36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6" i="1"/>
  <c r="Y3" i="1"/>
  <c r="RD2" i="1" l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V2" i="1"/>
  <c r="T2" i="1"/>
  <c r="S2" i="1"/>
  <c r="R2" i="1"/>
  <c r="P2" i="1"/>
  <c r="N2" i="1"/>
  <c r="M2" i="1"/>
  <c r="L2" i="1"/>
  <c r="J2" i="1"/>
  <c r="H2" i="1"/>
  <c r="G2" i="1"/>
  <c r="F2" i="1"/>
  <c r="E2" i="1"/>
  <c r="D2" i="1"/>
  <c r="C2" i="1"/>
  <c r="W2" i="1"/>
  <c r="U2" i="1"/>
  <c r="Q2" i="1"/>
  <c r="O2" i="1"/>
  <c r="K2" i="1"/>
  <c r="I2" i="1"/>
</calcChain>
</file>

<file path=xl/sharedStrings.xml><?xml version="1.0" encoding="utf-8"?>
<sst xmlns="http://schemas.openxmlformats.org/spreadsheetml/2006/main" count="676" uniqueCount="495">
  <si>
    <t>Номенклатура</t>
  </si>
  <si>
    <t>кооф</t>
  </si>
  <si>
    <t>05,11,пр</t>
  </si>
  <si>
    <t>04,11,пр</t>
  </si>
  <si>
    <t>29,10,пр</t>
  </si>
  <si>
    <t>28,10,пр</t>
  </si>
  <si>
    <t>21,10,пр</t>
  </si>
  <si>
    <t>20,10,пр</t>
  </si>
  <si>
    <t>разн.шт.</t>
  </si>
  <si>
    <t>недогруз вес</t>
  </si>
  <si>
    <t>10,11,</t>
  </si>
  <si>
    <t>08,11,</t>
  </si>
  <si>
    <t>03,11,</t>
  </si>
  <si>
    <t>01,11,</t>
  </si>
  <si>
    <t>27,10,</t>
  </si>
  <si>
    <t>25,10,</t>
  </si>
  <si>
    <t>20,10,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</si>
  <si>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</si>
  <si>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</si>
  <si>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</si>
  <si>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</si>
  <si>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</si>
  <si>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</si>
  <si>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</si>
  <si>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</si>
  <si>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</si>
  <si>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</si>
  <si>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</si>
  <si>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</si>
  <si>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</si>
  <si>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</si>
  <si>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</si>
  <si>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</si>
  <si>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</si>
  <si>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</si>
  <si>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</si>
  <si>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</si>
  <si>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</si>
  <si>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</si>
  <si>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</si>
  <si>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</si>
  <si>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</si>
  <si>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</si>
  <si>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</si>
  <si>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</si>
  <si>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</si>
  <si>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</si>
  <si>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</si>
  <si>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</si>
  <si>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</si>
  <si>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</si>
  <si>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</si>
  <si>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</si>
  <si>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</si>
  <si>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</si>
  <si>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</si>
  <si>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</si>
  <si>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</si>
  <si>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</si>
  <si>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</si>
  <si>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</si>
  <si>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</si>
  <si>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</si>
  <si>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</si>
  <si>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</si>
  <si>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</si>
  <si>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</si>
  <si>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</si>
  <si>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</si>
  <si>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</si>
  <si>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</si>
  <si>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</si>
  <si>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</si>
  <si>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</si>
  <si>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</si>
  <si>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</si>
  <si>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</si>
  <si>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</si>
  <si>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</si>
  <si>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</si>
  <si>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</si>
  <si>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</si>
  <si>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</si>
  <si>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</si>
  <si>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</si>
  <si>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</si>
  <si>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</si>
  <si>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</si>
  <si>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</si>
  <si>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</si>
  <si>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</si>
  <si>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</si>
  <si>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</si>
  <si>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</si>
  <si>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</si>
  <si>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</si>
  <si>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</si>
  <si>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</si>
  <si>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</si>
  <si>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</si>
  <si>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</si>
  <si>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</si>
  <si>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</si>
  <si>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</si>
  <si>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</si>
  <si>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</si>
  <si>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</si>
  <si>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</si>
  <si>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</si>
  <si>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</si>
  <si>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</si>
  <si>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</si>
  <si>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</si>
  <si>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</si>
  <si>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</si>
  <si>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</si>
  <si>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</si>
  <si>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</si>
  <si>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</si>
  <si>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</si>
  <si>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</si>
  <si>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</si>
  <si>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</si>
  <si>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</si>
  <si>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</si>
  <si>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</si>
  <si>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</si>
  <si>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</si>
  <si>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</si>
  <si>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</si>
  <si>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</si>
  <si>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</si>
  <si>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</si>
  <si>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</si>
  <si>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</si>
  <si>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</si>
  <si>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</si>
  <si>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</si>
  <si>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</si>
  <si>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</si>
  <si>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</si>
  <si>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</si>
  <si>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</si>
  <si>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</si>
  <si>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</si>
  <si>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</si>
  <si>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</si>
  <si>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</si>
  <si>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</si>
  <si>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</si>
  <si>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</si>
  <si>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</si>
  <si>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</si>
  <si>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</si>
  <si>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</si>
  <si>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</si>
  <si>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</si>
  <si>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</si>
  <si>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</si>
  <si>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</si>
  <si>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</si>
  <si>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</si>
  <si>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</si>
  <si>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</si>
  <si>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</si>
  <si>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</si>
  <si>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</si>
  <si>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</si>
  <si>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</si>
  <si>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</si>
  <si>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</si>
  <si>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</si>
  <si>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</si>
  <si>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</si>
  <si>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</si>
  <si>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</si>
  <si>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</si>
  <si>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</si>
  <si>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</si>
  <si>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</si>
  <si>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</si>
  <si>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</si>
  <si>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</si>
  <si>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</si>
  <si>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</si>
  <si>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</si>
  <si>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</si>
  <si>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</si>
  <si>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</si>
  <si>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</si>
  <si>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</si>
  <si>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</si>
  <si>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</si>
  <si>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</si>
  <si>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</si>
  <si>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</si>
  <si>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</si>
  <si>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</si>
  <si>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</si>
  <si>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30,11,</t>
  </si>
  <si>
    <t>28,11,пр</t>
  </si>
  <si>
    <t>25,11,(2)</t>
  </si>
  <si>
    <t>29,11,пр</t>
  </si>
  <si>
    <t>25,11,(1)</t>
  </si>
  <si>
    <t>27,11,пр</t>
  </si>
  <si>
    <t>23,11,</t>
  </si>
  <si>
    <t>21,11,пр</t>
  </si>
  <si>
    <t>18,11,</t>
  </si>
  <si>
    <t>18,11,пр</t>
  </si>
  <si>
    <t>16,11,</t>
  </si>
  <si>
    <t>14,11,пр</t>
  </si>
  <si>
    <t>11,11,</t>
  </si>
  <si>
    <t>09,11,</t>
  </si>
  <si>
    <t>11,11,пр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</si>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</sst>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9" borderId="0" xfId="0" applyFill="1"/>
    <xf numFmtId="0" fontId="0" fillId="7" borderId="0" xfId="0" applyFill="1"/>
    <xf numFmtId="0" fontId="0" fillId="12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64" fontId="0" fillId="0" borderId="0" xfId="0" applyNumberFormat="1"/>
    <xf numFmtId="165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D206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7" sqref="N7"/>
    </sheetView>
  </sheetViews>
  <sheetFormatPr defaultRowHeight="15" x14ac:dyDescent="0.25"/>
  <cols>
    <col min="1" max="1" width="62.5703125" style="43" bestFit="1" customWidth="1"/>
    <col min="2" max="2" width="6.85546875" style="44" customWidth="1"/>
    <col min="3" max="69" width="10.7109375" style="43" customWidth="1"/>
    <col min="70" max="70" width="10.7109375" style="48" customWidth="1"/>
    <col min="71" max="78" width="10.7109375" style="43" customWidth="1"/>
    <col min="79" max="79" width="10.7109375" style="48" customWidth="1"/>
    <col min="80" max="88" width="10.7109375" style="43" customWidth="1"/>
    <col min="89" max="89" width="10.7109375" style="48" customWidth="1"/>
    <col min="90" max="90" width="10.7109375" style="43" customWidth="1"/>
    <col min="91" max="91" width="10.7109375" style="48" customWidth="1"/>
    <col min="92" max="94" width="10.7109375" style="43" customWidth="1"/>
    <col min="95" max="95" width="10.7109375" style="48" customWidth="1"/>
    <col min="96" max="97" width="10.7109375" style="43" customWidth="1"/>
    <col min="98" max="99" width="10.7109375" style="48" customWidth="1"/>
    <col min="100" max="100" width="10.7109375" style="43" customWidth="1"/>
    <col min="101" max="101" width="10.7109375" style="48" customWidth="1"/>
    <col min="102" max="103" width="10.7109375" style="43" customWidth="1"/>
    <col min="104" max="106" width="10.7109375" style="48" customWidth="1"/>
    <col min="107" max="107" width="10.7109375" style="43" customWidth="1"/>
    <col min="108" max="111" width="10.7109375" style="48" customWidth="1"/>
    <col min="112" max="112" width="10.7109375" style="43" customWidth="1"/>
    <col min="113" max="114" width="10.7109375" style="48" customWidth="1"/>
    <col min="115" max="115" width="10.7109375" style="43" customWidth="1"/>
    <col min="116" max="116" width="10.7109375" style="48" customWidth="1"/>
    <col min="117" max="117" width="10.7109375" style="43" customWidth="1"/>
    <col min="118" max="123" width="10.7109375" style="48" customWidth="1"/>
    <col min="124" max="124" width="10.7109375" style="43" customWidth="1"/>
    <col min="125" max="129" width="10.7109375" style="48" customWidth="1"/>
    <col min="130" max="130" width="10.7109375" style="43" customWidth="1"/>
    <col min="131" max="133" width="10.7109375" style="48" customWidth="1"/>
    <col min="134" max="134" width="10.7109375" style="43" customWidth="1"/>
    <col min="135" max="139" width="10.7109375" style="48" customWidth="1"/>
    <col min="140" max="140" width="10.7109375" style="43" customWidth="1"/>
    <col min="141" max="143" width="10.7109375" style="48" customWidth="1"/>
    <col min="144" max="144" width="10.7109375" style="43" customWidth="1"/>
    <col min="145" max="149" width="10.7109375" style="48" customWidth="1"/>
    <col min="150" max="150" width="10.7109375" style="43" customWidth="1"/>
    <col min="151" max="152" width="10.7109375" style="48" customWidth="1"/>
    <col min="153" max="153" width="10.7109375" style="43" customWidth="1"/>
    <col min="154" max="155" width="10.7109375" style="48" customWidth="1"/>
    <col min="156" max="156" width="10.7109375" style="43" customWidth="1"/>
    <col min="157" max="161" width="10.7109375" style="48" customWidth="1"/>
    <col min="162" max="162" width="10.7109375" style="43" customWidth="1"/>
    <col min="163" max="167" width="10.7109375" style="48" customWidth="1"/>
    <col min="168" max="168" width="10.7109375" style="43" customWidth="1"/>
    <col min="169" max="173" width="10.7109375" style="48" customWidth="1"/>
    <col min="174" max="174" width="10.7109375" style="43" customWidth="1"/>
    <col min="175" max="179" width="10.7109375" style="48" customWidth="1"/>
    <col min="180" max="180" width="10.7109375" style="43" customWidth="1"/>
    <col min="181" max="185" width="10.7109375" style="48" customWidth="1"/>
    <col min="186" max="186" width="10.7109375" style="43" customWidth="1"/>
    <col min="187" max="189" width="10.7109375" style="48" customWidth="1"/>
    <col min="190" max="190" width="10.7109375" style="43" customWidth="1"/>
    <col min="191" max="193" width="10.7109375" style="48" customWidth="1"/>
    <col min="194" max="194" width="10.7109375" style="43" customWidth="1"/>
    <col min="195" max="199" width="10.7109375" style="48" customWidth="1"/>
    <col min="200" max="200" width="10.7109375" style="43" customWidth="1"/>
    <col min="201" max="203" width="10.7109375" style="48" customWidth="1"/>
    <col min="204" max="204" width="10.7109375" style="43" customWidth="1"/>
    <col min="205" max="209" width="10.7109375" style="48" customWidth="1"/>
    <col min="210" max="210" width="10.7109375" style="43" customWidth="1"/>
    <col min="211" max="213" width="10.7109375" style="48" customWidth="1"/>
    <col min="214" max="214" width="10.7109375" style="43" customWidth="1"/>
    <col min="215" max="219" width="10.7109375" style="48" customWidth="1"/>
    <col min="220" max="220" width="10.7109375" style="43" customWidth="1"/>
    <col min="221" max="221" width="10.7109375" style="48" customWidth="1"/>
    <col min="222" max="222" width="10.7109375" style="43" customWidth="1"/>
    <col min="223" max="225" width="10.7109375" style="48" customWidth="1"/>
    <col min="226" max="226" width="10.7109375" style="43" customWidth="1"/>
    <col min="227" max="227" width="10.7109375" style="48" customWidth="1"/>
    <col min="228" max="268" width="10.7109375" style="43" customWidth="1"/>
    <col min="269" max="380" width="9.140625" style="43" customWidth="1"/>
    <col min="381" max="16384" width="9.140625" style="43"/>
  </cols>
  <sheetData>
    <row r="1" spans="1:472" x14ac:dyDescent="0.25">
      <c r="A1" s="43" t="s">
        <v>0</v>
      </c>
      <c r="B1" s="44" t="s">
        <v>1</v>
      </c>
      <c r="C1" s="1" t="s">
        <v>8</v>
      </c>
      <c r="D1" s="1" t="s">
        <v>9</v>
      </c>
      <c r="E1" s="16" t="s">
        <v>10</v>
      </c>
      <c r="F1" s="16" t="s">
        <v>11</v>
      </c>
      <c r="G1" s="1" t="s">
        <v>8</v>
      </c>
      <c r="H1" s="1" t="s">
        <v>9</v>
      </c>
      <c r="I1" s="12" t="s">
        <v>2</v>
      </c>
      <c r="J1" s="16" t="s">
        <v>12</v>
      </c>
      <c r="K1" s="11" t="s">
        <v>3</v>
      </c>
      <c r="L1" s="16" t="s">
        <v>13</v>
      </c>
      <c r="M1" s="1" t="s">
        <v>8</v>
      </c>
      <c r="N1" s="30" t="s">
        <v>9</v>
      </c>
      <c r="O1" s="12" t="s">
        <v>4</v>
      </c>
      <c r="P1" s="16" t="s">
        <v>14</v>
      </c>
      <c r="Q1" s="11" t="s">
        <v>5</v>
      </c>
      <c r="R1" s="16" t="s">
        <v>15</v>
      </c>
      <c r="S1" s="1" t="s">
        <v>8</v>
      </c>
      <c r="T1" s="30" t="s">
        <v>9</v>
      </c>
      <c r="U1" s="12" t="s">
        <v>6</v>
      </c>
      <c r="V1" s="16" t="s">
        <v>16</v>
      </c>
      <c r="W1" s="11" t="s">
        <v>7</v>
      </c>
      <c r="X1" s="16" t="s">
        <v>17</v>
      </c>
      <c r="Y1" s="1" t="s">
        <v>8</v>
      </c>
      <c r="Z1" s="30" t="s">
        <v>9</v>
      </c>
      <c r="AA1" s="11" t="s">
        <v>18</v>
      </c>
      <c r="AB1" s="16" t="s">
        <v>19</v>
      </c>
      <c r="AC1" s="11" t="s">
        <v>20</v>
      </c>
      <c r="AD1" s="16" t="s">
        <v>21</v>
      </c>
      <c r="AE1" s="1" t="s">
        <v>8</v>
      </c>
      <c r="AF1" s="30" t="s">
        <v>9</v>
      </c>
      <c r="AG1" s="12" t="s">
        <v>22</v>
      </c>
      <c r="AH1" s="16" t="s">
        <v>23</v>
      </c>
      <c r="AI1" s="11" t="s">
        <v>24</v>
      </c>
      <c r="AJ1" s="16" t="s">
        <v>25</v>
      </c>
      <c r="AK1" s="1" t="s">
        <v>8</v>
      </c>
      <c r="AL1" s="30" t="s">
        <v>9</v>
      </c>
      <c r="AM1" s="11" t="s">
        <v>26</v>
      </c>
      <c r="AN1" s="16" t="s">
        <v>27</v>
      </c>
      <c r="AO1" s="11" t="s">
        <v>28</v>
      </c>
      <c r="AP1" s="16" t="s">
        <v>29</v>
      </c>
      <c r="AQ1" s="1" t="s">
        <v>8</v>
      </c>
      <c r="AR1" s="30" t="s">
        <v>9</v>
      </c>
      <c r="AS1" s="11" t="s">
        <v>30</v>
      </c>
      <c r="AT1" s="16" t="s">
        <v>31</v>
      </c>
      <c r="AU1" s="11" t="s">
        <v>32</v>
      </c>
      <c r="AV1" s="16" t="s">
        <v>33</v>
      </c>
      <c r="AW1" s="1" t="s">
        <v>8</v>
      </c>
      <c r="AX1" s="30" t="s">
        <v>9</v>
      </c>
      <c r="AY1" s="12" t="s">
        <v>34</v>
      </c>
      <c r="AZ1" s="16" t="s">
        <v>35</v>
      </c>
      <c r="BA1" s="11" t="s">
        <v>36</v>
      </c>
      <c r="BB1" s="16" t="s">
        <v>37</v>
      </c>
      <c r="BC1" s="1" t="s">
        <v>8</v>
      </c>
      <c r="BD1" s="30" t="s">
        <v>9</v>
      </c>
      <c r="BE1" s="12" t="s">
        <v>38</v>
      </c>
      <c r="BF1" s="16" t="s">
        <v>39</v>
      </c>
      <c r="BG1" s="11" t="s">
        <v>38</v>
      </c>
      <c r="BH1" s="16" t="s">
        <v>40</v>
      </c>
      <c r="BI1" s="1" t="s">
        <v>8</v>
      </c>
      <c r="BJ1" s="30" t="s">
        <v>9</v>
      </c>
      <c r="BK1" s="11" t="s">
        <v>41</v>
      </c>
      <c r="BL1" s="16" t="s">
        <v>42</v>
      </c>
      <c r="BM1" s="11" t="s">
        <v>43</v>
      </c>
      <c r="BN1" s="11" t="s">
        <v>44</v>
      </c>
      <c r="BO1" s="16" t="s">
        <v>45</v>
      </c>
      <c r="BP1" s="1" t="s">
        <v>8</v>
      </c>
      <c r="BQ1" s="30" t="s">
        <v>9</v>
      </c>
      <c r="BR1" s="11" t="s">
        <v>46</v>
      </c>
      <c r="BS1" s="16" t="s">
        <v>47</v>
      </c>
      <c r="BT1" s="1" t="s">
        <v>8</v>
      </c>
      <c r="BU1" s="30" t="s">
        <v>9</v>
      </c>
      <c r="BV1" s="12" t="s">
        <v>48</v>
      </c>
      <c r="BW1" s="16" t="s">
        <v>49</v>
      </c>
      <c r="BX1" s="11" t="s">
        <v>50</v>
      </c>
      <c r="BY1" s="16" t="s">
        <v>51</v>
      </c>
      <c r="BZ1" s="1" t="s">
        <v>8</v>
      </c>
      <c r="CA1" s="30" t="s">
        <v>9</v>
      </c>
      <c r="CB1" s="11" t="s">
        <v>52</v>
      </c>
      <c r="CC1" s="16" t="s">
        <v>53</v>
      </c>
      <c r="CD1" s="11" t="s">
        <v>54</v>
      </c>
      <c r="CE1" s="16" t="s">
        <v>55</v>
      </c>
      <c r="CF1" s="1" t="s">
        <v>8</v>
      </c>
      <c r="CG1" s="30" t="s">
        <v>9</v>
      </c>
      <c r="CH1" s="11" t="s">
        <v>56</v>
      </c>
      <c r="CI1" s="16" t="s">
        <v>57</v>
      </c>
      <c r="CJ1" s="11" t="s">
        <v>58</v>
      </c>
      <c r="CK1" s="16" t="s">
        <v>59</v>
      </c>
      <c r="CL1" s="1" t="s">
        <v>8</v>
      </c>
      <c r="CM1" s="30" t="s">
        <v>9</v>
      </c>
      <c r="CN1" s="12" t="s">
        <v>60</v>
      </c>
      <c r="CO1" s="16" t="s">
        <v>61</v>
      </c>
      <c r="CP1" s="11" t="s">
        <v>62</v>
      </c>
      <c r="CQ1" s="16" t="s">
        <v>63</v>
      </c>
      <c r="CR1" s="1" t="s">
        <v>8</v>
      </c>
      <c r="CS1" s="30" t="s">
        <v>9</v>
      </c>
      <c r="CT1" s="11" t="s">
        <v>64</v>
      </c>
      <c r="CU1" s="16" t="s">
        <v>65</v>
      </c>
      <c r="CV1" s="11" t="s">
        <v>66</v>
      </c>
      <c r="CW1" s="16" t="s">
        <v>67</v>
      </c>
      <c r="CX1" s="1" t="s">
        <v>8</v>
      </c>
      <c r="CY1" s="30" t="s">
        <v>9</v>
      </c>
      <c r="CZ1" s="12" t="s">
        <v>68</v>
      </c>
      <c r="DA1" s="16" t="s">
        <v>69</v>
      </c>
      <c r="DB1" s="11" t="s">
        <v>70</v>
      </c>
      <c r="DC1" s="16" t="s">
        <v>71</v>
      </c>
      <c r="DD1" s="1" t="s">
        <v>8</v>
      </c>
      <c r="DE1" s="30" t="s">
        <v>9</v>
      </c>
      <c r="DF1" s="12" t="s">
        <v>72</v>
      </c>
      <c r="DG1" s="16" t="s">
        <v>73</v>
      </c>
      <c r="DH1" s="11" t="s">
        <v>74</v>
      </c>
      <c r="DI1" s="16" t="s">
        <v>75</v>
      </c>
      <c r="DJ1" s="11" t="s">
        <v>76</v>
      </c>
      <c r="DK1" s="16" t="s">
        <v>77</v>
      </c>
      <c r="DL1" s="1" t="s">
        <v>8</v>
      </c>
      <c r="DM1" s="30" t="s">
        <v>9</v>
      </c>
      <c r="DN1" s="12" t="s">
        <v>78</v>
      </c>
      <c r="DO1" s="16" t="s">
        <v>79</v>
      </c>
      <c r="DP1" s="11" t="s">
        <v>80</v>
      </c>
      <c r="DQ1" s="16" t="s">
        <v>81</v>
      </c>
      <c r="DR1" s="1" t="s">
        <v>8</v>
      </c>
      <c r="DS1" s="30" t="s">
        <v>9</v>
      </c>
      <c r="DT1" s="11" t="s">
        <v>82</v>
      </c>
      <c r="DU1" s="16" t="s">
        <v>83</v>
      </c>
      <c r="DV1" s="11" t="s">
        <v>84</v>
      </c>
      <c r="DW1" s="16" t="s">
        <v>85</v>
      </c>
      <c r="DX1" s="11" t="s">
        <v>86</v>
      </c>
      <c r="DY1" s="16" t="s">
        <v>87</v>
      </c>
      <c r="DZ1" s="1" t="s">
        <v>8</v>
      </c>
      <c r="EA1" s="30" t="s">
        <v>9</v>
      </c>
      <c r="EB1" s="12" t="s">
        <v>88</v>
      </c>
      <c r="EC1" s="16" t="s">
        <v>89</v>
      </c>
      <c r="ED1" s="11" t="s">
        <v>90</v>
      </c>
      <c r="EE1" s="16" t="s">
        <v>91</v>
      </c>
      <c r="EF1" s="1" t="s">
        <v>8</v>
      </c>
      <c r="EG1" s="30" t="s">
        <v>9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8</v>
      </c>
      <c r="EM1" s="30" t="s">
        <v>9</v>
      </c>
      <c r="EN1" s="12" t="s">
        <v>96</v>
      </c>
      <c r="EO1" s="16" t="s">
        <v>97</v>
      </c>
      <c r="EP1" s="11" t="s">
        <v>98</v>
      </c>
      <c r="EQ1" s="16" t="s">
        <v>99</v>
      </c>
      <c r="ER1" s="1" t="s">
        <v>8</v>
      </c>
      <c r="ES1" s="30" t="s">
        <v>9</v>
      </c>
      <c r="ET1" s="11" t="s">
        <v>100</v>
      </c>
      <c r="EU1" s="16" t="s">
        <v>101</v>
      </c>
      <c r="EV1" s="11" t="s">
        <v>102</v>
      </c>
      <c r="EW1" s="16" t="s">
        <v>103</v>
      </c>
      <c r="EX1" s="11" t="s">
        <v>104</v>
      </c>
      <c r="EY1" s="16" t="s">
        <v>105</v>
      </c>
      <c r="EZ1" s="1" t="s">
        <v>8</v>
      </c>
      <c r="FA1" s="30" t="s">
        <v>9</v>
      </c>
      <c r="FB1" s="11" t="s">
        <v>106</v>
      </c>
      <c r="FC1" s="16" t="s">
        <v>107</v>
      </c>
      <c r="FD1" s="11" t="s">
        <v>108</v>
      </c>
      <c r="FE1" s="11" t="s">
        <v>109</v>
      </c>
      <c r="FF1" s="16" t="s">
        <v>110</v>
      </c>
      <c r="FG1" s="1" t="s">
        <v>8</v>
      </c>
      <c r="FH1" s="30" t="s">
        <v>9</v>
      </c>
      <c r="FI1" s="12" t="s">
        <v>111</v>
      </c>
      <c r="FJ1" s="11" t="s">
        <v>112</v>
      </c>
      <c r="FK1" s="16" t="s">
        <v>113</v>
      </c>
      <c r="FL1" s="1" t="s">
        <v>8</v>
      </c>
      <c r="FM1" s="30" t="s">
        <v>9</v>
      </c>
      <c r="FN1" s="12" t="s">
        <v>114</v>
      </c>
      <c r="FO1" s="11" t="s">
        <v>115</v>
      </c>
      <c r="FP1" s="16" t="s">
        <v>116</v>
      </c>
      <c r="FQ1" s="1" t="s">
        <v>8</v>
      </c>
      <c r="FR1" s="30" t="s">
        <v>9</v>
      </c>
      <c r="FS1" s="11" t="s">
        <v>117</v>
      </c>
      <c r="FT1" s="16" t="s">
        <v>118</v>
      </c>
      <c r="FU1" s="11" t="s">
        <v>119</v>
      </c>
      <c r="FV1" s="16" t="s">
        <v>120</v>
      </c>
      <c r="FW1" s="1" t="s">
        <v>8</v>
      </c>
      <c r="FX1" s="30" t="s">
        <v>9</v>
      </c>
      <c r="FY1" s="12" t="s">
        <v>121</v>
      </c>
      <c r="FZ1" s="11" t="s">
        <v>122</v>
      </c>
      <c r="GA1" s="16" t="s">
        <v>123</v>
      </c>
      <c r="GB1" s="11" t="s">
        <v>124</v>
      </c>
      <c r="GC1" s="16" t="s">
        <v>125</v>
      </c>
      <c r="GD1" s="1" t="s">
        <v>8</v>
      </c>
      <c r="GE1" s="30" t="s">
        <v>9</v>
      </c>
      <c r="GF1" s="11" t="s">
        <v>126</v>
      </c>
      <c r="GG1" s="16" t="s">
        <v>127</v>
      </c>
      <c r="GH1" s="11" t="s">
        <v>128</v>
      </c>
      <c r="GI1" s="16" t="s">
        <v>129</v>
      </c>
      <c r="GJ1" s="1" t="s">
        <v>8</v>
      </c>
      <c r="GK1" s="30" t="s">
        <v>9</v>
      </c>
      <c r="GL1" s="12" t="s">
        <v>130</v>
      </c>
      <c r="GM1" s="16" t="s">
        <v>131</v>
      </c>
      <c r="GN1" s="11" t="s">
        <v>132</v>
      </c>
      <c r="GO1" s="16" t="s">
        <v>133</v>
      </c>
      <c r="GP1" s="1" t="s">
        <v>8</v>
      </c>
      <c r="GQ1" s="30" t="s">
        <v>9</v>
      </c>
      <c r="GR1" s="11" t="s">
        <v>134</v>
      </c>
      <c r="GS1" s="16" t="s">
        <v>135</v>
      </c>
      <c r="GT1" s="11" t="s">
        <v>136</v>
      </c>
      <c r="GU1" s="16" t="s">
        <v>137</v>
      </c>
      <c r="GV1" s="1" t="s">
        <v>8</v>
      </c>
      <c r="GW1" s="30" t="s">
        <v>9</v>
      </c>
      <c r="GX1" s="12" t="s">
        <v>138</v>
      </c>
      <c r="GY1" s="16" t="s">
        <v>139</v>
      </c>
      <c r="GZ1" s="1" t="s">
        <v>8</v>
      </c>
      <c r="HA1" s="30" t="s">
        <v>9</v>
      </c>
      <c r="HB1" s="12" t="s">
        <v>140</v>
      </c>
      <c r="HC1" s="16" t="s">
        <v>141</v>
      </c>
      <c r="HD1" s="11" t="s">
        <v>142</v>
      </c>
      <c r="HE1" s="16" t="s">
        <v>143</v>
      </c>
      <c r="HF1" s="1" t="s">
        <v>8</v>
      </c>
      <c r="HG1" s="30" t="s">
        <v>9</v>
      </c>
      <c r="HH1" s="12" t="s">
        <v>144</v>
      </c>
      <c r="HI1" s="16" t="s">
        <v>145</v>
      </c>
      <c r="HJ1" s="1" t="s">
        <v>8</v>
      </c>
      <c r="HK1" s="30" t="s">
        <v>9</v>
      </c>
      <c r="HL1" s="12" t="s">
        <v>146</v>
      </c>
      <c r="HM1" s="16" t="s">
        <v>147</v>
      </c>
      <c r="HN1" s="11" t="s">
        <v>148</v>
      </c>
      <c r="HO1" s="16" t="s">
        <v>149</v>
      </c>
      <c r="HP1" s="1" t="s">
        <v>8</v>
      </c>
      <c r="HQ1" s="30" t="s">
        <v>9</v>
      </c>
      <c r="HR1" s="11" t="s">
        <v>150</v>
      </c>
      <c r="HS1" s="16" t="s">
        <v>151</v>
      </c>
      <c r="HT1" s="11" t="s">
        <v>152</v>
      </c>
      <c r="HU1" s="16" t="s">
        <v>153</v>
      </c>
      <c r="HV1" s="11" t="s">
        <v>154</v>
      </c>
      <c r="HW1" s="16" t="s">
        <v>155</v>
      </c>
      <c r="HX1" s="1" t="s">
        <v>8</v>
      </c>
      <c r="HY1" s="30" t="s">
        <v>9</v>
      </c>
      <c r="HZ1" s="12" t="s">
        <v>156</v>
      </c>
      <c r="IA1" s="16" t="s">
        <v>157</v>
      </c>
      <c r="IB1" s="11" t="s">
        <v>158</v>
      </c>
      <c r="IC1" s="16" t="s">
        <v>159</v>
      </c>
      <c r="ID1" s="1" t="s">
        <v>8</v>
      </c>
      <c r="IE1" s="30" t="s">
        <v>9</v>
      </c>
      <c r="IF1" s="11" t="s">
        <v>160</v>
      </c>
      <c r="IG1" s="16" t="s">
        <v>161</v>
      </c>
      <c r="IH1" s="11" t="s">
        <v>162</v>
      </c>
      <c r="II1" s="16" t="s">
        <v>163</v>
      </c>
      <c r="IJ1" s="1" t="s">
        <v>8</v>
      </c>
      <c r="IK1" s="30" t="s">
        <v>9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" t="s">
        <v>8</v>
      </c>
      <c r="IQ1" s="30" t="s">
        <v>9</v>
      </c>
      <c r="IR1" s="11" t="s">
        <v>168</v>
      </c>
      <c r="IS1" s="16" t="s">
        <v>169</v>
      </c>
      <c r="IT1" s="11" t="s">
        <v>170</v>
      </c>
      <c r="IU1" s="16" t="s">
        <v>171</v>
      </c>
      <c r="IV1" s="1" t="s">
        <v>8</v>
      </c>
      <c r="IW1" s="30" t="s">
        <v>9</v>
      </c>
      <c r="IX1" s="11" t="s">
        <v>172</v>
      </c>
      <c r="IY1" s="16" t="s">
        <v>173</v>
      </c>
      <c r="IZ1" s="11" t="s">
        <v>174</v>
      </c>
      <c r="JA1" s="16" t="s">
        <v>175</v>
      </c>
      <c r="JB1" s="1" t="s">
        <v>8</v>
      </c>
      <c r="JC1" s="30" t="s">
        <v>9</v>
      </c>
      <c r="JD1" s="11" t="s">
        <v>176</v>
      </c>
      <c r="JE1" s="16" t="s">
        <v>177</v>
      </c>
      <c r="JF1" s="1" t="s">
        <v>8</v>
      </c>
      <c r="JG1" s="30" t="s">
        <v>9</v>
      </c>
      <c r="JH1" s="11" t="s">
        <v>178</v>
      </c>
      <c r="JI1" s="16" t="s">
        <v>179</v>
      </c>
      <c r="JJ1" s="11" t="s">
        <v>180</v>
      </c>
      <c r="JK1" s="16" t="s">
        <v>181</v>
      </c>
      <c r="JL1" s="1" t="s">
        <v>8</v>
      </c>
      <c r="JM1" s="30" t="s">
        <v>9</v>
      </c>
      <c r="JN1" s="12" t="s">
        <v>182</v>
      </c>
      <c r="JO1" s="16" t="s">
        <v>183</v>
      </c>
      <c r="JP1" s="1" t="s">
        <v>8</v>
      </c>
      <c r="JQ1" s="24" t="s">
        <v>9</v>
      </c>
      <c r="JR1" s="11" t="s">
        <v>184</v>
      </c>
      <c r="JS1" s="16" t="s">
        <v>185</v>
      </c>
      <c r="JT1" s="11" t="s">
        <v>186</v>
      </c>
      <c r="JU1" s="16" t="s">
        <v>187</v>
      </c>
      <c r="JV1" s="1" t="s">
        <v>8</v>
      </c>
      <c r="JW1" s="24" t="s">
        <v>9</v>
      </c>
      <c r="JX1" s="11" t="s">
        <v>188</v>
      </c>
      <c r="JY1" s="16" t="s">
        <v>189</v>
      </c>
      <c r="JZ1" s="11" t="s">
        <v>190</v>
      </c>
      <c r="KA1" s="16" t="s">
        <v>191</v>
      </c>
      <c r="KB1" s="1" t="s">
        <v>8</v>
      </c>
      <c r="KC1" s="24" t="s">
        <v>9</v>
      </c>
      <c r="KD1" s="11" t="s">
        <v>192</v>
      </c>
      <c r="KE1" s="16" t="s">
        <v>193</v>
      </c>
      <c r="KF1" s="11" t="s">
        <v>194</v>
      </c>
      <c r="KG1" s="16" t="s">
        <v>195</v>
      </c>
      <c r="KH1" s="1" t="s">
        <v>8</v>
      </c>
      <c r="KI1" s="24" t="s">
        <v>9</v>
      </c>
      <c r="KJ1" s="11" t="s">
        <v>196</v>
      </c>
      <c r="KK1" s="16" t="s">
        <v>197</v>
      </c>
      <c r="KL1" s="11" t="s">
        <v>198</v>
      </c>
      <c r="KM1" s="16" t="s">
        <v>199</v>
      </c>
      <c r="KN1" s="1" t="s">
        <v>8</v>
      </c>
      <c r="KO1" s="24" t="s">
        <v>9</v>
      </c>
      <c r="KP1" s="12" t="s">
        <v>200</v>
      </c>
      <c r="KQ1" s="16" t="s">
        <v>201</v>
      </c>
      <c r="KR1" s="11" t="s">
        <v>202</v>
      </c>
      <c r="KS1" s="16" t="s">
        <v>203</v>
      </c>
      <c r="KT1" s="11" t="s">
        <v>204</v>
      </c>
      <c r="KU1" s="16" t="s">
        <v>205</v>
      </c>
      <c r="KV1" s="1" t="s">
        <v>8</v>
      </c>
      <c r="KW1" s="24" t="s">
        <v>9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8</v>
      </c>
      <c r="LC1" s="24" t="s">
        <v>9</v>
      </c>
      <c r="LD1" s="11" t="s">
        <v>210</v>
      </c>
      <c r="LE1" s="16" t="s">
        <v>211</v>
      </c>
      <c r="LF1" s="11" t="s">
        <v>210</v>
      </c>
      <c r="LG1" s="16" t="s">
        <v>212</v>
      </c>
      <c r="LH1" s="1" t="s">
        <v>8</v>
      </c>
      <c r="LI1" s="24" t="s">
        <v>9</v>
      </c>
      <c r="LJ1" s="12" t="s">
        <v>213</v>
      </c>
      <c r="LK1" s="16" t="s">
        <v>214</v>
      </c>
      <c r="LL1" s="1" t="s">
        <v>8</v>
      </c>
      <c r="LM1" s="24" t="s">
        <v>9</v>
      </c>
      <c r="LN1" s="12" t="s">
        <v>215</v>
      </c>
      <c r="LO1" s="16" t="s">
        <v>216</v>
      </c>
      <c r="LP1" s="11" t="s">
        <v>4</v>
      </c>
      <c r="LQ1" s="16" t="s">
        <v>217</v>
      </c>
      <c r="LR1" s="16" t="s">
        <v>218</v>
      </c>
      <c r="LS1" s="1" t="s">
        <v>8</v>
      </c>
      <c r="LT1" s="24" t="s">
        <v>9</v>
      </c>
      <c r="LU1" s="12" t="s">
        <v>219</v>
      </c>
      <c r="LV1" s="16" t="s">
        <v>220</v>
      </c>
      <c r="LW1" s="11" t="s">
        <v>221</v>
      </c>
      <c r="LX1" s="16" t="s">
        <v>222</v>
      </c>
      <c r="LY1" s="1" t="s">
        <v>8</v>
      </c>
      <c r="LZ1" s="24" t="s">
        <v>9</v>
      </c>
      <c r="MA1" s="12" t="s">
        <v>18</v>
      </c>
      <c r="MB1" s="16" t="s">
        <v>223</v>
      </c>
      <c r="MC1" s="1" t="s">
        <v>8</v>
      </c>
      <c r="MD1" s="24" t="s">
        <v>9</v>
      </c>
      <c r="ME1" s="12" t="s">
        <v>224</v>
      </c>
      <c r="MF1" s="16" t="s">
        <v>225</v>
      </c>
      <c r="MG1" s="11" t="s">
        <v>22</v>
      </c>
      <c r="MH1" s="16" t="s">
        <v>226</v>
      </c>
      <c r="MI1" s="1" t="s">
        <v>8</v>
      </c>
      <c r="MJ1" s="24" t="s">
        <v>9</v>
      </c>
      <c r="MK1" s="12" t="s">
        <v>227</v>
      </c>
      <c r="ML1" s="16" t="s">
        <v>228</v>
      </c>
      <c r="MM1" s="1" t="s">
        <v>8</v>
      </c>
      <c r="MN1" s="24" t="s">
        <v>9</v>
      </c>
      <c r="MO1" s="12" t="s">
        <v>229</v>
      </c>
      <c r="MP1" s="16" t="s">
        <v>230</v>
      </c>
      <c r="MQ1" s="11" t="s">
        <v>30</v>
      </c>
      <c r="MR1" s="16" t="s">
        <v>231</v>
      </c>
      <c r="MS1" s="1" t="s">
        <v>8</v>
      </c>
      <c r="MT1" s="24" t="s">
        <v>9</v>
      </c>
      <c r="MU1" s="11" t="s">
        <v>232</v>
      </c>
      <c r="MV1" s="30" t="s">
        <v>9</v>
      </c>
      <c r="MW1" s="11" t="s">
        <v>233</v>
      </c>
      <c r="MX1" s="16" t="s">
        <v>234</v>
      </c>
      <c r="MY1" s="1" t="s">
        <v>8</v>
      </c>
      <c r="MZ1" s="24" t="s">
        <v>9</v>
      </c>
      <c r="NA1" s="12" t="s">
        <v>235</v>
      </c>
      <c r="NB1" s="16" t="s">
        <v>236</v>
      </c>
      <c r="NC1" s="11" t="s">
        <v>237</v>
      </c>
      <c r="ND1" s="16" t="s">
        <v>238</v>
      </c>
      <c r="NE1" s="1" t="s">
        <v>8</v>
      </c>
      <c r="NF1" s="24" t="s">
        <v>9</v>
      </c>
      <c r="NG1" s="12" t="s">
        <v>239</v>
      </c>
      <c r="NH1" s="16" t="s">
        <v>240</v>
      </c>
      <c r="NI1" s="11" t="s">
        <v>43</v>
      </c>
      <c r="NJ1" s="16" t="s">
        <v>241</v>
      </c>
      <c r="NK1" s="1" t="s">
        <v>8</v>
      </c>
      <c r="NL1" s="24" t="s">
        <v>9</v>
      </c>
      <c r="NM1" s="12" t="s">
        <v>242</v>
      </c>
      <c r="NN1" s="16" t="s">
        <v>243</v>
      </c>
      <c r="NO1" s="11" t="s">
        <v>48</v>
      </c>
      <c r="NP1" s="16" t="s">
        <v>244</v>
      </c>
      <c r="NQ1" s="1" t="s">
        <v>8</v>
      </c>
      <c r="NR1" s="24" t="s">
        <v>9</v>
      </c>
      <c r="NS1" s="12" t="s">
        <v>245</v>
      </c>
      <c r="NT1" s="16" t="s">
        <v>246</v>
      </c>
      <c r="NU1" s="11" t="s">
        <v>247</v>
      </c>
      <c r="NV1" s="16" t="s">
        <v>248</v>
      </c>
      <c r="NW1" s="1" t="s">
        <v>8</v>
      </c>
      <c r="NX1" s="24" t="s">
        <v>9</v>
      </c>
      <c r="NY1" s="12" t="s">
        <v>54</v>
      </c>
      <c r="NZ1" s="16" t="s">
        <v>249</v>
      </c>
      <c r="OA1" s="11" t="s">
        <v>52</v>
      </c>
      <c r="OB1" s="16" t="s">
        <v>250</v>
      </c>
      <c r="OC1" s="1" t="s">
        <v>8</v>
      </c>
      <c r="OD1" s="24" t="s">
        <v>9</v>
      </c>
      <c r="OE1" s="12" t="s">
        <v>251</v>
      </c>
      <c r="OF1" s="16" t="s">
        <v>252</v>
      </c>
      <c r="OG1" s="1" t="s">
        <v>8</v>
      </c>
      <c r="OH1" s="24" t="s">
        <v>9</v>
      </c>
      <c r="OI1" s="12" t="s">
        <v>253</v>
      </c>
      <c r="OJ1" s="16" t="s">
        <v>253</v>
      </c>
      <c r="OK1" s="1" t="s">
        <v>8</v>
      </c>
      <c r="OL1" s="24" t="s">
        <v>9</v>
      </c>
      <c r="OM1" s="12" t="s">
        <v>64</v>
      </c>
      <c r="ON1" s="16" t="s">
        <v>65</v>
      </c>
      <c r="OO1" s="11" t="s">
        <v>254</v>
      </c>
      <c r="OP1" s="16" t="s">
        <v>255</v>
      </c>
      <c r="OQ1" s="1" t="s">
        <v>8</v>
      </c>
      <c r="OR1" s="24" t="s">
        <v>9</v>
      </c>
      <c r="OS1" s="12" t="s">
        <v>256</v>
      </c>
      <c r="OT1" s="16" t="s">
        <v>257</v>
      </c>
      <c r="OU1" s="1" t="s">
        <v>8</v>
      </c>
      <c r="OV1" s="24" t="s">
        <v>9</v>
      </c>
      <c r="OW1" s="12" t="s">
        <v>258</v>
      </c>
      <c r="OX1" s="16" t="s">
        <v>259</v>
      </c>
      <c r="OY1" s="11" t="s">
        <v>258</v>
      </c>
      <c r="OZ1" s="16" t="s">
        <v>260</v>
      </c>
      <c r="PA1" s="1" t="s">
        <v>8</v>
      </c>
      <c r="PB1" s="24" t="s">
        <v>9</v>
      </c>
      <c r="PC1" s="12" t="s">
        <v>261</v>
      </c>
      <c r="PD1" s="16" t="s">
        <v>262</v>
      </c>
      <c r="PE1" s="1" t="s">
        <v>8</v>
      </c>
      <c r="PF1" s="24" t="s">
        <v>9</v>
      </c>
      <c r="PG1" s="12" t="s">
        <v>263</v>
      </c>
      <c r="PH1" s="16" t="s">
        <v>264</v>
      </c>
      <c r="PI1" s="11" t="s">
        <v>82</v>
      </c>
      <c r="PJ1" s="16" t="s">
        <v>265</v>
      </c>
      <c r="PK1" s="1" t="s">
        <v>8</v>
      </c>
      <c r="PL1" s="24" t="s">
        <v>9</v>
      </c>
      <c r="PM1" s="12" t="s">
        <v>266</v>
      </c>
      <c r="PN1" s="16" t="s">
        <v>89</v>
      </c>
      <c r="PO1" s="11" t="s">
        <v>267</v>
      </c>
      <c r="PP1" s="16" t="s">
        <v>268</v>
      </c>
      <c r="PQ1" s="1" t="s">
        <v>8</v>
      </c>
      <c r="PR1" s="24" t="s">
        <v>9</v>
      </c>
      <c r="PS1" s="12" t="s">
        <v>269</v>
      </c>
      <c r="PT1" s="4" t="s">
        <v>270</v>
      </c>
      <c r="PU1" s="11" t="s">
        <v>271</v>
      </c>
      <c r="PV1" s="4" t="s">
        <v>272</v>
      </c>
      <c r="PW1" s="1" t="s">
        <v>8</v>
      </c>
      <c r="PX1" s="30" t="s">
        <v>9</v>
      </c>
      <c r="PY1" s="3" t="s">
        <v>96</v>
      </c>
      <c r="PZ1" s="4" t="s">
        <v>273</v>
      </c>
      <c r="QA1" s="1" t="s">
        <v>8</v>
      </c>
      <c r="QB1" s="10" t="s">
        <v>9</v>
      </c>
      <c r="QC1" s="3" t="s">
        <v>274</v>
      </c>
      <c r="QD1" s="4" t="s">
        <v>275</v>
      </c>
      <c r="QE1" s="2" t="s">
        <v>102</v>
      </c>
      <c r="QF1" s="4" t="s">
        <v>276</v>
      </c>
      <c r="QG1" s="1" t="s">
        <v>8</v>
      </c>
      <c r="QH1" s="10" t="s">
        <v>9</v>
      </c>
      <c r="QI1" s="3" t="s">
        <v>277</v>
      </c>
      <c r="QJ1" s="4" t="s">
        <v>278</v>
      </c>
      <c r="QK1" s="2" t="s">
        <v>279</v>
      </c>
      <c r="QL1" s="4" t="s">
        <v>280</v>
      </c>
      <c r="QM1" s="1" t="s">
        <v>8</v>
      </c>
      <c r="QN1" s="10" t="s">
        <v>9</v>
      </c>
      <c r="QO1" s="3" t="s">
        <v>281</v>
      </c>
      <c r="QP1" s="4" t="s">
        <v>282</v>
      </c>
      <c r="QQ1" s="2" t="s">
        <v>283</v>
      </c>
      <c r="QR1" s="4" t="s">
        <v>284</v>
      </c>
      <c r="QS1" s="1" t="s">
        <v>8</v>
      </c>
      <c r="QT1" s="10" t="s">
        <v>9</v>
      </c>
      <c r="QU1" s="3" t="s">
        <v>285</v>
      </c>
      <c r="QV1" s="4" t="s">
        <v>286</v>
      </c>
      <c r="QW1" s="1" t="s">
        <v>8</v>
      </c>
      <c r="QX1" s="10" t="s">
        <v>9</v>
      </c>
      <c r="QY1" s="3" t="s">
        <v>287</v>
      </c>
      <c r="QZ1" s="4" t="s">
        <v>288</v>
      </c>
      <c r="RA1" s="2" t="s">
        <v>289</v>
      </c>
      <c r="RB1" s="4" t="s">
        <v>290</v>
      </c>
      <c r="RC1" s="1" t="s">
        <v>8</v>
      </c>
      <c r="RD1" s="10" t="s">
        <v>9</v>
      </c>
    </row>
    <row r="2" spans="1:472" x14ac:dyDescent="0.25">
      <c r="C2" s="41">
        <f t="shared" ref="C2:BO2" si="0">SUM(C3:C206)</f>
        <v>0</v>
      </c>
      <c r="D2" s="41">
        <f t="shared" si="0"/>
        <v>0</v>
      </c>
      <c r="E2" s="41">
        <f t="shared" si="0"/>
        <v>9282</v>
      </c>
      <c r="F2" s="41">
        <f t="shared" si="0"/>
        <v>9634</v>
      </c>
      <c r="G2" s="41">
        <f t="shared" si="0"/>
        <v>0</v>
      </c>
      <c r="H2" s="41">
        <f t="shared" si="0"/>
        <v>0</v>
      </c>
      <c r="I2" s="53">
        <f>SUM(I3:I206)</f>
        <v>7542</v>
      </c>
      <c r="J2" s="54">
        <f t="shared" si="0"/>
        <v>7595</v>
      </c>
      <c r="K2" s="54">
        <f>SUM(K3:K206)</f>
        <v>9087</v>
      </c>
      <c r="L2" s="54">
        <f t="shared" si="0"/>
        <v>9197</v>
      </c>
      <c r="M2" s="54">
        <f t="shared" si="0"/>
        <v>-163</v>
      </c>
      <c r="N2" s="55">
        <f t="shared" si="0"/>
        <v>68.339999999999989</v>
      </c>
      <c r="O2" s="53">
        <f>SUM(O3:O206)</f>
        <v>5282</v>
      </c>
      <c r="P2" s="54">
        <f t="shared" si="0"/>
        <v>5384</v>
      </c>
      <c r="Q2" s="54">
        <f>SUM(Q3:Q206)</f>
        <v>7080</v>
      </c>
      <c r="R2" s="54">
        <f t="shared" si="0"/>
        <v>7387</v>
      </c>
      <c r="S2" s="54">
        <f t="shared" si="0"/>
        <v>-409</v>
      </c>
      <c r="T2" s="55">
        <f t="shared" si="0"/>
        <v>229.88</v>
      </c>
      <c r="U2" s="53">
        <f>SUM(U3:U206)</f>
        <v>5841</v>
      </c>
      <c r="V2" s="54">
        <f t="shared" si="0"/>
        <v>5939</v>
      </c>
      <c r="W2" s="54">
        <f>SUM(W3:W206)</f>
        <v>7482</v>
      </c>
      <c r="X2" s="54">
        <f t="shared" si="0"/>
        <v>7744</v>
      </c>
      <c r="Y2" s="54">
        <f t="shared" si="0"/>
        <v>-360</v>
      </c>
      <c r="Z2" s="55">
        <f t="shared" si="0"/>
        <v>173.75</v>
      </c>
      <c r="AA2" s="41">
        <f t="shared" si="0"/>
        <v>7156</v>
      </c>
      <c r="AB2" s="41">
        <f t="shared" si="0"/>
        <v>7435</v>
      </c>
      <c r="AC2" s="41">
        <f t="shared" si="0"/>
        <v>10074</v>
      </c>
      <c r="AD2" s="41">
        <f t="shared" si="0"/>
        <v>10499</v>
      </c>
      <c r="AE2" s="41">
        <f t="shared" si="0"/>
        <v>-704</v>
      </c>
      <c r="AF2" s="41">
        <f t="shared" si="0"/>
        <v>209.84000000000003</v>
      </c>
      <c r="AG2" s="41">
        <f t="shared" si="0"/>
        <v>7588</v>
      </c>
      <c r="AH2" s="41">
        <f t="shared" si="0"/>
        <v>7095</v>
      </c>
      <c r="AI2" s="41">
        <f t="shared" si="0"/>
        <v>8092</v>
      </c>
      <c r="AJ2" s="41">
        <f t="shared" si="0"/>
        <v>7832</v>
      </c>
      <c r="AK2" s="41">
        <f t="shared" si="0"/>
        <v>753</v>
      </c>
      <c r="AL2" s="41">
        <f t="shared" si="0"/>
        <v>133.38</v>
      </c>
      <c r="AM2" s="41">
        <f t="shared" si="0"/>
        <v>7802</v>
      </c>
      <c r="AN2" s="41">
        <f t="shared" si="0"/>
        <v>7915</v>
      </c>
      <c r="AO2" s="41">
        <f t="shared" si="0"/>
        <v>8913</v>
      </c>
      <c r="AP2" s="41">
        <f t="shared" si="0"/>
        <v>8941</v>
      </c>
      <c r="AQ2" s="41">
        <f t="shared" si="0"/>
        <v>-141</v>
      </c>
      <c r="AR2" s="41">
        <f t="shared" si="0"/>
        <v>52.2</v>
      </c>
      <c r="AS2" s="41">
        <f t="shared" si="0"/>
        <v>5754</v>
      </c>
      <c r="AT2" s="41">
        <f t="shared" si="0"/>
        <v>6008</v>
      </c>
      <c r="AU2" s="41">
        <f t="shared" si="0"/>
        <v>7611</v>
      </c>
      <c r="AV2" s="41">
        <f t="shared" si="0"/>
        <v>7766</v>
      </c>
      <c r="AW2" s="41">
        <f t="shared" si="0"/>
        <v>-409</v>
      </c>
      <c r="AX2" s="41">
        <f t="shared" si="0"/>
        <v>110.05999999999997</v>
      </c>
      <c r="AY2" s="41">
        <f t="shared" si="0"/>
        <v>4401</v>
      </c>
      <c r="AZ2" s="41">
        <f t="shared" si="0"/>
        <v>4525</v>
      </c>
      <c r="BA2" s="41">
        <f t="shared" si="0"/>
        <v>7021</v>
      </c>
      <c r="BB2" s="41">
        <f t="shared" si="0"/>
        <v>7486</v>
      </c>
      <c r="BC2" s="41">
        <f t="shared" si="0"/>
        <v>-589</v>
      </c>
      <c r="BD2" s="41">
        <f t="shared" si="0"/>
        <v>189.87999999999997</v>
      </c>
      <c r="BE2" s="41">
        <f t="shared" si="0"/>
        <v>7612</v>
      </c>
      <c r="BF2" s="41">
        <f t="shared" si="0"/>
        <v>8454</v>
      </c>
      <c r="BG2" s="41">
        <f t="shared" si="0"/>
        <v>8451</v>
      </c>
      <c r="BH2" s="41">
        <f t="shared" si="0"/>
        <v>8464</v>
      </c>
      <c r="BI2" s="41">
        <f t="shared" si="0"/>
        <v>-855</v>
      </c>
      <c r="BJ2" s="41">
        <f t="shared" si="0"/>
        <v>702.25</v>
      </c>
      <c r="BK2" s="41">
        <f t="shared" si="0"/>
        <v>7237</v>
      </c>
      <c r="BL2" s="41">
        <f t="shared" si="0"/>
        <v>7241</v>
      </c>
      <c r="BM2" s="41">
        <f t="shared" si="0"/>
        <v>419</v>
      </c>
      <c r="BN2" s="41">
        <f t="shared" si="0"/>
        <v>7257</v>
      </c>
      <c r="BO2" s="41">
        <f t="shared" si="0"/>
        <v>8050</v>
      </c>
      <c r="BP2" s="41">
        <f t="shared" ref="BP2:EA2" si="1">SUM(BP3:BP206)</f>
        <v>-378</v>
      </c>
      <c r="BQ2" s="41">
        <f t="shared" si="1"/>
        <v>128.79999999999998</v>
      </c>
      <c r="BR2" s="41">
        <f t="shared" si="1"/>
        <v>5455</v>
      </c>
      <c r="BS2" s="41">
        <f t="shared" si="1"/>
        <v>5460</v>
      </c>
      <c r="BT2" s="41">
        <f t="shared" si="1"/>
        <v>-5</v>
      </c>
      <c r="BU2" s="41">
        <f t="shared" si="1"/>
        <v>16</v>
      </c>
      <c r="BV2" s="41">
        <f t="shared" si="1"/>
        <v>13068</v>
      </c>
      <c r="BW2" s="41">
        <f t="shared" si="1"/>
        <v>13336</v>
      </c>
      <c r="BX2" s="41">
        <f t="shared" si="1"/>
        <v>13605</v>
      </c>
      <c r="BY2" s="41">
        <f t="shared" si="1"/>
        <v>13617</v>
      </c>
      <c r="BZ2" s="41">
        <f t="shared" si="1"/>
        <v>-280</v>
      </c>
      <c r="CA2" s="41">
        <f t="shared" si="1"/>
        <v>353.94000000000011</v>
      </c>
      <c r="CB2" s="41">
        <f t="shared" si="1"/>
        <v>4569</v>
      </c>
      <c r="CC2" s="41">
        <f t="shared" si="1"/>
        <v>4562</v>
      </c>
      <c r="CD2" s="41">
        <f t="shared" si="1"/>
        <v>7309</v>
      </c>
      <c r="CE2" s="41">
        <f t="shared" si="1"/>
        <v>7432</v>
      </c>
      <c r="CF2" s="41">
        <f t="shared" si="1"/>
        <v>-116</v>
      </c>
      <c r="CG2" s="41">
        <f t="shared" si="1"/>
        <v>29.24</v>
      </c>
      <c r="CH2" s="41">
        <f t="shared" si="1"/>
        <v>2771</v>
      </c>
      <c r="CI2" s="41">
        <f t="shared" si="1"/>
        <v>2813</v>
      </c>
      <c r="CJ2" s="41">
        <f t="shared" si="1"/>
        <v>6162</v>
      </c>
      <c r="CK2" s="41">
        <f t="shared" si="1"/>
        <v>6346</v>
      </c>
      <c r="CL2" s="41">
        <f t="shared" si="1"/>
        <v>-226</v>
      </c>
      <c r="CM2" s="41">
        <f t="shared" si="1"/>
        <v>52.22</v>
      </c>
      <c r="CN2" s="41">
        <f t="shared" si="1"/>
        <v>1940</v>
      </c>
      <c r="CO2" s="41">
        <f t="shared" si="1"/>
        <v>1960</v>
      </c>
      <c r="CP2" s="41">
        <f t="shared" si="1"/>
        <v>17383</v>
      </c>
      <c r="CQ2" s="41">
        <f t="shared" si="1"/>
        <v>17498</v>
      </c>
      <c r="CR2" s="41">
        <f t="shared" si="1"/>
        <v>-135</v>
      </c>
      <c r="CS2" s="41">
        <f t="shared" si="1"/>
        <v>21.7</v>
      </c>
      <c r="CT2" s="41">
        <f t="shared" si="1"/>
        <v>2056</v>
      </c>
      <c r="CU2" s="41">
        <f t="shared" si="1"/>
        <v>2132</v>
      </c>
      <c r="CV2" s="41">
        <f t="shared" si="1"/>
        <v>4293</v>
      </c>
      <c r="CW2" s="41">
        <f t="shared" si="1"/>
        <v>4299</v>
      </c>
      <c r="CX2" s="41">
        <f t="shared" si="1"/>
        <v>-82</v>
      </c>
      <c r="CY2" s="41">
        <f t="shared" si="1"/>
        <v>20.8</v>
      </c>
      <c r="CZ2" s="41">
        <f t="shared" si="1"/>
        <v>1983</v>
      </c>
      <c r="DA2" s="41">
        <f t="shared" si="1"/>
        <v>1990</v>
      </c>
      <c r="DB2" s="41">
        <f t="shared" si="1"/>
        <v>5212</v>
      </c>
      <c r="DC2" s="41">
        <f t="shared" si="1"/>
        <v>5564</v>
      </c>
      <c r="DD2" s="41">
        <f t="shared" si="1"/>
        <v>-359</v>
      </c>
      <c r="DE2" s="41">
        <f t="shared" si="1"/>
        <v>163.79999999999998</v>
      </c>
      <c r="DF2" s="41">
        <f t="shared" si="1"/>
        <v>955</v>
      </c>
      <c r="DG2" s="41">
        <f t="shared" si="1"/>
        <v>950</v>
      </c>
      <c r="DH2" s="41">
        <f t="shared" si="1"/>
        <v>9963</v>
      </c>
      <c r="DI2" s="41">
        <f t="shared" si="1"/>
        <v>10980</v>
      </c>
      <c r="DJ2" s="41">
        <f t="shared" si="1"/>
        <v>11059</v>
      </c>
      <c r="DK2" s="41">
        <f t="shared" si="1"/>
        <v>12537</v>
      </c>
      <c r="DL2" s="41">
        <f t="shared" si="1"/>
        <v>-2490</v>
      </c>
      <c r="DM2" s="41">
        <f t="shared" si="1"/>
        <v>992.00000000000011</v>
      </c>
      <c r="DN2" s="41">
        <f t="shared" si="1"/>
        <v>4427</v>
      </c>
      <c r="DO2" s="41">
        <f t="shared" si="1"/>
        <v>4374</v>
      </c>
      <c r="DP2" s="41">
        <f t="shared" si="1"/>
        <v>9321</v>
      </c>
      <c r="DQ2" s="41">
        <f t="shared" si="1"/>
        <v>9509</v>
      </c>
      <c r="DR2" s="41">
        <f t="shared" si="1"/>
        <v>-135</v>
      </c>
      <c r="DS2" s="41">
        <f t="shared" si="1"/>
        <v>41</v>
      </c>
      <c r="DT2" s="41">
        <f t="shared" si="1"/>
        <v>4253</v>
      </c>
      <c r="DU2" s="41">
        <f t="shared" si="1"/>
        <v>4250</v>
      </c>
      <c r="DV2" s="41">
        <f t="shared" si="1"/>
        <v>11228</v>
      </c>
      <c r="DW2" s="41">
        <f t="shared" si="1"/>
        <v>11192</v>
      </c>
      <c r="DX2" s="41">
        <f t="shared" si="1"/>
        <v>6348</v>
      </c>
      <c r="DY2" s="41">
        <f t="shared" si="1"/>
        <v>6340</v>
      </c>
      <c r="DZ2" s="41">
        <f t="shared" si="1"/>
        <v>47</v>
      </c>
      <c r="EA2" s="41">
        <f t="shared" si="1"/>
        <v>11.440000000000001</v>
      </c>
      <c r="EB2" s="41">
        <f t="shared" ref="EB2:GM2" si="2">SUM(EB3:EB206)</f>
        <v>1922</v>
      </c>
      <c r="EC2" s="41">
        <f t="shared" si="2"/>
        <v>1920</v>
      </c>
      <c r="ED2" s="41">
        <f t="shared" si="2"/>
        <v>13515</v>
      </c>
      <c r="EE2" s="41">
        <f t="shared" si="2"/>
        <v>13692</v>
      </c>
      <c r="EF2" s="41">
        <f t="shared" si="2"/>
        <v>-175</v>
      </c>
      <c r="EG2" s="41">
        <f t="shared" si="2"/>
        <v>37.64</v>
      </c>
      <c r="EH2" s="41">
        <f t="shared" si="2"/>
        <v>3605</v>
      </c>
      <c r="EI2" s="41">
        <f t="shared" si="2"/>
        <v>4480</v>
      </c>
      <c r="EJ2" s="41">
        <f t="shared" si="2"/>
        <v>9593</v>
      </c>
      <c r="EK2" s="41">
        <f t="shared" si="2"/>
        <v>10119</v>
      </c>
      <c r="EL2" s="41">
        <f t="shared" si="2"/>
        <v>-1401</v>
      </c>
      <c r="EM2" s="41">
        <f t="shared" si="2"/>
        <v>1025.3800000000001</v>
      </c>
      <c r="EN2" s="41">
        <f t="shared" si="2"/>
        <v>8880</v>
      </c>
      <c r="EO2" s="41">
        <f t="shared" si="2"/>
        <v>9228</v>
      </c>
      <c r="EP2" s="41">
        <f t="shared" si="2"/>
        <v>10326</v>
      </c>
      <c r="EQ2" s="41">
        <f t="shared" si="2"/>
        <v>10545</v>
      </c>
      <c r="ER2" s="41">
        <f t="shared" si="2"/>
        <v>-567</v>
      </c>
      <c r="ES2" s="41">
        <f t="shared" si="2"/>
        <v>142.41999999999999</v>
      </c>
      <c r="ET2" s="41">
        <f t="shared" si="2"/>
        <v>3503</v>
      </c>
      <c r="EU2" s="41">
        <f t="shared" si="2"/>
        <v>3976</v>
      </c>
      <c r="EV2" s="41">
        <f t="shared" si="2"/>
        <v>5029</v>
      </c>
      <c r="EW2" s="41">
        <f t="shared" si="2"/>
        <v>5011</v>
      </c>
      <c r="EX2" s="41">
        <f t="shared" si="2"/>
        <v>7917</v>
      </c>
      <c r="EY2" s="41">
        <f t="shared" si="2"/>
        <v>7898</v>
      </c>
      <c r="EZ2" s="41">
        <f t="shared" si="2"/>
        <v>-436</v>
      </c>
      <c r="FA2" s="41">
        <f t="shared" si="2"/>
        <v>491</v>
      </c>
      <c r="FB2" s="41">
        <f t="shared" si="2"/>
        <v>4676</v>
      </c>
      <c r="FC2" s="41">
        <f t="shared" si="2"/>
        <v>4858</v>
      </c>
      <c r="FD2" s="41">
        <f t="shared" si="2"/>
        <v>12037</v>
      </c>
      <c r="FE2" s="41">
        <f t="shared" si="2"/>
        <v>69</v>
      </c>
      <c r="FF2" s="41">
        <f t="shared" si="2"/>
        <v>12116</v>
      </c>
      <c r="FG2" s="41">
        <f t="shared" si="2"/>
        <v>-192</v>
      </c>
      <c r="FH2" s="41">
        <f t="shared" si="2"/>
        <v>76.8</v>
      </c>
      <c r="FI2" s="41">
        <f t="shared" si="2"/>
        <v>5615</v>
      </c>
      <c r="FJ2" s="41">
        <f t="shared" si="2"/>
        <v>41</v>
      </c>
      <c r="FK2" s="41">
        <f t="shared" si="2"/>
        <v>5079.8280000000004</v>
      </c>
      <c r="FL2" s="41">
        <f t="shared" si="2"/>
        <v>576.17199999999991</v>
      </c>
      <c r="FM2" s="41">
        <f t="shared" si="2"/>
        <v>0</v>
      </c>
      <c r="FN2" s="41">
        <f t="shared" si="2"/>
        <v>16871</v>
      </c>
      <c r="FO2" s="41">
        <f t="shared" si="2"/>
        <v>21</v>
      </c>
      <c r="FP2" s="41">
        <f t="shared" si="2"/>
        <v>16933</v>
      </c>
      <c r="FQ2" s="41">
        <f t="shared" si="2"/>
        <v>-41</v>
      </c>
      <c r="FR2" s="41">
        <f t="shared" si="2"/>
        <v>43.2</v>
      </c>
      <c r="FS2" s="41">
        <f t="shared" si="2"/>
        <v>11966</v>
      </c>
      <c r="FT2" s="41">
        <f t="shared" si="2"/>
        <v>1590</v>
      </c>
      <c r="FU2" s="41">
        <f t="shared" si="2"/>
        <v>1601</v>
      </c>
      <c r="FV2" s="41">
        <f t="shared" si="2"/>
        <v>11957</v>
      </c>
      <c r="FW2" s="41">
        <f t="shared" si="2"/>
        <v>20</v>
      </c>
      <c r="FX2" s="41">
        <f t="shared" si="2"/>
        <v>0</v>
      </c>
      <c r="FY2" s="41">
        <f t="shared" si="2"/>
        <v>3534</v>
      </c>
      <c r="FZ2" s="41">
        <f t="shared" si="2"/>
        <v>40</v>
      </c>
      <c r="GA2" s="41">
        <f t="shared" si="2"/>
        <v>4146</v>
      </c>
      <c r="GB2" s="41">
        <f t="shared" si="2"/>
        <v>5421</v>
      </c>
      <c r="GC2" s="41">
        <f t="shared" si="2"/>
        <v>5418</v>
      </c>
      <c r="GD2" s="41">
        <f t="shared" si="2"/>
        <v>-569</v>
      </c>
      <c r="GE2" s="41">
        <f t="shared" si="2"/>
        <v>491.9</v>
      </c>
      <c r="GF2" s="41">
        <f t="shared" si="2"/>
        <v>5864</v>
      </c>
      <c r="GG2" s="41">
        <f t="shared" si="2"/>
        <v>5844</v>
      </c>
      <c r="GH2" s="41">
        <f t="shared" si="2"/>
        <v>7440</v>
      </c>
      <c r="GI2" s="41">
        <f t="shared" si="2"/>
        <v>7448</v>
      </c>
      <c r="GJ2" s="41">
        <f t="shared" si="2"/>
        <v>12</v>
      </c>
      <c r="GK2" s="41">
        <f t="shared" si="2"/>
        <v>15.36</v>
      </c>
      <c r="GL2" s="41">
        <f t="shared" si="2"/>
        <v>4345</v>
      </c>
      <c r="GM2" s="41">
        <f t="shared" si="2"/>
        <v>4330</v>
      </c>
      <c r="GN2" s="41">
        <f t="shared" ref="GN2:IY2" si="3">SUM(GN3:GN206)</f>
        <v>13583</v>
      </c>
      <c r="GO2" s="41">
        <f t="shared" si="3"/>
        <v>13746</v>
      </c>
      <c r="GP2" s="41">
        <f t="shared" si="3"/>
        <v>-148</v>
      </c>
      <c r="GQ2" s="41">
        <f t="shared" si="3"/>
        <v>95.14</v>
      </c>
      <c r="GR2" s="41">
        <f t="shared" si="3"/>
        <v>4631</v>
      </c>
      <c r="GS2" s="41">
        <f t="shared" si="3"/>
        <v>4564</v>
      </c>
      <c r="GT2" s="41">
        <f t="shared" si="3"/>
        <v>8147</v>
      </c>
      <c r="GU2" s="41">
        <f t="shared" si="3"/>
        <v>8082</v>
      </c>
      <c r="GV2" s="41">
        <f t="shared" si="3"/>
        <v>132</v>
      </c>
      <c r="GW2" s="41">
        <f t="shared" si="3"/>
        <v>0</v>
      </c>
      <c r="GX2" s="41">
        <f t="shared" si="3"/>
        <v>5999</v>
      </c>
      <c r="GY2" s="41">
        <f t="shared" si="3"/>
        <v>6040.4212000000007</v>
      </c>
      <c r="GZ2" s="41">
        <f t="shared" si="3"/>
        <v>-41.421200000000013</v>
      </c>
      <c r="HA2" s="41">
        <f t="shared" si="3"/>
        <v>20.16</v>
      </c>
      <c r="HB2" s="41">
        <f t="shared" si="3"/>
        <v>8081</v>
      </c>
      <c r="HC2" s="41">
        <f t="shared" si="3"/>
        <v>8060</v>
      </c>
      <c r="HD2" s="41">
        <f t="shared" si="3"/>
        <v>17375</v>
      </c>
      <c r="HE2" s="41">
        <f t="shared" si="3"/>
        <v>17327</v>
      </c>
      <c r="HF2" s="41">
        <f t="shared" si="3"/>
        <v>69</v>
      </c>
      <c r="HG2" s="41">
        <f t="shared" si="3"/>
        <v>4</v>
      </c>
      <c r="HH2" s="41">
        <f t="shared" si="3"/>
        <v>5468</v>
      </c>
      <c r="HI2" s="41">
        <f t="shared" si="3"/>
        <v>5494</v>
      </c>
      <c r="HJ2" s="41">
        <f t="shared" si="3"/>
        <v>-26</v>
      </c>
      <c r="HK2" s="41">
        <f t="shared" si="3"/>
        <v>5.04</v>
      </c>
      <c r="HL2" s="41">
        <f t="shared" si="3"/>
        <v>5549</v>
      </c>
      <c r="HM2" s="41">
        <f t="shared" si="3"/>
        <v>5572</v>
      </c>
      <c r="HN2" s="41">
        <f t="shared" si="3"/>
        <v>12494</v>
      </c>
      <c r="HO2" s="41">
        <f t="shared" si="3"/>
        <v>12489</v>
      </c>
      <c r="HP2" s="41">
        <f t="shared" si="3"/>
        <v>-18</v>
      </c>
      <c r="HQ2" s="41">
        <f t="shared" si="3"/>
        <v>10.4</v>
      </c>
      <c r="HR2" s="41">
        <f t="shared" si="3"/>
        <v>4879</v>
      </c>
      <c r="HS2" s="41">
        <f t="shared" si="3"/>
        <v>4870</v>
      </c>
      <c r="HT2" s="41">
        <f t="shared" si="3"/>
        <v>9383</v>
      </c>
      <c r="HU2" s="41">
        <f t="shared" si="3"/>
        <v>9380</v>
      </c>
      <c r="HV2" s="41">
        <f t="shared" si="3"/>
        <v>7960</v>
      </c>
      <c r="HW2" s="41">
        <f t="shared" si="3"/>
        <v>7994</v>
      </c>
      <c r="HX2" s="41">
        <f t="shared" si="3"/>
        <v>-22</v>
      </c>
      <c r="HY2" s="41">
        <f t="shared" si="3"/>
        <v>24.200000000000003</v>
      </c>
      <c r="HZ2" s="41">
        <f t="shared" si="3"/>
        <v>6316</v>
      </c>
      <c r="IA2" s="41">
        <f t="shared" si="3"/>
        <v>6508</v>
      </c>
      <c r="IB2" s="41">
        <f t="shared" si="3"/>
        <v>7717</v>
      </c>
      <c r="IC2" s="41">
        <f t="shared" si="3"/>
        <v>7705</v>
      </c>
      <c r="ID2" s="41">
        <f t="shared" si="3"/>
        <v>-180</v>
      </c>
      <c r="IE2" s="41">
        <f t="shared" si="3"/>
        <v>75.900000000000006</v>
      </c>
      <c r="IF2" s="41">
        <f t="shared" si="3"/>
        <v>4834</v>
      </c>
      <c r="IG2" s="41">
        <f t="shared" si="3"/>
        <v>4840</v>
      </c>
      <c r="IH2" s="41">
        <f t="shared" si="3"/>
        <v>16340</v>
      </c>
      <c r="II2" s="41">
        <f t="shared" si="3"/>
        <v>12750</v>
      </c>
      <c r="IJ2" s="41">
        <f t="shared" si="3"/>
        <v>3584</v>
      </c>
      <c r="IK2" s="41">
        <f t="shared" si="3"/>
        <v>39.6</v>
      </c>
      <c r="IL2" s="41">
        <f t="shared" si="3"/>
        <v>7927</v>
      </c>
      <c r="IM2" s="41">
        <f t="shared" si="3"/>
        <v>8273</v>
      </c>
      <c r="IN2" s="41">
        <f t="shared" si="3"/>
        <v>11937</v>
      </c>
      <c r="IO2" s="41">
        <f t="shared" si="3"/>
        <v>11938</v>
      </c>
      <c r="IP2" s="41">
        <f t="shared" si="3"/>
        <v>-347</v>
      </c>
      <c r="IQ2" s="41">
        <f t="shared" si="3"/>
        <v>170.2</v>
      </c>
      <c r="IR2" s="41">
        <f t="shared" si="3"/>
        <v>8098</v>
      </c>
      <c r="IS2" s="41">
        <f t="shared" si="3"/>
        <v>8876</v>
      </c>
      <c r="IT2" s="41">
        <f t="shared" si="3"/>
        <v>9718</v>
      </c>
      <c r="IU2" s="41">
        <f t="shared" si="3"/>
        <v>9751</v>
      </c>
      <c r="IV2" s="41">
        <f t="shared" si="3"/>
        <v>-811</v>
      </c>
      <c r="IW2" s="41">
        <f t="shared" si="3"/>
        <v>529.5</v>
      </c>
      <c r="IX2" s="41">
        <f t="shared" si="3"/>
        <v>9732</v>
      </c>
      <c r="IY2" s="41">
        <f t="shared" si="3"/>
        <v>10329</v>
      </c>
      <c r="IZ2" s="41">
        <f t="shared" ref="IZ2:LK2" si="4">SUM(IZ3:IZ206)</f>
        <v>9136</v>
      </c>
      <c r="JA2" s="41">
        <f t="shared" si="4"/>
        <v>9255</v>
      </c>
      <c r="JB2" s="41">
        <f t="shared" si="4"/>
        <v>-716</v>
      </c>
      <c r="JC2" s="41">
        <f t="shared" si="4"/>
        <v>506.79999999999995</v>
      </c>
      <c r="JD2" s="41">
        <f t="shared" si="4"/>
        <v>6559</v>
      </c>
      <c r="JE2" s="41">
        <f t="shared" si="4"/>
        <v>6883</v>
      </c>
      <c r="JF2" s="41">
        <f t="shared" si="4"/>
        <v>-324</v>
      </c>
      <c r="JG2" s="41">
        <f t="shared" si="4"/>
        <v>121.38</v>
      </c>
      <c r="JH2" s="41">
        <f t="shared" si="4"/>
        <v>10380</v>
      </c>
      <c r="JI2" s="41">
        <f t="shared" si="4"/>
        <v>10458</v>
      </c>
      <c r="JJ2" s="41">
        <f t="shared" si="4"/>
        <v>8595</v>
      </c>
      <c r="JK2" s="41">
        <f t="shared" si="4"/>
        <v>8778</v>
      </c>
      <c r="JL2" s="41">
        <f t="shared" si="4"/>
        <v>-261</v>
      </c>
      <c r="JM2" s="41">
        <f t="shared" si="4"/>
        <v>74.460000000000008</v>
      </c>
      <c r="JN2" s="41">
        <f t="shared" si="4"/>
        <v>12383</v>
      </c>
      <c r="JO2" s="41">
        <f t="shared" si="4"/>
        <v>12469.9236</v>
      </c>
      <c r="JP2" s="41">
        <f t="shared" si="4"/>
        <v>-86.923599999999993</v>
      </c>
      <c r="JQ2" s="41">
        <f t="shared" si="4"/>
        <v>55</v>
      </c>
      <c r="JR2" s="41">
        <f t="shared" si="4"/>
        <v>1473</v>
      </c>
      <c r="JS2" s="41">
        <f t="shared" si="4"/>
        <v>1470</v>
      </c>
      <c r="JT2" s="41">
        <f t="shared" si="4"/>
        <v>12648</v>
      </c>
      <c r="JU2" s="41">
        <f t="shared" si="4"/>
        <v>12660</v>
      </c>
      <c r="JV2" s="41">
        <f t="shared" si="4"/>
        <v>-9</v>
      </c>
      <c r="JW2" s="41">
        <f t="shared" si="4"/>
        <v>5</v>
      </c>
      <c r="JX2" s="41">
        <f t="shared" si="4"/>
        <v>4665</v>
      </c>
      <c r="JY2" s="41">
        <f t="shared" si="4"/>
        <v>6047</v>
      </c>
      <c r="JZ2" s="41">
        <f t="shared" si="4"/>
        <v>7713</v>
      </c>
      <c r="KA2" s="41">
        <f t="shared" si="4"/>
        <v>7761</v>
      </c>
      <c r="KB2" s="41">
        <f t="shared" si="4"/>
        <v>-1430</v>
      </c>
      <c r="KC2" s="41">
        <f t="shared" si="4"/>
        <v>1333.4</v>
      </c>
      <c r="KD2" s="41">
        <f t="shared" si="4"/>
        <v>2834</v>
      </c>
      <c r="KE2" s="41">
        <f t="shared" si="4"/>
        <v>3970</v>
      </c>
      <c r="KF2" s="41">
        <f t="shared" si="4"/>
        <v>7452</v>
      </c>
      <c r="KG2" s="41">
        <f t="shared" si="4"/>
        <v>7541</v>
      </c>
      <c r="KH2" s="41">
        <f t="shared" si="4"/>
        <v>-1225</v>
      </c>
      <c r="KI2" s="41">
        <f t="shared" si="4"/>
        <v>1150.9000000000001</v>
      </c>
      <c r="KJ2" s="41">
        <f t="shared" si="4"/>
        <v>5259</v>
      </c>
      <c r="KK2" s="41">
        <f t="shared" si="4"/>
        <v>5270</v>
      </c>
      <c r="KL2" s="41">
        <f t="shared" si="4"/>
        <v>10233</v>
      </c>
      <c r="KM2" s="41">
        <f t="shared" si="4"/>
        <v>11069</v>
      </c>
      <c r="KN2" s="41">
        <f t="shared" si="4"/>
        <v>-847</v>
      </c>
      <c r="KO2" s="41">
        <f t="shared" si="4"/>
        <v>735.63</v>
      </c>
      <c r="KP2" s="41">
        <f t="shared" si="4"/>
        <v>6246</v>
      </c>
      <c r="KQ2" s="41">
        <f t="shared" si="4"/>
        <v>6590</v>
      </c>
      <c r="KR2" s="41">
        <f t="shared" si="4"/>
        <v>7805</v>
      </c>
      <c r="KS2" s="41">
        <f t="shared" si="4"/>
        <v>8105</v>
      </c>
      <c r="KT2" s="41">
        <f t="shared" si="4"/>
        <v>4642</v>
      </c>
      <c r="KU2" s="41">
        <f t="shared" si="4"/>
        <v>6806</v>
      </c>
      <c r="KV2" s="41">
        <f t="shared" si="4"/>
        <v>-2808</v>
      </c>
      <c r="KW2" s="41">
        <f t="shared" si="4"/>
        <v>1762.41</v>
      </c>
      <c r="KX2" s="41">
        <f t="shared" si="4"/>
        <v>3052.085</v>
      </c>
      <c r="KY2" s="41">
        <f t="shared" si="4"/>
        <v>3100</v>
      </c>
      <c r="KZ2" s="41">
        <f t="shared" si="4"/>
        <v>7044.9550000000008</v>
      </c>
      <c r="LA2" s="41">
        <f t="shared" si="4"/>
        <v>7187</v>
      </c>
      <c r="LB2" s="41">
        <f t="shared" si="4"/>
        <v>-189.95999999999998</v>
      </c>
      <c r="LC2" s="41">
        <f t="shared" si="4"/>
        <v>77.12</v>
      </c>
      <c r="LD2" s="41">
        <f t="shared" si="4"/>
        <v>3555.4589999999998</v>
      </c>
      <c r="LE2" s="41">
        <f t="shared" si="4"/>
        <v>3590</v>
      </c>
      <c r="LF2" s="41">
        <f t="shared" si="4"/>
        <v>6460.9460000000008</v>
      </c>
      <c r="LG2" s="41">
        <f t="shared" si="4"/>
        <v>6513</v>
      </c>
      <c r="LH2" s="41">
        <f t="shared" si="4"/>
        <v>-86.594999999999786</v>
      </c>
      <c r="LI2" s="41">
        <f t="shared" si="4"/>
        <v>27.09</v>
      </c>
      <c r="LJ2" s="41">
        <f t="shared" si="4"/>
        <v>10752.035999999998</v>
      </c>
      <c r="LK2" s="41">
        <f t="shared" si="4"/>
        <v>11326</v>
      </c>
      <c r="LL2" s="41">
        <f t="shared" ref="LL2:NW2" si="5">SUM(LL3:LL206)</f>
        <v>-573.96400000000006</v>
      </c>
      <c r="LM2" s="41">
        <f t="shared" si="5"/>
        <v>205.56</v>
      </c>
      <c r="LN2" s="41">
        <f t="shared" si="5"/>
        <v>14520.89</v>
      </c>
      <c r="LO2" s="41">
        <f t="shared" si="5"/>
        <v>14672</v>
      </c>
      <c r="LP2" s="41">
        <f t="shared" si="5"/>
        <v>13271.834000000004</v>
      </c>
      <c r="LQ2" s="41">
        <f t="shared" si="5"/>
        <v>700</v>
      </c>
      <c r="LR2" s="41">
        <f t="shared" si="5"/>
        <v>12718</v>
      </c>
      <c r="LS2" s="41">
        <f t="shared" si="5"/>
        <v>-297.27600000000012</v>
      </c>
      <c r="LT2" s="41">
        <f t="shared" si="5"/>
        <v>301.24800000000005</v>
      </c>
      <c r="LU2" s="41">
        <f t="shared" si="5"/>
        <v>7520.3099999999986</v>
      </c>
      <c r="LV2" s="41">
        <f t="shared" si="5"/>
        <v>7528</v>
      </c>
      <c r="LW2" s="41">
        <f t="shared" si="5"/>
        <v>7846.5219999999999</v>
      </c>
      <c r="LX2" s="41">
        <f t="shared" si="5"/>
        <v>7878</v>
      </c>
      <c r="LY2" s="41">
        <f t="shared" si="5"/>
        <v>-39.167999999999935</v>
      </c>
      <c r="LZ2" s="41">
        <f t="shared" si="5"/>
        <v>8</v>
      </c>
      <c r="MA2" s="41">
        <f t="shared" si="5"/>
        <v>11817.294</v>
      </c>
      <c r="MB2" s="41">
        <f t="shared" si="5"/>
        <v>11887</v>
      </c>
      <c r="MC2" s="41">
        <f t="shared" si="5"/>
        <v>-69.70600000000006</v>
      </c>
      <c r="MD2" s="41">
        <f t="shared" si="5"/>
        <v>44.423000000000016</v>
      </c>
      <c r="ME2" s="41">
        <f t="shared" si="5"/>
        <v>2850.105</v>
      </c>
      <c r="MF2" s="41">
        <f t="shared" si="5"/>
        <v>2828</v>
      </c>
      <c r="MG2" s="41">
        <f t="shared" si="5"/>
        <v>9853.2250000000004</v>
      </c>
      <c r="MH2" s="41">
        <f t="shared" si="5"/>
        <v>10437</v>
      </c>
      <c r="MI2" s="41">
        <f t="shared" si="5"/>
        <v>-561.67000000000019</v>
      </c>
      <c r="MJ2" s="41">
        <f t="shared" si="5"/>
        <v>141.12400000000022</v>
      </c>
      <c r="MK2" s="41">
        <f t="shared" si="5"/>
        <v>19442.900000000001</v>
      </c>
      <c r="ML2" s="41">
        <f t="shared" si="5"/>
        <v>19480</v>
      </c>
      <c r="MM2" s="41">
        <f t="shared" si="5"/>
        <v>-37.100000000000122</v>
      </c>
      <c r="MN2" s="41">
        <f t="shared" si="5"/>
        <v>23.282000000000004</v>
      </c>
      <c r="MO2" s="41">
        <f t="shared" si="5"/>
        <v>4526.9580000000005</v>
      </c>
      <c r="MP2" s="41">
        <f t="shared" si="5"/>
        <v>4538</v>
      </c>
      <c r="MQ2" s="41">
        <f t="shared" si="5"/>
        <v>10441.040000000001</v>
      </c>
      <c r="MR2" s="41">
        <f t="shared" si="5"/>
        <v>10539</v>
      </c>
      <c r="MS2" s="41">
        <f t="shared" si="5"/>
        <v>-109.00199999999991</v>
      </c>
      <c r="MT2" s="41">
        <f t="shared" si="5"/>
        <v>37.768000000000022</v>
      </c>
      <c r="MU2" s="41">
        <f t="shared" si="5"/>
        <v>745.37799999999993</v>
      </c>
      <c r="MV2" s="41">
        <f t="shared" si="5"/>
        <v>-330.95800000000003</v>
      </c>
      <c r="MW2" s="41">
        <f t="shared" si="5"/>
        <v>14772.694000000001</v>
      </c>
      <c r="MX2" s="41">
        <f t="shared" si="5"/>
        <v>15505</v>
      </c>
      <c r="MY2" s="41">
        <f t="shared" si="5"/>
        <v>-732.3059999999997</v>
      </c>
      <c r="MZ2" s="41">
        <f t="shared" si="5"/>
        <v>332.55400000000003</v>
      </c>
      <c r="NA2" s="41">
        <f t="shared" si="5"/>
        <v>3651.9540000000002</v>
      </c>
      <c r="NB2" s="41">
        <f t="shared" si="5"/>
        <v>2560</v>
      </c>
      <c r="NC2" s="41">
        <f t="shared" si="5"/>
        <v>7940.5399999999981</v>
      </c>
      <c r="ND2" s="41">
        <f t="shared" si="5"/>
        <v>7941</v>
      </c>
      <c r="NE2" s="41">
        <f t="shared" si="5"/>
        <v>1091.4939999999999</v>
      </c>
      <c r="NF2" s="41">
        <f t="shared" si="5"/>
        <v>0</v>
      </c>
      <c r="NG2" s="41">
        <f t="shared" si="5"/>
        <v>3355.5880000000002</v>
      </c>
      <c r="NH2" s="41">
        <f t="shared" si="5"/>
        <v>2890</v>
      </c>
      <c r="NI2" s="41">
        <f t="shared" si="5"/>
        <v>6269.16</v>
      </c>
      <c r="NJ2" s="41">
        <f t="shared" si="5"/>
        <v>6670</v>
      </c>
      <c r="NK2" s="41">
        <f t="shared" si="5"/>
        <v>64.748000000000033</v>
      </c>
      <c r="NL2" s="41">
        <f t="shared" si="5"/>
        <v>1629.9829999999999</v>
      </c>
      <c r="NM2" s="41">
        <f t="shared" si="5"/>
        <v>8983.5930000000008</v>
      </c>
      <c r="NN2" s="41">
        <f t="shared" si="5"/>
        <v>9000</v>
      </c>
      <c r="NO2" s="41">
        <f t="shared" si="5"/>
        <v>11472.396999999999</v>
      </c>
      <c r="NP2" s="41">
        <f t="shared" si="5"/>
        <v>12183</v>
      </c>
      <c r="NQ2" s="41">
        <f t="shared" si="5"/>
        <v>-727.01</v>
      </c>
      <c r="NR2" s="41">
        <f t="shared" si="5"/>
        <v>510.77499999999998</v>
      </c>
      <c r="NS2" s="41">
        <f t="shared" si="5"/>
        <v>4178.04</v>
      </c>
      <c r="NT2" s="41">
        <f t="shared" si="5"/>
        <v>4090</v>
      </c>
      <c r="NU2" s="41">
        <f t="shared" si="5"/>
        <v>8636.0500000000011</v>
      </c>
      <c r="NV2" s="41">
        <f t="shared" si="5"/>
        <v>9210</v>
      </c>
      <c r="NW2" s="41">
        <f t="shared" si="5"/>
        <v>-485.91</v>
      </c>
      <c r="NX2" s="41">
        <f t="shared" ref="NX2:QI2" si="6">SUM(NX3:NX206)</f>
        <v>1469.614</v>
      </c>
      <c r="NY2" s="41">
        <f t="shared" si="6"/>
        <v>5050.2259999999997</v>
      </c>
      <c r="NZ2" s="41">
        <f t="shared" si="6"/>
        <v>5130</v>
      </c>
      <c r="OA2" s="41">
        <f t="shared" si="6"/>
        <v>10619.572</v>
      </c>
      <c r="OB2" s="41">
        <f t="shared" si="6"/>
        <v>8979</v>
      </c>
      <c r="OC2" s="41">
        <f t="shared" si="6"/>
        <v>1560.7980000000005</v>
      </c>
      <c r="OD2" s="41">
        <f t="shared" si="6"/>
        <v>80.34</v>
      </c>
      <c r="OE2" s="41">
        <f t="shared" si="6"/>
        <v>19296.893</v>
      </c>
      <c r="OF2" s="41">
        <f t="shared" si="6"/>
        <v>19377</v>
      </c>
      <c r="OG2" s="41">
        <f t="shared" si="6"/>
        <v>-80.106999999999786</v>
      </c>
      <c r="OH2" s="41">
        <f t="shared" si="6"/>
        <v>70.414999999999992</v>
      </c>
      <c r="OI2" s="41">
        <f t="shared" si="6"/>
        <v>10555.578000000001</v>
      </c>
      <c r="OJ2" s="41">
        <f t="shared" si="6"/>
        <v>10591</v>
      </c>
      <c r="OK2" s="41">
        <f t="shared" si="6"/>
        <v>-35.42199999999994</v>
      </c>
      <c r="OL2" s="41">
        <f t="shared" si="6"/>
        <v>0</v>
      </c>
      <c r="OM2" s="41">
        <f t="shared" si="6"/>
        <v>4632.4739999999993</v>
      </c>
      <c r="ON2" s="41">
        <f t="shared" si="6"/>
        <v>4760</v>
      </c>
      <c r="OO2" s="41">
        <f t="shared" si="6"/>
        <v>6516.5819999999985</v>
      </c>
      <c r="OP2" s="41">
        <f t="shared" si="6"/>
        <v>6567.0879999999997</v>
      </c>
      <c r="OQ2" s="41">
        <f t="shared" si="6"/>
        <v>-178.03200000000007</v>
      </c>
      <c r="OR2" s="41">
        <f t="shared" si="6"/>
        <v>155.4980000000001</v>
      </c>
      <c r="OS2" s="41">
        <f t="shared" si="6"/>
        <v>7272.985999999999</v>
      </c>
      <c r="OT2" s="41">
        <f t="shared" si="6"/>
        <v>7479</v>
      </c>
      <c r="OU2" s="41">
        <f t="shared" si="6"/>
        <v>-206.01400000000004</v>
      </c>
      <c r="OV2" s="41">
        <f t="shared" si="6"/>
        <v>46.000000000000007</v>
      </c>
      <c r="OW2" s="41">
        <f t="shared" si="6"/>
        <v>8429.9789999999994</v>
      </c>
      <c r="OX2" s="41">
        <f t="shared" si="6"/>
        <v>9350</v>
      </c>
      <c r="OY2" s="41">
        <f t="shared" si="6"/>
        <v>8706.5980000000018</v>
      </c>
      <c r="OZ2" s="41">
        <f t="shared" si="6"/>
        <v>9005</v>
      </c>
      <c r="PA2" s="41">
        <f t="shared" si="6"/>
        <v>-1218.4230000000005</v>
      </c>
      <c r="PB2" s="41">
        <f t="shared" si="6"/>
        <v>924.56</v>
      </c>
      <c r="PC2" s="41">
        <f t="shared" si="6"/>
        <v>3315.4879999999998</v>
      </c>
      <c r="PD2" s="41">
        <f t="shared" si="6"/>
        <v>2618</v>
      </c>
      <c r="PE2" s="41">
        <f t="shared" si="6"/>
        <v>705.3309999999999</v>
      </c>
      <c r="PF2" s="41">
        <f t="shared" si="6"/>
        <v>5.5</v>
      </c>
      <c r="PG2" s="41">
        <f t="shared" si="6"/>
        <v>630.31399999999996</v>
      </c>
      <c r="PH2" s="41">
        <f t="shared" si="6"/>
        <v>1200</v>
      </c>
      <c r="PI2" s="41">
        <f t="shared" si="6"/>
        <v>4377.0659999999998</v>
      </c>
      <c r="PJ2" s="41">
        <f t="shared" si="6"/>
        <v>5548</v>
      </c>
      <c r="PK2" s="41">
        <f t="shared" si="6"/>
        <v>-1740.6200000000001</v>
      </c>
      <c r="PL2" s="41">
        <f t="shared" si="6"/>
        <v>1490.0320000000002</v>
      </c>
      <c r="PM2" s="41">
        <f t="shared" si="6"/>
        <v>3745.6579999999999</v>
      </c>
      <c r="PN2" s="41">
        <f t="shared" si="6"/>
        <v>4080</v>
      </c>
      <c r="PO2" s="41">
        <f t="shared" si="6"/>
        <v>7992.9810000000007</v>
      </c>
      <c r="PP2" s="41">
        <f t="shared" si="6"/>
        <v>8390</v>
      </c>
      <c r="PQ2" s="41">
        <f t="shared" si="6"/>
        <v>-731.36099999999976</v>
      </c>
      <c r="PR2" s="41">
        <f t="shared" si="6"/>
        <v>818.09899999999959</v>
      </c>
      <c r="PS2" s="41">
        <f t="shared" si="6"/>
        <v>5480.902</v>
      </c>
      <c r="PT2" s="41">
        <f t="shared" si="6"/>
        <v>6256</v>
      </c>
      <c r="PU2" s="41">
        <f t="shared" si="6"/>
        <v>5160.7360000000008</v>
      </c>
      <c r="PV2" s="41">
        <f t="shared" si="6"/>
        <v>5750</v>
      </c>
      <c r="PW2" s="41">
        <f t="shared" si="6"/>
        <v>-1364.3620000000005</v>
      </c>
      <c r="PX2" s="41">
        <f t="shared" si="6"/>
        <v>1031.875</v>
      </c>
      <c r="PY2" s="41">
        <f t="shared" si="6"/>
        <v>13320.652</v>
      </c>
      <c r="PZ2" s="41">
        <f t="shared" si="6"/>
        <v>14510</v>
      </c>
      <c r="QA2" s="41">
        <f t="shared" si="6"/>
        <v>-1189.348</v>
      </c>
      <c r="QB2" s="41">
        <f t="shared" si="6"/>
        <v>994.83399999999995</v>
      </c>
      <c r="QC2" s="41">
        <f t="shared" si="6"/>
        <v>5603.2420000000002</v>
      </c>
      <c r="QD2" s="41">
        <f t="shared" si="6"/>
        <v>5666</v>
      </c>
      <c r="QE2" s="41">
        <f t="shared" si="6"/>
        <v>7222.965000000002</v>
      </c>
      <c r="QF2" s="41">
        <f t="shared" si="6"/>
        <v>7240</v>
      </c>
      <c r="QG2" s="41">
        <f t="shared" si="6"/>
        <v>-79.793000000000134</v>
      </c>
      <c r="QH2" s="41">
        <f t="shared" si="6"/>
        <v>158.51699999999994</v>
      </c>
      <c r="QI2" s="41">
        <f t="shared" si="6"/>
        <v>5665.1159999999991</v>
      </c>
      <c r="QJ2" s="41">
        <f t="shared" ref="QJ2:RD2" si="7">SUM(QJ3:QJ206)</f>
        <v>5825</v>
      </c>
      <c r="QK2" s="41">
        <f t="shared" si="7"/>
        <v>7295.597999999999</v>
      </c>
      <c r="QL2" s="41">
        <f t="shared" si="7"/>
        <v>7410</v>
      </c>
      <c r="QM2" s="41">
        <f t="shared" si="7"/>
        <v>-274.286</v>
      </c>
      <c r="QN2" s="41">
        <f t="shared" si="7"/>
        <v>203.363</v>
      </c>
      <c r="QO2" s="41">
        <f t="shared" si="7"/>
        <v>5215.2129999999997</v>
      </c>
      <c r="QP2" s="41">
        <f t="shared" si="7"/>
        <v>6182</v>
      </c>
      <c r="QQ2" s="41">
        <f t="shared" si="7"/>
        <v>9505.7470000000012</v>
      </c>
      <c r="QR2" s="41">
        <f t="shared" si="7"/>
        <v>6480</v>
      </c>
      <c r="QS2" s="41">
        <f t="shared" si="7"/>
        <v>2058.9599999999996</v>
      </c>
      <c r="QT2" s="41">
        <f t="shared" si="7"/>
        <v>3981.7309999999993</v>
      </c>
      <c r="QU2" s="41">
        <f t="shared" si="7"/>
        <v>7650.1540000000005</v>
      </c>
      <c r="QV2" s="41">
        <f t="shared" si="7"/>
        <v>9053</v>
      </c>
      <c r="QW2" s="41">
        <f t="shared" si="7"/>
        <v>-1402.8459999999995</v>
      </c>
      <c r="QX2" s="41">
        <f t="shared" si="7"/>
        <v>1018.5869999999999</v>
      </c>
      <c r="QY2" s="41">
        <f t="shared" si="7"/>
        <v>4274.6959999999999</v>
      </c>
      <c r="QZ2" s="41">
        <f t="shared" si="7"/>
        <v>4870</v>
      </c>
      <c r="RA2" s="41">
        <f t="shared" si="7"/>
        <v>12157.065000000001</v>
      </c>
      <c r="RB2" s="41">
        <f t="shared" si="7"/>
        <v>14037</v>
      </c>
      <c r="RC2" s="41">
        <f t="shared" si="7"/>
        <v>-2475.2389999999991</v>
      </c>
      <c r="RD2" s="41">
        <f t="shared" si="7"/>
        <v>2208.1320000000001</v>
      </c>
    </row>
    <row r="3" spans="1:472" x14ac:dyDescent="0.25">
      <c r="A3" s="43" t="s">
        <v>291</v>
      </c>
      <c r="B3" s="44">
        <v>1</v>
      </c>
      <c r="I3" s="47"/>
      <c r="J3" s="51"/>
      <c r="K3" s="51"/>
      <c r="L3" s="51"/>
      <c r="M3" s="51">
        <f>I3+K3-J3-L3</f>
        <v>0</v>
      </c>
      <c r="N3" s="46"/>
      <c r="O3" s="47"/>
      <c r="P3" s="51"/>
      <c r="Q3" s="51"/>
      <c r="R3" s="51"/>
      <c r="S3" s="51">
        <f>O3+Q3-P3-R3</f>
        <v>0</v>
      </c>
      <c r="T3" s="46"/>
      <c r="U3" s="47"/>
      <c r="V3" s="51"/>
      <c r="W3" s="51"/>
      <c r="X3" s="51"/>
      <c r="Y3" s="51">
        <f>U3+W3-V3-X3</f>
        <v>0</v>
      </c>
      <c r="Z3" s="46"/>
      <c r="AA3" s="51"/>
      <c r="AE3" s="43">
        <v>0</v>
      </c>
      <c r="AF3" s="46"/>
      <c r="AG3" s="47"/>
      <c r="AK3" s="43">
        <v>0</v>
      </c>
      <c r="AL3" s="46"/>
      <c r="AQ3" s="43">
        <v>0</v>
      </c>
      <c r="AR3" s="46"/>
      <c r="AW3" s="43">
        <v>0</v>
      </c>
      <c r="AX3" s="46"/>
      <c r="AY3" s="47"/>
      <c r="BC3" s="43">
        <v>0</v>
      </c>
      <c r="BD3" s="46"/>
      <c r="BE3" s="47"/>
      <c r="BI3" s="43">
        <v>0</v>
      </c>
      <c r="BJ3" s="46"/>
      <c r="BP3" s="43">
        <v>0</v>
      </c>
      <c r="BQ3" s="46"/>
      <c r="BT3" s="43">
        <v>0</v>
      </c>
      <c r="BU3" s="46"/>
      <c r="BV3" s="47"/>
      <c r="BZ3" s="43">
        <v>0</v>
      </c>
      <c r="CA3" s="46"/>
      <c r="CF3" s="43">
        <v>0</v>
      </c>
      <c r="CG3" s="46"/>
      <c r="CL3" s="43">
        <v>0</v>
      </c>
      <c r="CM3" s="46"/>
      <c r="CN3" s="47"/>
      <c r="CR3" s="43">
        <v>0</v>
      </c>
      <c r="CS3" s="46"/>
      <c r="CX3" s="43">
        <v>0</v>
      </c>
      <c r="CY3" s="46"/>
      <c r="CZ3" s="47"/>
      <c r="DD3" s="43">
        <v>0</v>
      </c>
      <c r="DE3" s="46"/>
      <c r="DF3" s="47"/>
      <c r="DL3" s="43">
        <v>0</v>
      </c>
      <c r="DM3" s="46"/>
      <c r="DN3" s="47"/>
      <c r="DR3" s="43">
        <v>0</v>
      </c>
      <c r="DS3" s="46"/>
      <c r="DZ3" s="43">
        <v>0</v>
      </c>
      <c r="EA3" s="46"/>
      <c r="EB3" s="47"/>
      <c r="EF3" s="43">
        <v>0</v>
      </c>
      <c r="EG3" s="46"/>
      <c r="EH3" s="47"/>
      <c r="EL3" s="43">
        <v>0</v>
      </c>
      <c r="EM3" s="46"/>
      <c r="EN3" s="47"/>
      <c r="ER3" s="43">
        <v>0</v>
      </c>
      <c r="ES3" s="46"/>
      <c r="EZ3" s="43">
        <v>0</v>
      </c>
      <c r="FA3" s="46"/>
      <c r="FG3" s="43">
        <v>0</v>
      </c>
      <c r="FH3" s="46"/>
      <c r="FI3" s="47"/>
      <c r="FL3" s="43">
        <v>0</v>
      </c>
      <c r="FM3" s="46"/>
      <c r="FN3" s="47"/>
      <c r="FQ3" s="43">
        <v>0</v>
      </c>
      <c r="FR3" s="46"/>
      <c r="FW3" s="43">
        <v>0</v>
      </c>
      <c r="FX3" s="46"/>
      <c r="FY3" s="47"/>
      <c r="GD3" s="43">
        <v>0</v>
      </c>
      <c r="GE3" s="46"/>
      <c r="GJ3" s="43">
        <v>0</v>
      </c>
      <c r="GK3" s="46"/>
      <c r="GL3" s="47"/>
      <c r="GP3" s="43">
        <v>0</v>
      </c>
      <c r="GQ3" s="46"/>
      <c r="GV3" s="43">
        <v>0</v>
      </c>
      <c r="GW3" s="46"/>
      <c r="GX3" s="47"/>
      <c r="GZ3" s="43">
        <v>0</v>
      </c>
      <c r="HA3" s="46"/>
      <c r="HB3" s="47"/>
      <c r="HF3" s="43">
        <v>0</v>
      </c>
      <c r="HG3" s="46"/>
      <c r="HH3" s="47"/>
      <c r="HJ3" s="43">
        <v>0</v>
      </c>
      <c r="HK3" s="46"/>
      <c r="HL3" s="47"/>
      <c r="HP3" s="43">
        <v>0</v>
      </c>
      <c r="HQ3" s="46"/>
      <c r="HX3" s="43">
        <v>0</v>
      </c>
      <c r="HY3" s="46"/>
      <c r="HZ3" s="47"/>
      <c r="ID3" s="43">
        <v>0</v>
      </c>
      <c r="IE3" s="46"/>
      <c r="IJ3" s="43">
        <v>0</v>
      </c>
      <c r="IK3" s="49"/>
      <c r="IP3" s="43">
        <v>0</v>
      </c>
      <c r="IQ3" s="49"/>
      <c r="IV3" s="43">
        <v>0</v>
      </c>
      <c r="IW3" s="49"/>
      <c r="IZ3" s="48">
        <v>61</v>
      </c>
      <c r="JA3">
        <v>60</v>
      </c>
      <c r="JB3" s="43">
        <v>1</v>
      </c>
      <c r="JC3" s="46"/>
      <c r="JG3" s="49"/>
      <c r="JM3" s="46"/>
      <c r="JN3" s="45"/>
      <c r="JQ3" s="49"/>
      <c r="JW3" s="49"/>
      <c r="KC3" s="49"/>
      <c r="KI3" s="49"/>
      <c r="KO3" s="49"/>
      <c r="KP3" s="50"/>
      <c r="KW3" s="49"/>
      <c r="LC3" s="49"/>
      <c r="LI3" s="49"/>
      <c r="LJ3" s="50"/>
      <c r="LM3" s="49"/>
      <c r="LN3" s="50"/>
      <c r="LT3" s="49"/>
      <c r="LU3" s="50"/>
      <c r="LZ3" s="49"/>
      <c r="MA3" s="50"/>
      <c r="MD3" s="49"/>
      <c r="ME3" s="50"/>
      <c r="MJ3" s="49"/>
      <c r="MK3" s="50"/>
      <c r="MN3" s="49"/>
      <c r="MO3" s="50"/>
      <c r="MT3" s="49"/>
      <c r="MV3" s="46"/>
      <c r="MZ3" s="49"/>
      <c r="NA3" s="50"/>
      <c r="NF3" s="49"/>
      <c r="NG3" s="50"/>
      <c r="NL3" s="49"/>
      <c r="NM3" s="50"/>
      <c r="NR3" s="49"/>
      <c r="NS3" s="50"/>
      <c r="NX3" s="49"/>
      <c r="NY3" s="50"/>
      <c r="OD3" s="49"/>
      <c r="OE3" s="50"/>
      <c r="OH3" s="49"/>
      <c r="OI3" s="50"/>
      <c r="OJ3" s="48"/>
      <c r="OL3" s="49"/>
      <c r="OM3" s="50"/>
      <c r="ON3" s="48"/>
      <c r="OO3" s="48"/>
      <c r="OP3" s="48"/>
      <c r="OR3" s="49"/>
      <c r="OS3" s="50"/>
      <c r="OT3" s="48"/>
      <c r="OV3" s="49"/>
      <c r="OW3" s="50"/>
      <c r="OX3" s="48"/>
      <c r="OY3" s="48"/>
      <c r="OZ3" s="48"/>
      <c r="PB3" s="49"/>
      <c r="PC3" s="50"/>
      <c r="PD3" s="48"/>
      <c r="PF3" s="49"/>
      <c r="PG3" s="50"/>
      <c r="PH3" s="48"/>
      <c r="PI3" s="48"/>
      <c r="PJ3" s="48"/>
      <c r="PL3" s="49"/>
      <c r="PM3" s="47"/>
      <c r="PN3" s="48"/>
      <c r="PO3" s="48"/>
      <c r="PP3" s="48"/>
      <c r="PR3" s="49"/>
      <c r="PS3" s="47"/>
      <c r="PX3" s="46"/>
      <c r="PY3" s="47"/>
      <c r="QB3" s="46"/>
      <c r="QC3" s="47"/>
      <c r="QH3" s="46"/>
      <c r="QI3" s="47"/>
      <c r="QN3" s="46"/>
      <c r="QO3" s="47"/>
      <c r="QT3" s="46"/>
      <c r="QU3" s="47"/>
      <c r="QX3" s="46"/>
      <c r="QY3" s="47"/>
      <c r="RD3" s="46"/>
    </row>
    <row r="4" spans="1:472" x14ac:dyDescent="0.25">
      <c r="A4" s="43" t="s">
        <v>292</v>
      </c>
      <c r="B4" s="44">
        <v>0.4</v>
      </c>
      <c r="E4">
        <v>120</v>
      </c>
      <c r="F4">
        <v>83</v>
      </c>
      <c r="I4" s="45">
        <v>112</v>
      </c>
      <c r="J4" s="52">
        <v>110</v>
      </c>
      <c r="K4" s="52">
        <v>120</v>
      </c>
      <c r="L4" s="52">
        <v>122</v>
      </c>
      <c r="M4" s="51">
        <f t="shared" ref="M4:M67" si="8">I4+K4-J4-L4</f>
        <v>0</v>
      </c>
      <c r="N4" s="46"/>
      <c r="O4" s="45">
        <v>96</v>
      </c>
      <c r="P4" s="52">
        <v>96</v>
      </c>
      <c r="Q4" s="52">
        <v>128</v>
      </c>
      <c r="R4" s="52">
        <v>126</v>
      </c>
      <c r="S4" s="51">
        <f t="shared" ref="S4:S67" si="9">O4+Q4-P4-R4</f>
        <v>2</v>
      </c>
      <c r="T4" s="46"/>
      <c r="U4" s="45">
        <v>160</v>
      </c>
      <c r="V4" s="52">
        <v>160</v>
      </c>
      <c r="W4" s="52">
        <v>128</v>
      </c>
      <c r="X4" s="52">
        <v>130</v>
      </c>
      <c r="Y4" s="51">
        <f t="shared" ref="Y4:Y67" si="10">U4+W4-V4-X4</f>
        <v>-2</v>
      </c>
      <c r="Z4" s="46"/>
      <c r="AA4" s="52">
        <v>104</v>
      </c>
      <c r="AB4">
        <v>103</v>
      </c>
      <c r="AE4" s="43">
        <v>1</v>
      </c>
      <c r="AF4" s="46"/>
      <c r="AG4" s="47"/>
      <c r="AK4" s="43">
        <v>0</v>
      </c>
      <c r="AL4" s="46"/>
      <c r="AM4">
        <v>296</v>
      </c>
      <c r="AN4">
        <v>300</v>
      </c>
      <c r="AO4">
        <v>304</v>
      </c>
      <c r="AP4">
        <v>305</v>
      </c>
      <c r="AQ4" s="43">
        <v>-5</v>
      </c>
      <c r="AR4" s="46"/>
      <c r="AS4">
        <v>96</v>
      </c>
      <c r="AT4">
        <v>96</v>
      </c>
      <c r="AU4">
        <v>104</v>
      </c>
      <c r="AV4">
        <v>107</v>
      </c>
      <c r="AW4" s="43">
        <v>-3</v>
      </c>
      <c r="AX4" s="46"/>
      <c r="AY4" s="47"/>
      <c r="BC4" s="43">
        <v>0</v>
      </c>
      <c r="BD4" s="46"/>
      <c r="BE4" s="45">
        <v>200</v>
      </c>
      <c r="BF4">
        <v>200</v>
      </c>
      <c r="BG4">
        <v>200</v>
      </c>
      <c r="BH4">
        <v>203</v>
      </c>
      <c r="BI4" s="43">
        <v>-3</v>
      </c>
      <c r="BJ4" s="46"/>
      <c r="BK4">
        <v>120</v>
      </c>
      <c r="BL4">
        <v>120</v>
      </c>
      <c r="BN4">
        <v>40</v>
      </c>
      <c r="BO4">
        <v>40</v>
      </c>
      <c r="BP4" s="43">
        <v>0</v>
      </c>
      <c r="BQ4" s="46"/>
      <c r="BR4">
        <v>48</v>
      </c>
      <c r="BS4">
        <v>48</v>
      </c>
      <c r="BT4" s="43">
        <v>0</v>
      </c>
      <c r="BU4" s="46"/>
      <c r="BV4" s="45">
        <v>104</v>
      </c>
      <c r="BW4">
        <v>105</v>
      </c>
      <c r="BX4">
        <v>264</v>
      </c>
      <c r="BY4">
        <v>268</v>
      </c>
      <c r="BZ4" s="43">
        <v>-5</v>
      </c>
      <c r="CA4" s="46"/>
      <c r="CB4">
        <v>64</v>
      </c>
      <c r="CC4">
        <v>64</v>
      </c>
      <c r="CD4">
        <v>64</v>
      </c>
      <c r="CE4">
        <v>68</v>
      </c>
      <c r="CF4" s="43">
        <v>-4</v>
      </c>
      <c r="CG4" s="46"/>
      <c r="CL4" s="43">
        <v>0</v>
      </c>
      <c r="CM4" s="46"/>
      <c r="CN4" s="47"/>
      <c r="CP4">
        <v>400</v>
      </c>
      <c r="CQ4">
        <v>400</v>
      </c>
      <c r="CR4" s="43">
        <v>0</v>
      </c>
      <c r="CS4" s="46"/>
      <c r="CV4">
        <v>64</v>
      </c>
      <c r="CW4">
        <v>67</v>
      </c>
      <c r="CX4" s="43">
        <v>-3</v>
      </c>
      <c r="CY4" s="46"/>
      <c r="CZ4" s="45">
        <v>80</v>
      </c>
      <c r="DA4">
        <v>80</v>
      </c>
      <c r="DB4">
        <v>80</v>
      </c>
      <c r="DC4">
        <v>79</v>
      </c>
      <c r="DD4" s="43">
        <v>1</v>
      </c>
      <c r="DE4" s="46"/>
      <c r="DF4" s="47"/>
      <c r="DL4" s="43">
        <v>0</v>
      </c>
      <c r="DM4" s="46"/>
      <c r="DN4" s="45">
        <v>160</v>
      </c>
      <c r="DO4">
        <v>160</v>
      </c>
      <c r="DP4">
        <v>216</v>
      </c>
      <c r="DQ4">
        <v>220</v>
      </c>
      <c r="DR4" s="43">
        <v>-4</v>
      </c>
      <c r="DS4" s="46"/>
      <c r="DV4">
        <v>240</v>
      </c>
      <c r="DW4">
        <v>240</v>
      </c>
      <c r="DZ4" s="43">
        <v>0</v>
      </c>
      <c r="EA4" s="46"/>
      <c r="EB4" s="47"/>
      <c r="ED4">
        <v>8</v>
      </c>
      <c r="EE4">
        <v>10</v>
      </c>
      <c r="EF4" s="43">
        <v>-2</v>
      </c>
      <c r="EG4" s="46"/>
      <c r="EH4" s="47"/>
      <c r="EL4" s="43">
        <v>0</v>
      </c>
      <c r="EM4" s="46"/>
      <c r="EN4" s="45">
        <v>240</v>
      </c>
      <c r="EO4">
        <v>240</v>
      </c>
      <c r="EP4">
        <v>256</v>
      </c>
      <c r="EQ4">
        <v>260</v>
      </c>
      <c r="ER4" s="43">
        <v>-4</v>
      </c>
      <c r="ES4" s="46"/>
      <c r="EV4">
        <v>48</v>
      </c>
      <c r="EW4">
        <v>48</v>
      </c>
      <c r="EX4">
        <v>48</v>
      </c>
      <c r="EY4">
        <v>52</v>
      </c>
      <c r="EZ4" s="43">
        <v>-4</v>
      </c>
      <c r="FA4" s="46"/>
      <c r="FB4">
        <v>80</v>
      </c>
      <c r="FC4">
        <v>80</v>
      </c>
      <c r="FD4">
        <v>72</v>
      </c>
      <c r="FF4">
        <v>70</v>
      </c>
      <c r="FG4" s="43">
        <v>2</v>
      </c>
      <c r="FH4" s="46"/>
      <c r="FI4" s="45">
        <v>192</v>
      </c>
      <c r="FK4" s="48">
        <v>196</v>
      </c>
      <c r="FL4" s="43">
        <v>-4</v>
      </c>
      <c r="FM4" s="46"/>
      <c r="FN4" s="47"/>
      <c r="FQ4" s="43">
        <v>0</v>
      </c>
      <c r="FR4" s="46"/>
      <c r="FS4">
        <v>168</v>
      </c>
      <c r="FV4">
        <v>170</v>
      </c>
      <c r="FW4" s="43">
        <v>-2</v>
      </c>
      <c r="FX4" s="46"/>
      <c r="FY4" s="45">
        <v>72</v>
      </c>
      <c r="GA4">
        <v>70</v>
      </c>
      <c r="GB4">
        <v>96</v>
      </c>
      <c r="GC4">
        <v>100</v>
      </c>
      <c r="GD4" s="43">
        <v>-2</v>
      </c>
      <c r="GE4" s="46"/>
      <c r="GF4">
        <v>136</v>
      </c>
      <c r="GG4">
        <v>140</v>
      </c>
      <c r="GH4">
        <v>128</v>
      </c>
      <c r="GI4">
        <v>130</v>
      </c>
      <c r="GJ4" s="43">
        <v>-6</v>
      </c>
      <c r="GK4" s="46"/>
      <c r="GL4" s="47"/>
      <c r="GN4">
        <v>136</v>
      </c>
      <c r="GO4">
        <v>140</v>
      </c>
      <c r="GP4" s="43">
        <v>-4</v>
      </c>
      <c r="GQ4" s="46"/>
      <c r="GT4">
        <v>112</v>
      </c>
      <c r="GU4">
        <v>110</v>
      </c>
      <c r="GV4" s="43">
        <v>2</v>
      </c>
      <c r="GW4" s="46"/>
      <c r="GX4" s="45">
        <v>24</v>
      </c>
      <c r="GY4" s="48">
        <v>27</v>
      </c>
      <c r="GZ4" s="43">
        <v>-3</v>
      </c>
      <c r="HA4" s="46"/>
      <c r="HB4" s="45">
        <v>96</v>
      </c>
      <c r="HC4">
        <v>100</v>
      </c>
      <c r="HD4">
        <v>128</v>
      </c>
      <c r="HE4">
        <v>130</v>
      </c>
      <c r="HF4" s="43">
        <v>-6</v>
      </c>
      <c r="HG4" s="46"/>
      <c r="HH4" s="45">
        <v>328</v>
      </c>
      <c r="HI4">
        <v>330</v>
      </c>
      <c r="HJ4" s="43">
        <v>-2</v>
      </c>
      <c r="HK4" s="46"/>
      <c r="HL4" s="47"/>
      <c r="HP4" s="43">
        <v>0</v>
      </c>
      <c r="HQ4" s="46"/>
      <c r="HR4">
        <v>200</v>
      </c>
      <c r="HS4">
        <v>200</v>
      </c>
      <c r="HT4">
        <v>200</v>
      </c>
      <c r="HU4">
        <v>200</v>
      </c>
      <c r="HX4" s="43">
        <v>0</v>
      </c>
      <c r="HY4" s="46"/>
      <c r="HZ4" s="47"/>
      <c r="IB4">
        <v>96</v>
      </c>
      <c r="IC4">
        <v>100</v>
      </c>
      <c r="ID4" s="43">
        <v>-4</v>
      </c>
      <c r="IE4" s="46"/>
      <c r="IH4">
        <v>128</v>
      </c>
      <c r="II4">
        <v>130</v>
      </c>
      <c r="IJ4" s="43">
        <v>-2</v>
      </c>
      <c r="IK4" s="49"/>
      <c r="IL4">
        <v>40</v>
      </c>
      <c r="IM4">
        <v>40</v>
      </c>
      <c r="IN4">
        <v>40</v>
      </c>
      <c r="IO4">
        <v>40</v>
      </c>
      <c r="IP4" s="43">
        <v>0</v>
      </c>
      <c r="IQ4" s="49"/>
      <c r="IV4" s="43">
        <v>0</v>
      </c>
      <c r="IW4" s="49"/>
      <c r="IX4">
        <v>112</v>
      </c>
      <c r="IY4">
        <v>110</v>
      </c>
      <c r="IZ4">
        <v>88</v>
      </c>
      <c r="JA4">
        <v>90</v>
      </c>
      <c r="JB4" s="43">
        <v>0</v>
      </c>
      <c r="JC4" s="46"/>
      <c r="JF4" s="43">
        <v>0</v>
      </c>
      <c r="JG4" s="49"/>
      <c r="JH4">
        <v>80</v>
      </c>
      <c r="JI4">
        <v>80</v>
      </c>
      <c r="JJ4">
        <v>72</v>
      </c>
      <c r="JK4">
        <v>76</v>
      </c>
      <c r="JL4" s="43">
        <v>-4</v>
      </c>
      <c r="JM4" s="46"/>
      <c r="JN4" s="45">
        <v>88</v>
      </c>
      <c r="JO4" s="48">
        <v>90</v>
      </c>
      <c r="JP4" s="43">
        <v>-2</v>
      </c>
      <c r="JQ4" s="49"/>
      <c r="JT4">
        <v>16</v>
      </c>
      <c r="JU4">
        <v>20</v>
      </c>
      <c r="JV4" s="43">
        <v>-4</v>
      </c>
      <c r="JW4" s="49"/>
      <c r="KB4" s="43">
        <v>0</v>
      </c>
      <c r="KC4" s="49"/>
      <c r="KF4">
        <v>96</v>
      </c>
      <c r="KG4">
        <v>100</v>
      </c>
      <c r="KH4" s="43">
        <v>-4</v>
      </c>
      <c r="KI4" s="49"/>
      <c r="KN4" s="43">
        <v>0</v>
      </c>
      <c r="KO4" s="49"/>
      <c r="KP4" s="50"/>
      <c r="KR4">
        <v>40</v>
      </c>
      <c r="KS4">
        <v>40</v>
      </c>
      <c r="KT4">
        <v>40</v>
      </c>
      <c r="KU4">
        <v>40</v>
      </c>
      <c r="KV4" s="43">
        <v>0</v>
      </c>
      <c r="KW4" s="49"/>
      <c r="KX4" s="48">
        <v>0</v>
      </c>
      <c r="KY4" s="48">
        <v>0</v>
      </c>
      <c r="KZ4" s="48">
        <v>32</v>
      </c>
      <c r="LA4" s="48">
        <v>32</v>
      </c>
      <c r="LB4" s="43">
        <v>0</v>
      </c>
      <c r="LC4" s="49"/>
      <c r="LD4" s="48">
        <v>0</v>
      </c>
      <c r="LE4" s="48">
        <v>0</v>
      </c>
      <c r="LF4" s="48">
        <v>0</v>
      </c>
      <c r="LG4" s="48">
        <v>0</v>
      </c>
      <c r="LH4" s="43">
        <v>0</v>
      </c>
      <c r="LI4" s="49"/>
      <c r="LJ4" s="50">
        <v>72</v>
      </c>
      <c r="LK4" s="48">
        <v>70</v>
      </c>
      <c r="LL4" s="43">
        <v>2</v>
      </c>
      <c r="LM4" s="49"/>
      <c r="LN4" s="50">
        <v>200</v>
      </c>
      <c r="LO4" s="48">
        <v>200</v>
      </c>
      <c r="LP4" s="48">
        <v>0</v>
      </c>
      <c r="LQ4" s="48">
        <v>0</v>
      </c>
      <c r="LR4" s="48">
        <v>150</v>
      </c>
      <c r="LS4" s="42">
        <v>-150</v>
      </c>
      <c r="LT4" s="49">
        <v>60</v>
      </c>
      <c r="LU4" s="50">
        <v>48</v>
      </c>
      <c r="LV4" s="48">
        <v>48</v>
      </c>
      <c r="LW4" s="48">
        <v>48</v>
      </c>
      <c r="LX4" s="48">
        <v>52</v>
      </c>
      <c r="LY4" s="43">
        <v>-4</v>
      </c>
      <c r="LZ4" s="49"/>
      <c r="MA4" s="50">
        <v>88</v>
      </c>
      <c r="MB4" s="48">
        <v>90</v>
      </c>
      <c r="MC4" s="43">
        <v>-2</v>
      </c>
      <c r="MD4" s="49"/>
      <c r="ME4" s="50">
        <v>0</v>
      </c>
      <c r="MF4" s="48">
        <v>0</v>
      </c>
      <c r="MG4" s="48">
        <v>16</v>
      </c>
      <c r="MH4" s="48">
        <v>20</v>
      </c>
      <c r="MI4" s="43">
        <v>-4</v>
      </c>
      <c r="MJ4" s="49"/>
      <c r="MK4" s="50">
        <v>272</v>
      </c>
      <c r="ML4" s="48">
        <v>270</v>
      </c>
      <c r="MM4" s="43">
        <v>2</v>
      </c>
      <c r="MN4" s="49"/>
      <c r="MO4" s="50">
        <v>32</v>
      </c>
      <c r="MP4" s="48">
        <v>32</v>
      </c>
      <c r="MQ4" s="48">
        <v>40</v>
      </c>
      <c r="MR4" s="48">
        <v>38</v>
      </c>
      <c r="MS4" s="43">
        <v>2</v>
      </c>
      <c r="MT4" s="49"/>
      <c r="MU4" s="48">
        <v>0</v>
      </c>
      <c r="MV4" s="46"/>
      <c r="MW4" s="48">
        <v>56</v>
      </c>
      <c r="MX4" s="48">
        <v>60</v>
      </c>
      <c r="MY4" s="43">
        <v>-4</v>
      </c>
      <c r="MZ4" s="49"/>
      <c r="NA4" s="50">
        <v>0</v>
      </c>
      <c r="NB4" s="48">
        <v>0</v>
      </c>
      <c r="NC4" s="48">
        <v>56</v>
      </c>
      <c r="ND4" s="48">
        <v>60</v>
      </c>
      <c r="NE4" s="43">
        <v>-4</v>
      </c>
      <c r="NF4" s="49"/>
      <c r="NG4" s="50">
        <v>96</v>
      </c>
      <c r="NH4" s="48">
        <v>25</v>
      </c>
      <c r="NI4" s="48">
        <v>0</v>
      </c>
      <c r="NJ4" s="48">
        <v>0</v>
      </c>
      <c r="NK4" s="43">
        <v>71</v>
      </c>
      <c r="NL4" s="49"/>
      <c r="NM4" s="50">
        <v>0</v>
      </c>
      <c r="NN4" s="48">
        <v>0</v>
      </c>
      <c r="NO4" s="48">
        <v>0</v>
      </c>
      <c r="NP4" s="48">
        <v>0</v>
      </c>
      <c r="NQ4" s="43">
        <v>0</v>
      </c>
      <c r="NR4" s="49"/>
      <c r="NS4" s="25">
        <v>128</v>
      </c>
      <c r="NT4" s="48">
        <v>0</v>
      </c>
      <c r="NU4" s="48">
        <v>152</v>
      </c>
      <c r="NV4" s="48">
        <v>150</v>
      </c>
      <c r="NW4" s="43">
        <v>130</v>
      </c>
      <c r="NX4" s="49"/>
      <c r="NY4" s="50">
        <v>0</v>
      </c>
      <c r="NZ4" s="48">
        <v>0</v>
      </c>
      <c r="OA4" s="48">
        <v>168</v>
      </c>
      <c r="OB4" s="48">
        <v>170</v>
      </c>
      <c r="OC4" s="43">
        <v>-2</v>
      </c>
      <c r="OD4" s="49"/>
      <c r="OE4" s="50">
        <v>16</v>
      </c>
      <c r="OF4" s="48">
        <v>50</v>
      </c>
      <c r="OG4" s="42">
        <v>-34</v>
      </c>
      <c r="OH4" s="49">
        <v>13.6</v>
      </c>
      <c r="OI4" s="50">
        <v>168</v>
      </c>
      <c r="OJ4" s="48">
        <v>170</v>
      </c>
      <c r="OK4" s="43">
        <v>-2</v>
      </c>
      <c r="OL4" s="49"/>
      <c r="OM4" s="50">
        <v>0</v>
      </c>
      <c r="ON4" s="48">
        <v>0</v>
      </c>
      <c r="OO4" s="48">
        <v>40</v>
      </c>
      <c r="OP4" s="48">
        <v>40</v>
      </c>
      <c r="OQ4" s="43">
        <v>0</v>
      </c>
      <c r="OR4" s="49"/>
      <c r="OS4" s="50">
        <v>0</v>
      </c>
      <c r="OT4" s="48">
        <v>0</v>
      </c>
      <c r="OU4" s="43">
        <v>0</v>
      </c>
      <c r="OV4" s="49"/>
      <c r="OW4" s="50">
        <v>80</v>
      </c>
      <c r="OX4" s="48">
        <v>80</v>
      </c>
      <c r="OY4" s="48">
        <v>72</v>
      </c>
      <c r="OZ4" s="48">
        <v>70</v>
      </c>
      <c r="PA4" s="43">
        <v>2</v>
      </c>
      <c r="PB4" s="49"/>
      <c r="PC4" s="50">
        <v>0</v>
      </c>
      <c r="PD4" s="48">
        <v>0</v>
      </c>
      <c r="PE4" s="43">
        <v>0</v>
      </c>
      <c r="PF4" s="49"/>
      <c r="PG4" s="50">
        <v>0</v>
      </c>
      <c r="PH4" s="48">
        <v>0</v>
      </c>
      <c r="PI4" s="48">
        <v>0</v>
      </c>
      <c r="PJ4" s="48">
        <v>0</v>
      </c>
      <c r="PK4" s="43">
        <v>0</v>
      </c>
      <c r="PL4" s="49"/>
      <c r="PM4" s="47">
        <v>0</v>
      </c>
      <c r="PN4" s="48">
        <v>0</v>
      </c>
      <c r="PO4" s="48">
        <v>0</v>
      </c>
      <c r="PP4" s="48">
        <v>0</v>
      </c>
      <c r="PQ4" s="43">
        <v>0</v>
      </c>
      <c r="PR4" s="49"/>
      <c r="PS4" s="47">
        <v>48</v>
      </c>
      <c r="PT4" s="43">
        <v>50</v>
      </c>
      <c r="PU4" s="43">
        <v>48</v>
      </c>
      <c r="PV4" s="43">
        <v>50</v>
      </c>
      <c r="PW4" s="43">
        <v>-4</v>
      </c>
      <c r="PX4" s="46"/>
      <c r="PY4" s="47">
        <v>48</v>
      </c>
      <c r="PZ4" s="43">
        <v>50</v>
      </c>
      <c r="QA4" s="43">
        <v>-2</v>
      </c>
      <c r="QB4" s="46"/>
      <c r="QC4" s="47">
        <v>0</v>
      </c>
      <c r="QD4" s="43">
        <v>0</v>
      </c>
      <c r="QE4" s="43">
        <v>0</v>
      </c>
      <c r="QF4" s="43">
        <v>0</v>
      </c>
      <c r="QG4" s="43">
        <v>0</v>
      </c>
      <c r="QH4" s="46"/>
      <c r="QI4" s="47">
        <v>0</v>
      </c>
      <c r="QJ4" s="43">
        <v>0</v>
      </c>
      <c r="QK4" s="43">
        <v>0</v>
      </c>
      <c r="QL4" s="43">
        <v>0</v>
      </c>
      <c r="QM4" s="43">
        <v>0</v>
      </c>
      <c r="QN4" s="46"/>
      <c r="QO4" s="47">
        <v>0</v>
      </c>
      <c r="QP4" s="43">
        <v>0</v>
      </c>
      <c r="QQ4" s="43">
        <v>0</v>
      </c>
      <c r="QR4" s="43">
        <v>0</v>
      </c>
      <c r="QS4" s="43">
        <v>0</v>
      </c>
      <c r="QT4" s="46"/>
      <c r="QU4" s="47">
        <v>0</v>
      </c>
      <c r="QV4" s="43">
        <v>70</v>
      </c>
      <c r="QW4" s="42">
        <v>-70</v>
      </c>
      <c r="QX4" s="46">
        <v>28</v>
      </c>
      <c r="QY4" s="47">
        <v>0</v>
      </c>
      <c r="QZ4" s="43">
        <v>0</v>
      </c>
      <c r="RA4" s="43">
        <v>112</v>
      </c>
      <c r="RB4" s="43">
        <v>111</v>
      </c>
      <c r="RC4" s="43">
        <v>1</v>
      </c>
      <c r="RD4" s="46"/>
    </row>
    <row r="5" spans="1:472" x14ac:dyDescent="0.25">
      <c r="A5" s="43" t="s">
        <v>293</v>
      </c>
      <c r="B5" s="44">
        <v>1</v>
      </c>
      <c r="F5">
        <v>28</v>
      </c>
      <c r="I5" s="47"/>
      <c r="J5" s="51"/>
      <c r="K5" s="51"/>
      <c r="L5" s="51"/>
      <c r="M5" s="51">
        <f t="shared" si="8"/>
        <v>0</v>
      </c>
      <c r="N5" s="46"/>
      <c r="O5" s="47"/>
      <c r="P5" s="51"/>
      <c r="Q5" s="52">
        <v>12</v>
      </c>
      <c r="R5" s="52">
        <v>13</v>
      </c>
      <c r="S5" s="51">
        <f t="shared" si="9"/>
        <v>-1</v>
      </c>
      <c r="T5" s="46"/>
      <c r="U5" s="47"/>
      <c r="V5" s="51"/>
      <c r="W5" s="51"/>
      <c r="X5" s="51"/>
      <c r="Y5" s="51">
        <f t="shared" si="10"/>
        <v>0</v>
      </c>
      <c r="Z5" s="46"/>
      <c r="AA5" s="51"/>
      <c r="AC5">
        <v>12</v>
      </c>
      <c r="AD5">
        <v>10</v>
      </c>
      <c r="AE5" s="43">
        <v>2</v>
      </c>
      <c r="AF5" s="46"/>
      <c r="AG5" s="47"/>
      <c r="AI5">
        <v>24</v>
      </c>
      <c r="AJ5">
        <v>25</v>
      </c>
      <c r="AK5" s="43">
        <v>-1</v>
      </c>
      <c r="AL5" s="46"/>
      <c r="AQ5" s="43">
        <v>0</v>
      </c>
      <c r="AR5" s="46"/>
      <c r="AW5" s="43">
        <v>0</v>
      </c>
      <c r="AX5" s="46"/>
      <c r="AY5" s="47"/>
      <c r="BA5">
        <v>19</v>
      </c>
      <c r="BB5">
        <v>21</v>
      </c>
      <c r="BC5" s="43">
        <v>-2</v>
      </c>
      <c r="BD5" s="46"/>
      <c r="BE5" s="47"/>
      <c r="BG5">
        <v>8</v>
      </c>
      <c r="BH5">
        <v>6</v>
      </c>
      <c r="BI5" s="43">
        <v>2</v>
      </c>
      <c r="BJ5" s="46"/>
      <c r="BP5" s="43">
        <v>0</v>
      </c>
      <c r="BQ5" s="46"/>
      <c r="BT5" s="43">
        <v>0</v>
      </c>
      <c r="BU5" s="46"/>
      <c r="BV5" s="47"/>
      <c r="BZ5" s="43">
        <v>0</v>
      </c>
      <c r="CA5" s="46"/>
      <c r="CD5">
        <v>31</v>
      </c>
      <c r="CE5">
        <v>30</v>
      </c>
      <c r="CF5" s="43">
        <v>1</v>
      </c>
      <c r="CG5" s="46"/>
      <c r="CL5" s="43">
        <v>0</v>
      </c>
      <c r="CM5" s="46"/>
      <c r="CN5" s="47"/>
      <c r="CR5" s="43">
        <v>0</v>
      </c>
      <c r="CS5" s="46"/>
      <c r="CX5" s="43">
        <v>0</v>
      </c>
      <c r="CY5" s="46"/>
      <c r="CZ5" s="47"/>
      <c r="DD5" s="43">
        <v>0</v>
      </c>
      <c r="DE5" s="46"/>
      <c r="DF5" s="47"/>
      <c r="DJ5">
        <v>43</v>
      </c>
      <c r="DK5">
        <v>42</v>
      </c>
      <c r="DL5" s="43">
        <v>1</v>
      </c>
      <c r="DM5" s="46"/>
      <c r="DN5" s="47"/>
      <c r="DR5" s="43">
        <v>0</v>
      </c>
      <c r="DS5" s="46"/>
      <c r="DV5">
        <v>16</v>
      </c>
      <c r="DW5">
        <v>14</v>
      </c>
      <c r="DZ5" s="43">
        <v>2</v>
      </c>
      <c r="EA5" s="46"/>
      <c r="EB5" s="47"/>
      <c r="ED5">
        <v>20</v>
      </c>
      <c r="EE5">
        <v>20</v>
      </c>
      <c r="EF5" s="43">
        <v>0</v>
      </c>
      <c r="EG5" s="46"/>
      <c r="EH5" s="47"/>
      <c r="EL5" s="43">
        <v>0</v>
      </c>
      <c r="EM5" s="46"/>
      <c r="EN5" s="47"/>
      <c r="EP5">
        <v>8</v>
      </c>
      <c r="EQ5">
        <v>12</v>
      </c>
      <c r="ER5" s="43">
        <v>-4</v>
      </c>
      <c r="ES5" s="46"/>
      <c r="EX5">
        <v>12</v>
      </c>
      <c r="EY5">
        <v>12</v>
      </c>
      <c r="EZ5" s="43">
        <v>0</v>
      </c>
      <c r="FA5" s="46"/>
      <c r="FG5" s="43">
        <v>0</v>
      </c>
      <c r="FH5" s="46"/>
      <c r="FI5" s="47"/>
      <c r="FL5" s="43">
        <v>0</v>
      </c>
      <c r="FM5" s="46"/>
      <c r="FN5" s="45">
        <v>24</v>
      </c>
      <c r="FP5">
        <v>21</v>
      </c>
      <c r="FQ5" s="43">
        <v>3</v>
      </c>
      <c r="FR5" s="46"/>
      <c r="FS5">
        <v>8</v>
      </c>
      <c r="FV5">
        <v>9</v>
      </c>
      <c r="FW5" s="43">
        <v>-1</v>
      </c>
      <c r="FX5" s="46"/>
      <c r="FY5" s="47"/>
      <c r="GB5">
        <v>12</v>
      </c>
      <c r="GC5">
        <v>12</v>
      </c>
      <c r="GD5" s="43">
        <v>0</v>
      </c>
      <c r="GE5" s="46"/>
      <c r="GJ5" s="43">
        <v>0</v>
      </c>
      <c r="GK5" s="46"/>
      <c r="GL5" s="47"/>
      <c r="GN5">
        <v>16</v>
      </c>
      <c r="GO5">
        <v>14</v>
      </c>
      <c r="GP5" s="43">
        <v>2</v>
      </c>
      <c r="GQ5" s="46"/>
      <c r="GV5" s="43">
        <v>0</v>
      </c>
      <c r="GW5" s="46"/>
      <c r="GX5" s="45">
        <v>20</v>
      </c>
      <c r="GY5" s="48">
        <v>17.3034</v>
      </c>
      <c r="GZ5" s="43">
        <v>2.6966000000000001</v>
      </c>
      <c r="HA5" s="46"/>
      <c r="HB5" s="47"/>
      <c r="HF5" s="43">
        <v>0</v>
      </c>
      <c r="HG5" s="46"/>
      <c r="HH5" s="45">
        <v>12</v>
      </c>
      <c r="HI5">
        <v>11</v>
      </c>
      <c r="HJ5" s="43">
        <v>1</v>
      </c>
      <c r="HK5" s="46"/>
      <c r="HL5" s="47"/>
      <c r="HP5" s="43">
        <v>0</v>
      </c>
      <c r="HQ5" s="46"/>
      <c r="HV5">
        <v>8</v>
      </c>
      <c r="HW5">
        <v>10</v>
      </c>
      <c r="HX5" s="43">
        <v>-2</v>
      </c>
      <c r="HY5" s="46"/>
      <c r="HZ5" s="47"/>
      <c r="ID5" s="43">
        <v>0</v>
      </c>
      <c r="IE5" s="46"/>
      <c r="IJ5" s="43">
        <v>0</v>
      </c>
      <c r="IK5" s="49"/>
      <c r="IP5" s="43">
        <v>0</v>
      </c>
      <c r="IQ5" s="49"/>
      <c r="IV5" s="43">
        <v>0</v>
      </c>
      <c r="IW5" s="49"/>
      <c r="JB5" s="43">
        <v>0</v>
      </c>
      <c r="JC5" s="46"/>
      <c r="JD5">
        <v>12</v>
      </c>
      <c r="JE5">
        <v>10</v>
      </c>
      <c r="JF5" s="43">
        <v>2</v>
      </c>
      <c r="JG5" s="49"/>
      <c r="JJ5">
        <v>32</v>
      </c>
      <c r="JK5">
        <v>30</v>
      </c>
      <c r="JL5" s="43">
        <v>2</v>
      </c>
      <c r="JM5" s="46"/>
      <c r="JN5" s="45">
        <v>31</v>
      </c>
      <c r="JO5" s="48">
        <v>30</v>
      </c>
      <c r="JP5" s="43">
        <v>1</v>
      </c>
      <c r="JQ5" s="49"/>
      <c r="JV5" s="43">
        <v>0</v>
      </c>
      <c r="JW5" s="49"/>
      <c r="KB5" s="43">
        <v>0</v>
      </c>
      <c r="KC5" s="49"/>
      <c r="KF5">
        <v>12</v>
      </c>
      <c r="KG5">
        <v>10</v>
      </c>
      <c r="KH5" s="43">
        <v>2</v>
      </c>
      <c r="KI5" s="49"/>
      <c r="KL5">
        <v>27</v>
      </c>
      <c r="KM5">
        <v>30</v>
      </c>
      <c r="KN5" s="43">
        <v>-3</v>
      </c>
      <c r="KO5" s="49"/>
      <c r="KP5" s="50"/>
      <c r="KV5" s="43">
        <v>0</v>
      </c>
      <c r="KW5" s="49"/>
      <c r="KX5" s="48">
        <v>0</v>
      </c>
      <c r="KY5" s="48">
        <v>0</v>
      </c>
      <c r="KZ5" s="48">
        <v>0</v>
      </c>
      <c r="LA5" s="48">
        <v>0</v>
      </c>
      <c r="LB5" s="43">
        <v>0</v>
      </c>
      <c r="LC5" s="49"/>
      <c r="LD5" s="48">
        <v>0</v>
      </c>
      <c r="LE5" s="48">
        <v>0</v>
      </c>
      <c r="LF5" s="48">
        <v>0</v>
      </c>
      <c r="LG5" s="48">
        <v>0</v>
      </c>
      <c r="LH5" s="43">
        <v>0</v>
      </c>
      <c r="LI5" s="49"/>
      <c r="LJ5" s="50">
        <v>23.518000000000001</v>
      </c>
      <c r="LK5" s="48">
        <v>22</v>
      </c>
      <c r="LL5" s="43">
        <v>1.5180000000000009</v>
      </c>
      <c r="LM5" s="49"/>
      <c r="LN5" s="50">
        <v>0</v>
      </c>
      <c r="LO5" s="48">
        <v>0</v>
      </c>
      <c r="LP5" s="48">
        <v>19.88</v>
      </c>
      <c r="LQ5" s="48">
        <v>0</v>
      </c>
      <c r="LR5" s="48">
        <v>20</v>
      </c>
      <c r="LS5" s="43">
        <v>-0.12000000000000099</v>
      </c>
      <c r="LT5" s="49"/>
      <c r="LU5" s="50">
        <v>0</v>
      </c>
      <c r="LV5" s="48">
        <v>0</v>
      </c>
      <c r="LW5" s="48">
        <v>31.047000000000001</v>
      </c>
      <c r="LX5" s="48">
        <v>30</v>
      </c>
      <c r="LY5" s="43">
        <v>1.047000000000001</v>
      </c>
      <c r="LZ5" s="49"/>
      <c r="MA5" s="50">
        <v>16.033999999999999</v>
      </c>
      <c r="MB5" s="48">
        <v>17</v>
      </c>
      <c r="MC5" s="43">
        <v>-0.96600000000000108</v>
      </c>
      <c r="MD5" s="49"/>
      <c r="ME5" s="50">
        <v>0</v>
      </c>
      <c r="MF5" s="48">
        <v>0</v>
      </c>
      <c r="MG5" s="48">
        <v>0</v>
      </c>
      <c r="MH5" s="48">
        <v>0</v>
      </c>
      <c r="MI5" s="43">
        <v>0</v>
      </c>
      <c r="MJ5" s="49"/>
      <c r="MK5" s="50">
        <v>11.917999999999999</v>
      </c>
      <c r="ML5" s="48">
        <v>10</v>
      </c>
      <c r="MM5" s="43">
        <v>1.917999999999999</v>
      </c>
      <c r="MN5" s="49"/>
      <c r="MO5" s="50">
        <v>0</v>
      </c>
      <c r="MP5" s="48">
        <v>0</v>
      </c>
      <c r="MQ5" s="48">
        <v>0</v>
      </c>
      <c r="MR5" s="48">
        <v>0</v>
      </c>
      <c r="MS5" s="43">
        <v>0</v>
      </c>
      <c r="MT5" s="49"/>
      <c r="MU5" s="48">
        <v>0</v>
      </c>
      <c r="MV5" s="46"/>
      <c r="MW5" s="48">
        <v>11.938000000000001</v>
      </c>
      <c r="MX5" s="48">
        <v>10</v>
      </c>
      <c r="MY5" s="43">
        <v>1.9380000000000011</v>
      </c>
      <c r="MZ5" s="49"/>
      <c r="NA5" s="50">
        <v>0</v>
      </c>
      <c r="NB5" s="48">
        <v>0</v>
      </c>
      <c r="NC5" s="48">
        <v>0</v>
      </c>
      <c r="ND5" s="48">
        <v>0</v>
      </c>
      <c r="NE5" s="43">
        <v>0</v>
      </c>
      <c r="NF5" s="49"/>
      <c r="NG5" s="50">
        <v>0</v>
      </c>
      <c r="NH5" s="48">
        <v>0</v>
      </c>
      <c r="NI5" s="48">
        <v>0</v>
      </c>
      <c r="NJ5" s="48">
        <v>0</v>
      </c>
      <c r="NK5" s="43">
        <v>0</v>
      </c>
      <c r="NL5" s="49"/>
      <c r="NM5" s="50">
        <v>0</v>
      </c>
      <c r="NN5" s="48">
        <v>0</v>
      </c>
      <c r="NO5" s="48">
        <v>20.552</v>
      </c>
      <c r="NP5" s="48">
        <v>20</v>
      </c>
      <c r="NQ5" s="43">
        <v>0.5519999999999996</v>
      </c>
      <c r="NR5" s="49"/>
      <c r="NS5" s="50">
        <v>0</v>
      </c>
      <c r="NT5" s="48">
        <v>0</v>
      </c>
      <c r="NU5" s="48">
        <v>19.988</v>
      </c>
      <c r="NV5" s="48">
        <v>20</v>
      </c>
      <c r="NW5" s="43">
        <v>-1.200000000000045E-2</v>
      </c>
      <c r="NX5" s="49"/>
      <c r="NY5" s="50">
        <v>0</v>
      </c>
      <c r="NZ5" s="48">
        <v>0</v>
      </c>
      <c r="OA5" s="48">
        <v>31.934000000000001</v>
      </c>
      <c r="OB5" s="48">
        <v>30</v>
      </c>
      <c r="OC5" s="43">
        <v>1.9340000000000011</v>
      </c>
      <c r="OD5" s="49"/>
      <c r="OE5" s="50">
        <v>32.256999999999998</v>
      </c>
      <c r="OF5" s="48">
        <v>30</v>
      </c>
      <c r="OG5" s="43">
        <v>2.2569999999999979</v>
      </c>
      <c r="OH5" s="49"/>
      <c r="OI5" s="50">
        <v>12.308</v>
      </c>
      <c r="OJ5" s="48">
        <v>10</v>
      </c>
      <c r="OK5" s="43">
        <v>2.3079999999999998</v>
      </c>
      <c r="OL5" s="49"/>
      <c r="OM5" s="50">
        <v>0</v>
      </c>
      <c r="ON5" s="48">
        <v>0</v>
      </c>
      <c r="OO5" s="48">
        <v>0</v>
      </c>
      <c r="OP5" s="48">
        <v>0</v>
      </c>
      <c r="OQ5" s="43">
        <v>0</v>
      </c>
      <c r="OR5" s="49"/>
      <c r="OS5" s="50">
        <v>36.506</v>
      </c>
      <c r="OT5" s="48">
        <v>35</v>
      </c>
      <c r="OU5" s="43">
        <v>1.506</v>
      </c>
      <c r="OV5" s="49"/>
      <c r="OW5" s="50">
        <v>0</v>
      </c>
      <c r="OX5" s="48">
        <v>0</v>
      </c>
      <c r="OY5" s="48">
        <v>19.934000000000001</v>
      </c>
      <c r="OZ5" s="48">
        <v>18</v>
      </c>
      <c r="PA5" s="43">
        <v>1.9340000000000011</v>
      </c>
      <c r="PB5" s="49"/>
      <c r="PC5" s="50">
        <v>0</v>
      </c>
      <c r="PD5" s="48">
        <v>0</v>
      </c>
      <c r="PE5" s="43">
        <v>0</v>
      </c>
      <c r="PF5" s="49"/>
      <c r="PG5" s="50">
        <v>0</v>
      </c>
      <c r="PH5" s="48">
        <v>0</v>
      </c>
      <c r="PI5" s="48">
        <v>12.064</v>
      </c>
      <c r="PJ5" s="48">
        <v>10</v>
      </c>
      <c r="PK5" s="43">
        <v>2.0640000000000001</v>
      </c>
      <c r="PL5" s="49"/>
      <c r="PM5" s="47">
        <v>0</v>
      </c>
      <c r="PN5" s="48">
        <v>0</v>
      </c>
      <c r="PO5" s="48">
        <v>0</v>
      </c>
      <c r="PP5" s="48">
        <v>0</v>
      </c>
      <c r="PQ5" s="43">
        <v>0</v>
      </c>
      <c r="PR5" s="49"/>
      <c r="PS5" s="47">
        <v>51.072000000000003</v>
      </c>
      <c r="PT5" s="43">
        <v>50</v>
      </c>
      <c r="PU5" s="43">
        <v>0</v>
      </c>
      <c r="PV5" s="43">
        <v>0</v>
      </c>
      <c r="PW5" s="43">
        <v>1.072000000000003</v>
      </c>
      <c r="PX5" s="46"/>
      <c r="PY5" s="47">
        <v>48.344999999999999</v>
      </c>
      <c r="PZ5" s="43">
        <v>48</v>
      </c>
      <c r="QA5" s="43">
        <v>0.34499999999999892</v>
      </c>
      <c r="QB5" s="46"/>
      <c r="QC5" s="47">
        <v>0</v>
      </c>
      <c r="QD5" s="43">
        <v>0</v>
      </c>
      <c r="QE5" s="43">
        <v>0</v>
      </c>
      <c r="QF5" s="43">
        <v>0</v>
      </c>
      <c r="QG5" s="43">
        <v>0</v>
      </c>
      <c r="QH5" s="46"/>
      <c r="QI5" s="47">
        <v>0</v>
      </c>
      <c r="QJ5" s="43">
        <v>0</v>
      </c>
      <c r="QK5" s="43">
        <v>0</v>
      </c>
      <c r="QL5" s="43">
        <v>0</v>
      </c>
      <c r="QM5" s="43">
        <v>0</v>
      </c>
      <c r="QN5" s="46"/>
      <c r="QO5" s="47">
        <v>0</v>
      </c>
      <c r="QP5" s="43">
        <v>0</v>
      </c>
      <c r="QQ5" s="43">
        <v>52.109000000000002</v>
      </c>
      <c r="QR5" s="43">
        <v>0</v>
      </c>
      <c r="QS5" s="43">
        <v>52.109000000000002</v>
      </c>
      <c r="QT5" s="46"/>
      <c r="QU5" s="47">
        <v>0</v>
      </c>
      <c r="QV5" s="43">
        <v>0</v>
      </c>
      <c r="QW5" s="43">
        <v>0</v>
      </c>
      <c r="QX5" s="46"/>
      <c r="QY5" s="47">
        <v>0</v>
      </c>
      <c r="QZ5" s="43">
        <v>0</v>
      </c>
      <c r="RA5" s="43">
        <v>0</v>
      </c>
      <c r="RB5" s="43">
        <v>0</v>
      </c>
      <c r="RC5" s="43">
        <v>0</v>
      </c>
      <c r="RD5" s="46"/>
    </row>
    <row r="6" spans="1:472" x14ac:dyDescent="0.25">
      <c r="A6" s="43" t="s">
        <v>294</v>
      </c>
      <c r="B6" s="44">
        <v>1</v>
      </c>
      <c r="I6" s="47"/>
      <c r="J6" s="51"/>
      <c r="K6" s="51"/>
      <c r="L6" s="51"/>
      <c r="M6" s="51">
        <f t="shared" si="8"/>
        <v>0</v>
      </c>
      <c r="N6" s="46"/>
      <c r="O6" s="47"/>
      <c r="P6" s="51"/>
      <c r="Q6" s="51"/>
      <c r="R6" s="51"/>
      <c r="S6" s="51">
        <f t="shared" si="9"/>
        <v>0</v>
      </c>
      <c r="T6" s="46"/>
      <c r="U6" s="47"/>
      <c r="V6" s="51"/>
      <c r="W6" s="51"/>
      <c r="X6" s="51"/>
      <c r="Y6" s="51">
        <f t="shared" si="10"/>
        <v>0</v>
      </c>
      <c r="Z6" s="46"/>
      <c r="AA6" s="51"/>
      <c r="AE6" s="43">
        <v>0</v>
      </c>
      <c r="AF6" s="46"/>
      <c r="AG6" s="47"/>
      <c r="AK6" s="43">
        <v>0</v>
      </c>
      <c r="AL6" s="46"/>
      <c r="AQ6" s="43">
        <v>0</v>
      </c>
      <c r="AR6" s="46"/>
      <c r="AW6" s="43">
        <v>0</v>
      </c>
      <c r="AX6" s="46"/>
      <c r="AY6" s="47"/>
      <c r="BC6" s="43">
        <v>0</v>
      </c>
      <c r="BD6" s="46"/>
      <c r="BE6" s="47"/>
      <c r="BI6" s="43">
        <v>0</v>
      </c>
      <c r="BJ6" s="46"/>
      <c r="BP6" s="43">
        <v>0</v>
      </c>
      <c r="BQ6" s="46"/>
      <c r="BT6" s="43">
        <v>0</v>
      </c>
      <c r="BU6" s="46"/>
      <c r="BV6" s="47"/>
      <c r="BZ6" s="43">
        <v>0</v>
      </c>
      <c r="CA6" s="46"/>
      <c r="CF6" s="43">
        <v>0</v>
      </c>
      <c r="CG6" s="46"/>
      <c r="CL6" s="43">
        <v>0</v>
      </c>
      <c r="CM6" s="46"/>
      <c r="CN6" s="47"/>
      <c r="CR6" s="43">
        <v>0</v>
      </c>
      <c r="CS6" s="46"/>
      <c r="CX6" s="43">
        <v>0</v>
      </c>
      <c r="CY6" s="46"/>
      <c r="CZ6" s="47"/>
      <c r="DD6" s="43">
        <v>0</v>
      </c>
      <c r="DE6" s="46"/>
      <c r="DF6" s="47"/>
      <c r="DL6" s="43">
        <v>0</v>
      </c>
      <c r="DM6" s="46"/>
      <c r="DN6" s="47"/>
      <c r="DR6" s="43">
        <v>0</v>
      </c>
      <c r="DS6" s="46"/>
      <c r="DZ6" s="43">
        <v>0</v>
      </c>
      <c r="EA6" s="46"/>
      <c r="EB6" s="47"/>
      <c r="EF6" s="43">
        <v>0</v>
      </c>
      <c r="EG6" s="46"/>
      <c r="EH6" s="47"/>
      <c r="EL6" s="43">
        <v>0</v>
      </c>
      <c r="EM6" s="46"/>
      <c r="EN6" s="47"/>
      <c r="ER6" s="43">
        <v>0</v>
      </c>
      <c r="ES6" s="46"/>
      <c r="EZ6" s="43">
        <v>0</v>
      </c>
      <c r="FA6" s="46"/>
      <c r="FG6" s="43">
        <v>0</v>
      </c>
      <c r="FH6" s="46"/>
      <c r="FI6" s="47"/>
      <c r="FL6" s="43">
        <v>0</v>
      </c>
      <c r="FM6" s="46"/>
      <c r="FN6" s="47"/>
      <c r="FQ6" s="43">
        <v>0</v>
      </c>
      <c r="FR6" s="46"/>
      <c r="FW6" s="43">
        <v>0</v>
      </c>
      <c r="FX6" s="46"/>
      <c r="FY6" s="47"/>
      <c r="GD6" s="43">
        <v>0</v>
      </c>
      <c r="GE6" s="46"/>
      <c r="GJ6" s="43">
        <v>0</v>
      </c>
      <c r="GK6" s="46"/>
      <c r="GL6" s="47"/>
      <c r="GP6" s="43">
        <v>0</v>
      </c>
      <c r="GQ6" s="46"/>
      <c r="GV6" s="43">
        <v>0</v>
      </c>
      <c r="GW6" s="46"/>
      <c r="GX6" s="47"/>
      <c r="GZ6" s="43">
        <v>0</v>
      </c>
      <c r="HA6" s="46"/>
      <c r="HB6" s="47"/>
      <c r="HF6" s="43">
        <v>0</v>
      </c>
      <c r="HG6" s="46"/>
      <c r="HH6" s="47"/>
      <c r="HJ6" s="43">
        <v>0</v>
      </c>
      <c r="HK6" s="46"/>
      <c r="HL6" s="47"/>
      <c r="HP6" s="43">
        <v>0</v>
      </c>
      <c r="HQ6" s="46"/>
      <c r="HX6" s="43">
        <v>0</v>
      </c>
      <c r="HY6" s="46"/>
      <c r="HZ6" s="47"/>
      <c r="ID6" s="43">
        <v>0</v>
      </c>
      <c r="IE6" s="46"/>
      <c r="IJ6" s="43">
        <v>0</v>
      </c>
      <c r="IK6" s="49"/>
      <c r="IP6" s="43">
        <v>0</v>
      </c>
      <c r="IQ6" s="49"/>
      <c r="IV6" s="43">
        <v>0</v>
      </c>
      <c r="IW6" s="49"/>
      <c r="JB6" s="43">
        <v>0</v>
      </c>
      <c r="JC6" s="46"/>
      <c r="JF6" s="43">
        <v>0</v>
      </c>
      <c r="JG6" s="49"/>
      <c r="JL6" s="43">
        <v>0</v>
      </c>
      <c r="JM6" s="46"/>
      <c r="JN6" s="50"/>
      <c r="JP6" s="43">
        <v>0</v>
      </c>
      <c r="JQ6" s="49"/>
      <c r="JV6" s="43">
        <v>0</v>
      </c>
      <c r="JW6" s="49"/>
      <c r="KB6" s="43">
        <v>0</v>
      </c>
      <c r="KC6" s="49"/>
      <c r="KH6" s="43">
        <v>0</v>
      </c>
      <c r="KI6" s="49"/>
      <c r="KN6" s="43">
        <v>0</v>
      </c>
      <c r="KO6" s="49"/>
      <c r="KP6" s="50"/>
      <c r="KV6" s="43">
        <v>0</v>
      </c>
      <c r="KW6" s="49"/>
      <c r="KX6" s="48">
        <v>0</v>
      </c>
      <c r="KY6" s="48">
        <v>0</v>
      </c>
      <c r="KZ6" s="48">
        <v>0</v>
      </c>
      <c r="LA6" s="48">
        <v>0</v>
      </c>
      <c r="LB6" s="43">
        <v>0</v>
      </c>
      <c r="LC6" s="49"/>
      <c r="LD6" s="48">
        <v>0</v>
      </c>
      <c r="LE6" s="48">
        <v>0</v>
      </c>
      <c r="LF6" s="48">
        <v>0</v>
      </c>
      <c r="LG6" s="48">
        <v>0</v>
      </c>
      <c r="LH6" s="43">
        <v>0</v>
      </c>
      <c r="LI6" s="49"/>
      <c r="LJ6" s="50">
        <v>0</v>
      </c>
      <c r="LK6" s="48">
        <v>0</v>
      </c>
      <c r="LL6" s="43">
        <v>0</v>
      </c>
      <c r="LM6" s="49"/>
      <c r="LN6" s="50">
        <v>0</v>
      </c>
      <c r="LO6" s="48">
        <v>0</v>
      </c>
      <c r="LP6" s="48">
        <v>0</v>
      </c>
      <c r="LQ6" s="48">
        <v>0</v>
      </c>
      <c r="LR6" s="48">
        <v>0</v>
      </c>
      <c r="LS6" s="43">
        <v>0</v>
      </c>
      <c r="LT6" s="49"/>
      <c r="LU6" s="50">
        <v>0</v>
      </c>
      <c r="LV6" s="48">
        <v>0</v>
      </c>
      <c r="LW6" s="48">
        <v>0</v>
      </c>
      <c r="LX6" s="48">
        <v>0</v>
      </c>
      <c r="LY6" s="43">
        <v>0</v>
      </c>
      <c r="LZ6" s="49"/>
      <c r="MA6" s="50">
        <v>0</v>
      </c>
      <c r="MB6" s="48">
        <v>0</v>
      </c>
      <c r="MC6" s="43">
        <v>0</v>
      </c>
      <c r="MD6" s="49"/>
      <c r="ME6" s="50">
        <v>0</v>
      </c>
      <c r="MF6" s="48">
        <v>0</v>
      </c>
      <c r="MG6" s="48">
        <v>0</v>
      </c>
      <c r="MH6" s="48">
        <v>0</v>
      </c>
      <c r="MI6" s="43">
        <v>0</v>
      </c>
      <c r="MJ6" s="49"/>
      <c r="MK6" s="50">
        <v>0</v>
      </c>
      <c r="ML6" s="48">
        <v>0</v>
      </c>
      <c r="MM6" s="43">
        <v>0</v>
      </c>
      <c r="MN6" s="49"/>
      <c r="MO6" s="50">
        <v>0</v>
      </c>
      <c r="MP6" s="48">
        <v>0</v>
      </c>
      <c r="MQ6" s="48">
        <v>0</v>
      </c>
      <c r="MR6" s="48">
        <v>0</v>
      </c>
      <c r="MS6" s="43">
        <v>0</v>
      </c>
      <c r="MT6" s="49"/>
      <c r="MU6" s="48">
        <v>0</v>
      </c>
      <c r="MV6" s="46"/>
      <c r="MW6" s="48">
        <v>0</v>
      </c>
      <c r="MX6" s="48">
        <v>0</v>
      </c>
      <c r="MY6" s="43">
        <v>0</v>
      </c>
      <c r="MZ6" s="49"/>
      <c r="NA6" s="50">
        <v>0</v>
      </c>
      <c r="NB6" s="48">
        <v>0</v>
      </c>
      <c r="NC6" s="48">
        <v>0</v>
      </c>
      <c r="ND6" s="48">
        <v>0</v>
      </c>
      <c r="NE6" s="43">
        <v>0</v>
      </c>
      <c r="NF6" s="49"/>
      <c r="NG6" s="50">
        <v>0</v>
      </c>
      <c r="NH6" s="48">
        <v>0</v>
      </c>
      <c r="NI6" s="48">
        <v>0</v>
      </c>
      <c r="NJ6" s="48">
        <v>0</v>
      </c>
      <c r="NK6" s="43">
        <v>0</v>
      </c>
      <c r="NL6" s="49"/>
      <c r="NM6" s="50">
        <v>0</v>
      </c>
      <c r="NN6" s="48">
        <v>0</v>
      </c>
      <c r="NO6" s="48">
        <v>0</v>
      </c>
      <c r="NP6" s="48">
        <v>0</v>
      </c>
      <c r="NQ6" s="43">
        <v>0</v>
      </c>
      <c r="NR6" s="49"/>
      <c r="NS6" s="50">
        <v>0</v>
      </c>
      <c r="NT6" s="48">
        <v>0</v>
      </c>
      <c r="NU6" s="48">
        <v>0</v>
      </c>
      <c r="NV6" s="48">
        <v>0</v>
      </c>
      <c r="NW6" s="43">
        <v>0</v>
      </c>
      <c r="NX6" s="49"/>
      <c r="NY6" s="50">
        <v>0</v>
      </c>
      <c r="NZ6" s="48">
        <v>0</v>
      </c>
      <c r="OA6" s="48">
        <v>0</v>
      </c>
      <c r="OB6" s="48">
        <v>0</v>
      </c>
      <c r="OC6" s="43">
        <v>0</v>
      </c>
      <c r="OD6" s="49"/>
      <c r="OE6" s="50">
        <v>0</v>
      </c>
      <c r="OF6" s="48">
        <v>0</v>
      </c>
      <c r="OG6" s="43">
        <v>0</v>
      </c>
      <c r="OH6" s="49"/>
      <c r="OI6" s="50">
        <v>0</v>
      </c>
      <c r="OJ6" s="48">
        <v>0</v>
      </c>
      <c r="OK6" s="43">
        <v>0</v>
      </c>
      <c r="OL6" s="49"/>
      <c r="OM6" s="50">
        <v>0</v>
      </c>
      <c r="ON6" s="48">
        <v>0</v>
      </c>
      <c r="OO6" s="48">
        <v>0</v>
      </c>
      <c r="OP6" s="48">
        <v>0</v>
      </c>
      <c r="OQ6" s="43">
        <v>0</v>
      </c>
      <c r="OR6" s="49"/>
      <c r="OS6" s="50">
        <v>0</v>
      </c>
      <c r="OT6" s="17">
        <v>240</v>
      </c>
      <c r="OU6" s="43">
        <v>-2.262</v>
      </c>
      <c r="OV6" s="49"/>
      <c r="OW6" s="50">
        <v>0</v>
      </c>
      <c r="OX6" s="48">
        <v>0</v>
      </c>
      <c r="OY6" s="48">
        <v>0</v>
      </c>
      <c r="OZ6" s="48">
        <v>0</v>
      </c>
      <c r="PA6" s="43">
        <v>0</v>
      </c>
      <c r="PB6" s="49"/>
      <c r="PC6" s="50">
        <v>0</v>
      </c>
      <c r="PD6" s="48">
        <v>0</v>
      </c>
      <c r="PE6" s="43">
        <v>0</v>
      </c>
      <c r="PF6" s="49"/>
      <c r="PG6" s="50">
        <v>0</v>
      </c>
      <c r="PH6" s="48">
        <v>0</v>
      </c>
      <c r="PI6" s="48">
        <v>51.512999999999998</v>
      </c>
      <c r="PJ6" s="48">
        <v>50</v>
      </c>
      <c r="PK6" s="43">
        <v>1.5129999999999979</v>
      </c>
      <c r="PL6" s="49"/>
      <c r="PM6" s="47">
        <v>0</v>
      </c>
      <c r="PN6" s="48">
        <v>0</v>
      </c>
      <c r="PO6" s="48">
        <v>161.071</v>
      </c>
      <c r="PP6" s="48">
        <v>157</v>
      </c>
      <c r="PQ6" s="43">
        <v>4.070999999999998</v>
      </c>
      <c r="PR6" s="49"/>
      <c r="PS6" s="47">
        <v>89.671999999999997</v>
      </c>
      <c r="PT6" s="43">
        <v>90</v>
      </c>
      <c r="PU6" s="43">
        <v>0</v>
      </c>
      <c r="PV6" s="43">
        <v>0</v>
      </c>
      <c r="PW6" s="43">
        <v>-0.32800000000000301</v>
      </c>
      <c r="PX6" s="46"/>
      <c r="PY6" s="47">
        <v>42.051000000000002</v>
      </c>
      <c r="PZ6" s="43">
        <v>40</v>
      </c>
      <c r="QA6" s="43">
        <v>2.0510000000000019</v>
      </c>
      <c r="QB6" s="46"/>
      <c r="QC6" s="47">
        <v>0</v>
      </c>
      <c r="QD6" s="43">
        <v>0</v>
      </c>
      <c r="QE6" s="43">
        <v>71.902000000000001</v>
      </c>
      <c r="QF6" s="43">
        <v>0</v>
      </c>
      <c r="QG6" s="43">
        <v>71.902000000000001</v>
      </c>
      <c r="QH6" s="46"/>
      <c r="QI6" s="47">
        <v>77.72</v>
      </c>
      <c r="QJ6" s="43">
        <v>80</v>
      </c>
      <c r="QK6" s="43">
        <v>120.761</v>
      </c>
      <c r="QL6" s="43">
        <v>120</v>
      </c>
      <c r="QM6" s="43">
        <v>-1.519000000000005</v>
      </c>
      <c r="QN6" s="46"/>
      <c r="QO6" s="47">
        <v>93.843000000000004</v>
      </c>
      <c r="QP6" s="43">
        <v>93</v>
      </c>
      <c r="QQ6" s="43">
        <v>50.585000000000001</v>
      </c>
      <c r="QR6" s="43">
        <v>0</v>
      </c>
      <c r="QS6" s="43">
        <v>51.427999999999997</v>
      </c>
      <c r="QT6" s="46"/>
      <c r="QU6" s="47">
        <v>0</v>
      </c>
      <c r="QV6" s="43">
        <v>0</v>
      </c>
      <c r="QW6" s="43">
        <v>0</v>
      </c>
      <c r="QX6" s="46"/>
      <c r="QY6" s="47">
        <v>0</v>
      </c>
      <c r="QZ6" s="43">
        <v>0</v>
      </c>
      <c r="RA6" s="43">
        <v>100.209</v>
      </c>
      <c r="RB6" s="43">
        <v>100</v>
      </c>
      <c r="RC6" s="43">
        <v>0.20900000000000321</v>
      </c>
      <c r="RD6" s="46"/>
    </row>
    <row r="7" spans="1:472" x14ac:dyDescent="0.25">
      <c r="A7" s="43" t="s">
        <v>295</v>
      </c>
      <c r="B7" s="44">
        <v>1</v>
      </c>
      <c r="I7" s="47"/>
      <c r="J7" s="51"/>
      <c r="K7" s="51"/>
      <c r="L7" s="51"/>
      <c r="M7" s="51">
        <f t="shared" si="8"/>
        <v>0</v>
      </c>
      <c r="N7" s="46"/>
      <c r="O7" s="47"/>
      <c r="P7" s="51"/>
      <c r="Q7" s="51"/>
      <c r="R7" s="51"/>
      <c r="S7" s="51">
        <f t="shared" si="9"/>
        <v>0</v>
      </c>
      <c r="T7" s="46"/>
      <c r="U7" s="47"/>
      <c r="V7" s="51"/>
      <c r="W7" s="51"/>
      <c r="X7" s="51"/>
      <c r="Y7" s="51">
        <f t="shared" si="10"/>
        <v>0</v>
      </c>
      <c r="Z7" s="46"/>
      <c r="AA7" s="51"/>
      <c r="AE7" s="43">
        <v>0</v>
      </c>
      <c r="AF7" s="46"/>
      <c r="AG7" s="47"/>
      <c r="AK7" s="43">
        <v>0</v>
      </c>
      <c r="AL7" s="46"/>
      <c r="AQ7" s="43">
        <v>0</v>
      </c>
      <c r="AR7" s="46"/>
      <c r="AW7" s="43">
        <v>0</v>
      </c>
      <c r="AX7" s="46"/>
      <c r="AY7" s="47"/>
      <c r="BC7" s="43">
        <v>0</v>
      </c>
      <c r="BD7" s="46"/>
      <c r="BE7" s="47"/>
      <c r="BI7" s="43">
        <v>0</v>
      </c>
      <c r="BJ7" s="46"/>
      <c r="BP7" s="43">
        <v>0</v>
      </c>
      <c r="BQ7" s="46"/>
      <c r="BT7" s="43">
        <v>0</v>
      </c>
      <c r="BU7" s="46"/>
      <c r="BV7" s="47"/>
      <c r="BZ7" s="43">
        <v>0</v>
      </c>
      <c r="CA7" s="46"/>
      <c r="CF7" s="43">
        <v>0</v>
      </c>
      <c r="CG7" s="46"/>
      <c r="CL7" s="43">
        <v>0</v>
      </c>
      <c r="CM7" s="46"/>
      <c r="CN7" s="47"/>
      <c r="CR7" s="43">
        <v>0</v>
      </c>
      <c r="CS7" s="46"/>
      <c r="CX7" s="43">
        <v>0</v>
      </c>
      <c r="CY7" s="46"/>
      <c r="CZ7" s="47"/>
      <c r="DD7" s="43">
        <v>0</v>
      </c>
      <c r="DE7" s="46"/>
      <c r="DF7" s="47"/>
      <c r="DL7" s="43">
        <v>0</v>
      </c>
      <c r="DM7" s="46"/>
      <c r="DN7" s="47"/>
      <c r="DR7" s="43">
        <v>0</v>
      </c>
      <c r="DS7" s="46"/>
      <c r="DZ7" s="43">
        <v>0</v>
      </c>
      <c r="EA7" s="46"/>
      <c r="EB7" s="47"/>
      <c r="EF7" s="43">
        <v>0</v>
      </c>
      <c r="EG7" s="46"/>
      <c r="EH7" s="47"/>
      <c r="EL7" s="43">
        <v>0</v>
      </c>
      <c r="EM7" s="46"/>
      <c r="EN7" s="47"/>
      <c r="ER7" s="43">
        <v>0</v>
      </c>
      <c r="ES7" s="46"/>
      <c r="EZ7" s="43">
        <v>0</v>
      </c>
      <c r="FA7" s="46"/>
      <c r="FG7" s="43">
        <v>0</v>
      </c>
      <c r="FH7" s="46"/>
      <c r="FI7" s="47"/>
      <c r="FL7" s="43">
        <v>0</v>
      </c>
      <c r="FM7" s="46"/>
      <c r="FN7" s="47"/>
      <c r="FQ7" s="43">
        <v>0</v>
      </c>
      <c r="FR7" s="46"/>
      <c r="FW7" s="43">
        <v>0</v>
      </c>
      <c r="FX7" s="46"/>
      <c r="FY7" s="47"/>
      <c r="GD7" s="43">
        <v>0</v>
      </c>
      <c r="GE7" s="46"/>
      <c r="GJ7" s="43">
        <v>0</v>
      </c>
      <c r="GK7" s="46"/>
      <c r="GL7" s="47"/>
      <c r="GP7" s="43">
        <v>0</v>
      </c>
      <c r="GQ7" s="46"/>
      <c r="GV7" s="43">
        <v>0</v>
      </c>
      <c r="GW7" s="46"/>
      <c r="GX7" s="47"/>
      <c r="GZ7" s="43">
        <v>0</v>
      </c>
      <c r="HA7" s="46"/>
      <c r="HB7" s="47"/>
      <c r="HF7" s="43">
        <v>0</v>
      </c>
      <c r="HG7" s="46"/>
      <c r="HH7" s="47"/>
      <c r="HJ7" s="43">
        <v>0</v>
      </c>
      <c r="HK7" s="46"/>
      <c r="HL7" s="47"/>
      <c r="HP7" s="43">
        <v>0</v>
      </c>
      <c r="HQ7" s="46"/>
      <c r="HX7" s="43">
        <v>0</v>
      </c>
      <c r="HY7" s="46"/>
      <c r="HZ7" s="47"/>
      <c r="ID7" s="43">
        <v>0</v>
      </c>
      <c r="IE7" s="46"/>
      <c r="IJ7" s="43">
        <v>0</v>
      </c>
      <c r="IK7" s="49"/>
      <c r="IP7" s="43">
        <v>0</v>
      </c>
      <c r="IQ7" s="49"/>
      <c r="IV7" s="43">
        <v>0</v>
      </c>
      <c r="IW7" s="49"/>
      <c r="JB7" s="43">
        <v>0</v>
      </c>
      <c r="JC7" s="46"/>
      <c r="JF7" s="43">
        <v>0</v>
      </c>
      <c r="JG7" s="49"/>
      <c r="JL7" s="43">
        <v>0</v>
      </c>
      <c r="JM7" s="46"/>
      <c r="JN7" s="50"/>
      <c r="JP7" s="43">
        <v>0</v>
      </c>
      <c r="JQ7" s="49"/>
      <c r="JV7" s="43">
        <v>0</v>
      </c>
      <c r="JW7" s="49"/>
      <c r="KB7" s="43">
        <v>0</v>
      </c>
      <c r="KC7" s="49"/>
      <c r="KH7" s="43">
        <v>0</v>
      </c>
      <c r="KI7" s="49"/>
      <c r="KN7" s="43">
        <v>0</v>
      </c>
      <c r="KO7" s="49"/>
      <c r="KP7" s="50"/>
      <c r="KQ7">
        <v>100</v>
      </c>
      <c r="KS7">
        <v>120</v>
      </c>
      <c r="KU7">
        <v>80</v>
      </c>
      <c r="KV7" s="42">
        <v>-300</v>
      </c>
      <c r="KW7" s="49">
        <v>300</v>
      </c>
      <c r="KX7" s="48">
        <v>0</v>
      </c>
      <c r="KY7" s="48">
        <v>0</v>
      </c>
      <c r="KZ7" s="48">
        <v>215.25800000000001</v>
      </c>
      <c r="LA7" s="48">
        <v>210</v>
      </c>
      <c r="LB7" s="43">
        <v>5.2580000000000098</v>
      </c>
      <c r="LC7" s="49"/>
      <c r="LD7" s="48">
        <v>0</v>
      </c>
      <c r="LE7" s="48">
        <v>0</v>
      </c>
      <c r="LF7" s="48">
        <v>52.95</v>
      </c>
      <c r="LG7" s="48">
        <v>50</v>
      </c>
      <c r="LH7" s="43">
        <v>2.9500000000000028</v>
      </c>
      <c r="LI7" s="49"/>
      <c r="LJ7" s="50">
        <v>0</v>
      </c>
      <c r="LK7" s="48">
        <v>0</v>
      </c>
      <c r="LL7" s="43">
        <v>0</v>
      </c>
      <c r="LM7" s="49"/>
      <c r="LN7" s="50">
        <v>370.31200000000001</v>
      </c>
      <c r="LO7" s="48">
        <v>300</v>
      </c>
      <c r="LP7" s="48">
        <v>304.82600000000002</v>
      </c>
      <c r="LQ7" s="48">
        <v>0</v>
      </c>
      <c r="LR7" s="48">
        <v>300</v>
      </c>
      <c r="LS7" s="43">
        <v>75.138000000000034</v>
      </c>
      <c r="LT7" s="49"/>
      <c r="LU7" s="50">
        <v>115.491</v>
      </c>
      <c r="LV7" s="48">
        <v>120</v>
      </c>
      <c r="LW7" s="48">
        <v>151.39699999999999</v>
      </c>
      <c r="LX7" s="48">
        <v>150</v>
      </c>
      <c r="LY7" s="43">
        <v>-3.1120000000000232</v>
      </c>
      <c r="LZ7" s="49"/>
      <c r="MA7" s="50">
        <v>0</v>
      </c>
      <c r="MB7" s="48">
        <v>0</v>
      </c>
      <c r="MC7" s="43">
        <v>0</v>
      </c>
      <c r="MD7" s="49"/>
      <c r="ME7" s="50">
        <v>101.559</v>
      </c>
      <c r="MF7" s="48">
        <v>100</v>
      </c>
      <c r="MG7" s="48">
        <v>384.43799999999999</v>
      </c>
      <c r="MH7" s="48">
        <v>380</v>
      </c>
      <c r="MI7" s="43">
        <v>5.9969999999999573</v>
      </c>
      <c r="MJ7" s="49"/>
      <c r="MK7" s="50">
        <v>130.852</v>
      </c>
      <c r="ML7" s="48">
        <v>130</v>
      </c>
      <c r="MM7" s="43">
        <v>0.85200000000000387</v>
      </c>
      <c r="MN7" s="49"/>
      <c r="MO7" s="50">
        <v>0</v>
      </c>
      <c r="MP7" s="48">
        <v>0</v>
      </c>
      <c r="MQ7" s="48">
        <v>0</v>
      </c>
      <c r="MR7" s="48">
        <v>0</v>
      </c>
      <c r="MS7" s="43">
        <v>0</v>
      </c>
      <c r="MT7" s="49"/>
      <c r="MU7" s="48">
        <v>0</v>
      </c>
      <c r="MV7" s="46"/>
      <c r="MW7" s="48">
        <v>0</v>
      </c>
      <c r="MX7" s="48">
        <v>0</v>
      </c>
      <c r="MY7" s="43">
        <v>0</v>
      </c>
      <c r="MZ7" s="49"/>
      <c r="NA7" s="50">
        <v>0</v>
      </c>
      <c r="NB7" s="48">
        <v>0</v>
      </c>
      <c r="NC7" s="48">
        <v>0</v>
      </c>
      <c r="ND7" s="48">
        <v>0</v>
      </c>
      <c r="NE7" s="43">
        <v>0</v>
      </c>
      <c r="NF7" s="49"/>
      <c r="NG7" s="25">
        <v>103.012</v>
      </c>
      <c r="NH7" s="48">
        <v>0</v>
      </c>
      <c r="NI7" s="48">
        <v>0</v>
      </c>
      <c r="NJ7" s="48">
        <v>0</v>
      </c>
      <c r="NK7" s="43">
        <v>103.012</v>
      </c>
      <c r="NL7" s="49"/>
      <c r="NM7" s="50">
        <v>0</v>
      </c>
      <c r="NN7" s="48">
        <v>0</v>
      </c>
      <c r="NO7" s="48">
        <v>0</v>
      </c>
      <c r="NP7" s="48">
        <v>0</v>
      </c>
      <c r="NQ7" s="43">
        <v>0</v>
      </c>
      <c r="NR7" s="49"/>
      <c r="NS7" s="25">
        <v>200.279</v>
      </c>
      <c r="NT7" s="48">
        <v>40</v>
      </c>
      <c r="NU7" s="48">
        <v>161.036</v>
      </c>
      <c r="NV7" s="48">
        <v>160</v>
      </c>
      <c r="NW7" s="43">
        <v>161.315</v>
      </c>
      <c r="NX7" s="49"/>
      <c r="NY7" s="50">
        <v>406.48899999999998</v>
      </c>
      <c r="NZ7" s="48">
        <v>400</v>
      </c>
      <c r="OA7" s="48">
        <v>499.779</v>
      </c>
      <c r="OB7" s="48">
        <v>500</v>
      </c>
      <c r="OC7" s="43">
        <v>6.2680000000000291</v>
      </c>
      <c r="OD7" s="49"/>
      <c r="OE7" s="50">
        <v>83.236999999999995</v>
      </c>
      <c r="OF7" s="48">
        <v>80</v>
      </c>
      <c r="OG7" s="43">
        <v>3.2369999999999952</v>
      </c>
      <c r="OH7" s="49"/>
      <c r="OI7" s="50">
        <v>0</v>
      </c>
      <c r="OJ7" s="48">
        <v>0</v>
      </c>
      <c r="OK7" s="43">
        <v>0</v>
      </c>
      <c r="OL7" s="49"/>
      <c r="OM7" s="50">
        <v>53.415999999999997</v>
      </c>
      <c r="ON7" s="48">
        <v>50</v>
      </c>
      <c r="OO7" s="48">
        <v>49.923999999999999</v>
      </c>
      <c r="OP7" s="48">
        <v>50</v>
      </c>
      <c r="OQ7" s="43">
        <v>3.340000000000003</v>
      </c>
      <c r="OR7" s="49"/>
      <c r="OS7" s="50">
        <v>658.25300000000004</v>
      </c>
      <c r="OT7" s="48">
        <v>655</v>
      </c>
      <c r="OU7" s="43">
        <v>3.2530000000000432</v>
      </c>
      <c r="OV7" s="49"/>
      <c r="OW7" s="50">
        <v>69.724999999999994</v>
      </c>
      <c r="OX7" s="48">
        <v>70</v>
      </c>
      <c r="OY7" s="48">
        <v>62.491999999999997</v>
      </c>
      <c r="OZ7" s="48">
        <v>59</v>
      </c>
      <c r="PA7" s="43">
        <v>3.216999999999985</v>
      </c>
      <c r="PB7" s="49"/>
      <c r="PC7" s="50">
        <v>119.619</v>
      </c>
      <c r="PD7" s="48">
        <v>57</v>
      </c>
      <c r="PE7" s="43">
        <v>62.619</v>
      </c>
      <c r="PF7" s="49"/>
      <c r="PG7" s="50">
        <v>0</v>
      </c>
      <c r="PH7" s="48">
        <v>0</v>
      </c>
      <c r="PI7" s="48">
        <v>270.85399999999998</v>
      </c>
      <c r="PJ7" s="48">
        <v>268</v>
      </c>
      <c r="PK7" s="43">
        <v>2.853999999999985</v>
      </c>
      <c r="PL7" s="49"/>
      <c r="PM7" s="47">
        <v>0</v>
      </c>
      <c r="PN7" s="48">
        <v>0</v>
      </c>
      <c r="PO7" s="48">
        <v>0</v>
      </c>
      <c r="PP7" s="48">
        <v>0</v>
      </c>
      <c r="PQ7" s="43">
        <v>0</v>
      </c>
      <c r="PR7" s="49"/>
      <c r="PS7" s="47">
        <v>275.18900000000002</v>
      </c>
      <c r="PT7" s="43">
        <v>280</v>
      </c>
      <c r="PU7" s="43">
        <v>349.24</v>
      </c>
      <c r="PV7" s="43">
        <v>350</v>
      </c>
      <c r="PW7" s="43">
        <v>-5.5709999999999127</v>
      </c>
      <c r="PX7" s="46"/>
      <c r="PY7" s="47">
        <v>315.40699999999998</v>
      </c>
      <c r="PZ7" s="43">
        <v>315</v>
      </c>
      <c r="QA7" s="43">
        <v>0.40699999999998232</v>
      </c>
      <c r="QB7" s="46"/>
      <c r="QC7" s="47">
        <v>0</v>
      </c>
      <c r="QD7" s="43">
        <v>0</v>
      </c>
      <c r="QE7" s="43">
        <v>0</v>
      </c>
      <c r="QF7" s="43">
        <v>0</v>
      </c>
      <c r="QG7" s="43">
        <v>0</v>
      </c>
      <c r="QH7" s="46"/>
      <c r="QI7" s="47">
        <v>222.20500000000001</v>
      </c>
      <c r="QJ7" s="43">
        <v>220</v>
      </c>
      <c r="QK7" s="43">
        <v>378.625</v>
      </c>
      <c r="QL7" s="43">
        <v>380</v>
      </c>
      <c r="QM7" s="43">
        <v>0.83000000000004093</v>
      </c>
      <c r="QN7" s="46"/>
      <c r="QO7" s="47">
        <v>0</v>
      </c>
      <c r="QP7" s="43">
        <v>0</v>
      </c>
      <c r="QQ7" s="43">
        <v>0</v>
      </c>
      <c r="QR7" s="43">
        <v>0</v>
      </c>
      <c r="QS7" s="43">
        <v>0</v>
      </c>
      <c r="QT7" s="46"/>
      <c r="QU7" s="47">
        <v>49.244999999999997</v>
      </c>
      <c r="QV7" s="43">
        <v>50</v>
      </c>
      <c r="QW7" s="43">
        <v>-0.75500000000000256</v>
      </c>
      <c r="QX7" s="46"/>
      <c r="QY7" s="47">
        <v>152.006</v>
      </c>
      <c r="QZ7" s="43">
        <v>150</v>
      </c>
      <c r="RA7" s="43">
        <v>386.36500000000001</v>
      </c>
      <c r="RB7" s="43">
        <v>390</v>
      </c>
      <c r="RC7" s="43">
        <v>-1.6290000000000191</v>
      </c>
      <c r="RD7" s="46"/>
    </row>
    <row r="8" spans="1:472" x14ac:dyDescent="0.25">
      <c r="A8" s="43" t="s">
        <v>296</v>
      </c>
      <c r="B8" s="44">
        <v>1</v>
      </c>
      <c r="E8">
        <v>700</v>
      </c>
      <c r="F8">
        <v>340</v>
      </c>
      <c r="I8" s="45">
        <v>468</v>
      </c>
      <c r="J8" s="52">
        <v>470</v>
      </c>
      <c r="K8" s="52">
        <v>501</v>
      </c>
      <c r="L8" s="52">
        <v>499</v>
      </c>
      <c r="M8" s="51">
        <f t="shared" si="8"/>
        <v>0</v>
      </c>
      <c r="N8" s="46"/>
      <c r="O8" s="45">
        <v>300</v>
      </c>
      <c r="P8" s="52">
        <v>300</v>
      </c>
      <c r="Q8" s="52">
        <v>211</v>
      </c>
      <c r="R8" s="52">
        <v>214</v>
      </c>
      <c r="S8" s="51">
        <f t="shared" si="9"/>
        <v>-3</v>
      </c>
      <c r="T8" s="46"/>
      <c r="U8" s="45">
        <v>801</v>
      </c>
      <c r="V8" s="52">
        <v>800</v>
      </c>
      <c r="W8" s="52">
        <v>638</v>
      </c>
      <c r="X8" s="52">
        <v>635</v>
      </c>
      <c r="Y8" s="51">
        <f t="shared" si="10"/>
        <v>4</v>
      </c>
      <c r="Z8" s="46"/>
      <c r="AA8" s="52">
        <v>895</v>
      </c>
      <c r="AB8">
        <v>900</v>
      </c>
      <c r="AC8">
        <v>299</v>
      </c>
      <c r="AD8">
        <v>300</v>
      </c>
      <c r="AE8" s="43">
        <v>-6</v>
      </c>
      <c r="AF8" s="46"/>
      <c r="AG8" s="45">
        <v>399</v>
      </c>
      <c r="AH8">
        <v>400</v>
      </c>
      <c r="AI8">
        <v>371</v>
      </c>
      <c r="AJ8">
        <v>371</v>
      </c>
      <c r="AK8" s="43">
        <v>-1</v>
      </c>
      <c r="AL8" s="46"/>
      <c r="AM8">
        <v>130</v>
      </c>
      <c r="AN8">
        <v>130</v>
      </c>
      <c r="AO8">
        <v>149</v>
      </c>
      <c r="AP8">
        <v>148</v>
      </c>
      <c r="AQ8" s="43">
        <v>1</v>
      </c>
      <c r="AR8" s="46"/>
      <c r="AS8">
        <v>508</v>
      </c>
      <c r="AT8">
        <v>500</v>
      </c>
      <c r="AU8">
        <v>496</v>
      </c>
      <c r="AV8">
        <v>495</v>
      </c>
      <c r="AW8" s="43">
        <v>9</v>
      </c>
      <c r="AX8" s="46"/>
      <c r="AY8" s="47"/>
      <c r="BC8" s="43">
        <v>0</v>
      </c>
      <c r="BD8" s="46"/>
      <c r="BE8" s="45">
        <v>1495</v>
      </c>
      <c r="BF8">
        <v>1500</v>
      </c>
      <c r="BG8">
        <v>1196</v>
      </c>
      <c r="BH8">
        <v>1193</v>
      </c>
      <c r="BI8" s="43">
        <v>-2</v>
      </c>
      <c r="BJ8" s="46"/>
      <c r="BK8">
        <v>498</v>
      </c>
      <c r="BL8">
        <v>500</v>
      </c>
      <c r="BM8">
        <v>348</v>
      </c>
      <c r="BO8">
        <v>344</v>
      </c>
      <c r="BP8" s="43">
        <v>2</v>
      </c>
      <c r="BQ8" s="46"/>
      <c r="BR8">
        <v>599</v>
      </c>
      <c r="BS8">
        <v>600</v>
      </c>
      <c r="BT8" s="43">
        <v>-1</v>
      </c>
      <c r="BU8" s="46"/>
      <c r="BV8" s="45">
        <v>824</v>
      </c>
      <c r="BW8">
        <v>822</v>
      </c>
      <c r="BX8">
        <v>1260</v>
      </c>
      <c r="BY8">
        <v>1270</v>
      </c>
      <c r="BZ8" s="43">
        <v>-8</v>
      </c>
      <c r="CA8" s="46"/>
      <c r="CB8">
        <v>599</v>
      </c>
      <c r="CC8">
        <v>600</v>
      </c>
      <c r="CD8">
        <v>631</v>
      </c>
      <c r="CE8">
        <v>633</v>
      </c>
      <c r="CF8" s="43">
        <v>-3</v>
      </c>
      <c r="CG8" s="46"/>
      <c r="CL8" s="43">
        <v>0</v>
      </c>
      <c r="CM8" s="46"/>
      <c r="CN8" s="45">
        <v>396</v>
      </c>
      <c r="CO8">
        <v>400</v>
      </c>
      <c r="CP8">
        <v>1034</v>
      </c>
      <c r="CQ8">
        <v>1033</v>
      </c>
      <c r="CR8" s="43">
        <v>-3</v>
      </c>
      <c r="CS8" s="46"/>
      <c r="CT8">
        <v>701</v>
      </c>
      <c r="CU8">
        <v>700</v>
      </c>
      <c r="CV8">
        <v>813</v>
      </c>
      <c r="CW8">
        <v>810</v>
      </c>
      <c r="CX8" s="43">
        <v>4</v>
      </c>
      <c r="CY8" s="46"/>
      <c r="CZ8" s="47"/>
      <c r="DD8" s="43">
        <v>0</v>
      </c>
      <c r="DE8" s="46"/>
      <c r="DF8" s="45">
        <v>400</v>
      </c>
      <c r="DG8">
        <v>400</v>
      </c>
      <c r="DH8">
        <v>1502</v>
      </c>
      <c r="DI8">
        <v>1500</v>
      </c>
      <c r="DJ8">
        <v>894</v>
      </c>
      <c r="DK8">
        <v>891</v>
      </c>
      <c r="DL8" s="43">
        <v>5</v>
      </c>
      <c r="DM8" s="46"/>
      <c r="DN8" s="45">
        <v>203</v>
      </c>
      <c r="DO8">
        <v>200</v>
      </c>
      <c r="DP8">
        <v>102</v>
      </c>
      <c r="DQ8">
        <v>100</v>
      </c>
      <c r="DR8" s="43">
        <v>5</v>
      </c>
      <c r="DS8" s="46"/>
      <c r="DT8">
        <v>998</v>
      </c>
      <c r="DU8">
        <v>1000</v>
      </c>
      <c r="DV8">
        <v>1005</v>
      </c>
      <c r="DW8">
        <v>1000</v>
      </c>
      <c r="DX8">
        <v>1104</v>
      </c>
      <c r="DY8">
        <v>1100</v>
      </c>
      <c r="DZ8" s="43">
        <v>7</v>
      </c>
      <c r="EA8" s="46"/>
      <c r="EB8" s="45">
        <v>602</v>
      </c>
      <c r="EC8">
        <v>600</v>
      </c>
      <c r="ED8">
        <v>900</v>
      </c>
      <c r="EE8">
        <v>900</v>
      </c>
      <c r="EF8" s="43">
        <v>2</v>
      </c>
      <c r="EG8" s="46"/>
      <c r="EH8" s="47"/>
      <c r="EI8">
        <v>900</v>
      </c>
      <c r="EJ8">
        <v>962</v>
      </c>
      <c r="EK8">
        <v>970</v>
      </c>
      <c r="EL8" s="42">
        <v>-908</v>
      </c>
      <c r="EM8" s="46">
        <v>908</v>
      </c>
      <c r="EN8" s="45">
        <v>598</v>
      </c>
      <c r="EO8">
        <v>600</v>
      </c>
      <c r="EP8">
        <v>449</v>
      </c>
      <c r="EQ8">
        <v>450</v>
      </c>
      <c r="ER8" s="43">
        <v>-3</v>
      </c>
      <c r="ES8" s="46"/>
      <c r="EU8">
        <v>500</v>
      </c>
      <c r="EV8">
        <v>503</v>
      </c>
      <c r="EW8">
        <v>500</v>
      </c>
      <c r="EX8">
        <v>566</v>
      </c>
      <c r="EY8">
        <v>560</v>
      </c>
      <c r="EZ8" s="42">
        <v>-491</v>
      </c>
      <c r="FA8" s="46">
        <v>491</v>
      </c>
      <c r="FB8">
        <v>798</v>
      </c>
      <c r="FC8">
        <v>800</v>
      </c>
      <c r="FD8">
        <v>555</v>
      </c>
      <c r="FF8">
        <v>550</v>
      </c>
      <c r="FG8" s="43">
        <v>3</v>
      </c>
      <c r="FH8" s="46"/>
      <c r="FI8" s="45">
        <v>1100</v>
      </c>
      <c r="FK8" s="48">
        <v>1100</v>
      </c>
      <c r="FL8" s="43">
        <v>0</v>
      </c>
      <c r="FM8" s="46"/>
      <c r="FN8" s="45">
        <v>1290</v>
      </c>
      <c r="FP8">
        <v>1291</v>
      </c>
      <c r="FQ8" s="43">
        <v>-1</v>
      </c>
      <c r="FR8" s="46"/>
      <c r="FS8">
        <v>1511</v>
      </c>
      <c r="FT8">
        <v>1000</v>
      </c>
      <c r="FU8">
        <v>1004</v>
      </c>
      <c r="FV8">
        <v>1500</v>
      </c>
      <c r="FW8" s="43">
        <v>15</v>
      </c>
      <c r="FX8" s="46"/>
      <c r="FY8" s="45">
        <v>150</v>
      </c>
      <c r="GA8">
        <v>450</v>
      </c>
      <c r="GB8">
        <v>529</v>
      </c>
      <c r="GC8">
        <v>530</v>
      </c>
      <c r="GD8" s="42">
        <v>-301</v>
      </c>
      <c r="GE8" s="46">
        <v>301</v>
      </c>
      <c r="GF8">
        <v>1000</v>
      </c>
      <c r="GG8">
        <v>1000</v>
      </c>
      <c r="GH8">
        <v>599</v>
      </c>
      <c r="GI8">
        <v>600</v>
      </c>
      <c r="GJ8" s="43">
        <v>-1</v>
      </c>
      <c r="GK8" s="46"/>
      <c r="GL8" s="45">
        <v>707</v>
      </c>
      <c r="GM8">
        <v>700</v>
      </c>
      <c r="GN8">
        <v>704</v>
      </c>
      <c r="GO8">
        <v>700</v>
      </c>
      <c r="GP8" s="43">
        <v>11</v>
      </c>
      <c r="GQ8" s="46"/>
      <c r="GR8">
        <v>203</v>
      </c>
      <c r="GS8">
        <v>200</v>
      </c>
      <c r="GT8">
        <v>202</v>
      </c>
      <c r="GU8">
        <v>200</v>
      </c>
      <c r="GV8" s="43">
        <v>5</v>
      </c>
      <c r="GW8" s="46"/>
      <c r="GX8" s="45">
        <v>529</v>
      </c>
      <c r="GY8" s="48">
        <v>520</v>
      </c>
      <c r="GZ8" s="43">
        <v>9</v>
      </c>
      <c r="HA8" s="46"/>
      <c r="HB8" s="45">
        <v>1461</v>
      </c>
      <c r="HC8">
        <v>1460</v>
      </c>
      <c r="HD8">
        <v>1443</v>
      </c>
      <c r="HE8">
        <v>1440</v>
      </c>
      <c r="HF8" s="43">
        <v>4</v>
      </c>
      <c r="HG8" s="46"/>
      <c r="HH8" s="47"/>
      <c r="HJ8" s="43">
        <v>0</v>
      </c>
      <c r="HK8" s="46"/>
      <c r="HL8" s="45">
        <v>1210</v>
      </c>
      <c r="HM8">
        <v>1200</v>
      </c>
      <c r="HN8">
        <v>561</v>
      </c>
      <c r="HO8">
        <v>550</v>
      </c>
      <c r="HP8" s="43">
        <v>21</v>
      </c>
      <c r="HQ8" s="46"/>
      <c r="HR8">
        <v>1003</v>
      </c>
      <c r="HS8">
        <v>1000</v>
      </c>
      <c r="HT8">
        <v>1153</v>
      </c>
      <c r="HU8">
        <v>1150</v>
      </c>
      <c r="HX8" s="43">
        <v>6</v>
      </c>
      <c r="HY8" s="46"/>
      <c r="HZ8" s="45">
        <v>1003</v>
      </c>
      <c r="IA8">
        <v>1000</v>
      </c>
      <c r="IB8">
        <v>702</v>
      </c>
      <c r="IC8">
        <v>700</v>
      </c>
      <c r="ID8" s="43">
        <v>5</v>
      </c>
      <c r="IE8" s="46"/>
      <c r="IF8">
        <v>251</v>
      </c>
      <c r="IG8">
        <v>250</v>
      </c>
      <c r="IH8">
        <v>402</v>
      </c>
      <c r="II8">
        <v>400</v>
      </c>
      <c r="IJ8" s="43">
        <v>3</v>
      </c>
      <c r="IK8" s="49"/>
      <c r="IL8">
        <v>801</v>
      </c>
      <c r="IM8">
        <v>800</v>
      </c>
      <c r="IN8">
        <v>504</v>
      </c>
      <c r="IO8">
        <v>500</v>
      </c>
      <c r="IP8" s="43">
        <v>5</v>
      </c>
      <c r="IQ8" s="49"/>
      <c r="IR8">
        <v>1359</v>
      </c>
      <c r="IS8">
        <v>1350</v>
      </c>
      <c r="IT8">
        <v>955</v>
      </c>
      <c r="IU8">
        <v>950</v>
      </c>
      <c r="IV8" s="43">
        <v>14</v>
      </c>
      <c r="IW8" s="49"/>
      <c r="IX8">
        <v>1195</v>
      </c>
      <c r="IY8">
        <v>1200</v>
      </c>
      <c r="IZ8">
        <v>599</v>
      </c>
      <c r="JA8">
        <v>600</v>
      </c>
      <c r="JB8" s="42">
        <v>-6</v>
      </c>
      <c r="JC8" s="46">
        <v>6</v>
      </c>
      <c r="JD8">
        <v>1099</v>
      </c>
      <c r="JE8">
        <v>1100</v>
      </c>
      <c r="JF8" s="43">
        <v>-1</v>
      </c>
      <c r="JG8" s="49"/>
      <c r="JH8">
        <v>1401</v>
      </c>
      <c r="JI8">
        <v>1400</v>
      </c>
      <c r="JJ8">
        <v>805</v>
      </c>
      <c r="JK8">
        <v>800</v>
      </c>
      <c r="JL8" s="43">
        <v>6</v>
      </c>
      <c r="JM8" s="46"/>
      <c r="JN8" s="50"/>
      <c r="JP8" s="43">
        <v>0</v>
      </c>
      <c r="JQ8" s="49"/>
      <c r="JR8">
        <v>1473</v>
      </c>
      <c r="JS8">
        <v>1470</v>
      </c>
      <c r="JT8">
        <v>2141</v>
      </c>
      <c r="JU8">
        <v>2130</v>
      </c>
      <c r="JV8" s="43">
        <v>14</v>
      </c>
      <c r="JW8" s="49"/>
      <c r="JY8">
        <v>800</v>
      </c>
      <c r="JZ8">
        <v>391</v>
      </c>
      <c r="KA8">
        <v>391</v>
      </c>
      <c r="KB8" s="42">
        <v>-800</v>
      </c>
      <c r="KC8" s="49">
        <v>800</v>
      </c>
      <c r="KE8">
        <v>1000</v>
      </c>
      <c r="KF8">
        <v>1204</v>
      </c>
      <c r="KG8">
        <v>1200</v>
      </c>
      <c r="KH8" s="42">
        <v>-996</v>
      </c>
      <c r="KI8" s="49">
        <v>996</v>
      </c>
      <c r="KJ8">
        <v>707</v>
      </c>
      <c r="KK8">
        <v>700</v>
      </c>
      <c r="KL8">
        <v>429</v>
      </c>
      <c r="KM8">
        <v>900</v>
      </c>
      <c r="KN8" s="42">
        <v>-464</v>
      </c>
      <c r="KO8" s="49">
        <v>464</v>
      </c>
      <c r="KP8" s="45">
        <v>989</v>
      </c>
      <c r="KQ8">
        <v>1000</v>
      </c>
      <c r="KR8">
        <v>691</v>
      </c>
      <c r="KS8">
        <v>700</v>
      </c>
      <c r="KT8">
        <v>170</v>
      </c>
      <c r="KU8">
        <v>600</v>
      </c>
      <c r="KV8" s="42">
        <v>-450</v>
      </c>
      <c r="KW8" s="49">
        <v>450</v>
      </c>
      <c r="KX8" s="48">
        <v>796.92200000000003</v>
      </c>
      <c r="KY8" s="48">
        <v>800</v>
      </c>
      <c r="KZ8" s="48">
        <v>797.09699999999998</v>
      </c>
      <c r="LA8" s="48">
        <v>795</v>
      </c>
      <c r="LB8" s="43">
        <v>-0.98099999999999454</v>
      </c>
      <c r="LC8" s="49"/>
      <c r="LD8" s="48">
        <v>597.05200000000002</v>
      </c>
      <c r="LE8" s="48">
        <v>600</v>
      </c>
      <c r="LF8" s="48">
        <v>603.52700000000004</v>
      </c>
      <c r="LG8" s="48">
        <v>600</v>
      </c>
      <c r="LH8" s="43">
        <v>0.57900000000017826</v>
      </c>
      <c r="LI8" s="49"/>
      <c r="LJ8" s="50">
        <v>0</v>
      </c>
      <c r="LK8" s="48">
        <v>0</v>
      </c>
      <c r="LL8" s="43">
        <v>0</v>
      </c>
      <c r="LM8" s="49"/>
      <c r="LN8" s="50">
        <v>2000.2349999999999</v>
      </c>
      <c r="LO8" s="48">
        <v>2000</v>
      </c>
      <c r="LP8" s="48">
        <v>991.87599999999998</v>
      </c>
      <c r="LQ8" s="48">
        <v>0</v>
      </c>
      <c r="LR8" s="48">
        <v>1000</v>
      </c>
      <c r="LS8" s="43">
        <v>-7.8890000000001237</v>
      </c>
      <c r="LT8" s="49"/>
      <c r="LU8" s="50">
        <v>997.05399999999997</v>
      </c>
      <c r="LV8" s="48">
        <v>1000</v>
      </c>
      <c r="LW8" s="48">
        <v>700.38400000000001</v>
      </c>
      <c r="LX8" s="48">
        <v>700</v>
      </c>
      <c r="LY8" s="43">
        <v>-2.5619999999998981</v>
      </c>
      <c r="LZ8" s="49"/>
      <c r="MA8" s="50">
        <v>549.49199999999996</v>
      </c>
      <c r="MB8" s="48">
        <v>550</v>
      </c>
      <c r="MC8" s="43">
        <v>-0.5080000000000382</v>
      </c>
      <c r="MD8" s="49"/>
      <c r="ME8" s="50">
        <v>1103.0170000000001</v>
      </c>
      <c r="MF8" s="48">
        <v>1100</v>
      </c>
      <c r="MG8" s="48">
        <v>1190.3389999999999</v>
      </c>
      <c r="MH8" s="48">
        <v>1200</v>
      </c>
      <c r="MI8" s="42">
        <v>-6.6440000000002328</v>
      </c>
      <c r="MJ8" s="49">
        <v>6.6440000000002328</v>
      </c>
      <c r="MK8" s="50">
        <v>1602.9269999999999</v>
      </c>
      <c r="ML8" s="48">
        <v>1600</v>
      </c>
      <c r="MM8" s="43">
        <v>2.9269999999999068</v>
      </c>
      <c r="MN8" s="49"/>
      <c r="MO8" s="50">
        <v>898.46500000000003</v>
      </c>
      <c r="MP8" s="48">
        <v>900</v>
      </c>
      <c r="MQ8" s="48">
        <v>0</v>
      </c>
      <c r="MR8" s="48">
        <v>0</v>
      </c>
      <c r="MS8" s="43">
        <v>-1.5349999999999679</v>
      </c>
      <c r="MT8" s="49"/>
      <c r="MU8" s="48">
        <v>0</v>
      </c>
      <c r="MV8" s="46"/>
      <c r="MW8" s="48">
        <v>4112.8010000000004</v>
      </c>
      <c r="MX8" s="48">
        <v>4100</v>
      </c>
      <c r="MY8" s="43">
        <v>12.801000000000389</v>
      </c>
      <c r="MZ8" s="49"/>
      <c r="NA8" s="50">
        <v>509.108</v>
      </c>
      <c r="NB8" s="48">
        <v>500</v>
      </c>
      <c r="NC8" s="48">
        <v>849.45299999999997</v>
      </c>
      <c r="ND8" s="48">
        <v>850</v>
      </c>
      <c r="NE8" s="43">
        <v>8.5609999999999218</v>
      </c>
      <c r="NF8" s="49"/>
      <c r="NG8" s="50">
        <v>203.572</v>
      </c>
      <c r="NH8" s="48">
        <v>900</v>
      </c>
      <c r="NI8" s="48">
        <v>1589.1559999999999</v>
      </c>
      <c r="NJ8" s="48">
        <v>1765</v>
      </c>
      <c r="NK8" s="42">
        <v>-872.27199999999993</v>
      </c>
      <c r="NL8" s="49">
        <v>872.27199999999993</v>
      </c>
      <c r="NM8" s="50">
        <v>801.08199999999999</v>
      </c>
      <c r="NN8" s="48">
        <v>800</v>
      </c>
      <c r="NO8" s="48">
        <v>584.89099999999996</v>
      </c>
      <c r="NP8" s="48">
        <v>800</v>
      </c>
      <c r="NQ8" s="42">
        <v>-214.02699999999999</v>
      </c>
      <c r="NR8" s="49">
        <v>214.02699999999999</v>
      </c>
      <c r="NS8" s="50">
        <v>352.18599999999998</v>
      </c>
      <c r="NT8" s="48">
        <v>350</v>
      </c>
      <c r="NU8" s="48">
        <v>500.66300000000001</v>
      </c>
      <c r="NV8" s="48">
        <v>500</v>
      </c>
      <c r="NW8" s="43">
        <v>2.8489999999999331</v>
      </c>
      <c r="NX8" s="49"/>
      <c r="NY8" s="50">
        <v>707.81500000000005</v>
      </c>
      <c r="NZ8" s="48">
        <v>700</v>
      </c>
      <c r="OA8" s="32">
        <v>944.37800000000004</v>
      </c>
      <c r="OB8" s="48">
        <v>745</v>
      </c>
      <c r="OC8" s="43">
        <v>207.19300000000021</v>
      </c>
      <c r="OD8" s="49"/>
      <c r="OE8" s="50">
        <v>1921.2570000000001</v>
      </c>
      <c r="OF8" s="48">
        <v>1900</v>
      </c>
      <c r="OG8" s="43">
        <v>21.257000000000058</v>
      </c>
      <c r="OH8" s="49"/>
      <c r="OI8" s="50">
        <v>0</v>
      </c>
      <c r="OJ8" s="48">
        <v>0</v>
      </c>
      <c r="OK8" s="43">
        <v>0</v>
      </c>
      <c r="OL8" s="49"/>
      <c r="OM8" s="50">
        <v>1843.962</v>
      </c>
      <c r="ON8" s="48">
        <v>1850</v>
      </c>
      <c r="OO8" s="48">
        <v>1249.5999999999999</v>
      </c>
      <c r="OP8" s="48">
        <v>1250</v>
      </c>
      <c r="OQ8" s="43">
        <v>-6.4380000000001019</v>
      </c>
      <c r="OR8" s="49"/>
      <c r="OS8" s="50">
        <v>1497.452</v>
      </c>
      <c r="OT8" s="48">
        <v>1493</v>
      </c>
      <c r="OU8" s="43">
        <v>4.4519999999999982</v>
      </c>
      <c r="OV8" s="49"/>
      <c r="OW8" s="50">
        <v>2297.7530000000002</v>
      </c>
      <c r="OX8" s="48">
        <v>2300</v>
      </c>
      <c r="OY8" s="48">
        <v>1665.9069999999999</v>
      </c>
      <c r="OZ8" s="48">
        <v>1669</v>
      </c>
      <c r="PA8" s="43">
        <v>-5.3400000000001464</v>
      </c>
      <c r="PB8" s="49"/>
      <c r="PC8" s="50">
        <v>830.23199999999997</v>
      </c>
      <c r="PD8" s="48">
        <v>756</v>
      </c>
      <c r="PE8" s="43">
        <v>74.231999999999971</v>
      </c>
      <c r="PF8" s="49"/>
      <c r="PG8" s="50">
        <v>287.45299999999997</v>
      </c>
      <c r="PH8" s="48">
        <v>400</v>
      </c>
      <c r="PI8" s="48">
        <v>340.57900000000001</v>
      </c>
      <c r="PJ8" s="48">
        <v>468</v>
      </c>
      <c r="PK8" s="42">
        <v>-239.9680000000001</v>
      </c>
      <c r="PL8" s="49">
        <v>239.9680000000001</v>
      </c>
      <c r="PM8" s="47">
        <v>1495.7750000000001</v>
      </c>
      <c r="PN8" s="48">
        <v>1500</v>
      </c>
      <c r="PO8" s="48">
        <v>1402.5830000000001</v>
      </c>
      <c r="PP8" s="48">
        <v>1417</v>
      </c>
      <c r="PQ8" s="42">
        <v>-18.641999999999829</v>
      </c>
      <c r="PR8" s="49">
        <v>18.641999999999829</v>
      </c>
      <c r="PS8" s="47">
        <v>400.74599999999998</v>
      </c>
      <c r="PT8" s="43">
        <v>400</v>
      </c>
      <c r="PU8" s="43">
        <v>498.904</v>
      </c>
      <c r="PV8" s="43">
        <v>500</v>
      </c>
      <c r="PW8" s="43">
        <v>-0.35000000000002268</v>
      </c>
      <c r="PX8" s="46"/>
      <c r="PY8" s="47">
        <v>3143.991</v>
      </c>
      <c r="PZ8" s="43">
        <v>3141</v>
      </c>
      <c r="QA8" s="43">
        <v>2.990999999999985</v>
      </c>
      <c r="QB8" s="46"/>
      <c r="QC8" s="47">
        <v>824.13599999999997</v>
      </c>
      <c r="QD8" s="43">
        <v>800</v>
      </c>
      <c r="QE8" s="43">
        <v>1724.261</v>
      </c>
      <c r="QF8" s="43">
        <v>1700</v>
      </c>
      <c r="QG8" s="43">
        <v>48.396999999999927</v>
      </c>
      <c r="QH8" s="46"/>
      <c r="QI8" s="47">
        <v>1301.33</v>
      </c>
      <c r="QJ8" s="43">
        <v>1300</v>
      </c>
      <c r="QK8" s="43">
        <v>2201.3440000000001</v>
      </c>
      <c r="QL8" s="43">
        <v>2200</v>
      </c>
      <c r="QM8" s="43">
        <v>2.6739999999999782</v>
      </c>
      <c r="QN8" s="46"/>
      <c r="QO8" s="47">
        <v>701.55</v>
      </c>
      <c r="QP8" s="43">
        <v>1350</v>
      </c>
      <c r="QQ8" s="43">
        <v>178.15700000000001</v>
      </c>
      <c r="QR8" s="43">
        <v>2200</v>
      </c>
      <c r="QS8" s="42">
        <v>-2670.2930000000001</v>
      </c>
      <c r="QT8" s="46">
        <v>2670.2930000000001</v>
      </c>
      <c r="QU8" s="47">
        <v>150.33000000000001</v>
      </c>
      <c r="QV8" s="43">
        <v>1000</v>
      </c>
      <c r="QW8" s="42">
        <v>-849.67</v>
      </c>
      <c r="QX8" s="46">
        <v>849.67</v>
      </c>
      <c r="QY8" s="47">
        <v>1599.4449999999999</v>
      </c>
      <c r="QZ8" s="43">
        <v>1600</v>
      </c>
      <c r="RA8" s="43">
        <v>1057.2729999999999</v>
      </c>
      <c r="RB8" s="43">
        <v>2400</v>
      </c>
      <c r="RC8" s="42">
        <v>-1343.2819999999999</v>
      </c>
      <c r="RD8" s="46">
        <v>1343.2819999999999</v>
      </c>
    </row>
    <row r="9" spans="1:472" x14ac:dyDescent="0.25">
      <c r="A9" s="43" t="s">
        <v>297</v>
      </c>
      <c r="B9" s="44">
        <v>1</v>
      </c>
      <c r="F9">
        <v>50</v>
      </c>
      <c r="I9" s="47"/>
      <c r="J9" s="51"/>
      <c r="K9" s="52">
        <v>92</v>
      </c>
      <c r="L9" s="52">
        <v>90</v>
      </c>
      <c r="M9" s="51">
        <f t="shared" si="8"/>
        <v>2</v>
      </c>
      <c r="N9" s="46"/>
      <c r="O9" s="45">
        <v>32</v>
      </c>
      <c r="P9" s="52">
        <v>30</v>
      </c>
      <c r="Q9" s="52">
        <v>48</v>
      </c>
      <c r="R9" s="52">
        <v>45</v>
      </c>
      <c r="S9" s="51">
        <f t="shared" si="9"/>
        <v>5</v>
      </c>
      <c r="T9" s="46"/>
      <c r="U9" s="45">
        <v>20</v>
      </c>
      <c r="V9" s="52">
        <v>20</v>
      </c>
      <c r="W9" s="52">
        <v>28</v>
      </c>
      <c r="X9" s="52">
        <v>26</v>
      </c>
      <c r="Y9" s="51">
        <f t="shared" si="10"/>
        <v>2</v>
      </c>
      <c r="Z9" s="46"/>
      <c r="AA9" s="52">
        <v>8</v>
      </c>
      <c r="AB9">
        <v>10</v>
      </c>
      <c r="AE9" s="43">
        <v>-2</v>
      </c>
      <c r="AF9" s="46"/>
      <c r="AG9" s="47"/>
      <c r="AI9">
        <v>28</v>
      </c>
      <c r="AJ9">
        <v>29</v>
      </c>
      <c r="AK9" s="43">
        <v>-1</v>
      </c>
      <c r="AL9" s="46"/>
      <c r="AP9">
        <v>5</v>
      </c>
      <c r="AQ9" s="42">
        <v>-5</v>
      </c>
      <c r="AR9" s="46">
        <v>5</v>
      </c>
      <c r="AW9" s="43">
        <v>0</v>
      </c>
      <c r="AX9" s="46"/>
      <c r="AY9" s="47"/>
      <c r="BC9" s="43">
        <v>0</v>
      </c>
      <c r="BD9" s="46"/>
      <c r="BE9" s="47"/>
      <c r="BI9" s="43">
        <v>0</v>
      </c>
      <c r="BJ9" s="46"/>
      <c r="BN9">
        <v>28</v>
      </c>
      <c r="BO9">
        <v>27</v>
      </c>
      <c r="BP9" s="43">
        <v>1</v>
      </c>
      <c r="BQ9" s="46"/>
      <c r="BT9" s="43">
        <v>0</v>
      </c>
      <c r="BU9" s="46"/>
      <c r="BV9" s="45">
        <v>12</v>
      </c>
      <c r="BW9">
        <v>12</v>
      </c>
      <c r="BX9">
        <v>4</v>
      </c>
      <c r="BY9">
        <v>4</v>
      </c>
      <c r="BZ9" s="43">
        <v>0</v>
      </c>
      <c r="CA9" s="46"/>
      <c r="CF9" s="43">
        <v>0</v>
      </c>
      <c r="CG9" s="46"/>
      <c r="CJ9">
        <v>4</v>
      </c>
      <c r="CK9">
        <v>4</v>
      </c>
      <c r="CL9" s="43">
        <v>0</v>
      </c>
      <c r="CM9" s="46"/>
      <c r="CN9" s="47"/>
      <c r="CR9" s="43">
        <v>0</v>
      </c>
      <c r="CS9" s="46"/>
      <c r="CV9">
        <v>32</v>
      </c>
      <c r="CW9">
        <v>30</v>
      </c>
      <c r="CX9" s="43">
        <v>2</v>
      </c>
      <c r="CY9" s="46"/>
      <c r="CZ9" s="47"/>
      <c r="DB9">
        <v>16</v>
      </c>
      <c r="DC9">
        <v>15</v>
      </c>
      <c r="DD9" s="43">
        <v>1</v>
      </c>
      <c r="DE9" s="46"/>
      <c r="DF9" s="47"/>
      <c r="DL9" s="43">
        <v>0</v>
      </c>
      <c r="DM9" s="46"/>
      <c r="DN9" s="47"/>
      <c r="DP9">
        <v>8</v>
      </c>
      <c r="DQ9">
        <v>8</v>
      </c>
      <c r="DR9" s="43">
        <v>0</v>
      </c>
      <c r="DS9" s="46"/>
      <c r="DV9">
        <v>20</v>
      </c>
      <c r="DW9">
        <v>20</v>
      </c>
      <c r="DZ9" s="43">
        <v>0</v>
      </c>
      <c r="EA9" s="46"/>
      <c r="EB9" s="47"/>
      <c r="EF9" s="43">
        <v>0</v>
      </c>
      <c r="EG9" s="46"/>
      <c r="EH9" s="47"/>
      <c r="EL9" s="43">
        <v>0</v>
      </c>
      <c r="EM9" s="46"/>
      <c r="EN9" s="47"/>
      <c r="EP9">
        <v>8</v>
      </c>
      <c r="EQ9">
        <v>7</v>
      </c>
      <c r="ER9" s="43">
        <v>1</v>
      </c>
      <c r="ES9" s="46"/>
      <c r="EX9">
        <v>24</v>
      </c>
      <c r="EY9">
        <v>22</v>
      </c>
      <c r="EZ9" s="43">
        <v>2</v>
      </c>
      <c r="FA9" s="46"/>
      <c r="FG9" s="43">
        <v>0</v>
      </c>
      <c r="FH9" s="46"/>
      <c r="FI9" s="47"/>
      <c r="FL9" s="43">
        <v>0</v>
      </c>
      <c r="FM9" s="46"/>
      <c r="FN9" s="47"/>
      <c r="FQ9" s="43">
        <v>0</v>
      </c>
      <c r="FR9" s="46"/>
      <c r="FW9" s="43">
        <v>0</v>
      </c>
      <c r="FX9" s="46"/>
      <c r="FY9" s="47"/>
      <c r="GD9" s="43">
        <v>0</v>
      </c>
      <c r="GE9" s="46"/>
      <c r="GJ9" s="43">
        <v>0</v>
      </c>
      <c r="GK9" s="46"/>
      <c r="GL9" s="47"/>
      <c r="GP9" s="43">
        <v>0</v>
      </c>
      <c r="GQ9" s="46"/>
      <c r="GT9">
        <v>60</v>
      </c>
      <c r="GU9">
        <v>59</v>
      </c>
      <c r="GV9" s="43">
        <v>1</v>
      </c>
      <c r="GW9" s="46"/>
      <c r="GX9" s="47"/>
      <c r="GZ9" s="43">
        <v>0</v>
      </c>
      <c r="HA9" s="46"/>
      <c r="HB9" s="47"/>
      <c r="HD9">
        <v>24</v>
      </c>
      <c r="HE9">
        <v>22</v>
      </c>
      <c r="HF9" s="43">
        <v>2</v>
      </c>
      <c r="HG9" s="46"/>
      <c r="HH9" s="47"/>
      <c r="HJ9" s="43">
        <v>0</v>
      </c>
      <c r="HK9" s="46"/>
      <c r="HL9" s="47"/>
      <c r="HP9" s="43">
        <v>0</v>
      </c>
      <c r="HQ9" s="46"/>
      <c r="HV9">
        <v>12</v>
      </c>
      <c r="HW9">
        <v>12</v>
      </c>
      <c r="HX9" s="43">
        <v>0</v>
      </c>
      <c r="HY9" s="46"/>
      <c r="HZ9" s="47"/>
      <c r="ID9" s="43">
        <v>0</v>
      </c>
      <c r="IE9" s="46"/>
      <c r="IJ9" s="43">
        <v>0</v>
      </c>
      <c r="IK9" s="49"/>
      <c r="IP9" s="43">
        <v>0</v>
      </c>
      <c r="IQ9" s="49"/>
      <c r="IV9" s="43">
        <v>0</v>
      </c>
      <c r="IW9" s="49"/>
      <c r="JB9" s="43">
        <v>0</v>
      </c>
      <c r="JC9" s="46"/>
      <c r="JF9" s="43">
        <v>0</v>
      </c>
      <c r="JG9" s="49"/>
      <c r="JJ9">
        <v>60</v>
      </c>
      <c r="JK9">
        <v>60</v>
      </c>
      <c r="JL9" s="43">
        <v>0</v>
      </c>
      <c r="JM9" s="46"/>
      <c r="JN9" s="45">
        <v>20</v>
      </c>
      <c r="JO9" s="48">
        <v>20</v>
      </c>
      <c r="JP9" s="43">
        <v>0</v>
      </c>
      <c r="JQ9" s="49"/>
      <c r="JV9" s="43">
        <v>0</v>
      </c>
      <c r="JW9" s="49"/>
      <c r="KB9" s="43">
        <v>0</v>
      </c>
      <c r="KC9" s="49"/>
      <c r="KF9">
        <v>12</v>
      </c>
      <c r="KG9">
        <v>10</v>
      </c>
      <c r="KH9" s="43">
        <v>2</v>
      </c>
      <c r="KI9" s="49"/>
      <c r="KJ9">
        <v>20</v>
      </c>
      <c r="KK9">
        <v>20</v>
      </c>
      <c r="KN9" s="43">
        <v>0</v>
      </c>
      <c r="KO9" s="49"/>
      <c r="KP9" s="50"/>
      <c r="KV9" s="43">
        <v>0</v>
      </c>
      <c r="KW9" s="49"/>
      <c r="KX9" s="48">
        <v>0</v>
      </c>
      <c r="KY9" s="48">
        <v>0</v>
      </c>
      <c r="KZ9" s="48">
        <v>0</v>
      </c>
      <c r="LA9" s="48">
        <v>0</v>
      </c>
      <c r="LB9" s="43">
        <v>0</v>
      </c>
      <c r="LC9" s="49"/>
      <c r="LD9" s="48">
        <v>0</v>
      </c>
      <c r="LE9" s="48">
        <v>0</v>
      </c>
      <c r="LF9" s="48">
        <v>0</v>
      </c>
      <c r="LG9" s="48">
        <v>0</v>
      </c>
      <c r="LH9" s="43">
        <v>0</v>
      </c>
      <c r="LI9" s="49"/>
      <c r="LJ9" s="50">
        <v>84.097999999999999</v>
      </c>
      <c r="LK9" s="48">
        <v>84</v>
      </c>
      <c r="LL9" s="43">
        <v>9.7999999999998977E-2</v>
      </c>
      <c r="LM9" s="49"/>
      <c r="LN9" s="50">
        <v>0</v>
      </c>
      <c r="LO9" s="48">
        <v>0</v>
      </c>
      <c r="LP9" s="48">
        <v>0</v>
      </c>
      <c r="LQ9" s="48">
        <v>0</v>
      </c>
      <c r="LR9" s="48">
        <v>0</v>
      </c>
      <c r="LS9" s="43">
        <v>0</v>
      </c>
      <c r="LT9" s="49"/>
      <c r="LU9" s="50">
        <v>0</v>
      </c>
      <c r="LV9" s="48">
        <v>0</v>
      </c>
      <c r="LW9" s="48">
        <v>0</v>
      </c>
      <c r="LX9" s="48">
        <v>0</v>
      </c>
      <c r="LY9" s="43">
        <v>0</v>
      </c>
      <c r="LZ9" s="49"/>
      <c r="MA9" s="50">
        <v>44.488</v>
      </c>
      <c r="MB9" s="48">
        <v>45</v>
      </c>
      <c r="MC9" s="43">
        <v>-0.51200000000000045</v>
      </c>
      <c r="MD9" s="49"/>
      <c r="ME9" s="50">
        <v>11.999000000000001</v>
      </c>
      <c r="MF9" s="48">
        <v>10</v>
      </c>
      <c r="MG9" s="48">
        <v>20.673999999999999</v>
      </c>
      <c r="MH9" s="48">
        <v>20</v>
      </c>
      <c r="MI9" s="43">
        <v>2.6730000000000018</v>
      </c>
      <c r="MJ9" s="49"/>
      <c r="MK9" s="50">
        <v>52.481999999999999</v>
      </c>
      <c r="ML9" s="48">
        <v>50</v>
      </c>
      <c r="MM9" s="43">
        <v>2.4819999999999989</v>
      </c>
      <c r="MN9" s="49"/>
      <c r="MO9" s="50">
        <v>0</v>
      </c>
      <c r="MP9" s="48">
        <v>0</v>
      </c>
      <c r="MQ9" s="48">
        <v>12.013999999999999</v>
      </c>
      <c r="MR9" s="48">
        <v>10</v>
      </c>
      <c r="MS9" s="43">
        <v>2.0139999999999989</v>
      </c>
      <c r="MT9" s="49"/>
      <c r="MU9" s="48">
        <v>36.582000000000001</v>
      </c>
      <c r="MV9" s="46">
        <v>-36.582000000000001</v>
      </c>
      <c r="MW9" s="48">
        <v>0</v>
      </c>
      <c r="MX9" s="48">
        <v>34</v>
      </c>
      <c r="MY9" s="42">
        <v>-34</v>
      </c>
      <c r="MZ9" s="49">
        <v>34</v>
      </c>
      <c r="NA9" s="50">
        <v>0</v>
      </c>
      <c r="NB9" s="48">
        <v>0</v>
      </c>
      <c r="NC9" s="48">
        <v>19.72</v>
      </c>
      <c r="ND9" s="48">
        <v>20</v>
      </c>
      <c r="NE9" s="43">
        <v>-0.28000000000000108</v>
      </c>
      <c r="NF9" s="49"/>
      <c r="NG9" s="50">
        <v>0</v>
      </c>
      <c r="NH9" s="48">
        <v>0</v>
      </c>
      <c r="NI9" s="48">
        <v>24.689</v>
      </c>
      <c r="NJ9" s="48">
        <v>25</v>
      </c>
      <c r="NK9" s="43">
        <v>-0.31099999999999989</v>
      </c>
      <c r="NL9" s="49"/>
      <c r="NM9" s="50">
        <v>0</v>
      </c>
      <c r="NN9" s="48">
        <v>0</v>
      </c>
      <c r="NO9" s="48">
        <v>0</v>
      </c>
      <c r="NP9" s="33">
        <v>25</v>
      </c>
      <c r="NQ9" s="42">
        <v>-25</v>
      </c>
      <c r="NR9" s="49">
        <v>25</v>
      </c>
      <c r="NS9" s="50">
        <v>0</v>
      </c>
      <c r="NT9" s="48">
        <v>0</v>
      </c>
      <c r="NU9" s="48">
        <v>29.126000000000001</v>
      </c>
      <c r="NV9" s="48">
        <v>30</v>
      </c>
      <c r="NW9" s="43">
        <v>-0.87399999999999878</v>
      </c>
      <c r="NX9" s="49"/>
      <c r="NY9" s="50">
        <v>0</v>
      </c>
      <c r="NZ9" s="48">
        <v>0</v>
      </c>
      <c r="OA9" s="48">
        <v>48.329000000000001</v>
      </c>
      <c r="OB9" s="48">
        <v>50</v>
      </c>
      <c r="OC9" s="43">
        <v>-1.6709999999999989</v>
      </c>
      <c r="OD9" s="49"/>
      <c r="OE9" s="50">
        <v>0</v>
      </c>
      <c r="OF9" s="48">
        <v>0</v>
      </c>
      <c r="OG9" s="43">
        <v>0</v>
      </c>
      <c r="OH9" s="49"/>
      <c r="OI9" s="50">
        <v>24.291</v>
      </c>
      <c r="OJ9" s="48">
        <v>25</v>
      </c>
      <c r="OK9" s="43">
        <v>-0.70899999999999963</v>
      </c>
      <c r="OL9" s="49"/>
      <c r="OM9" s="50">
        <v>0</v>
      </c>
      <c r="ON9" s="48">
        <v>0</v>
      </c>
      <c r="OO9" s="48">
        <v>0</v>
      </c>
      <c r="OP9" s="48">
        <v>0</v>
      </c>
      <c r="OQ9" s="43">
        <v>0</v>
      </c>
      <c r="OR9" s="49"/>
      <c r="OS9" s="50">
        <v>36.746000000000002</v>
      </c>
      <c r="OT9" s="48">
        <v>35</v>
      </c>
      <c r="OU9" s="43">
        <v>1.746000000000002</v>
      </c>
      <c r="OV9" s="49"/>
      <c r="OW9" s="50">
        <v>0</v>
      </c>
      <c r="OX9" s="48">
        <v>0</v>
      </c>
      <c r="OY9" s="48">
        <v>16.254000000000001</v>
      </c>
      <c r="OZ9" s="48">
        <v>17</v>
      </c>
      <c r="PA9" s="43">
        <v>-0.74599999999999866</v>
      </c>
      <c r="PB9" s="49"/>
      <c r="PC9" s="50">
        <v>0</v>
      </c>
      <c r="PD9" s="48">
        <v>0</v>
      </c>
      <c r="PE9" s="43">
        <v>0</v>
      </c>
      <c r="PF9" s="49"/>
      <c r="PG9" s="50">
        <v>0</v>
      </c>
      <c r="PH9" s="48">
        <v>0</v>
      </c>
      <c r="PI9" s="48">
        <v>11.974</v>
      </c>
      <c r="PJ9" s="48">
        <v>10</v>
      </c>
      <c r="PK9" s="43">
        <v>1.974</v>
      </c>
      <c r="PL9" s="49"/>
      <c r="PM9" s="47">
        <v>0</v>
      </c>
      <c r="PN9" s="48">
        <v>0</v>
      </c>
      <c r="PO9" s="48">
        <v>12.157999999999999</v>
      </c>
      <c r="PP9" s="48">
        <v>10</v>
      </c>
      <c r="PQ9" s="43">
        <v>2.157999999999999</v>
      </c>
      <c r="PR9" s="49"/>
      <c r="PS9" s="47">
        <v>0</v>
      </c>
      <c r="PT9" s="43">
        <v>0</v>
      </c>
      <c r="PU9" s="43">
        <v>20.312000000000001</v>
      </c>
      <c r="PV9" s="43">
        <v>20</v>
      </c>
      <c r="PW9" s="43">
        <v>0.31200000000000122</v>
      </c>
      <c r="PX9" s="46"/>
      <c r="PY9" s="47">
        <v>20.41</v>
      </c>
      <c r="PZ9" s="43">
        <v>20</v>
      </c>
      <c r="QA9" s="43">
        <v>0.41000000000000009</v>
      </c>
      <c r="QB9" s="46"/>
      <c r="QC9" s="47">
        <v>0</v>
      </c>
      <c r="QD9" s="43">
        <v>0</v>
      </c>
      <c r="QE9" s="43">
        <v>0</v>
      </c>
      <c r="QF9" s="43">
        <v>0</v>
      </c>
      <c r="QG9" s="43">
        <v>0</v>
      </c>
      <c r="QH9" s="46"/>
      <c r="QI9" s="47">
        <v>0</v>
      </c>
      <c r="QJ9" s="43">
        <v>0</v>
      </c>
      <c r="QK9" s="43">
        <v>0</v>
      </c>
      <c r="QL9" s="43">
        <v>0</v>
      </c>
      <c r="QM9" s="43">
        <v>0</v>
      </c>
      <c r="QN9" s="46"/>
      <c r="QO9" s="47">
        <v>0</v>
      </c>
      <c r="QP9" s="43">
        <v>0</v>
      </c>
      <c r="QQ9" s="43">
        <v>0</v>
      </c>
      <c r="QR9" s="43">
        <v>0</v>
      </c>
      <c r="QS9" s="43">
        <v>0</v>
      </c>
      <c r="QT9" s="46"/>
      <c r="QU9" s="47">
        <v>0</v>
      </c>
      <c r="QV9" s="43">
        <v>0</v>
      </c>
      <c r="QW9" s="43">
        <v>0</v>
      </c>
      <c r="QX9" s="46"/>
      <c r="QY9" s="47">
        <v>0</v>
      </c>
      <c r="QZ9" s="43">
        <v>0</v>
      </c>
      <c r="RA9" s="43">
        <v>0</v>
      </c>
      <c r="RB9" s="43">
        <v>0</v>
      </c>
      <c r="RC9" s="43">
        <v>0</v>
      </c>
      <c r="RD9" s="46"/>
    </row>
    <row r="10" spans="1:472" x14ac:dyDescent="0.25">
      <c r="A10" s="43" t="s">
        <v>298</v>
      </c>
      <c r="B10" s="44">
        <v>1</v>
      </c>
      <c r="I10" s="47"/>
      <c r="J10" s="51"/>
      <c r="K10" s="51"/>
      <c r="L10" s="51"/>
      <c r="M10" s="51">
        <f t="shared" si="8"/>
        <v>0</v>
      </c>
      <c r="N10" s="46"/>
      <c r="O10" s="47"/>
      <c r="P10" s="51"/>
      <c r="Q10" s="51"/>
      <c r="R10" s="51"/>
      <c r="S10" s="51">
        <f t="shared" si="9"/>
        <v>0</v>
      </c>
      <c r="T10" s="46"/>
      <c r="U10" s="47"/>
      <c r="V10" s="51"/>
      <c r="W10" s="51"/>
      <c r="X10" s="51"/>
      <c r="Y10" s="51">
        <f t="shared" si="10"/>
        <v>0</v>
      </c>
      <c r="Z10" s="46"/>
      <c r="AA10" s="51"/>
      <c r="AE10" s="43">
        <v>0</v>
      </c>
      <c r="AF10" s="46"/>
      <c r="AG10" s="47"/>
      <c r="AK10" s="43">
        <v>0</v>
      </c>
      <c r="AL10" s="46"/>
      <c r="AQ10" s="43">
        <v>0</v>
      </c>
      <c r="AR10" s="46"/>
      <c r="AW10" s="43">
        <v>0</v>
      </c>
      <c r="AX10" s="46"/>
      <c r="AY10" s="47"/>
      <c r="BC10" s="43">
        <v>0</v>
      </c>
      <c r="BD10" s="46"/>
      <c r="BE10" s="47"/>
      <c r="BI10" s="43">
        <v>0</v>
      </c>
      <c r="BJ10" s="46"/>
      <c r="BP10" s="43">
        <v>0</v>
      </c>
      <c r="BQ10" s="46"/>
      <c r="BT10" s="43">
        <v>0</v>
      </c>
      <c r="BU10" s="46"/>
      <c r="BV10" s="47"/>
      <c r="BZ10" s="43">
        <v>0</v>
      </c>
      <c r="CA10" s="46"/>
      <c r="CF10" s="43">
        <v>0</v>
      </c>
      <c r="CG10" s="46"/>
      <c r="CL10" s="43">
        <v>0</v>
      </c>
      <c r="CM10" s="46"/>
      <c r="CN10" s="47"/>
      <c r="CR10" s="43">
        <v>0</v>
      </c>
      <c r="CS10" s="46"/>
      <c r="CX10" s="43">
        <v>0</v>
      </c>
      <c r="CY10" s="46"/>
      <c r="CZ10" s="47"/>
      <c r="DD10" s="43">
        <v>0</v>
      </c>
      <c r="DE10" s="46"/>
      <c r="DF10" s="47"/>
      <c r="DL10" s="43">
        <v>0</v>
      </c>
      <c r="DM10" s="46"/>
      <c r="DN10" s="47"/>
      <c r="DR10" s="43">
        <v>0</v>
      </c>
      <c r="DS10" s="46"/>
      <c r="DZ10" s="43">
        <v>0</v>
      </c>
      <c r="EA10" s="46"/>
      <c r="EB10" s="47"/>
      <c r="EF10" s="43">
        <v>0</v>
      </c>
      <c r="EG10" s="46"/>
      <c r="EH10" s="47"/>
      <c r="EL10" s="43">
        <v>0</v>
      </c>
      <c r="EM10" s="46"/>
      <c r="EN10" s="47"/>
      <c r="ER10" s="43">
        <v>0</v>
      </c>
      <c r="ES10" s="46"/>
      <c r="EZ10" s="43">
        <v>0</v>
      </c>
      <c r="FA10" s="46"/>
      <c r="FG10" s="43">
        <v>0</v>
      </c>
      <c r="FH10" s="46"/>
      <c r="FI10" s="47"/>
      <c r="FL10" s="43">
        <v>0</v>
      </c>
      <c r="FM10" s="46"/>
      <c r="FN10" s="47"/>
      <c r="FQ10" s="43">
        <v>0</v>
      </c>
      <c r="FR10" s="46"/>
      <c r="FW10" s="43">
        <v>0</v>
      </c>
      <c r="FX10" s="46"/>
      <c r="FY10" s="47"/>
      <c r="GD10" s="43">
        <v>0</v>
      </c>
      <c r="GE10" s="46"/>
      <c r="GH10">
        <v>65</v>
      </c>
      <c r="GI10">
        <v>65</v>
      </c>
      <c r="GJ10" s="43">
        <v>0</v>
      </c>
      <c r="GK10" s="46"/>
      <c r="GL10" s="47"/>
      <c r="GP10" s="43">
        <v>0</v>
      </c>
      <c r="GQ10" s="46"/>
      <c r="GV10" s="43">
        <v>0</v>
      </c>
      <c r="GW10" s="46"/>
      <c r="GX10" s="47"/>
      <c r="GZ10" s="43">
        <v>0</v>
      </c>
      <c r="HA10" s="46"/>
      <c r="HB10" s="47"/>
      <c r="HD10">
        <v>171</v>
      </c>
      <c r="HE10">
        <v>170</v>
      </c>
      <c r="HF10" s="43">
        <v>1</v>
      </c>
      <c r="HG10" s="46"/>
      <c r="HH10" s="45">
        <v>12</v>
      </c>
      <c r="HI10">
        <v>10</v>
      </c>
      <c r="HJ10" s="43">
        <v>2</v>
      </c>
      <c r="HK10" s="46"/>
      <c r="HL10" s="47"/>
      <c r="HN10">
        <v>81</v>
      </c>
      <c r="HO10">
        <v>80</v>
      </c>
      <c r="HP10" s="43">
        <v>1</v>
      </c>
      <c r="HQ10" s="46"/>
      <c r="HV10">
        <v>57</v>
      </c>
      <c r="HW10">
        <v>55</v>
      </c>
      <c r="HX10" s="43">
        <v>2</v>
      </c>
      <c r="HY10" s="46"/>
      <c r="HZ10" s="47"/>
      <c r="IB10">
        <v>122</v>
      </c>
      <c r="IC10">
        <v>120</v>
      </c>
      <c r="ID10" s="43">
        <v>2</v>
      </c>
      <c r="IE10" s="46"/>
      <c r="IH10">
        <v>49</v>
      </c>
      <c r="II10">
        <v>50</v>
      </c>
      <c r="IJ10" s="43">
        <v>-1</v>
      </c>
      <c r="IK10" s="49"/>
      <c r="IL10">
        <v>41</v>
      </c>
      <c r="IM10">
        <v>40</v>
      </c>
      <c r="IN10">
        <v>40</v>
      </c>
      <c r="IO10">
        <v>40</v>
      </c>
      <c r="IP10" s="43">
        <v>1</v>
      </c>
      <c r="IQ10" s="49"/>
      <c r="IT10">
        <v>20</v>
      </c>
      <c r="IU10">
        <v>20</v>
      </c>
      <c r="IV10" s="43">
        <v>0</v>
      </c>
      <c r="IW10" s="49"/>
      <c r="IX10">
        <v>49</v>
      </c>
      <c r="IY10">
        <v>50</v>
      </c>
      <c r="IZ10">
        <v>44</v>
      </c>
      <c r="JA10">
        <v>45</v>
      </c>
      <c r="JB10" s="43">
        <v>-2</v>
      </c>
      <c r="JC10" s="46"/>
      <c r="JD10">
        <v>49</v>
      </c>
      <c r="JE10">
        <v>50</v>
      </c>
      <c r="JF10" s="43">
        <v>-1</v>
      </c>
      <c r="JG10" s="49"/>
      <c r="JJ10">
        <v>89</v>
      </c>
      <c r="JK10">
        <v>90</v>
      </c>
      <c r="JL10" s="43">
        <v>-1</v>
      </c>
      <c r="JM10" s="46"/>
      <c r="JN10" s="50"/>
      <c r="JP10" s="43">
        <v>0</v>
      </c>
      <c r="JQ10" s="49"/>
      <c r="JV10" s="43">
        <v>0</v>
      </c>
      <c r="JW10" s="49"/>
      <c r="KB10" s="43">
        <v>0</v>
      </c>
      <c r="KC10" s="49"/>
      <c r="KF10">
        <v>210</v>
      </c>
      <c r="KG10">
        <v>210</v>
      </c>
      <c r="KH10" s="43">
        <v>0</v>
      </c>
      <c r="KI10" s="49"/>
      <c r="KJ10">
        <v>20</v>
      </c>
      <c r="KK10">
        <v>20</v>
      </c>
      <c r="KL10">
        <v>69</v>
      </c>
      <c r="KM10">
        <v>70</v>
      </c>
      <c r="KN10" s="43">
        <v>-1</v>
      </c>
      <c r="KO10" s="49"/>
      <c r="KP10" s="50"/>
      <c r="KT10">
        <v>44</v>
      </c>
      <c r="KU10">
        <v>45</v>
      </c>
      <c r="KV10" s="43">
        <v>-1</v>
      </c>
      <c r="KW10" s="49"/>
      <c r="KX10" s="48">
        <v>0</v>
      </c>
      <c r="KY10" s="48">
        <v>0</v>
      </c>
      <c r="KZ10" s="48">
        <v>20.442</v>
      </c>
      <c r="LA10" s="48">
        <v>20</v>
      </c>
      <c r="LB10" s="43">
        <v>0.44200000000000023</v>
      </c>
      <c r="LC10" s="49"/>
      <c r="LD10" s="48">
        <v>0</v>
      </c>
      <c r="LE10" s="48">
        <v>0</v>
      </c>
      <c r="LF10" s="48">
        <v>0</v>
      </c>
      <c r="LG10" s="48">
        <v>0</v>
      </c>
      <c r="LH10" s="43">
        <v>0</v>
      </c>
      <c r="LI10" s="49"/>
      <c r="LJ10" s="50">
        <v>0</v>
      </c>
      <c r="LK10" s="48">
        <v>0</v>
      </c>
      <c r="LL10" s="43">
        <v>0</v>
      </c>
      <c r="LM10" s="49"/>
      <c r="LN10" s="50">
        <v>0</v>
      </c>
      <c r="LO10" s="48">
        <v>0</v>
      </c>
      <c r="LP10" s="48">
        <v>0</v>
      </c>
      <c r="LQ10" s="48">
        <v>0</v>
      </c>
      <c r="LR10" s="48">
        <v>0</v>
      </c>
      <c r="LS10" s="43">
        <v>0</v>
      </c>
      <c r="LT10" s="49"/>
      <c r="LU10" s="50">
        <v>202.15299999999999</v>
      </c>
      <c r="LV10" s="48">
        <v>200</v>
      </c>
      <c r="LW10" s="48">
        <v>48.433999999999997</v>
      </c>
      <c r="LX10" s="48">
        <v>50</v>
      </c>
      <c r="LY10" s="43">
        <v>0.58699999999998909</v>
      </c>
      <c r="LZ10" s="49"/>
      <c r="MA10" s="50">
        <v>230.36099999999999</v>
      </c>
      <c r="MB10" s="48">
        <v>230</v>
      </c>
      <c r="MC10" s="43">
        <v>0.36099999999999</v>
      </c>
      <c r="MD10" s="49"/>
      <c r="ME10" s="50">
        <v>0</v>
      </c>
      <c r="MF10" s="48">
        <v>0</v>
      </c>
      <c r="MG10" s="48">
        <v>69.2</v>
      </c>
      <c r="MH10" s="48">
        <v>70</v>
      </c>
      <c r="MI10" s="43">
        <v>-0.79999999999999716</v>
      </c>
      <c r="MJ10" s="49"/>
      <c r="MK10" s="50">
        <v>32.573999999999998</v>
      </c>
      <c r="ML10" s="48">
        <v>30</v>
      </c>
      <c r="MM10" s="43">
        <v>2.5739999999999981</v>
      </c>
      <c r="MN10" s="49"/>
      <c r="MO10" s="50">
        <v>68.734999999999999</v>
      </c>
      <c r="MP10" s="48">
        <v>70</v>
      </c>
      <c r="MQ10" s="48">
        <v>0</v>
      </c>
      <c r="MR10" s="48">
        <v>0</v>
      </c>
      <c r="MS10" s="43">
        <v>-1.265000000000001</v>
      </c>
      <c r="MT10" s="49"/>
      <c r="MU10" s="48">
        <v>0</v>
      </c>
      <c r="MV10" s="46"/>
      <c r="MZ10" s="49"/>
      <c r="NA10" s="50"/>
      <c r="NF10" s="49"/>
      <c r="NG10" s="50"/>
      <c r="NL10" s="49"/>
      <c r="NM10" s="50"/>
      <c r="NR10" s="49"/>
      <c r="NS10" s="50"/>
      <c r="NX10" s="49"/>
      <c r="NY10" s="50"/>
      <c r="OD10" s="49"/>
      <c r="OE10" s="50"/>
      <c r="OH10" s="49"/>
      <c r="OI10" s="50"/>
      <c r="OL10" s="49"/>
      <c r="OM10" s="50"/>
      <c r="OR10" s="49"/>
      <c r="OS10" s="50"/>
      <c r="OV10" s="49"/>
      <c r="OW10" s="50"/>
      <c r="PB10" s="49"/>
      <c r="PC10" s="50"/>
      <c r="PF10" s="49"/>
      <c r="PG10" s="50"/>
      <c r="PL10" s="49"/>
      <c r="PM10" s="47"/>
      <c r="PN10" s="48"/>
      <c r="PP10" s="48"/>
      <c r="PR10" s="49"/>
      <c r="PS10" s="47"/>
      <c r="PX10" s="46"/>
      <c r="PY10" s="47"/>
      <c r="QB10" s="46"/>
      <c r="QC10" s="47"/>
      <c r="QH10" s="46"/>
      <c r="QI10" s="47"/>
      <c r="QN10" s="46"/>
      <c r="QO10" s="47"/>
      <c r="QT10" s="46"/>
      <c r="QU10" s="47"/>
      <c r="QX10" s="46"/>
      <c r="QY10" s="47"/>
      <c r="RD10" s="46"/>
    </row>
    <row r="11" spans="1:472" x14ac:dyDescent="0.25">
      <c r="A11" s="43" t="s">
        <v>299</v>
      </c>
      <c r="B11" s="44">
        <v>1</v>
      </c>
      <c r="F11">
        <v>8</v>
      </c>
      <c r="I11" s="45">
        <v>60</v>
      </c>
      <c r="J11" s="52">
        <v>60</v>
      </c>
      <c r="K11" s="52">
        <v>36</v>
      </c>
      <c r="L11" s="52">
        <v>34</v>
      </c>
      <c r="M11" s="51">
        <f t="shared" si="8"/>
        <v>2</v>
      </c>
      <c r="N11" s="46"/>
      <c r="O11" s="45">
        <v>110</v>
      </c>
      <c r="P11" s="52">
        <v>110</v>
      </c>
      <c r="Q11" s="52">
        <v>118</v>
      </c>
      <c r="R11" s="52">
        <v>117</v>
      </c>
      <c r="S11" s="51">
        <f t="shared" si="9"/>
        <v>1</v>
      </c>
      <c r="T11" s="46"/>
      <c r="U11" s="45">
        <v>61</v>
      </c>
      <c r="V11" s="52">
        <v>60</v>
      </c>
      <c r="W11" s="52">
        <v>65</v>
      </c>
      <c r="X11" s="52">
        <v>65</v>
      </c>
      <c r="Y11" s="51">
        <f t="shared" si="10"/>
        <v>1</v>
      </c>
      <c r="Z11" s="46"/>
      <c r="AA11" s="52">
        <v>61</v>
      </c>
      <c r="AB11">
        <v>60</v>
      </c>
      <c r="AC11">
        <v>36</v>
      </c>
      <c r="AD11">
        <v>35</v>
      </c>
      <c r="AE11" s="43">
        <v>2</v>
      </c>
      <c r="AF11" s="46"/>
      <c r="AG11" s="45">
        <v>61</v>
      </c>
      <c r="AH11">
        <v>60</v>
      </c>
      <c r="AI11">
        <v>77</v>
      </c>
      <c r="AJ11">
        <v>77</v>
      </c>
      <c r="AK11" s="43">
        <v>1</v>
      </c>
      <c r="AL11" s="46"/>
      <c r="AM11">
        <v>93</v>
      </c>
      <c r="AN11">
        <v>94</v>
      </c>
      <c r="AO11">
        <v>101</v>
      </c>
      <c r="AP11">
        <v>100</v>
      </c>
      <c r="AQ11" s="43">
        <v>0</v>
      </c>
      <c r="AR11" s="46"/>
      <c r="AU11">
        <v>32</v>
      </c>
      <c r="AV11">
        <v>32</v>
      </c>
      <c r="AW11" s="43">
        <v>0</v>
      </c>
      <c r="AX11" s="46"/>
      <c r="AY11" s="45">
        <v>51</v>
      </c>
      <c r="AZ11">
        <v>52</v>
      </c>
      <c r="BC11" s="43">
        <v>-1</v>
      </c>
      <c r="BD11" s="46"/>
      <c r="BE11" s="45">
        <v>101</v>
      </c>
      <c r="BF11">
        <v>100</v>
      </c>
      <c r="BG11">
        <v>136</v>
      </c>
      <c r="BH11">
        <v>137</v>
      </c>
      <c r="BI11" s="43">
        <v>0</v>
      </c>
      <c r="BJ11" s="46"/>
      <c r="BM11">
        <v>8</v>
      </c>
      <c r="BO11">
        <v>7</v>
      </c>
      <c r="BP11" s="43">
        <v>1</v>
      </c>
      <c r="BQ11" s="46"/>
      <c r="BR11">
        <v>24</v>
      </c>
      <c r="BS11">
        <v>40</v>
      </c>
      <c r="BT11" s="42">
        <v>-16</v>
      </c>
      <c r="BU11" s="46">
        <v>16</v>
      </c>
      <c r="BV11" s="45">
        <v>73</v>
      </c>
      <c r="BW11">
        <v>74</v>
      </c>
      <c r="BX11">
        <v>65</v>
      </c>
      <c r="BY11">
        <v>63</v>
      </c>
      <c r="BZ11" s="43">
        <v>1</v>
      </c>
      <c r="CA11" s="46"/>
      <c r="CB11">
        <v>89</v>
      </c>
      <c r="CC11">
        <v>90</v>
      </c>
      <c r="CD11">
        <v>140</v>
      </c>
      <c r="CE11">
        <v>142</v>
      </c>
      <c r="CF11" s="43">
        <v>-3</v>
      </c>
      <c r="CG11" s="46"/>
      <c r="CJ11">
        <v>41</v>
      </c>
      <c r="CK11">
        <v>41</v>
      </c>
      <c r="CL11" s="43">
        <v>0</v>
      </c>
      <c r="CM11" s="46"/>
      <c r="CN11" s="47"/>
      <c r="CR11" s="43">
        <v>0</v>
      </c>
      <c r="CS11" s="46"/>
      <c r="CT11">
        <v>73</v>
      </c>
      <c r="CU11">
        <v>72</v>
      </c>
      <c r="CX11" s="43">
        <v>1</v>
      </c>
      <c r="CY11" s="46"/>
      <c r="CZ11" s="45">
        <v>151</v>
      </c>
      <c r="DA11">
        <v>150</v>
      </c>
      <c r="DB11">
        <v>229</v>
      </c>
      <c r="DC11">
        <v>300</v>
      </c>
      <c r="DD11" s="42">
        <v>-70</v>
      </c>
      <c r="DE11" s="46">
        <v>70</v>
      </c>
      <c r="DF11" s="47"/>
      <c r="DJ11">
        <v>61</v>
      </c>
      <c r="DK11">
        <v>60</v>
      </c>
      <c r="DL11" s="43">
        <v>1</v>
      </c>
      <c r="DM11" s="46"/>
      <c r="DN11" s="47"/>
      <c r="DR11" s="43">
        <v>0</v>
      </c>
      <c r="DS11" s="46"/>
      <c r="DV11">
        <v>202</v>
      </c>
      <c r="DW11">
        <v>200</v>
      </c>
      <c r="DX11">
        <v>299</v>
      </c>
      <c r="DY11">
        <v>300</v>
      </c>
      <c r="DZ11" s="43">
        <v>1</v>
      </c>
      <c r="EA11" s="46"/>
      <c r="EB11" s="47"/>
      <c r="EF11" s="43">
        <v>0</v>
      </c>
      <c r="EG11" s="46"/>
      <c r="EH11" s="45">
        <v>102</v>
      </c>
      <c r="EI11">
        <v>100</v>
      </c>
      <c r="EJ11">
        <v>109</v>
      </c>
      <c r="EK11">
        <v>110</v>
      </c>
      <c r="EL11" s="43">
        <v>1</v>
      </c>
      <c r="EM11" s="46"/>
      <c r="EN11" s="45">
        <v>162</v>
      </c>
      <c r="EO11">
        <v>160</v>
      </c>
      <c r="EP11">
        <v>121</v>
      </c>
      <c r="EQ11">
        <v>120</v>
      </c>
      <c r="ER11" s="43">
        <v>3</v>
      </c>
      <c r="ES11" s="46"/>
      <c r="EZ11" s="43">
        <v>0</v>
      </c>
      <c r="FA11" s="46"/>
      <c r="FB11">
        <v>171</v>
      </c>
      <c r="FC11">
        <v>170</v>
      </c>
      <c r="FD11">
        <v>169</v>
      </c>
      <c r="FF11">
        <v>170</v>
      </c>
      <c r="FG11" s="43">
        <v>0</v>
      </c>
      <c r="FH11" s="46"/>
      <c r="FI11" s="47"/>
      <c r="FL11" s="43">
        <v>0</v>
      </c>
      <c r="FM11" s="46"/>
      <c r="FN11" s="45">
        <v>171</v>
      </c>
      <c r="FP11">
        <v>169</v>
      </c>
      <c r="FQ11" s="43">
        <v>2</v>
      </c>
      <c r="FR11" s="46"/>
      <c r="FS11">
        <v>170</v>
      </c>
      <c r="FV11">
        <v>170</v>
      </c>
      <c r="FW11" s="43">
        <v>0</v>
      </c>
      <c r="FX11" s="46"/>
      <c r="FY11" s="45">
        <v>101</v>
      </c>
      <c r="GA11">
        <v>100</v>
      </c>
      <c r="GB11">
        <v>110</v>
      </c>
      <c r="GC11">
        <v>110</v>
      </c>
      <c r="GD11" s="43">
        <v>1</v>
      </c>
      <c r="GE11" s="46"/>
      <c r="GF11">
        <v>20</v>
      </c>
      <c r="GG11">
        <v>20</v>
      </c>
      <c r="GH11">
        <v>40</v>
      </c>
      <c r="GI11">
        <v>40</v>
      </c>
      <c r="GJ11" s="43">
        <v>0</v>
      </c>
      <c r="GK11" s="46"/>
      <c r="GL11" s="47"/>
      <c r="GN11">
        <v>81</v>
      </c>
      <c r="GO11">
        <v>80</v>
      </c>
      <c r="GP11" s="43">
        <v>1</v>
      </c>
      <c r="GQ11" s="46"/>
      <c r="GR11">
        <v>148</v>
      </c>
      <c r="GS11">
        <v>150</v>
      </c>
      <c r="GT11">
        <v>149</v>
      </c>
      <c r="GU11">
        <v>150</v>
      </c>
      <c r="GV11" s="43">
        <v>-3</v>
      </c>
      <c r="GW11" s="46"/>
      <c r="GX11" s="47"/>
      <c r="GZ11" s="43">
        <v>0</v>
      </c>
      <c r="HA11" s="46"/>
      <c r="HB11" s="45">
        <v>102</v>
      </c>
      <c r="HC11">
        <v>100</v>
      </c>
      <c r="HD11">
        <v>115</v>
      </c>
      <c r="HE11">
        <v>113</v>
      </c>
      <c r="HF11" s="43">
        <v>4</v>
      </c>
      <c r="HG11" s="46"/>
      <c r="HH11" s="47"/>
      <c r="HJ11" s="43">
        <v>0</v>
      </c>
      <c r="HK11" s="46"/>
      <c r="HL11" s="47"/>
      <c r="HN11">
        <v>170</v>
      </c>
      <c r="HO11">
        <v>170</v>
      </c>
      <c r="HP11" s="43">
        <v>0</v>
      </c>
      <c r="HQ11" s="46"/>
      <c r="HR11">
        <v>201</v>
      </c>
      <c r="HS11">
        <v>200</v>
      </c>
      <c r="HT11">
        <v>240</v>
      </c>
      <c r="HU11">
        <v>240</v>
      </c>
      <c r="HX11" s="43">
        <v>1</v>
      </c>
      <c r="HY11" s="46"/>
      <c r="HZ11" s="47"/>
      <c r="IB11">
        <v>61</v>
      </c>
      <c r="IC11">
        <v>60</v>
      </c>
      <c r="ID11" s="43">
        <v>1</v>
      </c>
      <c r="IE11" s="46"/>
      <c r="IJ11" s="43">
        <v>0</v>
      </c>
      <c r="IK11" s="49"/>
      <c r="IL11">
        <v>201</v>
      </c>
      <c r="IM11">
        <v>200</v>
      </c>
      <c r="IN11">
        <v>202</v>
      </c>
      <c r="IO11">
        <v>200</v>
      </c>
      <c r="IP11" s="43">
        <v>3</v>
      </c>
      <c r="IQ11" s="49"/>
      <c r="IT11">
        <v>109</v>
      </c>
      <c r="IU11">
        <v>110</v>
      </c>
      <c r="IV11" s="43">
        <v>-1</v>
      </c>
      <c r="IW11" s="49"/>
      <c r="IX11">
        <v>171</v>
      </c>
      <c r="IY11">
        <v>170</v>
      </c>
      <c r="IZ11">
        <v>129</v>
      </c>
      <c r="JA11">
        <v>130</v>
      </c>
      <c r="JB11" s="43">
        <v>0</v>
      </c>
      <c r="JC11" s="46"/>
      <c r="JD11">
        <v>203</v>
      </c>
      <c r="JE11">
        <v>200</v>
      </c>
      <c r="JF11" s="43">
        <v>3</v>
      </c>
      <c r="JG11" s="49"/>
      <c r="JH11">
        <v>102</v>
      </c>
      <c r="JI11">
        <v>100</v>
      </c>
      <c r="JJ11">
        <v>69</v>
      </c>
      <c r="JK11">
        <v>70</v>
      </c>
      <c r="JL11" s="43">
        <v>1</v>
      </c>
      <c r="JM11" s="46"/>
      <c r="JN11" s="50"/>
      <c r="JP11" s="43">
        <v>0</v>
      </c>
      <c r="JQ11" s="49"/>
      <c r="JT11">
        <v>363</v>
      </c>
      <c r="JU11">
        <v>360</v>
      </c>
      <c r="JV11" s="43">
        <v>3</v>
      </c>
      <c r="JW11" s="49"/>
      <c r="JX11">
        <v>150</v>
      </c>
      <c r="JY11">
        <v>150</v>
      </c>
      <c r="KB11" s="43">
        <v>0</v>
      </c>
      <c r="KC11" s="49"/>
      <c r="KH11" s="43">
        <v>0</v>
      </c>
      <c r="KI11" s="49"/>
      <c r="KJ11">
        <v>201</v>
      </c>
      <c r="KK11">
        <v>200</v>
      </c>
      <c r="KL11">
        <v>399</v>
      </c>
      <c r="KM11">
        <v>400</v>
      </c>
      <c r="KN11" s="43">
        <v>0</v>
      </c>
      <c r="KO11" s="49"/>
      <c r="KP11" s="45">
        <v>48</v>
      </c>
      <c r="KQ11">
        <v>50</v>
      </c>
      <c r="KR11">
        <v>82</v>
      </c>
      <c r="KS11">
        <v>80</v>
      </c>
      <c r="KT11">
        <v>48</v>
      </c>
      <c r="KU11">
        <v>50</v>
      </c>
      <c r="KV11" s="43">
        <v>-2</v>
      </c>
      <c r="KW11" s="49"/>
      <c r="KX11" s="48">
        <v>0</v>
      </c>
      <c r="KY11" s="48">
        <v>0</v>
      </c>
      <c r="KZ11" s="48">
        <v>68.524000000000001</v>
      </c>
      <c r="LA11" s="48">
        <v>70</v>
      </c>
      <c r="LB11" s="43">
        <v>-1.4759999999999991</v>
      </c>
      <c r="LC11" s="49"/>
      <c r="LD11" s="48">
        <v>0</v>
      </c>
      <c r="LE11" s="48">
        <v>0</v>
      </c>
      <c r="LF11" s="48">
        <v>0</v>
      </c>
      <c r="LG11" s="48">
        <v>0</v>
      </c>
      <c r="LH11" s="43">
        <v>0</v>
      </c>
      <c r="LI11" s="49"/>
      <c r="LJ11" s="50">
        <v>0</v>
      </c>
      <c r="LK11" s="48">
        <v>0</v>
      </c>
      <c r="LL11" s="43">
        <v>0</v>
      </c>
      <c r="LM11" s="49"/>
      <c r="LN11" s="50">
        <v>251.892</v>
      </c>
      <c r="LO11" s="48">
        <v>250</v>
      </c>
      <c r="LP11" s="48">
        <v>250.37200000000001</v>
      </c>
      <c r="LQ11" s="48">
        <v>0</v>
      </c>
      <c r="LR11" s="48">
        <v>250</v>
      </c>
      <c r="LS11" s="43">
        <v>2.26400000000001</v>
      </c>
      <c r="LT11" s="49"/>
      <c r="LU11" s="50">
        <v>162.137</v>
      </c>
      <c r="LV11" s="48">
        <v>160</v>
      </c>
      <c r="LW11" s="48">
        <v>204.577</v>
      </c>
      <c r="LX11" s="48">
        <v>200</v>
      </c>
      <c r="LY11" s="43">
        <v>6.7139999999999986</v>
      </c>
      <c r="LZ11" s="49"/>
      <c r="MA11" s="50">
        <v>0</v>
      </c>
      <c r="MB11" s="48">
        <v>0</v>
      </c>
      <c r="MC11" s="43">
        <v>0</v>
      </c>
      <c r="MD11" s="49"/>
      <c r="ME11" s="50">
        <v>100.004</v>
      </c>
      <c r="MF11" s="48">
        <v>100</v>
      </c>
      <c r="MG11" s="48">
        <v>385.70100000000002</v>
      </c>
      <c r="MH11" s="48">
        <v>379</v>
      </c>
      <c r="MI11" s="43">
        <v>6.7050000000000409</v>
      </c>
      <c r="MJ11" s="49"/>
      <c r="MK11" s="50">
        <v>230.32300000000001</v>
      </c>
      <c r="ML11" s="48">
        <v>230</v>
      </c>
      <c r="MM11" s="43">
        <v>0.3230000000000075</v>
      </c>
      <c r="MN11" s="49"/>
      <c r="MO11" s="50">
        <v>0</v>
      </c>
      <c r="MP11" s="48">
        <v>0</v>
      </c>
      <c r="MQ11" s="48">
        <v>0</v>
      </c>
      <c r="MR11" s="48">
        <v>0</v>
      </c>
      <c r="MS11" s="43">
        <v>0</v>
      </c>
      <c r="MT11" s="49"/>
      <c r="MU11" s="48">
        <v>0</v>
      </c>
      <c r="MV11" s="46"/>
      <c r="MW11" s="48">
        <v>505.36</v>
      </c>
      <c r="MX11" s="48">
        <v>500</v>
      </c>
      <c r="MY11" s="43">
        <v>5.3600000000000136</v>
      </c>
      <c r="MZ11" s="49"/>
      <c r="NA11" s="50">
        <v>0</v>
      </c>
      <c r="NB11" s="48">
        <v>0</v>
      </c>
      <c r="NC11" s="48">
        <v>64.643000000000001</v>
      </c>
      <c r="ND11" s="48">
        <v>65</v>
      </c>
      <c r="NE11" s="43">
        <v>-0.35699999999999932</v>
      </c>
      <c r="NF11" s="49"/>
      <c r="NG11" s="50">
        <v>0</v>
      </c>
      <c r="NH11" s="33">
        <v>100</v>
      </c>
      <c r="NI11" s="48">
        <v>154.72999999999999</v>
      </c>
      <c r="NJ11" s="48">
        <v>150</v>
      </c>
      <c r="NK11" s="42">
        <v>-95.27000000000001</v>
      </c>
      <c r="NL11" s="49">
        <v>95.27000000000001</v>
      </c>
      <c r="NM11" s="50">
        <v>68.724999999999994</v>
      </c>
      <c r="NN11" s="48">
        <v>70</v>
      </c>
      <c r="NO11" s="48">
        <v>80.960999999999999</v>
      </c>
      <c r="NP11" s="48">
        <v>80</v>
      </c>
      <c r="NQ11" s="43">
        <v>-0.31400000000002137</v>
      </c>
      <c r="NR11" s="49"/>
      <c r="NS11" s="50">
        <v>0</v>
      </c>
      <c r="NT11" s="33">
        <v>100</v>
      </c>
      <c r="NU11" s="48">
        <v>302.84699999999998</v>
      </c>
      <c r="NV11" s="48">
        <v>300</v>
      </c>
      <c r="NW11" s="42">
        <v>-97.15300000000002</v>
      </c>
      <c r="NX11" s="49">
        <v>97.15300000000002</v>
      </c>
      <c r="NY11" s="50">
        <v>0</v>
      </c>
      <c r="NZ11" s="48">
        <v>0</v>
      </c>
      <c r="OA11" s="48">
        <v>16.236999999999998</v>
      </c>
      <c r="OB11" s="48">
        <v>14</v>
      </c>
      <c r="OC11" s="43">
        <v>2.2369999999999979</v>
      </c>
      <c r="OD11" s="49"/>
      <c r="OE11" s="50">
        <v>219.17599999999999</v>
      </c>
      <c r="OF11" s="48">
        <v>220</v>
      </c>
      <c r="OG11" s="43">
        <v>-0.82400000000001228</v>
      </c>
      <c r="OH11" s="49"/>
      <c r="OI11" s="50">
        <v>175.291</v>
      </c>
      <c r="OJ11" s="48">
        <v>172</v>
      </c>
      <c r="OK11" s="43">
        <v>3.2909999999999968</v>
      </c>
      <c r="OL11" s="49"/>
      <c r="OM11" s="50">
        <v>0</v>
      </c>
      <c r="ON11" s="48">
        <v>0</v>
      </c>
      <c r="OO11" s="48">
        <v>0</v>
      </c>
      <c r="OP11" s="48">
        <v>0</v>
      </c>
      <c r="OQ11" s="43">
        <v>0</v>
      </c>
      <c r="OR11" s="49"/>
      <c r="OS11" s="50">
        <v>564.70899999999995</v>
      </c>
      <c r="OT11" s="48">
        <v>563</v>
      </c>
      <c r="OU11" s="43">
        <v>1.7089999999999459</v>
      </c>
      <c r="OV11" s="49"/>
      <c r="OW11" s="50">
        <v>80.784999999999997</v>
      </c>
      <c r="OX11" s="48">
        <v>80</v>
      </c>
      <c r="OY11" s="48">
        <v>68.653000000000006</v>
      </c>
      <c r="OZ11" s="48">
        <v>69</v>
      </c>
      <c r="PA11" s="43">
        <v>0.43799999999998818</v>
      </c>
      <c r="PB11" s="49"/>
      <c r="PC11" s="50">
        <v>76.754999999999995</v>
      </c>
      <c r="PD11" s="48">
        <v>80</v>
      </c>
      <c r="PE11" s="43">
        <v>-3.245000000000005</v>
      </c>
      <c r="PF11" s="49"/>
      <c r="PG11" s="50">
        <v>0</v>
      </c>
      <c r="PH11" s="48">
        <v>0</v>
      </c>
      <c r="PI11" s="48">
        <v>44.531999999999996</v>
      </c>
      <c r="PJ11" s="48">
        <v>57</v>
      </c>
      <c r="PK11" s="42">
        <v>-12.468</v>
      </c>
      <c r="PL11" s="49">
        <v>12.468</v>
      </c>
      <c r="PM11" s="47">
        <v>101.367</v>
      </c>
      <c r="PN11" s="48">
        <v>100</v>
      </c>
      <c r="PO11" s="48">
        <v>137.61799999999999</v>
      </c>
      <c r="PP11" s="48">
        <v>136</v>
      </c>
      <c r="PQ11" s="43">
        <v>2.9850000000000141</v>
      </c>
      <c r="PR11" s="49"/>
      <c r="PS11" s="47">
        <v>100.86</v>
      </c>
      <c r="PT11" s="43">
        <v>100</v>
      </c>
      <c r="PU11" s="43">
        <v>148.71799999999999</v>
      </c>
      <c r="PV11" s="43">
        <v>150</v>
      </c>
      <c r="PW11" s="43">
        <v>-0.42200000000002552</v>
      </c>
      <c r="PX11" s="46"/>
      <c r="PY11" s="47">
        <v>231.37299999999999</v>
      </c>
      <c r="PZ11" s="43">
        <v>232</v>
      </c>
      <c r="QA11" s="43">
        <v>-0.62700000000000955</v>
      </c>
      <c r="QB11" s="46"/>
      <c r="QC11" s="47">
        <v>101.021</v>
      </c>
      <c r="QD11" s="43">
        <v>100</v>
      </c>
      <c r="QE11" s="43">
        <v>122.348</v>
      </c>
      <c r="QF11" s="43">
        <v>120</v>
      </c>
      <c r="QG11" s="43">
        <v>3.3690000000000002</v>
      </c>
      <c r="QH11" s="46"/>
      <c r="QI11" s="47">
        <v>81.153000000000006</v>
      </c>
      <c r="QJ11" s="43">
        <v>80</v>
      </c>
      <c r="QK11" s="43">
        <v>119.578</v>
      </c>
      <c r="QL11" s="43">
        <v>120</v>
      </c>
      <c r="QM11" s="43">
        <v>0.73099999999999454</v>
      </c>
      <c r="QN11" s="46"/>
      <c r="QO11" s="47">
        <v>24.007999999999999</v>
      </c>
      <c r="QP11" s="43">
        <v>23</v>
      </c>
      <c r="QQ11" s="43">
        <v>0</v>
      </c>
      <c r="QR11" s="43">
        <v>0</v>
      </c>
      <c r="QS11" s="43">
        <v>1.0079999999999989</v>
      </c>
      <c r="QT11" s="46"/>
      <c r="QU11" s="47">
        <v>204.89</v>
      </c>
      <c r="QV11" s="43">
        <v>200</v>
      </c>
      <c r="QW11" s="43">
        <v>4.8899999999999864</v>
      </c>
      <c r="QX11" s="46"/>
      <c r="QY11" s="47">
        <v>100.91</v>
      </c>
      <c r="QZ11" s="43">
        <v>100</v>
      </c>
      <c r="RA11" s="43">
        <v>190.43299999999999</v>
      </c>
      <c r="RB11" s="43">
        <v>188</v>
      </c>
      <c r="RC11" s="43">
        <v>3.3429999999999609</v>
      </c>
      <c r="RD11" s="46"/>
    </row>
    <row r="12" spans="1:472" x14ac:dyDescent="0.25">
      <c r="A12" s="43" t="s">
        <v>300</v>
      </c>
      <c r="B12" s="44">
        <v>1</v>
      </c>
      <c r="E12">
        <v>550</v>
      </c>
      <c r="F12">
        <v>396</v>
      </c>
      <c r="I12" s="45">
        <v>372</v>
      </c>
      <c r="J12" s="52">
        <v>370</v>
      </c>
      <c r="K12" s="52">
        <v>402</v>
      </c>
      <c r="L12" s="52">
        <v>399</v>
      </c>
      <c r="M12" s="51">
        <f t="shared" si="8"/>
        <v>5</v>
      </c>
      <c r="N12" s="46"/>
      <c r="O12" s="45">
        <v>280</v>
      </c>
      <c r="P12" s="52">
        <v>280</v>
      </c>
      <c r="Q12" s="52">
        <v>291</v>
      </c>
      <c r="R12" s="52">
        <v>290</v>
      </c>
      <c r="S12" s="51">
        <f t="shared" si="9"/>
        <v>1</v>
      </c>
      <c r="T12" s="46"/>
      <c r="U12" s="45">
        <v>466</v>
      </c>
      <c r="V12" s="52">
        <v>460</v>
      </c>
      <c r="W12" s="52">
        <v>340</v>
      </c>
      <c r="X12" s="52">
        <v>343</v>
      </c>
      <c r="Y12" s="51">
        <f t="shared" si="10"/>
        <v>3</v>
      </c>
      <c r="Z12" s="46"/>
      <c r="AA12" s="52">
        <v>250</v>
      </c>
      <c r="AB12">
        <v>250</v>
      </c>
      <c r="AE12" s="43">
        <v>0</v>
      </c>
      <c r="AF12" s="46"/>
      <c r="AG12" s="45">
        <v>312</v>
      </c>
      <c r="AH12">
        <v>310</v>
      </c>
      <c r="AI12">
        <v>368</v>
      </c>
      <c r="AJ12">
        <v>369</v>
      </c>
      <c r="AK12" s="43">
        <v>1</v>
      </c>
      <c r="AL12" s="46"/>
      <c r="AM12">
        <v>223</v>
      </c>
      <c r="AN12">
        <v>220</v>
      </c>
      <c r="AO12">
        <v>226</v>
      </c>
      <c r="AP12">
        <v>227</v>
      </c>
      <c r="AQ12" s="43">
        <v>2</v>
      </c>
      <c r="AR12" s="46"/>
      <c r="AS12">
        <v>290</v>
      </c>
      <c r="AT12">
        <v>290</v>
      </c>
      <c r="AU12">
        <v>308</v>
      </c>
      <c r="AV12">
        <v>309</v>
      </c>
      <c r="AW12" s="43">
        <v>-1</v>
      </c>
      <c r="AX12" s="46"/>
      <c r="AY12" s="47"/>
      <c r="BC12" s="43">
        <v>0</v>
      </c>
      <c r="BD12" s="46"/>
      <c r="BE12" s="45">
        <v>509</v>
      </c>
      <c r="BF12">
        <v>500</v>
      </c>
      <c r="BG12">
        <v>481</v>
      </c>
      <c r="BH12">
        <v>483</v>
      </c>
      <c r="BI12" s="43">
        <v>7</v>
      </c>
      <c r="BJ12" s="46"/>
      <c r="BK12">
        <v>323</v>
      </c>
      <c r="BL12">
        <v>320</v>
      </c>
      <c r="BN12">
        <v>268</v>
      </c>
      <c r="BO12">
        <v>268</v>
      </c>
      <c r="BP12" s="43">
        <v>3</v>
      </c>
      <c r="BQ12" s="46"/>
      <c r="BR12">
        <v>354</v>
      </c>
      <c r="BS12">
        <v>350</v>
      </c>
      <c r="BT12" s="43">
        <v>4</v>
      </c>
      <c r="BU12" s="46"/>
      <c r="BV12" s="45">
        <v>418</v>
      </c>
      <c r="BW12">
        <v>416</v>
      </c>
      <c r="BX12">
        <v>523</v>
      </c>
      <c r="BY12">
        <v>520</v>
      </c>
      <c r="BZ12" s="43">
        <v>5</v>
      </c>
      <c r="CA12" s="46"/>
      <c r="CB12">
        <v>149</v>
      </c>
      <c r="CC12">
        <v>150</v>
      </c>
      <c r="CD12">
        <v>186</v>
      </c>
      <c r="CE12">
        <v>184</v>
      </c>
      <c r="CF12" s="43">
        <v>1</v>
      </c>
      <c r="CG12" s="46"/>
      <c r="CH12">
        <v>253</v>
      </c>
      <c r="CI12">
        <v>250</v>
      </c>
      <c r="CJ12">
        <v>318</v>
      </c>
      <c r="CK12">
        <v>315</v>
      </c>
      <c r="CL12" s="43">
        <v>6</v>
      </c>
      <c r="CM12" s="46"/>
      <c r="CN12" s="47"/>
      <c r="CP12">
        <v>250</v>
      </c>
      <c r="CQ12">
        <v>252</v>
      </c>
      <c r="CR12" s="43">
        <v>-2</v>
      </c>
      <c r="CS12" s="46"/>
      <c r="CT12">
        <v>195</v>
      </c>
      <c r="CU12">
        <v>193</v>
      </c>
      <c r="CX12" s="43">
        <v>2</v>
      </c>
      <c r="CY12" s="46"/>
      <c r="CZ12" s="47"/>
      <c r="DD12" s="43">
        <v>0</v>
      </c>
      <c r="DE12" s="46"/>
      <c r="DF12" s="45">
        <v>299</v>
      </c>
      <c r="DG12">
        <v>300</v>
      </c>
      <c r="DH12">
        <v>600</v>
      </c>
      <c r="DI12">
        <v>600</v>
      </c>
      <c r="DJ12">
        <v>347</v>
      </c>
      <c r="DK12">
        <v>346</v>
      </c>
      <c r="DL12" s="43">
        <v>0</v>
      </c>
      <c r="DM12" s="46"/>
      <c r="DN12" s="45">
        <v>202</v>
      </c>
      <c r="DO12">
        <v>200</v>
      </c>
      <c r="DP12">
        <v>150</v>
      </c>
      <c r="DQ12">
        <v>150</v>
      </c>
      <c r="DR12" s="43">
        <v>2</v>
      </c>
      <c r="DS12" s="46"/>
      <c r="DT12">
        <v>299</v>
      </c>
      <c r="DU12">
        <v>300</v>
      </c>
      <c r="DV12">
        <v>422</v>
      </c>
      <c r="DW12">
        <v>420</v>
      </c>
      <c r="DX12">
        <v>402</v>
      </c>
      <c r="DY12">
        <v>400</v>
      </c>
      <c r="DZ12" s="43">
        <v>3</v>
      </c>
      <c r="EA12" s="46"/>
      <c r="EB12" s="45">
        <v>102</v>
      </c>
      <c r="EC12">
        <v>100</v>
      </c>
      <c r="ED12">
        <v>291</v>
      </c>
      <c r="EE12">
        <v>290</v>
      </c>
      <c r="EF12" s="43">
        <v>3</v>
      </c>
      <c r="EG12" s="46"/>
      <c r="EH12" s="45">
        <v>400</v>
      </c>
      <c r="EI12">
        <v>400</v>
      </c>
      <c r="EJ12">
        <v>405</v>
      </c>
      <c r="EK12">
        <v>410</v>
      </c>
      <c r="EL12" s="43">
        <v>-5</v>
      </c>
      <c r="EM12" s="46"/>
      <c r="EN12" s="45">
        <v>403</v>
      </c>
      <c r="EO12">
        <v>400</v>
      </c>
      <c r="EP12">
        <v>259</v>
      </c>
      <c r="EQ12">
        <v>260</v>
      </c>
      <c r="ER12" s="43">
        <v>2</v>
      </c>
      <c r="ES12" s="46"/>
      <c r="ET12">
        <v>298</v>
      </c>
      <c r="EU12">
        <v>300</v>
      </c>
      <c r="EV12">
        <v>298</v>
      </c>
      <c r="EW12">
        <v>300</v>
      </c>
      <c r="EX12">
        <v>335</v>
      </c>
      <c r="EY12">
        <v>330</v>
      </c>
      <c r="EZ12" s="43">
        <v>1</v>
      </c>
      <c r="FA12" s="46"/>
      <c r="FB12">
        <v>249</v>
      </c>
      <c r="FC12">
        <v>250</v>
      </c>
      <c r="FD12">
        <v>240</v>
      </c>
      <c r="FF12">
        <v>240</v>
      </c>
      <c r="FG12" s="43">
        <v>-1</v>
      </c>
      <c r="FH12" s="46"/>
      <c r="FI12" s="45">
        <v>311</v>
      </c>
      <c r="FK12" s="48">
        <v>300</v>
      </c>
      <c r="FL12" s="43">
        <v>11</v>
      </c>
      <c r="FM12" s="46"/>
      <c r="FN12" s="45">
        <v>343</v>
      </c>
      <c r="FP12">
        <v>345</v>
      </c>
      <c r="FQ12" s="43">
        <v>-2</v>
      </c>
      <c r="FR12" s="46"/>
      <c r="FS12">
        <v>806</v>
      </c>
      <c r="FT12">
        <v>400</v>
      </c>
      <c r="FU12">
        <v>405</v>
      </c>
      <c r="FV12">
        <v>800</v>
      </c>
      <c r="FW12" s="43">
        <v>11</v>
      </c>
      <c r="FX12" s="46"/>
      <c r="FY12" s="45">
        <v>170</v>
      </c>
      <c r="GA12">
        <v>170</v>
      </c>
      <c r="GB12">
        <v>202</v>
      </c>
      <c r="GC12">
        <v>200</v>
      </c>
      <c r="GD12" s="43">
        <v>2</v>
      </c>
      <c r="GE12" s="46"/>
      <c r="GF12">
        <v>270</v>
      </c>
      <c r="GG12">
        <v>270</v>
      </c>
      <c r="GH12">
        <v>272</v>
      </c>
      <c r="GI12">
        <v>270</v>
      </c>
      <c r="GJ12" s="43">
        <v>2</v>
      </c>
      <c r="GK12" s="46"/>
      <c r="GL12" s="45">
        <v>299</v>
      </c>
      <c r="GM12">
        <v>300</v>
      </c>
      <c r="GN12">
        <v>397</v>
      </c>
      <c r="GO12">
        <v>400</v>
      </c>
      <c r="GP12" s="43">
        <v>-4</v>
      </c>
      <c r="GQ12" s="46"/>
      <c r="GR12">
        <v>141</v>
      </c>
      <c r="GS12">
        <v>140</v>
      </c>
      <c r="GT12">
        <v>143</v>
      </c>
      <c r="GU12">
        <v>140</v>
      </c>
      <c r="GV12" s="43">
        <v>4</v>
      </c>
      <c r="GW12" s="46"/>
      <c r="GX12" s="45">
        <v>234</v>
      </c>
      <c r="GY12" s="48">
        <v>234.566</v>
      </c>
      <c r="GZ12" s="43">
        <v>-0.5660000000000025</v>
      </c>
      <c r="HA12" s="46"/>
      <c r="HB12" s="45">
        <v>800</v>
      </c>
      <c r="HC12">
        <v>800</v>
      </c>
      <c r="HD12">
        <v>800</v>
      </c>
      <c r="HE12">
        <v>800</v>
      </c>
      <c r="HF12" s="43">
        <v>0</v>
      </c>
      <c r="HG12" s="46"/>
      <c r="HH12" s="47"/>
      <c r="HJ12" s="43">
        <v>0</v>
      </c>
      <c r="HK12" s="46"/>
      <c r="HL12" s="45">
        <v>299</v>
      </c>
      <c r="HM12">
        <v>300</v>
      </c>
      <c r="HN12">
        <v>260</v>
      </c>
      <c r="HO12">
        <v>260</v>
      </c>
      <c r="HP12" s="43">
        <v>-1</v>
      </c>
      <c r="HQ12" s="46"/>
      <c r="HR12">
        <v>300</v>
      </c>
      <c r="HS12">
        <v>300</v>
      </c>
      <c r="HT12">
        <v>340</v>
      </c>
      <c r="HU12">
        <v>340</v>
      </c>
      <c r="HX12" s="43">
        <v>0</v>
      </c>
      <c r="HY12" s="46"/>
      <c r="HZ12" s="45">
        <v>602</v>
      </c>
      <c r="IA12">
        <v>600</v>
      </c>
      <c r="IB12">
        <v>506</v>
      </c>
      <c r="IC12">
        <v>500</v>
      </c>
      <c r="ID12" s="43">
        <v>8</v>
      </c>
      <c r="IE12" s="46"/>
      <c r="IF12">
        <v>88</v>
      </c>
      <c r="IG12">
        <v>90</v>
      </c>
      <c r="IH12">
        <v>109</v>
      </c>
      <c r="II12">
        <v>110</v>
      </c>
      <c r="IJ12" s="43">
        <v>-3</v>
      </c>
      <c r="IK12" s="49"/>
      <c r="IL12">
        <v>351</v>
      </c>
      <c r="IM12">
        <v>350</v>
      </c>
      <c r="IN12">
        <v>250</v>
      </c>
      <c r="IO12">
        <v>250</v>
      </c>
      <c r="IP12" s="43">
        <v>1</v>
      </c>
      <c r="IQ12" s="49"/>
      <c r="IR12">
        <v>304</v>
      </c>
      <c r="IS12">
        <v>300</v>
      </c>
      <c r="IT12">
        <v>203</v>
      </c>
      <c r="IU12">
        <v>200</v>
      </c>
      <c r="IV12" s="43">
        <v>7</v>
      </c>
      <c r="IW12" s="49"/>
      <c r="IX12">
        <v>557</v>
      </c>
      <c r="IY12">
        <v>550</v>
      </c>
      <c r="IZ12">
        <v>402</v>
      </c>
      <c r="JA12">
        <v>400</v>
      </c>
      <c r="JB12" s="43">
        <v>9</v>
      </c>
      <c r="JC12" s="46"/>
      <c r="JD12">
        <v>401</v>
      </c>
      <c r="JE12">
        <v>400</v>
      </c>
      <c r="JF12" s="43">
        <v>1</v>
      </c>
      <c r="JG12" s="49"/>
      <c r="JH12">
        <v>355</v>
      </c>
      <c r="JI12">
        <v>350</v>
      </c>
      <c r="JJ12">
        <v>332</v>
      </c>
      <c r="JK12">
        <v>330</v>
      </c>
      <c r="JL12" s="43">
        <v>7</v>
      </c>
      <c r="JM12" s="46"/>
      <c r="JN12" s="45">
        <v>651</v>
      </c>
      <c r="JO12" s="48">
        <v>650</v>
      </c>
      <c r="JP12" s="43">
        <v>1</v>
      </c>
      <c r="JQ12" s="49"/>
      <c r="JT12">
        <v>449</v>
      </c>
      <c r="JU12">
        <v>450</v>
      </c>
      <c r="JV12" s="43">
        <v>-1</v>
      </c>
      <c r="JW12" s="49"/>
      <c r="JY12">
        <v>500</v>
      </c>
      <c r="JZ12">
        <v>97</v>
      </c>
      <c r="KA12">
        <v>95</v>
      </c>
      <c r="KB12" s="42">
        <v>-498</v>
      </c>
      <c r="KC12" s="49">
        <v>498</v>
      </c>
      <c r="KD12">
        <v>24</v>
      </c>
      <c r="KE12">
        <v>150</v>
      </c>
      <c r="KF12">
        <v>402</v>
      </c>
      <c r="KG12">
        <v>400</v>
      </c>
      <c r="KH12" s="42">
        <v>-124</v>
      </c>
      <c r="KI12" s="49">
        <v>124</v>
      </c>
      <c r="KJ12">
        <v>252</v>
      </c>
      <c r="KK12">
        <v>250</v>
      </c>
      <c r="KL12">
        <v>118</v>
      </c>
      <c r="KM12">
        <v>290</v>
      </c>
      <c r="KN12" s="42">
        <v>-170</v>
      </c>
      <c r="KO12" s="49">
        <v>170</v>
      </c>
      <c r="KP12" s="45">
        <v>203</v>
      </c>
      <c r="KQ12">
        <v>200</v>
      </c>
      <c r="KR12">
        <v>302</v>
      </c>
      <c r="KS12">
        <v>300</v>
      </c>
      <c r="KT12">
        <v>202</v>
      </c>
      <c r="KU12">
        <v>200</v>
      </c>
      <c r="KV12" s="43">
        <v>7</v>
      </c>
      <c r="KW12" s="49"/>
      <c r="KX12" s="48">
        <v>248.02799999999999</v>
      </c>
      <c r="KY12" s="48">
        <v>250</v>
      </c>
      <c r="KZ12" s="48">
        <v>298.26900000000001</v>
      </c>
      <c r="LA12" s="48">
        <v>300</v>
      </c>
      <c r="LB12" s="43">
        <v>-3.702999999999975</v>
      </c>
      <c r="LC12" s="49"/>
      <c r="LD12" s="48">
        <v>150.11199999999999</v>
      </c>
      <c r="LE12" s="48">
        <v>150</v>
      </c>
      <c r="LF12" s="48">
        <v>203.345</v>
      </c>
      <c r="LG12" s="48">
        <v>200</v>
      </c>
      <c r="LH12" s="43">
        <v>3.4569999999999941</v>
      </c>
      <c r="LI12" s="49"/>
      <c r="LJ12" s="50">
        <v>24.039000000000001</v>
      </c>
      <c r="LK12" s="48">
        <v>23</v>
      </c>
      <c r="LL12" s="43">
        <v>1.039000000000001</v>
      </c>
      <c r="LM12" s="49"/>
      <c r="LN12" s="50">
        <v>601.45299999999997</v>
      </c>
      <c r="LO12" s="48">
        <v>600</v>
      </c>
      <c r="LP12" s="48">
        <v>560.88300000000004</v>
      </c>
      <c r="LQ12" s="48">
        <v>0</v>
      </c>
      <c r="LR12" s="48">
        <v>561</v>
      </c>
      <c r="LS12" s="43">
        <v>1.336000000000013</v>
      </c>
      <c r="LT12" s="49"/>
      <c r="LU12" s="50">
        <v>250.946</v>
      </c>
      <c r="LV12" s="48">
        <v>250</v>
      </c>
      <c r="LW12" s="48">
        <v>338.57799999999997</v>
      </c>
      <c r="LX12" s="48">
        <v>340</v>
      </c>
      <c r="LY12" s="43">
        <v>-0.47599999999999909</v>
      </c>
      <c r="LZ12" s="49"/>
      <c r="MA12" s="50">
        <v>203.31200000000001</v>
      </c>
      <c r="MB12" s="48">
        <v>200</v>
      </c>
      <c r="MC12" s="43">
        <v>3.3120000000000118</v>
      </c>
      <c r="MD12" s="49"/>
      <c r="ME12" s="50">
        <v>202.61500000000001</v>
      </c>
      <c r="MF12" s="48">
        <v>200</v>
      </c>
      <c r="MG12" s="48">
        <v>452.23</v>
      </c>
      <c r="MH12" s="48">
        <v>450</v>
      </c>
      <c r="MI12" s="43">
        <v>4.8450000000000273</v>
      </c>
      <c r="MJ12" s="49"/>
      <c r="MK12" s="50">
        <v>453.10899999999998</v>
      </c>
      <c r="ML12" s="48">
        <v>450</v>
      </c>
      <c r="MM12" s="43">
        <v>3.10899999999998</v>
      </c>
      <c r="MN12" s="49"/>
      <c r="MO12" s="50">
        <v>252.09800000000001</v>
      </c>
      <c r="MP12" s="48">
        <v>250</v>
      </c>
      <c r="MQ12" s="48">
        <v>149.864</v>
      </c>
      <c r="MR12" s="48">
        <v>150</v>
      </c>
      <c r="MS12" s="43">
        <v>1.9619999999999891</v>
      </c>
      <c r="MT12" s="49"/>
      <c r="MU12" s="48">
        <v>0</v>
      </c>
      <c r="MV12" s="46"/>
      <c r="MW12" s="48">
        <v>534.26599999999996</v>
      </c>
      <c r="MX12" s="48">
        <v>540</v>
      </c>
      <c r="MY12" s="43">
        <v>-5.7340000000000373</v>
      </c>
      <c r="MZ12" s="49"/>
      <c r="NA12" s="50">
        <v>100.371</v>
      </c>
      <c r="NB12" s="48">
        <v>100</v>
      </c>
      <c r="NC12" s="48">
        <v>249.66300000000001</v>
      </c>
      <c r="ND12" s="48">
        <v>250</v>
      </c>
      <c r="NE12" s="43">
        <v>3.3999999999991808E-2</v>
      </c>
      <c r="NF12" s="49"/>
      <c r="NG12" s="50">
        <v>251.70599999999999</v>
      </c>
      <c r="NH12" s="48">
        <v>100</v>
      </c>
      <c r="NI12" s="48">
        <v>402.00099999999998</v>
      </c>
      <c r="NJ12" s="48">
        <v>400</v>
      </c>
      <c r="NK12" s="43">
        <v>153.70699999999999</v>
      </c>
      <c r="NL12" s="49"/>
      <c r="NM12" s="50">
        <v>101.155</v>
      </c>
      <c r="NN12" s="48">
        <v>100</v>
      </c>
      <c r="NO12" s="48">
        <v>141.30799999999999</v>
      </c>
      <c r="NP12" s="48">
        <v>150</v>
      </c>
      <c r="NQ12" s="43">
        <v>-7.5370000000000061</v>
      </c>
      <c r="NR12" s="49"/>
      <c r="NS12" s="50">
        <v>121.033</v>
      </c>
      <c r="NT12" s="48">
        <v>200</v>
      </c>
      <c r="NU12" s="48">
        <v>363.64800000000002</v>
      </c>
      <c r="NV12" s="48">
        <v>360</v>
      </c>
      <c r="NW12" s="42">
        <v>-75.31899999999996</v>
      </c>
      <c r="NX12" s="49">
        <v>75.31899999999996</v>
      </c>
      <c r="NY12" s="50">
        <v>101.441</v>
      </c>
      <c r="NZ12" s="48">
        <v>100</v>
      </c>
      <c r="OA12" s="32">
        <v>412.00900000000001</v>
      </c>
      <c r="OB12" s="48">
        <v>167</v>
      </c>
      <c r="OC12" s="43">
        <v>246.45</v>
      </c>
      <c r="OD12" s="49"/>
      <c r="OE12" s="50">
        <v>342.99900000000002</v>
      </c>
      <c r="OF12" s="48">
        <v>340</v>
      </c>
      <c r="OG12" s="43">
        <v>2.9990000000000241</v>
      </c>
      <c r="OH12" s="49"/>
      <c r="OI12" s="50">
        <v>807.42700000000002</v>
      </c>
      <c r="OJ12" s="48">
        <v>804</v>
      </c>
      <c r="OK12" s="43">
        <v>3.4270000000000209</v>
      </c>
      <c r="OL12" s="49"/>
      <c r="OM12" s="50">
        <v>163.06899999999999</v>
      </c>
      <c r="ON12" s="48">
        <v>160</v>
      </c>
      <c r="OO12" s="48">
        <v>141.035</v>
      </c>
      <c r="OP12" s="48">
        <v>140</v>
      </c>
      <c r="OQ12" s="43">
        <v>4.103999999999985</v>
      </c>
      <c r="OR12" s="49"/>
      <c r="OS12" s="50">
        <v>299.45299999999997</v>
      </c>
      <c r="OT12" s="48">
        <v>300</v>
      </c>
      <c r="OU12" s="43">
        <v>-0.54700000000002547</v>
      </c>
      <c r="OV12" s="49"/>
      <c r="OW12" s="50">
        <v>507.125</v>
      </c>
      <c r="OX12" s="48">
        <v>500</v>
      </c>
      <c r="OY12" s="48">
        <v>464.94200000000001</v>
      </c>
      <c r="OZ12" s="48">
        <v>463</v>
      </c>
      <c r="PA12" s="43">
        <v>9.0670000000000073</v>
      </c>
      <c r="PB12" s="49"/>
      <c r="PC12" s="50">
        <v>274.70299999999997</v>
      </c>
      <c r="PD12" s="48">
        <v>173</v>
      </c>
      <c r="PE12" s="43">
        <v>101.703</v>
      </c>
      <c r="PF12" s="49"/>
      <c r="PG12" s="50">
        <v>0</v>
      </c>
      <c r="PH12" s="48">
        <v>0</v>
      </c>
      <c r="PI12" s="48">
        <v>16.366</v>
      </c>
      <c r="PJ12" s="48">
        <v>35</v>
      </c>
      <c r="PK12" s="42">
        <v>-18.634</v>
      </c>
      <c r="PL12" s="49">
        <v>18.634</v>
      </c>
      <c r="PM12" s="47">
        <v>135.08600000000001</v>
      </c>
      <c r="PN12" s="48">
        <v>500</v>
      </c>
      <c r="PO12" s="48">
        <v>567.11300000000006</v>
      </c>
      <c r="PP12" s="48">
        <v>568</v>
      </c>
      <c r="PQ12" s="42">
        <v>-365.80099999999987</v>
      </c>
      <c r="PR12" s="49">
        <v>365.80099999999987</v>
      </c>
      <c r="PS12" s="47">
        <v>203.59700000000001</v>
      </c>
      <c r="PT12" s="43">
        <v>200</v>
      </c>
      <c r="PU12" s="43">
        <v>203.12799999999999</v>
      </c>
      <c r="PV12" s="43">
        <v>200</v>
      </c>
      <c r="PW12" s="43">
        <v>6.7250000000000227</v>
      </c>
      <c r="PX12" s="46"/>
      <c r="PY12" s="47">
        <v>202.82499999999999</v>
      </c>
      <c r="PZ12" s="43">
        <v>200</v>
      </c>
      <c r="QA12" s="43">
        <v>2.8249999999999891</v>
      </c>
      <c r="QB12" s="46"/>
      <c r="QC12" s="47">
        <v>300.90199999999999</v>
      </c>
      <c r="QD12" s="43">
        <v>300</v>
      </c>
      <c r="QE12" s="43">
        <v>602.99300000000005</v>
      </c>
      <c r="QF12" s="43">
        <v>600</v>
      </c>
      <c r="QG12" s="43">
        <v>3.8949999999999818</v>
      </c>
      <c r="QH12" s="46"/>
      <c r="QI12" s="47">
        <v>101.801</v>
      </c>
      <c r="QJ12" s="43">
        <v>100</v>
      </c>
      <c r="QK12" s="43">
        <v>202.249</v>
      </c>
      <c r="QL12" s="43">
        <v>200</v>
      </c>
      <c r="QM12" s="43">
        <v>4.0500000000000114</v>
      </c>
      <c r="QN12" s="46"/>
      <c r="QO12" s="47">
        <v>153.91200000000001</v>
      </c>
      <c r="QP12" s="43">
        <v>311</v>
      </c>
      <c r="QQ12" s="43">
        <v>250.816</v>
      </c>
      <c r="QR12" s="43">
        <v>400</v>
      </c>
      <c r="QS12" s="42">
        <v>-306.27199999999999</v>
      </c>
      <c r="QT12" s="46">
        <v>306.27199999999999</v>
      </c>
      <c r="QU12" s="47">
        <v>203.93700000000001</v>
      </c>
      <c r="QV12" s="43">
        <v>200</v>
      </c>
      <c r="QW12" s="43">
        <v>3.9370000000000118</v>
      </c>
      <c r="QX12" s="46"/>
      <c r="QY12" s="47">
        <v>250.459</v>
      </c>
      <c r="QZ12" s="43">
        <v>250</v>
      </c>
      <c r="RA12" s="43">
        <v>93.43</v>
      </c>
      <c r="RB12" s="43">
        <v>316</v>
      </c>
      <c r="RC12" s="42">
        <v>-222.11099999999999</v>
      </c>
      <c r="RD12" s="46">
        <v>222.11099999999999</v>
      </c>
    </row>
    <row r="13" spans="1:472" x14ac:dyDescent="0.25">
      <c r="A13" s="43" t="s">
        <v>301</v>
      </c>
      <c r="B13" s="44">
        <v>0.25</v>
      </c>
      <c r="F13">
        <v>146</v>
      </c>
      <c r="I13" s="45">
        <v>56</v>
      </c>
      <c r="J13" s="52">
        <v>54</v>
      </c>
      <c r="K13" s="52">
        <v>40</v>
      </c>
      <c r="L13" s="52">
        <v>44</v>
      </c>
      <c r="M13" s="51">
        <f t="shared" si="8"/>
        <v>-2</v>
      </c>
      <c r="N13" s="46"/>
      <c r="O13" s="47"/>
      <c r="P13" s="51"/>
      <c r="Q13" s="51"/>
      <c r="R13" s="51"/>
      <c r="S13" s="51">
        <f t="shared" si="9"/>
        <v>0</v>
      </c>
      <c r="T13" s="46"/>
      <c r="U13" s="47"/>
      <c r="V13" s="51"/>
      <c r="W13" s="51"/>
      <c r="X13" s="51"/>
      <c r="Y13" s="51">
        <f t="shared" si="10"/>
        <v>0</v>
      </c>
      <c r="Z13" s="46"/>
      <c r="AA13" s="52">
        <v>80</v>
      </c>
      <c r="AB13">
        <v>80</v>
      </c>
      <c r="AC13">
        <v>88</v>
      </c>
      <c r="AD13">
        <v>89</v>
      </c>
      <c r="AE13" s="43">
        <v>-1</v>
      </c>
      <c r="AF13" s="46"/>
      <c r="AG13" s="45">
        <v>80</v>
      </c>
      <c r="AH13">
        <v>80</v>
      </c>
      <c r="AI13">
        <v>120</v>
      </c>
      <c r="AJ13">
        <v>118</v>
      </c>
      <c r="AK13" s="43">
        <v>2</v>
      </c>
      <c r="AL13" s="46"/>
      <c r="AO13">
        <v>16</v>
      </c>
      <c r="AP13">
        <v>20</v>
      </c>
      <c r="AQ13" s="43">
        <v>-4</v>
      </c>
      <c r="AR13" s="46"/>
      <c r="AS13">
        <v>48</v>
      </c>
      <c r="AT13">
        <v>48</v>
      </c>
      <c r="AU13">
        <v>48</v>
      </c>
      <c r="AV13">
        <v>54</v>
      </c>
      <c r="AW13" s="43">
        <v>-6</v>
      </c>
      <c r="AX13" s="46"/>
      <c r="AY13" s="45">
        <v>48</v>
      </c>
      <c r="AZ13">
        <v>50</v>
      </c>
      <c r="BA13">
        <v>104</v>
      </c>
      <c r="BB13">
        <v>104</v>
      </c>
      <c r="BC13" s="43">
        <v>-2</v>
      </c>
      <c r="BD13" s="46"/>
      <c r="BE13" s="47"/>
      <c r="BG13">
        <v>40</v>
      </c>
      <c r="BH13">
        <v>45</v>
      </c>
      <c r="BI13" s="43">
        <v>-5</v>
      </c>
      <c r="BJ13" s="46"/>
      <c r="BK13">
        <v>56</v>
      </c>
      <c r="BL13">
        <v>58</v>
      </c>
      <c r="BP13" s="43">
        <v>-2</v>
      </c>
      <c r="BQ13" s="46"/>
      <c r="BT13" s="43">
        <v>0</v>
      </c>
      <c r="BU13" s="46"/>
      <c r="BV13" s="45">
        <v>80</v>
      </c>
      <c r="BW13">
        <v>80</v>
      </c>
      <c r="BZ13" s="43">
        <v>0</v>
      </c>
      <c r="CA13" s="46"/>
      <c r="CD13">
        <v>32</v>
      </c>
      <c r="CE13">
        <v>34</v>
      </c>
      <c r="CF13" s="43">
        <v>-2</v>
      </c>
      <c r="CG13" s="46"/>
      <c r="CL13" s="43">
        <v>0</v>
      </c>
      <c r="CM13" s="46"/>
      <c r="CN13" s="47"/>
      <c r="CR13" s="43">
        <v>0</v>
      </c>
      <c r="CS13" s="46"/>
      <c r="CX13" s="43">
        <v>0</v>
      </c>
      <c r="CY13" s="46"/>
      <c r="CZ13" s="45">
        <v>96</v>
      </c>
      <c r="DA13">
        <v>100</v>
      </c>
      <c r="DB13">
        <v>288</v>
      </c>
      <c r="DC13">
        <v>288</v>
      </c>
      <c r="DD13" s="43">
        <v>-4</v>
      </c>
      <c r="DE13" s="46"/>
      <c r="DF13" s="47"/>
      <c r="DJ13">
        <v>176</v>
      </c>
      <c r="DK13">
        <v>180</v>
      </c>
      <c r="DL13" s="43">
        <v>-4</v>
      </c>
      <c r="DM13" s="46"/>
      <c r="DN13" s="47"/>
      <c r="DP13">
        <v>80</v>
      </c>
      <c r="DQ13">
        <v>80</v>
      </c>
      <c r="DR13" s="43">
        <v>0</v>
      </c>
      <c r="DS13" s="46"/>
      <c r="DZ13" s="43">
        <v>0</v>
      </c>
      <c r="EA13" s="46"/>
      <c r="EB13" s="47"/>
      <c r="ED13">
        <v>472</v>
      </c>
      <c r="EE13">
        <v>550</v>
      </c>
      <c r="EF13" s="42">
        <v>-78</v>
      </c>
      <c r="EG13" s="46">
        <v>19.5</v>
      </c>
      <c r="EH13" s="47"/>
      <c r="EL13" s="43">
        <v>0</v>
      </c>
      <c r="EM13" s="46"/>
      <c r="EN13" s="47"/>
      <c r="EP13">
        <v>1648</v>
      </c>
      <c r="EQ13">
        <v>1650</v>
      </c>
      <c r="ER13" s="43">
        <v>-2</v>
      </c>
      <c r="ES13" s="46"/>
      <c r="EX13">
        <v>56</v>
      </c>
      <c r="EY13">
        <v>59</v>
      </c>
      <c r="EZ13" s="43">
        <v>-3</v>
      </c>
      <c r="FA13" s="46"/>
      <c r="FD13">
        <v>88</v>
      </c>
      <c r="FF13">
        <v>90</v>
      </c>
      <c r="FG13" s="43">
        <v>-2</v>
      </c>
      <c r="FH13" s="46"/>
      <c r="FI13" s="47"/>
      <c r="FL13" s="43">
        <v>0</v>
      </c>
      <c r="FM13" s="46"/>
      <c r="FN13" s="45">
        <v>344</v>
      </c>
      <c r="FP13">
        <v>345</v>
      </c>
      <c r="FQ13" s="43">
        <v>-1</v>
      </c>
      <c r="FR13" s="46"/>
      <c r="FW13" s="43">
        <v>0</v>
      </c>
      <c r="FX13" s="46"/>
      <c r="FY13" s="47"/>
      <c r="GD13" s="43">
        <v>0</v>
      </c>
      <c r="GE13" s="46"/>
      <c r="GJ13" s="43">
        <v>0</v>
      </c>
      <c r="GK13" s="46"/>
      <c r="GL13" s="47"/>
      <c r="GP13" s="43">
        <v>0</v>
      </c>
      <c r="GQ13" s="46"/>
      <c r="GV13" s="43">
        <v>0</v>
      </c>
      <c r="GW13" s="46"/>
      <c r="GX13" s="47"/>
      <c r="GZ13" s="43">
        <v>0</v>
      </c>
      <c r="HA13" s="46"/>
      <c r="HB13" s="47"/>
      <c r="HF13" s="43">
        <v>0</v>
      </c>
      <c r="HG13" s="46"/>
      <c r="HH13" s="47"/>
      <c r="HJ13" s="43">
        <v>0</v>
      </c>
      <c r="HK13" s="46"/>
      <c r="HL13" s="47"/>
      <c r="HN13">
        <v>288</v>
      </c>
      <c r="HO13">
        <v>290</v>
      </c>
      <c r="HP13" s="43">
        <v>-2</v>
      </c>
      <c r="HQ13" s="46"/>
      <c r="HX13" s="43">
        <v>0</v>
      </c>
      <c r="HY13" s="46"/>
      <c r="HZ13" s="47"/>
      <c r="ID13" s="43">
        <v>0</v>
      </c>
      <c r="IE13" s="46"/>
      <c r="IH13">
        <v>3000</v>
      </c>
      <c r="II13">
        <v>1000</v>
      </c>
      <c r="IJ13" s="43">
        <v>2000</v>
      </c>
      <c r="IK13" s="49"/>
      <c r="IL13">
        <v>72</v>
      </c>
      <c r="IM13">
        <v>70</v>
      </c>
      <c r="IN13">
        <v>96</v>
      </c>
      <c r="IO13">
        <v>100</v>
      </c>
      <c r="IP13" s="43">
        <v>-2</v>
      </c>
      <c r="IQ13" s="49"/>
      <c r="IV13" s="43">
        <v>0</v>
      </c>
      <c r="IW13" s="49"/>
      <c r="JB13" s="43">
        <v>0</v>
      </c>
      <c r="JC13" s="46"/>
      <c r="JF13" s="43">
        <v>0</v>
      </c>
      <c r="JG13" s="49"/>
      <c r="JH13">
        <v>136</v>
      </c>
      <c r="JI13">
        <v>140</v>
      </c>
      <c r="JL13" s="43">
        <v>-4</v>
      </c>
      <c r="JM13" s="46"/>
      <c r="JN13" s="45">
        <v>352</v>
      </c>
      <c r="JO13" s="48">
        <v>350</v>
      </c>
      <c r="JP13" s="43">
        <v>2</v>
      </c>
      <c r="JQ13" s="49"/>
      <c r="JT13">
        <v>440</v>
      </c>
      <c r="JU13">
        <v>440</v>
      </c>
      <c r="JV13" s="43">
        <v>0</v>
      </c>
      <c r="JW13" s="49"/>
      <c r="JX13">
        <v>8</v>
      </c>
      <c r="JY13">
        <v>8</v>
      </c>
      <c r="KB13" s="43">
        <v>0</v>
      </c>
      <c r="KC13" s="49"/>
      <c r="KF13">
        <v>80</v>
      </c>
      <c r="KG13">
        <v>80</v>
      </c>
      <c r="KH13" s="43">
        <v>0</v>
      </c>
      <c r="KI13" s="49"/>
      <c r="KJ13">
        <v>40</v>
      </c>
      <c r="KK13">
        <v>40</v>
      </c>
      <c r="KL13">
        <v>40</v>
      </c>
      <c r="KM13">
        <v>40</v>
      </c>
      <c r="KN13" s="43">
        <v>0</v>
      </c>
      <c r="KO13" s="49"/>
      <c r="KP13" s="50"/>
      <c r="KT13">
        <v>40</v>
      </c>
      <c r="KU13">
        <v>65</v>
      </c>
      <c r="KV13" s="42">
        <v>-25</v>
      </c>
      <c r="KW13" s="49">
        <v>6.25</v>
      </c>
      <c r="KX13" s="48">
        <v>0</v>
      </c>
      <c r="KY13" s="48">
        <v>0</v>
      </c>
      <c r="KZ13" s="48">
        <v>96</v>
      </c>
      <c r="LA13" s="48">
        <v>100</v>
      </c>
      <c r="LB13" s="43">
        <v>-4</v>
      </c>
      <c r="LC13" s="49"/>
      <c r="LD13" s="48">
        <v>0</v>
      </c>
      <c r="LE13" s="48">
        <v>0</v>
      </c>
      <c r="LF13" s="48">
        <v>0</v>
      </c>
      <c r="LG13" s="48">
        <v>0</v>
      </c>
      <c r="LH13" s="43">
        <v>0</v>
      </c>
      <c r="LI13" s="49"/>
      <c r="LJ13" s="50">
        <v>80</v>
      </c>
      <c r="LK13" s="48">
        <v>80</v>
      </c>
      <c r="LL13" s="43">
        <v>0</v>
      </c>
      <c r="LM13" s="49"/>
      <c r="LN13" s="50">
        <v>96</v>
      </c>
      <c r="LO13" s="48">
        <v>100</v>
      </c>
      <c r="LP13" s="48">
        <v>112</v>
      </c>
      <c r="LQ13" s="48">
        <v>0</v>
      </c>
      <c r="LR13" s="48">
        <v>110</v>
      </c>
      <c r="LS13" s="43">
        <v>-2</v>
      </c>
      <c r="LT13" s="49"/>
      <c r="LU13" s="50">
        <v>48</v>
      </c>
      <c r="LV13" s="48">
        <v>48</v>
      </c>
      <c r="LW13" s="48">
        <v>48</v>
      </c>
      <c r="LX13" s="48">
        <v>52</v>
      </c>
      <c r="LY13" s="43">
        <v>-4</v>
      </c>
      <c r="LZ13" s="49"/>
      <c r="MA13" s="50">
        <v>240</v>
      </c>
      <c r="MB13" s="48">
        <v>240</v>
      </c>
      <c r="MC13" s="43">
        <v>0</v>
      </c>
      <c r="MD13" s="49"/>
      <c r="ME13" s="50">
        <v>0</v>
      </c>
      <c r="MF13" s="48">
        <v>0</v>
      </c>
      <c r="MG13" s="48">
        <v>40</v>
      </c>
      <c r="MH13" s="48">
        <v>40</v>
      </c>
      <c r="MI13" s="43">
        <v>0</v>
      </c>
      <c r="MJ13" s="49"/>
      <c r="MK13" s="50">
        <v>0</v>
      </c>
      <c r="ML13" s="48">
        <v>0</v>
      </c>
      <c r="MM13" s="43">
        <v>0</v>
      </c>
      <c r="MN13" s="49"/>
      <c r="MO13" s="50">
        <v>0</v>
      </c>
      <c r="MP13" s="48">
        <v>0</v>
      </c>
      <c r="MQ13" s="48">
        <v>0</v>
      </c>
      <c r="MR13" s="48">
        <v>0</v>
      </c>
      <c r="MS13" s="43">
        <v>0</v>
      </c>
      <c r="MT13" s="49"/>
      <c r="MU13" s="48">
        <v>0</v>
      </c>
      <c r="MV13" s="46"/>
      <c r="MW13" s="48">
        <v>0</v>
      </c>
      <c r="MX13" s="48">
        <v>0</v>
      </c>
      <c r="MY13" s="43">
        <v>0</v>
      </c>
      <c r="MZ13" s="49"/>
      <c r="NA13" s="50">
        <v>0</v>
      </c>
      <c r="NB13" s="48">
        <v>0</v>
      </c>
      <c r="NC13" s="48">
        <v>0</v>
      </c>
      <c r="ND13" s="48">
        <v>0</v>
      </c>
      <c r="NE13" s="43">
        <v>0</v>
      </c>
      <c r="NF13" s="49"/>
      <c r="NG13" s="50">
        <v>0</v>
      </c>
      <c r="NH13" s="48">
        <v>0</v>
      </c>
      <c r="NI13" s="48">
        <v>0</v>
      </c>
      <c r="NJ13" s="48">
        <v>0</v>
      </c>
      <c r="NK13" s="43">
        <v>0</v>
      </c>
      <c r="NL13" s="49"/>
      <c r="NM13" s="50">
        <v>0</v>
      </c>
      <c r="NN13" s="48">
        <v>0</v>
      </c>
      <c r="NO13" s="48">
        <v>0</v>
      </c>
      <c r="NP13" s="48">
        <v>0</v>
      </c>
      <c r="NQ13" s="43">
        <v>0</v>
      </c>
      <c r="NR13" s="49"/>
      <c r="NS13" s="25">
        <v>120</v>
      </c>
      <c r="NT13" s="48">
        <v>0</v>
      </c>
      <c r="NU13" s="48">
        <v>0</v>
      </c>
      <c r="NV13" s="48">
        <v>0</v>
      </c>
      <c r="NW13" s="43">
        <v>120</v>
      </c>
      <c r="NX13" s="49"/>
      <c r="NY13" s="50">
        <v>96</v>
      </c>
      <c r="NZ13" s="48">
        <v>100</v>
      </c>
      <c r="OA13" s="48">
        <v>136</v>
      </c>
      <c r="OB13" s="48">
        <v>140</v>
      </c>
      <c r="OC13" s="43">
        <v>-8</v>
      </c>
      <c r="OD13" s="49"/>
      <c r="OE13" s="50">
        <v>24</v>
      </c>
      <c r="OF13" s="48">
        <v>24</v>
      </c>
      <c r="OG13" s="43">
        <v>0</v>
      </c>
      <c r="OH13" s="49"/>
      <c r="OI13" s="50">
        <v>0</v>
      </c>
      <c r="OJ13" s="48">
        <v>0</v>
      </c>
      <c r="OK13" s="43">
        <v>0</v>
      </c>
      <c r="OL13" s="49"/>
      <c r="OM13" s="50">
        <v>0</v>
      </c>
      <c r="ON13" s="48">
        <v>0</v>
      </c>
      <c r="OO13" s="48">
        <v>0</v>
      </c>
      <c r="OP13" s="48">
        <v>0</v>
      </c>
      <c r="OQ13" s="43">
        <v>0</v>
      </c>
      <c r="OR13" s="49"/>
      <c r="OS13" s="50">
        <v>48</v>
      </c>
      <c r="OT13" s="48">
        <v>50</v>
      </c>
      <c r="OU13" s="43">
        <v>-2</v>
      </c>
      <c r="OV13" s="49"/>
      <c r="OW13" s="50">
        <v>80</v>
      </c>
      <c r="OX13" s="48">
        <v>80</v>
      </c>
      <c r="OY13" s="48">
        <v>56</v>
      </c>
      <c r="OZ13" s="48">
        <v>60</v>
      </c>
      <c r="PA13" s="43">
        <v>-4</v>
      </c>
      <c r="PB13" s="49"/>
      <c r="PC13" s="50">
        <v>8</v>
      </c>
      <c r="PD13" s="48">
        <v>8</v>
      </c>
      <c r="PE13" s="43">
        <v>0</v>
      </c>
      <c r="PF13" s="49"/>
      <c r="PG13" s="50">
        <v>0</v>
      </c>
      <c r="PH13" s="48">
        <v>0</v>
      </c>
      <c r="PI13" s="48">
        <v>0</v>
      </c>
      <c r="PJ13" s="48">
        <v>0</v>
      </c>
      <c r="PK13" s="43">
        <v>0</v>
      </c>
      <c r="PL13" s="49"/>
      <c r="PM13" s="47">
        <v>0</v>
      </c>
      <c r="PN13" s="48">
        <v>0</v>
      </c>
      <c r="PO13" s="48">
        <v>0</v>
      </c>
      <c r="PP13" s="48">
        <v>0</v>
      </c>
      <c r="PQ13" s="43">
        <v>0</v>
      </c>
      <c r="PR13" s="49"/>
      <c r="PS13" s="47">
        <v>0</v>
      </c>
      <c r="PT13" s="43">
        <v>0</v>
      </c>
      <c r="PU13" s="43">
        <v>0</v>
      </c>
      <c r="PV13" s="43">
        <v>0</v>
      </c>
      <c r="PW13" s="43">
        <v>0</v>
      </c>
      <c r="PX13" s="46"/>
      <c r="PY13" s="47">
        <v>0</v>
      </c>
      <c r="PZ13" s="43">
        <v>0</v>
      </c>
      <c r="QA13" s="43">
        <v>0</v>
      </c>
      <c r="QB13" s="46"/>
      <c r="QC13" s="47">
        <v>0</v>
      </c>
      <c r="QD13" s="43">
        <v>0</v>
      </c>
      <c r="QE13" s="43">
        <v>0</v>
      </c>
      <c r="QF13" s="43">
        <v>0</v>
      </c>
      <c r="QG13" s="43">
        <v>0</v>
      </c>
      <c r="QH13" s="46"/>
      <c r="QI13" s="47">
        <v>0</v>
      </c>
      <c r="QJ13" s="43">
        <v>0</v>
      </c>
      <c r="QK13" s="43">
        <v>0</v>
      </c>
      <c r="QL13" s="43">
        <v>0</v>
      </c>
      <c r="QM13" s="43">
        <v>0</v>
      </c>
      <c r="QN13" s="46"/>
      <c r="QO13" s="47">
        <v>168</v>
      </c>
      <c r="QP13" s="43">
        <v>173</v>
      </c>
      <c r="QQ13" s="43">
        <v>248</v>
      </c>
      <c r="QR13" s="43">
        <v>0</v>
      </c>
      <c r="QS13" s="43">
        <v>243</v>
      </c>
      <c r="QT13" s="46"/>
      <c r="QU13" s="47">
        <v>72</v>
      </c>
      <c r="QV13" s="43">
        <v>70</v>
      </c>
      <c r="QW13" s="43">
        <v>2</v>
      </c>
      <c r="QX13" s="46"/>
      <c r="QY13" s="47">
        <v>0</v>
      </c>
      <c r="QZ13" s="43">
        <v>0</v>
      </c>
      <c r="RA13" s="43">
        <v>120</v>
      </c>
      <c r="RB13" s="43">
        <v>125</v>
      </c>
      <c r="RC13" s="43">
        <v>-5</v>
      </c>
      <c r="RD13" s="46"/>
    </row>
    <row r="14" spans="1:472" x14ac:dyDescent="0.25">
      <c r="A14" s="43" t="s">
        <v>302</v>
      </c>
      <c r="B14" s="44">
        <v>0.15</v>
      </c>
      <c r="I14" s="47"/>
      <c r="J14" s="51"/>
      <c r="K14" s="51"/>
      <c r="L14" s="51"/>
      <c r="M14" s="51">
        <f t="shared" si="8"/>
        <v>0</v>
      </c>
      <c r="N14" s="46"/>
      <c r="O14" s="47"/>
      <c r="P14" s="51"/>
      <c r="Q14" s="51"/>
      <c r="R14" s="51"/>
      <c r="S14" s="51">
        <f t="shared" si="9"/>
        <v>0</v>
      </c>
      <c r="T14" s="46"/>
      <c r="U14" s="47"/>
      <c r="V14" s="51"/>
      <c r="W14" s="51"/>
      <c r="X14" s="51"/>
      <c r="Y14" s="51">
        <f t="shared" si="10"/>
        <v>0</v>
      </c>
      <c r="Z14" s="46"/>
      <c r="AA14" s="51"/>
      <c r="AE14" s="43">
        <v>0</v>
      </c>
      <c r="AF14" s="46"/>
      <c r="AG14" s="47"/>
      <c r="AK14" s="43">
        <v>0</v>
      </c>
      <c r="AL14" s="46"/>
      <c r="AQ14" s="43">
        <v>0</v>
      </c>
      <c r="AR14" s="46"/>
      <c r="AW14" s="43">
        <v>0</v>
      </c>
      <c r="AX14" s="46"/>
      <c r="AY14" s="47"/>
      <c r="BC14" s="43">
        <v>0</v>
      </c>
      <c r="BD14" s="46"/>
      <c r="BE14" s="47"/>
      <c r="BI14" s="43">
        <v>0</v>
      </c>
      <c r="BJ14" s="46"/>
      <c r="BP14" s="43">
        <v>0</v>
      </c>
      <c r="BQ14" s="46"/>
      <c r="BT14" s="43">
        <v>0</v>
      </c>
      <c r="BU14" s="46"/>
      <c r="BV14" s="47"/>
      <c r="BZ14" s="43">
        <v>0</v>
      </c>
      <c r="CA14" s="46"/>
      <c r="CF14" s="43">
        <v>0</v>
      </c>
      <c r="CG14" s="46"/>
      <c r="CL14" s="43">
        <v>0</v>
      </c>
      <c r="CM14" s="46"/>
      <c r="CN14" s="47"/>
      <c r="CR14" s="43">
        <v>0</v>
      </c>
      <c r="CS14" s="46"/>
      <c r="CX14" s="43">
        <v>0</v>
      </c>
      <c r="CY14" s="46"/>
      <c r="CZ14" s="47"/>
      <c r="DD14" s="43">
        <v>0</v>
      </c>
      <c r="DE14" s="46"/>
      <c r="DF14" s="47"/>
      <c r="DL14" s="43">
        <v>0</v>
      </c>
      <c r="DM14" s="46"/>
      <c r="DN14" s="47"/>
      <c r="DR14" s="43">
        <v>0</v>
      </c>
      <c r="DS14" s="46"/>
      <c r="DZ14" s="43">
        <v>0</v>
      </c>
      <c r="EA14" s="46"/>
      <c r="EB14" s="47"/>
      <c r="EF14" s="43">
        <v>0</v>
      </c>
      <c r="EG14" s="46"/>
      <c r="EH14" s="47"/>
      <c r="EL14" s="43">
        <v>0</v>
      </c>
      <c r="EM14" s="46"/>
      <c r="EN14" s="47"/>
      <c r="ER14" s="43">
        <v>0</v>
      </c>
      <c r="ES14" s="46"/>
      <c r="EZ14" s="43">
        <v>0</v>
      </c>
      <c r="FA14" s="46"/>
      <c r="FG14" s="43">
        <v>0</v>
      </c>
      <c r="FH14" s="46"/>
      <c r="FI14" s="47"/>
      <c r="FL14" s="43">
        <v>0</v>
      </c>
      <c r="FM14" s="46"/>
      <c r="FN14" s="47"/>
      <c r="FQ14" s="43">
        <v>0</v>
      </c>
      <c r="FR14" s="46"/>
      <c r="FW14" s="43">
        <v>0</v>
      </c>
      <c r="FX14" s="46"/>
      <c r="FY14" s="47"/>
      <c r="GD14" s="43">
        <v>0</v>
      </c>
      <c r="GE14" s="46"/>
      <c r="GJ14" s="43">
        <v>0</v>
      </c>
      <c r="GK14" s="46"/>
      <c r="GL14" s="47"/>
      <c r="GP14" s="43">
        <v>0</v>
      </c>
      <c r="GQ14" s="46"/>
      <c r="GV14" s="43">
        <v>0</v>
      </c>
      <c r="GW14" s="46"/>
      <c r="GX14" s="47"/>
      <c r="GZ14" s="43">
        <v>0</v>
      </c>
      <c r="HA14" s="46"/>
      <c r="HB14" s="47"/>
      <c r="HF14" s="43">
        <v>0</v>
      </c>
      <c r="HG14" s="46"/>
      <c r="HH14" s="47"/>
      <c r="HJ14" s="43">
        <v>0</v>
      </c>
      <c r="HK14" s="46"/>
      <c r="HL14" s="47"/>
      <c r="HP14" s="43">
        <v>0</v>
      </c>
      <c r="HQ14" s="46"/>
      <c r="HX14" s="43">
        <v>0</v>
      </c>
      <c r="HY14" s="46"/>
      <c r="HZ14" s="47"/>
      <c r="ID14" s="43">
        <v>0</v>
      </c>
      <c r="IE14" s="46"/>
      <c r="IJ14" s="43">
        <v>0</v>
      </c>
      <c r="IK14" s="49"/>
      <c r="IP14" s="43">
        <v>0</v>
      </c>
      <c r="IQ14" s="49"/>
      <c r="IV14" s="43">
        <v>0</v>
      </c>
      <c r="IW14" s="49"/>
      <c r="JB14" s="43">
        <v>0</v>
      </c>
      <c r="JC14" s="46"/>
      <c r="JF14" s="43">
        <v>0</v>
      </c>
      <c r="JG14" s="49"/>
      <c r="JL14" s="43">
        <v>0</v>
      </c>
      <c r="JM14" s="46"/>
      <c r="JN14" s="50"/>
      <c r="JP14" s="43">
        <v>0</v>
      </c>
      <c r="JQ14" s="49"/>
      <c r="JV14" s="43">
        <v>0</v>
      </c>
      <c r="JW14" s="49"/>
      <c r="KB14" s="43">
        <v>0</v>
      </c>
      <c r="KC14" s="49"/>
      <c r="KH14" s="43">
        <v>0</v>
      </c>
      <c r="KI14" s="49"/>
      <c r="KN14" s="43">
        <v>0</v>
      </c>
      <c r="KO14" s="49"/>
      <c r="KP14" s="50"/>
      <c r="KV14" s="43">
        <v>0</v>
      </c>
      <c r="KW14" s="49"/>
      <c r="KX14" s="48">
        <v>0</v>
      </c>
      <c r="KY14" s="48">
        <v>0</v>
      </c>
      <c r="KZ14" s="48">
        <v>0</v>
      </c>
      <c r="LA14" s="48">
        <v>0</v>
      </c>
      <c r="LB14" s="43">
        <v>0</v>
      </c>
      <c r="LC14" s="49"/>
      <c r="LD14" s="48">
        <v>0</v>
      </c>
      <c r="LE14" s="48">
        <v>0</v>
      </c>
      <c r="LF14" s="48">
        <v>0</v>
      </c>
      <c r="LG14" s="48">
        <v>0</v>
      </c>
      <c r="LH14" s="43">
        <v>0</v>
      </c>
      <c r="LI14" s="49"/>
      <c r="LJ14" s="50">
        <v>0</v>
      </c>
      <c r="LK14" s="48">
        <v>0</v>
      </c>
      <c r="LL14" s="43">
        <v>0</v>
      </c>
      <c r="LM14" s="49"/>
      <c r="LN14" s="50">
        <v>0</v>
      </c>
      <c r="LO14" s="48">
        <v>0</v>
      </c>
      <c r="LP14" s="48">
        <v>0</v>
      </c>
      <c r="LQ14" s="48">
        <v>0</v>
      </c>
      <c r="LR14" s="48">
        <v>0</v>
      </c>
      <c r="LS14" s="43">
        <v>0</v>
      </c>
      <c r="LT14" s="49"/>
      <c r="LU14" s="50">
        <v>0</v>
      </c>
      <c r="LV14" s="48">
        <v>0</v>
      </c>
      <c r="LW14" s="48">
        <v>0</v>
      </c>
      <c r="LX14" s="48">
        <v>0</v>
      </c>
      <c r="LY14" s="43">
        <v>0</v>
      </c>
      <c r="LZ14" s="49"/>
      <c r="MA14" s="50">
        <v>0</v>
      </c>
      <c r="MB14" s="48">
        <v>0</v>
      </c>
      <c r="MC14" s="43">
        <v>0</v>
      </c>
      <c r="MD14" s="49"/>
      <c r="ME14" s="50">
        <v>0</v>
      </c>
      <c r="MF14" s="48">
        <v>0</v>
      </c>
      <c r="MG14" s="48">
        <v>0</v>
      </c>
      <c r="MH14" s="48">
        <v>0</v>
      </c>
      <c r="MI14" s="43">
        <v>0</v>
      </c>
      <c r="MJ14" s="49"/>
      <c r="MK14" s="50">
        <v>0</v>
      </c>
      <c r="ML14" s="48">
        <v>0</v>
      </c>
      <c r="MM14" s="43">
        <v>0</v>
      </c>
      <c r="MN14" s="49"/>
      <c r="MO14" s="50">
        <v>0</v>
      </c>
      <c r="MP14" s="48">
        <v>0</v>
      </c>
      <c r="MQ14" s="48">
        <v>0</v>
      </c>
      <c r="MR14" s="48">
        <v>0</v>
      </c>
      <c r="MS14" s="43">
        <v>0</v>
      </c>
      <c r="MT14" s="49"/>
      <c r="MU14" s="48">
        <v>0</v>
      </c>
      <c r="MV14" s="46"/>
      <c r="MW14" s="48">
        <v>0</v>
      </c>
      <c r="MX14" s="48">
        <v>0</v>
      </c>
      <c r="MY14" s="43">
        <v>0</v>
      </c>
      <c r="MZ14" s="49"/>
      <c r="NA14" s="50">
        <v>0</v>
      </c>
      <c r="NB14" s="48">
        <v>0</v>
      </c>
      <c r="NC14" s="48">
        <v>0</v>
      </c>
      <c r="ND14" s="48">
        <v>0</v>
      </c>
      <c r="NE14" s="43">
        <v>0</v>
      </c>
      <c r="NF14" s="49"/>
      <c r="NG14" s="50">
        <v>0</v>
      </c>
      <c r="NH14" s="48">
        <v>0</v>
      </c>
      <c r="NI14" s="48">
        <v>0</v>
      </c>
      <c r="NJ14" s="48">
        <v>0</v>
      </c>
      <c r="NK14" s="43">
        <v>0</v>
      </c>
      <c r="NL14" s="49"/>
      <c r="NM14" s="50">
        <v>0</v>
      </c>
      <c r="NN14" s="48">
        <v>0</v>
      </c>
      <c r="NO14" s="48">
        <v>0</v>
      </c>
      <c r="NP14" s="48">
        <v>0</v>
      </c>
      <c r="NQ14" s="43">
        <v>0</v>
      </c>
      <c r="NR14" s="49"/>
      <c r="NS14" s="50">
        <v>0</v>
      </c>
      <c r="NT14" s="48">
        <v>0</v>
      </c>
      <c r="NU14" s="48">
        <v>0</v>
      </c>
      <c r="NV14" s="48">
        <v>0</v>
      </c>
      <c r="NW14" s="43">
        <v>0</v>
      </c>
      <c r="NX14" s="49"/>
      <c r="NY14" s="50">
        <v>0</v>
      </c>
      <c r="NZ14" s="48">
        <v>0</v>
      </c>
      <c r="OA14" s="48">
        <v>0</v>
      </c>
      <c r="OB14" s="48">
        <v>0</v>
      </c>
      <c r="OC14" s="43">
        <v>0</v>
      </c>
      <c r="OD14" s="49"/>
      <c r="OE14" s="50">
        <v>0</v>
      </c>
      <c r="OF14" s="48">
        <v>0</v>
      </c>
      <c r="OG14" s="43">
        <v>0</v>
      </c>
      <c r="OH14" s="49"/>
      <c r="OI14" s="50">
        <v>0</v>
      </c>
      <c r="OJ14" s="48">
        <v>0</v>
      </c>
      <c r="OK14" s="43">
        <v>0</v>
      </c>
      <c r="OL14" s="49"/>
      <c r="OM14" s="50">
        <v>0</v>
      </c>
      <c r="ON14" s="48">
        <v>0</v>
      </c>
      <c r="OO14" s="48">
        <v>0</v>
      </c>
      <c r="OP14" s="48">
        <v>0</v>
      </c>
      <c r="OQ14" s="43">
        <v>0</v>
      </c>
      <c r="OR14" s="49"/>
      <c r="OS14" s="50">
        <v>0</v>
      </c>
      <c r="OT14" s="48">
        <v>0</v>
      </c>
      <c r="OU14" s="43">
        <v>0</v>
      </c>
      <c r="OV14" s="49"/>
      <c r="OW14" s="50">
        <v>0</v>
      </c>
      <c r="OX14" s="48">
        <v>0</v>
      </c>
      <c r="OY14" s="48">
        <v>0</v>
      </c>
      <c r="OZ14" s="48">
        <v>0</v>
      </c>
      <c r="PA14" s="43">
        <v>0</v>
      </c>
      <c r="PB14" s="49"/>
      <c r="PC14" s="50">
        <v>0</v>
      </c>
      <c r="PD14" s="48">
        <v>0</v>
      </c>
      <c r="PE14" s="43">
        <v>0</v>
      </c>
      <c r="PF14" s="49"/>
      <c r="PG14" s="50">
        <v>0</v>
      </c>
      <c r="PH14" s="48">
        <v>0</v>
      </c>
      <c r="PI14" s="48">
        <v>0</v>
      </c>
      <c r="PJ14" s="48">
        <v>0</v>
      </c>
      <c r="PK14" s="43">
        <v>0</v>
      </c>
      <c r="PL14" s="49"/>
      <c r="PM14" s="47">
        <v>0</v>
      </c>
      <c r="PN14" s="48">
        <v>0</v>
      </c>
      <c r="PO14" s="48">
        <v>0</v>
      </c>
      <c r="PP14" s="48">
        <v>0</v>
      </c>
      <c r="PQ14" s="43">
        <v>0</v>
      </c>
      <c r="PR14" s="49"/>
      <c r="PS14" s="47">
        <v>0</v>
      </c>
      <c r="PT14" s="43">
        <v>0</v>
      </c>
      <c r="PU14" s="43">
        <v>0</v>
      </c>
      <c r="PV14" s="43">
        <v>0</v>
      </c>
      <c r="PW14" s="43">
        <v>0</v>
      </c>
      <c r="PX14" s="46"/>
      <c r="PY14" s="47">
        <v>0</v>
      </c>
      <c r="PZ14" s="43">
        <v>0</v>
      </c>
      <c r="QA14" s="43">
        <v>0</v>
      </c>
      <c r="QB14" s="46"/>
      <c r="QC14" s="47">
        <v>0</v>
      </c>
      <c r="QD14" s="43">
        <v>0</v>
      </c>
      <c r="QE14" s="43">
        <v>0</v>
      </c>
      <c r="QF14" s="43">
        <v>0</v>
      </c>
      <c r="QG14" s="43">
        <v>0</v>
      </c>
      <c r="QH14" s="46"/>
      <c r="QI14" s="47">
        <v>0</v>
      </c>
      <c r="QJ14" s="43">
        <v>0</v>
      </c>
      <c r="QK14" s="43">
        <v>0</v>
      </c>
      <c r="QL14" s="43">
        <v>0</v>
      </c>
      <c r="QM14" s="43">
        <v>0</v>
      </c>
      <c r="QN14" s="46"/>
      <c r="QO14" s="47">
        <v>0</v>
      </c>
      <c r="QP14" s="43">
        <v>0</v>
      </c>
      <c r="QQ14" s="43">
        <v>0</v>
      </c>
      <c r="QR14" s="43">
        <v>0</v>
      </c>
      <c r="QS14" s="43">
        <v>0</v>
      </c>
      <c r="QT14" s="46"/>
      <c r="QU14" s="47">
        <v>0</v>
      </c>
      <c r="QV14" s="43">
        <v>0</v>
      </c>
      <c r="QW14" s="43">
        <v>0</v>
      </c>
      <c r="QX14" s="46"/>
      <c r="QY14" s="47">
        <v>0</v>
      </c>
      <c r="QZ14" s="43">
        <v>0</v>
      </c>
      <c r="RA14" s="43">
        <v>0</v>
      </c>
      <c r="RB14" s="43">
        <v>0</v>
      </c>
      <c r="RC14" s="43">
        <v>0</v>
      </c>
      <c r="RD14" s="46"/>
    </row>
    <row r="15" spans="1:472" x14ac:dyDescent="0.25">
      <c r="A15" s="43" t="s">
        <v>303</v>
      </c>
      <c r="B15" s="44">
        <v>0.15</v>
      </c>
      <c r="I15" s="47"/>
      <c r="J15" s="51"/>
      <c r="K15" s="51"/>
      <c r="L15" s="51"/>
      <c r="M15" s="51">
        <f t="shared" si="8"/>
        <v>0</v>
      </c>
      <c r="N15" s="46"/>
      <c r="O15" s="47"/>
      <c r="P15" s="51"/>
      <c r="Q15" s="51"/>
      <c r="R15" s="51"/>
      <c r="S15" s="51">
        <f t="shared" si="9"/>
        <v>0</v>
      </c>
      <c r="T15" s="46"/>
      <c r="U15" s="47"/>
      <c r="V15" s="51"/>
      <c r="W15" s="51"/>
      <c r="X15" s="51"/>
      <c r="Y15" s="51">
        <f t="shared" si="10"/>
        <v>0</v>
      </c>
      <c r="Z15" s="46"/>
      <c r="AA15" s="51"/>
      <c r="AE15" s="43">
        <v>0</v>
      </c>
      <c r="AF15" s="46"/>
      <c r="AG15" s="47"/>
      <c r="AK15" s="43">
        <v>0</v>
      </c>
      <c r="AL15" s="46"/>
      <c r="AQ15" s="43">
        <v>0</v>
      </c>
      <c r="AR15" s="46"/>
      <c r="AW15" s="43">
        <v>0</v>
      </c>
      <c r="AX15" s="46"/>
      <c r="AY15" s="47"/>
      <c r="BC15" s="43">
        <v>0</v>
      </c>
      <c r="BD15" s="46"/>
      <c r="BE15" s="47"/>
      <c r="BI15" s="43">
        <v>0</v>
      </c>
      <c r="BJ15" s="46"/>
      <c r="BP15" s="43">
        <v>0</v>
      </c>
      <c r="BQ15" s="46"/>
      <c r="BT15" s="43">
        <v>0</v>
      </c>
      <c r="BU15" s="46"/>
      <c r="BV15" s="47"/>
      <c r="BZ15" s="43">
        <v>0</v>
      </c>
      <c r="CA15" s="46"/>
      <c r="CF15" s="43">
        <v>0</v>
      </c>
      <c r="CG15" s="46"/>
      <c r="CL15" s="43">
        <v>0</v>
      </c>
      <c r="CM15" s="46"/>
      <c r="CN15" s="47"/>
      <c r="CR15" s="43">
        <v>0</v>
      </c>
      <c r="CS15" s="46"/>
      <c r="CX15" s="43">
        <v>0</v>
      </c>
      <c r="CY15" s="46"/>
      <c r="CZ15" s="47"/>
      <c r="DD15" s="43">
        <v>0</v>
      </c>
      <c r="DE15" s="46"/>
      <c r="DF15" s="47"/>
      <c r="DL15" s="43">
        <v>0</v>
      </c>
      <c r="DM15" s="46"/>
      <c r="DN15" s="47"/>
      <c r="DR15" s="43">
        <v>0</v>
      </c>
      <c r="DS15" s="46"/>
      <c r="DZ15" s="43">
        <v>0</v>
      </c>
      <c r="EA15" s="46"/>
      <c r="EB15" s="47"/>
      <c r="EF15" s="43">
        <v>0</v>
      </c>
      <c r="EG15" s="46"/>
      <c r="EH15" s="47"/>
      <c r="EL15" s="43">
        <v>0</v>
      </c>
      <c r="EM15" s="46"/>
      <c r="EN15" s="47"/>
      <c r="ER15" s="43">
        <v>0</v>
      </c>
      <c r="ES15" s="46"/>
      <c r="EZ15" s="43">
        <v>0</v>
      </c>
      <c r="FA15" s="46"/>
      <c r="FG15" s="43">
        <v>0</v>
      </c>
      <c r="FH15" s="46"/>
      <c r="FI15" s="47"/>
      <c r="FL15" s="43">
        <v>0</v>
      </c>
      <c r="FM15" s="46"/>
      <c r="FN15" s="47"/>
      <c r="FQ15" s="43">
        <v>0</v>
      </c>
      <c r="FR15" s="46"/>
      <c r="FW15" s="43">
        <v>0</v>
      </c>
      <c r="FX15" s="46"/>
      <c r="FY15" s="47"/>
      <c r="GD15" s="43">
        <v>0</v>
      </c>
      <c r="GE15" s="46"/>
      <c r="GJ15" s="43">
        <v>0</v>
      </c>
      <c r="GK15" s="46"/>
      <c r="GL15" s="47"/>
      <c r="GP15" s="43">
        <v>0</v>
      </c>
      <c r="GQ15" s="46"/>
      <c r="GV15" s="43">
        <v>0</v>
      </c>
      <c r="GW15" s="46"/>
      <c r="GX15" s="47"/>
      <c r="GZ15" s="43">
        <v>0</v>
      </c>
      <c r="HA15" s="46"/>
      <c r="HB15" s="47"/>
      <c r="HF15" s="43">
        <v>0</v>
      </c>
      <c r="HG15" s="46"/>
      <c r="HH15" s="47"/>
      <c r="HJ15" s="43">
        <v>0</v>
      </c>
      <c r="HK15" s="46"/>
      <c r="HL15" s="47"/>
      <c r="HP15" s="43">
        <v>0</v>
      </c>
      <c r="HQ15" s="46"/>
      <c r="HX15" s="43">
        <v>0</v>
      </c>
      <c r="HY15" s="46"/>
      <c r="HZ15" s="47"/>
      <c r="ID15" s="43">
        <v>0</v>
      </c>
      <c r="IE15" s="46"/>
      <c r="IJ15" s="43">
        <v>0</v>
      </c>
      <c r="IK15" s="49"/>
      <c r="IP15" s="43">
        <v>0</v>
      </c>
      <c r="IQ15" s="49"/>
      <c r="IV15" s="43">
        <v>0</v>
      </c>
      <c r="IW15" s="49"/>
      <c r="JB15" s="43">
        <v>0</v>
      </c>
      <c r="JC15" s="46"/>
      <c r="JF15" s="43">
        <v>0</v>
      </c>
      <c r="JG15" s="49"/>
      <c r="JL15" s="43">
        <v>0</v>
      </c>
      <c r="JM15" s="46"/>
      <c r="JN15" s="50"/>
      <c r="JP15" s="43">
        <v>0</v>
      </c>
      <c r="JQ15" s="49"/>
      <c r="JV15" s="43">
        <v>0</v>
      </c>
      <c r="JW15" s="49"/>
      <c r="KB15" s="43">
        <v>0</v>
      </c>
      <c r="KC15" s="49"/>
      <c r="KH15" s="43">
        <v>0</v>
      </c>
      <c r="KI15" s="49"/>
      <c r="KN15" s="43">
        <v>0</v>
      </c>
      <c r="KO15" s="49"/>
      <c r="KP15" s="50"/>
      <c r="KV15" s="43">
        <v>0</v>
      </c>
      <c r="KW15" s="49"/>
      <c r="KX15" s="48">
        <v>0</v>
      </c>
      <c r="KY15" s="48">
        <v>0</v>
      </c>
      <c r="KZ15" s="48">
        <v>0</v>
      </c>
      <c r="LA15" s="48">
        <v>0</v>
      </c>
      <c r="LB15" s="43">
        <v>0</v>
      </c>
      <c r="LC15" s="49"/>
      <c r="LD15" s="48">
        <v>0</v>
      </c>
      <c r="LE15" s="48">
        <v>0</v>
      </c>
      <c r="LF15" s="48">
        <v>0</v>
      </c>
      <c r="LG15" s="48">
        <v>0</v>
      </c>
      <c r="LH15" s="43">
        <v>0</v>
      </c>
      <c r="LI15" s="49"/>
      <c r="LJ15" s="50">
        <v>0</v>
      </c>
      <c r="LK15" s="48">
        <v>0</v>
      </c>
      <c r="LL15" s="43">
        <v>0</v>
      </c>
      <c r="LM15" s="49"/>
      <c r="LN15" s="50">
        <v>0</v>
      </c>
      <c r="LO15" s="48">
        <v>0</v>
      </c>
      <c r="LP15" s="48">
        <v>0</v>
      </c>
      <c r="LQ15" s="48">
        <v>0</v>
      </c>
      <c r="LR15" s="48">
        <v>0</v>
      </c>
      <c r="LS15" s="43">
        <v>0</v>
      </c>
      <c r="LT15" s="49"/>
      <c r="LU15" s="50">
        <v>0</v>
      </c>
      <c r="LV15" s="48">
        <v>0</v>
      </c>
      <c r="LW15" s="48">
        <v>0</v>
      </c>
      <c r="LX15" s="48">
        <v>0</v>
      </c>
      <c r="LY15" s="43">
        <v>0</v>
      </c>
      <c r="LZ15" s="49"/>
      <c r="MA15" s="50">
        <v>0</v>
      </c>
      <c r="MB15" s="48">
        <v>0</v>
      </c>
      <c r="MC15" s="43">
        <v>0</v>
      </c>
      <c r="MD15" s="49"/>
      <c r="ME15" s="50">
        <v>0</v>
      </c>
      <c r="MF15" s="48">
        <v>0</v>
      </c>
      <c r="MG15" s="48">
        <v>0</v>
      </c>
      <c r="MH15" s="48">
        <v>0</v>
      </c>
      <c r="MI15" s="43">
        <v>0</v>
      </c>
      <c r="MJ15" s="49"/>
      <c r="MK15" s="50">
        <v>0</v>
      </c>
      <c r="ML15" s="48">
        <v>0</v>
      </c>
      <c r="MM15" s="43">
        <v>0</v>
      </c>
      <c r="MN15" s="49"/>
      <c r="MO15" s="50">
        <v>0</v>
      </c>
      <c r="MP15" s="48">
        <v>0</v>
      </c>
      <c r="MQ15" s="48">
        <v>0</v>
      </c>
      <c r="MR15" s="48">
        <v>0</v>
      </c>
      <c r="MS15" s="43">
        <v>0</v>
      </c>
      <c r="MT15" s="49"/>
      <c r="MU15" s="48">
        <v>0</v>
      </c>
      <c r="MV15" s="46"/>
      <c r="MW15" s="48">
        <v>0</v>
      </c>
      <c r="MX15" s="48">
        <v>0</v>
      </c>
      <c r="MY15" s="43">
        <v>0</v>
      </c>
      <c r="MZ15" s="49"/>
      <c r="NA15" s="50">
        <v>0</v>
      </c>
      <c r="NB15" s="48">
        <v>0</v>
      </c>
      <c r="NC15" s="48">
        <v>0</v>
      </c>
      <c r="ND15" s="48">
        <v>0</v>
      </c>
      <c r="NE15" s="43">
        <v>0</v>
      </c>
      <c r="NF15" s="49"/>
      <c r="NG15" s="50">
        <v>0</v>
      </c>
      <c r="NH15" s="48">
        <v>0</v>
      </c>
      <c r="NI15" s="48">
        <v>0</v>
      </c>
      <c r="NJ15" s="48">
        <v>0</v>
      </c>
      <c r="NK15" s="43">
        <v>0</v>
      </c>
      <c r="NL15" s="49"/>
      <c r="NM15" s="50">
        <v>0</v>
      </c>
      <c r="NN15" s="48">
        <v>0</v>
      </c>
      <c r="NO15" s="48">
        <v>0</v>
      </c>
      <c r="NP15" s="48">
        <v>0</v>
      </c>
      <c r="NQ15" s="43">
        <v>0</v>
      </c>
      <c r="NR15" s="49"/>
      <c r="NS15" s="50">
        <v>0</v>
      </c>
      <c r="NT15" s="48">
        <v>0</v>
      </c>
      <c r="NU15" s="48">
        <v>0</v>
      </c>
      <c r="NV15" s="48">
        <v>0</v>
      </c>
      <c r="NW15" s="43">
        <v>0</v>
      </c>
      <c r="NX15" s="49"/>
      <c r="NY15" s="50">
        <v>0</v>
      </c>
      <c r="NZ15" s="48">
        <v>0</v>
      </c>
      <c r="OA15" s="48">
        <v>0</v>
      </c>
      <c r="OB15" s="48">
        <v>0</v>
      </c>
      <c r="OC15" s="43">
        <v>0</v>
      </c>
      <c r="OD15" s="49"/>
      <c r="OE15" s="50">
        <v>0</v>
      </c>
      <c r="OF15" s="48">
        <v>0</v>
      </c>
      <c r="OG15" s="43">
        <v>0</v>
      </c>
      <c r="OH15" s="49"/>
      <c r="OI15" s="50">
        <v>0</v>
      </c>
      <c r="OJ15" s="48">
        <v>0</v>
      </c>
      <c r="OK15" s="43">
        <v>0</v>
      </c>
      <c r="OL15" s="49"/>
      <c r="OM15" s="50">
        <v>0</v>
      </c>
      <c r="ON15" s="48">
        <v>0</v>
      </c>
      <c r="OO15" s="48">
        <v>0</v>
      </c>
      <c r="OP15" s="48">
        <v>0</v>
      </c>
      <c r="OQ15" s="43">
        <v>0</v>
      </c>
      <c r="OR15" s="49"/>
      <c r="OS15" s="50">
        <v>0</v>
      </c>
      <c r="OT15" s="48">
        <v>0</v>
      </c>
      <c r="OU15" s="43">
        <v>0</v>
      </c>
      <c r="OV15" s="49"/>
      <c r="OW15" s="50">
        <v>0</v>
      </c>
      <c r="OX15" s="48">
        <v>0</v>
      </c>
      <c r="OY15" s="48">
        <v>0</v>
      </c>
      <c r="OZ15" s="48">
        <v>0</v>
      </c>
      <c r="PA15" s="43">
        <v>0</v>
      </c>
      <c r="PB15" s="49"/>
      <c r="PC15" s="50">
        <v>0</v>
      </c>
      <c r="PD15" s="48">
        <v>0</v>
      </c>
      <c r="PE15" s="43">
        <v>0</v>
      </c>
      <c r="PF15" s="49"/>
      <c r="PG15" s="50">
        <v>0</v>
      </c>
      <c r="PH15" s="48">
        <v>0</v>
      </c>
      <c r="PI15" s="48">
        <v>0</v>
      </c>
      <c r="PJ15" s="48">
        <v>0</v>
      </c>
      <c r="PK15" s="43">
        <v>0</v>
      </c>
      <c r="PL15" s="49"/>
      <c r="PM15" s="47">
        <v>0</v>
      </c>
      <c r="PN15" s="48">
        <v>0</v>
      </c>
      <c r="PO15" s="48">
        <v>0</v>
      </c>
      <c r="PP15" s="48">
        <v>0</v>
      </c>
      <c r="PQ15" s="43">
        <v>0</v>
      </c>
      <c r="PR15" s="49"/>
      <c r="PS15" s="47">
        <v>0</v>
      </c>
      <c r="PT15" s="43">
        <v>0</v>
      </c>
      <c r="PU15" s="43">
        <v>0</v>
      </c>
      <c r="PV15" s="43">
        <v>0</v>
      </c>
      <c r="PW15" s="43">
        <v>0</v>
      </c>
      <c r="PX15" s="46"/>
      <c r="PY15" s="47">
        <v>0</v>
      </c>
      <c r="PZ15" s="43">
        <v>0</v>
      </c>
      <c r="QA15" s="43">
        <v>0</v>
      </c>
      <c r="QB15" s="46"/>
      <c r="QC15" s="47">
        <v>0</v>
      </c>
      <c r="QD15" s="43">
        <v>0</v>
      </c>
      <c r="QE15" s="43">
        <v>0</v>
      </c>
      <c r="QF15" s="43">
        <v>0</v>
      </c>
      <c r="QG15" s="43">
        <v>0</v>
      </c>
      <c r="QH15" s="46"/>
      <c r="QI15" s="47">
        <v>0</v>
      </c>
      <c r="QJ15" s="43">
        <v>0</v>
      </c>
      <c r="QK15" s="43">
        <v>0</v>
      </c>
      <c r="QL15" s="43">
        <v>0</v>
      </c>
      <c r="QM15" s="43">
        <v>0</v>
      </c>
      <c r="QN15" s="46"/>
      <c r="QO15" s="47">
        <v>0</v>
      </c>
      <c r="QP15" s="43">
        <v>0</v>
      </c>
      <c r="QQ15" s="43">
        <v>0</v>
      </c>
      <c r="QR15" s="43">
        <v>0</v>
      </c>
      <c r="QS15" s="43">
        <v>0</v>
      </c>
      <c r="QT15" s="46"/>
      <c r="QU15" s="47">
        <v>0</v>
      </c>
      <c r="QV15" s="43">
        <v>0</v>
      </c>
      <c r="QW15" s="43">
        <v>0</v>
      </c>
      <c r="QX15" s="46"/>
      <c r="QY15" s="47">
        <v>0</v>
      </c>
      <c r="QZ15" s="43">
        <v>0</v>
      </c>
      <c r="RA15" s="43">
        <v>0</v>
      </c>
      <c r="RB15" s="43">
        <v>0</v>
      </c>
      <c r="RC15" s="43">
        <v>0</v>
      </c>
      <c r="RD15" s="46"/>
    </row>
    <row r="16" spans="1:472" x14ac:dyDescent="0.25">
      <c r="A16" s="43" t="s">
        <v>304</v>
      </c>
      <c r="B16" s="44">
        <v>0.15</v>
      </c>
      <c r="I16" s="47"/>
      <c r="J16" s="51"/>
      <c r="K16" s="51"/>
      <c r="L16" s="51"/>
      <c r="M16" s="51">
        <f t="shared" si="8"/>
        <v>0</v>
      </c>
      <c r="N16" s="46"/>
      <c r="O16" s="47"/>
      <c r="P16" s="51"/>
      <c r="Q16" s="51"/>
      <c r="R16" s="51"/>
      <c r="S16" s="51">
        <f t="shared" si="9"/>
        <v>0</v>
      </c>
      <c r="T16" s="46"/>
      <c r="U16" s="47"/>
      <c r="V16" s="51"/>
      <c r="W16" s="51"/>
      <c r="X16" s="51"/>
      <c r="Y16" s="51">
        <f t="shared" si="10"/>
        <v>0</v>
      </c>
      <c r="Z16" s="46"/>
      <c r="AA16" s="51"/>
      <c r="AE16" s="43">
        <v>0</v>
      </c>
      <c r="AF16" s="46"/>
      <c r="AG16" s="47"/>
      <c r="AK16" s="43">
        <v>0</v>
      </c>
      <c r="AL16" s="46"/>
      <c r="AQ16" s="43">
        <v>0</v>
      </c>
      <c r="AR16" s="46"/>
      <c r="AW16" s="43">
        <v>0</v>
      </c>
      <c r="AX16" s="46"/>
      <c r="AY16" s="47"/>
      <c r="BC16" s="43">
        <v>0</v>
      </c>
      <c r="BD16" s="46"/>
      <c r="BE16" s="47"/>
      <c r="BI16" s="43">
        <v>0</v>
      </c>
      <c r="BJ16" s="46"/>
      <c r="BP16" s="43">
        <v>0</v>
      </c>
      <c r="BQ16" s="46"/>
      <c r="BT16" s="43">
        <v>0</v>
      </c>
      <c r="BU16" s="46"/>
      <c r="BV16" s="47"/>
      <c r="BZ16" s="43">
        <v>0</v>
      </c>
      <c r="CA16" s="46"/>
      <c r="CF16" s="43">
        <v>0</v>
      </c>
      <c r="CG16" s="46"/>
      <c r="CL16" s="43">
        <v>0</v>
      </c>
      <c r="CM16" s="46"/>
      <c r="CN16" s="47"/>
      <c r="CR16" s="43">
        <v>0</v>
      </c>
      <c r="CS16" s="46"/>
      <c r="CX16" s="43">
        <v>0</v>
      </c>
      <c r="CY16" s="46"/>
      <c r="CZ16" s="47"/>
      <c r="DD16" s="43">
        <v>0</v>
      </c>
      <c r="DE16" s="46"/>
      <c r="DF16" s="47"/>
      <c r="DL16" s="43">
        <v>0</v>
      </c>
      <c r="DM16" s="46"/>
      <c r="DN16" s="47"/>
      <c r="DR16" s="43">
        <v>0</v>
      </c>
      <c r="DS16" s="46"/>
      <c r="DZ16" s="43">
        <v>0</v>
      </c>
      <c r="EA16" s="46"/>
      <c r="EB16" s="47"/>
      <c r="EF16" s="43">
        <v>0</v>
      </c>
      <c r="EG16" s="46"/>
      <c r="EH16" s="47"/>
      <c r="EL16" s="43">
        <v>0</v>
      </c>
      <c r="EM16" s="46"/>
      <c r="EN16" s="47"/>
      <c r="ER16" s="43">
        <v>0</v>
      </c>
      <c r="ES16" s="46"/>
      <c r="EZ16" s="43">
        <v>0</v>
      </c>
      <c r="FA16" s="46"/>
      <c r="FG16" s="43">
        <v>0</v>
      </c>
      <c r="FH16" s="46"/>
      <c r="FI16" s="47"/>
      <c r="FL16" s="43">
        <v>0</v>
      </c>
      <c r="FM16" s="46"/>
      <c r="FN16" s="47"/>
      <c r="FQ16" s="43">
        <v>0</v>
      </c>
      <c r="FR16" s="46"/>
      <c r="FW16" s="43">
        <v>0</v>
      </c>
      <c r="FX16" s="46"/>
      <c r="FY16" s="47"/>
      <c r="GD16" s="43">
        <v>0</v>
      </c>
      <c r="GE16" s="46"/>
      <c r="GJ16" s="43">
        <v>0</v>
      </c>
      <c r="GK16" s="46"/>
      <c r="GL16" s="47"/>
      <c r="GP16" s="43">
        <v>0</v>
      </c>
      <c r="GQ16" s="46"/>
      <c r="GV16" s="43">
        <v>0</v>
      </c>
      <c r="GW16" s="46"/>
      <c r="GX16" s="47"/>
      <c r="GZ16" s="43">
        <v>0</v>
      </c>
      <c r="HA16" s="46"/>
      <c r="HB16" s="47"/>
      <c r="HF16" s="43">
        <v>0</v>
      </c>
      <c r="HG16" s="46"/>
      <c r="HH16" s="47"/>
      <c r="HJ16" s="43">
        <v>0</v>
      </c>
      <c r="HK16" s="46"/>
      <c r="HL16" s="47"/>
      <c r="HP16" s="43">
        <v>0</v>
      </c>
      <c r="HQ16" s="46"/>
      <c r="HX16" s="43">
        <v>0</v>
      </c>
      <c r="HY16" s="46"/>
      <c r="HZ16" s="47"/>
      <c r="ID16" s="43">
        <v>0</v>
      </c>
      <c r="IE16" s="46"/>
      <c r="IJ16" s="43">
        <v>0</v>
      </c>
      <c r="IK16" s="49"/>
      <c r="IP16" s="43">
        <v>0</v>
      </c>
      <c r="IQ16" s="49"/>
      <c r="IV16" s="43">
        <v>0</v>
      </c>
      <c r="IW16" s="49"/>
      <c r="JB16" s="43">
        <v>0</v>
      </c>
      <c r="JC16" s="46"/>
      <c r="JF16" s="43">
        <v>0</v>
      </c>
      <c r="JG16" s="49"/>
      <c r="JL16" s="43">
        <v>0</v>
      </c>
      <c r="JM16" s="46"/>
      <c r="JN16" s="50"/>
      <c r="JP16" s="43">
        <v>0</v>
      </c>
      <c r="JQ16" s="49"/>
      <c r="JV16" s="43">
        <v>0</v>
      </c>
      <c r="JW16" s="49"/>
      <c r="KB16" s="43">
        <v>0</v>
      </c>
      <c r="KC16" s="49"/>
      <c r="KH16" s="43">
        <v>0</v>
      </c>
      <c r="KI16" s="49"/>
      <c r="KN16" s="43">
        <v>0</v>
      </c>
      <c r="KO16" s="49"/>
      <c r="KP16" s="50"/>
      <c r="KV16" s="43">
        <v>0</v>
      </c>
      <c r="KW16" s="49"/>
      <c r="KX16" s="48">
        <v>0</v>
      </c>
      <c r="KY16" s="48">
        <v>0</v>
      </c>
      <c r="KZ16" s="48">
        <v>0</v>
      </c>
      <c r="LA16" s="48">
        <v>0</v>
      </c>
      <c r="LB16" s="43">
        <v>0</v>
      </c>
      <c r="LC16" s="49"/>
      <c r="LD16" s="48">
        <v>0</v>
      </c>
      <c r="LE16" s="48">
        <v>0</v>
      </c>
      <c r="LF16" s="48">
        <v>0</v>
      </c>
      <c r="LG16" s="48">
        <v>0</v>
      </c>
      <c r="LH16" s="43">
        <v>0</v>
      </c>
      <c r="LI16" s="49"/>
      <c r="LJ16" s="50">
        <v>0</v>
      </c>
      <c r="LK16" s="48">
        <v>0</v>
      </c>
      <c r="LL16" s="43">
        <v>0</v>
      </c>
      <c r="LM16" s="49"/>
      <c r="LN16" s="50">
        <v>0</v>
      </c>
      <c r="LO16" s="48">
        <v>0</v>
      </c>
      <c r="LP16" s="48">
        <v>0</v>
      </c>
      <c r="LQ16" s="48">
        <v>0</v>
      </c>
      <c r="LR16" s="48">
        <v>0</v>
      </c>
      <c r="LS16" s="43">
        <v>0</v>
      </c>
      <c r="LT16" s="49"/>
      <c r="LU16" s="50">
        <v>0</v>
      </c>
      <c r="LV16" s="48">
        <v>0</v>
      </c>
      <c r="LW16" s="48">
        <v>0</v>
      </c>
      <c r="LX16" s="48">
        <v>0</v>
      </c>
      <c r="LY16" s="43">
        <v>0</v>
      </c>
      <c r="LZ16" s="49"/>
      <c r="MA16" s="50">
        <v>0</v>
      </c>
      <c r="MB16" s="48">
        <v>0</v>
      </c>
      <c r="MC16" s="43">
        <v>0</v>
      </c>
      <c r="MD16" s="49"/>
      <c r="ME16" s="50">
        <v>0</v>
      </c>
      <c r="MF16" s="48">
        <v>0</v>
      </c>
      <c r="MG16" s="48">
        <v>0</v>
      </c>
      <c r="MH16" s="48">
        <v>0</v>
      </c>
      <c r="MI16" s="43">
        <v>0</v>
      </c>
      <c r="MJ16" s="49"/>
      <c r="MK16" s="50">
        <v>0</v>
      </c>
      <c r="ML16" s="48">
        <v>0</v>
      </c>
      <c r="MM16" s="43">
        <v>0</v>
      </c>
      <c r="MN16" s="49"/>
      <c r="MO16" s="50">
        <v>0</v>
      </c>
      <c r="MP16" s="48">
        <v>0</v>
      </c>
      <c r="MQ16" s="48">
        <v>0</v>
      </c>
      <c r="MR16" s="48">
        <v>0</v>
      </c>
      <c r="MS16" s="43">
        <v>0</v>
      </c>
      <c r="MT16" s="49"/>
      <c r="MU16" s="48">
        <v>0</v>
      </c>
      <c r="MV16" s="46"/>
      <c r="MW16" s="48">
        <v>0</v>
      </c>
      <c r="MX16" s="48">
        <v>0</v>
      </c>
      <c r="MY16" s="43">
        <v>0</v>
      </c>
      <c r="MZ16" s="49"/>
      <c r="NA16" s="50">
        <v>0</v>
      </c>
      <c r="NB16" s="48">
        <v>0</v>
      </c>
      <c r="NC16" s="48">
        <v>0</v>
      </c>
      <c r="ND16" s="48">
        <v>0</v>
      </c>
      <c r="NE16" s="43">
        <v>0</v>
      </c>
      <c r="NF16" s="49"/>
      <c r="NG16" s="50">
        <v>0</v>
      </c>
      <c r="NH16" s="48">
        <v>0</v>
      </c>
      <c r="NI16" s="48">
        <v>0</v>
      </c>
      <c r="NJ16" s="48">
        <v>0</v>
      </c>
      <c r="NK16" s="43">
        <v>0</v>
      </c>
      <c r="NL16" s="49"/>
      <c r="NM16" s="50">
        <v>0</v>
      </c>
      <c r="NN16" s="48">
        <v>0</v>
      </c>
      <c r="NO16" s="48">
        <v>0</v>
      </c>
      <c r="NP16" s="48">
        <v>0</v>
      </c>
      <c r="NQ16" s="43">
        <v>0</v>
      </c>
      <c r="NR16" s="49"/>
      <c r="NS16" s="50">
        <v>0</v>
      </c>
      <c r="NT16" s="48">
        <v>0</v>
      </c>
      <c r="NU16" s="48">
        <v>0</v>
      </c>
      <c r="NV16" s="48">
        <v>0</v>
      </c>
      <c r="NW16" s="43">
        <v>0</v>
      </c>
      <c r="NX16" s="49"/>
      <c r="NY16" s="50">
        <v>0</v>
      </c>
      <c r="NZ16" s="48">
        <v>0</v>
      </c>
      <c r="OA16" s="48">
        <v>0</v>
      </c>
      <c r="OB16" s="48">
        <v>0</v>
      </c>
      <c r="OC16" s="43">
        <v>0</v>
      </c>
      <c r="OD16" s="49"/>
      <c r="OE16" s="50">
        <v>0</v>
      </c>
      <c r="OF16" s="48">
        <v>0</v>
      </c>
      <c r="OG16" s="43">
        <v>0</v>
      </c>
      <c r="OH16" s="49"/>
      <c r="OI16" s="50">
        <v>0</v>
      </c>
      <c r="OJ16" s="48">
        <v>0</v>
      </c>
      <c r="OK16" s="43">
        <v>0</v>
      </c>
      <c r="OL16" s="49"/>
      <c r="OM16" s="50">
        <v>0</v>
      </c>
      <c r="ON16" s="48">
        <v>0</v>
      </c>
      <c r="OO16" s="48">
        <v>0</v>
      </c>
      <c r="OP16" s="48">
        <v>0</v>
      </c>
      <c r="OQ16" s="43">
        <v>0</v>
      </c>
      <c r="OR16" s="49"/>
      <c r="OS16" s="50">
        <v>0</v>
      </c>
      <c r="OT16" s="48">
        <v>0</v>
      </c>
      <c r="OU16" s="43">
        <v>0</v>
      </c>
      <c r="OV16" s="49"/>
      <c r="OW16" s="50">
        <v>0</v>
      </c>
      <c r="OX16" s="48">
        <v>0</v>
      </c>
      <c r="OY16" s="48">
        <v>0</v>
      </c>
      <c r="OZ16" s="48">
        <v>0</v>
      </c>
      <c r="PA16" s="43">
        <v>0</v>
      </c>
      <c r="PB16" s="49"/>
      <c r="PC16" s="50">
        <v>0</v>
      </c>
      <c r="PD16" s="48">
        <v>0</v>
      </c>
      <c r="PE16" s="43">
        <v>0</v>
      </c>
      <c r="PF16" s="49"/>
      <c r="PG16" s="50">
        <v>0</v>
      </c>
      <c r="PH16" s="48">
        <v>0</v>
      </c>
      <c r="PI16" s="48">
        <v>0</v>
      </c>
      <c r="PJ16" s="48">
        <v>0</v>
      </c>
      <c r="PK16" s="43">
        <v>0</v>
      </c>
      <c r="PL16" s="49"/>
      <c r="PM16" s="47">
        <v>0</v>
      </c>
      <c r="PN16" s="48">
        <v>0</v>
      </c>
      <c r="PO16" s="48">
        <v>0</v>
      </c>
      <c r="PP16" s="48">
        <v>0</v>
      </c>
      <c r="PQ16" s="43">
        <v>0</v>
      </c>
      <c r="PR16" s="49"/>
      <c r="PS16" s="47">
        <v>0</v>
      </c>
      <c r="PT16" s="43">
        <v>0</v>
      </c>
      <c r="PU16" s="43">
        <v>0</v>
      </c>
      <c r="PV16" s="43">
        <v>0</v>
      </c>
      <c r="PW16" s="43">
        <v>0</v>
      </c>
      <c r="PX16" s="46"/>
      <c r="PY16" s="47">
        <v>0</v>
      </c>
      <c r="PZ16" s="43">
        <v>0</v>
      </c>
      <c r="QA16" s="43">
        <v>0</v>
      </c>
      <c r="QB16" s="46"/>
      <c r="QC16" s="47">
        <v>0</v>
      </c>
      <c r="QD16" s="43">
        <v>0</v>
      </c>
      <c r="QE16" s="43">
        <v>0</v>
      </c>
      <c r="QF16" s="43">
        <v>0</v>
      </c>
      <c r="QG16" s="43">
        <v>0</v>
      </c>
      <c r="QH16" s="46"/>
      <c r="QI16" s="47">
        <v>0</v>
      </c>
      <c r="QJ16" s="43">
        <v>0</v>
      </c>
      <c r="QK16" s="43">
        <v>0</v>
      </c>
      <c r="QL16" s="43">
        <v>0</v>
      </c>
      <c r="QM16" s="43">
        <v>0</v>
      </c>
      <c r="QN16" s="46"/>
      <c r="QO16" s="47">
        <v>0</v>
      </c>
      <c r="QP16" s="43">
        <v>0</v>
      </c>
      <c r="QQ16" s="43">
        <v>0</v>
      </c>
      <c r="QR16" s="43">
        <v>0</v>
      </c>
      <c r="QS16" s="43">
        <v>0</v>
      </c>
      <c r="QT16" s="46"/>
      <c r="QU16" s="47">
        <v>0</v>
      </c>
      <c r="QV16" s="43">
        <v>0</v>
      </c>
      <c r="QW16" s="43">
        <v>0</v>
      </c>
      <c r="QX16" s="46"/>
      <c r="QY16" s="47">
        <v>0</v>
      </c>
      <c r="QZ16" s="43">
        <v>0</v>
      </c>
      <c r="RA16" s="43">
        <v>0</v>
      </c>
      <c r="RB16" s="43">
        <v>0</v>
      </c>
      <c r="RC16" s="43">
        <v>0</v>
      </c>
      <c r="RD16" s="46"/>
    </row>
    <row r="17" spans="1:472" x14ac:dyDescent="0.25">
      <c r="A17" s="43" t="s">
        <v>305</v>
      </c>
      <c r="B17" s="44">
        <v>1</v>
      </c>
      <c r="I17" s="47"/>
      <c r="J17" s="51"/>
      <c r="K17" s="51"/>
      <c r="L17" s="51"/>
      <c r="M17" s="51">
        <f t="shared" si="8"/>
        <v>0</v>
      </c>
      <c r="N17" s="46"/>
      <c r="O17" s="47"/>
      <c r="P17" s="51"/>
      <c r="Q17" s="51"/>
      <c r="R17" s="51"/>
      <c r="S17" s="51">
        <f t="shared" si="9"/>
        <v>0</v>
      </c>
      <c r="T17" s="46"/>
      <c r="U17" s="47"/>
      <c r="V17" s="51"/>
      <c r="W17" s="51"/>
      <c r="X17" s="51"/>
      <c r="Y17" s="51">
        <f t="shared" si="10"/>
        <v>0</v>
      </c>
      <c r="Z17" s="46"/>
      <c r="AA17" s="51"/>
      <c r="AE17" s="43">
        <v>0</v>
      </c>
      <c r="AF17" s="46"/>
      <c r="AG17" s="47"/>
      <c r="AK17" s="43">
        <v>0</v>
      </c>
      <c r="AL17" s="46"/>
      <c r="AQ17" s="43">
        <v>0</v>
      </c>
      <c r="AR17" s="46"/>
      <c r="AW17" s="43">
        <v>0</v>
      </c>
      <c r="AX17" s="46"/>
      <c r="AY17" s="47"/>
      <c r="BC17" s="43">
        <v>0</v>
      </c>
      <c r="BD17" s="46"/>
      <c r="BE17" s="47"/>
      <c r="BI17" s="43">
        <v>0</v>
      </c>
      <c r="BJ17" s="46"/>
      <c r="BP17" s="43">
        <v>0</v>
      </c>
      <c r="BQ17" s="46"/>
      <c r="BT17" s="43">
        <v>0</v>
      </c>
      <c r="BU17" s="46"/>
      <c r="BV17" s="47"/>
      <c r="BZ17" s="43">
        <v>0</v>
      </c>
      <c r="CA17" s="46"/>
      <c r="CF17" s="43">
        <v>0</v>
      </c>
      <c r="CG17" s="46"/>
      <c r="CL17" s="43">
        <v>0</v>
      </c>
      <c r="CM17" s="46"/>
      <c r="CN17" s="47"/>
      <c r="CR17" s="43">
        <v>0</v>
      </c>
      <c r="CS17" s="46"/>
      <c r="CX17" s="43">
        <v>0</v>
      </c>
      <c r="CY17" s="46"/>
      <c r="CZ17" s="47"/>
      <c r="DD17" s="43">
        <v>0</v>
      </c>
      <c r="DE17" s="46"/>
      <c r="DF17" s="47"/>
      <c r="DL17" s="43">
        <v>0</v>
      </c>
      <c r="DM17" s="46"/>
      <c r="DN17" s="47"/>
      <c r="DR17" s="43">
        <v>0</v>
      </c>
      <c r="DS17" s="46"/>
      <c r="DZ17" s="43">
        <v>0</v>
      </c>
      <c r="EA17" s="46"/>
      <c r="EB17" s="47"/>
      <c r="EF17" s="43">
        <v>0</v>
      </c>
      <c r="EG17" s="46"/>
      <c r="EH17" s="47"/>
      <c r="EL17" s="43">
        <v>0</v>
      </c>
      <c r="EM17" s="46"/>
      <c r="EN17" s="47"/>
      <c r="ER17" s="43">
        <v>0</v>
      </c>
      <c r="ES17" s="46"/>
      <c r="EZ17" s="43">
        <v>0</v>
      </c>
      <c r="FA17" s="46"/>
      <c r="FG17" s="43">
        <v>0</v>
      </c>
      <c r="FH17" s="46"/>
      <c r="FI17" s="47"/>
      <c r="FL17" s="43">
        <v>0</v>
      </c>
      <c r="FM17" s="46"/>
      <c r="FN17" s="47"/>
      <c r="FQ17" s="43">
        <v>0</v>
      </c>
      <c r="FR17" s="46"/>
      <c r="FW17" s="43">
        <v>0</v>
      </c>
      <c r="FX17" s="46"/>
      <c r="FY17" s="47"/>
      <c r="GD17" s="43">
        <v>0</v>
      </c>
      <c r="GE17" s="46"/>
      <c r="GJ17" s="43">
        <v>0</v>
      </c>
      <c r="GK17" s="46"/>
      <c r="GL17" s="47"/>
      <c r="GP17" s="43">
        <v>0</v>
      </c>
      <c r="GQ17" s="46"/>
      <c r="GV17" s="43">
        <v>0</v>
      </c>
      <c r="GW17" s="46"/>
      <c r="GX17" s="47"/>
      <c r="GZ17" s="43">
        <v>0</v>
      </c>
      <c r="HA17" s="46"/>
      <c r="HB17" s="47"/>
      <c r="HF17" s="43">
        <v>0</v>
      </c>
      <c r="HG17" s="46"/>
      <c r="HH17" s="47"/>
      <c r="HJ17" s="43">
        <v>0</v>
      </c>
      <c r="HK17" s="46"/>
      <c r="HL17" s="47"/>
      <c r="HP17" s="43">
        <v>0</v>
      </c>
      <c r="HQ17" s="46"/>
      <c r="HX17" s="43">
        <v>0</v>
      </c>
      <c r="HY17" s="46"/>
      <c r="HZ17" s="47"/>
      <c r="ID17" s="43">
        <v>0</v>
      </c>
      <c r="IE17" s="46"/>
      <c r="IJ17" s="43">
        <v>0</v>
      </c>
      <c r="IK17" s="49"/>
      <c r="IP17" s="43">
        <v>0</v>
      </c>
      <c r="IQ17" s="49"/>
      <c r="IV17" s="43">
        <v>0</v>
      </c>
      <c r="IW17" s="49"/>
      <c r="JB17" s="43">
        <v>0</v>
      </c>
      <c r="JC17" s="46"/>
      <c r="JF17" s="43">
        <v>0</v>
      </c>
      <c r="JG17" s="49"/>
      <c r="JL17" s="43">
        <v>0</v>
      </c>
      <c r="JM17" s="46"/>
      <c r="JN17" s="50"/>
      <c r="JP17" s="43">
        <v>0</v>
      </c>
      <c r="JQ17" s="49"/>
      <c r="JV17" s="43">
        <v>0</v>
      </c>
      <c r="JW17" s="49"/>
      <c r="KB17" s="43">
        <v>0</v>
      </c>
      <c r="KC17" s="49"/>
      <c r="KH17" s="43">
        <v>0</v>
      </c>
      <c r="KI17" s="49"/>
      <c r="KN17" s="43">
        <v>0</v>
      </c>
      <c r="KO17" s="49"/>
      <c r="KP17" s="50"/>
      <c r="KV17" s="43">
        <v>0</v>
      </c>
      <c r="KW17" s="49"/>
      <c r="KX17" s="48">
        <v>0</v>
      </c>
      <c r="KY17" s="48">
        <v>0</v>
      </c>
      <c r="KZ17" s="48">
        <v>0</v>
      </c>
      <c r="LA17" s="48">
        <v>0</v>
      </c>
      <c r="LB17" s="43">
        <v>0</v>
      </c>
      <c r="LC17" s="49"/>
      <c r="LD17" s="48">
        <v>0</v>
      </c>
      <c r="LE17" s="48">
        <v>0</v>
      </c>
      <c r="LF17" s="48">
        <v>0</v>
      </c>
      <c r="LG17" s="48">
        <v>0</v>
      </c>
      <c r="LH17" s="43">
        <v>0</v>
      </c>
      <c r="LI17" s="49"/>
      <c r="LJ17" s="50">
        <v>0</v>
      </c>
      <c r="LK17" s="48">
        <v>0</v>
      </c>
      <c r="LL17" s="43">
        <v>0</v>
      </c>
      <c r="LM17" s="49"/>
      <c r="LN17" s="50">
        <v>0</v>
      </c>
      <c r="LO17" s="48">
        <v>0</v>
      </c>
      <c r="LP17" s="48">
        <v>0</v>
      </c>
      <c r="LQ17" s="48">
        <v>0</v>
      </c>
      <c r="LR17" s="48">
        <v>0</v>
      </c>
      <c r="LS17" s="43">
        <v>0</v>
      </c>
      <c r="LT17" s="49"/>
      <c r="LU17" s="50">
        <v>0</v>
      </c>
      <c r="LV17" s="48">
        <v>0</v>
      </c>
      <c r="LW17" s="48">
        <v>0</v>
      </c>
      <c r="LX17" s="48">
        <v>0</v>
      </c>
      <c r="LY17" s="43">
        <v>0</v>
      </c>
      <c r="LZ17" s="49"/>
      <c r="MA17" s="50">
        <v>0</v>
      </c>
      <c r="MB17" s="48">
        <v>0</v>
      </c>
      <c r="MC17" s="43">
        <v>0</v>
      </c>
      <c r="MD17" s="49"/>
      <c r="ME17" s="50">
        <v>0</v>
      </c>
      <c r="MF17" s="48">
        <v>0</v>
      </c>
      <c r="MG17" s="48">
        <v>0</v>
      </c>
      <c r="MH17" s="48">
        <v>0</v>
      </c>
      <c r="MI17" s="43">
        <v>0</v>
      </c>
      <c r="MJ17" s="49"/>
      <c r="MK17" s="50">
        <v>0</v>
      </c>
      <c r="ML17" s="48">
        <v>0</v>
      </c>
      <c r="MM17" s="43">
        <v>0</v>
      </c>
      <c r="MN17" s="49"/>
      <c r="MO17" s="50">
        <v>0</v>
      </c>
      <c r="MP17" s="48">
        <v>0</v>
      </c>
      <c r="MQ17" s="48">
        <v>0</v>
      </c>
      <c r="MR17" s="48">
        <v>0</v>
      </c>
      <c r="MS17" s="43">
        <v>0</v>
      </c>
      <c r="MT17" s="49"/>
      <c r="MU17" s="48">
        <v>0</v>
      </c>
      <c r="MV17" s="46"/>
      <c r="MW17" s="48">
        <v>0</v>
      </c>
      <c r="MX17" s="48">
        <v>0</v>
      </c>
      <c r="MY17" s="43">
        <v>0</v>
      </c>
      <c r="MZ17" s="49"/>
      <c r="NA17" s="50">
        <v>0</v>
      </c>
      <c r="NB17" s="48">
        <v>0</v>
      </c>
      <c r="NC17" s="48">
        <v>0</v>
      </c>
      <c r="ND17" s="48">
        <v>0</v>
      </c>
      <c r="NE17" s="43">
        <v>0</v>
      </c>
      <c r="NF17" s="49"/>
      <c r="NG17" s="50">
        <v>0</v>
      </c>
      <c r="NH17" s="48">
        <v>0</v>
      </c>
      <c r="NI17" s="48">
        <v>0</v>
      </c>
      <c r="NJ17" s="48">
        <v>0</v>
      </c>
      <c r="NK17" s="43">
        <v>0</v>
      </c>
      <c r="NL17" s="49"/>
      <c r="NM17" s="50">
        <v>0</v>
      </c>
      <c r="NN17" s="48">
        <v>0</v>
      </c>
      <c r="NO17" s="48">
        <v>0</v>
      </c>
      <c r="NP17" s="48">
        <v>0</v>
      </c>
      <c r="NQ17" s="43">
        <v>0</v>
      </c>
      <c r="NR17" s="49"/>
      <c r="NS17" s="50">
        <v>0</v>
      </c>
      <c r="NT17" s="48">
        <v>0</v>
      </c>
      <c r="NU17" s="48">
        <v>0</v>
      </c>
      <c r="NV17" s="48">
        <v>0</v>
      </c>
      <c r="NW17" s="43">
        <v>0</v>
      </c>
      <c r="NX17" s="49"/>
      <c r="NY17" s="50">
        <v>0</v>
      </c>
      <c r="NZ17" s="48">
        <v>0</v>
      </c>
      <c r="OA17" s="48">
        <v>0</v>
      </c>
      <c r="OB17" s="48">
        <v>0</v>
      </c>
      <c r="OC17" s="43">
        <v>0</v>
      </c>
      <c r="OD17" s="49"/>
      <c r="OE17" s="50">
        <v>0</v>
      </c>
      <c r="OF17" s="48">
        <v>0</v>
      </c>
      <c r="OG17" s="43">
        <v>0</v>
      </c>
      <c r="OH17" s="49"/>
      <c r="OI17" s="50">
        <v>0</v>
      </c>
      <c r="OJ17" s="48">
        <v>0</v>
      </c>
      <c r="OK17" s="43">
        <v>0</v>
      </c>
      <c r="OL17" s="49"/>
      <c r="OM17" s="50">
        <v>0</v>
      </c>
      <c r="ON17" s="48">
        <v>0</v>
      </c>
      <c r="OO17" s="48">
        <v>0</v>
      </c>
      <c r="OP17" s="48">
        <v>0</v>
      </c>
      <c r="OQ17" s="43">
        <v>0</v>
      </c>
      <c r="OR17" s="49"/>
      <c r="OS17" s="50">
        <v>0</v>
      </c>
      <c r="OT17" s="48">
        <v>0</v>
      </c>
      <c r="OU17" s="43">
        <v>0</v>
      </c>
      <c r="OV17" s="49"/>
      <c r="OW17" s="50">
        <v>0</v>
      </c>
      <c r="OX17" s="48">
        <v>0</v>
      </c>
      <c r="OY17" s="48">
        <v>0</v>
      </c>
      <c r="OZ17" s="48">
        <v>0</v>
      </c>
      <c r="PA17" s="43">
        <v>0</v>
      </c>
      <c r="PB17" s="49"/>
      <c r="PC17" s="50">
        <v>0</v>
      </c>
      <c r="PD17" s="48">
        <v>0</v>
      </c>
      <c r="PE17" s="43">
        <v>0</v>
      </c>
      <c r="PF17" s="49"/>
      <c r="PG17" s="50">
        <v>0</v>
      </c>
      <c r="PH17" s="48">
        <v>0</v>
      </c>
      <c r="PI17" s="48">
        <v>0</v>
      </c>
      <c r="PJ17" s="48">
        <v>0</v>
      </c>
      <c r="PK17" s="43">
        <v>0</v>
      </c>
      <c r="PL17" s="49"/>
      <c r="PM17" s="47">
        <v>0</v>
      </c>
      <c r="PN17" s="48">
        <v>0</v>
      </c>
      <c r="PO17" s="48">
        <v>0</v>
      </c>
      <c r="PP17" s="17">
        <v>10</v>
      </c>
      <c r="PQ17" s="43">
        <v>-2</v>
      </c>
      <c r="PR17" s="49"/>
      <c r="PS17" s="47">
        <v>0</v>
      </c>
      <c r="PT17" s="43">
        <v>0</v>
      </c>
      <c r="PU17" s="43">
        <v>0</v>
      </c>
      <c r="PV17" s="7">
        <v>20</v>
      </c>
      <c r="PW17" s="43">
        <v>-4</v>
      </c>
      <c r="PX17" s="46"/>
      <c r="PY17" s="47">
        <v>19.058</v>
      </c>
      <c r="PZ17" s="43">
        <v>20</v>
      </c>
      <c r="QA17" s="43">
        <v>-0.94200000000000017</v>
      </c>
      <c r="QB17" s="46"/>
      <c r="QC17" s="47">
        <v>0</v>
      </c>
      <c r="QD17" s="43">
        <v>0</v>
      </c>
      <c r="QE17" s="43">
        <v>0</v>
      </c>
      <c r="QF17" s="43">
        <v>0</v>
      </c>
      <c r="QG17" s="43">
        <v>0</v>
      </c>
      <c r="QH17" s="46"/>
      <c r="QI17" s="47">
        <v>0</v>
      </c>
      <c r="QJ17" s="43">
        <v>0</v>
      </c>
      <c r="QK17" s="43">
        <v>0</v>
      </c>
      <c r="QL17" s="43">
        <v>0</v>
      </c>
      <c r="QM17" s="43">
        <v>0</v>
      </c>
      <c r="QN17" s="46"/>
      <c r="QO17" s="47">
        <v>0</v>
      </c>
      <c r="QP17" s="43">
        <v>0</v>
      </c>
      <c r="QQ17" s="43">
        <v>0</v>
      </c>
      <c r="QR17" s="43">
        <v>0</v>
      </c>
      <c r="QS17" s="43">
        <v>0</v>
      </c>
      <c r="QT17" s="46"/>
      <c r="QU17" s="47">
        <v>0</v>
      </c>
      <c r="QV17" s="43">
        <v>0</v>
      </c>
      <c r="QW17" s="43">
        <v>0</v>
      </c>
      <c r="QX17" s="46"/>
      <c r="QY17" s="47">
        <v>0</v>
      </c>
      <c r="QZ17" s="43">
        <v>0</v>
      </c>
      <c r="RA17" s="43">
        <v>0</v>
      </c>
      <c r="RB17" s="43">
        <v>0</v>
      </c>
      <c r="RC17" s="43">
        <v>0</v>
      </c>
      <c r="RD17" s="46"/>
    </row>
    <row r="18" spans="1:472" x14ac:dyDescent="0.25">
      <c r="A18" s="43" t="s">
        <v>306</v>
      </c>
      <c r="B18" s="44">
        <v>1</v>
      </c>
      <c r="I18" s="47"/>
      <c r="J18" s="51"/>
      <c r="K18" s="51"/>
      <c r="L18" s="51"/>
      <c r="M18" s="51">
        <f t="shared" si="8"/>
        <v>0</v>
      </c>
      <c r="N18" s="46"/>
      <c r="O18" s="47"/>
      <c r="P18" s="51"/>
      <c r="Q18" s="51"/>
      <c r="R18" s="51"/>
      <c r="S18" s="51">
        <f t="shared" si="9"/>
        <v>0</v>
      </c>
      <c r="T18" s="46"/>
      <c r="U18" s="47"/>
      <c r="V18" s="51"/>
      <c r="W18" s="51"/>
      <c r="X18" s="51"/>
      <c r="Y18" s="51">
        <f t="shared" si="10"/>
        <v>0</v>
      </c>
      <c r="Z18" s="46"/>
      <c r="AA18" s="51"/>
      <c r="AE18" s="43">
        <v>0</v>
      </c>
      <c r="AF18" s="46"/>
      <c r="AG18" s="47"/>
      <c r="AK18" s="43">
        <v>0</v>
      </c>
      <c r="AL18" s="46"/>
      <c r="AQ18" s="43">
        <v>0</v>
      </c>
      <c r="AR18" s="46"/>
      <c r="AW18" s="43">
        <v>0</v>
      </c>
      <c r="AX18" s="46"/>
      <c r="AY18" s="47"/>
      <c r="BC18" s="43">
        <v>0</v>
      </c>
      <c r="BD18" s="46"/>
      <c r="BE18" s="47"/>
      <c r="BI18" s="43">
        <v>0</v>
      </c>
      <c r="BJ18" s="46"/>
      <c r="BP18" s="43">
        <v>0</v>
      </c>
      <c r="BQ18" s="46"/>
      <c r="BT18" s="43">
        <v>0</v>
      </c>
      <c r="BU18" s="46"/>
      <c r="BV18" s="47"/>
      <c r="BZ18" s="43">
        <v>0</v>
      </c>
      <c r="CA18" s="46"/>
      <c r="CF18" s="43">
        <v>0</v>
      </c>
      <c r="CG18" s="46"/>
      <c r="CL18" s="43">
        <v>0</v>
      </c>
      <c r="CM18" s="46"/>
      <c r="CN18" s="47"/>
      <c r="CR18" s="43">
        <v>0</v>
      </c>
      <c r="CS18" s="46"/>
      <c r="CX18" s="43">
        <v>0</v>
      </c>
      <c r="CY18" s="46"/>
      <c r="CZ18" s="47"/>
      <c r="DD18" s="43">
        <v>0</v>
      </c>
      <c r="DE18" s="46"/>
      <c r="DF18" s="47"/>
      <c r="DL18" s="43">
        <v>0</v>
      </c>
      <c r="DM18" s="46"/>
      <c r="DN18" s="47"/>
      <c r="DR18" s="43">
        <v>0</v>
      </c>
      <c r="DS18" s="46"/>
      <c r="DZ18" s="43">
        <v>0</v>
      </c>
      <c r="EA18" s="46"/>
      <c r="EB18" s="47"/>
      <c r="EF18" s="43">
        <v>0</v>
      </c>
      <c r="EG18" s="46"/>
      <c r="EH18" s="47"/>
      <c r="EL18" s="43">
        <v>0</v>
      </c>
      <c r="EM18" s="46"/>
      <c r="EN18" s="47"/>
      <c r="ER18" s="43">
        <v>0</v>
      </c>
      <c r="ES18" s="46"/>
      <c r="EZ18" s="43">
        <v>0</v>
      </c>
      <c r="FA18" s="46"/>
      <c r="FG18" s="43">
        <v>0</v>
      </c>
      <c r="FH18" s="46"/>
      <c r="FI18" s="47"/>
      <c r="FL18" s="43">
        <v>0</v>
      </c>
      <c r="FM18" s="46"/>
      <c r="FN18" s="47"/>
      <c r="FQ18" s="43">
        <v>0</v>
      </c>
      <c r="FR18" s="46"/>
      <c r="FW18" s="43">
        <v>0</v>
      </c>
      <c r="FX18" s="46"/>
      <c r="FY18" s="47"/>
      <c r="GD18" s="43">
        <v>0</v>
      </c>
      <c r="GE18" s="46"/>
      <c r="GJ18" s="43">
        <v>0</v>
      </c>
      <c r="GK18" s="46"/>
      <c r="GL18" s="47"/>
      <c r="GP18" s="43">
        <v>0</v>
      </c>
      <c r="GQ18" s="46"/>
      <c r="GV18" s="43">
        <v>0</v>
      </c>
      <c r="GW18" s="46"/>
      <c r="GX18" s="47"/>
      <c r="GZ18" s="43">
        <v>0</v>
      </c>
      <c r="HA18" s="46"/>
      <c r="HB18" s="47"/>
      <c r="HF18" s="43">
        <v>0</v>
      </c>
      <c r="HG18" s="46"/>
      <c r="HH18" s="47"/>
      <c r="HJ18" s="43">
        <v>0</v>
      </c>
      <c r="HK18" s="46"/>
      <c r="HL18" s="47"/>
      <c r="HP18" s="43">
        <v>0</v>
      </c>
      <c r="HQ18" s="46"/>
      <c r="HX18" s="43">
        <v>0</v>
      </c>
      <c r="HY18" s="46"/>
      <c r="HZ18" s="47"/>
      <c r="ID18" s="43">
        <v>0</v>
      </c>
      <c r="IE18" s="46"/>
      <c r="IJ18" s="43">
        <v>0</v>
      </c>
      <c r="IK18" s="49"/>
      <c r="IP18" s="43">
        <v>0</v>
      </c>
      <c r="IQ18" s="49"/>
      <c r="IV18" s="43">
        <v>0</v>
      </c>
      <c r="IW18" s="49"/>
      <c r="JB18" s="43">
        <v>0</v>
      </c>
      <c r="JC18" s="46"/>
      <c r="JF18" s="43">
        <v>0</v>
      </c>
      <c r="JG18" s="49"/>
      <c r="JL18" s="43">
        <v>0</v>
      </c>
      <c r="JM18" s="46"/>
      <c r="JN18" s="50"/>
      <c r="JP18" s="43">
        <v>0</v>
      </c>
      <c r="JQ18" s="49"/>
      <c r="JV18" s="43">
        <v>0</v>
      </c>
      <c r="JW18" s="49"/>
      <c r="KB18" s="43">
        <v>0</v>
      </c>
      <c r="KC18" s="49"/>
      <c r="KH18" s="43">
        <v>0</v>
      </c>
      <c r="KI18" s="49"/>
      <c r="KN18" s="43">
        <v>0</v>
      </c>
      <c r="KO18" s="49"/>
      <c r="KP18" s="50"/>
      <c r="KV18" s="43">
        <v>0</v>
      </c>
      <c r="KW18" s="49"/>
      <c r="KX18" s="48">
        <v>0</v>
      </c>
      <c r="KY18" s="48">
        <v>0</v>
      </c>
      <c r="KZ18" s="48">
        <v>0</v>
      </c>
      <c r="LA18" s="48">
        <v>0</v>
      </c>
      <c r="LB18" s="43">
        <v>0</v>
      </c>
      <c r="LC18" s="49"/>
      <c r="LD18" s="48">
        <v>0</v>
      </c>
      <c r="LE18" s="48">
        <v>0</v>
      </c>
      <c r="LF18" s="48">
        <v>0</v>
      </c>
      <c r="LG18" s="48">
        <v>0</v>
      </c>
      <c r="LH18" s="43">
        <v>0</v>
      </c>
      <c r="LI18" s="49"/>
      <c r="LJ18" s="50">
        <v>0</v>
      </c>
      <c r="LK18" s="48">
        <v>0</v>
      </c>
      <c r="LL18" s="43">
        <v>0</v>
      </c>
      <c r="LM18" s="49"/>
      <c r="LN18" s="50">
        <v>0</v>
      </c>
      <c r="LO18" s="48">
        <v>0</v>
      </c>
      <c r="LP18" s="48">
        <v>0</v>
      </c>
      <c r="LQ18" s="48">
        <v>0</v>
      </c>
      <c r="LR18" s="48">
        <v>0</v>
      </c>
      <c r="LS18" s="43">
        <v>0</v>
      </c>
      <c r="LT18" s="49"/>
      <c r="LU18" s="50">
        <v>0</v>
      </c>
      <c r="LV18" s="48">
        <v>0</v>
      </c>
      <c r="LW18" s="48">
        <v>0</v>
      </c>
      <c r="LX18" s="48">
        <v>0</v>
      </c>
      <c r="LY18" s="43">
        <v>0</v>
      </c>
      <c r="LZ18" s="49"/>
      <c r="MA18" s="50">
        <v>0</v>
      </c>
      <c r="MB18" s="48">
        <v>0</v>
      </c>
      <c r="MC18" s="43">
        <v>0</v>
      </c>
      <c r="MD18" s="49"/>
      <c r="ME18" s="50">
        <v>0</v>
      </c>
      <c r="MF18" s="48">
        <v>0</v>
      </c>
      <c r="MG18" s="48">
        <v>0</v>
      </c>
      <c r="MH18" s="48">
        <v>0</v>
      </c>
      <c r="MI18" s="43">
        <v>0</v>
      </c>
      <c r="MJ18" s="49"/>
      <c r="MK18" s="50">
        <v>0</v>
      </c>
      <c r="ML18" s="48">
        <v>0</v>
      </c>
      <c r="MM18" s="43">
        <v>0</v>
      </c>
      <c r="MN18" s="49"/>
      <c r="MO18" s="50">
        <v>0</v>
      </c>
      <c r="MP18" s="48">
        <v>0</v>
      </c>
      <c r="MQ18" s="48">
        <v>0</v>
      </c>
      <c r="MR18" s="48">
        <v>0</v>
      </c>
      <c r="MS18" s="43">
        <v>0</v>
      </c>
      <c r="MT18" s="49"/>
      <c r="MU18" s="48">
        <v>0</v>
      </c>
      <c r="MV18" s="46"/>
      <c r="MW18" s="48">
        <v>0</v>
      </c>
      <c r="MX18" s="48">
        <v>0</v>
      </c>
      <c r="MY18" s="43">
        <v>0</v>
      </c>
      <c r="MZ18" s="49"/>
      <c r="NA18" s="50">
        <v>0</v>
      </c>
      <c r="NB18" s="48">
        <v>0</v>
      </c>
      <c r="NC18" s="48">
        <v>0</v>
      </c>
      <c r="ND18" s="48">
        <v>0</v>
      </c>
      <c r="NE18" s="43">
        <v>0</v>
      </c>
      <c r="NF18" s="49"/>
      <c r="NG18" s="50">
        <v>0</v>
      </c>
      <c r="NH18" s="48">
        <v>0</v>
      </c>
      <c r="NI18" s="48">
        <v>0</v>
      </c>
      <c r="NJ18" s="48">
        <v>0</v>
      </c>
      <c r="NK18" s="43">
        <v>0</v>
      </c>
      <c r="NL18" s="49"/>
      <c r="NM18" s="50">
        <v>0</v>
      </c>
      <c r="NN18" s="48">
        <v>0</v>
      </c>
      <c r="NO18" s="48">
        <v>0</v>
      </c>
      <c r="NP18" s="48">
        <v>0</v>
      </c>
      <c r="NQ18" s="43">
        <v>0</v>
      </c>
      <c r="NR18" s="49"/>
      <c r="NS18" s="50">
        <v>0</v>
      </c>
      <c r="NT18" s="48">
        <v>0</v>
      </c>
      <c r="NU18" s="48">
        <v>0</v>
      </c>
      <c r="NV18" s="48">
        <v>0</v>
      </c>
      <c r="NW18" s="43">
        <v>0</v>
      </c>
      <c r="NX18" s="49"/>
      <c r="NY18" s="50">
        <v>0</v>
      </c>
      <c r="NZ18" s="48">
        <v>0</v>
      </c>
      <c r="OA18" s="48">
        <v>0</v>
      </c>
      <c r="OB18" s="48">
        <v>0</v>
      </c>
      <c r="OC18" s="43">
        <v>0</v>
      </c>
      <c r="OD18" s="49"/>
      <c r="OE18" s="50">
        <v>0</v>
      </c>
      <c r="OF18" s="48">
        <v>0</v>
      </c>
      <c r="OG18" s="43">
        <v>0</v>
      </c>
      <c r="OH18" s="49"/>
      <c r="OI18" s="50">
        <v>0</v>
      </c>
      <c r="OJ18" s="48">
        <v>0</v>
      </c>
      <c r="OK18" s="43">
        <v>0</v>
      </c>
      <c r="OL18" s="49"/>
      <c r="OM18" s="50">
        <v>0</v>
      </c>
      <c r="ON18" s="48">
        <v>0</v>
      </c>
      <c r="OO18" s="48">
        <v>0</v>
      </c>
      <c r="OP18" s="48">
        <v>0</v>
      </c>
      <c r="OQ18" s="43">
        <v>0</v>
      </c>
      <c r="OR18" s="49"/>
      <c r="OS18" s="50">
        <v>0</v>
      </c>
      <c r="OT18" s="48">
        <v>0</v>
      </c>
      <c r="OU18" s="43">
        <v>0</v>
      </c>
      <c r="OV18" s="49"/>
      <c r="OW18" s="50">
        <v>0</v>
      </c>
      <c r="OX18" s="48">
        <v>0</v>
      </c>
      <c r="OY18" s="48">
        <v>0</v>
      </c>
      <c r="OZ18" s="48">
        <v>0</v>
      </c>
      <c r="PA18" s="43">
        <v>0</v>
      </c>
      <c r="PB18" s="49"/>
      <c r="PC18" s="50">
        <v>0</v>
      </c>
      <c r="PD18" s="48">
        <v>0</v>
      </c>
      <c r="PE18" s="43">
        <v>0</v>
      </c>
      <c r="PF18" s="49"/>
      <c r="PG18" s="50">
        <v>0</v>
      </c>
      <c r="PH18" s="48">
        <v>0</v>
      </c>
      <c r="PI18" s="48">
        <v>216.27699999999999</v>
      </c>
      <c r="PJ18" s="48">
        <v>217</v>
      </c>
      <c r="PK18" s="43">
        <v>-0.72300000000001319</v>
      </c>
      <c r="PL18" s="49"/>
      <c r="PM18" s="47">
        <v>0</v>
      </c>
      <c r="PN18" s="48">
        <v>0</v>
      </c>
      <c r="PO18" s="48">
        <v>0</v>
      </c>
      <c r="PP18" s="48">
        <v>0</v>
      </c>
      <c r="PQ18" s="43">
        <v>0</v>
      </c>
      <c r="PR18" s="49"/>
      <c r="PS18" s="47">
        <v>31.361999999999998</v>
      </c>
      <c r="PT18" s="43">
        <v>30</v>
      </c>
      <c r="PU18" s="43">
        <v>0</v>
      </c>
      <c r="PV18" s="43">
        <v>0</v>
      </c>
      <c r="PW18" s="43">
        <v>1.3619999999999981</v>
      </c>
      <c r="PX18" s="46"/>
      <c r="PY18" s="47">
        <v>175.261</v>
      </c>
      <c r="PZ18" s="43">
        <v>173</v>
      </c>
      <c r="QA18" s="43">
        <v>2.2609999999999961</v>
      </c>
      <c r="QB18" s="46"/>
      <c r="QC18" s="47">
        <v>22.391999999999999</v>
      </c>
      <c r="QD18" s="43">
        <v>21</v>
      </c>
      <c r="QE18" s="43">
        <v>0</v>
      </c>
      <c r="QF18" s="43">
        <v>0</v>
      </c>
      <c r="QG18" s="43">
        <v>1.391999999999999</v>
      </c>
      <c r="QH18" s="46"/>
      <c r="QI18" s="47">
        <v>40.253999999999998</v>
      </c>
      <c r="QJ18" s="43">
        <v>40</v>
      </c>
      <c r="QK18" s="43">
        <v>0</v>
      </c>
      <c r="QL18" s="43">
        <v>0</v>
      </c>
      <c r="QM18" s="43">
        <v>0.25399999999999778</v>
      </c>
      <c r="QN18" s="46"/>
      <c r="QO18" s="47">
        <v>0</v>
      </c>
      <c r="QP18" s="43">
        <v>0</v>
      </c>
      <c r="QQ18" s="43">
        <v>0</v>
      </c>
      <c r="QR18" s="43">
        <v>0</v>
      </c>
      <c r="QS18" s="43">
        <v>0</v>
      </c>
      <c r="QT18" s="46"/>
      <c r="QU18" s="47">
        <v>148.471</v>
      </c>
      <c r="QV18" s="43">
        <v>150</v>
      </c>
      <c r="QW18" s="43">
        <v>-1.5289999999999959</v>
      </c>
      <c r="QX18" s="46"/>
      <c r="QY18" s="47">
        <v>0</v>
      </c>
      <c r="QZ18" s="43">
        <v>0</v>
      </c>
      <c r="RA18" s="43">
        <v>0</v>
      </c>
      <c r="RB18" s="43">
        <v>0</v>
      </c>
      <c r="RC18" s="43">
        <v>0</v>
      </c>
      <c r="RD18" s="46"/>
    </row>
    <row r="19" spans="1:472" x14ac:dyDescent="0.25">
      <c r="A19" s="43" t="s">
        <v>307</v>
      </c>
      <c r="B19" s="44">
        <v>1</v>
      </c>
      <c r="I19" s="47"/>
      <c r="J19" s="51"/>
      <c r="K19" s="51"/>
      <c r="L19" s="51"/>
      <c r="M19" s="51">
        <f t="shared" si="8"/>
        <v>0</v>
      </c>
      <c r="N19" s="46"/>
      <c r="O19" s="47"/>
      <c r="P19" s="51"/>
      <c r="Q19" s="51"/>
      <c r="R19" s="51"/>
      <c r="S19" s="51">
        <f t="shared" si="9"/>
        <v>0</v>
      </c>
      <c r="T19" s="46"/>
      <c r="U19" s="47"/>
      <c r="V19" s="51"/>
      <c r="W19" s="51"/>
      <c r="X19" s="51"/>
      <c r="Y19" s="51">
        <f t="shared" si="10"/>
        <v>0</v>
      </c>
      <c r="Z19" s="46"/>
      <c r="AA19" s="51"/>
      <c r="AE19" s="43">
        <v>0</v>
      </c>
      <c r="AF19" s="46"/>
      <c r="AG19" s="47"/>
      <c r="AK19" s="43">
        <v>0</v>
      </c>
      <c r="AL19" s="46"/>
      <c r="AQ19" s="43">
        <v>0</v>
      </c>
      <c r="AR19" s="46"/>
      <c r="AW19" s="43">
        <v>0</v>
      </c>
      <c r="AX19" s="46"/>
      <c r="AY19" s="47"/>
      <c r="BC19" s="43">
        <v>0</v>
      </c>
      <c r="BD19" s="46"/>
      <c r="BE19" s="47"/>
      <c r="BI19" s="43">
        <v>0</v>
      </c>
      <c r="BJ19" s="46"/>
      <c r="BP19" s="43">
        <v>0</v>
      </c>
      <c r="BQ19" s="46"/>
      <c r="BT19" s="43">
        <v>0</v>
      </c>
      <c r="BU19" s="46"/>
      <c r="BV19" s="47"/>
      <c r="BZ19" s="43">
        <v>0</v>
      </c>
      <c r="CA19" s="46"/>
      <c r="CF19" s="43">
        <v>0</v>
      </c>
      <c r="CG19" s="46"/>
      <c r="CL19" s="43">
        <v>0</v>
      </c>
      <c r="CM19" s="46"/>
      <c r="CN19" s="47"/>
      <c r="CR19" s="43">
        <v>0</v>
      </c>
      <c r="CS19" s="46"/>
      <c r="CX19" s="43">
        <v>0</v>
      </c>
      <c r="CY19" s="46"/>
      <c r="CZ19" s="47"/>
      <c r="DD19" s="43">
        <v>0</v>
      </c>
      <c r="DE19" s="46"/>
      <c r="DF19" s="47"/>
      <c r="DL19" s="43">
        <v>0</v>
      </c>
      <c r="DM19" s="46"/>
      <c r="DN19" s="47"/>
      <c r="DR19" s="43">
        <v>0</v>
      </c>
      <c r="DS19" s="46"/>
      <c r="DZ19" s="43">
        <v>0</v>
      </c>
      <c r="EA19" s="46"/>
      <c r="EB19" s="47"/>
      <c r="EF19" s="43">
        <v>0</v>
      </c>
      <c r="EG19" s="46"/>
      <c r="EH19" s="47"/>
      <c r="EL19" s="43">
        <v>0</v>
      </c>
      <c r="EM19" s="46"/>
      <c r="EN19" s="47"/>
      <c r="ER19" s="43">
        <v>0</v>
      </c>
      <c r="ES19" s="46"/>
      <c r="EZ19" s="43">
        <v>0</v>
      </c>
      <c r="FA19" s="46"/>
      <c r="FG19" s="43">
        <v>0</v>
      </c>
      <c r="FH19" s="46"/>
      <c r="FI19" s="47"/>
      <c r="FL19" s="43">
        <v>0</v>
      </c>
      <c r="FM19" s="46"/>
      <c r="FN19" s="47"/>
      <c r="FQ19" s="43">
        <v>0</v>
      </c>
      <c r="FR19" s="46"/>
      <c r="FW19" s="43">
        <v>0</v>
      </c>
      <c r="FX19" s="46"/>
      <c r="FY19" s="47"/>
      <c r="GD19" s="43">
        <v>0</v>
      </c>
      <c r="GE19" s="46"/>
      <c r="GJ19" s="43">
        <v>0</v>
      </c>
      <c r="GK19" s="46"/>
      <c r="GL19" s="47"/>
      <c r="GP19" s="43">
        <v>0</v>
      </c>
      <c r="GQ19" s="46"/>
      <c r="GV19" s="43">
        <v>0</v>
      </c>
      <c r="GW19" s="46"/>
      <c r="GX19" s="47"/>
      <c r="GZ19" s="43">
        <v>0</v>
      </c>
      <c r="HA19" s="46"/>
      <c r="HB19" s="47"/>
      <c r="HF19" s="43">
        <v>0</v>
      </c>
      <c r="HG19" s="46"/>
      <c r="HH19" s="47"/>
      <c r="HJ19" s="43">
        <v>0</v>
      </c>
      <c r="HK19" s="46"/>
      <c r="HL19" s="47"/>
      <c r="HP19" s="43">
        <v>0</v>
      </c>
      <c r="HQ19" s="46"/>
      <c r="HX19" s="43">
        <v>0</v>
      </c>
      <c r="HY19" s="46"/>
      <c r="HZ19" s="47"/>
      <c r="ID19" s="43">
        <v>0</v>
      </c>
      <c r="IE19" s="46"/>
      <c r="IJ19" s="43">
        <v>0</v>
      </c>
      <c r="IK19" s="49"/>
      <c r="IP19" s="43">
        <v>0</v>
      </c>
      <c r="IQ19" s="49"/>
      <c r="IV19" s="43">
        <v>0</v>
      </c>
      <c r="IW19" s="49"/>
      <c r="JB19" s="43">
        <v>0</v>
      </c>
      <c r="JC19" s="46"/>
      <c r="JF19" s="43">
        <v>0</v>
      </c>
      <c r="JG19" s="49"/>
      <c r="JL19" s="43">
        <v>0</v>
      </c>
      <c r="JM19" s="46"/>
      <c r="JN19" s="50"/>
      <c r="JP19" s="43">
        <v>0</v>
      </c>
      <c r="JQ19" s="49"/>
      <c r="JV19" s="43">
        <v>0</v>
      </c>
      <c r="JW19" s="49"/>
      <c r="KB19" s="43">
        <v>0</v>
      </c>
      <c r="KC19" s="49"/>
      <c r="KH19" s="43">
        <v>0</v>
      </c>
      <c r="KI19" s="49"/>
      <c r="KN19" s="43">
        <v>0</v>
      </c>
      <c r="KO19" s="49"/>
      <c r="KP19" s="50"/>
      <c r="KV19" s="43">
        <v>0</v>
      </c>
      <c r="KW19" s="49"/>
      <c r="KX19" s="48">
        <v>0</v>
      </c>
      <c r="KY19" s="48">
        <v>0</v>
      </c>
      <c r="KZ19" s="48">
        <v>0</v>
      </c>
      <c r="LA19" s="48">
        <v>0</v>
      </c>
      <c r="LB19" s="43">
        <v>0</v>
      </c>
      <c r="LC19" s="49"/>
      <c r="LD19" s="48">
        <v>0</v>
      </c>
      <c r="LE19" s="48">
        <v>0</v>
      </c>
      <c r="LF19" s="48">
        <v>0</v>
      </c>
      <c r="LG19" s="48">
        <v>0</v>
      </c>
      <c r="LH19" s="43">
        <v>0</v>
      </c>
      <c r="LI19" s="49"/>
      <c r="LJ19" s="50">
        <v>0</v>
      </c>
      <c r="LK19" s="48">
        <v>0</v>
      </c>
      <c r="LL19" s="43">
        <v>0</v>
      </c>
      <c r="LM19" s="49"/>
      <c r="LN19" s="50">
        <v>0</v>
      </c>
      <c r="LO19" s="48">
        <v>0</v>
      </c>
      <c r="LP19" s="48">
        <v>0</v>
      </c>
      <c r="LQ19" s="48">
        <v>0</v>
      </c>
      <c r="LR19" s="48">
        <v>0</v>
      </c>
      <c r="LS19" s="43">
        <v>0</v>
      </c>
      <c r="LT19" s="49"/>
      <c r="LU19" s="50">
        <v>0</v>
      </c>
      <c r="LV19" s="48">
        <v>0</v>
      </c>
      <c r="LW19" s="48">
        <v>0</v>
      </c>
      <c r="LX19" s="48">
        <v>0</v>
      </c>
      <c r="LY19" s="43">
        <v>0</v>
      </c>
      <c r="LZ19" s="49"/>
      <c r="MA19" s="50">
        <v>0</v>
      </c>
      <c r="MB19" s="48">
        <v>0</v>
      </c>
      <c r="MC19" s="43">
        <v>0</v>
      </c>
      <c r="MD19" s="49"/>
      <c r="ME19" s="50">
        <v>0</v>
      </c>
      <c r="MF19" s="48">
        <v>0</v>
      </c>
      <c r="MG19" s="48">
        <v>0</v>
      </c>
      <c r="MH19" s="48">
        <v>0</v>
      </c>
      <c r="MI19" s="43">
        <v>0</v>
      </c>
      <c r="MJ19" s="49"/>
      <c r="MK19" s="50">
        <v>0</v>
      </c>
      <c r="ML19" s="48">
        <v>0</v>
      </c>
      <c r="MM19" s="43">
        <v>0</v>
      </c>
      <c r="MN19" s="49"/>
      <c r="MO19" s="50">
        <v>0</v>
      </c>
      <c r="MP19" s="48">
        <v>0</v>
      </c>
      <c r="MQ19" s="48">
        <v>0</v>
      </c>
      <c r="MR19" s="48">
        <v>0</v>
      </c>
      <c r="MS19" s="43">
        <v>0</v>
      </c>
      <c r="MT19" s="49"/>
      <c r="MU19" s="48">
        <v>0</v>
      </c>
      <c r="MV19" s="46"/>
      <c r="MW19" s="48">
        <v>0</v>
      </c>
      <c r="MX19" s="48">
        <v>0</v>
      </c>
      <c r="MY19" s="43">
        <v>0</v>
      </c>
      <c r="MZ19" s="49"/>
      <c r="NA19" s="50">
        <v>0</v>
      </c>
      <c r="NB19" s="48">
        <v>0</v>
      </c>
      <c r="NC19" s="48">
        <v>0</v>
      </c>
      <c r="ND19" s="48">
        <v>0</v>
      </c>
      <c r="NE19" s="43">
        <v>0</v>
      </c>
      <c r="NF19" s="49"/>
      <c r="NG19" s="50">
        <v>0</v>
      </c>
      <c r="NH19" s="48">
        <v>0</v>
      </c>
      <c r="NI19" s="48">
        <v>0</v>
      </c>
      <c r="NJ19" s="48">
        <v>0</v>
      </c>
      <c r="NK19" s="43">
        <v>0</v>
      </c>
      <c r="NL19" s="49"/>
      <c r="NM19" s="50">
        <v>0</v>
      </c>
      <c r="NN19" s="48">
        <v>0</v>
      </c>
      <c r="NO19" s="48">
        <v>0</v>
      </c>
      <c r="NP19" s="48">
        <v>0</v>
      </c>
      <c r="NQ19" s="43">
        <v>0</v>
      </c>
      <c r="NR19" s="49"/>
      <c r="NS19" s="50">
        <v>0</v>
      </c>
      <c r="NT19" s="48">
        <v>0</v>
      </c>
      <c r="NU19" s="48">
        <v>0</v>
      </c>
      <c r="NV19" s="48">
        <v>0</v>
      </c>
      <c r="NW19" s="43">
        <v>0</v>
      </c>
      <c r="NX19" s="49"/>
      <c r="NY19" s="50">
        <v>0</v>
      </c>
      <c r="NZ19" s="48">
        <v>0</v>
      </c>
      <c r="OA19" s="48">
        <v>0</v>
      </c>
      <c r="OB19" s="48">
        <v>0</v>
      </c>
      <c r="OC19" s="43">
        <v>0</v>
      </c>
      <c r="OD19" s="49"/>
      <c r="OE19" s="50">
        <v>0</v>
      </c>
      <c r="OF19" s="48">
        <v>0</v>
      </c>
      <c r="OG19" s="43">
        <v>0</v>
      </c>
      <c r="OH19" s="49"/>
      <c r="OI19" s="50">
        <v>0</v>
      </c>
      <c r="OJ19" s="48">
        <v>0</v>
      </c>
      <c r="OK19" s="43">
        <v>0</v>
      </c>
      <c r="OL19" s="49"/>
      <c r="OM19" s="50">
        <v>0</v>
      </c>
      <c r="ON19" s="48">
        <v>0</v>
      </c>
      <c r="OO19" s="48">
        <v>0</v>
      </c>
      <c r="OP19" s="48">
        <v>0</v>
      </c>
      <c r="OQ19" s="43">
        <v>0</v>
      </c>
      <c r="OR19" s="49"/>
      <c r="OS19" s="50">
        <v>0</v>
      </c>
      <c r="OT19" s="48">
        <v>0</v>
      </c>
      <c r="OU19" s="43">
        <v>0</v>
      </c>
      <c r="OV19" s="49"/>
      <c r="OW19" s="50">
        <v>0</v>
      </c>
      <c r="OX19" s="48">
        <v>0</v>
      </c>
      <c r="OY19" s="48">
        <v>0</v>
      </c>
      <c r="OZ19" s="48">
        <v>0</v>
      </c>
      <c r="PA19" s="43">
        <v>0</v>
      </c>
      <c r="PB19" s="49"/>
      <c r="PC19" s="50">
        <v>0</v>
      </c>
      <c r="PD19" s="17">
        <v>10</v>
      </c>
      <c r="PE19" s="43">
        <v>-2.157</v>
      </c>
      <c r="PF19" s="49"/>
      <c r="PG19" s="50">
        <v>0</v>
      </c>
      <c r="PH19" s="48">
        <v>0</v>
      </c>
      <c r="PI19" s="48">
        <v>0</v>
      </c>
      <c r="PJ19" s="33">
        <v>102</v>
      </c>
      <c r="PK19" s="42">
        <v>-102</v>
      </c>
      <c r="PL19" s="49">
        <v>102</v>
      </c>
      <c r="PM19" s="47">
        <v>0</v>
      </c>
      <c r="PN19" s="48">
        <v>0</v>
      </c>
      <c r="PO19" s="48">
        <v>0</v>
      </c>
      <c r="PP19" s="48">
        <v>0</v>
      </c>
      <c r="PQ19" s="43">
        <v>0</v>
      </c>
      <c r="PR19" s="49"/>
      <c r="PS19" s="47">
        <v>30.696999999999999</v>
      </c>
      <c r="PT19" s="43">
        <v>70</v>
      </c>
      <c r="PU19" s="43">
        <v>34.427999999999997</v>
      </c>
      <c r="PV19" s="43">
        <v>80</v>
      </c>
      <c r="PW19" s="42">
        <v>-84.875</v>
      </c>
      <c r="PX19" s="46">
        <v>84.875</v>
      </c>
      <c r="PY19" s="47">
        <v>134.44499999999999</v>
      </c>
      <c r="PZ19" s="43">
        <v>130</v>
      </c>
      <c r="QA19" s="43">
        <v>4.4449999999999932</v>
      </c>
      <c r="QB19" s="46"/>
      <c r="QC19" s="47">
        <v>0</v>
      </c>
      <c r="QD19" s="43">
        <v>0</v>
      </c>
      <c r="QE19" s="43">
        <v>0</v>
      </c>
      <c r="QF19" s="43">
        <v>0</v>
      </c>
      <c r="QG19" s="43">
        <v>0</v>
      </c>
      <c r="QH19" s="46"/>
      <c r="QI19" s="47">
        <v>43.527999999999999</v>
      </c>
      <c r="QJ19" s="43">
        <v>40</v>
      </c>
      <c r="QK19" s="43">
        <v>43.247</v>
      </c>
      <c r="QL19" s="43">
        <v>40</v>
      </c>
      <c r="QM19" s="43">
        <v>6.7750000000000057</v>
      </c>
      <c r="QN19" s="46"/>
      <c r="QO19" s="47">
        <v>0</v>
      </c>
      <c r="QP19" s="43">
        <v>0</v>
      </c>
      <c r="QQ19" s="43">
        <v>0</v>
      </c>
      <c r="QR19" s="43">
        <v>0</v>
      </c>
      <c r="QS19" s="43">
        <v>0</v>
      </c>
      <c r="QT19" s="46"/>
      <c r="QU19" s="47">
        <v>295.91000000000003</v>
      </c>
      <c r="QV19" s="43">
        <v>350</v>
      </c>
      <c r="QW19" s="42">
        <v>-54.089999999999968</v>
      </c>
      <c r="QX19" s="46">
        <v>54.089999999999968</v>
      </c>
      <c r="QY19" s="47">
        <v>0</v>
      </c>
      <c r="QZ19" s="43">
        <v>0</v>
      </c>
      <c r="RA19" s="43">
        <v>62.768000000000001</v>
      </c>
      <c r="RB19" s="43">
        <v>60</v>
      </c>
      <c r="RC19" s="43">
        <v>2.7680000000000011</v>
      </c>
      <c r="RD19" s="46"/>
    </row>
    <row r="20" spans="1:472" x14ac:dyDescent="0.25">
      <c r="A20" s="43" t="s">
        <v>308</v>
      </c>
      <c r="B20" s="44">
        <v>1</v>
      </c>
      <c r="I20" s="47"/>
      <c r="J20" s="51"/>
      <c r="K20" s="51"/>
      <c r="L20" s="51"/>
      <c r="M20" s="51">
        <f t="shared" si="8"/>
        <v>0</v>
      </c>
      <c r="N20" s="46"/>
      <c r="O20" s="47"/>
      <c r="P20" s="51"/>
      <c r="Q20" s="51"/>
      <c r="R20" s="51"/>
      <c r="S20" s="51">
        <f t="shared" si="9"/>
        <v>0</v>
      </c>
      <c r="T20" s="46"/>
      <c r="U20" s="47"/>
      <c r="V20" s="51"/>
      <c r="W20" s="51"/>
      <c r="X20" s="51"/>
      <c r="Y20" s="51">
        <f t="shared" si="10"/>
        <v>0</v>
      </c>
      <c r="Z20" s="46"/>
      <c r="AA20" s="51"/>
      <c r="AE20" s="43">
        <v>0</v>
      </c>
      <c r="AF20" s="46"/>
      <c r="AG20" s="47"/>
      <c r="AK20" s="43">
        <v>0</v>
      </c>
      <c r="AL20" s="46"/>
      <c r="AQ20" s="43">
        <v>0</v>
      </c>
      <c r="AR20" s="46"/>
      <c r="AW20" s="43">
        <v>0</v>
      </c>
      <c r="AX20" s="46"/>
      <c r="AY20" s="47"/>
      <c r="BC20" s="43">
        <v>0</v>
      </c>
      <c r="BD20" s="46"/>
      <c r="BE20" s="47"/>
      <c r="BI20" s="43">
        <v>0</v>
      </c>
      <c r="BJ20" s="46"/>
      <c r="BP20" s="43">
        <v>0</v>
      </c>
      <c r="BQ20" s="46"/>
      <c r="BT20" s="43">
        <v>0</v>
      </c>
      <c r="BU20" s="46"/>
      <c r="BV20" s="47"/>
      <c r="BZ20" s="43">
        <v>0</v>
      </c>
      <c r="CA20" s="46"/>
      <c r="CF20" s="43">
        <v>0</v>
      </c>
      <c r="CG20" s="46"/>
      <c r="CL20" s="43">
        <v>0</v>
      </c>
      <c r="CM20" s="46"/>
      <c r="CN20" s="47"/>
      <c r="CR20" s="43">
        <v>0</v>
      </c>
      <c r="CS20" s="46"/>
      <c r="CX20" s="43">
        <v>0</v>
      </c>
      <c r="CY20" s="46"/>
      <c r="CZ20" s="47"/>
      <c r="DD20" s="43">
        <v>0</v>
      </c>
      <c r="DE20" s="46"/>
      <c r="DF20" s="47"/>
      <c r="DL20" s="43">
        <v>0</v>
      </c>
      <c r="DM20" s="46"/>
      <c r="DN20" s="47"/>
      <c r="DR20" s="43">
        <v>0</v>
      </c>
      <c r="DS20" s="46"/>
      <c r="DZ20" s="43">
        <v>0</v>
      </c>
      <c r="EA20" s="46"/>
      <c r="EB20" s="47"/>
      <c r="EF20" s="43">
        <v>0</v>
      </c>
      <c r="EG20" s="46"/>
      <c r="EH20" s="47"/>
      <c r="EL20" s="43">
        <v>0</v>
      </c>
      <c r="EM20" s="46"/>
      <c r="EN20" s="47"/>
      <c r="ER20" s="43">
        <v>0</v>
      </c>
      <c r="ES20" s="46"/>
      <c r="EZ20" s="43">
        <v>0</v>
      </c>
      <c r="FA20" s="46"/>
      <c r="FG20" s="43">
        <v>0</v>
      </c>
      <c r="FH20" s="46"/>
      <c r="FI20" s="47"/>
      <c r="FL20" s="43">
        <v>0</v>
      </c>
      <c r="FM20" s="46"/>
      <c r="FN20" s="47"/>
      <c r="FQ20" s="43">
        <v>0</v>
      </c>
      <c r="FR20" s="46"/>
      <c r="FW20" s="43">
        <v>0</v>
      </c>
      <c r="FX20" s="46"/>
      <c r="FY20" s="47"/>
      <c r="GD20" s="43">
        <v>0</v>
      </c>
      <c r="GE20" s="46"/>
      <c r="GJ20" s="43">
        <v>0</v>
      </c>
      <c r="GK20" s="46"/>
      <c r="GL20" s="47"/>
      <c r="GP20" s="43">
        <v>0</v>
      </c>
      <c r="GQ20" s="46"/>
      <c r="GV20" s="43">
        <v>0</v>
      </c>
      <c r="GW20" s="46"/>
      <c r="GX20" s="47"/>
      <c r="GZ20" s="43">
        <v>0</v>
      </c>
      <c r="HA20" s="46"/>
      <c r="HB20" s="47"/>
      <c r="HF20" s="43">
        <v>0</v>
      </c>
      <c r="HG20" s="46"/>
      <c r="HH20" s="47"/>
      <c r="HJ20" s="43">
        <v>0</v>
      </c>
      <c r="HK20" s="46"/>
      <c r="HL20" s="47"/>
      <c r="HP20" s="43">
        <v>0</v>
      </c>
      <c r="HQ20" s="46"/>
      <c r="HX20" s="43">
        <v>0</v>
      </c>
      <c r="HY20" s="46"/>
      <c r="HZ20" s="47"/>
      <c r="ID20" s="43">
        <v>0</v>
      </c>
      <c r="IE20" s="46"/>
      <c r="IJ20" s="43">
        <v>0</v>
      </c>
      <c r="IK20" s="49"/>
      <c r="IP20" s="43">
        <v>0</v>
      </c>
      <c r="IQ20" s="49"/>
      <c r="IV20" s="43">
        <v>0</v>
      </c>
      <c r="IW20" s="49"/>
      <c r="JB20" s="43">
        <v>0</v>
      </c>
      <c r="JC20" s="46"/>
      <c r="JF20" s="43">
        <v>0</v>
      </c>
      <c r="JG20" s="49"/>
      <c r="JL20" s="43">
        <v>0</v>
      </c>
      <c r="JM20" s="46"/>
      <c r="JN20" s="50"/>
      <c r="JP20" s="43">
        <v>0</v>
      </c>
      <c r="JQ20" s="49"/>
      <c r="JV20" s="43">
        <v>0</v>
      </c>
      <c r="JW20" s="49"/>
      <c r="KB20" s="43">
        <v>0</v>
      </c>
      <c r="KC20" s="49"/>
      <c r="KH20" s="43">
        <v>0</v>
      </c>
      <c r="KI20" s="49"/>
      <c r="KN20" s="43">
        <v>0</v>
      </c>
      <c r="KO20" s="49"/>
      <c r="KP20" s="50"/>
      <c r="KV20" s="43">
        <v>0</v>
      </c>
      <c r="KW20" s="49"/>
      <c r="KX20" s="48">
        <v>0</v>
      </c>
      <c r="KY20" s="48">
        <v>0</v>
      </c>
      <c r="KZ20" s="48">
        <v>0</v>
      </c>
      <c r="LA20" s="48">
        <v>0</v>
      </c>
      <c r="LB20" s="43">
        <v>0</v>
      </c>
      <c r="LC20" s="49"/>
      <c r="LD20" s="48">
        <v>0</v>
      </c>
      <c r="LE20" s="48">
        <v>0</v>
      </c>
      <c r="LF20" s="48">
        <v>0</v>
      </c>
      <c r="LG20" s="48">
        <v>0</v>
      </c>
      <c r="LH20" s="43">
        <v>0</v>
      </c>
      <c r="LI20" s="49"/>
      <c r="LJ20" s="50">
        <v>0</v>
      </c>
      <c r="LK20" s="48">
        <v>0</v>
      </c>
      <c r="LL20" s="43">
        <v>0</v>
      </c>
      <c r="LM20" s="49"/>
      <c r="LN20" s="50">
        <v>0</v>
      </c>
      <c r="LO20" s="48">
        <v>0</v>
      </c>
      <c r="LP20" s="48">
        <v>0</v>
      </c>
      <c r="LQ20" s="48">
        <v>0</v>
      </c>
      <c r="LR20" s="48">
        <v>0</v>
      </c>
      <c r="LS20" s="43">
        <v>0</v>
      </c>
      <c r="LT20" s="49"/>
      <c r="LU20" s="50">
        <v>0</v>
      </c>
      <c r="LV20" s="48">
        <v>0</v>
      </c>
      <c r="LW20" s="48">
        <v>0</v>
      </c>
      <c r="LX20" s="48">
        <v>0</v>
      </c>
      <c r="LY20" s="43">
        <v>0</v>
      </c>
      <c r="LZ20" s="49"/>
      <c r="MA20" s="50">
        <v>0</v>
      </c>
      <c r="MB20" s="48">
        <v>0</v>
      </c>
      <c r="MC20" s="43">
        <v>0</v>
      </c>
      <c r="MD20" s="49"/>
      <c r="ME20" s="50">
        <v>0</v>
      </c>
      <c r="MF20" s="48">
        <v>0</v>
      </c>
      <c r="MG20" s="48">
        <v>0</v>
      </c>
      <c r="MH20" s="48">
        <v>0</v>
      </c>
      <c r="MI20" s="43">
        <v>0</v>
      </c>
      <c r="MJ20" s="49"/>
      <c r="MK20" s="50">
        <v>0</v>
      </c>
      <c r="ML20" s="48">
        <v>0</v>
      </c>
      <c r="MM20" s="43">
        <v>0</v>
      </c>
      <c r="MN20" s="49"/>
      <c r="MO20" s="50">
        <v>0</v>
      </c>
      <c r="MP20" s="48">
        <v>0</v>
      </c>
      <c r="MQ20" s="48">
        <v>0</v>
      </c>
      <c r="MR20" s="48">
        <v>0</v>
      </c>
      <c r="MS20" s="43">
        <v>0</v>
      </c>
      <c r="MT20" s="49"/>
      <c r="MU20" s="48">
        <v>0</v>
      </c>
      <c r="MV20" s="46"/>
      <c r="MW20" s="48">
        <v>0</v>
      </c>
      <c r="MX20" s="48">
        <v>0</v>
      </c>
      <c r="MY20" s="43">
        <v>0</v>
      </c>
      <c r="MZ20" s="49"/>
      <c r="NA20" s="50">
        <v>0</v>
      </c>
      <c r="NB20" s="48">
        <v>0</v>
      </c>
      <c r="NC20" s="48">
        <v>0</v>
      </c>
      <c r="ND20" s="48">
        <v>0</v>
      </c>
      <c r="NE20" s="43">
        <v>0</v>
      </c>
      <c r="NF20" s="49"/>
      <c r="NG20" s="50">
        <v>0</v>
      </c>
      <c r="NH20" s="48">
        <v>0</v>
      </c>
      <c r="NI20" s="48">
        <v>0</v>
      </c>
      <c r="NJ20" s="48">
        <v>0</v>
      </c>
      <c r="NK20" s="43">
        <v>0</v>
      </c>
      <c r="NL20" s="49"/>
      <c r="NM20" s="50">
        <v>0</v>
      </c>
      <c r="NN20" s="48">
        <v>0</v>
      </c>
      <c r="NO20" s="48">
        <v>0</v>
      </c>
      <c r="NP20" s="48">
        <v>0</v>
      </c>
      <c r="NQ20" s="43">
        <v>0</v>
      </c>
      <c r="NR20" s="49"/>
      <c r="NS20" s="50">
        <v>0</v>
      </c>
      <c r="NT20" s="48">
        <v>0</v>
      </c>
      <c r="NU20" s="48">
        <v>0</v>
      </c>
      <c r="NV20" s="48">
        <v>0</v>
      </c>
      <c r="NW20" s="43">
        <v>0</v>
      </c>
      <c r="NX20" s="49"/>
      <c r="NY20" s="50">
        <v>0</v>
      </c>
      <c r="NZ20" s="48">
        <v>0</v>
      </c>
      <c r="OA20" s="48">
        <v>0</v>
      </c>
      <c r="OB20" s="48">
        <v>0</v>
      </c>
      <c r="OC20" s="43">
        <v>0</v>
      </c>
      <c r="OD20" s="49"/>
      <c r="OE20" s="50">
        <v>0</v>
      </c>
      <c r="OF20" s="48">
        <v>0</v>
      </c>
      <c r="OG20" s="43">
        <v>0</v>
      </c>
      <c r="OH20" s="49"/>
      <c r="OI20" s="50">
        <v>0</v>
      </c>
      <c r="OJ20" s="48">
        <v>0</v>
      </c>
      <c r="OK20" s="43">
        <v>0</v>
      </c>
      <c r="OL20" s="49"/>
      <c r="OM20" s="50">
        <v>0</v>
      </c>
      <c r="ON20" s="48">
        <v>0</v>
      </c>
      <c r="OO20" s="48">
        <v>0</v>
      </c>
      <c r="OP20" s="48">
        <v>0</v>
      </c>
      <c r="OQ20" s="43">
        <v>0</v>
      </c>
      <c r="OR20" s="49"/>
      <c r="OS20" s="50">
        <v>0</v>
      </c>
      <c r="OT20" s="48">
        <v>0</v>
      </c>
      <c r="OU20" s="43">
        <v>0</v>
      </c>
      <c r="OV20" s="49"/>
      <c r="OW20" s="50">
        <v>0</v>
      </c>
      <c r="OX20" s="48">
        <v>0</v>
      </c>
      <c r="OY20" s="48">
        <v>0</v>
      </c>
      <c r="OZ20" s="17">
        <v>94</v>
      </c>
      <c r="PA20" s="43">
        <v>-0.42199999999999699</v>
      </c>
      <c r="PB20" s="49"/>
      <c r="PC20" s="50">
        <v>0</v>
      </c>
      <c r="PD20" s="48">
        <v>0</v>
      </c>
      <c r="PE20" s="43">
        <v>0</v>
      </c>
      <c r="PF20" s="49"/>
      <c r="PG20" s="50">
        <v>0</v>
      </c>
      <c r="PH20" s="48">
        <v>0</v>
      </c>
      <c r="PI20" s="48">
        <v>12.144</v>
      </c>
      <c r="PJ20" s="48">
        <v>10</v>
      </c>
      <c r="PK20" s="43">
        <v>2.1440000000000001</v>
      </c>
      <c r="PL20" s="49"/>
      <c r="PM20" s="47">
        <v>0</v>
      </c>
      <c r="PN20" s="48">
        <v>0</v>
      </c>
      <c r="PO20" s="48">
        <v>0</v>
      </c>
      <c r="PP20" s="48">
        <v>0</v>
      </c>
      <c r="PQ20" s="43">
        <v>0</v>
      </c>
      <c r="PR20" s="49"/>
      <c r="PS20" s="47">
        <v>52.070999999999998</v>
      </c>
      <c r="PT20" s="43">
        <v>50</v>
      </c>
      <c r="PU20" s="43">
        <v>0</v>
      </c>
      <c r="PV20" s="43">
        <v>0</v>
      </c>
      <c r="PW20" s="43">
        <v>2.070999999999998</v>
      </c>
      <c r="PX20" s="46"/>
      <c r="PY20" s="47">
        <v>59.948</v>
      </c>
      <c r="PZ20" s="43">
        <v>55</v>
      </c>
      <c r="QA20" s="43">
        <v>4.9480000000000004</v>
      </c>
      <c r="QB20" s="46"/>
      <c r="QC20" s="47">
        <v>0</v>
      </c>
      <c r="QD20" s="43">
        <v>0</v>
      </c>
      <c r="QE20" s="43">
        <v>0</v>
      </c>
      <c r="QF20" s="43">
        <v>0</v>
      </c>
      <c r="QG20" s="43">
        <v>0</v>
      </c>
      <c r="QH20" s="46"/>
      <c r="QI20" s="47">
        <v>0</v>
      </c>
      <c r="QJ20" s="43">
        <v>0</v>
      </c>
      <c r="QK20" s="43">
        <v>0</v>
      </c>
      <c r="QL20" s="43">
        <v>0</v>
      </c>
      <c r="QM20" s="43">
        <v>0</v>
      </c>
      <c r="QN20" s="46"/>
      <c r="QO20" s="47">
        <v>0</v>
      </c>
      <c r="QP20" s="43">
        <v>0</v>
      </c>
      <c r="QQ20" s="43">
        <v>0</v>
      </c>
      <c r="QR20" s="43">
        <v>0</v>
      </c>
      <c r="QS20" s="43">
        <v>0</v>
      </c>
      <c r="QT20" s="46"/>
      <c r="QU20" s="47">
        <v>103.08</v>
      </c>
      <c r="QV20" s="43">
        <v>100</v>
      </c>
      <c r="QW20" s="43">
        <v>3.0799999999999979</v>
      </c>
      <c r="QX20" s="46"/>
      <c r="QY20" s="47">
        <v>0</v>
      </c>
      <c r="QZ20" s="43">
        <v>0</v>
      </c>
      <c r="RA20" s="43">
        <v>0</v>
      </c>
      <c r="RB20" s="43">
        <v>0</v>
      </c>
      <c r="RC20" s="43">
        <v>0</v>
      </c>
      <c r="RD20" s="46"/>
    </row>
    <row r="21" spans="1:472" x14ac:dyDescent="0.25">
      <c r="A21" s="43" t="s">
        <v>309</v>
      </c>
      <c r="B21" s="44">
        <v>1</v>
      </c>
      <c r="I21" s="47"/>
      <c r="J21" s="51"/>
      <c r="K21" s="51"/>
      <c r="L21" s="51"/>
      <c r="M21" s="51">
        <f t="shared" si="8"/>
        <v>0</v>
      </c>
      <c r="N21" s="46"/>
      <c r="O21" s="47"/>
      <c r="P21" s="51"/>
      <c r="Q21" s="51"/>
      <c r="R21" s="51"/>
      <c r="S21" s="51">
        <f t="shared" si="9"/>
        <v>0</v>
      </c>
      <c r="T21" s="46"/>
      <c r="U21" s="47"/>
      <c r="V21" s="51"/>
      <c r="W21" s="51"/>
      <c r="X21" s="51"/>
      <c r="Y21" s="51">
        <f t="shared" si="10"/>
        <v>0</v>
      </c>
      <c r="Z21" s="46"/>
      <c r="AA21" s="51"/>
      <c r="AE21" s="43">
        <v>0</v>
      </c>
      <c r="AF21" s="46"/>
      <c r="AG21" s="47"/>
      <c r="AK21" s="43">
        <v>0</v>
      </c>
      <c r="AL21" s="46"/>
      <c r="AQ21" s="43">
        <v>0</v>
      </c>
      <c r="AR21" s="46"/>
      <c r="AW21" s="43">
        <v>0</v>
      </c>
      <c r="AX21" s="46"/>
      <c r="AY21" s="47"/>
      <c r="BC21" s="43">
        <v>0</v>
      </c>
      <c r="BD21" s="46"/>
      <c r="BE21" s="47"/>
      <c r="BI21" s="43">
        <v>0</v>
      </c>
      <c r="BJ21" s="46"/>
      <c r="BP21" s="43">
        <v>0</v>
      </c>
      <c r="BQ21" s="46"/>
      <c r="BT21" s="43">
        <v>0</v>
      </c>
      <c r="BU21" s="46"/>
      <c r="BV21" s="47"/>
      <c r="BZ21" s="43">
        <v>0</v>
      </c>
      <c r="CA21" s="46"/>
      <c r="CF21" s="43">
        <v>0</v>
      </c>
      <c r="CG21" s="46"/>
      <c r="CL21" s="43">
        <v>0</v>
      </c>
      <c r="CM21" s="46"/>
      <c r="CN21" s="47"/>
      <c r="CR21" s="43">
        <v>0</v>
      </c>
      <c r="CS21" s="46"/>
      <c r="CX21" s="43">
        <v>0</v>
      </c>
      <c r="CY21" s="46"/>
      <c r="CZ21" s="47"/>
      <c r="DD21" s="43">
        <v>0</v>
      </c>
      <c r="DE21" s="46"/>
      <c r="DF21" s="47"/>
      <c r="DL21" s="43">
        <v>0</v>
      </c>
      <c r="DM21" s="46"/>
      <c r="DN21" s="47"/>
      <c r="DR21" s="43">
        <v>0</v>
      </c>
      <c r="DS21" s="46"/>
      <c r="DZ21" s="43">
        <v>0</v>
      </c>
      <c r="EA21" s="46"/>
      <c r="EB21" s="47"/>
      <c r="EF21" s="43">
        <v>0</v>
      </c>
      <c r="EG21" s="46"/>
      <c r="EH21" s="47"/>
      <c r="EL21" s="43">
        <v>0</v>
      </c>
      <c r="EM21" s="46"/>
      <c r="EN21" s="47"/>
      <c r="ER21" s="43">
        <v>0</v>
      </c>
      <c r="ES21" s="46"/>
      <c r="EZ21" s="43">
        <v>0</v>
      </c>
      <c r="FA21" s="46"/>
      <c r="FG21" s="43">
        <v>0</v>
      </c>
      <c r="FH21" s="46"/>
      <c r="FI21" s="47"/>
      <c r="FL21" s="43">
        <v>0</v>
      </c>
      <c r="FM21" s="46"/>
      <c r="FN21" s="47"/>
      <c r="FQ21" s="43">
        <v>0</v>
      </c>
      <c r="FR21" s="46"/>
      <c r="FW21" s="43">
        <v>0</v>
      </c>
      <c r="FX21" s="46"/>
      <c r="FY21" s="47"/>
      <c r="GD21" s="43">
        <v>0</v>
      </c>
      <c r="GE21" s="46"/>
      <c r="GJ21" s="43">
        <v>0</v>
      </c>
      <c r="GK21" s="46"/>
      <c r="GL21" s="47"/>
      <c r="GP21" s="43">
        <v>0</v>
      </c>
      <c r="GQ21" s="46"/>
      <c r="GV21" s="43">
        <v>0</v>
      </c>
      <c r="GW21" s="46"/>
      <c r="GX21" s="47"/>
      <c r="GZ21" s="43">
        <v>0</v>
      </c>
      <c r="HA21" s="46"/>
      <c r="HB21" s="47"/>
      <c r="HF21" s="43">
        <v>0</v>
      </c>
      <c r="HG21" s="46"/>
      <c r="HH21" s="47"/>
      <c r="HJ21" s="43">
        <v>0</v>
      </c>
      <c r="HK21" s="46"/>
      <c r="HL21" s="47"/>
      <c r="HP21" s="43">
        <v>0</v>
      </c>
      <c r="HQ21" s="46"/>
      <c r="HV21">
        <v>430</v>
      </c>
      <c r="HW21">
        <v>430</v>
      </c>
      <c r="HX21" s="43">
        <v>0</v>
      </c>
      <c r="HY21" s="46"/>
      <c r="HZ21" s="45">
        <v>140</v>
      </c>
      <c r="IA21">
        <v>140</v>
      </c>
      <c r="IB21">
        <v>100</v>
      </c>
      <c r="IC21">
        <v>100</v>
      </c>
      <c r="ID21" s="43">
        <v>0</v>
      </c>
      <c r="IE21" s="46"/>
      <c r="IH21">
        <v>167</v>
      </c>
      <c r="II21">
        <v>170</v>
      </c>
      <c r="IJ21" s="43">
        <v>-3</v>
      </c>
      <c r="IK21" s="49"/>
      <c r="IL21">
        <v>101</v>
      </c>
      <c r="IM21">
        <v>100</v>
      </c>
      <c r="IN21">
        <v>101</v>
      </c>
      <c r="IO21">
        <v>100</v>
      </c>
      <c r="IP21" s="43">
        <v>2</v>
      </c>
      <c r="IQ21" s="49"/>
      <c r="IR21">
        <v>253</v>
      </c>
      <c r="IS21">
        <v>250</v>
      </c>
      <c r="IT21">
        <v>169</v>
      </c>
      <c r="IU21">
        <v>170</v>
      </c>
      <c r="IV21" s="43">
        <v>2</v>
      </c>
      <c r="IW21" s="49"/>
      <c r="IX21">
        <v>51</v>
      </c>
      <c r="IY21">
        <v>50</v>
      </c>
      <c r="IZ21">
        <v>28</v>
      </c>
      <c r="JA21">
        <v>30</v>
      </c>
      <c r="JB21" s="43">
        <v>-1</v>
      </c>
      <c r="JC21" s="46"/>
      <c r="JD21">
        <v>89</v>
      </c>
      <c r="JE21">
        <v>120</v>
      </c>
      <c r="JF21" s="42">
        <v>-31</v>
      </c>
      <c r="JG21" s="46">
        <v>31</v>
      </c>
      <c r="JH21">
        <v>202</v>
      </c>
      <c r="JI21">
        <v>200</v>
      </c>
      <c r="JJ21">
        <v>162</v>
      </c>
      <c r="JK21">
        <v>162</v>
      </c>
      <c r="JL21" s="43">
        <v>2</v>
      </c>
      <c r="JM21" s="46"/>
      <c r="JN21" s="45">
        <v>28</v>
      </c>
      <c r="JO21" s="48">
        <v>30</v>
      </c>
      <c r="JP21" s="43">
        <v>-2</v>
      </c>
      <c r="JQ21" s="49"/>
      <c r="JT21">
        <v>39</v>
      </c>
      <c r="JU21">
        <v>40</v>
      </c>
      <c r="JV21" s="43">
        <v>-1</v>
      </c>
      <c r="JW21" s="49"/>
      <c r="JX21">
        <v>101</v>
      </c>
      <c r="JY21">
        <v>100</v>
      </c>
      <c r="JZ21">
        <v>257</v>
      </c>
      <c r="KA21">
        <v>260</v>
      </c>
      <c r="KB21" s="43">
        <v>-2</v>
      </c>
      <c r="KC21" s="49"/>
      <c r="KF21">
        <v>129</v>
      </c>
      <c r="KG21">
        <v>130</v>
      </c>
      <c r="KH21" s="43">
        <v>-1</v>
      </c>
      <c r="KI21" s="49"/>
      <c r="KJ21">
        <v>73</v>
      </c>
      <c r="KK21">
        <v>70</v>
      </c>
      <c r="KL21">
        <v>101</v>
      </c>
      <c r="KM21">
        <v>100</v>
      </c>
      <c r="KN21" s="43">
        <v>4</v>
      </c>
      <c r="KO21" s="49"/>
      <c r="KP21" s="45">
        <v>78</v>
      </c>
      <c r="KQ21">
        <v>80</v>
      </c>
      <c r="KR21">
        <v>100</v>
      </c>
      <c r="KS21">
        <v>100</v>
      </c>
      <c r="KT21">
        <v>80</v>
      </c>
      <c r="KU21">
        <v>80</v>
      </c>
      <c r="KV21" s="43">
        <v>-2</v>
      </c>
      <c r="KW21" s="49"/>
      <c r="KX21" s="48">
        <v>100.41500000000001</v>
      </c>
      <c r="KY21" s="48">
        <v>100</v>
      </c>
      <c r="KZ21" s="48">
        <v>140.785</v>
      </c>
      <c r="LA21" s="48">
        <v>150</v>
      </c>
      <c r="LB21" s="42">
        <v>-8.8000000000000114</v>
      </c>
      <c r="LC21" s="49">
        <v>8.8000000000000114</v>
      </c>
      <c r="LD21" s="48">
        <v>0</v>
      </c>
      <c r="LE21" s="48">
        <v>0</v>
      </c>
      <c r="LF21" s="48">
        <v>56.728999999999999</v>
      </c>
      <c r="LG21" s="48">
        <v>55</v>
      </c>
      <c r="LH21" s="43">
        <v>1.728999999999999</v>
      </c>
      <c r="LI21" s="49"/>
      <c r="LJ21" s="50">
        <v>22.573</v>
      </c>
      <c r="LK21" s="48">
        <v>22</v>
      </c>
      <c r="LL21" s="43">
        <v>0.5730000000000004</v>
      </c>
      <c r="LM21" s="49"/>
      <c r="LN21" s="50">
        <v>120.77800000000001</v>
      </c>
      <c r="LO21" s="48">
        <v>200</v>
      </c>
      <c r="LP21" s="48">
        <v>213.72</v>
      </c>
      <c r="LQ21" s="48">
        <v>0</v>
      </c>
      <c r="LR21" s="48">
        <v>210</v>
      </c>
      <c r="LS21" s="42">
        <v>-75.50200000000001</v>
      </c>
      <c r="LT21" s="49">
        <v>75.50200000000001</v>
      </c>
      <c r="LU21" s="50">
        <v>117.05500000000001</v>
      </c>
      <c r="LV21" s="48">
        <v>120</v>
      </c>
      <c r="LW21" s="48">
        <v>130.06399999999999</v>
      </c>
      <c r="LX21" s="48">
        <v>130</v>
      </c>
      <c r="LY21" s="43">
        <v>-2.8809999999999998</v>
      </c>
      <c r="LZ21" s="49"/>
      <c r="MA21" s="50">
        <v>39.323999999999998</v>
      </c>
      <c r="MB21" s="48">
        <v>40</v>
      </c>
      <c r="MC21" s="43">
        <v>-0.67600000000000193</v>
      </c>
      <c r="MD21" s="49"/>
      <c r="ME21" s="50">
        <v>0</v>
      </c>
      <c r="MF21" s="48">
        <v>0</v>
      </c>
      <c r="MG21" s="48">
        <v>357.68599999999998</v>
      </c>
      <c r="MH21" s="48">
        <v>360</v>
      </c>
      <c r="MI21" s="43">
        <v>-2.3140000000000209</v>
      </c>
      <c r="MJ21" s="49"/>
      <c r="MK21" s="50">
        <v>0</v>
      </c>
      <c r="ML21" s="48">
        <v>0</v>
      </c>
      <c r="MM21" s="43">
        <v>0</v>
      </c>
      <c r="MN21" s="49"/>
      <c r="MO21" s="50">
        <v>51.320999999999998</v>
      </c>
      <c r="MP21" s="48">
        <v>50</v>
      </c>
      <c r="MQ21" s="48">
        <v>566.02800000000002</v>
      </c>
      <c r="MR21" s="48">
        <v>560</v>
      </c>
      <c r="MS21" s="43">
        <v>7.3490000000000464</v>
      </c>
      <c r="MT21" s="49"/>
      <c r="MU21" s="48">
        <v>0</v>
      </c>
      <c r="MV21" s="46"/>
      <c r="MW21" s="48">
        <v>0</v>
      </c>
      <c r="MX21" s="48">
        <v>0</v>
      </c>
      <c r="MY21" s="43">
        <v>0</v>
      </c>
      <c r="MZ21" s="49"/>
      <c r="NA21" s="50">
        <v>49.235999999999997</v>
      </c>
      <c r="NB21" s="48">
        <v>50</v>
      </c>
      <c r="NC21" s="48">
        <v>145.012</v>
      </c>
      <c r="ND21" s="48">
        <v>150</v>
      </c>
      <c r="NE21" s="43">
        <v>-5.7520000000000104</v>
      </c>
      <c r="NF21" s="49"/>
      <c r="NG21" s="50">
        <v>98.962000000000003</v>
      </c>
      <c r="NH21" s="48">
        <v>50</v>
      </c>
      <c r="NI21" s="48">
        <v>117.383</v>
      </c>
      <c r="NJ21" s="48">
        <v>120</v>
      </c>
      <c r="NK21" s="43">
        <v>46.344999999999999</v>
      </c>
      <c r="NL21" s="49"/>
      <c r="NM21" s="50">
        <v>128.61799999999999</v>
      </c>
      <c r="NN21" s="48">
        <v>130</v>
      </c>
      <c r="NO21" s="48">
        <v>180.333</v>
      </c>
      <c r="NP21" s="48">
        <v>180</v>
      </c>
      <c r="NQ21" s="43">
        <v>-1.048999999999978</v>
      </c>
      <c r="NR21" s="49"/>
      <c r="NS21" s="25">
        <v>116.71</v>
      </c>
      <c r="NT21" s="48">
        <v>0</v>
      </c>
      <c r="NU21" s="48">
        <v>98.301000000000002</v>
      </c>
      <c r="NV21" s="48">
        <v>100</v>
      </c>
      <c r="NW21" s="43">
        <v>115.011</v>
      </c>
      <c r="NX21" s="49"/>
      <c r="NY21" s="50">
        <v>0</v>
      </c>
      <c r="NZ21" s="48">
        <v>0</v>
      </c>
      <c r="OA21" s="48">
        <v>0</v>
      </c>
      <c r="OB21" s="48">
        <v>0</v>
      </c>
      <c r="OC21" s="43">
        <v>0</v>
      </c>
      <c r="OD21" s="49"/>
      <c r="OE21" s="50">
        <v>387.565</v>
      </c>
      <c r="OF21" s="48">
        <v>400</v>
      </c>
      <c r="OG21" s="42">
        <v>-12.435</v>
      </c>
      <c r="OH21" s="49">
        <v>12.435</v>
      </c>
      <c r="OI21" s="50">
        <v>100.2</v>
      </c>
      <c r="OJ21" s="48">
        <v>100</v>
      </c>
      <c r="OK21" s="43">
        <v>0.20000000000000279</v>
      </c>
      <c r="OL21" s="49"/>
      <c r="OM21" s="50">
        <v>98.978999999999999</v>
      </c>
      <c r="ON21" s="48">
        <v>100</v>
      </c>
      <c r="OO21" s="48">
        <v>99.981999999999999</v>
      </c>
      <c r="OP21" s="48">
        <v>100</v>
      </c>
      <c r="OQ21" s="43">
        <v>-1.038999999999987</v>
      </c>
      <c r="OR21" s="49"/>
      <c r="OS21" s="50">
        <v>67.558000000000007</v>
      </c>
      <c r="OT21" s="48">
        <v>65</v>
      </c>
      <c r="OU21" s="43">
        <v>2.5580000000000069</v>
      </c>
      <c r="OV21" s="49"/>
      <c r="OW21" s="50">
        <v>101.005</v>
      </c>
      <c r="OX21" s="48">
        <v>150</v>
      </c>
      <c r="OY21" s="48">
        <v>112.093</v>
      </c>
      <c r="OZ21" s="48">
        <v>113</v>
      </c>
      <c r="PA21" s="42">
        <v>-49.901999999999987</v>
      </c>
      <c r="PB21" s="49">
        <v>49.901999999999987</v>
      </c>
      <c r="PC21" s="50">
        <v>101.389</v>
      </c>
      <c r="PD21" s="48">
        <v>0</v>
      </c>
      <c r="PE21" s="43">
        <v>101.389</v>
      </c>
      <c r="PF21" s="49"/>
      <c r="PG21" s="50">
        <v>0</v>
      </c>
      <c r="PH21" s="48">
        <v>0</v>
      </c>
      <c r="PI21" s="48">
        <v>185.727</v>
      </c>
      <c r="PJ21" s="48">
        <v>183</v>
      </c>
      <c r="PK21" s="43">
        <v>2.7270000000000039</v>
      </c>
      <c r="PL21" s="49"/>
      <c r="PM21" s="47">
        <v>0</v>
      </c>
      <c r="PN21" s="48">
        <v>0</v>
      </c>
      <c r="PO21" s="48">
        <v>72.756</v>
      </c>
      <c r="PP21" s="48">
        <v>72</v>
      </c>
      <c r="PQ21" s="43">
        <v>0.75600000000000023</v>
      </c>
      <c r="PR21" s="49"/>
      <c r="PS21" s="47">
        <v>112.021</v>
      </c>
      <c r="PT21" s="43">
        <v>110</v>
      </c>
      <c r="PU21" s="43">
        <v>98.744</v>
      </c>
      <c r="PV21" s="43">
        <v>100</v>
      </c>
      <c r="PW21" s="43">
        <v>0.76499999999998636</v>
      </c>
      <c r="PX21" s="46"/>
      <c r="PY21" s="47">
        <v>119.273</v>
      </c>
      <c r="PZ21" s="43">
        <v>121</v>
      </c>
      <c r="QA21" s="43">
        <v>-1.7270000000000041</v>
      </c>
      <c r="QB21" s="46"/>
      <c r="QC21" s="47">
        <v>50.179000000000002</v>
      </c>
      <c r="QD21" s="43">
        <v>50</v>
      </c>
      <c r="QE21" s="43">
        <v>51.26</v>
      </c>
      <c r="QF21" s="43">
        <v>50</v>
      </c>
      <c r="QG21" s="43">
        <v>1.438999999999993</v>
      </c>
      <c r="QH21" s="46"/>
      <c r="QI21" s="47">
        <v>38.767000000000003</v>
      </c>
      <c r="QJ21" s="43">
        <v>40</v>
      </c>
      <c r="QK21" s="43">
        <v>39.048000000000002</v>
      </c>
      <c r="QL21" s="43">
        <v>40</v>
      </c>
      <c r="QM21" s="43">
        <v>-2.1850000000000018</v>
      </c>
      <c r="QN21" s="46"/>
      <c r="QO21" s="47">
        <v>139.69900000000001</v>
      </c>
      <c r="QP21" s="43">
        <v>138</v>
      </c>
      <c r="QQ21" s="43">
        <v>353.05500000000001</v>
      </c>
      <c r="QR21" s="43">
        <v>180</v>
      </c>
      <c r="QS21" s="43">
        <v>174.75399999999999</v>
      </c>
      <c r="QT21" s="46"/>
      <c r="QU21" s="47">
        <v>0</v>
      </c>
      <c r="QV21" s="43">
        <v>0</v>
      </c>
      <c r="QW21" s="43">
        <v>0</v>
      </c>
      <c r="QX21" s="46"/>
      <c r="QY21" s="47">
        <v>101.58799999999999</v>
      </c>
      <c r="QZ21" s="43">
        <v>100</v>
      </c>
      <c r="RA21" s="43">
        <v>174.79300000000001</v>
      </c>
      <c r="RB21" s="43">
        <v>183</v>
      </c>
      <c r="RC21" s="43">
        <v>-6.6190000000000282</v>
      </c>
      <c r="RD21" s="46"/>
    </row>
    <row r="22" spans="1:472" x14ac:dyDescent="0.25">
      <c r="A22" s="43" t="s">
        <v>310</v>
      </c>
      <c r="B22" s="44">
        <v>1</v>
      </c>
      <c r="F22">
        <v>12</v>
      </c>
      <c r="I22" s="45">
        <v>32</v>
      </c>
      <c r="J22" s="52">
        <v>30</v>
      </c>
      <c r="K22" s="52">
        <v>41</v>
      </c>
      <c r="L22" s="52">
        <v>39</v>
      </c>
      <c r="M22" s="51">
        <f t="shared" si="8"/>
        <v>4</v>
      </c>
      <c r="N22" s="46"/>
      <c r="O22" s="45">
        <v>49</v>
      </c>
      <c r="P22" s="52">
        <v>50</v>
      </c>
      <c r="Q22" s="52">
        <v>65</v>
      </c>
      <c r="R22" s="52">
        <v>66</v>
      </c>
      <c r="S22" s="51">
        <f t="shared" si="9"/>
        <v>-2</v>
      </c>
      <c r="T22" s="46"/>
      <c r="U22" s="45">
        <v>33</v>
      </c>
      <c r="V22" s="52">
        <v>30</v>
      </c>
      <c r="W22" s="52">
        <v>8</v>
      </c>
      <c r="X22" s="52">
        <v>9</v>
      </c>
      <c r="Y22" s="51">
        <f t="shared" si="10"/>
        <v>2</v>
      </c>
      <c r="Z22" s="46"/>
      <c r="AA22" s="51"/>
      <c r="AE22" s="43">
        <v>0</v>
      </c>
      <c r="AF22" s="46"/>
      <c r="AG22" s="45">
        <v>41</v>
      </c>
      <c r="AH22">
        <v>40</v>
      </c>
      <c r="AI22">
        <v>86</v>
      </c>
      <c r="AJ22">
        <v>84</v>
      </c>
      <c r="AK22" s="43">
        <v>3</v>
      </c>
      <c r="AL22" s="46"/>
      <c r="AQ22" s="43">
        <v>0</v>
      </c>
      <c r="AR22" s="46"/>
      <c r="AS22">
        <v>49</v>
      </c>
      <c r="AT22">
        <v>50</v>
      </c>
      <c r="AU22">
        <v>53</v>
      </c>
      <c r="AV22">
        <v>52</v>
      </c>
      <c r="AW22" s="43">
        <v>0</v>
      </c>
      <c r="AX22" s="46"/>
      <c r="AY22" s="47"/>
      <c r="BA22">
        <v>29</v>
      </c>
      <c r="BB22">
        <v>28</v>
      </c>
      <c r="BC22" s="43">
        <v>1</v>
      </c>
      <c r="BD22" s="46"/>
      <c r="BE22" s="45">
        <v>24</v>
      </c>
      <c r="BF22">
        <v>25</v>
      </c>
      <c r="BI22" s="43">
        <v>-1</v>
      </c>
      <c r="BJ22" s="46"/>
      <c r="BN22">
        <v>107</v>
      </c>
      <c r="BO22">
        <v>103</v>
      </c>
      <c r="BP22" s="43">
        <v>4</v>
      </c>
      <c r="BQ22" s="46"/>
      <c r="BT22" s="43">
        <v>0</v>
      </c>
      <c r="BU22" s="46"/>
      <c r="BV22" s="45">
        <v>20</v>
      </c>
      <c r="BW22">
        <v>19</v>
      </c>
      <c r="BX22">
        <v>61</v>
      </c>
      <c r="BY22">
        <v>62</v>
      </c>
      <c r="BZ22" s="43">
        <v>0</v>
      </c>
      <c r="CA22" s="46"/>
      <c r="CD22">
        <v>118</v>
      </c>
      <c r="CE22">
        <v>117</v>
      </c>
      <c r="CF22" s="43">
        <v>1</v>
      </c>
      <c r="CG22" s="46"/>
      <c r="CJ22">
        <v>4</v>
      </c>
      <c r="CK22">
        <v>4</v>
      </c>
      <c r="CL22" s="43">
        <v>0</v>
      </c>
      <c r="CM22" s="46"/>
      <c r="CN22" s="47"/>
      <c r="CP22">
        <v>25</v>
      </c>
      <c r="CQ22">
        <v>23</v>
      </c>
      <c r="CR22" s="43">
        <v>2</v>
      </c>
      <c r="CS22" s="46"/>
      <c r="CX22" s="43">
        <v>0</v>
      </c>
      <c r="CY22" s="46"/>
      <c r="CZ22" s="47"/>
      <c r="DB22">
        <v>62</v>
      </c>
      <c r="DC22">
        <v>61</v>
      </c>
      <c r="DD22" s="43">
        <v>1</v>
      </c>
      <c r="DE22" s="46"/>
      <c r="DF22" s="47"/>
      <c r="DJ22">
        <v>102</v>
      </c>
      <c r="DK22">
        <v>100</v>
      </c>
      <c r="DL22" s="43">
        <v>2</v>
      </c>
      <c r="DM22" s="46"/>
      <c r="DN22" s="47"/>
      <c r="DR22" s="43">
        <v>0</v>
      </c>
      <c r="DS22" s="46"/>
      <c r="DV22">
        <v>240</v>
      </c>
      <c r="DW22">
        <v>240</v>
      </c>
      <c r="DZ22" s="43">
        <v>0</v>
      </c>
      <c r="EA22" s="46"/>
      <c r="EB22" s="47"/>
      <c r="EF22" s="43">
        <v>0</v>
      </c>
      <c r="EG22" s="46"/>
      <c r="EH22" s="47"/>
      <c r="EJ22">
        <v>146</v>
      </c>
      <c r="EK22">
        <v>145</v>
      </c>
      <c r="EL22" s="43">
        <v>1</v>
      </c>
      <c r="EM22" s="46"/>
      <c r="EN22" s="45">
        <v>32</v>
      </c>
      <c r="EO22">
        <v>32</v>
      </c>
      <c r="ER22" s="43">
        <v>0</v>
      </c>
      <c r="ES22" s="46"/>
      <c r="EV22">
        <v>49</v>
      </c>
      <c r="EW22">
        <v>50</v>
      </c>
      <c r="EX22">
        <v>49</v>
      </c>
      <c r="EY22">
        <v>50</v>
      </c>
      <c r="EZ22" s="43">
        <v>-2</v>
      </c>
      <c r="FA22" s="46"/>
      <c r="FD22">
        <v>49</v>
      </c>
      <c r="FF22">
        <v>50</v>
      </c>
      <c r="FG22" s="43">
        <v>-1</v>
      </c>
      <c r="FH22" s="46"/>
      <c r="FI22" s="45">
        <v>69</v>
      </c>
      <c r="FK22" s="48">
        <v>69.717999999999989</v>
      </c>
      <c r="FL22" s="43">
        <v>-0.71799999999998931</v>
      </c>
      <c r="FM22" s="46"/>
      <c r="FN22" s="47"/>
      <c r="FQ22" s="43">
        <v>0</v>
      </c>
      <c r="FR22" s="46"/>
      <c r="FS22">
        <v>40</v>
      </c>
      <c r="FV22">
        <v>40</v>
      </c>
      <c r="FW22" s="43">
        <v>0</v>
      </c>
      <c r="FX22" s="46"/>
      <c r="FY22" s="45">
        <v>41</v>
      </c>
      <c r="GA22">
        <v>40</v>
      </c>
      <c r="GB22">
        <v>52</v>
      </c>
      <c r="GC22">
        <v>54</v>
      </c>
      <c r="GD22" s="43">
        <v>-1</v>
      </c>
      <c r="GE22" s="46"/>
      <c r="GJ22" s="43">
        <v>0</v>
      </c>
      <c r="GK22" s="46"/>
      <c r="GL22" s="47"/>
      <c r="GP22" s="43">
        <v>0</v>
      </c>
      <c r="GQ22" s="46"/>
      <c r="GV22" s="43">
        <v>0</v>
      </c>
      <c r="GW22" s="46"/>
      <c r="GX22" s="47"/>
      <c r="GZ22" s="43">
        <v>0</v>
      </c>
      <c r="HA22" s="46"/>
      <c r="HB22" s="45">
        <v>101</v>
      </c>
      <c r="HC22">
        <v>100</v>
      </c>
      <c r="HD22">
        <v>162</v>
      </c>
      <c r="HE22">
        <v>160</v>
      </c>
      <c r="HF22" s="43">
        <v>3</v>
      </c>
      <c r="HG22" s="46"/>
      <c r="HH22" s="47"/>
      <c r="HJ22" s="43">
        <v>0</v>
      </c>
      <c r="HK22" s="46"/>
      <c r="HL22" s="47"/>
      <c r="HN22">
        <v>41</v>
      </c>
      <c r="HO22">
        <v>40</v>
      </c>
      <c r="HP22" s="43">
        <v>1</v>
      </c>
      <c r="HQ22" s="46"/>
      <c r="HV22">
        <v>242</v>
      </c>
      <c r="HW22">
        <v>240</v>
      </c>
      <c r="HX22" s="43">
        <v>2</v>
      </c>
      <c r="HY22" s="46"/>
      <c r="HZ22" s="47"/>
      <c r="ID22" s="43">
        <v>0</v>
      </c>
      <c r="IE22" s="46"/>
      <c r="IH22">
        <v>150</v>
      </c>
      <c r="II22">
        <v>150</v>
      </c>
      <c r="IJ22" s="43">
        <v>0</v>
      </c>
      <c r="IK22" s="49"/>
      <c r="IL22">
        <v>49</v>
      </c>
      <c r="IM22">
        <v>50</v>
      </c>
      <c r="IN22">
        <v>81</v>
      </c>
      <c r="IO22">
        <v>80</v>
      </c>
      <c r="IP22" s="43">
        <v>0</v>
      </c>
      <c r="IQ22" s="49"/>
      <c r="IV22" s="43">
        <v>0</v>
      </c>
      <c r="IW22" s="49"/>
      <c r="IY22">
        <v>100</v>
      </c>
      <c r="IZ22">
        <v>81</v>
      </c>
      <c r="JA22">
        <v>80</v>
      </c>
      <c r="JB22" s="42">
        <v>-99</v>
      </c>
      <c r="JC22" s="46">
        <v>99</v>
      </c>
      <c r="JD22">
        <v>69</v>
      </c>
      <c r="JE22">
        <v>70</v>
      </c>
      <c r="JF22" s="43">
        <v>-1</v>
      </c>
      <c r="JG22" s="49"/>
      <c r="JH22">
        <v>29</v>
      </c>
      <c r="JI22">
        <v>28</v>
      </c>
      <c r="JL22" s="43">
        <v>1</v>
      </c>
      <c r="JM22" s="46"/>
      <c r="JN22" s="45">
        <v>68</v>
      </c>
      <c r="JO22" s="48">
        <v>70</v>
      </c>
      <c r="JP22" s="43">
        <v>-2</v>
      </c>
      <c r="JQ22" s="49"/>
      <c r="JT22">
        <v>110</v>
      </c>
      <c r="JU22">
        <v>110</v>
      </c>
      <c r="JV22" s="43">
        <v>0</v>
      </c>
      <c r="JW22" s="49"/>
      <c r="JZ22">
        <v>56</v>
      </c>
      <c r="KA22">
        <v>55</v>
      </c>
      <c r="KB22" s="43">
        <v>1</v>
      </c>
      <c r="KC22" s="49"/>
      <c r="KF22">
        <v>61</v>
      </c>
      <c r="KG22">
        <v>60</v>
      </c>
      <c r="KH22" s="43">
        <v>1</v>
      </c>
      <c r="KI22" s="49"/>
      <c r="KN22" s="43">
        <v>0</v>
      </c>
      <c r="KO22" s="49"/>
      <c r="KP22" s="45">
        <v>32</v>
      </c>
      <c r="KQ22">
        <v>30</v>
      </c>
      <c r="KR22">
        <v>61</v>
      </c>
      <c r="KS22">
        <v>60</v>
      </c>
      <c r="KT22">
        <v>48</v>
      </c>
      <c r="KU22">
        <v>50</v>
      </c>
      <c r="KV22" s="43">
        <v>1</v>
      </c>
      <c r="KW22" s="49"/>
      <c r="KX22" s="48">
        <v>0</v>
      </c>
      <c r="KY22" s="48">
        <v>0</v>
      </c>
      <c r="KZ22" s="48">
        <v>16.137</v>
      </c>
      <c r="LA22" s="48">
        <v>15</v>
      </c>
      <c r="LB22" s="43">
        <v>1.137</v>
      </c>
      <c r="LC22" s="49"/>
      <c r="LD22" s="48">
        <v>0</v>
      </c>
      <c r="LE22" s="48">
        <v>0</v>
      </c>
      <c r="LF22" s="48">
        <v>0</v>
      </c>
      <c r="LG22" s="48">
        <v>0</v>
      </c>
      <c r="LH22" s="43">
        <v>0</v>
      </c>
      <c r="LI22" s="49"/>
      <c r="LJ22" s="50">
        <v>32.5</v>
      </c>
      <c r="LK22" s="48">
        <v>30</v>
      </c>
      <c r="LL22" s="43">
        <v>2.5</v>
      </c>
      <c r="LM22" s="49"/>
      <c r="LN22" s="50">
        <v>61.395000000000003</v>
      </c>
      <c r="LO22" s="48">
        <v>60</v>
      </c>
      <c r="LP22" s="48">
        <v>0</v>
      </c>
      <c r="LQ22" s="48">
        <v>0</v>
      </c>
      <c r="LR22" s="48">
        <v>0</v>
      </c>
      <c r="LS22" s="43">
        <v>1.3950000000000029</v>
      </c>
      <c r="LT22" s="49"/>
      <c r="LU22" s="50">
        <v>49.164999999999999</v>
      </c>
      <c r="LV22" s="48">
        <v>50</v>
      </c>
      <c r="LW22" s="48">
        <v>82.15</v>
      </c>
      <c r="LX22" s="48">
        <v>80</v>
      </c>
      <c r="LY22" s="43">
        <v>1.3149999999999979</v>
      </c>
      <c r="LZ22" s="49"/>
      <c r="MA22" s="50">
        <v>29.145</v>
      </c>
      <c r="MB22" s="48">
        <v>27</v>
      </c>
      <c r="MC22" s="43">
        <v>2.145</v>
      </c>
      <c r="MD22" s="49"/>
      <c r="ME22" s="50">
        <v>12.39</v>
      </c>
      <c r="MF22" s="48">
        <v>10</v>
      </c>
      <c r="MG22" s="48">
        <v>12.285</v>
      </c>
      <c r="MH22" s="48">
        <v>10</v>
      </c>
      <c r="MI22" s="43">
        <v>4.6750000000000007</v>
      </c>
      <c r="MJ22" s="49"/>
      <c r="MK22" s="50">
        <v>50.075000000000003</v>
      </c>
      <c r="ML22" s="48">
        <v>50</v>
      </c>
      <c r="MM22" s="43">
        <v>7.5000000000002842E-2</v>
      </c>
      <c r="MN22" s="49"/>
      <c r="MO22" s="50">
        <v>0</v>
      </c>
      <c r="MP22" s="48">
        <v>0</v>
      </c>
      <c r="MQ22" s="48">
        <v>0</v>
      </c>
      <c r="MR22" s="48">
        <v>0</v>
      </c>
      <c r="MS22" s="43">
        <v>0</v>
      </c>
      <c r="MT22" s="49"/>
      <c r="MU22" s="48">
        <v>0</v>
      </c>
      <c r="MV22" s="46"/>
      <c r="MW22" s="48">
        <v>0</v>
      </c>
      <c r="MX22" s="48">
        <v>0</v>
      </c>
      <c r="MY22" s="43">
        <v>0</v>
      </c>
      <c r="MZ22" s="49"/>
      <c r="NA22" s="50">
        <v>0</v>
      </c>
      <c r="NB22" s="48">
        <v>0</v>
      </c>
      <c r="NC22" s="48">
        <v>0</v>
      </c>
      <c r="ND22" s="48">
        <v>0</v>
      </c>
      <c r="NE22" s="43">
        <v>0</v>
      </c>
      <c r="NF22" s="49"/>
      <c r="NG22" s="25">
        <v>82.74</v>
      </c>
      <c r="NH22" s="48">
        <v>0</v>
      </c>
      <c r="NI22" s="48">
        <v>0</v>
      </c>
      <c r="NJ22" s="48">
        <v>0</v>
      </c>
      <c r="NK22" s="43">
        <v>82.74</v>
      </c>
      <c r="NL22" s="49"/>
      <c r="NM22" s="50">
        <v>0</v>
      </c>
      <c r="NN22" s="48">
        <v>0</v>
      </c>
      <c r="NO22" s="48">
        <v>0</v>
      </c>
      <c r="NP22" s="48">
        <v>0</v>
      </c>
      <c r="NQ22" s="43">
        <v>0</v>
      </c>
      <c r="NR22" s="49"/>
      <c r="NS22" s="25">
        <v>124.11</v>
      </c>
      <c r="NT22" s="48">
        <v>0</v>
      </c>
      <c r="NU22" s="48">
        <v>62.1</v>
      </c>
      <c r="NV22" s="48">
        <v>60</v>
      </c>
      <c r="NW22" s="43">
        <v>126.21</v>
      </c>
      <c r="NX22" s="49"/>
      <c r="NY22" s="50">
        <v>0</v>
      </c>
      <c r="NZ22" s="48">
        <v>0</v>
      </c>
      <c r="OA22" s="32">
        <v>153.94499999999999</v>
      </c>
      <c r="OB22" s="48">
        <v>0</v>
      </c>
      <c r="OC22" s="43">
        <v>153.94499999999999</v>
      </c>
      <c r="OD22" s="49"/>
      <c r="OE22" s="50">
        <v>223.19499999999999</v>
      </c>
      <c r="OF22" s="48">
        <v>220</v>
      </c>
      <c r="OG22" s="43">
        <v>3.1949999999999932</v>
      </c>
      <c r="OH22" s="49"/>
      <c r="OI22" s="50">
        <v>70.180000000000007</v>
      </c>
      <c r="OJ22" s="48">
        <v>70</v>
      </c>
      <c r="OK22" s="43">
        <v>0.18000000000000679</v>
      </c>
      <c r="OL22" s="49"/>
      <c r="OM22" s="50">
        <v>0</v>
      </c>
      <c r="ON22" s="48">
        <v>0</v>
      </c>
      <c r="OO22" s="48">
        <v>61.164999999999999</v>
      </c>
      <c r="OP22" s="48">
        <v>60</v>
      </c>
      <c r="OQ22" s="43">
        <v>1.1649999999999989</v>
      </c>
      <c r="OR22" s="49"/>
      <c r="OS22" s="50">
        <v>12.164999999999999</v>
      </c>
      <c r="OT22" s="48">
        <v>10</v>
      </c>
      <c r="OU22" s="43">
        <v>2.1649999999999991</v>
      </c>
      <c r="OV22" s="49"/>
      <c r="OW22" s="50">
        <v>69.724999999999994</v>
      </c>
      <c r="OX22" s="48">
        <v>70</v>
      </c>
      <c r="OY22" s="48">
        <v>60.991</v>
      </c>
      <c r="OZ22" s="48">
        <v>60</v>
      </c>
      <c r="PA22" s="43">
        <v>0.71600000000000819</v>
      </c>
      <c r="PB22" s="49"/>
      <c r="PC22" s="50">
        <v>53.19</v>
      </c>
      <c r="PD22" s="48">
        <v>54</v>
      </c>
      <c r="PE22" s="43">
        <v>-0.81000000000000227</v>
      </c>
      <c r="PF22" s="49"/>
      <c r="PG22" s="50">
        <v>0</v>
      </c>
      <c r="PH22" s="48">
        <v>0</v>
      </c>
      <c r="PI22" s="48">
        <v>0</v>
      </c>
      <c r="PJ22" s="48">
        <v>0</v>
      </c>
      <c r="PK22" s="43">
        <v>0</v>
      </c>
      <c r="PL22" s="49"/>
      <c r="PM22" s="47">
        <v>0</v>
      </c>
      <c r="PN22" s="48">
        <v>0</v>
      </c>
      <c r="PO22" s="48">
        <v>41.104999999999997</v>
      </c>
      <c r="PP22" s="48">
        <v>40</v>
      </c>
      <c r="PQ22" s="43">
        <v>1.1049999999999971</v>
      </c>
      <c r="PR22" s="49"/>
      <c r="PS22" s="47">
        <v>0</v>
      </c>
      <c r="PT22" s="43">
        <v>0</v>
      </c>
      <c r="PU22" s="43">
        <v>48.994999999999997</v>
      </c>
      <c r="PV22" s="43">
        <v>50</v>
      </c>
      <c r="PW22" s="43">
        <v>-1.005000000000003</v>
      </c>
      <c r="PX22" s="46"/>
      <c r="PY22" s="47">
        <v>20.57</v>
      </c>
      <c r="PZ22" s="43">
        <v>20</v>
      </c>
      <c r="QA22" s="43">
        <v>0.57000000000000028</v>
      </c>
      <c r="QB22" s="46"/>
      <c r="QC22" s="47">
        <v>0</v>
      </c>
      <c r="QD22" s="43">
        <v>0</v>
      </c>
      <c r="QE22" s="43">
        <v>0</v>
      </c>
      <c r="QF22" s="43">
        <v>0</v>
      </c>
      <c r="QG22" s="43">
        <v>0</v>
      </c>
      <c r="QH22" s="46"/>
      <c r="QI22" s="47">
        <v>0</v>
      </c>
      <c r="QJ22" s="43">
        <v>0</v>
      </c>
      <c r="QK22" s="43">
        <v>0</v>
      </c>
      <c r="QL22" s="43">
        <v>0</v>
      </c>
      <c r="QM22" s="43">
        <v>0</v>
      </c>
      <c r="QN22" s="46"/>
      <c r="QO22" s="47">
        <v>0</v>
      </c>
      <c r="QP22" s="43">
        <v>0</v>
      </c>
      <c r="QQ22" s="43">
        <v>0</v>
      </c>
      <c r="QR22" s="43">
        <v>0</v>
      </c>
      <c r="QS22" s="43">
        <v>0</v>
      </c>
      <c r="QT22" s="46"/>
      <c r="QU22" s="47">
        <v>0</v>
      </c>
      <c r="QV22" s="43">
        <v>0</v>
      </c>
      <c r="QW22" s="43">
        <v>0</v>
      </c>
      <c r="QX22" s="46"/>
      <c r="QY22" s="47">
        <v>0</v>
      </c>
      <c r="QZ22" s="43">
        <v>0</v>
      </c>
      <c r="RA22" s="43">
        <v>0</v>
      </c>
      <c r="RB22" s="43">
        <v>0</v>
      </c>
      <c r="RC22" s="43">
        <v>0</v>
      </c>
      <c r="RD22" s="46"/>
    </row>
    <row r="23" spans="1:472" x14ac:dyDescent="0.25">
      <c r="A23" s="43" t="s">
        <v>311</v>
      </c>
      <c r="B23" s="44">
        <v>0.25</v>
      </c>
      <c r="E23">
        <v>50</v>
      </c>
      <c r="F23">
        <v>58</v>
      </c>
      <c r="I23" s="45">
        <v>24</v>
      </c>
      <c r="J23" s="52">
        <v>24</v>
      </c>
      <c r="K23" s="52">
        <v>40</v>
      </c>
      <c r="L23" s="52">
        <v>45</v>
      </c>
      <c r="M23" s="51">
        <f t="shared" si="8"/>
        <v>-5</v>
      </c>
      <c r="N23" s="46"/>
      <c r="O23" s="45">
        <v>24</v>
      </c>
      <c r="P23" s="52">
        <v>24</v>
      </c>
      <c r="Q23" s="52">
        <v>40</v>
      </c>
      <c r="R23" s="52">
        <v>40</v>
      </c>
      <c r="S23" s="51">
        <f t="shared" si="9"/>
        <v>0</v>
      </c>
      <c r="T23" s="46"/>
      <c r="U23" s="45">
        <v>24</v>
      </c>
      <c r="V23" s="52">
        <v>24</v>
      </c>
      <c r="W23" s="52">
        <v>24</v>
      </c>
      <c r="X23" s="52">
        <v>24</v>
      </c>
      <c r="Y23" s="51">
        <f t="shared" si="10"/>
        <v>0</v>
      </c>
      <c r="Z23" s="46"/>
      <c r="AA23" s="52">
        <v>24</v>
      </c>
      <c r="AB23">
        <v>24</v>
      </c>
      <c r="AC23">
        <v>24</v>
      </c>
      <c r="AD23">
        <v>24</v>
      </c>
      <c r="AE23" s="43">
        <v>0</v>
      </c>
      <c r="AF23" s="46"/>
      <c r="AG23" s="45">
        <v>40</v>
      </c>
      <c r="AH23">
        <v>40</v>
      </c>
      <c r="AI23">
        <v>72</v>
      </c>
      <c r="AJ23">
        <v>73</v>
      </c>
      <c r="AK23" s="43">
        <v>-1</v>
      </c>
      <c r="AL23" s="46"/>
      <c r="AO23">
        <v>56</v>
      </c>
      <c r="AP23">
        <v>54</v>
      </c>
      <c r="AQ23" s="43">
        <v>2</v>
      </c>
      <c r="AR23" s="46"/>
      <c r="AS23">
        <v>24</v>
      </c>
      <c r="AT23">
        <v>26</v>
      </c>
      <c r="AW23" s="43">
        <v>-2</v>
      </c>
      <c r="AX23" s="46"/>
      <c r="AY23" s="45">
        <v>48</v>
      </c>
      <c r="AZ23">
        <v>48</v>
      </c>
      <c r="BA23">
        <v>72</v>
      </c>
      <c r="BB23">
        <v>75</v>
      </c>
      <c r="BC23" s="43">
        <v>-3</v>
      </c>
      <c r="BD23" s="46"/>
      <c r="BE23" s="47"/>
      <c r="BI23" s="43">
        <v>0</v>
      </c>
      <c r="BJ23" s="46"/>
      <c r="BK23">
        <v>56</v>
      </c>
      <c r="BL23">
        <v>60</v>
      </c>
      <c r="BN23">
        <v>80</v>
      </c>
      <c r="BO23">
        <v>78</v>
      </c>
      <c r="BP23" s="43">
        <v>-2</v>
      </c>
      <c r="BQ23" s="46"/>
      <c r="BT23" s="43">
        <v>0</v>
      </c>
      <c r="BU23" s="46"/>
      <c r="BV23" s="47"/>
      <c r="BZ23" s="43">
        <v>0</v>
      </c>
      <c r="CA23" s="46"/>
      <c r="CB23">
        <v>80</v>
      </c>
      <c r="CC23">
        <v>80</v>
      </c>
      <c r="CD23">
        <v>120</v>
      </c>
      <c r="CE23">
        <v>120</v>
      </c>
      <c r="CF23" s="43">
        <v>0</v>
      </c>
      <c r="CG23" s="46"/>
      <c r="CJ23">
        <v>16</v>
      </c>
      <c r="CK23">
        <v>15</v>
      </c>
      <c r="CL23" s="43">
        <v>1</v>
      </c>
      <c r="CM23" s="46"/>
      <c r="CN23" s="47"/>
      <c r="CP23">
        <v>168</v>
      </c>
      <c r="CQ23">
        <v>167</v>
      </c>
      <c r="CR23" s="43">
        <v>1</v>
      </c>
      <c r="CS23" s="46"/>
      <c r="CX23" s="43">
        <v>0</v>
      </c>
      <c r="CY23" s="46"/>
      <c r="CZ23" s="45">
        <v>16</v>
      </c>
      <c r="DA23">
        <v>20</v>
      </c>
      <c r="DD23" s="43">
        <v>-4</v>
      </c>
      <c r="DE23" s="46"/>
      <c r="DF23" s="47"/>
      <c r="DJ23">
        <v>112</v>
      </c>
      <c r="DK23">
        <v>110</v>
      </c>
      <c r="DL23" s="43">
        <v>2</v>
      </c>
      <c r="DM23" s="46"/>
      <c r="DN23" s="47"/>
      <c r="DR23" s="43">
        <v>0</v>
      </c>
      <c r="DS23" s="46"/>
      <c r="DZ23" s="43">
        <v>0</v>
      </c>
      <c r="EA23" s="46"/>
      <c r="EB23" s="47"/>
      <c r="ED23">
        <v>496</v>
      </c>
      <c r="EE23">
        <v>500</v>
      </c>
      <c r="EF23" s="43">
        <v>-4</v>
      </c>
      <c r="EG23" s="46"/>
      <c r="EH23" s="47"/>
      <c r="EJ23">
        <v>16</v>
      </c>
      <c r="EK23">
        <v>16</v>
      </c>
      <c r="EL23" s="43">
        <v>0</v>
      </c>
      <c r="EM23" s="46"/>
      <c r="EN23" s="45">
        <v>48</v>
      </c>
      <c r="EO23">
        <v>48</v>
      </c>
      <c r="EP23">
        <v>48</v>
      </c>
      <c r="EQ23">
        <v>52</v>
      </c>
      <c r="ER23" s="43">
        <v>-4</v>
      </c>
      <c r="ES23" s="46"/>
      <c r="EZ23" s="43">
        <v>0</v>
      </c>
      <c r="FA23" s="46"/>
      <c r="FD23">
        <v>72</v>
      </c>
      <c r="FF23">
        <v>70</v>
      </c>
      <c r="FG23" s="43">
        <v>2</v>
      </c>
      <c r="FH23" s="46"/>
      <c r="FI23" s="47"/>
      <c r="FL23" s="43">
        <v>0</v>
      </c>
      <c r="FM23" s="46"/>
      <c r="FN23" s="45">
        <v>440</v>
      </c>
      <c r="FP23">
        <v>440</v>
      </c>
      <c r="FQ23" s="43">
        <v>0</v>
      </c>
      <c r="FR23" s="46"/>
      <c r="FW23" s="43">
        <v>0</v>
      </c>
      <c r="FX23" s="46"/>
      <c r="FY23" s="47"/>
      <c r="GD23" s="43">
        <v>0</v>
      </c>
      <c r="GE23" s="46"/>
      <c r="GF23">
        <v>48</v>
      </c>
      <c r="GG23">
        <v>48</v>
      </c>
      <c r="GH23">
        <v>64</v>
      </c>
      <c r="GI23">
        <v>62</v>
      </c>
      <c r="GJ23" s="43">
        <v>2</v>
      </c>
      <c r="GK23" s="46"/>
      <c r="GL23" s="47"/>
      <c r="GN23">
        <v>224</v>
      </c>
      <c r="GO23">
        <v>228</v>
      </c>
      <c r="GP23" s="43">
        <v>-4</v>
      </c>
      <c r="GQ23" s="46"/>
      <c r="GV23" s="43">
        <v>0</v>
      </c>
      <c r="GW23" s="46"/>
      <c r="GX23" s="47"/>
      <c r="GZ23" s="43">
        <v>0</v>
      </c>
      <c r="HA23" s="46"/>
      <c r="HB23" s="45">
        <v>96</v>
      </c>
      <c r="HC23">
        <v>100</v>
      </c>
      <c r="HD23">
        <v>200</v>
      </c>
      <c r="HE23">
        <v>200</v>
      </c>
      <c r="HF23" s="43">
        <v>-4</v>
      </c>
      <c r="HG23" s="46"/>
      <c r="HH23" s="45">
        <v>32</v>
      </c>
      <c r="HI23">
        <v>32</v>
      </c>
      <c r="HJ23" s="43">
        <v>0</v>
      </c>
      <c r="HK23" s="46"/>
      <c r="HL23" s="47"/>
      <c r="HP23" s="43">
        <v>0</v>
      </c>
      <c r="HQ23" s="46"/>
      <c r="HV23">
        <v>160</v>
      </c>
      <c r="HW23">
        <v>164</v>
      </c>
      <c r="HX23" s="43">
        <v>-4</v>
      </c>
      <c r="HY23" s="46"/>
      <c r="HZ23" s="47"/>
      <c r="IB23">
        <v>72</v>
      </c>
      <c r="IC23">
        <v>70</v>
      </c>
      <c r="ID23" s="43">
        <v>2</v>
      </c>
      <c r="IE23" s="46"/>
      <c r="IH23">
        <v>32</v>
      </c>
      <c r="II23">
        <v>30</v>
      </c>
      <c r="IJ23" s="43">
        <v>2</v>
      </c>
      <c r="IK23" s="49"/>
      <c r="IL23">
        <v>48</v>
      </c>
      <c r="IM23">
        <v>50</v>
      </c>
      <c r="IN23">
        <v>96</v>
      </c>
      <c r="IO23">
        <v>100</v>
      </c>
      <c r="IP23" s="43">
        <v>-6</v>
      </c>
      <c r="IQ23" s="49"/>
      <c r="IT23">
        <v>56</v>
      </c>
      <c r="IU23">
        <v>60</v>
      </c>
      <c r="IV23" s="43">
        <v>-4</v>
      </c>
      <c r="IW23" s="49"/>
      <c r="IX23">
        <v>16</v>
      </c>
      <c r="IY23">
        <v>20</v>
      </c>
      <c r="JB23" s="43">
        <v>-4</v>
      </c>
      <c r="JC23" s="46"/>
      <c r="JD23">
        <v>56</v>
      </c>
      <c r="JE23">
        <v>60</v>
      </c>
      <c r="JF23" s="43">
        <v>-4</v>
      </c>
      <c r="JG23" s="49"/>
      <c r="JH23">
        <v>56</v>
      </c>
      <c r="JI23">
        <v>60</v>
      </c>
      <c r="JL23" s="43">
        <v>-4</v>
      </c>
      <c r="JM23" s="46"/>
      <c r="JN23" s="45">
        <v>240</v>
      </c>
      <c r="JO23" s="48">
        <v>240</v>
      </c>
      <c r="JP23" s="43">
        <v>0</v>
      </c>
      <c r="JQ23" s="49"/>
      <c r="JT23">
        <v>208</v>
      </c>
      <c r="JU23">
        <v>210</v>
      </c>
      <c r="JV23" s="43">
        <v>-2</v>
      </c>
      <c r="JW23" s="49"/>
      <c r="JX23">
        <v>56</v>
      </c>
      <c r="JY23">
        <v>61</v>
      </c>
      <c r="KB23" s="43">
        <v>-5</v>
      </c>
      <c r="KC23" s="49"/>
      <c r="KD23">
        <v>32</v>
      </c>
      <c r="KE23">
        <v>30</v>
      </c>
      <c r="KH23" s="43">
        <v>2</v>
      </c>
      <c r="KI23" s="49"/>
      <c r="KJ23">
        <v>72</v>
      </c>
      <c r="KK23">
        <v>70</v>
      </c>
      <c r="KN23" s="43">
        <v>2</v>
      </c>
      <c r="KO23" s="49"/>
      <c r="KP23" s="45">
        <v>48</v>
      </c>
      <c r="KQ23">
        <v>50</v>
      </c>
      <c r="KR23">
        <v>80</v>
      </c>
      <c r="KS23">
        <v>80</v>
      </c>
      <c r="KT23">
        <v>48</v>
      </c>
      <c r="KU23">
        <v>50</v>
      </c>
      <c r="KV23" s="43">
        <v>-4</v>
      </c>
      <c r="KW23" s="49"/>
      <c r="KX23" s="48">
        <v>0</v>
      </c>
      <c r="KY23" s="48">
        <v>0</v>
      </c>
      <c r="KZ23" s="48">
        <v>120</v>
      </c>
      <c r="LA23" s="48">
        <v>120</v>
      </c>
      <c r="LB23" s="43">
        <v>0</v>
      </c>
      <c r="LC23" s="49"/>
      <c r="LD23" s="48">
        <v>0</v>
      </c>
      <c r="LE23" s="48">
        <v>0</v>
      </c>
      <c r="LF23" s="48">
        <v>32</v>
      </c>
      <c r="LG23" s="48">
        <v>45</v>
      </c>
      <c r="LH23" s="42">
        <v>-13</v>
      </c>
      <c r="LI23" s="49">
        <v>3.25</v>
      </c>
      <c r="LJ23" s="50">
        <v>0</v>
      </c>
      <c r="LK23" s="48">
        <v>160</v>
      </c>
      <c r="LL23" s="42">
        <v>-160</v>
      </c>
      <c r="LM23" s="49">
        <v>40</v>
      </c>
      <c r="LN23" s="50">
        <v>96</v>
      </c>
      <c r="LO23" s="48">
        <v>100</v>
      </c>
      <c r="LP23" s="48">
        <v>80</v>
      </c>
      <c r="LQ23" s="48">
        <v>0</v>
      </c>
      <c r="LR23" s="48">
        <v>90</v>
      </c>
      <c r="LS23" s="42">
        <v>-14</v>
      </c>
      <c r="LT23" s="49">
        <v>3.5</v>
      </c>
      <c r="LU23" s="50">
        <v>16</v>
      </c>
      <c r="LV23" s="48">
        <v>16</v>
      </c>
      <c r="LW23" s="48">
        <v>0</v>
      </c>
      <c r="LX23" s="48">
        <v>0</v>
      </c>
      <c r="LY23" s="43">
        <v>0</v>
      </c>
      <c r="LZ23" s="49"/>
      <c r="MA23" s="50">
        <v>32</v>
      </c>
      <c r="MB23" s="48">
        <v>35</v>
      </c>
      <c r="MC23" s="43">
        <v>-3</v>
      </c>
      <c r="MD23" s="49"/>
      <c r="ME23" s="50">
        <v>0</v>
      </c>
      <c r="MF23" s="48">
        <v>0</v>
      </c>
      <c r="MG23" s="48">
        <v>152</v>
      </c>
      <c r="MH23" s="48">
        <v>150</v>
      </c>
      <c r="MI23" s="43">
        <v>2</v>
      </c>
      <c r="MJ23" s="49"/>
      <c r="MK23" s="50">
        <v>128</v>
      </c>
      <c r="ML23" s="48">
        <v>130</v>
      </c>
      <c r="MM23" s="43">
        <v>-2</v>
      </c>
      <c r="MN23" s="49"/>
      <c r="MO23" s="50">
        <v>40</v>
      </c>
      <c r="MP23" s="48">
        <v>40</v>
      </c>
      <c r="MQ23" s="48">
        <v>176</v>
      </c>
      <c r="MR23" s="48">
        <v>180</v>
      </c>
      <c r="MS23" s="43">
        <v>-4</v>
      </c>
      <c r="MT23" s="49"/>
      <c r="MU23" s="48">
        <v>0</v>
      </c>
      <c r="MV23" s="46"/>
      <c r="MW23" s="48">
        <v>0</v>
      </c>
      <c r="MX23" s="48">
        <v>0</v>
      </c>
      <c r="MY23" s="43">
        <v>0</v>
      </c>
      <c r="MZ23" s="49"/>
      <c r="NA23" s="50">
        <v>0</v>
      </c>
      <c r="NB23" s="48">
        <v>0</v>
      </c>
      <c r="NC23" s="48">
        <v>0</v>
      </c>
      <c r="ND23" s="48">
        <v>0</v>
      </c>
      <c r="NE23" s="43">
        <v>0</v>
      </c>
      <c r="NF23" s="49"/>
      <c r="NG23" s="50">
        <v>0</v>
      </c>
      <c r="NH23" s="48">
        <v>0</v>
      </c>
      <c r="NI23" s="48">
        <v>0</v>
      </c>
      <c r="NJ23" s="48">
        <v>0</v>
      </c>
      <c r="NK23" s="43">
        <v>0</v>
      </c>
      <c r="NL23" s="49"/>
      <c r="NM23" s="50">
        <v>0</v>
      </c>
      <c r="NN23" s="48">
        <v>0</v>
      </c>
      <c r="NO23" s="48">
        <v>96</v>
      </c>
      <c r="NP23" s="48">
        <v>100</v>
      </c>
      <c r="NQ23" s="43">
        <v>-4</v>
      </c>
      <c r="NR23" s="49"/>
      <c r="NS23" s="50">
        <v>120</v>
      </c>
      <c r="NT23" s="48">
        <v>100</v>
      </c>
      <c r="NU23" s="48">
        <v>248</v>
      </c>
      <c r="NV23" s="48">
        <v>250</v>
      </c>
      <c r="NW23" s="43">
        <v>18</v>
      </c>
      <c r="NX23" s="49"/>
      <c r="NY23" s="50">
        <v>0</v>
      </c>
      <c r="NZ23" s="48">
        <v>0</v>
      </c>
      <c r="OA23" s="48">
        <v>96</v>
      </c>
      <c r="OB23" s="48">
        <v>100</v>
      </c>
      <c r="OC23" s="43">
        <v>-4</v>
      </c>
      <c r="OD23" s="49"/>
      <c r="OE23" s="50">
        <v>296</v>
      </c>
      <c r="OF23" s="48">
        <v>300</v>
      </c>
      <c r="OG23" s="43">
        <v>-4</v>
      </c>
      <c r="OH23" s="49"/>
      <c r="OI23" s="50">
        <v>0</v>
      </c>
      <c r="OJ23" s="48">
        <v>0</v>
      </c>
      <c r="OK23" s="43">
        <v>0</v>
      </c>
      <c r="OL23" s="49"/>
      <c r="OM23" s="50">
        <v>0</v>
      </c>
      <c r="ON23" s="48">
        <v>0</v>
      </c>
      <c r="OO23" s="48">
        <v>48</v>
      </c>
      <c r="OP23" s="48">
        <v>50</v>
      </c>
      <c r="OQ23" s="43">
        <v>-2</v>
      </c>
      <c r="OR23" s="49"/>
      <c r="OS23" s="50">
        <v>48</v>
      </c>
      <c r="OT23" s="48">
        <v>50</v>
      </c>
      <c r="OU23" s="43">
        <v>-2</v>
      </c>
      <c r="OV23" s="49"/>
      <c r="OW23" s="50">
        <v>0</v>
      </c>
      <c r="OX23" s="48">
        <v>0</v>
      </c>
      <c r="OY23" s="48">
        <v>0</v>
      </c>
      <c r="OZ23" s="48">
        <v>0</v>
      </c>
      <c r="PA23" s="43">
        <v>0</v>
      </c>
      <c r="PB23" s="49"/>
      <c r="PC23" s="50">
        <v>0</v>
      </c>
      <c r="PD23" s="48">
        <v>0</v>
      </c>
      <c r="PE23" s="43">
        <v>0</v>
      </c>
      <c r="PF23" s="49"/>
      <c r="PG23" s="50">
        <v>0</v>
      </c>
      <c r="PH23" s="48">
        <v>0</v>
      </c>
      <c r="PI23" s="48">
        <v>16</v>
      </c>
      <c r="PJ23" s="48">
        <v>20</v>
      </c>
      <c r="PK23" s="43">
        <v>-4</v>
      </c>
      <c r="PL23" s="49"/>
      <c r="PM23" s="47">
        <v>112</v>
      </c>
      <c r="PN23" s="48">
        <v>110</v>
      </c>
      <c r="PO23" s="48">
        <v>104</v>
      </c>
      <c r="PP23" s="48">
        <v>105</v>
      </c>
      <c r="PQ23" s="43">
        <v>1</v>
      </c>
      <c r="PR23" s="49"/>
      <c r="PS23" s="47">
        <v>0</v>
      </c>
      <c r="PT23" s="43">
        <v>0</v>
      </c>
      <c r="PU23" s="43">
        <v>0</v>
      </c>
      <c r="PV23" s="43">
        <v>0</v>
      </c>
      <c r="PW23" s="43">
        <v>0</v>
      </c>
      <c r="PX23" s="46"/>
      <c r="PY23" s="47">
        <v>0</v>
      </c>
      <c r="PZ23" s="43">
        <v>0</v>
      </c>
      <c r="QA23" s="43">
        <v>0</v>
      </c>
      <c r="QB23" s="46"/>
      <c r="QC23" s="47">
        <v>0</v>
      </c>
      <c r="QD23" s="43">
        <v>0</v>
      </c>
      <c r="QE23" s="43">
        <v>0</v>
      </c>
      <c r="QF23" s="43">
        <v>0</v>
      </c>
      <c r="QG23" s="43">
        <v>0</v>
      </c>
      <c r="QH23" s="46"/>
      <c r="QI23" s="47">
        <v>32</v>
      </c>
      <c r="QJ23" s="43">
        <v>30</v>
      </c>
      <c r="QK23" s="43">
        <v>0</v>
      </c>
      <c r="QL23" s="43">
        <v>0</v>
      </c>
      <c r="QM23" s="43">
        <v>2</v>
      </c>
      <c r="QN23" s="46"/>
      <c r="QO23" s="47">
        <v>120</v>
      </c>
      <c r="QP23" s="43">
        <v>122</v>
      </c>
      <c r="QQ23" s="43">
        <v>96</v>
      </c>
      <c r="QR23" s="43">
        <v>0</v>
      </c>
      <c r="QS23" s="43">
        <v>94</v>
      </c>
      <c r="QT23" s="46"/>
      <c r="QU23" s="47">
        <v>0</v>
      </c>
      <c r="QV23" s="43">
        <v>0</v>
      </c>
      <c r="QW23" s="43">
        <v>0</v>
      </c>
      <c r="QX23" s="46"/>
      <c r="QY23" s="47">
        <v>0</v>
      </c>
      <c r="QZ23" s="43">
        <v>0</v>
      </c>
      <c r="RA23" s="43">
        <v>128</v>
      </c>
      <c r="RB23" s="43">
        <v>130</v>
      </c>
      <c r="RC23" s="43">
        <v>-2</v>
      </c>
      <c r="RD23" s="46"/>
    </row>
    <row r="24" spans="1:472" x14ac:dyDescent="0.25">
      <c r="A24" s="43" t="s">
        <v>312</v>
      </c>
      <c r="B24" s="44">
        <v>0.4</v>
      </c>
      <c r="E24">
        <v>200</v>
      </c>
      <c r="F24">
        <v>202</v>
      </c>
      <c r="I24" s="45">
        <v>162</v>
      </c>
      <c r="J24" s="52">
        <v>160</v>
      </c>
      <c r="K24" s="52">
        <v>180</v>
      </c>
      <c r="L24" s="52">
        <v>181</v>
      </c>
      <c r="M24" s="51">
        <f t="shared" si="8"/>
        <v>1</v>
      </c>
      <c r="N24" s="46"/>
      <c r="O24" s="47"/>
      <c r="P24" s="52">
        <v>48</v>
      </c>
      <c r="Q24" s="52">
        <v>36</v>
      </c>
      <c r="R24" s="52">
        <v>34</v>
      </c>
      <c r="S24" s="56">
        <f t="shared" si="9"/>
        <v>-46</v>
      </c>
      <c r="T24" s="46">
        <f>-1*S24*B24</f>
        <v>18.400000000000002</v>
      </c>
      <c r="U24" s="45">
        <v>102</v>
      </c>
      <c r="V24" s="52">
        <v>100</v>
      </c>
      <c r="W24" s="52">
        <v>78</v>
      </c>
      <c r="X24" s="52">
        <v>80</v>
      </c>
      <c r="Y24" s="51">
        <f t="shared" si="10"/>
        <v>0</v>
      </c>
      <c r="Z24" s="46"/>
      <c r="AA24" s="52">
        <v>102</v>
      </c>
      <c r="AB24">
        <v>100</v>
      </c>
      <c r="AC24">
        <v>90</v>
      </c>
      <c r="AD24">
        <v>88</v>
      </c>
      <c r="AE24" s="43">
        <v>4</v>
      </c>
      <c r="AF24" s="46"/>
      <c r="AG24" s="45">
        <v>120</v>
      </c>
      <c r="AH24">
        <v>120</v>
      </c>
      <c r="AI24">
        <v>168</v>
      </c>
      <c r="AJ24">
        <v>169</v>
      </c>
      <c r="AK24" s="43">
        <v>-1</v>
      </c>
      <c r="AL24" s="46"/>
      <c r="AM24">
        <v>162</v>
      </c>
      <c r="AN24">
        <v>160</v>
      </c>
      <c r="AO24">
        <v>174</v>
      </c>
      <c r="AP24">
        <v>173</v>
      </c>
      <c r="AQ24" s="43">
        <v>3</v>
      </c>
      <c r="AR24" s="46"/>
      <c r="AS24">
        <v>48</v>
      </c>
      <c r="AT24">
        <v>80</v>
      </c>
      <c r="AU24">
        <v>90</v>
      </c>
      <c r="AV24">
        <v>93</v>
      </c>
      <c r="AW24" s="42">
        <v>-35</v>
      </c>
      <c r="AX24" s="46">
        <v>14</v>
      </c>
      <c r="AY24" s="47"/>
      <c r="AZ24">
        <v>130</v>
      </c>
      <c r="BA24">
        <v>174</v>
      </c>
      <c r="BB24">
        <v>177</v>
      </c>
      <c r="BC24" s="42">
        <v>-133</v>
      </c>
      <c r="BD24" s="46">
        <v>53.2</v>
      </c>
      <c r="BE24" s="47"/>
      <c r="BI24" s="43">
        <v>0</v>
      </c>
      <c r="BJ24" s="46"/>
      <c r="BK24">
        <v>252</v>
      </c>
      <c r="BL24">
        <v>250</v>
      </c>
      <c r="BN24">
        <v>264</v>
      </c>
      <c r="BO24">
        <v>265</v>
      </c>
      <c r="BP24" s="43">
        <v>1</v>
      </c>
      <c r="BQ24" s="46"/>
      <c r="BR24">
        <v>60</v>
      </c>
      <c r="BS24">
        <v>60</v>
      </c>
      <c r="BT24" s="43">
        <v>0</v>
      </c>
      <c r="BU24" s="46"/>
      <c r="BV24" s="45">
        <v>84</v>
      </c>
      <c r="BW24">
        <v>82</v>
      </c>
      <c r="BX24">
        <v>294</v>
      </c>
      <c r="BY24">
        <v>294</v>
      </c>
      <c r="BZ24" s="43">
        <v>2</v>
      </c>
      <c r="CA24" s="46"/>
      <c r="CB24">
        <v>90</v>
      </c>
      <c r="CC24">
        <v>90</v>
      </c>
      <c r="CD24">
        <v>102</v>
      </c>
      <c r="CE24">
        <v>105</v>
      </c>
      <c r="CF24" s="43">
        <v>-3</v>
      </c>
      <c r="CG24" s="46"/>
      <c r="CL24" s="43">
        <v>0</v>
      </c>
      <c r="CM24" s="46"/>
      <c r="CN24" s="47"/>
      <c r="CP24">
        <v>102</v>
      </c>
      <c r="CQ24">
        <v>100</v>
      </c>
      <c r="CR24" s="43">
        <v>2</v>
      </c>
      <c r="CS24" s="46"/>
      <c r="CT24">
        <v>198</v>
      </c>
      <c r="CU24">
        <v>200</v>
      </c>
      <c r="CV24">
        <v>240</v>
      </c>
      <c r="CW24">
        <v>240</v>
      </c>
      <c r="CX24" s="43">
        <v>-2</v>
      </c>
      <c r="CY24" s="46"/>
      <c r="CZ24" s="45">
        <v>78</v>
      </c>
      <c r="DA24">
        <v>80</v>
      </c>
      <c r="DD24" s="43">
        <v>-2</v>
      </c>
      <c r="DE24" s="46"/>
      <c r="DF24" s="47"/>
      <c r="DJ24">
        <v>90</v>
      </c>
      <c r="DK24">
        <v>90</v>
      </c>
      <c r="DL24" s="43">
        <v>0</v>
      </c>
      <c r="DM24" s="46"/>
      <c r="DN24" s="47"/>
      <c r="DP24">
        <v>108</v>
      </c>
      <c r="DQ24">
        <v>110</v>
      </c>
      <c r="DR24" s="43">
        <v>-2</v>
      </c>
      <c r="DS24" s="46"/>
      <c r="DT24">
        <v>150</v>
      </c>
      <c r="DU24">
        <v>150</v>
      </c>
      <c r="DV24">
        <v>300</v>
      </c>
      <c r="DW24">
        <v>300</v>
      </c>
      <c r="DZ24" s="43">
        <v>0</v>
      </c>
      <c r="EA24" s="46"/>
      <c r="EB24" s="47"/>
      <c r="EF24" s="43">
        <v>0</v>
      </c>
      <c r="EG24" s="46"/>
      <c r="EH24" s="45">
        <v>198</v>
      </c>
      <c r="EI24">
        <v>200</v>
      </c>
      <c r="EJ24">
        <v>258</v>
      </c>
      <c r="EK24">
        <v>260</v>
      </c>
      <c r="EL24" s="43">
        <v>-4</v>
      </c>
      <c r="EM24" s="46"/>
      <c r="EN24" s="47"/>
      <c r="ER24" s="43">
        <v>0</v>
      </c>
      <c r="ES24" s="46"/>
      <c r="ET24">
        <v>102</v>
      </c>
      <c r="EU24">
        <v>100</v>
      </c>
      <c r="EV24">
        <v>120</v>
      </c>
      <c r="EW24">
        <v>120</v>
      </c>
      <c r="EX24">
        <v>132</v>
      </c>
      <c r="EY24">
        <v>135</v>
      </c>
      <c r="EZ24" s="43">
        <v>-1</v>
      </c>
      <c r="FA24" s="46"/>
      <c r="FD24">
        <v>60</v>
      </c>
      <c r="FF24">
        <v>60</v>
      </c>
      <c r="FG24" s="43">
        <v>0</v>
      </c>
      <c r="FH24" s="46"/>
      <c r="FI24" s="45">
        <v>72</v>
      </c>
      <c r="FK24" s="48">
        <v>70</v>
      </c>
      <c r="FL24" s="43">
        <v>2</v>
      </c>
      <c r="FM24" s="46"/>
      <c r="FN24" s="45">
        <v>90</v>
      </c>
      <c r="FP24">
        <v>92</v>
      </c>
      <c r="FQ24" s="43">
        <v>-2</v>
      </c>
      <c r="FR24" s="46"/>
      <c r="FS24">
        <v>132</v>
      </c>
      <c r="FV24">
        <v>130</v>
      </c>
      <c r="FW24" s="43">
        <v>2</v>
      </c>
      <c r="FX24" s="46"/>
      <c r="FY24" s="45">
        <v>108</v>
      </c>
      <c r="GA24">
        <v>110</v>
      </c>
      <c r="GB24">
        <v>108</v>
      </c>
      <c r="GC24">
        <v>110</v>
      </c>
      <c r="GD24" s="43">
        <v>-4</v>
      </c>
      <c r="GE24" s="46"/>
      <c r="GH24">
        <v>126</v>
      </c>
      <c r="GI24">
        <v>126</v>
      </c>
      <c r="GJ24" s="43">
        <v>0</v>
      </c>
      <c r="GK24" s="46"/>
      <c r="GL24" s="47"/>
      <c r="GN24">
        <v>168</v>
      </c>
      <c r="GO24">
        <v>170</v>
      </c>
      <c r="GP24" s="43">
        <v>-2</v>
      </c>
      <c r="GQ24" s="46"/>
      <c r="GR24">
        <v>72</v>
      </c>
      <c r="GS24">
        <v>70</v>
      </c>
      <c r="GT24">
        <v>78</v>
      </c>
      <c r="GU24">
        <v>80</v>
      </c>
      <c r="GV24" s="43">
        <v>0</v>
      </c>
      <c r="GW24" s="46"/>
      <c r="GX24" s="47"/>
      <c r="GZ24" s="43">
        <v>0</v>
      </c>
      <c r="HA24" s="46"/>
      <c r="HB24" s="47"/>
      <c r="HD24">
        <v>120</v>
      </c>
      <c r="HE24">
        <v>120</v>
      </c>
      <c r="HF24" s="43">
        <v>0</v>
      </c>
      <c r="HG24" s="46"/>
      <c r="HH24" s="47"/>
      <c r="HJ24" s="43">
        <v>0</v>
      </c>
      <c r="HK24" s="46"/>
      <c r="HL24" s="45">
        <v>120</v>
      </c>
      <c r="HM24">
        <v>120</v>
      </c>
      <c r="HN24">
        <v>180</v>
      </c>
      <c r="HO24">
        <v>180</v>
      </c>
      <c r="HP24" s="43">
        <v>0</v>
      </c>
      <c r="HQ24" s="46"/>
      <c r="HV24">
        <v>198</v>
      </c>
      <c r="HW24">
        <v>200</v>
      </c>
      <c r="HX24" s="43">
        <v>-2</v>
      </c>
      <c r="HY24" s="46"/>
      <c r="HZ24" s="47"/>
      <c r="IA24">
        <v>100</v>
      </c>
      <c r="IB24">
        <v>90</v>
      </c>
      <c r="IC24">
        <v>90</v>
      </c>
      <c r="ID24" s="42">
        <v>-100</v>
      </c>
      <c r="IE24" s="49">
        <v>40</v>
      </c>
      <c r="IH24">
        <v>102</v>
      </c>
      <c r="II24">
        <v>100</v>
      </c>
      <c r="IJ24" s="43">
        <v>2</v>
      </c>
      <c r="IK24" s="49"/>
      <c r="IL24">
        <v>102</v>
      </c>
      <c r="IM24">
        <v>100</v>
      </c>
      <c r="IN24">
        <v>102</v>
      </c>
      <c r="IO24">
        <v>100</v>
      </c>
      <c r="IP24" s="43">
        <v>4</v>
      </c>
      <c r="IQ24" s="49"/>
      <c r="IR24">
        <v>102</v>
      </c>
      <c r="IS24">
        <v>100</v>
      </c>
      <c r="IV24" s="43">
        <v>2</v>
      </c>
      <c r="IW24" s="49"/>
      <c r="IX24">
        <v>168</v>
      </c>
      <c r="IY24">
        <v>170</v>
      </c>
      <c r="IZ24">
        <v>132</v>
      </c>
      <c r="JA24">
        <v>130</v>
      </c>
      <c r="JB24" s="43">
        <v>0</v>
      </c>
      <c r="JC24" s="46"/>
      <c r="JE24">
        <v>50</v>
      </c>
      <c r="JF24" s="42">
        <v>-50</v>
      </c>
      <c r="JG24" s="46">
        <v>20</v>
      </c>
      <c r="JH24">
        <v>120</v>
      </c>
      <c r="JI24">
        <v>120</v>
      </c>
      <c r="JJ24">
        <v>90</v>
      </c>
      <c r="JK24">
        <v>92</v>
      </c>
      <c r="JL24" s="43">
        <v>-2</v>
      </c>
      <c r="JM24" s="46"/>
      <c r="JN24" s="50"/>
      <c r="JP24" s="43">
        <v>0</v>
      </c>
      <c r="JQ24" s="49"/>
      <c r="JT24">
        <v>252</v>
      </c>
      <c r="JU24">
        <v>250</v>
      </c>
      <c r="JV24" s="43">
        <v>2</v>
      </c>
      <c r="JW24" s="49"/>
      <c r="JX24">
        <v>60</v>
      </c>
      <c r="JY24">
        <v>60</v>
      </c>
      <c r="JZ24">
        <v>102</v>
      </c>
      <c r="KA24">
        <v>100</v>
      </c>
      <c r="KB24" s="43">
        <v>2</v>
      </c>
      <c r="KC24" s="49"/>
      <c r="KF24">
        <v>24</v>
      </c>
      <c r="KG24">
        <v>24</v>
      </c>
      <c r="KH24" s="43">
        <v>0</v>
      </c>
      <c r="KI24" s="49"/>
      <c r="KJ24">
        <v>42</v>
      </c>
      <c r="KK24">
        <v>50</v>
      </c>
      <c r="KL24">
        <v>192</v>
      </c>
      <c r="KM24">
        <v>190</v>
      </c>
      <c r="KN24" s="43">
        <v>-6</v>
      </c>
      <c r="KO24" s="49"/>
      <c r="KP24" s="50"/>
      <c r="KT24">
        <v>72</v>
      </c>
      <c r="KU24">
        <v>120</v>
      </c>
      <c r="KV24" s="42">
        <v>-48</v>
      </c>
      <c r="KW24" s="49">
        <v>19.2</v>
      </c>
      <c r="KX24" s="48">
        <v>0</v>
      </c>
      <c r="KY24" s="48">
        <v>0</v>
      </c>
      <c r="KZ24" s="48">
        <v>192</v>
      </c>
      <c r="LA24" s="48">
        <v>190</v>
      </c>
      <c r="LB24" s="43">
        <v>2</v>
      </c>
      <c r="LC24" s="49"/>
      <c r="LD24" s="48">
        <v>0</v>
      </c>
      <c r="LE24" s="48">
        <v>0</v>
      </c>
      <c r="LF24" s="48">
        <v>30</v>
      </c>
      <c r="LG24" s="48">
        <v>30</v>
      </c>
      <c r="LH24" s="43">
        <v>0</v>
      </c>
      <c r="LI24" s="49"/>
      <c r="LJ24" s="50">
        <v>42</v>
      </c>
      <c r="LK24" s="48">
        <v>45</v>
      </c>
      <c r="LL24" s="43">
        <v>-3</v>
      </c>
      <c r="LM24" s="49"/>
      <c r="LN24" s="50">
        <v>78</v>
      </c>
      <c r="LO24" s="48">
        <v>80</v>
      </c>
      <c r="LP24" s="48">
        <v>78</v>
      </c>
      <c r="LQ24" s="48">
        <v>0</v>
      </c>
      <c r="LR24" s="48">
        <v>80</v>
      </c>
      <c r="LS24" s="43">
        <v>-4</v>
      </c>
      <c r="LT24" s="49"/>
      <c r="LU24" s="50">
        <v>30</v>
      </c>
      <c r="LV24" s="48">
        <v>30</v>
      </c>
      <c r="LW24" s="48">
        <v>30</v>
      </c>
      <c r="LX24" s="48">
        <v>30</v>
      </c>
      <c r="LY24" s="43">
        <v>0</v>
      </c>
      <c r="LZ24" s="49"/>
      <c r="MA24" s="50">
        <v>60</v>
      </c>
      <c r="MB24" s="48">
        <v>60</v>
      </c>
      <c r="MC24" s="43">
        <v>0</v>
      </c>
      <c r="MD24" s="49"/>
      <c r="ME24" s="50">
        <v>0</v>
      </c>
      <c r="MF24" s="48">
        <v>0</v>
      </c>
      <c r="MG24" s="48">
        <v>18</v>
      </c>
      <c r="MH24" s="48">
        <v>18</v>
      </c>
      <c r="MI24" s="43">
        <v>0</v>
      </c>
      <c r="MJ24" s="49"/>
      <c r="MK24" s="50">
        <v>90</v>
      </c>
      <c r="ML24" s="48">
        <v>90</v>
      </c>
      <c r="MM24" s="43">
        <v>0</v>
      </c>
      <c r="MN24" s="49"/>
      <c r="MO24" s="50">
        <v>0</v>
      </c>
      <c r="MP24" s="48">
        <v>0</v>
      </c>
      <c r="MQ24" s="48">
        <v>42</v>
      </c>
      <c r="MR24" s="48">
        <v>45</v>
      </c>
      <c r="MS24" s="43">
        <v>-3</v>
      </c>
      <c r="MT24" s="49"/>
      <c r="MU24" s="48">
        <v>0</v>
      </c>
      <c r="MV24" s="46"/>
      <c r="MW24" s="48">
        <v>42</v>
      </c>
      <c r="MX24" s="48">
        <v>42</v>
      </c>
      <c r="MY24" s="43">
        <v>0</v>
      </c>
      <c r="MZ24" s="49"/>
      <c r="NA24" s="50">
        <v>0</v>
      </c>
      <c r="NB24" s="48">
        <v>0</v>
      </c>
      <c r="NC24" s="48">
        <v>18</v>
      </c>
      <c r="ND24" s="48">
        <v>18</v>
      </c>
      <c r="NE24" s="43">
        <v>0</v>
      </c>
      <c r="NF24" s="49"/>
      <c r="NG24" s="50">
        <v>0</v>
      </c>
      <c r="NH24" s="48">
        <v>0</v>
      </c>
      <c r="NI24" s="48">
        <v>30</v>
      </c>
      <c r="NJ24" s="48">
        <v>32</v>
      </c>
      <c r="NK24" s="43">
        <v>-2</v>
      </c>
      <c r="NL24" s="49"/>
      <c r="NM24" s="50">
        <v>0</v>
      </c>
      <c r="NN24" s="48">
        <v>0</v>
      </c>
      <c r="NO24" s="48">
        <v>48</v>
      </c>
      <c r="NP24" s="48">
        <v>50</v>
      </c>
      <c r="NQ24" s="43">
        <v>-2</v>
      </c>
      <c r="NR24" s="49"/>
      <c r="NS24" s="50">
        <v>0</v>
      </c>
      <c r="NT24" s="48">
        <v>0</v>
      </c>
      <c r="NU24" s="48">
        <v>12</v>
      </c>
      <c r="NV24" s="48">
        <v>10</v>
      </c>
      <c r="NW24" s="43">
        <v>2</v>
      </c>
      <c r="NX24" s="49"/>
      <c r="NY24" s="50">
        <v>0</v>
      </c>
      <c r="NZ24" s="48">
        <v>0</v>
      </c>
      <c r="OA24" s="48">
        <v>0</v>
      </c>
      <c r="OB24" s="48">
        <v>0</v>
      </c>
      <c r="OC24" s="43">
        <v>0</v>
      </c>
      <c r="OD24" s="49"/>
      <c r="OE24" s="50">
        <v>0</v>
      </c>
      <c r="OF24" s="48">
        <v>0</v>
      </c>
      <c r="OG24" s="43">
        <v>0</v>
      </c>
      <c r="OH24" s="49"/>
      <c r="OI24" s="50">
        <v>0</v>
      </c>
      <c r="OJ24" s="48">
        <v>0</v>
      </c>
      <c r="OK24" s="43">
        <v>0</v>
      </c>
      <c r="OL24" s="49"/>
      <c r="OM24" s="50">
        <v>0</v>
      </c>
      <c r="ON24" s="48">
        <v>0</v>
      </c>
      <c r="OO24" s="48">
        <v>0</v>
      </c>
      <c r="OP24" s="48">
        <v>0</v>
      </c>
      <c r="OQ24" s="43">
        <v>0</v>
      </c>
      <c r="OR24" s="49"/>
      <c r="OS24" s="50">
        <v>78</v>
      </c>
      <c r="OT24" s="48">
        <v>80</v>
      </c>
      <c r="OU24" s="43">
        <v>-2</v>
      </c>
      <c r="OV24" s="49"/>
      <c r="OW24" s="50">
        <v>0</v>
      </c>
      <c r="OX24" s="48">
        <v>0</v>
      </c>
      <c r="OY24" s="48">
        <v>42</v>
      </c>
      <c r="OZ24" s="48">
        <v>40</v>
      </c>
      <c r="PA24" s="43">
        <v>2</v>
      </c>
      <c r="PB24" s="49"/>
      <c r="PC24" s="50">
        <v>0</v>
      </c>
      <c r="PD24" s="48">
        <v>0</v>
      </c>
      <c r="PE24" s="43">
        <v>0</v>
      </c>
      <c r="PF24" s="49"/>
      <c r="PG24" s="50">
        <v>0</v>
      </c>
      <c r="PH24" s="48">
        <v>0</v>
      </c>
      <c r="PI24" s="17">
        <v>36</v>
      </c>
      <c r="PJ24" s="48">
        <v>0</v>
      </c>
      <c r="PK24" s="43">
        <v>0</v>
      </c>
      <c r="PL24" s="49"/>
      <c r="PM24" s="47"/>
      <c r="PN24" s="48"/>
      <c r="PP24" s="48"/>
      <c r="PR24" s="49"/>
      <c r="PS24" s="47"/>
      <c r="PX24" s="46"/>
      <c r="PY24" s="47"/>
      <c r="QB24" s="46"/>
      <c r="QC24" s="47"/>
      <c r="QH24" s="46"/>
      <c r="QI24" s="47"/>
      <c r="QN24" s="46"/>
      <c r="QO24" s="47"/>
      <c r="QT24" s="46"/>
      <c r="QU24" s="47"/>
      <c r="QX24" s="46"/>
      <c r="QY24" s="47"/>
      <c r="RD24" s="46"/>
    </row>
    <row r="25" spans="1:472" x14ac:dyDescent="0.25">
      <c r="A25" s="43" t="s">
        <v>313</v>
      </c>
      <c r="B25" s="44">
        <v>1</v>
      </c>
      <c r="E25">
        <v>170</v>
      </c>
      <c r="F25">
        <v>204</v>
      </c>
      <c r="I25" s="45">
        <v>186</v>
      </c>
      <c r="J25" s="52">
        <v>180</v>
      </c>
      <c r="K25" s="52">
        <v>199</v>
      </c>
      <c r="L25" s="52">
        <v>193</v>
      </c>
      <c r="M25" s="51">
        <f t="shared" si="8"/>
        <v>12</v>
      </c>
      <c r="N25" s="46"/>
      <c r="O25" s="45">
        <v>166</v>
      </c>
      <c r="P25" s="52">
        <v>160</v>
      </c>
      <c r="Q25" s="52">
        <v>195</v>
      </c>
      <c r="R25" s="52">
        <v>191</v>
      </c>
      <c r="S25" s="51">
        <f t="shared" si="9"/>
        <v>10</v>
      </c>
      <c r="T25" s="46"/>
      <c r="U25" s="45">
        <v>186</v>
      </c>
      <c r="V25" s="52">
        <v>180</v>
      </c>
      <c r="W25" s="52">
        <v>156</v>
      </c>
      <c r="X25" s="52">
        <v>149</v>
      </c>
      <c r="Y25" s="51">
        <f t="shared" si="10"/>
        <v>13</v>
      </c>
      <c r="Z25" s="46"/>
      <c r="AA25" s="52">
        <v>168</v>
      </c>
      <c r="AB25">
        <v>160</v>
      </c>
      <c r="AC25">
        <v>112</v>
      </c>
      <c r="AD25">
        <v>106</v>
      </c>
      <c r="AE25" s="43">
        <v>14</v>
      </c>
      <c r="AF25" s="46"/>
      <c r="AG25" s="45">
        <v>187</v>
      </c>
      <c r="AH25">
        <v>180</v>
      </c>
      <c r="AI25">
        <v>206</v>
      </c>
      <c r="AJ25">
        <v>200</v>
      </c>
      <c r="AK25" s="43">
        <v>13</v>
      </c>
      <c r="AL25" s="46"/>
      <c r="AM25">
        <v>156</v>
      </c>
      <c r="AN25">
        <v>150</v>
      </c>
      <c r="AO25">
        <v>165</v>
      </c>
      <c r="AP25">
        <v>160</v>
      </c>
      <c r="AQ25" s="43">
        <v>11</v>
      </c>
      <c r="AR25" s="46"/>
      <c r="AS25">
        <v>106</v>
      </c>
      <c r="AT25">
        <v>100</v>
      </c>
      <c r="AU25">
        <v>106</v>
      </c>
      <c r="AV25">
        <v>100</v>
      </c>
      <c r="AW25" s="43">
        <v>12</v>
      </c>
      <c r="AX25" s="46"/>
      <c r="AY25" s="45">
        <v>95</v>
      </c>
      <c r="AZ25">
        <v>90</v>
      </c>
      <c r="BA25">
        <v>125</v>
      </c>
      <c r="BB25">
        <v>120</v>
      </c>
      <c r="BC25" s="43">
        <v>10</v>
      </c>
      <c r="BD25" s="46"/>
      <c r="BE25" s="45">
        <v>207</v>
      </c>
      <c r="BF25">
        <v>200</v>
      </c>
      <c r="BG25">
        <v>209</v>
      </c>
      <c r="BH25">
        <v>206</v>
      </c>
      <c r="BI25" s="43">
        <v>10</v>
      </c>
      <c r="BJ25" s="46"/>
      <c r="BN25">
        <v>196</v>
      </c>
      <c r="BO25">
        <v>190</v>
      </c>
      <c r="BP25" s="43">
        <v>6</v>
      </c>
      <c r="BQ25" s="46"/>
      <c r="BR25">
        <v>106</v>
      </c>
      <c r="BS25">
        <v>100</v>
      </c>
      <c r="BT25" s="43">
        <v>6</v>
      </c>
      <c r="BU25" s="46"/>
      <c r="BV25" s="45">
        <v>239</v>
      </c>
      <c r="BW25">
        <v>226</v>
      </c>
      <c r="BX25">
        <v>217</v>
      </c>
      <c r="BY25">
        <v>207</v>
      </c>
      <c r="BZ25" s="43">
        <v>23</v>
      </c>
      <c r="CA25" s="46"/>
      <c r="CB25">
        <v>156</v>
      </c>
      <c r="CC25">
        <v>150</v>
      </c>
      <c r="CD25">
        <v>296</v>
      </c>
      <c r="CE25">
        <v>288</v>
      </c>
      <c r="CF25" s="43">
        <v>14</v>
      </c>
      <c r="CG25" s="46"/>
      <c r="CH25">
        <v>70</v>
      </c>
      <c r="CI25">
        <v>70</v>
      </c>
      <c r="CJ25">
        <v>100</v>
      </c>
      <c r="CK25">
        <v>97</v>
      </c>
      <c r="CL25" s="43">
        <v>3</v>
      </c>
      <c r="CM25" s="46"/>
      <c r="CN25" s="47"/>
      <c r="CP25">
        <v>116</v>
      </c>
      <c r="CQ25">
        <v>110</v>
      </c>
      <c r="CR25" s="43">
        <v>6</v>
      </c>
      <c r="CS25" s="46"/>
      <c r="CV25">
        <v>207</v>
      </c>
      <c r="CW25">
        <v>199</v>
      </c>
      <c r="CX25" s="43">
        <v>8</v>
      </c>
      <c r="CY25" s="46"/>
      <c r="CZ25" s="47"/>
      <c r="DD25" s="43">
        <v>0</v>
      </c>
      <c r="DE25" s="46"/>
      <c r="DF25" s="47"/>
      <c r="DH25">
        <v>316</v>
      </c>
      <c r="DI25">
        <v>300</v>
      </c>
      <c r="DJ25">
        <v>229</v>
      </c>
      <c r="DK25">
        <v>220</v>
      </c>
      <c r="DL25" s="43">
        <v>25</v>
      </c>
      <c r="DM25" s="46"/>
      <c r="DN25" s="45">
        <v>127</v>
      </c>
      <c r="DO25">
        <v>120</v>
      </c>
      <c r="DP25">
        <v>127</v>
      </c>
      <c r="DQ25">
        <v>120</v>
      </c>
      <c r="DR25" s="43">
        <v>14</v>
      </c>
      <c r="DS25" s="46"/>
      <c r="DT25">
        <v>156</v>
      </c>
      <c r="DU25">
        <v>150</v>
      </c>
      <c r="DV25">
        <v>316</v>
      </c>
      <c r="DW25">
        <v>300</v>
      </c>
      <c r="DZ25" s="43">
        <v>22</v>
      </c>
      <c r="EA25" s="46"/>
      <c r="EB25" s="47"/>
      <c r="EF25" s="43">
        <v>0</v>
      </c>
      <c r="EG25" s="46"/>
      <c r="EH25" s="45">
        <v>208</v>
      </c>
      <c r="EI25">
        <v>200</v>
      </c>
      <c r="EJ25">
        <v>225</v>
      </c>
      <c r="EK25">
        <v>220</v>
      </c>
      <c r="EL25" s="43">
        <v>13</v>
      </c>
      <c r="EM25" s="46"/>
      <c r="EN25" s="45">
        <v>51</v>
      </c>
      <c r="EO25">
        <v>50</v>
      </c>
      <c r="ER25" s="43">
        <v>1</v>
      </c>
      <c r="ES25" s="46"/>
      <c r="ET25">
        <v>41</v>
      </c>
      <c r="EU25">
        <v>40</v>
      </c>
      <c r="EV25">
        <v>50</v>
      </c>
      <c r="EW25">
        <v>50</v>
      </c>
      <c r="EX25">
        <v>50</v>
      </c>
      <c r="EY25">
        <v>50</v>
      </c>
      <c r="EZ25" s="43">
        <v>1</v>
      </c>
      <c r="FA25" s="46"/>
      <c r="FB25">
        <v>106</v>
      </c>
      <c r="FC25">
        <v>100</v>
      </c>
      <c r="FD25">
        <v>115</v>
      </c>
      <c r="FF25">
        <v>110</v>
      </c>
      <c r="FG25" s="43">
        <v>11</v>
      </c>
      <c r="FH25" s="46"/>
      <c r="FI25" s="45">
        <v>71</v>
      </c>
      <c r="FK25" s="48">
        <v>70</v>
      </c>
      <c r="FL25" s="43">
        <v>1</v>
      </c>
      <c r="FM25" s="46"/>
      <c r="FN25" s="47"/>
      <c r="FQ25" s="43">
        <v>0</v>
      </c>
      <c r="FR25" s="46"/>
      <c r="FS25">
        <v>51</v>
      </c>
      <c r="FV25">
        <v>50</v>
      </c>
      <c r="FW25" s="43">
        <v>1</v>
      </c>
      <c r="FX25" s="46"/>
      <c r="FY25" s="45">
        <v>70</v>
      </c>
      <c r="GA25">
        <v>70</v>
      </c>
      <c r="GB25">
        <v>107</v>
      </c>
      <c r="GC25">
        <v>100</v>
      </c>
      <c r="GD25" s="43">
        <v>7</v>
      </c>
      <c r="GE25" s="46"/>
      <c r="GJ25" s="43">
        <v>0</v>
      </c>
      <c r="GK25" s="46"/>
      <c r="GL25" s="47"/>
      <c r="GN25">
        <v>106</v>
      </c>
      <c r="GO25">
        <v>100</v>
      </c>
      <c r="GP25" s="43">
        <v>6</v>
      </c>
      <c r="GQ25" s="46"/>
      <c r="GR25">
        <v>211</v>
      </c>
      <c r="GS25">
        <v>200</v>
      </c>
      <c r="GT25">
        <v>208</v>
      </c>
      <c r="GU25">
        <v>200</v>
      </c>
      <c r="GV25" s="43">
        <v>19</v>
      </c>
      <c r="GW25" s="46"/>
      <c r="GX25" s="47"/>
      <c r="GZ25" s="43">
        <v>0</v>
      </c>
      <c r="HA25" s="46"/>
      <c r="HB25" s="45">
        <v>106</v>
      </c>
      <c r="HC25">
        <v>100</v>
      </c>
      <c r="HD25">
        <v>117</v>
      </c>
      <c r="HE25">
        <v>113</v>
      </c>
      <c r="HF25" s="43">
        <v>10</v>
      </c>
      <c r="HG25" s="46"/>
      <c r="HH25" s="47"/>
      <c r="HJ25" s="43">
        <v>0</v>
      </c>
      <c r="HK25" s="46"/>
      <c r="HL25" s="47"/>
      <c r="HN25">
        <v>188</v>
      </c>
      <c r="HO25">
        <v>180</v>
      </c>
      <c r="HP25" s="43">
        <v>8</v>
      </c>
      <c r="HQ25" s="46"/>
      <c r="HV25">
        <v>402</v>
      </c>
      <c r="HW25">
        <v>390</v>
      </c>
      <c r="HX25" s="43">
        <v>12</v>
      </c>
      <c r="HY25" s="46"/>
      <c r="HZ25" s="45">
        <v>166</v>
      </c>
      <c r="IA25">
        <v>160</v>
      </c>
      <c r="IB25">
        <v>147</v>
      </c>
      <c r="IC25">
        <v>140</v>
      </c>
      <c r="ID25" s="43">
        <v>13</v>
      </c>
      <c r="IE25" s="46"/>
      <c r="IF25">
        <v>154</v>
      </c>
      <c r="IG25">
        <v>150</v>
      </c>
      <c r="IH25">
        <v>216</v>
      </c>
      <c r="II25">
        <v>210</v>
      </c>
      <c r="IJ25" s="43">
        <v>10</v>
      </c>
      <c r="IK25" s="49"/>
      <c r="IP25" s="43">
        <v>0</v>
      </c>
      <c r="IQ25" s="49"/>
      <c r="IS25">
        <v>310</v>
      </c>
      <c r="IT25">
        <v>250</v>
      </c>
      <c r="IU25">
        <v>240</v>
      </c>
      <c r="IV25" s="42">
        <v>-300</v>
      </c>
      <c r="IW25" s="49">
        <v>300</v>
      </c>
      <c r="IX25">
        <v>105</v>
      </c>
      <c r="IY25">
        <v>100</v>
      </c>
      <c r="IZ25">
        <v>85</v>
      </c>
      <c r="JA25">
        <v>80</v>
      </c>
      <c r="JB25" s="43">
        <v>10</v>
      </c>
      <c r="JC25" s="46"/>
      <c r="JD25">
        <v>107</v>
      </c>
      <c r="JE25">
        <v>100</v>
      </c>
      <c r="JF25" s="43">
        <v>7</v>
      </c>
      <c r="JG25" s="49"/>
      <c r="JH25">
        <v>206</v>
      </c>
      <c r="JI25">
        <v>200</v>
      </c>
      <c r="JJ25">
        <v>172</v>
      </c>
      <c r="JK25">
        <v>167</v>
      </c>
      <c r="JL25" s="43">
        <v>11</v>
      </c>
      <c r="JM25" s="46"/>
      <c r="JN25" s="50"/>
      <c r="JP25" s="43">
        <v>0</v>
      </c>
      <c r="JQ25" s="49"/>
      <c r="JT25">
        <v>178</v>
      </c>
      <c r="JU25">
        <v>170</v>
      </c>
      <c r="JV25" s="43">
        <v>8</v>
      </c>
      <c r="JW25" s="49"/>
      <c r="JX25">
        <v>106</v>
      </c>
      <c r="JY25">
        <v>100</v>
      </c>
      <c r="JZ25">
        <v>116</v>
      </c>
      <c r="KA25">
        <v>110</v>
      </c>
      <c r="KB25" s="43">
        <v>12</v>
      </c>
      <c r="KC25" s="49"/>
      <c r="KD25">
        <v>86</v>
      </c>
      <c r="KE25">
        <v>80</v>
      </c>
      <c r="KH25" s="43">
        <v>6</v>
      </c>
      <c r="KI25" s="49"/>
      <c r="KJ25">
        <v>96</v>
      </c>
      <c r="KK25">
        <v>90</v>
      </c>
      <c r="KL25">
        <v>106</v>
      </c>
      <c r="KM25">
        <v>100</v>
      </c>
      <c r="KN25" s="43">
        <v>12</v>
      </c>
      <c r="KO25" s="49"/>
      <c r="KP25" s="45">
        <v>61</v>
      </c>
      <c r="KQ25">
        <v>60</v>
      </c>
      <c r="KR25">
        <v>86</v>
      </c>
      <c r="KS25">
        <v>80</v>
      </c>
      <c r="KT25">
        <v>90</v>
      </c>
      <c r="KU25">
        <v>91</v>
      </c>
      <c r="KV25" s="43">
        <v>6</v>
      </c>
      <c r="KW25" s="49"/>
      <c r="KX25" s="48">
        <v>0</v>
      </c>
      <c r="KY25" s="48">
        <v>0</v>
      </c>
      <c r="KZ25" s="48">
        <v>0</v>
      </c>
      <c r="LA25" s="48">
        <v>0</v>
      </c>
      <c r="LB25" s="43">
        <v>0</v>
      </c>
      <c r="LC25" s="49"/>
      <c r="LD25" s="48">
        <v>0</v>
      </c>
      <c r="LE25" s="48">
        <v>0</v>
      </c>
      <c r="LF25" s="48">
        <v>0</v>
      </c>
      <c r="LG25" s="48">
        <v>0</v>
      </c>
      <c r="LH25" s="43">
        <v>0</v>
      </c>
      <c r="LI25" s="49"/>
      <c r="LJ25" s="50">
        <v>105.854</v>
      </c>
      <c r="LK25" s="48">
        <v>100</v>
      </c>
      <c r="LL25" s="43">
        <v>5.8539999999999992</v>
      </c>
      <c r="LM25" s="49"/>
      <c r="LN25" s="50">
        <v>317.303</v>
      </c>
      <c r="LO25" s="48">
        <v>300</v>
      </c>
      <c r="LP25" s="48">
        <v>265.33300000000003</v>
      </c>
      <c r="LQ25" s="48">
        <v>0</v>
      </c>
      <c r="LR25" s="48">
        <v>250</v>
      </c>
      <c r="LS25" s="43">
        <v>32.635999999999967</v>
      </c>
      <c r="LT25" s="49"/>
      <c r="LU25" s="50">
        <v>125.751</v>
      </c>
      <c r="LV25" s="48">
        <v>120</v>
      </c>
      <c r="LW25" s="48">
        <v>150.60599999999999</v>
      </c>
      <c r="LX25" s="48">
        <v>150</v>
      </c>
      <c r="LY25" s="43">
        <v>6.3569999999999709</v>
      </c>
      <c r="LZ25" s="49"/>
      <c r="MA25" s="50">
        <v>0</v>
      </c>
      <c r="MB25" s="48">
        <v>0</v>
      </c>
      <c r="MC25" s="43">
        <v>0</v>
      </c>
      <c r="MD25" s="49"/>
      <c r="ME25" s="50">
        <v>0</v>
      </c>
      <c r="MF25" s="48">
        <v>0</v>
      </c>
      <c r="MG25" s="48">
        <v>286.221</v>
      </c>
      <c r="MH25" s="48">
        <v>280</v>
      </c>
      <c r="MI25" s="43">
        <v>6.2210000000000036</v>
      </c>
      <c r="MJ25" s="49"/>
      <c r="MK25" s="50">
        <v>203.607</v>
      </c>
      <c r="ML25" s="48">
        <v>200</v>
      </c>
      <c r="MM25" s="43">
        <v>3.6069999999999989</v>
      </c>
      <c r="MN25" s="49"/>
      <c r="MO25" s="50">
        <v>100.51600000000001</v>
      </c>
      <c r="MP25" s="48">
        <v>100</v>
      </c>
      <c r="MQ25" s="48">
        <v>483.79599999999999</v>
      </c>
      <c r="MR25" s="48">
        <v>480</v>
      </c>
      <c r="MS25" s="43">
        <v>4.3120000000000118</v>
      </c>
      <c r="MT25" s="49"/>
      <c r="MU25" s="48">
        <v>0</v>
      </c>
      <c r="MV25" s="46"/>
      <c r="MW25" s="48">
        <v>0</v>
      </c>
      <c r="MX25" s="48">
        <v>0</v>
      </c>
      <c r="MY25" s="43">
        <v>0</v>
      </c>
      <c r="MZ25" s="49"/>
      <c r="NA25" s="50">
        <v>49.912999999999997</v>
      </c>
      <c r="NB25" s="48">
        <v>50</v>
      </c>
      <c r="NC25" s="48">
        <v>221.15</v>
      </c>
      <c r="ND25" s="48">
        <v>220</v>
      </c>
      <c r="NE25" s="43">
        <v>1.062999999999988</v>
      </c>
      <c r="NF25" s="49"/>
      <c r="NG25" s="50">
        <v>101.117</v>
      </c>
      <c r="NH25" s="48">
        <v>50</v>
      </c>
      <c r="NI25" s="48">
        <v>0</v>
      </c>
      <c r="NJ25" s="48">
        <v>0</v>
      </c>
      <c r="NK25" s="43">
        <v>51.116999999999997</v>
      </c>
      <c r="NL25" s="49"/>
      <c r="NM25" s="50">
        <v>131.863</v>
      </c>
      <c r="NN25" s="48">
        <v>130</v>
      </c>
      <c r="NO25" s="48">
        <v>145.744</v>
      </c>
      <c r="NP25" s="48">
        <v>150</v>
      </c>
      <c r="NQ25" s="43">
        <v>-2.3930000000000291</v>
      </c>
      <c r="NR25" s="49"/>
      <c r="NS25" s="25">
        <v>129.82900000000001</v>
      </c>
      <c r="NT25" s="48">
        <v>0</v>
      </c>
      <c r="NU25" s="48">
        <v>61.143000000000001</v>
      </c>
      <c r="NV25" s="48">
        <v>60</v>
      </c>
      <c r="NW25" s="43">
        <v>130.97200000000001</v>
      </c>
      <c r="NX25" s="49"/>
      <c r="NY25" s="50">
        <v>0</v>
      </c>
      <c r="NZ25" s="48">
        <v>0</v>
      </c>
      <c r="OA25" s="48">
        <v>0</v>
      </c>
      <c r="OB25" s="48">
        <v>0</v>
      </c>
      <c r="OC25" s="43">
        <v>0</v>
      </c>
      <c r="OD25" s="49"/>
      <c r="OE25" s="50">
        <v>527.64499999999998</v>
      </c>
      <c r="OF25" s="48">
        <v>530</v>
      </c>
      <c r="OG25" s="43">
        <v>-2.3550000000000182</v>
      </c>
      <c r="OH25" s="49"/>
      <c r="OI25" s="50">
        <v>95.37</v>
      </c>
      <c r="OJ25" s="48">
        <v>100</v>
      </c>
      <c r="OK25" s="43">
        <v>-4.6299999999999946</v>
      </c>
      <c r="OL25" s="49"/>
      <c r="OM25" s="50">
        <v>60.401000000000003</v>
      </c>
      <c r="ON25" s="48">
        <v>60</v>
      </c>
      <c r="OO25" s="48">
        <v>49.63</v>
      </c>
      <c r="OP25" s="48">
        <v>50</v>
      </c>
      <c r="OQ25" s="43">
        <v>3.1000000000005912E-2</v>
      </c>
      <c r="OR25" s="49"/>
      <c r="OS25" s="50">
        <v>0</v>
      </c>
      <c r="OT25" s="48">
        <v>0</v>
      </c>
      <c r="OU25" s="43">
        <v>0</v>
      </c>
      <c r="OV25" s="49"/>
      <c r="OW25" s="50">
        <v>251.327</v>
      </c>
      <c r="OX25" s="48">
        <v>250</v>
      </c>
      <c r="OY25" s="48">
        <v>186.25399999999999</v>
      </c>
      <c r="OZ25" s="48">
        <v>186</v>
      </c>
      <c r="PA25" s="43">
        <v>1.5810000000000171</v>
      </c>
      <c r="PB25" s="49"/>
      <c r="PC25" s="50">
        <v>123.959</v>
      </c>
      <c r="PD25" s="48">
        <v>0</v>
      </c>
      <c r="PE25" s="43">
        <v>123.959</v>
      </c>
      <c r="PF25" s="49"/>
      <c r="PG25" s="50">
        <v>0</v>
      </c>
      <c r="PH25" s="48">
        <v>0</v>
      </c>
      <c r="PI25" s="48">
        <v>66.183999999999997</v>
      </c>
      <c r="PJ25" s="48">
        <v>84</v>
      </c>
      <c r="PK25" s="42">
        <v>-17.815999999999999</v>
      </c>
      <c r="PL25" s="49">
        <v>17.815999999999999</v>
      </c>
      <c r="PM25" s="47">
        <v>0</v>
      </c>
      <c r="PN25" s="48">
        <v>0</v>
      </c>
      <c r="PO25" s="48">
        <v>151.56800000000001</v>
      </c>
      <c r="PP25" s="48">
        <v>150</v>
      </c>
      <c r="PQ25" s="43">
        <v>1.5680000000000121</v>
      </c>
      <c r="PR25" s="49"/>
      <c r="PS25" s="47">
        <v>100.81699999999999</v>
      </c>
      <c r="PT25" s="43">
        <v>100</v>
      </c>
      <c r="PU25" s="43">
        <v>101.432</v>
      </c>
      <c r="PV25" s="43">
        <v>100</v>
      </c>
      <c r="PW25" s="43">
        <v>2.2489999999999948</v>
      </c>
      <c r="PX25" s="46"/>
      <c r="PY25" s="47">
        <v>78.346000000000004</v>
      </c>
      <c r="PZ25" s="43">
        <v>79</v>
      </c>
      <c r="QA25" s="43">
        <v>-0.65399999999999636</v>
      </c>
      <c r="QB25" s="46"/>
      <c r="QC25" s="47">
        <v>50.357999999999997</v>
      </c>
      <c r="QD25" s="43">
        <v>50</v>
      </c>
      <c r="QE25" s="43">
        <v>50.27</v>
      </c>
      <c r="QF25" s="43">
        <v>50</v>
      </c>
      <c r="QG25" s="43">
        <v>0.62800000000000011</v>
      </c>
      <c r="QH25" s="46"/>
      <c r="QI25" s="47">
        <v>140.56</v>
      </c>
      <c r="QJ25" s="43">
        <v>140</v>
      </c>
      <c r="QK25" s="43">
        <v>194.32499999999999</v>
      </c>
      <c r="QL25" s="43">
        <v>200</v>
      </c>
      <c r="QM25" s="43">
        <v>-5.1150000000000091</v>
      </c>
      <c r="QN25" s="46"/>
      <c r="QO25" s="47">
        <v>142.245</v>
      </c>
      <c r="QP25" s="43">
        <v>140</v>
      </c>
      <c r="QQ25" s="43">
        <v>253.06</v>
      </c>
      <c r="QR25" s="43">
        <v>0</v>
      </c>
      <c r="QS25" s="43">
        <v>255.30500000000001</v>
      </c>
      <c r="QT25" s="46"/>
      <c r="QU25" s="47">
        <v>50.034999999999997</v>
      </c>
      <c r="QV25" s="43">
        <v>50</v>
      </c>
      <c r="QW25" s="43">
        <v>3.4999999999996589E-2</v>
      </c>
      <c r="QX25" s="46"/>
      <c r="QY25" s="47">
        <v>101.419</v>
      </c>
      <c r="QZ25" s="43">
        <v>100</v>
      </c>
      <c r="RA25" s="43">
        <v>398.87599999999998</v>
      </c>
      <c r="RB25" s="43">
        <v>300</v>
      </c>
      <c r="RC25" s="43">
        <v>100.295</v>
      </c>
      <c r="RD25" s="46"/>
    </row>
    <row r="26" spans="1:472" x14ac:dyDescent="0.25">
      <c r="A26" s="43" t="s">
        <v>314</v>
      </c>
      <c r="B26" s="44">
        <v>0.12</v>
      </c>
      <c r="F26">
        <v>112</v>
      </c>
      <c r="I26" s="45">
        <v>112</v>
      </c>
      <c r="J26" s="52">
        <v>110</v>
      </c>
      <c r="K26" s="52">
        <v>136</v>
      </c>
      <c r="L26" s="52">
        <v>135</v>
      </c>
      <c r="M26" s="51">
        <f t="shared" si="8"/>
        <v>3</v>
      </c>
      <c r="N26" s="46"/>
      <c r="O26" s="45">
        <v>56</v>
      </c>
      <c r="P26" s="52">
        <v>60</v>
      </c>
      <c r="Q26" s="52">
        <v>56</v>
      </c>
      <c r="R26" s="52">
        <v>58</v>
      </c>
      <c r="S26" s="51">
        <f t="shared" si="9"/>
        <v>-6</v>
      </c>
      <c r="T26" s="46"/>
      <c r="U26" s="45">
        <v>48</v>
      </c>
      <c r="V26" s="52">
        <v>50</v>
      </c>
      <c r="W26" s="52">
        <v>40</v>
      </c>
      <c r="X26" s="52">
        <v>45</v>
      </c>
      <c r="Y26" s="51">
        <f t="shared" si="10"/>
        <v>-7</v>
      </c>
      <c r="Z26" s="46"/>
      <c r="AA26" s="52">
        <v>96</v>
      </c>
      <c r="AB26">
        <v>100</v>
      </c>
      <c r="AC26">
        <v>72</v>
      </c>
      <c r="AD26">
        <v>75</v>
      </c>
      <c r="AE26" s="43">
        <v>-7</v>
      </c>
      <c r="AF26" s="46"/>
      <c r="AG26" s="45">
        <v>96</v>
      </c>
      <c r="AH26">
        <v>100</v>
      </c>
      <c r="AI26">
        <v>56</v>
      </c>
      <c r="AJ26">
        <v>57</v>
      </c>
      <c r="AK26" s="43">
        <v>-5</v>
      </c>
      <c r="AL26" s="46"/>
      <c r="AM26">
        <v>200</v>
      </c>
      <c r="AN26">
        <v>198</v>
      </c>
      <c r="AO26">
        <v>200</v>
      </c>
      <c r="AP26">
        <v>200</v>
      </c>
      <c r="AQ26" s="43">
        <v>2</v>
      </c>
      <c r="AR26" s="46"/>
      <c r="AW26" s="43">
        <v>0</v>
      </c>
      <c r="AX26" s="46"/>
      <c r="AY26" s="45">
        <v>88</v>
      </c>
      <c r="AZ26">
        <v>90</v>
      </c>
      <c r="BA26">
        <v>136</v>
      </c>
      <c r="BB26">
        <v>136</v>
      </c>
      <c r="BC26" s="43">
        <v>-2</v>
      </c>
      <c r="BD26" s="46"/>
      <c r="BE26" s="47"/>
      <c r="BI26" s="43">
        <v>0</v>
      </c>
      <c r="BJ26" s="46"/>
      <c r="BP26" s="43">
        <v>0</v>
      </c>
      <c r="BQ26" s="46"/>
      <c r="BR26">
        <v>248</v>
      </c>
      <c r="BS26">
        <v>250</v>
      </c>
      <c r="BT26" s="43">
        <v>-2</v>
      </c>
      <c r="BU26" s="46"/>
      <c r="BV26" s="45">
        <v>448</v>
      </c>
      <c r="BW26">
        <v>450</v>
      </c>
      <c r="BX26" s="40">
        <v>496</v>
      </c>
      <c r="BZ26" s="43">
        <v>494</v>
      </c>
      <c r="CA26" s="46"/>
      <c r="CE26">
        <v>60</v>
      </c>
      <c r="CF26" s="42">
        <v>-60</v>
      </c>
      <c r="CG26" s="46">
        <v>7.1999999999999993</v>
      </c>
      <c r="CH26">
        <v>96</v>
      </c>
      <c r="CI26">
        <v>100</v>
      </c>
      <c r="CJ26">
        <v>504</v>
      </c>
      <c r="CK26">
        <v>511</v>
      </c>
      <c r="CL26" s="43">
        <v>-11</v>
      </c>
      <c r="CM26" s="46"/>
      <c r="CN26" s="47"/>
      <c r="CP26">
        <v>192</v>
      </c>
      <c r="CQ26">
        <v>193</v>
      </c>
      <c r="CR26" s="43">
        <v>-1</v>
      </c>
      <c r="CS26" s="46"/>
      <c r="CV26">
        <v>48</v>
      </c>
      <c r="CW26">
        <v>50</v>
      </c>
      <c r="CX26" s="43">
        <v>-2</v>
      </c>
      <c r="CY26" s="46"/>
      <c r="CZ26" s="47"/>
      <c r="DD26" s="43">
        <v>0</v>
      </c>
      <c r="DE26" s="46"/>
      <c r="DF26" s="47"/>
      <c r="DH26">
        <v>352</v>
      </c>
      <c r="DI26">
        <v>350</v>
      </c>
      <c r="DJ26">
        <v>152</v>
      </c>
      <c r="DK26">
        <v>150</v>
      </c>
      <c r="DL26" s="43">
        <v>4</v>
      </c>
      <c r="DM26" s="46"/>
      <c r="DN26" s="45">
        <v>120</v>
      </c>
      <c r="DO26">
        <v>120</v>
      </c>
      <c r="DP26">
        <v>112</v>
      </c>
      <c r="DQ26">
        <v>110</v>
      </c>
      <c r="DR26" s="43">
        <v>2</v>
      </c>
      <c r="DS26" s="46"/>
      <c r="DV26">
        <v>600</v>
      </c>
      <c r="DW26">
        <v>600</v>
      </c>
      <c r="DZ26" s="43">
        <v>0</v>
      </c>
      <c r="EA26" s="46"/>
      <c r="EB26" s="47"/>
      <c r="ED26">
        <v>496</v>
      </c>
      <c r="EE26">
        <v>497</v>
      </c>
      <c r="EF26" s="43">
        <v>-1</v>
      </c>
      <c r="EG26" s="46"/>
      <c r="EH26" s="47"/>
      <c r="EL26" s="43">
        <v>0</v>
      </c>
      <c r="EM26" s="46"/>
      <c r="EN26" s="45">
        <v>240</v>
      </c>
      <c r="EO26">
        <v>240</v>
      </c>
      <c r="EP26">
        <v>288</v>
      </c>
      <c r="EQ26">
        <v>290</v>
      </c>
      <c r="ER26" s="43">
        <v>-2</v>
      </c>
      <c r="ES26" s="46"/>
      <c r="EX26">
        <v>72</v>
      </c>
      <c r="EY26">
        <v>70</v>
      </c>
      <c r="EZ26" s="43">
        <v>2</v>
      </c>
      <c r="FA26" s="46"/>
      <c r="FD26">
        <v>176</v>
      </c>
      <c r="FF26">
        <v>180</v>
      </c>
      <c r="FG26" s="43">
        <v>-4</v>
      </c>
      <c r="FH26" s="46"/>
      <c r="FI26" s="47"/>
      <c r="FL26" s="43">
        <v>0</v>
      </c>
      <c r="FM26" s="46"/>
      <c r="FN26" s="45">
        <v>576</v>
      </c>
      <c r="FP26">
        <v>575</v>
      </c>
      <c r="FQ26" s="43">
        <v>1</v>
      </c>
      <c r="FR26" s="46"/>
      <c r="FS26">
        <v>168</v>
      </c>
      <c r="FV26">
        <v>180</v>
      </c>
      <c r="FW26" s="43">
        <v>-12</v>
      </c>
      <c r="FX26" s="46"/>
      <c r="FY26" s="47"/>
      <c r="GD26" s="43">
        <v>0</v>
      </c>
      <c r="GE26" s="46"/>
      <c r="GF26">
        <v>256</v>
      </c>
      <c r="GG26">
        <v>260</v>
      </c>
      <c r="GH26">
        <v>256</v>
      </c>
      <c r="GI26">
        <v>260</v>
      </c>
      <c r="GJ26" s="43">
        <v>-8</v>
      </c>
      <c r="GK26" s="46"/>
      <c r="GL26" s="47"/>
      <c r="GN26">
        <v>232</v>
      </c>
      <c r="GO26">
        <v>230</v>
      </c>
      <c r="GP26" s="43">
        <v>2</v>
      </c>
      <c r="GQ26" s="46"/>
      <c r="GT26">
        <v>16</v>
      </c>
      <c r="GU26">
        <v>20</v>
      </c>
      <c r="GV26" s="43">
        <v>-4</v>
      </c>
      <c r="GW26" s="46"/>
      <c r="GX26" s="45">
        <v>48</v>
      </c>
      <c r="GY26" s="48">
        <v>50</v>
      </c>
      <c r="GZ26" s="43">
        <v>-2</v>
      </c>
      <c r="HA26" s="46"/>
      <c r="HB26" s="45">
        <v>200</v>
      </c>
      <c r="HC26">
        <v>200</v>
      </c>
      <c r="HD26">
        <v>320</v>
      </c>
      <c r="HE26">
        <v>320</v>
      </c>
      <c r="HF26" s="43">
        <v>0</v>
      </c>
      <c r="HG26" s="46"/>
      <c r="HH26" s="45">
        <v>152</v>
      </c>
      <c r="HI26">
        <v>150</v>
      </c>
      <c r="HJ26" s="43">
        <v>2</v>
      </c>
      <c r="HK26" s="46"/>
      <c r="HL26" s="47"/>
      <c r="HN26">
        <v>128</v>
      </c>
      <c r="HO26">
        <v>130</v>
      </c>
      <c r="HP26" s="43">
        <v>-2</v>
      </c>
      <c r="HQ26" s="46"/>
      <c r="HX26" s="43">
        <v>0</v>
      </c>
      <c r="HY26" s="46"/>
      <c r="HZ26" s="47"/>
      <c r="ID26" s="43">
        <v>0</v>
      </c>
      <c r="IE26" s="46"/>
      <c r="IJ26" s="43">
        <v>0</v>
      </c>
      <c r="IK26" s="49"/>
      <c r="IL26">
        <v>152</v>
      </c>
      <c r="IM26">
        <v>150</v>
      </c>
      <c r="IN26">
        <v>152</v>
      </c>
      <c r="IO26">
        <v>150</v>
      </c>
      <c r="IP26" s="43">
        <v>4</v>
      </c>
      <c r="IQ26" s="49"/>
      <c r="IT26">
        <v>720</v>
      </c>
      <c r="IU26">
        <v>720</v>
      </c>
      <c r="IV26" s="43">
        <v>0</v>
      </c>
      <c r="IW26" s="49"/>
      <c r="IZ26">
        <v>248</v>
      </c>
      <c r="JA26">
        <v>250</v>
      </c>
      <c r="JB26" s="43">
        <v>-2</v>
      </c>
      <c r="JC26" s="46"/>
      <c r="JD26">
        <v>192</v>
      </c>
      <c r="JE26">
        <v>192</v>
      </c>
      <c r="JF26" s="43">
        <v>0</v>
      </c>
      <c r="JG26" s="49"/>
      <c r="JH26">
        <v>200</v>
      </c>
      <c r="JI26">
        <v>200</v>
      </c>
      <c r="JL26" s="43">
        <v>0</v>
      </c>
      <c r="JM26" s="46"/>
      <c r="JN26" s="45">
        <v>1000</v>
      </c>
      <c r="JO26" s="48">
        <v>1000</v>
      </c>
      <c r="JP26" s="43">
        <v>0</v>
      </c>
      <c r="JQ26" s="49"/>
      <c r="JT26">
        <v>352</v>
      </c>
      <c r="JU26">
        <v>350</v>
      </c>
      <c r="JV26" s="43">
        <v>2</v>
      </c>
      <c r="JW26" s="49"/>
      <c r="JZ26">
        <v>248</v>
      </c>
      <c r="KA26">
        <v>250</v>
      </c>
      <c r="KB26" s="43">
        <v>-2</v>
      </c>
      <c r="KC26" s="49"/>
      <c r="KH26" s="43">
        <v>0</v>
      </c>
      <c r="KI26" s="49"/>
      <c r="KL26">
        <v>1216</v>
      </c>
      <c r="KM26">
        <v>1220</v>
      </c>
      <c r="KN26" s="43">
        <v>-4</v>
      </c>
      <c r="KO26" s="49"/>
      <c r="KP26" s="45">
        <v>56</v>
      </c>
      <c r="KQ26">
        <v>60</v>
      </c>
      <c r="KR26">
        <v>80</v>
      </c>
      <c r="KS26">
        <v>80</v>
      </c>
      <c r="KT26">
        <v>40</v>
      </c>
      <c r="KU26">
        <v>40</v>
      </c>
      <c r="KV26" s="43">
        <v>-4</v>
      </c>
      <c r="KW26" s="49"/>
      <c r="KX26" s="48">
        <v>136</v>
      </c>
      <c r="KY26" s="48">
        <v>140</v>
      </c>
      <c r="KZ26" s="48">
        <v>152</v>
      </c>
      <c r="LA26" s="48">
        <v>150</v>
      </c>
      <c r="LB26" s="43">
        <v>-2</v>
      </c>
      <c r="LC26" s="49"/>
      <c r="LD26" s="48">
        <v>0</v>
      </c>
      <c r="LE26" s="48">
        <v>0</v>
      </c>
      <c r="LF26" s="48">
        <v>80</v>
      </c>
      <c r="LG26" s="48">
        <v>80</v>
      </c>
      <c r="LH26" s="43">
        <v>0</v>
      </c>
      <c r="LI26" s="49"/>
      <c r="LJ26" s="50">
        <v>232</v>
      </c>
      <c r="LK26" s="48">
        <v>230</v>
      </c>
      <c r="LL26" s="43">
        <v>2</v>
      </c>
      <c r="LM26" s="49"/>
      <c r="LN26" s="50">
        <v>248</v>
      </c>
      <c r="LO26" s="48">
        <v>250</v>
      </c>
      <c r="LP26" s="48">
        <v>232</v>
      </c>
      <c r="LQ26" s="48">
        <v>0</v>
      </c>
      <c r="LR26" s="48">
        <v>230</v>
      </c>
      <c r="LS26" s="43">
        <v>0</v>
      </c>
      <c r="LT26" s="49"/>
      <c r="LU26" s="50">
        <v>88</v>
      </c>
      <c r="LV26" s="48">
        <v>90</v>
      </c>
      <c r="LW26" s="48">
        <v>96</v>
      </c>
      <c r="LX26" s="48">
        <v>100</v>
      </c>
      <c r="LY26" s="43">
        <v>-6</v>
      </c>
      <c r="LZ26" s="49"/>
      <c r="MA26" s="50">
        <v>200</v>
      </c>
      <c r="MB26" s="48">
        <v>200</v>
      </c>
      <c r="MC26" s="43">
        <v>0</v>
      </c>
      <c r="MD26" s="49"/>
      <c r="ME26" s="50">
        <v>48</v>
      </c>
      <c r="MF26" s="48">
        <v>50</v>
      </c>
      <c r="MG26" s="48">
        <v>296</v>
      </c>
      <c r="MH26" s="48">
        <v>300</v>
      </c>
      <c r="MI26" s="43">
        <v>-6</v>
      </c>
      <c r="MJ26" s="49"/>
      <c r="MK26" s="50">
        <v>240</v>
      </c>
      <c r="ML26" s="48">
        <v>240</v>
      </c>
      <c r="MM26" s="43">
        <v>0</v>
      </c>
      <c r="MN26" s="49"/>
      <c r="MO26" s="50">
        <v>80</v>
      </c>
      <c r="MP26" s="48">
        <v>80</v>
      </c>
      <c r="MQ26" s="48">
        <v>320</v>
      </c>
      <c r="MR26" s="48">
        <v>320</v>
      </c>
      <c r="MS26" s="43">
        <v>0</v>
      </c>
      <c r="MT26" s="49"/>
      <c r="MU26" s="48">
        <v>0</v>
      </c>
      <c r="MV26" s="46"/>
      <c r="MW26" s="48">
        <v>112</v>
      </c>
      <c r="MX26" s="48">
        <v>110</v>
      </c>
      <c r="MY26" s="43">
        <v>2</v>
      </c>
      <c r="MZ26" s="49"/>
      <c r="NA26" s="50">
        <v>0</v>
      </c>
      <c r="NB26" s="48">
        <v>0</v>
      </c>
      <c r="NC26" s="48">
        <v>40</v>
      </c>
      <c r="ND26" s="48">
        <v>40</v>
      </c>
      <c r="NE26" s="43">
        <v>0</v>
      </c>
      <c r="NF26" s="49"/>
      <c r="NG26" s="50">
        <v>0</v>
      </c>
      <c r="NH26" s="48">
        <v>0</v>
      </c>
      <c r="NI26" s="48">
        <v>0</v>
      </c>
      <c r="NJ26" s="48">
        <v>0</v>
      </c>
      <c r="NK26" s="43">
        <v>0</v>
      </c>
      <c r="NL26" s="49"/>
      <c r="NM26" s="50">
        <v>96</v>
      </c>
      <c r="NN26" s="48">
        <v>100</v>
      </c>
      <c r="NO26" s="48">
        <v>80</v>
      </c>
      <c r="NP26" s="48">
        <v>80</v>
      </c>
      <c r="NQ26" s="43">
        <v>-4</v>
      </c>
      <c r="NR26" s="49"/>
      <c r="NS26" s="25">
        <v>96</v>
      </c>
      <c r="NT26" s="48">
        <v>0</v>
      </c>
      <c r="NU26" s="48">
        <v>80</v>
      </c>
      <c r="NV26" s="48">
        <v>80</v>
      </c>
      <c r="NW26" s="43">
        <v>96</v>
      </c>
      <c r="NX26" s="49"/>
      <c r="NY26" s="50">
        <v>280</v>
      </c>
      <c r="NZ26" s="48">
        <v>280</v>
      </c>
      <c r="OA26" s="48">
        <v>328</v>
      </c>
      <c r="OB26" s="48">
        <v>320</v>
      </c>
      <c r="OC26" s="43">
        <v>8</v>
      </c>
      <c r="OD26" s="49"/>
      <c r="OE26" s="50">
        <v>400</v>
      </c>
      <c r="OF26" s="48">
        <v>400</v>
      </c>
      <c r="OG26" s="43">
        <v>0</v>
      </c>
      <c r="OH26" s="49"/>
      <c r="OI26" s="50">
        <v>272</v>
      </c>
      <c r="OJ26" s="48">
        <v>270</v>
      </c>
      <c r="OK26" s="43">
        <v>2</v>
      </c>
      <c r="OL26" s="49"/>
      <c r="OM26" s="50">
        <v>0</v>
      </c>
      <c r="ON26" s="48">
        <v>0</v>
      </c>
      <c r="OO26" s="48">
        <v>0</v>
      </c>
      <c r="OP26" s="48">
        <v>0</v>
      </c>
      <c r="OQ26" s="43">
        <v>0</v>
      </c>
      <c r="OR26" s="49"/>
      <c r="OS26" s="50">
        <v>96</v>
      </c>
      <c r="OT26" s="48">
        <v>100</v>
      </c>
      <c r="OU26" s="43">
        <v>-4</v>
      </c>
      <c r="OV26" s="49"/>
      <c r="OW26" s="50">
        <v>200</v>
      </c>
      <c r="OX26" s="48">
        <v>200</v>
      </c>
      <c r="OY26" s="48">
        <v>136</v>
      </c>
      <c r="OZ26" s="48">
        <v>140</v>
      </c>
      <c r="PA26" s="43">
        <v>-4</v>
      </c>
      <c r="PB26" s="49"/>
      <c r="PC26" s="50">
        <v>0</v>
      </c>
      <c r="PD26" s="48">
        <v>0</v>
      </c>
      <c r="PE26" s="43">
        <v>0</v>
      </c>
      <c r="PF26" s="49"/>
      <c r="PG26" s="50">
        <v>0</v>
      </c>
      <c r="PH26" s="48">
        <v>0</v>
      </c>
      <c r="PI26" s="48">
        <v>96</v>
      </c>
      <c r="PJ26" s="48">
        <v>100</v>
      </c>
      <c r="PK26" s="43">
        <v>-4</v>
      </c>
      <c r="PL26" s="49"/>
      <c r="PM26" s="47">
        <v>112</v>
      </c>
      <c r="PN26" s="48">
        <v>110</v>
      </c>
      <c r="PO26" s="48">
        <v>104</v>
      </c>
      <c r="PP26" s="48">
        <v>109</v>
      </c>
      <c r="PQ26" s="43">
        <v>-3</v>
      </c>
      <c r="PR26" s="49"/>
      <c r="PS26" s="47">
        <v>48</v>
      </c>
      <c r="PT26" s="43">
        <v>50</v>
      </c>
      <c r="PU26" s="43">
        <v>0</v>
      </c>
      <c r="PV26" s="43">
        <v>0</v>
      </c>
      <c r="PW26" s="43">
        <v>-2</v>
      </c>
      <c r="PX26" s="46"/>
      <c r="PY26" s="47">
        <v>72</v>
      </c>
      <c r="PZ26" s="43">
        <v>74</v>
      </c>
      <c r="QA26" s="43">
        <v>-2</v>
      </c>
      <c r="QB26" s="46"/>
      <c r="QC26" s="47">
        <v>0</v>
      </c>
      <c r="QD26" s="43">
        <v>0</v>
      </c>
      <c r="QE26" s="43">
        <v>0</v>
      </c>
      <c r="QF26" s="43">
        <v>0</v>
      </c>
      <c r="QG26" s="43">
        <v>0</v>
      </c>
      <c r="QH26" s="46"/>
      <c r="QI26" s="47">
        <v>96</v>
      </c>
      <c r="QJ26" s="43">
        <v>100</v>
      </c>
      <c r="QK26" s="43">
        <v>152</v>
      </c>
      <c r="QL26" s="43">
        <v>150</v>
      </c>
      <c r="QM26" s="43">
        <v>-2</v>
      </c>
      <c r="QN26" s="46"/>
      <c r="QO26" s="47">
        <v>48</v>
      </c>
      <c r="QP26" s="43">
        <v>50</v>
      </c>
      <c r="QQ26" s="43">
        <v>48</v>
      </c>
      <c r="QR26" s="43">
        <v>50</v>
      </c>
      <c r="QS26" s="43">
        <v>-4</v>
      </c>
      <c r="QT26" s="46"/>
      <c r="QU26" s="47">
        <v>200</v>
      </c>
      <c r="QV26" s="43">
        <v>200</v>
      </c>
      <c r="QW26" s="43">
        <v>0</v>
      </c>
      <c r="QX26" s="46"/>
      <c r="QY26" s="47">
        <v>0</v>
      </c>
      <c r="QZ26" s="43">
        <v>0</v>
      </c>
      <c r="RA26" s="43">
        <v>296</v>
      </c>
      <c r="RB26" s="43">
        <v>300</v>
      </c>
      <c r="RC26" s="43">
        <v>-4</v>
      </c>
      <c r="RD26" s="46"/>
    </row>
    <row r="27" spans="1:472" x14ac:dyDescent="0.25">
      <c r="A27" s="43" t="s">
        <v>315</v>
      </c>
      <c r="B27" s="44">
        <v>1</v>
      </c>
      <c r="I27" s="47"/>
      <c r="J27" s="51"/>
      <c r="K27" s="51"/>
      <c r="L27" s="51"/>
      <c r="M27" s="51">
        <f t="shared" si="8"/>
        <v>0</v>
      </c>
      <c r="N27" s="46"/>
      <c r="O27" s="47"/>
      <c r="P27" s="51"/>
      <c r="Q27" s="51"/>
      <c r="R27" s="51"/>
      <c r="S27" s="51">
        <f t="shared" si="9"/>
        <v>0</v>
      </c>
      <c r="T27" s="46"/>
      <c r="U27" s="47"/>
      <c r="V27" s="51"/>
      <c r="W27" s="51"/>
      <c r="X27" s="51"/>
      <c r="Y27" s="51">
        <f t="shared" si="10"/>
        <v>0</v>
      </c>
      <c r="Z27" s="46"/>
      <c r="AA27" s="51"/>
      <c r="AE27" s="43">
        <v>0</v>
      </c>
      <c r="AF27" s="46"/>
      <c r="AG27" s="47"/>
      <c r="AK27" s="43">
        <v>0</v>
      </c>
      <c r="AL27" s="46"/>
      <c r="AQ27" s="43">
        <v>0</v>
      </c>
      <c r="AR27" s="46"/>
      <c r="AW27" s="43">
        <v>0</v>
      </c>
      <c r="AX27" s="46"/>
      <c r="AY27" s="47"/>
      <c r="BC27" s="43">
        <v>0</v>
      </c>
      <c r="BD27" s="46"/>
      <c r="BE27" s="47"/>
      <c r="BI27" s="43">
        <v>0</v>
      </c>
      <c r="BJ27" s="46"/>
      <c r="BP27" s="43">
        <v>0</v>
      </c>
      <c r="BQ27" s="46"/>
      <c r="BT27" s="43">
        <v>0</v>
      </c>
      <c r="BU27" s="46"/>
      <c r="BV27" s="47"/>
      <c r="BZ27" s="43">
        <v>0</v>
      </c>
      <c r="CA27" s="46"/>
      <c r="CF27" s="43">
        <v>0</v>
      </c>
      <c r="CG27" s="46"/>
      <c r="CL27" s="43">
        <v>0</v>
      </c>
      <c r="CM27" s="46"/>
      <c r="CN27" s="47"/>
      <c r="CR27" s="43">
        <v>0</v>
      </c>
      <c r="CS27" s="46"/>
      <c r="CX27" s="43">
        <v>0</v>
      </c>
      <c r="CY27" s="46"/>
      <c r="CZ27" s="47"/>
      <c r="DD27" s="43">
        <v>0</v>
      </c>
      <c r="DE27" s="46"/>
      <c r="DF27" s="47"/>
      <c r="DL27" s="43">
        <v>0</v>
      </c>
      <c r="DM27" s="46"/>
      <c r="DN27" s="47"/>
      <c r="DR27" s="43">
        <v>0</v>
      </c>
      <c r="DS27" s="46"/>
      <c r="DZ27" s="43">
        <v>0</v>
      </c>
      <c r="EA27" s="46"/>
      <c r="EB27" s="47"/>
      <c r="EF27" s="43">
        <v>0</v>
      </c>
      <c r="EG27" s="46"/>
      <c r="EH27" s="47"/>
      <c r="EL27" s="43">
        <v>0</v>
      </c>
      <c r="EM27" s="46"/>
      <c r="EN27" s="47"/>
      <c r="ER27" s="43">
        <v>0</v>
      </c>
      <c r="ES27" s="46"/>
      <c r="EZ27" s="43">
        <v>0</v>
      </c>
      <c r="FA27" s="46"/>
      <c r="FG27" s="43">
        <v>0</v>
      </c>
      <c r="FH27" s="46"/>
      <c r="FI27" s="47"/>
      <c r="FL27" s="43">
        <v>0</v>
      </c>
      <c r="FM27" s="46"/>
      <c r="FN27" s="47"/>
      <c r="FQ27" s="43">
        <v>0</v>
      </c>
      <c r="FR27" s="46"/>
      <c r="FW27" s="43">
        <v>0</v>
      </c>
      <c r="FX27" s="46"/>
      <c r="FY27" s="47"/>
      <c r="GD27" s="43">
        <v>0</v>
      </c>
      <c r="GE27" s="46"/>
      <c r="GJ27" s="43">
        <v>0</v>
      </c>
      <c r="GK27" s="46"/>
      <c r="GL27" s="47"/>
      <c r="GP27" s="43">
        <v>0</v>
      </c>
      <c r="GQ27" s="46"/>
      <c r="GV27" s="43">
        <v>0</v>
      </c>
      <c r="GW27" s="46"/>
      <c r="GX27" s="47"/>
      <c r="GZ27" s="43">
        <v>0</v>
      </c>
      <c r="HA27" s="46"/>
      <c r="HB27" s="47"/>
      <c r="HF27" s="43">
        <v>0</v>
      </c>
      <c r="HG27" s="46"/>
      <c r="HH27" s="47"/>
      <c r="HJ27" s="43">
        <v>0</v>
      </c>
      <c r="HK27" s="46"/>
      <c r="HL27" s="47"/>
      <c r="HP27" s="43">
        <v>0</v>
      </c>
      <c r="HQ27" s="46"/>
      <c r="HX27" s="43">
        <v>0</v>
      </c>
      <c r="HY27" s="46"/>
      <c r="HZ27" s="47"/>
      <c r="ID27" s="43">
        <v>0</v>
      </c>
      <c r="IE27" s="46"/>
      <c r="IJ27" s="43">
        <v>0</v>
      </c>
      <c r="IK27" s="49"/>
      <c r="IP27" s="43">
        <v>0</v>
      </c>
      <c r="IQ27" s="49"/>
      <c r="IR27">
        <v>38</v>
      </c>
      <c r="IS27">
        <v>50</v>
      </c>
      <c r="IT27">
        <v>29</v>
      </c>
      <c r="IU27">
        <v>30</v>
      </c>
      <c r="IV27" s="42">
        <v>-13</v>
      </c>
      <c r="IW27" s="49">
        <v>13</v>
      </c>
      <c r="IX27">
        <v>70</v>
      </c>
      <c r="IY27">
        <v>70</v>
      </c>
      <c r="IZ27">
        <v>50</v>
      </c>
      <c r="JA27">
        <v>50</v>
      </c>
      <c r="JB27" s="43">
        <v>0</v>
      </c>
      <c r="JC27" s="46"/>
      <c r="JD27">
        <v>42</v>
      </c>
      <c r="JE27">
        <v>40</v>
      </c>
      <c r="JF27" s="43">
        <v>2</v>
      </c>
      <c r="JG27" s="49"/>
      <c r="JJ27">
        <v>80</v>
      </c>
      <c r="JK27">
        <v>79</v>
      </c>
      <c r="JL27" s="43">
        <v>1</v>
      </c>
      <c r="JM27" s="46"/>
      <c r="JN27" s="45">
        <v>51</v>
      </c>
      <c r="JO27" s="48">
        <v>50</v>
      </c>
      <c r="JP27" s="43">
        <v>1</v>
      </c>
      <c r="JQ27" s="49"/>
      <c r="JT27">
        <v>51</v>
      </c>
      <c r="JU27">
        <v>50</v>
      </c>
      <c r="JV27" s="43">
        <v>1</v>
      </c>
      <c r="JW27" s="49"/>
      <c r="JZ27">
        <v>90</v>
      </c>
      <c r="KA27">
        <v>90</v>
      </c>
      <c r="KB27" s="43">
        <v>0</v>
      </c>
      <c r="KC27" s="49"/>
      <c r="KD27">
        <v>30</v>
      </c>
      <c r="KE27">
        <v>30</v>
      </c>
      <c r="KH27" s="43">
        <v>0</v>
      </c>
      <c r="KI27" s="49"/>
      <c r="KL27">
        <v>89</v>
      </c>
      <c r="KM27">
        <v>90</v>
      </c>
      <c r="KN27" s="43">
        <v>-1</v>
      </c>
      <c r="KO27" s="49"/>
      <c r="KP27" s="50"/>
      <c r="KR27">
        <v>37</v>
      </c>
      <c r="KS27">
        <v>40</v>
      </c>
      <c r="KT27">
        <v>42</v>
      </c>
      <c r="KU27">
        <v>40</v>
      </c>
      <c r="KV27" s="43">
        <v>-1</v>
      </c>
      <c r="KW27" s="49"/>
      <c r="KX27" s="48">
        <v>0</v>
      </c>
      <c r="KY27" s="48">
        <v>0</v>
      </c>
      <c r="KZ27" s="48">
        <v>41.96</v>
      </c>
      <c r="LA27" s="48">
        <v>40</v>
      </c>
      <c r="LB27" s="43">
        <v>1.9600000000000011</v>
      </c>
      <c r="LC27" s="49"/>
      <c r="LD27" s="48">
        <v>0</v>
      </c>
      <c r="LE27" s="48">
        <v>0</v>
      </c>
      <c r="LF27" s="48">
        <v>11.670999999999999</v>
      </c>
      <c r="LG27" s="48">
        <v>10</v>
      </c>
      <c r="LH27" s="43">
        <v>1.6709999999999989</v>
      </c>
      <c r="LI27" s="49"/>
      <c r="LJ27" s="50">
        <v>41.802999999999997</v>
      </c>
      <c r="LK27" s="48">
        <v>40</v>
      </c>
      <c r="LL27" s="43">
        <v>1.802999999999997</v>
      </c>
      <c r="LM27" s="49"/>
      <c r="LN27" s="50">
        <v>0</v>
      </c>
      <c r="LO27" s="48">
        <v>0</v>
      </c>
      <c r="LP27" s="48">
        <v>59.366</v>
      </c>
      <c r="LQ27" s="48">
        <v>0</v>
      </c>
      <c r="LR27" s="48">
        <v>60</v>
      </c>
      <c r="LS27" s="43">
        <v>-0.63400000000000034</v>
      </c>
      <c r="LT27" s="49"/>
      <c r="LU27" s="50">
        <v>72.188000000000002</v>
      </c>
      <c r="LV27" s="48">
        <v>72</v>
      </c>
      <c r="LW27" s="48">
        <v>128.93899999999999</v>
      </c>
      <c r="LX27" s="48">
        <v>128</v>
      </c>
      <c r="LY27" s="43">
        <v>1.12700000000001</v>
      </c>
      <c r="LZ27" s="49"/>
      <c r="MA27" s="50">
        <v>42.645000000000003</v>
      </c>
      <c r="MB27" s="48">
        <v>40</v>
      </c>
      <c r="MC27" s="43">
        <v>2.6450000000000031</v>
      </c>
      <c r="MD27" s="49"/>
      <c r="ME27" s="50">
        <v>0</v>
      </c>
      <c r="MF27" s="48">
        <v>0</v>
      </c>
      <c r="MG27" s="48">
        <v>0</v>
      </c>
      <c r="MH27" s="48">
        <v>0</v>
      </c>
      <c r="MI27" s="43">
        <v>0</v>
      </c>
      <c r="MJ27" s="49"/>
      <c r="MK27" s="50">
        <v>241.34</v>
      </c>
      <c r="ML27" s="48">
        <v>240</v>
      </c>
      <c r="MM27" s="43">
        <v>1.340000000000003</v>
      </c>
      <c r="MN27" s="49"/>
      <c r="MO27" s="50">
        <v>21.297999999999998</v>
      </c>
      <c r="MP27" s="48">
        <v>20</v>
      </c>
      <c r="MQ27" s="48">
        <v>20.956</v>
      </c>
      <c r="MR27" s="48">
        <v>20</v>
      </c>
      <c r="MS27" s="43">
        <v>2.2539999999999978</v>
      </c>
      <c r="MT27" s="49"/>
      <c r="MU27" s="48">
        <v>0</v>
      </c>
      <c r="MV27" s="46"/>
      <c r="MW27" s="48">
        <v>51.115000000000002</v>
      </c>
      <c r="MX27" s="48">
        <v>50</v>
      </c>
      <c r="MY27" s="43">
        <v>1.115000000000002</v>
      </c>
      <c r="MZ27" s="49"/>
      <c r="NA27" s="50">
        <v>0</v>
      </c>
      <c r="NB27" s="48">
        <v>0</v>
      </c>
      <c r="NC27" s="48">
        <v>110.586</v>
      </c>
      <c r="ND27" s="48">
        <v>110</v>
      </c>
      <c r="NE27" s="43">
        <v>0.58599999999999852</v>
      </c>
      <c r="NF27" s="49"/>
      <c r="NG27" s="50">
        <v>0</v>
      </c>
      <c r="NH27" s="48">
        <v>0</v>
      </c>
      <c r="NI27" s="48">
        <v>48.189</v>
      </c>
      <c r="NJ27" s="48">
        <v>46</v>
      </c>
      <c r="NK27" s="43">
        <v>2.1890000000000001</v>
      </c>
      <c r="NL27" s="49"/>
      <c r="NM27" s="50">
        <v>0</v>
      </c>
      <c r="NN27" s="48">
        <v>0</v>
      </c>
      <c r="NO27" s="48">
        <v>0</v>
      </c>
      <c r="NP27" s="48">
        <v>0</v>
      </c>
      <c r="NQ27" s="43">
        <v>0</v>
      </c>
      <c r="NR27" s="49"/>
      <c r="NS27" s="50">
        <v>0</v>
      </c>
      <c r="NT27" s="48">
        <v>0</v>
      </c>
      <c r="NU27" s="48">
        <v>50.835000000000001</v>
      </c>
      <c r="NV27" s="48">
        <v>50</v>
      </c>
      <c r="NW27" s="43">
        <v>0.83500000000000085</v>
      </c>
      <c r="NX27" s="49"/>
      <c r="NY27" s="50">
        <v>0</v>
      </c>
      <c r="NZ27" s="48">
        <v>0</v>
      </c>
      <c r="OA27" s="48">
        <v>171.99600000000001</v>
      </c>
      <c r="OB27" s="48">
        <v>170</v>
      </c>
      <c r="OC27" s="43">
        <v>1.9960000000000091</v>
      </c>
      <c r="OD27" s="49"/>
      <c r="OE27" s="50">
        <v>0</v>
      </c>
      <c r="OF27" s="48">
        <v>0</v>
      </c>
      <c r="OG27" s="43">
        <v>0</v>
      </c>
      <c r="OH27" s="49"/>
      <c r="OI27" s="50">
        <v>0</v>
      </c>
      <c r="OJ27" s="48">
        <v>0</v>
      </c>
      <c r="OK27" s="43">
        <v>0</v>
      </c>
      <c r="OL27" s="49"/>
      <c r="OM27" s="50">
        <v>0</v>
      </c>
      <c r="ON27" s="48">
        <v>0</v>
      </c>
      <c r="OO27" s="48">
        <v>71.625</v>
      </c>
      <c r="OP27" s="48">
        <v>70</v>
      </c>
      <c r="OQ27" s="43">
        <v>1.625</v>
      </c>
      <c r="OR27" s="49"/>
      <c r="OS27" s="23">
        <v>237.738</v>
      </c>
      <c r="OT27" s="48">
        <v>0</v>
      </c>
      <c r="OU27" s="43">
        <v>0</v>
      </c>
      <c r="OV27" s="49"/>
      <c r="OW27" s="50"/>
      <c r="PB27" s="49"/>
      <c r="PC27" s="50"/>
      <c r="PF27" s="49"/>
      <c r="PG27" s="50"/>
      <c r="PL27" s="49"/>
      <c r="PM27" s="47"/>
      <c r="PN27" s="48"/>
      <c r="PP27" s="48"/>
      <c r="PR27" s="49"/>
      <c r="PS27" s="47"/>
      <c r="PX27" s="46"/>
      <c r="PY27" s="47"/>
      <c r="QB27" s="46"/>
      <c r="QC27" s="47"/>
      <c r="QH27" s="46"/>
      <c r="QI27" s="47"/>
      <c r="QN27" s="46"/>
      <c r="QO27" s="47"/>
      <c r="QT27" s="46"/>
      <c r="QU27" s="47"/>
      <c r="QX27" s="46"/>
      <c r="QY27" s="47"/>
      <c r="RD27" s="46"/>
    </row>
    <row r="28" spans="1:472" x14ac:dyDescent="0.25">
      <c r="A28" s="43" t="s">
        <v>316</v>
      </c>
      <c r="B28" s="44">
        <v>0.25</v>
      </c>
      <c r="E28">
        <v>24</v>
      </c>
      <c r="F28">
        <v>24</v>
      </c>
      <c r="I28" s="47"/>
      <c r="J28" s="52">
        <v>50</v>
      </c>
      <c r="K28" s="51"/>
      <c r="L28" s="52">
        <v>50</v>
      </c>
      <c r="M28" s="56">
        <f t="shared" si="8"/>
        <v>-100</v>
      </c>
      <c r="N28" s="46">
        <f>-1*M28*B28</f>
        <v>25</v>
      </c>
      <c r="O28" s="47"/>
      <c r="P28" s="52">
        <v>32</v>
      </c>
      <c r="Q28" s="51"/>
      <c r="R28" s="52">
        <v>48</v>
      </c>
      <c r="S28" s="56">
        <f t="shared" si="9"/>
        <v>-80</v>
      </c>
      <c r="T28" s="46">
        <f t="shared" ref="T28:T29" si="11">-1*S28*B28</f>
        <v>20</v>
      </c>
      <c r="U28" s="47"/>
      <c r="V28" s="52">
        <v>48</v>
      </c>
      <c r="W28" s="51"/>
      <c r="X28" s="52">
        <v>65</v>
      </c>
      <c r="Y28" s="56">
        <f t="shared" si="10"/>
        <v>-113</v>
      </c>
      <c r="Z28" s="46">
        <f>-1*Y28*B28</f>
        <v>28.25</v>
      </c>
      <c r="AA28" s="51"/>
      <c r="AB28">
        <v>100</v>
      </c>
      <c r="AD28">
        <v>130</v>
      </c>
      <c r="AE28" s="42">
        <v>-230</v>
      </c>
      <c r="AF28" s="46">
        <v>57.5</v>
      </c>
      <c r="AG28" s="47"/>
      <c r="AK28" s="43">
        <v>0</v>
      </c>
      <c r="AL28" s="46"/>
      <c r="AM28">
        <v>136</v>
      </c>
      <c r="AN28">
        <v>140</v>
      </c>
      <c r="AO28">
        <v>136</v>
      </c>
      <c r="AP28">
        <v>140</v>
      </c>
      <c r="AQ28" s="43">
        <v>-8</v>
      </c>
      <c r="AR28" s="46"/>
      <c r="AT28">
        <v>80</v>
      </c>
      <c r="AV28">
        <v>91</v>
      </c>
      <c r="AW28" s="42">
        <v>-171</v>
      </c>
      <c r="AX28" s="46">
        <v>42.75</v>
      </c>
      <c r="AY28" s="45">
        <v>32</v>
      </c>
      <c r="AZ28">
        <v>32</v>
      </c>
      <c r="BA28">
        <v>40</v>
      </c>
      <c r="BB28">
        <v>45</v>
      </c>
      <c r="BC28" s="43">
        <v>-5</v>
      </c>
      <c r="BD28" s="46"/>
      <c r="BE28" s="47"/>
      <c r="BF28">
        <v>170</v>
      </c>
      <c r="BG28">
        <v>168</v>
      </c>
      <c r="BH28">
        <v>171</v>
      </c>
      <c r="BI28" s="42">
        <v>-173</v>
      </c>
      <c r="BJ28" s="46">
        <v>43.25</v>
      </c>
      <c r="BK28">
        <v>80</v>
      </c>
      <c r="BL28">
        <v>80</v>
      </c>
      <c r="BN28">
        <v>72</v>
      </c>
      <c r="BO28">
        <v>74</v>
      </c>
      <c r="BP28" s="43">
        <v>-2</v>
      </c>
      <c r="BQ28" s="46"/>
      <c r="BR28">
        <v>80</v>
      </c>
      <c r="BS28">
        <v>80</v>
      </c>
      <c r="BT28" s="43">
        <v>0</v>
      </c>
      <c r="BU28" s="46"/>
      <c r="BV28" s="45">
        <v>160</v>
      </c>
      <c r="BW28">
        <v>159</v>
      </c>
      <c r="BX28">
        <v>56</v>
      </c>
      <c r="BY28">
        <v>59</v>
      </c>
      <c r="BZ28" s="43">
        <v>-2</v>
      </c>
      <c r="CA28" s="46"/>
      <c r="CD28">
        <v>104</v>
      </c>
      <c r="CE28">
        <v>107</v>
      </c>
      <c r="CF28" s="43">
        <v>-3</v>
      </c>
      <c r="CG28" s="46"/>
      <c r="CL28" s="43">
        <v>0</v>
      </c>
      <c r="CM28" s="46"/>
      <c r="CN28" s="47"/>
      <c r="CP28">
        <v>112</v>
      </c>
      <c r="CQ28">
        <v>110</v>
      </c>
      <c r="CR28" s="43">
        <v>2</v>
      </c>
      <c r="CS28" s="46"/>
      <c r="CX28" s="43">
        <v>0</v>
      </c>
      <c r="CY28" s="46"/>
      <c r="CZ28" s="47"/>
      <c r="DD28" s="43">
        <v>0</v>
      </c>
      <c r="DE28" s="46"/>
      <c r="DF28" s="47"/>
      <c r="DH28">
        <v>200</v>
      </c>
      <c r="DI28">
        <v>200</v>
      </c>
      <c r="DJ28">
        <v>96</v>
      </c>
      <c r="DK28">
        <v>100</v>
      </c>
      <c r="DL28" s="43">
        <v>-4</v>
      </c>
      <c r="DM28" s="46"/>
      <c r="DN28" s="45">
        <v>80</v>
      </c>
      <c r="DO28">
        <v>80</v>
      </c>
      <c r="DP28">
        <v>96</v>
      </c>
      <c r="DQ28">
        <v>100</v>
      </c>
      <c r="DR28" s="43">
        <v>-4</v>
      </c>
      <c r="DS28" s="46"/>
      <c r="DV28">
        <v>40</v>
      </c>
      <c r="DW28">
        <v>40</v>
      </c>
      <c r="DZ28" s="43">
        <v>0</v>
      </c>
      <c r="EA28" s="46"/>
      <c r="EB28" s="47"/>
      <c r="ED28">
        <v>56</v>
      </c>
      <c r="EE28">
        <v>59</v>
      </c>
      <c r="EF28" s="43">
        <v>-3</v>
      </c>
      <c r="EG28" s="46"/>
      <c r="EH28" s="47"/>
      <c r="EJ28">
        <v>80</v>
      </c>
      <c r="EK28">
        <v>80</v>
      </c>
      <c r="EL28" s="43">
        <v>0</v>
      </c>
      <c r="EM28" s="46"/>
      <c r="EN28" s="45">
        <v>128</v>
      </c>
      <c r="EO28">
        <v>128</v>
      </c>
      <c r="EP28">
        <v>128</v>
      </c>
      <c r="EQ28">
        <v>132</v>
      </c>
      <c r="ER28" s="43">
        <v>-4</v>
      </c>
      <c r="ES28" s="46"/>
      <c r="EV28">
        <v>64</v>
      </c>
      <c r="EW28">
        <v>64</v>
      </c>
      <c r="EX28">
        <v>72</v>
      </c>
      <c r="EY28">
        <v>76</v>
      </c>
      <c r="EZ28" s="43">
        <v>-4</v>
      </c>
      <c r="FA28" s="46"/>
      <c r="FD28">
        <v>128</v>
      </c>
      <c r="FF28">
        <v>130</v>
      </c>
      <c r="FG28" s="43">
        <v>-2</v>
      </c>
      <c r="FH28" s="46"/>
      <c r="FI28" s="45">
        <v>120</v>
      </c>
      <c r="FK28" s="48">
        <v>121.4</v>
      </c>
      <c r="FL28" s="43">
        <v>-1.4000000000000059</v>
      </c>
      <c r="FM28" s="46"/>
      <c r="FN28" s="47"/>
      <c r="FQ28" s="43">
        <v>0</v>
      </c>
      <c r="FR28" s="46"/>
      <c r="FW28" s="43">
        <v>0</v>
      </c>
      <c r="FX28" s="46"/>
      <c r="FY28" s="45">
        <v>152</v>
      </c>
      <c r="GA28">
        <v>150</v>
      </c>
      <c r="GB28">
        <v>168</v>
      </c>
      <c r="GC28">
        <v>170</v>
      </c>
      <c r="GD28" s="43">
        <v>0</v>
      </c>
      <c r="GE28" s="46"/>
      <c r="GH28">
        <v>72</v>
      </c>
      <c r="GI28">
        <v>70</v>
      </c>
      <c r="GJ28" s="43">
        <v>2</v>
      </c>
      <c r="GK28" s="46"/>
      <c r="GL28" s="47"/>
      <c r="GN28">
        <v>8</v>
      </c>
      <c r="GO28">
        <v>13</v>
      </c>
      <c r="GP28" s="43">
        <v>-5</v>
      </c>
      <c r="GQ28" s="46"/>
      <c r="GV28" s="43">
        <v>0</v>
      </c>
      <c r="GW28" s="46"/>
      <c r="GX28" s="45">
        <v>272</v>
      </c>
      <c r="GY28" s="48">
        <v>270</v>
      </c>
      <c r="GZ28" s="43">
        <v>2</v>
      </c>
      <c r="HA28" s="46"/>
      <c r="HB28" s="47"/>
      <c r="HD28">
        <v>80</v>
      </c>
      <c r="HE28">
        <v>85</v>
      </c>
      <c r="HF28" s="43">
        <v>-5</v>
      </c>
      <c r="HG28" s="46"/>
      <c r="HH28" s="45">
        <v>168</v>
      </c>
      <c r="HI28">
        <v>170</v>
      </c>
      <c r="HJ28" s="43">
        <v>-2</v>
      </c>
      <c r="HK28" s="46"/>
      <c r="HL28" s="47"/>
      <c r="HN28">
        <v>128</v>
      </c>
      <c r="HO28">
        <v>130</v>
      </c>
      <c r="HP28" s="43">
        <v>-2</v>
      </c>
      <c r="HQ28" s="46"/>
      <c r="HV28">
        <v>72</v>
      </c>
      <c r="HW28">
        <v>75</v>
      </c>
      <c r="HX28" s="43">
        <v>-3</v>
      </c>
      <c r="HY28" s="46"/>
      <c r="HZ28" s="47"/>
      <c r="IB28">
        <v>88</v>
      </c>
      <c r="IC28">
        <v>90</v>
      </c>
      <c r="ID28" s="43">
        <v>-2</v>
      </c>
      <c r="IE28" s="46"/>
      <c r="IJ28" s="43">
        <v>0</v>
      </c>
      <c r="IK28" s="49"/>
      <c r="IL28">
        <v>152</v>
      </c>
      <c r="IM28">
        <v>150</v>
      </c>
      <c r="IN28">
        <v>200</v>
      </c>
      <c r="IO28">
        <v>200</v>
      </c>
      <c r="IP28" s="43">
        <v>2</v>
      </c>
      <c r="IQ28" s="49"/>
      <c r="IR28">
        <v>64</v>
      </c>
      <c r="IS28">
        <v>65</v>
      </c>
      <c r="IV28" s="43">
        <v>-1</v>
      </c>
      <c r="IW28" s="49"/>
      <c r="JB28" s="43">
        <v>0</v>
      </c>
      <c r="JC28" s="46"/>
      <c r="JD28">
        <v>80</v>
      </c>
      <c r="JE28">
        <v>80</v>
      </c>
      <c r="JF28" s="43">
        <v>0</v>
      </c>
      <c r="JG28" s="49"/>
      <c r="JH28">
        <v>152</v>
      </c>
      <c r="JI28">
        <v>150</v>
      </c>
      <c r="JJ28">
        <v>128</v>
      </c>
      <c r="JK28">
        <v>131</v>
      </c>
      <c r="JL28" s="43">
        <v>-1</v>
      </c>
      <c r="JM28" s="46"/>
      <c r="JN28" s="45">
        <v>56</v>
      </c>
      <c r="JO28" s="48">
        <v>60</v>
      </c>
      <c r="JP28" s="43">
        <v>-4</v>
      </c>
      <c r="JQ28" s="49"/>
      <c r="JT28">
        <v>144</v>
      </c>
      <c r="JU28">
        <v>144</v>
      </c>
      <c r="JV28" s="43">
        <v>0</v>
      </c>
      <c r="JW28" s="49"/>
      <c r="JX28">
        <v>40</v>
      </c>
      <c r="JY28">
        <v>43</v>
      </c>
      <c r="KB28" s="43">
        <v>-3</v>
      </c>
      <c r="KC28" s="49"/>
      <c r="KD28">
        <v>40</v>
      </c>
      <c r="KE28">
        <v>40</v>
      </c>
      <c r="KH28" s="43">
        <v>0</v>
      </c>
      <c r="KI28" s="49"/>
      <c r="KL28">
        <v>16</v>
      </c>
      <c r="KM28">
        <v>16</v>
      </c>
      <c r="KN28" s="43">
        <v>0</v>
      </c>
      <c r="KO28" s="49"/>
      <c r="KP28" s="45">
        <v>72</v>
      </c>
      <c r="KQ28">
        <v>70</v>
      </c>
      <c r="KR28">
        <v>96</v>
      </c>
      <c r="KS28">
        <v>100</v>
      </c>
      <c r="KT28">
        <v>80</v>
      </c>
      <c r="KU28">
        <v>80</v>
      </c>
      <c r="KV28" s="43">
        <v>-2</v>
      </c>
      <c r="KW28" s="49"/>
      <c r="KX28" s="48">
        <v>0</v>
      </c>
      <c r="KY28" s="48">
        <v>0</v>
      </c>
      <c r="KZ28" s="48">
        <v>0</v>
      </c>
      <c r="LA28" s="48">
        <v>0</v>
      </c>
      <c r="LB28" s="43">
        <v>0</v>
      </c>
      <c r="LC28" s="49"/>
      <c r="LD28" s="48">
        <v>0</v>
      </c>
      <c r="LE28" s="48">
        <v>0</v>
      </c>
      <c r="LF28" s="48">
        <v>112</v>
      </c>
      <c r="LG28" s="48">
        <v>110</v>
      </c>
      <c r="LH28" s="43">
        <v>2</v>
      </c>
      <c r="LI28" s="49"/>
      <c r="LJ28" s="50">
        <v>0</v>
      </c>
      <c r="LK28" s="48">
        <v>0</v>
      </c>
      <c r="LL28" s="43">
        <v>0</v>
      </c>
      <c r="LM28" s="49"/>
      <c r="LN28" s="50">
        <v>152</v>
      </c>
      <c r="LO28" s="48">
        <v>150</v>
      </c>
      <c r="LP28" s="48">
        <v>136</v>
      </c>
      <c r="LQ28" s="48">
        <v>0</v>
      </c>
      <c r="LR28" s="48">
        <v>140</v>
      </c>
      <c r="LS28" s="43">
        <v>-2</v>
      </c>
      <c r="LT28" s="49"/>
      <c r="LU28" s="50">
        <v>48</v>
      </c>
      <c r="LV28" s="48">
        <v>50</v>
      </c>
      <c r="LW28" s="48">
        <v>0</v>
      </c>
      <c r="LX28" s="48">
        <v>0</v>
      </c>
      <c r="LY28" s="43">
        <v>-2</v>
      </c>
      <c r="LZ28" s="49"/>
      <c r="MA28" s="50">
        <v>152</v>
      </c>
      <c r="MB28" s="48">
        <v>150</v>
      </c>
      <c r="MC28" s="43">
        <v>2</v>
      </c>
      <c r="MD28" s="49"/>
      <c r="ME28" s="50">
        <v>0</v>
      </c>
      <c r="MF28" s="48">
        <v>0</v>
      </c>
      <c r="MG28" s="48">
        <v>96</v>
      </c>
      <c r="MH28" s="48">
        <v>100</v>
      </c>
      <c r="MI28" s="43">
        <v>-4</v>
      </c>
      <c r="MJ28" s="49"/>
      <c r="MK28" s="50">
        <v>40</v>
      </c>
      <c r="ML28" s="48">
        <v>40</v>
      </c>
      <c r="MM28" s="43">
        <v>0</v>
      </c>
      <c r="MN28" s="49"/>
      <c r="MO28" s="50">
        <v>0</v>
      </c>
      <c r="MP28" s="48">
        <v>0</v>
      </c>
      <c r="MQ28" s="48">
        <v>0</v>
      </c>
      <c r="MR28" s="48">
        <v>0</v>
      </c>
      <c r="MS28" s="43">
        <v>0</v>
      </c>
      <c r="MT28" s="49"/>
      <c r="MU28" s="48">
        <v>0</v>
      </c>
      <c r="MV28" s="46"/>
      <c r="MW28" s="48">
        <v>0</v>
      </c>
      <c r="MX28" s="48">
        <v>0</v>
      </c>
      <c r="MY28" s="43">
        <v>0</v>
      </c>
      <c r="MZ28" s="49"/>
      <c r="NA28" s="50">
        <v>0</v>
      </c>
      <c r="NB28" s="48">
        <v>0</v>
      </c>
      <c r="NC28" s="48">
        <v>0</v>
      </c>
      <c r="ND28" s="48">
        <v>0</v>
      </c>
      <c r="NE28" s="43">
        <v>0</v>
      </c>
      <c r="NF28" s="49"/>
      <c r="NG28" s="25">
        <v>48</v>
      </c>
      <c r="NH28" s="48">
        <v>0</v>
      </c>
      <c r="NI28" s="48">
        <v>0</v>
      </c>
      <c r="NJ28" s="48">
        <v>0</v>
      </c>
      <c r="NK28" s="43">
        <v>48</v>
      </c>
      <c r="NL28" s="49"/>
      <c r="NM28" s="50">
        <v>80</v>
      </c>
      <c r="NN28" s="48">
        <v>80</v>
      </c>
      <c r="NO28" s="48">
        <v>120</v>
      </c>
      <c r="NP28" s="48">
        <v>120</v>
      </c>
      <c r="NQ28" s="43">
        <v>0</v>
      </c>
      <c r="NR28" s="49"/>
      <c r="NS28" s="25">
        <v>96</v>
      </c>
      <c r="NT28" s="48">
        <v>0</v>
      </c>
      <c r="NU28" s="48">
        <v>0</v>
      </c>
      <c r="NV28" s="48">
        <v>0</v>
      </c>
      <c r="NW28" s="43">
        <v>96</v>
      </c>
      <c r="NX28" s="49"/>
      <c r="NY28" s="50">
        <v>96</v>
      </c>
      <c r="NZ28" s="48">
        <v>100</v>
      </c>
      <c r="OA28" s="48">
        <v>96</v>
      </c>
      <c r="OB28" s="48">
        <v>100</v>
      </c>
      <c r="OC28" s="43">
        <v>-8</v>
      </c>
      <c r="OD28" s="49"/>
      <c r="OE28" s="50">
        <v>200</v>
      </c>
      <c r="OF28" s="48">
        <v>200</v>
      </c>
      <c r="OG28" s="43">
        <v>0</v>
      </c>
      <c r="OH28" s="49"/>
      <c r="OI28" s="50">
        <v>8</v>
      </c>
      <c r="OJ28" s="48">
        <v>13</v>
      </c>
      <c r="OK28" s="43">
        <v>-5</v>
      </c>
      <c r="OL28" s="49"/>
      <c r="OM28" s="50">
        <v>0</v>
      </c>
      <c r="ON28" s="48">
        <v>0</v>
      </c>
      <c r="OO28" s="48">
        <v>32</v>
      </c>
      <c r="OP28" s="48">
        <v>30</v>
      </c>
      <c r="OQ28" s="43">
        <v>2</v>
      </c>
      <c r="OR28" s="49"/>
      <c r="OS28" s="50">
        <v>0</v>
      </c>
      <c r="OT28" s="48">
        <v>0</v>
      </c>
      <c r="OU28" s="43">
        <v>0</v>
      </c>
      <c r="OV28" s="49"/>
      <c r="OW28" s="50">
        <v>0</v>
      </c>
      <c r="OX28" s="48">
        <v>0</v>
      </c>
      <c r="OY28" s="48">
        <v>40</v>
      </c>
      <c r="OZ28" s="48">
        <v>40</v>
      </c>
      <c r="PA28" s="43">
        <v>0</v>
      </c>
      <c r="PB28" s="49"/>
      <c r="PC28" s="50">
        <v>0</v>
      </c>
      <c r="PD28" s="48">
        <v>0</v>
      </c>
      <c r="PE28" s="43">
        <v>0</v>
      </c>
      <c r="PF28" s="49"/>
      <c r="PG28" s="50">
        <v>0</v>
      </c>
      <c r="PH28" s="48">
        <v>0</v>
      </c>
      <c r="PI28" s="48">
        <v>0</v>
      </c>
      <c r="PJ28" s="48">
        <v>0</v>
      </c>
      <c r="PK28" s="43">
        <v>0</v>
      </c>
      <c r="PL28" s="49"/>
      <c r="PM28" s="47">
        <v>0</v>
      </c>
      <c r="PN28" s="48">
        <v>0</v>
      </c>
      <c r="PO28" s="48">
        <v>0</v>
      </c>
      <c r="PP28" s="48">
        <v>0</v>
      </c>
      <c r="PQ28" s="43">
        <v>0</v>
      </c>
      <c r="PR28" s="49"/>
      <c r="PS28" s="47">
        <v>72</v>
      </c>
      <c r="PT28" s="43">
        <v>70</v>
      </c>
      <c r="PU28" s="43">
        <v>80</v>
      </c>
      <c r="PV28" s="43">
        <v>80</v>
      </c>
      <c r="PW28" s="43">
        <v>2</v>
      </c>
      <c r="PX28" s="46"/>
      <c r="PY28" s="47">
        <v>104</v>
      </c>
      <c r="PZ28" s="43">
        <v>107</v>
      </c>
      <c r="QA28" s="43">
        <v>-3</v>
      </c>
      <c r="QB28" s="46"/>
      <c r="QC28" s="47">
        <v>0</v>
      </c>
      <c r="QD28" s="43">
        <v>0</v>
      </c>
      <c r="QE28" s="43">
        <v>0</v>
      </c>
      <c r="QF28" s="43">
        <v>0</v>
      </c>
      <c r="QG28" s="43">
        <v>0</v>
      </c>
      <c r="QH28" s="46"/>
      <c r="QI28" s="47">
        <v>48</v>
      </c>
      <c r="QJ28" s="43">
        <v>50</v>
      </c>
      <c r="QK28" s="43">
        <v>48</v>
      </c>
      <c r="QL28" s="43">
        <v>50</v>
      </c>
      <c r="QM28" s="43">
        <v>-4</v>
      </c>
      <c r="QN28" s="46"/>
      <c r="QO28" s="47">
        <v>88</v>
      </c>
      <c r="QP28" s="43">
        <v>90</v>
      </c>
      <c r="QQ28" s="43">
        <v>176</v>
      </c>
      <c r="QR28" s="43">
        <v>0</v>
      </c>
      <c r="QS28" s="43">
        <v>174</v>
      </c>
      <c r="QT28" s="46"/>
      <c r="QU28" s="47">
        <v>120</v>
      </c>
      <c r="QV28" s="43">
        <v>120</v>
      </c>
      <c r="QW28" s="43">
        <v>0</v>
      </c>
      <c r="QX28" s="46"/>
      <c r="QY28" s="47">
        <v>0</v>
      </c>
      <c r="QZ28" s="43">
        <v>0</v>
      </c>
      <c r="RA28" s="43">
        <v>112</v>
      </c>
      <c r="RB28" s="43">
        <v>114</v>
      </c>
      <c r="RC28" s="43">
        <v>-2</v>
      </c>
      <c r="RD28" s="46"/>
    </row>
    <row r="29" spans="1:472" x14ac:dyDescent="0.25">
      <c r="A29" s="43" t="s">
        <v>317</v>
      </c>
      <c r="B29" s="44">
        <v>0.25</v>
      </c>
      <c r="I29" s="47"/>
      <c r="J29" s="51"/>
      <c r="K29" s="51"/>
      <c r="L29" s="52">
        <v>24</v>
      </c>
      <c r="M29" s="56">
        <f t="shared" si="8"/>
        <v>-24</v>
      </c>
      <c r="N29" s="46">
        <f>-1*M29*B29</f>
        <v>6</v>
      </c>
      <c r="O29" s="47"/>
      <c r="P29" s="51"/>
      <c r="Q29" s="51"/>
      <c r="R29" s="52">
        <v>16</v>
      </c>
      <c r="S29" s="56">
        <f t="shared" si="9"/>
        <v>-16</v>
      </c>
      <c r="T29" s="46">
        <f t="shared" si="11"/>
        <v>4</v>
      </c>
      <c r="U29" s="47"/>
      <c r="V29" s="52">
        <v>8</v>
      </c>
      <c r="W29" s="51"/>
      <c r="X29" s="51"/>
      <c r="Y29" s="56">
        <f t="shared" si="10"/>
        <v>-8</v>
      </c>
      <c r="Z29" s="46">
        <f>-1*Y29*B29</f>
        <v>2</v>
      </c>
      <c r="AA29" s="51"/>
      <c r="AB29">
        <v>8</v>
      </c>
      <c r="AD29">
        <v>8</v>
      </c>
      <c r="AE29" s="42">
        <v>-16</v>
      </c>
      <c r="AF29" s="46">
        <v>4</v>
      </c>
      <c r="AG29" s="47"/>
      <c r="AJ29">
        <v>17</v>
      </c>
      <c r="AK29" s="42">
        <v>-17</v>
      </c>
      <c r="AL29" s="46">
        <v>4.25</v>
      </c>
      <c r="AP29">
        <v>10</v>
      </c>
      <c r="AQ29" s="42">
        <v>-10</v>
      </c>
      <c r="AR29" s="46">
        <v>2.5</v>
      </c>
      <c r="AV29">
        <v>17</v>
      </c>
      <c r="AW29" s="42">
        <v>-17</v>
      </c>
      <c r="AX29" s="46">
        <v>4.25</v>
      </c>
      <c r="AY29" s="47"/>
      <c r="BC29" s="43">
        <v>0</v>
      </c>
      <c r="BD29" s="46"/>
      <c r="BE29" s="47"/>
      <c r="BG29">
        <v>8</v>
      </c>
      <c r="BH29">
        <v>8</v>
      </c>
      <c r="BI29" s="43">
        <v>0</v>
      </c>
      <c r="BJ29" s="46"/>
      <c r="BN29">
        <v>24</v>
      </c>
      <c r="BO29">
        <v>24</v>
      </c>
      <c r="BP29" s="43">
        <v>0</v>
      </c>
      <c r="BQ29" s="46"/>
      <c r="BT29" s="43">
        <v>0</v>
      </c>
      <c r="BU29" s="46"/>
      <c r="BV29" s="47"/>
      <c r="BY29">
        <v>7</v>
      </c>
      <c r="BZ29" s="43">
        <v>-7</v>
      </c>
      <c r="CA29" s="46"/>
      <c r="CF29" s="43">
        <v>0</v>
      </c>
      <c r="CG29" s="46"/>
      <c r="CL29" s="43">
        <v>0</v>
      </c>
      <c r="CM29" s="46"/>
      <c r="CN29" s="47"/>
      <c r="CP29" s="43">
        <v>8</v>
      </c>
      <c r="CQ29">
        <v>48</v>
      </c>
      <c r="CR29" s="42">
        <v>-40</v>
      </c>
      <c r="CS29" s="46">
        <v>10</v>
      </c>
      <c r="CX29" s="43">
        <v>0</v>
      </c>
      <c r="CY29" s="46"/>
      <c r="CZ29" s="47"/>
      <c r="DD29" s="43">
        <v>0</v>
      </c>
      <c r="DE29" s="46"/>
      <c r="DF29" s="47"/>
      <c r="DL29" s="43">
        <v>0</v>
      </c>
      <c r="DM29" s="46"/>
      <c r="DN29" s="47"/>
      <c r="DR29" s="43">
        <v>0</v>
      </c>
      <c r="DS29" s="46"/>
      <c r="EA29" s="46"/>
      <c r="EB29" s="47"/>
      <c r="EG29" s="46"/>
      <c r="EH29" s="47"/>
      <c r="EM29" s="46"/>
      <c r="EN29" s="45"/>
      <c r="ES29" s="46"/>
      <c r="FA29" s="46"/>
      <c r="FH29" s="46"/>
      <c r="FI29" s="45"/>
      <c r="FM29" s="46"/>
      <c r="FN29" s="47"/>
      <c r="FR29" s="46"/>
      <c r="FX29" s="46"/>
      <c r="FY29" s="45"/>
      <c r="GE29" s="46"/>
      <c r="GK29" s="46"/>
      <c r="GL29" s="47"/>
      <c r="GQ29" s="46"/>
      <c r="GW29" s="46"/>
      <c r="GX29" s="45"/>
      <c r="HA29" s="46"/>
      <c r="HB29" s="47"/>
      <c r="HG29" s="46"/>
      <c r="HH29" s="45"/>
      <c r="HK29" s="46"/>
      <c r="HL29" s="47"/>
      <c r="HQ29" s="46"/>
      <c r="HY29" s="46"/>
      <c r="HZ29" s="47"/>
      <c r="IE29" s="46"/>
      <c r="IK29" s="49"/>
      <c r="IQ29" s="49"/>
      <c r="IW29" s="49"/>
      <c r="JC29" s="46"/>
      <c r="JG29" s="49"/>
      <c r="JM29" s="46"/>
      <c r="JN29" s="45"/>
      <c r="JQ29" s="49"/>
      <c r="JW29" s="49"/>
      <c r="KC29" s="49"/>
      <c r="KF29" s="48"/>
      <c r="KG29" s="48"/>
      <c r="KI29" s="49"/>
      <c r="KJ29" s="48"/>
      <c r="KO29" s="49"/>
      <c r="KP29" s="45"/>
      <c r="KW29" s="49"/>
      <c r="KX29" s="48"/>
      <c r="KY29" s="48"/>
      <c r="KZ29" s="48"/>
      <c r="LA29" s="48"/>
      <c r="LC29" s="49"/>
      <c r="LD29" s="48"/>
      <c r="LE29" s="48"/>
      <c r="LF29" s="48"/>
      <c r="LG29" s="48"/>
      <c r="LI29" s="49"/>
      <c r="LJ29" s="50"/>
      <c r="LK29" s="48"/>
      <c r="LM29" s="49"/>
      <c r="LN29" s="50"/>
      <c r="LO29" s="48"/>
      <c r="LP29" s="48"/>
      <c r="LQ29" s="48"/>
      <c r="LR29" s="48"/>
      <c r="LT29" s="49"/>
      <c r="LU29" s="50"/>
      <c r="LV29" s="48"/>
      <c r="LW29" s="48"/>
      <c r="LX29" s="48"/>
      <c r="LZ29" s="49"/>
      <c r="MA29" s="50"/>
      <c r="MB29" s="48"/>
      <c r="MD29" s="49"/>
      <c r="ME29" s="50"/>
      <c r="MF29" s="48"/>
      <c r="MG29" s="48"/>
      <c r="MH29" s="48"/>
      <c r="MJ29" s="49"/>
      <c r="MK29" s="50"/>
      <c r="ML29" s="48"/>
      <c r="MN29" s="49"/>
      <c r="MO29" s="50"/>
      <c r="MP29" s="48"/>
      <c r="MQ29" s="48"/>
      <c r="MR29" s="48"/>
      <c r="MT29" s="49"/>
      <c r="MU29" s="48"/>
      <c r="MV29" s="46"/>
      <c r="MW29" s="48"/>
      <c r="MX29" s="48"/>
      <c r="MZ29" s="49"/>
      <c r="NA29" s="50"/>
      <c r="NB29" s="48"/>
      <c r="NC29" s="48"/>
      <c r="ND29" s="48"/>
      <c r="NF29" s="49"/>
      <c r="NG29" s="50"/>
      <c r="NH29" s="48"/>
      <c r="NI29" s="48"/>
      <c r="NJ29" s="48"/>
      <c r="NL29" s="49"/>
      <c r="NM29" s="50"/>
      <c r="NN29" s="48"/>
      <c r="NO29" s="48"/>
      <c r="NP29" s="48"/>
      <c r="NR29" s="49"/>
      <c r="NS29" s="50"/>
      <c r="NT29" s="48"/>
      <c r="NU29" s="48"/>
      <c r="NV29" s="48"/>
      <c r="NX29" s="49"/>
      <c r="NY29" s="50"/>
      <c r="NZ29" s="48"/>
      <c r="OA29" s="48"/>
      <c r="OB29" s="48"/>
      <c r="OD29" s="49"/>
      <c r="OE29" s="50"/>
      <c r="OF29" s="48"/>
      <c r="OH29" s="49"/>
      <c r="OI29" s="50"/>
      <c r="OJ29" s="48"/>
      <c r="OL29" s="49"/>
      <c r="OM29" s="50"/>
      <c r="ON29" s="48"/>
      <c r="OO29" s="48"/>
      <c r="OP29" s="48"/>
      <c r="OR29" s="49"/>
      <c r="OS29" s="50"/>
      <c r="OT29" s="48"/>
      <c r="OV29" s="49"/>
      <c r="OW29" s="50"/>
      <c r="OX29" s="48"/>
      <c r="OY29" s="48"/>
      <c r="OZ29" s="48"/>
      <c r="PB29" s="49"/>
      <c r="PC29" s="50"/>
      <c r="PD29" s="48"/>
      <c r="PF29" s="49"/>
      <c r="PG29" s="50"/>
      <c r="PH29" s="48"/>
      <c r="PI29" s="48"/>
      <c r="PJ29" s="48"/>
      <c r="PL29" s="49"/>
      <c r="PM29" s="47"/>
      <c r="PN29" s="48"/>
      <c r="PO29" s="48"/>
      <c r="PP29" s="48"/>
      <c r="PR29" s="49"/>
      <c r="PS29" s="47"/>
      <c r="PX29" s="46"/>
      <c r="PY29" s="47"/>
      <c r="QB29" s="46"/>
      <c r="QC29" s="47"/>
      <c r="QH29" s="46"/>
      <c r="QI29" s="47"/>
      <c r="QN29" s="46"/>
      <c r="QO29" s="47"/>
      <c r="QT29" s="46"/>
      <c r="QU29" s="47"/>
      <c r="QX29" s="46"/>
      <c r="QY29" s="47"/>
      <c r="RD29" s="46"/>
    </row>
    <row r="30" spans="1:472" x14ac:dyDescent="0.25">
      <c r="A30" s="43" t="s">
        <v>318</v>
      </c>
      <c r="B30" s="44">
        <v>1</v>
      </c>
      <c r="F30">
        <v>32</v>
      </c>
      <c r="I30" s="47"/>
      <c r="J30" s="51"/>
      <c r="K30" s="52">
        <v>52</v>
      </c>
      <c r="L30" s="52">
        <v>50</v>
      </c>
      <c r="M30" s="51">
        <f t="shared" si="8"/>
        <v>2</v>
      </c>
      <c r="N30" s="46"/>
      <c r="O30" s="45">
        <v>20</v>
      </c>
      <c r="P30" s="52">
        <v>20</v>
      </c>
      <c r="Q30" s="52">
        <v>28</v>
      </c>
      <c r="R30" s="52">
        <v>29</v>
      </c>
      <c r="S30" s="51">
        <f t="shared" si="9"/>
        <v>-1</v>
      </c>
      <c r="T30" s="46"/>
      <c r="U30" s="47"/>
      <c r="V30" s="51"/>
      <c r="W30" s="51"/>
      <c r="X30" s="51"/>
      <c r="Y30" s="51">
        <f t="shared" si="10"/>
        <v>0</v>
      </c>
      <c r="Z30" s="46"/>
      <c r="AA30" s="51"/>
      <c r="AC30">
        <v>40</v>
      </c>
      <c r="AD30">
        <v>39</v>
      </c>
      <c r="AE30" s="43">
        <v>1</v>
      </c>
      <c r="AF30" s="46"/>
      <c r="AG30" s="45">
        <v>8</v>
      </c>
      <c r="AH30">
        <v>8</v>
      </c>
      <c r="AI30">
        <v>12</v>
      </c>
      <c r="AJ30">
        <v>10</v>
      </c>
      <c r="AK30" s="43">
        <v>2</v>
      </c>
      <c r="AL30" s="46"/>
      <c r="AQ30" s="43">
        <v>0</v>
      </c>
      <c r="AR30" s="46"/>
      <c r="AW30" s="43">
        <v>0</v>
      </c>
      <c r="AX30" s="46"/>
      <c r="AY30" s="47"/>
      <c r="BA30">
        <v>8</v>
      </c>
      <c r="BB30">
        <v>7</v>
      </c>
      <c r="BC30" s="43">
        <v>1</v>
      </c>
      <c r="BD30" s="46"/>
      <c r="BE30" s="47"/>
      <c r="BI30" s="43">
        <v>0</v>
      </c>
      <c r="BJ30" s="46"/>
      <c r="BN30">
        <v>16</v>
      </c>
      <c r="BO30">
        <v>16</v>
      </c>
      <c r="BP30" s="43">
        <v>0</v>
      </c>
      <c r="BQ30" s="46"/>
      <c r="BT30" s="43">
        <v>0</v>
      </c>
      <c r="BU30" s="46"/>
      <c r="BV30" s="45">
        <v>25</v>
      </c>
      <c r="BW30">
        <v>22</v>
      </c>
      <c r="BZ30" s="43">
        <v>3</v>
      </c>
      <c r="CA30" s="46"/>
      <c r="CF30" s="43">
        <v>0</v>
      </c>
      <c r="CG30" s="46"/>
      <c r="CJ30">
        <v>4</v>
      </c>
      <c r="CK30">
        <v>5</v>
      </c>
      <c r="CL30" s="43">
        <v>-1</v>
      </c>
      <c r="CM30" s="46"/>
      <c r="CN30" s="47"/>
      <c r="CP30">
        <v>16</v>
      </c>
      <c r="CQ30">
        <v>15</v>
      </c>
      <c r="CR30" s="43">
        <v>1</v>
      </c>
      <c r="CS30" s="46"/>
      <c r="CX30" s="43">
        <v>0</v>
      </c>
      <c r="CY30" s="46"/>
      <c r="CZ30" s="47"/>
      <c r="DD30" s="43">
        <v>0</v>
      </c>
      <c r="DE30" s="46"/>
      <c r="DF30" s="47"/>
      <c r="DJ30">
        <v>40</v>
      </c>
      <c r="DK30">
        <v>40</v>
      </c>
      <c r="DL30" s="43">
        <v>0</v>
      </c>
      <c r="DM30" s="46"/>
      <c r="DN30" s="47"/>
      <c r="DP30">
        <v>8</v>
      </c>
      <c r="DQ30">
        <v>8</v>
      </c>
      <c r="DR30" s="43">
        <v>0</v>
      </c>
      <c r="DS30" s="46"/>
      <c r="DV30">
        <v>16</v>
      </c>
      <c r="DW30">
        <v>14</v>
      </c>
      <c r="DZ30" s="43">
        <v>2</v>
      </c>
      <c r="EA30" s="46"/>
      <c r="EB30" s="47"/>
      <c r="ED30">
        <v>4</v>
      </c>
      <c r="EE30">
        <v>4</v>
      </c>
      <c r="EF30" s="43">
        <v>0</v>
      </c>
      <c r="EG30" s="46"/>
      <c r="EH30" s="47"/>
      <c r="EJ30">
        <v>16</v>
      </c>
      <c r="EK30">
        <v>14</v>
      </c>
      <c r="EL30" s="43">
        <v>2</v>
      </c>
      <c r="EM30" s="46"/>
      <c r="EN30" s="47"/>
      <c r="EP30">
        <v>20</v>
      </c>
      <c r="EQ30">
        <v>19</v>
      </c>
      <c r="ER30" s="43">
        <v>1</v>
      </c>
      <c r="ES30" s="46"/>
      <c r="EX30">
        <v>12</v>
      </c>
      <c r="EY30">
        <v>10</v>
      </c>
      <c r="EZ30" s="43">
        <v>2</v>
      </c>
      <c r="FA30" s="46"/>
      <c r="FD30">
        <v>12</v>
      </c>
      <c r="FF30">
        <v>12</v>
      </c>
      <c r="FG30" s="43">
        <v>0</v>
      </c>
      <c r="FH30" s="46"/>
      <c r="FI30" s="47"/>
      <c r="FL30" s="43">
        <v>0</v>
      </c>
      <c r="FM30" s="46"/>
      <c r="FN30" s="47"/>
      <c r="FQ30" s="43">
        <v>0</v>
      </c>
      <c r="FR30" s="46"/>
      <c r="FS30">
        <v>28</v>
      </c>
      <c r="FV30">
        <v>30</v>
      </c>
      <c r="FW30" s="43">
        <v>-2</v>
      </c>
      <c r="FX30" s="46"/>
      <c r="FY30" s="47"/>
      <c r="GD30" s="43">
        <v>0</v>
      </c>
      <c r="GE30" s="46"/>
      <c r="GH30">
        <v>8</v>
      </c>
      <c r="GI30">
        <v>8</v>
      </c>
      <c r="GJ30" s="43">
        <v>0</v>
      </c>
      <c r="GK30" s="46"/>
      <c r="GL30" s="47"/>
      <c r="GN30">
        <v>16</v>
      </c>
      <c r="GO30">
        <v>14</v>
      </c>
      <c r="GP30" s="43">
        <v>2</v>
      </c>
      <c r="GQ30" s="46"/>
      <c r="GV30" s="43">
        <v>0</v>
      </c>
      <c r="GW30" s="46"/>
      <c r="GX30" s="47"/>
      <c r="GZ30" s="43">
        <v>0</v>
      </c>
      <c r="HA30" s="46"/>
      <c r="HB30" s="47"/>
      <c r="HD30">
        <v>8</v>
      </c>
      <c r="HE30">
        <v>6</v>
      </c>
      <c r="HF30" s="43">
        <v>2</v>
      </c>
      <c r="HG30" s="46"/>
      <c r="HH30" s="47"/>
      <c r="HJ30" s="43">
        <v>0</v>
      </c>
      <c r="HK30" s="46"/>
      <c r="HL30" s="47"/>
      <c r="HP30" s="43">
        <v>0</v>
      </c>
      <c r="HQ30" s="46"/>
      <c r="HV30">
        <v>25</v>
      </c>
      <c r="HW30">
        <v>25</v>
      </c>
      <c r="HX30" s="43">
        <v>0</v>
      </c>
      <c r="HY30" s="46"/>
      <c r="HZ30" s="47"/>
      <c r="ID30" s="43">
        <v>0</v>
      </c>
      <c r="IE30" s="46"/>
      <c r="IJ30" s="43">
        <v>0</v>
      </c>
      <c r="IK30" s="49"/>
      <c r="IP30" s="43">
        <v>0</v>
      </c>
      <c r="IQ30" s="49"/>
      <c r="IV30" s="43">
        <v>0</v>
      </c>
      <c r="IW30" s="49"/>
      <c r="JB30" s="43">
        <v>0</v>
      </c>
      <c r="JC30" s="46"/>
      <c r="JD30">
        <v>32</v>
      </c>
      <c r="JE30">
        <v>30</v>
      </c>
      <c r="JF30" s="43">
        <v>2</v>
      </c>
      <c r="JG30" s="49"/>
      <c r="JJ30">
        <v>69</v>
      </c>
      <c r="JK30">
        <v>66</v>
      </c>
      <c r="JL30" s="43">
        <v>3</v>
      </c>
      <c r="JM30" s="46"/>
      <c r="JN30" s="45">
        <v>32</v>
      </c>
      <c r="JO30" s="48">
        <v>30</v>
      </c>
      <c r="JP30" s="43">
        <v>2</v>
      </c>
      <c r="JQ30" s="49"/>
      <c r="JT30">
        <v>16</v>
      </c>
      <c r="JU30">
        <v>16</v>
      </c>
      <c r="JV30" s="43">
        <v>0</v>
      </c>
      <c r="JW30" s="49"/>
      <c r="JX30">
        <v>8</v>
      </c>
      <c r="JY30">
        <v>7</v>
      </c>
      <c r="KB30" s="43">
        <v>1</v>
      </c>
      <c r="KC30" s="49"/>
      <c r="KD30">
        <v>12</v>
      </c>
      <c r="KE30">
        <v>10</v>
      </c>
      <c r="KH30" s="43">
        <v>2</v>
      </c>
      <c r="KI30" s="49"/>
      <c r="KL30">
        <v>31</v>
      </c>
      <c r="KM30">
        <v>60</v>
      </c>
      <c r="KN30" s="42">
        <v>-29</v>
      </c>
      <c r="KO30" s="49">
        <v>29</v>
      </c>
      <c r="KP30" s="50"/>
      <c r="KT30">
        <v>23</v>
      </c>
      <c r="KU30">
        <v>25</v>
      </c>
      <c r="KV30" s="43">
        <v>-2</v>
      </c>
      <c r="KW30" s="49"/>
      <c r="KX30" s="48">
        <v>0</v>
      </c>
      <c r="KY30" s="48">
        <v>0</v>
      </c>
      <c r="KZ30" s="48">
        <v>8.0129999999999999</v>
      </c>
      <c r="LA30" s="48">
        <v>10</v>
      </c>
      <c r="LB30" s="43">
        <v>-1.9870000000000001</v>
      </c>
      <c r="LC30" s="49"/>
      <c r="LD30" s="48">
        <v>0</v>
      </c>
      <c r="LE30" s="48">
        <v>0</v>
      </c>
      <c r="LF30" s="48">
        <v>0</v>
      </c>
      <c r="LG30" s="48">
        <v>0</v>
      </c>
      <c r="LH30" s="43">
        <v>0</v>
      </c>
      <c r="LI30" s="49"/>
      <c r="LJ30" s="50">
        <v>11.747999999999999</v>
      </c>
      <c r="LK30" s="48">
        <v>10</v>
      </c>
      <c r="LL30" s="43">
        <v>1.7479999999999991</v>
      </c>
      <c r="LM30" s="49"/>
      <c r="LN30" s="50">
        <v>39.676000000000002</v>
      </c>
      <c r="LO30" s="48">
        <v>40</v>
      </c>
      <c r="LP30" s="48">
        <v>0</v>
      </c>
      <c r="LQ30" s="48">
        <v>0</v>
      </c>
      <c r="LR30" s="48">
        <v>0</v>
      </c>
      <c r="LS30" s="43">
        <v>-0.32399999999999812</v>
      </c>
      <c r="LT30" s="49"/>
      <c r="LU30" s="50">
        <v>0</v>
      </c>
      <c r="LV30" s="48">
        <v>0</v>
      </c>
      <c r="LW30" s="48">
        <v>60.853999999999999</v>
      </c>
      <c r="LX30" s="48">
        <v>55</v>
      </c>
      <c r="LY30" s="43">
        <v>5.8539999999999992</v>
      </c>
      <c r="LZ30" s="49"/>
      <c r="MA30" s="50">
        <v>0</v>
      </c>
      <c r="MB30" s="48">
        <v>0</v>
      </c>
      <c r="MC30" s="43">
        <v>0</v>
      </c>
      <c r="MD30" s="49"/>
      <c r="ME30" s="50">
        <v>0</v>
      </c>
      <c r="MF30" s="48">
        <v>0</v>
      </c>
      <c r="MG30" s="48">
        <v>11.923</v>
      </c>
      <c r="MH30" s="48">
        <v>10</v>
      </c>
      <c r="MI30" s="43">
        <v>1.923</v>
      </c>
      <c r="MJ30" s="49"/>
      <c r="MK30" s="50">
        <v>59.704000000000001</v>
      </c>
      <c r="ML30" s="48">
        <v>60</v>
      </c>
      <c r="MM30" s="43">
        <v>-0.29599999999999937</v>
      </c>
      <c r="MN30" s="49"/>
      <c r="MO30" s="50">
        <v>0</v>
      </c>
      <c r="MP30" s="48">
        <v>0</v>
      </c>
      <c r="MQ30" s="48">
        <v>0</v>
      </c>
      <c r="MR30" s="48">
        <v>0</v>
      </c>
      <c r="MS30" s="43">
        <v>0</v>
      </c>
      <c r="MT30" s="49"/>
      <c r="MU30" s="48">
        <v>40.433999999999997</v>
      </c>
      <c r="MV30" s="46">
        <v>-40.433999999999997</v>
      </c>
      <c r="MW30" s="48">
        <v>0</v>
      </c>
      <c r="MX30" s="48">
        <v>40</v>
      </c>
      <c r="MY30" s="42">
        <v>-40</v>
      </c>
      <c r="MZ30" s="49">
        <v>40</v>
      </c>
      <c r="NA30" s="50">
        <v>0</v>
      </c>
      <c r="NB30" s="48">
        <v>0</v>
      </c>
      <c r="NC30" s="48">
        <v>0</v>
      </c>
      <c r="ND30" s="48">
        <v>0</v>
      </c>
      <c r="NE30" s="43">
        <v>0</v>
      </c>
      <c r="NF30" s="49"/>
      <c r="NG30" s="50">
        <v>0</v>
      </c>
      <c r="NH30" s="33">
        <v>20</v>
      </c>
      <c r="NI30" s="48">
        <v>0</v>
      </c>
      <c r="NJ30" s="48">
        <v>0</v>
      </c>
      <c r="NK30" s="42">
        <v>-20</v>
      </c>
      <c r="NL30" s="49">
        <v>20</v>
      </c>
      <c r="NM30" s="50">
        <v>0</v>
      </c>
      <c r="NN30" s="48">
        <v>0</v>
      </c>
      <c r="NO30" s="48">
        <v>93.498000000000005</v>
      </c>
      <c r="NP30" s="48">
        <v>92</v>
      </c>
      <c r="NQ30" s="43">
        <v>1.4980000000000051</v>
      </c>
      <c r="NR30" s="49"/>
      <c r="NS30" s="50">
        <v>0</v>
      </c>
      <c r="NT30" s="48">
        <v>0</v>
      </c>
      <c r="NU30" s="48">
        <v>0</v>
      </c>
      <c r="NV30" s="48">
        <v>0</v>
      </c>
      <c r="NW30" s="43">
        <v>0</v>
      </c>
      <c r="NX30" s="49"/>
      <c r="NY30" s="50">
        <v>0</v>
      </c>
      <c r="NZ30" s="48">
        <v>0</v>
      </c>
      <c r="OA30" s="48">
        <v>3.98</v>
      </c>
      <c r="OB30" s="48">
        <v>50</v>
      </c>
      <c r="OC30" s="42">
        <v>-46.02</v>
      </c>
      <c r="OD30" s="49">
        <v>46.02</v>
      </c>
      <c r="OE30" s="50">
        <v>40.338000000000001</v>
      </c>
      <c r="OF30" s="48">
        <v>40</v>
      </c>
      <c r="OG30" s="43">
        <v>0.33800000000000102</v>
      </c>
      <c r="OH30" s="49"/>
      <c r="OI30" s="50">
        <v>12.132999999999999</v>
      </c>
      <c r="OJ30" s="48">
        <v>16</v>
      </c>
      <c r="OK30" s="43">
        <v>-3.8670000000000009</v>
      </c>
      <c r="OL30" s="49"/>
      <c r="OM30" s="50">
        <v>0</v>
      </c>
      <c r="ON30" s="48">
        <v>0</v>
      </c>
      <c r="OO30" s="48">
        <v>8.0269999999999992</v>
      </c>
      <c r="OP30" s="48">
        <v>30</v>
      </c>
      <c r="OQ30" s="42">
        <v>-21.972999999999999</v>
      </c>
      <c r="OR30" s="49">
        <v>21.972999999999999</v>
      </c>
      <c r="OS30" s="50">
        <v>31.646000000000001</v>
      </c>
      <c r="OT30" s="48">
        <v>30</v>
      </c>
      <c r="OU30" s="43">
        <v>1.646000000000001</v>
      </c>
      <c r="OV30" s="49"/>
      <c r="OW30" s="50">
        <v>0</v>
      </c>
      <c r="OX30" s="48">
        <v>0</v>
      </c>
      <c r="OY30" s="48">
        <v>44.43</v>
      </c>
      <c r="OZ30" s="48">
        <v>45</v>
      </c>
      <c r="PA30" s="43">
        <v>-0.57000000000000028</v>
      </c>
      <c r="PB30" s="49"/>
      <c r="PC30" s="50">
        <v>0</v>
      </c>
      <c r="PD30" s="48">
        <v>0</v>
      </c>
      <c r="PE30" s="43">
        <v>0</v>
      </c>
      <c r="PF30" s="49"/>
      <c r="PG30" s="50">
        <v>0</v>
      </c>
      <c r="PH30" s="48">
        <v>0</v>
      </c>
      <c r="PI30" s="48">
        <v>0</v>
      </c>
      <c r="PJ30" s="48">
        <v>0</v>
      </c>
      <c r="PK30" s="43">
        <v>0</v>
      </c>
      <c r="PL30" s="49"/>
      <c r="PM30" s="47">
        <v>0</v>
      </c>
      <c r="PN30" s="48">
        <v>0</v>
      </c>
      <c r="PO30" s="48">
        <v>0</v>
      </c>
      <c r="PP30" s="48">
        <v>0</v>
      </c>
      <c r="PQ30" s="43">
        <v>0</v>
      </c>
      <c r="PR30" s="49"/>
      <c r="PS30" s="47">
        <v>51.728000000000002</v>
      </c>
      <c r="PT30" s="43">
        <v>50</v>
      </c>
      <c r="PU30" s="43">
        <v>0</v>
      </c>
      <c r="PV30" s="43">
        <v>0</v>
      </c>
      <c r="PW30" s="43">
        <v>1.728000000000002</v>
      </c>
      <c r="PX30" s="46"/>
      <c r="PY30" s="47">
        <v>71.147999999999996</v>
      </c>
      <c r="PZ30" s="43">
        <v>70</v>
      </c>
      <c r="QA30" s="43">
        <v>1.1479999999999959</v>
      </c>
      <c r="QB30" s="46"/>
      <c r="QC30" s="47">
        <v>0</v>
      </c>
      <c r="QD30" s="43">
        <v>0</v>
      </c>
      <c r="QE30" s="43">
        <v>0</v>
      </c>
      <c r="QF30" s="43">
        <v>0</v>
      </c>
      <c r="QG30" s="43">
        <v>0</v>
      </c>
      <c r="QH30" s="46"/>
      <c r="QI30" s="47">
        <v>0</v>
      </c>
      <c r="QJ30" s="43">
        <v>0</v>
      </c>
      <c r="QK30" s="43">
        <v>0</v>
      </c>
      <c r="QL30" s="43">
        <v>0</v>
      </c>
      <c r="QM30" s="43">
        <v>0</v>
      </c>
      <c r="QN30" s="46"/>
      <c r="QO30" s="47">
        <v>0</v>
      </c>
      <c r="QP30" s="43">
        <v>0</v>
      </c>
      <c r="QQ30" s="43">
        <v>48.043999999999997</v>
      </c>
      <c r="QR30" s="43">
        <v>0</v>
      </c>
      <c r="QS30" s="43">
        <v>48.043999999999997</v>
      </c>
      <c r="QT30" s="46"/>
      <c r="QU30" s="47">
        <v>0</v>
      </c>
      <c r="QV30" s="43">
        <v>0</v>
      </c>
      <c r="QW30" s="43">
        <v>0</v>
      </c>
      <c r="QX30" s="46"/>
      <c r="QY30" s="47">
        <v>0</v>
      </c>
      <c r="QZ30" s="43">
        <v>0</v>
      </c>
      <c r="RA30" s="43">
        <v>0</v>
      </c>
      <c r="RB30" s="43">
        <v>0</v>
      </c>
      <c r="RC30" s="43">
        <v>0</v>
      </c>
      <c r="RD30" s="46"/>
    </row>
    <row r="31" spans="1:472" x14ac:dyDescent="0.25">
      <c r="A31" s="43" t="s">
        <v>319</v>
      </c>
      <c r="B31" s="44">
        <v>0.4</v>
      </c>
      <c r="E31">
        <v>100</v>
      </c>
      <c r="F31">
        <v>89</v>
      </c>
      <c r="I31" s="45">
        <v>88</v>
      </c>
      <c r="J31" s="52">
        <v>90</v>
      </c>
      <c r="K31" s="52">
        <v>104</v>
      </c>
      <c r="L31" s="52">
        <v>109</v>
      </c>
      <c r="M31" s="51">
        <f t="shared" si="8"/>
        <v>-7</v>
      </c>
      <c r="N31" s="46"/>
      <c r="O31" s="45">
        <v>96</v>
      </c>
      <c r="P31" s="52">
        <v>100</v>
      </c>
      <c r="Q31" s="52">
        <v>128</v>
      </c>
      <c r="R31" s="52">
        <v>127</v>
      </c>
      <c r="S31" s="51">
        <f t="shared" si="9"/>
        <v>-3</v>
      </c>
      <c r="T31" s="46"/>
      <c r="U31" s="45">
        <v>64</v>
      </c>
      <c r="V31" s="52">
        <v>62</v>
      </c>
      <c r="W31" s="51"/>
      <c r="X31" s="51"/>
      <c r="Y31" s="51">
        <f t="shared" si="10"/>
        <v>2</v>
      </c>
      <c r="Z31" s="46"/>
      <c r="AA31" s="52">
        <v>104</v>
      </c>
      <c r="AB31">
        <v>109</v>
      </c>
      <c r="AE31" s="43">
        <v>-5</v>
      </c>
      <c r="AF31" s="46"/>
      <c r="AG31" s="45">
        <v>168</v>
      </c>
      <c r="AH31">
        <v>170</v>
      </c>
      <c r="AI31">
        <v>200</v>
      </c>
      <c r="AJ31">
        <v>205</v>
      </c>
      <c r="AK31" s="43">
        <v>-7</v>
      </c>
      <c r="AL31" s="46"/>
      <c r="AN31">
        <v>48</v>
      </c>
      <c r="AO31">
        <v>48</v>
      </c>
      <c r="AP31">
        <v>48</v>
      </c>
      <c r="AQ31" s="42">
        <v>-48</v>
      </c>
      <c r="AR31" s="46">
        <v>19.2</v>
      </c>
      <c r="AS31">
        <v>48</v>
      </c>
      <c r="AT31">
        <v>46</v>
      </c>
      <c r="AW31" s="43">
        <v>2</v>
      </c>
      <c r="AX31" s="46"/>
      <c r="AY31" s="45">
        <v>176</v>
      </c>
      <c r="AZ31">
        <v>175</v>
      </c>
      <c r="BA31">
        <v>200</v>
      </c>
      <c r="BB31">
        <v>200</v>
      </c>
      <c r="BC31" s="43">
        <v>1</v>
      </c>
      <c r="BD31" s="46"/>
      <c r="BE31" s="47"/>
      <c r="BG31">
        <v>128</v>
      </c>
      <c r="BH31">
        <v>127</v>
      </c>
      <c r="BI31" s="43">
        <v>1</v>
      </c>
      <c r="BJ31" s="46"/>
      <c r="BP31" s="43">
        <v>0</v>
      </c>
      <c r="BQ31" s="46"/>
      <c r="BR31">
        <v>152</v>
      </c>
      <c r="BS31">
        <v>150</v>
      </c>
      <c r="BT31" s="43">
        <v>2</v>
      </c>
      <c r="BU31" s="46"/>
      <c r="BV31" s="45">
        <v>288</v>
      </c>
      <c r="BW31">
        <v>292</v>
      </c>
      <c r="BZ31" s="43">
        <v>-4</v>
      </c>
      <c r="CA31" s="46"/>
      <c r="CF31" s="43">
        <v>0</v>
      </c>
      <c r="CG31" s="46"/>
      <c r="CI31">
        <v>50</v>
      </c>
      <c r="CJ31">
        <v>104</v>
      </c>
      <c r="CK31">
        <v>102</v>
      </c>
      <c r="CL31" s="42">
        <v>-48</v>
      </c>
      <c r="CM31" s="46">
        <v>19.2</v>
      </c>
      <c r="CN31" s="47"/>
      <c r="CP31">
        <v>424</v>
      </c>
      <c r="CQ31">
        <v>423</v>
      </c>
      <c r="CR31" s="43">
        <v>1</v>
      </c>
      <c r="CS31" s="46"/>
      <c r="CX31" s="43">
        <v>0</v>
      </c>
      <c r="CY31" s="46"/>
      <c r="CZ31" s="47"/>
      <c r="DD31" s="43">
        <v>0</v>
      </c>
      <c r="DE31" s="46"/>
      <c r="DF31" s="47"/>
      <c r="DJ31">
        <v>512</v>
      </c>
      <c r="DK31">
        <v>510</v>
      </c>
      <c r="DL31" s="43">
        <v>2</v>
      </c>
      <c r="DM31" s="46"/>
      <c r="DN31" s="47"/>
      <c r="DP31">
        <v>56</v>
      </c>
      <c r="DQ31">
        <v>60</v>
      </c>
      <c r="DR31" s="43">
        <v>-4</v>
      </c>
      <c r="DS31" s="46"/>
      <c r="DZ31" s="43">
        <v>0</v>
      </c>
      <c r="EA31" s="46"/>
      <c r="EB31" s="47"/>
      <c r="ED31">
        <v>536</v>
      </c>
      <c r="EE31">
        <v>540</v>
      </c>
      <c r="EF31" s="43">
        <v>-4</v>
      </c>
      <c r="EG31" s="46"/>
      <c r="EH31" s="47"/>
      <c r="EL31" s="43">
        <v>0</v>
      </c>
      <c r="EM31" s="46"/>
      <c r="EN31" s="45">
        <v>80</v>
      </c>
      <c r="EO31">
        <v>80</v>
      </c>
      <c r="EP31">
        <v>80</v>
      </c>
      <c r="EQ31">
        <v>80</v>
      </c>
      <c r="ER31" s="43">
        <v>0</v>
      </c>
      <c r="ES31" s="46"/>
      <c r="ET31">
        <v>96</v>
      </c>
      <c r="EU31">
        <v>100</v>
      </c>
      <c r="EV31">
        <v>96</v>
      </c>
      <c r="EW31">
        <v>100</v>
      </c>
      <c r="EX31">
        <v>96</v>
      </c>
      <c r="EY31">
        <v>100</v>
      </c>
      <c r="EZ31" s="43">
        <v>-12</v>
      </c>
      <c r="FA31" s="46"/>
      <c r="FD31">
        <v>280</v>
      </c>
      <c r="FF31">
        <v>280</v>
      </c>
      <c r="FG31" s="43">
        <v>0</v>
      </c>
      <c r="FH31" s="46"/>
      <c r="FI31" s="47"/>
      <c r="FL31" s="43">
        <v>0</v>
      </c>
      <c r="FM31" s="46"/>
      <c r="FN31" s="45">
        <v>488</v>
      </c>
      <c r="FP31">
        <v>493</v>
      </c>
      <c r="FQ31" s="43">
        <v>-5</v>
      </c>
      <c r="FR31" s="46"/>
      <c r="FS31">
        <v>72</v>
      </c>
      <c r="FV31">
        <v>75</v>
      </c>
      <c r="FW31" s="43">
        <v>-3</v>
      </c>
      <c r="FX31" s="46"/>
      <c r="FY31" s="47"/>
      <c r="GD31" s="43">
        <v>0</v>
      </c>
      <c r="GE31" s="46"/>
      <c r="GF31">
        <v>160</v>
      </c>
      <c r="GG31">
        <v>160</v>
      </c>
      <c r="GH31">
        <v>168</v>
      </c>
      <c r="GI31">
        <v>170</v>
      </c>
      <c r="GJ31" s="43">
        <v>-2</v>
      </c>
      <c r="GK31" s="46"/>
      <c r="GL31" s="45">
        <v>152</v>
      </c>
      <c r="GM31">
        <v>150</v>
      </c>
      <c r="GN31">
        <v>200</v>
      </c>
      <c r="GO31">
        <v>200</v>
      </c>
      <c r="GP31" s="43">
        <v>2</v>
      </c>
      <c r="GQ31" s="46"/>
      <c r="GR31">
        <v>120</v>
      </c>
      <c r="GS31">
        <v>120</v>
      </c>
      <c r="GT31">
        <v>128</v>
      </c>
      <c r="GU31">
        <v>130</v>
      </c>
      <c r="GV31" s="43">
        <v>-2</v>
      </c>
      <c r="GW31" s="46"/>
      <c r="GX31" s="47"/>
      <c r="GZ31" s="43">
        <v>0</v>
      </c>
      <c r="HA31" s="46"/>
      <c r="HB31" s="45">
        <v>200</v>
      </c>
      <c r="HC31">
        <v>200</v>
      </c>
      <c r="HD31">
        <v>208</v>
      </c>
      <c r="HE31">
        <v>210</v>
      </c>
      <c r="HF31" s="43">
        <v>-2</v>
      </c>
      <c r="HG31" s="46"/>
      <c r="HH31" s="45">
        <v>112</v>
      </c>
      <c r="HI31">
        <v>110</v>
      </c>
      <c r="HJ31" s="43">
        <v>2</v>
      </c>
      <c r="HK31" s="46"/>
      <c r="HL31" s="45">
        <v>136</v>
      </c>
      <c r="HM31">
        <v>140</v>
      </c>
      <c r="HN31">
        <v>96</v>
      </c>
      <c r="HO31">
        <v>100</v>
      </c>
      <c r="HP31" s="43">
        <v>-8</v>
      </c>
      <c r="HQ31" s="46"/>
      <c r="HV31">
        <v>352</v>
      </c>
      <c r="HW31">
        <v>350</v>
      </c>
      <c r="HX31" s="43">
        <v>2</v>
      </c>
      <c r="HY31" s="46"/>
      <c r="HZ31" s="47"/>
      <c r="IB31">
        <v>48</v>
      </c>
      <c r="IC31">
        <v>50</v>
      </c>
      <c r="ID31" s="43">
        <v>-2</v>
      </c>
      <c r="IE31" s="46"/>
      <c r="IF31">
        <v>152</v>
      </c>
      <c r="IG31">
        <v>150</v>
      </c>
      <c r="IH31">
        <v>328</v>
      </c>
      <c r="II31">
        <v>330</v>
      </c>
      <c r="IJ31" s="43">
        <v>0</v>
      </c>
      <c r="IK31" s="49"/>
      <c r="IN31">
        <v>112</v>
      </c>
      <c r="IO31">
        <v>110</v>
      </c>
      <c r="IP31" s="43">
        <v>2</v>
      </c>
      <c r="IQ31" s="49"/>
      <c r="IR31">
        <v>296</v>
      </c>
      <c r="IS31">
        <v>300</v>
      </c>
      <c r="IT31">
        <v>208</v>
      </c>
      <c r="IU31">
        <v>210</v>
      </c>
      <c r="IV31" s="43">
        <v>-6</v>
      </c>
      <c r="IW31" s="49"/>
      <c r="IX31">
        <v>40</v>
      </c>
      <c r="IY31">
        <v>40</v>
      </c>
      <c r="JB31" s="43">
        <v>0</v>
      </c>
      <c r="JC31" s="46"/>
      <c r="JD31">
        <v>200</v>
      </c>
      <c r="JE31">
        <v>200</v>
      </c>
      <c r="JF31" s="43">
        <v>0</v>
      </c>
      <c r="JG31" s="49"/>
      <c r="JH31">
        <v>160</v>
      </c>
      <c r="JI31">
        <v>160</v>
      </c>
      <c r="JJ31">
        <v>136</v>
      </c>
      <c r="JK31">
        <v>140</v>
      </c>
      <c r="JL31" s="43">
        <v>-4</v>
      </c>
      <c r="JM31" s="46"/>
      <c r="JN31" s="45">
        <v>48</v>
      </c>
      <c r="JO31" s="48">
        <v>50</v>
      </c>
      <c r="JP31" s="43">
        <v>-2</v>
      </c>
      <c r="JQ31" s="49"/>
      <c r="JT31">
        <v>160</v>
      </c>
      <c r="JU31">
        <v>160</v>
      </c>
      <c r="JV31" s="43">
        <v>0</v>
      </c>
      <c r="JW31" s="49"/>
      <c r="JX31">
        <v>176</v>
      </c>
      <c r="JY31">
        <v>180</v>
      </c>
      <c r="KB31" s="43">
        <v>-4</v>
      </c>
      <c r="KC31" s="49"/>
      <c r="KD31">
        <v>96</v>
      </c>
      <c r="KE31">
        <v>100</v>
      </c>
      <c r="KF31">
        <v>96</v>
      </c>
      <c r="KG31">
        <v>100</v>
      </c>
      <c r="KH31" s="43">
        <v>-8</v>
      </c>
      <c r="KI31" s="49"/>
      <c r="KJ31">
        <v>48</v>
      </c>
      <c r="KK31">
        <v>50</v>
      </c>
      <c r="KL31">
        <v>200</v>
      </c>
      <c r="KM31">
        <v>200</v>
      </c>
      <c r="KN31" s="43">
        <v>-2</v>
      </c>
      <c r="KO31" s="49"/>
      <c r="KP31" s="50"/>
      <c r="KV31" s="43">
        <v>0</v>
      </c>
      <c r="KW31" s="49"/>
      <c r="KX31" s="48">
        <v>0</v>
      </c>
      <c r="KY31" s="48">
        <v>0</v>
      </c>
      <c r="KZ31" s="48">
        <v>0</v>
      </c>
      <c r="LA31" s="48">
        <v>0</v>
      </c>
      <c r="LB31" s="43">
        <v>0</v>
      </c>
      <c r="LC31" s="49"/>
      <c r="LD31" s="48">
        <v>0</v>
      </c>
      <c r="LE31" s="48">
        <v>0</v>
      </c>
      <c r="LF31" s="48">
        <v>0</v>
      </c>
      <c r="LG31" s="48">
        <v>0</v>
      </c>
      <c r="LH31" s="43">
        <v>0</v>
      </c>
      <c r="LI31" s="49"/>
      <c r="LJ31" s="50">
        <v>0</v>
      </c>
      <c r="LK31" s="48">
        <v>0</v>
      </c>
      <c r="LL31" s="43">
        <v>0</v>
      </c>
      <c r="LM31" s="49"/>
      <c r="LN31" s="50">
        <v>696</v>
      </c>
      <c r="LO31" s="48">
        <v>700</v>
      </c>
      <c r="LP31" s="48">
        <v>496</v>
      </c>
      <c r="LQ31" s="48">
        <v>0</v>
      </c>
      <c r="LR31" s="48">
        <v>498</v>
      </c>
      <c r="LS31" s="43">
        <v>-6</v>
      </c>
      <c r="LT31" s="49"/>
      <c r="LU31" s="50">
        <v>600</v>
      </c>
      <c r="LV31" s="48">
        <v>600</v>
      </c>
      <c r="LW31" s="48">
        <v>480</v>
      </c>
      <c r="LX31" s="48">
        <v>500</v>
      </c>
      <c r="LY31" s="42">
        <v>-20</v>
      </c>
      <c r="LZ31" s="49">
        <v>8</v>
      </c>
      <c r="MA31" s="50">
        <v>848</v>
      </c>
      <c r="MB31" s="48">
        <v>850</v>
      </c>
      <c r="MC31" s="43">
        <v>-2</v>
      </c>
      <c r="MD31" s="49"/>
      <c r="ME31" s="50">
        <v>0</v>
      </c>
      <c r="MF31" s="48">
        <v>0</v>
      </c>
      <c r="MG31" s="48">
        <v>0</v>
      </c>
      <c r="MH31" s="48">
        <v>0</v>
      </c>
      <c r="MI31" s="43">
        <v>0</v>
      </c>
      <c r="MJ31" s="49"/>
      <c r="MK31" s="50">
        <v>568</v>
      </c>
      <c r="ML31" s="48">
        <v>570</v>
      </c>
      <c r="MM31" s="43">
        <v>-2</v>
      </c>
      <c r="MN31" s="49"/>
      <c r="MO31" s="50">
        <v>40</v>
      </c>
      <c r="MP31" s="48">
        <v>40</v>
      </c>
      <c r="MQ31" s="48">
        <v>48</v>
      </c>
      <c r="MR31" s="48">
        <v>50</v>
      </c>
      <c r="MS31" s="43">
        <v>-2</v>
      </c>
      <c r="MT31" s="49"/>
      <c r="MU31" s="48">
        <v>152</v>
      </c>
      <c r="MV31" s="46">
        <v>-60.8</v>
      </c>
      <c r="MW31" s="48">
        <v>0</v>
      </c>
      <c r="MX31" s="48">
        <v>150</v>
      </c>
      <c r="MY31" s="42">
        <v>-150</v>
      </c>
      <c r="MZ31" s="49">
        <v>60</v>
      </c>
      <c r="NA31" s="50">
        <v>96</v>
      </c>
      <c r="NB31" s="48">
        <v>100</v>
      </c>
      <c r="NC31" s="48">
        <v>296</v>
      </c>
      <c r="ND31" s="48">
        <v>300</v>
      </c>
      <c r="NE31" s="43">
        <v>-8</v>
      </c>
      <c r="NF31" s="49"/>
      <c r="NG31" s="50">
        <v>0</v>
      </c>
      <c r="NH31" s="33">
        <v>30</v>
      </c>
      <c r="NI31" s="48">
        <v>0</v>
      </c>
      <c r="NJ31" s="48">
        <v>0</v>
      </c>
      <c r="NK31" s="42">
        <v>-30</v>
      </c>
      <c r="NL31" s="49">
        <v>12</v>
      </c>
      <c r="NM31" s="50">
        <v>200</v>
      </c>
      <c r="NN31" s="48">
        <v>200</v>
      </c>
      <c r="NO31" s="48">
        <v>248</v>
      </c>
      <c r="NP31" s="48">
        <v>250</v>
      </c>
      <c r="NQ31" s="43">
        <v>-2</v>
      </c>
      <c r="NR31" s="49"/>
      <c r="NS31" s="25">
        <v>32</v>
      </c>
      <c r="NT31" s="48">
        <v>0</v>
      </c>
      <c r="NU31" s="48">
        <v>160</v>
      </c>
      <c r="NV31" s="48">
        <v>160</v>
      </c>
      <c r="NW31" s="43">
        <v>32</v>
      </c>
      <c r="NX31" s="49"/>
      <c r="NY31" s="50">
        <v>0</v>
      </c>
      <c r="NZ31" s="48">
        <v>0</v>
      </c>
      <c r="OA31" s="48">
        <v>136</v>
      </c>
      <c r="OB31" s="48">
        <v>140</v>
      </c>
      <c r="OC31" s="43">
        <v>-4</v>
      </c>
      <c r="OD31" s="49"/>
      <c r="OE31" s="50">
        <v>248</v>
      </c>
      <c r="OF31" s="48">
        <v>250</v>
      </c>
      <c r="OG31" s="43">
        <v>-2</v>
      </c>
      <c r="OH31" s="49"/>
      <c r="OI31" s="50">
        <v>0</v>
      </c>
      <c r="OJ31" s="48">
        <v>0</v>
      </c>
      <c r="OK31" s="43">
        <v>0</v>
      </c>
      <c r="OL31" s="49"/>
      <c r="OM31" s="50">
        <v>0</v>
      </c>
      <c r="ON31" s="48">
        <v>0</v>
      </c>
      <c r="OO31" s="48">
        <v>0</v>
      </c>
      <c r="OP31" s="48">
        <v>0</v>
      </c>
      <c r="OQ31" s="43">
        <v>0</v>
      </c>
      <c r="OR31" s="49"/>
      <c r="OS31" s="50">
        <v>88</v>
      </c>
      <c r="OT31" s="48">
        <v>90</v>
      </c>
      <c r="OU31" s="43">
        <v>-2</v>
      </c>
      <c r="OV31" s="49"/>
      <c r="OW31" s="50">
        <v>88</v>
      </c>
      <c r="OX31" s="48">
        <v>90</v>
      </c>
      <c r="OY31" s="48">
        <v>88</v>
      </c>
      <c r="OZ31" s="48">
        <v>90</v>
      </c>
      <c r="PA31" s="43">
        <v>-4</v>
      </c>
      <c r="PB31" s="49"/>
      <c r="PC31" s="50">
        <v>0</v>
      </c>
      <c r="PD31" s="48">
        <v>0</v>
      </c>
      <c r="PE31" s="43">
        <v>0</v>
      </c>
      <c r="PF31" s="49"/>
      <c r="PG31" s="50">
        <v>0</v>
      </c>
      <c r="PH31" s="48">
        <v>0</v>
      </c>
      <c r="PI31" s="48">
        <v>0</v>
      </c>
      <c r="PJ31" s="48">
        <v>0</v>
      </c>
      <c r="PK31" s="43">
        <v>0</v>
      </c>
      <c r="PL31" s="49"/>
      <c r="PM31" s="47">
        <v>0</v>
      </c>
      <c r="PN31" s="48">
        <v>0</v>
      </c>
      <c r="PO31" s="48">
        <v>72</v>
      </c>
      <c r="PP31" s="48">
        <v>75</v>
      </c>
      <c r="PQ31" s="43">
        <v>-3</v>
      </c>
      <c r="PR31" s="49"/>
      <c r="PS31" s="47">
        <v>56</v>
      </c>
      <c r="PT31" s="43">
        <v>60</v>
      </c>
      <c r="PU31" s="43">
        <v>0</v>
      </c>
      <c r="PV31" s="43">
        <v>0</v>
      </c>
      <c r="PW31" s="43">
        <v>-4</v>
      </c>
      <c r="PX31" s="46"/>
      <c r="PY31" s="47">
        <v>0</v>
      </c>
      <c r="PZ31" s="43">
        <v>0</v>
      </c>
      <c r="QA31" s="43">
        <v>0</v>
      </c>
      <c r="QB31" s="46"/>
      <c r="QC31" s="47">
        <v>48</v>
      </c>
      <c r="QD31" s="43">
        <v>50</v>
      </c>
      <c r="QE31" s="43">
        <v>48</v>
      </c>
      <c r="QF31" s="43">
        <v>50</v>
      </c>
      <c r="QG31" s="43">
        <v>-4</v>
      </c>
      <c r="QH31" s="46"/>
      <c r="QI31" s="47">
        <v>0</v>
      </c>
      <c r="QJ31" s="43">
        <v>0</v>
      </c>
      <c r="QK31" s="43">
        <v>0</v>
      </c>
      <c r="QL31" s="43">
        <v>0</v>
      </c>
      <c r="QM31" s="43">
        <v>0</v>
      </c>
      <c r="QN31" s="46"/>
      <c r="QO31" s="47">
        <v>40</v>
      </c>
      <c r="QP31" s="43">
        <v>40</v>
      </c>
      <c r="QQ31" s="43">
        <v>0</v>
      </c>
      <c r="QR31" s="43">
        <v>0</v>
      </c>
      <c r="QS31" s="43">
        <v>0</v>
      </c>
      <c r="QT31" s="46"/>
      <c r="QU31" s="47">
        <v>96</v>
      </c>
      <c r="QV31" s="43">
        <v>100</v>
      </c>
      <c r="QW31" s="43">
        <v>-4</v>
      </c>
      <c r="QX31" s="46"/>
      <c r="QY31" s="47">
        <v>0</v>
      </c>
      <c r="QZ31" s="43">
        <v>0</v>
      </c>
      <c r="RA31" s="43">
        <v>48</v>
      </c>
      <c r="RB31" s="43">
        <v>50</v>
      </c>
      <c r="RC31" s="43">
        <v>-2</v>
      </c>
      <c r="RD31" s="46"/>
    </row>
    <row r="32" spans="1:472" x14ac:dyDescent="0.25">
      <c r="A32" s="43" t="s">
        <v>320</v>
      </c>
      <c r="B32" s="44">
        <v>1</v>
      </c>
      <c r="I32" s="47"/>
      <c r="J32" s="51"/>
      <c r="K32" s="51"/>
      <c r="L32" s="51"/>
      <c r="M32" s="51">
        <f t="shared" si="8"/>
        <v>0</v>
      </c>
      <c r="N32" s="46"/>
      <c r="O32" s="47"/>
      <c r="P32" s="51"/>
      <c r="Q32" s="51"/>
      <c r="R32" s="51"/>
      <c r="S32" s="51">
        <f t="shared" si="9"/>
        <v>0</v>
      </c>
      <c r="T32" s="46"/>
      <c r="U32" s="47"/>
      <c r="V32" s="51"/>
      <c r="W32" s="51"/>
      <c r="X32" s="51"/>
      <c r="Y32" s="51">
        <f t="shared" si="10"/>
        <v>0</v>
      </c>
      <c r="Z32" s="46"/>
      <c r="AA32" s="51"/>
      <c r="AE32" s="43">
        <v>0</v>
      </c>
      <c r="AF32" s="46"/>
      <c r="AG32" s="47"/>
      <c r="AK32" s="43">
        <v>0</v>
      </c>
      <c r="AL32" s="46"/>
      <c r="AQ32" s="43">
        <v>0</v>
      </c>
      <c r="AR32" s="46"/>
      <c r="AW32" s="43">
        <v>0</v>
      </c>
      <c r="AX32" s="46"/>
      <c r="AY32" s="47"/>
      <c r="BC32" s="43">
        <v>0</v>
      </c>
      <c r="BD32" s="46"/>
      <c r="BE32" s="47"/>
      <c r="BI32" s="43">
        <v>0</v>
      </c>
      <c r="BJ32" s="46"/>
      <c r="BP32" s="43">
        <v>0</v>
      </c>
      <c r="BQ32" s="46"/>
      <c r="BT32" s="43">
        <v>0</v>
      </c>
      <c r="BU32" s="46"/>
      <c r="BV32" s="47"/>
      <c r="BZ32" s="43">
        <v>0</v>
      </c>
      <c r="CA32" s="46"/>
      <c r="CF32" s="43">
        <v>0</v>
      </c>
      <c r="CG32" s="46"/>
      <c r="CL32" s="43">
        <v>0</v>
      </c>
      <c r="CM32" s="46"/>
      <c r="CN32" s="47"/>
      <c r="CR32" s="43">
        <v>0</v>
      </c>
      <c r="CS32" s="46"/>
      <c r="CX32" s="43">
        <v>0</v>
      </c>
      <c r="CY32" s="46"/>
      <c r="CZ32" s="47"/>
      <c r="DD32" s="43">
        <v>0</v>
      </c>
      <c r="DE32" s="46"/>
      <c r="DF32" s="47"/>
      <c r="DL32" s="43">
        <v>0</v>
      </c>
      <c r="DM32" s="46"/>
      <c r="DN32" s="47"/>
      <c r="DR32" s="43">
        <v>0</v>
      </c>
      <c r="DS32" s="46"/>
      <c r="DZ32" s="43">
        <v>0</v>
      </c>
      <c r="EA32" s="46"/>
      <c r="EB32" s="47"/>
      <c r="EF32" s="43">
        <v>0</v>
      </c>
      <c r="EG32" s="46"/>
      <c r="EH32" s="47"/>
      <c r="EL32" s="43">
        <v>0</v>
      </c>
      <c r="EM32" s="46"/>
      <c r="EN32" s="47"/>
      <c r="ER32" s="43">
        <v>0</v>
      </c>
      <c r="ES32" s="46"/>
      <c r="EZ32" s="43">
        <v>0</v>
      </c>
      <c r="FA32" s="46"/>
      <c r="FG32" s="43">
        <v>0</v>
      </c>
      <c r="FH32" s="46"/>
      <c r="FI32" s="47"/>
      <c r="FL32" s="43">
        <v>0</v>
      </c>
      <c r="FM32" s="46"/>
      <c r="FN32" s="47"/>
      <c r="FQ32" s="43">
        <v>0</v>
      </c>
      <c r="FR32" s="46"/>
      <c r="FW32" s="43">
        <v>0</v>
      </c>
      <c r="FX32" s="46"/>
      <c r="FY32" s="47"/>
      <c r="GD32" s="43">
        <v>0</v>
      </c>
      <c r="GE32" s="46"/>
      <c r="GJ32" s="43">
        <v>0</v>
      </c>
      <c r="GK32" s="46"/>
      <c r="GL32" s="47"/>
      <c r="GP32" s="43">
        <v>0</v>
      </c>
      <c r="GQ32" s="46"/>
      <c r="GV32" s="43">
        <v>0</v>
      </c>
      <c r="GW32" s="46"/>
      <c r="GX32" s="47"/>
      <c r="GZ32" s="43">
        <v>0</v>
      </c>
      <c r="HA32" s="46"/>
      <c r="HB32" s="47"/>
      <c r="HF32" s="43">
        <v>0</v>
      </c>
      <c r="HG32" s="46"/>
      <c r="HH32" s="47"/>
      <c r="HJ32" s="43">
        <v>0</v>
      </c>
      <c r="HK32" s="46"/>
      <c r="HL32" s="47"/>
      <c r="HP32" s="43">
        <v>0</v>
      </c>
      <c r="HQ32" s="46"/>
      <c r="HX32" s="43">
        <v>0</v>
      </c>
      <c r="HY32" s="46"/>
      <c r="HZ32" s="47"/>
      <c r="ID32" s="43">
        <v>0</v>
      </c>
      <c r="IE32" s="46"/>
      <c r="IJ32" s="43">
        <v>0</v>
      </c>
      <c r="IK32" s="49"/>
      <c r="IP32" s="43">
        <v>0</v>
      </c>
      <c r="IQ32" s="49"/>
      <c r="IV32" s="43">
        <v>0</v>
      </c>
      <c r="IW32" s="49"/>
      <c r="JB32" s="43">
        <v>0</v>
      </c>
      <c r="JC32" s="46"/>
      <c r="JF32" s="43">
        <v>0</v>
      </c>
      <c r="JG32" s="49"/>
      <c r="JL32" s="43">
        <v>0</v>
      </c>
      <c r="JM32" s="46"/>
      <c r="JN32" s="50"/>
      <c r="JP32" s="43">
        <v>0</v>
      </c>
      <c r="JQ32" s="49"/>
      <c r="JV32" s="43">
        <v>0</v>
      </c>
      <c r="JW32" s="49"/>
      <c r="KB32" s="43">
        <v>0</v>
      </c>
      <c r="KC32" s="49"/>
      <c r="KH32" s="43">
        <v>0</v>
      </c>
      <c r="KI32" s="49"/>
      <c r="KN32" s="43">
        <v>0</v>
      </c>
      <c r="KO32" s="49"/>
      <c r="KP32" s="50"/>
      <c r="KV32" s="43">
        <v>0</v>
      </c>
      <c r="KW32" s="49"/>
      <c r="KX32" s="48">
        <v>0</v>
      </c>
      <c r="KY32" s="48">
        <v>0</v>
      </c>
      <c r="KZ32" s="48">
        <v>0</v>
      </c>
      <c r="LA32" s="32">
        <v>130</v>
      </c>
      <c r="LB32" s="43">
        <v>2.0620000000000118</v>
      </c>
      <c r="LC32" s="49"/>
      <c r="LD32" s="48">
        <v>0</v>
      </c>
      <c r="LE32" s="48">
        <v>0</v>
      </c>
      <c r="LF32" s="48">
        <v>133.94200000000001</v>
      </c>
      <c r="LG32" s="48">
        <v>130</v>
      </c>
      <c r="LH32" s="43">
        <v>3.9420000000000068</v>
      </c>
      <c r="LI32" s="49"/>
      <c r="LJ32" s="50">
        <v>152.83199999999999</v>
      </c>
      <c r="LK32" s="48">
        <v>150</v>
      </c>
      <c r="LL32" s="43">
        <v>2.8319999999999941</v>
      </c>
      <c r="LM32" s="49"/>
      <c r="LN32" s="50">
        <v>118.745</v>
      </c>
      <c r="LO32" s="48">
        <v>120</v>
      </c>
      <c r="LP32" s="48">
        <v>101.71299999999999</v>
      </c>
      <c r="LQ32" s="48">
        <v>0</v>
      </c>
      <c r="LR32" s="48">
        <v>100</v>
      </c>
      <c r="LS32" s="43">
        <v>0.45799999999999841</v>
      </c>
      <c r="LT32" s="49"/>
      <c r="LU32" s="50">
        <v>102.988</v>
      </c>
      <c r="LV32" s="48">
        <v>100</v>
      </c>
      <c r="LW32" s="48">
        <v>149.761</v>
      </c>
      <c r="LX32" s="48">
        <v>150</v>
      </c>
      <c r="LY32" s="43">
        <v>2.7489999999999948</v>
      </c>
      <c r="LZ32" s="49"/>
      <c r="MA32" s="50">
        <v>95.622</v>
      </c>
      <c r="MB32" s="48">
        <v>95</v>
      </c>
      <c r="MC32" s="43">
        <v>0.62199999999999989</v>
      </c>
      <c r="MD32" s="49"/>
      <c r="ME32" s="50">
        <v>0</v>
      </c>
      <c r="MF32" s="48">
        <v>0</v>
      </c>
      <c r="MG32" s="48">
        <v>119.5</v>
      </c>
      <c r="MH32" s="48">
        <v>120</v>
      </c>
      <c r="MI32" s="43">
        <v>-0.5</v>
      </c>
      <c r="MJ32" s="49"/>
      <c r="MK32" s="50">
        <v>188.589</v>
      </c>
      <c r="ML32" s="48">
        <v>190</v>
      </c>
      <c r="MM32" s="43">
        <v>-1.4110000000000009</v>
      </c>
      <c r="MN32" s="49"/>
      <c r="MO32" s="50">
        <v>101.613</v>
      </c>
      <c r="MP32" s="48">
        <v>100</v>
      </c>
      <c r="MQ32" s="48">
        <v>150.71700000000001</v>
      </c>
      <c r="MR32" s="48">
        <v>150</v>
      </c>
      <c r="MS32" s="43">
        <v>2.3300000000000129</v>
      </c>
      <c r="MT32" s="49"/>
      <c r="MU32" s="48">
        <v>0</v>
      </c>
      <c r="MV32" s="46"/>
      <c r="MW32" s="48">
        <v>171.96799999999999</v>
      </c>
      <c r="MX32" s="48">
        <v>170</v>
      </c>
      <c r="MY32" s="43">
        <v>1.9679999999999891</v>
      </c>
      <c r="MZ32" s="49"/>
      <c r="NA32" s="50">
        <v>0</v>
      </c>
      <c r="NB32" s="48">
        <v>0</v>
      </c>
      <c r="NC32" s="48">
        <v>132.63999999999999</v>
      </c>
      <c r="ND32" s="48">
        <v>130</v>
      </c>
      <c r="NE32" s="43">
        <v>2.6399999999999859</v>
      </c>
      <c r="NF32" s="49"/>
      <c r="NG32" s="50">
        <v>0</v>
      </c>
      <c r="NH32" s="48">
        <v>0</v>
      </c>
      <c r="NI32" s="48">
        <v>0</v>
      </c>
      <c r="NJ32" s="48">
        <v>0</v>
      </c>
      <c r="NK32" s="43">
        <v>0</v>
      </c>
      <c r="NL32" s="49"/>
      <c r="NM32" s="50">
        <v>0</v>
      </c>
      <c r="NN32" s="48">
        <v>0</v>
      </c>
      <c r="NO32" s="48">
        <v>36.42</v>
      </c>
      <c r="NP32" s="48">
        <v>35</v>
      </c>
      <c r="NQ32" s="43">
        <v>1.4200000000000019</v>
      </c>
      <c r="NR32" s="49"/>
      <c r="NS32" s="25">
        <v>300.17899999999997</v>
      </c>
      <c r="NT32" s="48">
        <v>0</v>
      </c>
      <c r="NU32" s="48">
        <v>28.82</v>
      </c>
      <c r="NV32" s="48">
        <v>30</v>
      </c>
      <c r="NW32" s="43">
        <v>298.99900000000002</v>
      </c>
      <c r="NX32" s="49"/>
      <c r="NY32" s="50">
        <v>0</v>
      </c>
      <c r="NZ32" s="48">
        <v>0</v>
      </c>
      <c r="OA32" s="48">
        <v>110.773</v>
      </c>
      <c r="OB32" s="48">
        <v>100</v>
      </c>
      <c r="OC32" s="43">
        <v>10.773</v>
      </c>
      <c r="OD32" s="49"/>
      <c r="OE32" s="50">
        <v>180.88399999999999</v>
      </c>
      <c r="OF32" s="48">
        <v>180</v>
      </c>
      <c r="OG32" s="43">
        <v>0.88399999999998613</v>
      </c>
      <c r="OH32" s="49"/>
      <c r="OI32" s="50">
        <v>36.658999999999999</v>
      </c>
      <c r="OJ32" s="48">
        <v>35</v>
      </c>
      <c r="OK32" s="43">
        <v>1.6589999999999989</v>
      </c>
      <c r="OL32" s="49"/>
      <c r="OM32" s="50">
        <v>0</v>
      </c>
      <c r="ON32" s="48">
        <v>0</v>
      </c>
      <c r="OO32" s="48">
        <v>131.17400000000001</v>
      </c>
      <c r="OP32" s="48">
        <v>130</v>
      </c>
      <c r="OQ32" s="43">
        <v>1.174000000000007</v>
      </c>
      <c r="OR32" s="49"/>
      <c r="OS32" s="50">
        <v>102.42700000000001</v>
      </c>
      <c r="OT32" s="48">
        <v>100</v>
      </c>
      <c r="OU32" s="43">
        <v>2.4270000000000072</v>
      </c>
      <c r="OV32" s="49"/>
      <c r="OW32" s="50">
        <v>0</v>
      </c>
      <c r="OX32" s="48">
        <v>0</v>
      </c>
      <c r="OY32" s="48">
        <v>0</v>
      </c>
      <c r="OZ32" s="48">
        <v>0</v>
      </c>
      <c r="PA32" s="43">
        <v>0</v>
      </c>
      <c r="PB32" s="49"/>
      <c r="PC32" s="50">
        <v>82.191999999999993</v>
      </c>
      <c r="PD32" s="48">
        <v>0</v>
      </c>
      <c r="PE32" s="43">
        <v>82.191999999999993</v>
      </c>
      <c r="PF32" s="49"/>
      <c r="PG32" s="50">
        <v>0</v>
      </c>
      <c r="PH32" s="48">
        <v>0</v>
      </c>
      <c r="PI32" s="48">
        <v>0</v>
      </c>
      <c r="PJ32" s="48">
        <v>0</v>
      </c>
      <c r="PK32" s="43">
        <v>0</v>
      </c>
      <c r="PL32" s="49"/>
      <c r="PM32" s="47">
        <v>0</v>
      </c>
      <c r="PN32" s="48">
        <v>0</v>
      </c>
      <c r="PO32" s="48">
        <v>73.298000000000002</v>
      </c>
      <c r="PP32" s="48">
        <v>75</v>
      </c>
      <c r="PQ32" s="43">
        <v>-1.701999999999998</v>
      </c>
      <c r="PR32" s="49"/>
      <c r="PS32" s="47">
        <v>151.97300000000001</v>
      </c>
      <c r="PT32" s="43">
        <v>150</v>
      </c>
      <c r="PU32" s="43">
        <v>151.364</v>
      </c>
      <c r="PV32" s="43">
        <v>150</v>
      </c>
      <c r="PW32" s="43">
        <v>3.3369999999999891</v>
      </c>
      <c r="PX32" s="46"/>
      <c r="PY32" s="47">
        <v>70.216999999999999</v>
      </c>
      <c r="PZ32" s="43">
        <v>70</v>
      </c>
      <c r="QA32" s="43">
        <v>0.21699999999999869</v>
      </c>
      <c r="QB32" s="46"/>
      <c r="QC32" s="47">
        <v>0</v>
      </c>
      <c r="QD32" s="43">
        <v>0</v>
      </c>
      <c r="QE32" s="43">
        <v>0</v>
      </c>
      <c r="QF32" s="43">
        <v>0</v>
      </c>
      <c r="QG32" s="43">
        <v>0</v>
      </c>
      <c r="QH32" s="46"/>
      <c r="QI32" s="47">
        <v>0</v>
      </c>
      <c r="QJ32" s="43">
        <v>0</v>
      </c>
      <c r="QK32" s="43">
        <v>0</v>
      </c>
      <c r="QL32" s="43">
        <v>0</v>
      </c>
      <c r="QM32" s="43">
        <v>0</v>
      </c>
      <c r="QN32" s="46"/>
      <c r="QO32" s="47">
        <v>106.703</v>
      </c>
      <c r="QP32" s="43">
        <v>108</v>
      </c>
      <c r="QQ32" s="43">
        <v>301.19200000000001</v>
      </c>
      <c r="QR32" s="43">
        <v>130</v>
      </c>
      <c r="QS32" s="43">
        <v>169.89500000000001</v>
      </c>
      <c r="QT32" s="46"/>
      <c r="QU32" s="47">
        <v>69.885000000000005</v>
      </c>
      <c r="QV32" s="43">
        <v>70</v>
      </c>
      <c r="QW32" s="43">
        <v>-0.1149999999999949</v>
      </c>
      <c r="QX32" s="46"/>
      <c r="QY32" s="47">
        <v>0</v>
      </c>
      <c r="QZ32" s="43">
        <v>0</v>
      </c>
      <c r="RA32" s="43">
        <v>0</v>
      </c>
      <c r="RB32" s="43">
        <v>0</v>
      </c>
      <c r="RC32" s="43">
        <v>0</v>
      </c>
      <c r="RD32" s="46"/>
    </row>
    <row r="33" spans="1:472" x14ac:dyDescent="0.25">
      <c r="A33" s="43" t="s">
        <v>321</v>
      </c>
      <c r="B33" s="44">
        <v>1</v>
      </c>
      <c r="F33">
        <v>200</v>
      </c>
      <c r="I33" s="45">
        <v>121</v>
      </c>
      <c r="J33" s="52">
        <v>120</v>
      </c>
      <c r="K33" s="52">
        <v>145</v>
      </c>
      <c r="L33" s="52">
        <v>147</v>
      </c>
      <c r="M33" s="51">
        <f t="shared" si="8"/>
        <v>-1</v>
      </c>
      <c r="N33" s="46"/>
      <c r="O33" s="45">
        <v>69</v>
      </c>
      <c r="P33" s="52">
        <v>70</v>
      </c>
      <c r="Q33" s="51"/>
      <c r="R33" s="51"/>
      <c r="S33" s="51">
        <f t="shared" si="9"/>
        <v>-1</v>
      </c>
      <c r="T33" s="46"/>
      <c r="U33" s="45">
        <v>281</v>
      </c>
      <c r="V33" s="52">
        <v>280</v>
      </c>
      <c r="W33" s="52">
        <v>248</v>
      </c>
      <c r="X33" s="52">
        <v>245</v>
      </c>
      <c r="Y33" s="51">
        <f t="shared" si="10"/>
        <v>4</v>
      </c>
      <c r="Z33" s="46"/>
      <c r="AA33" s="52">
        <v>61</v>
      </c>
      <c r="AB33">
        <v>61</v>
      </c>
      <c r="AE33" s="43">
        <v>0</v>
      </c>
      <c r="AF33" s="46"/>
      <c r="AG33" s="45">
        <v>101</v>
      </c>
      <c r="AH33">
        <v>100</v>
      </c>
      <c r="AI33">
        <v>163</v>
      </c>
      <c r="AJ33">
        <v>163</v>
      </c>
      <c r="AK33" s="43">
        <v>1</v>
      </c>
      <c r="AL33" s="46"/>
      <c r="AM33">
        <v>40</v>
      </c>
      <c r="AN33">
        <v>40</v>
      </c>
      <c r="AO33">
        <v>53</v>
      </c>
      <c r="AP33">
        <v>51</v>
      </c>
      <c r="AQ33" s="43">
        <v>2</v>
      </c>
      <c r="AR33" s="46"/>
      <c r="AS33">
        <v>219</v>
      </c>
      <c r="AT33">
        <v>220</v>
      </c>
      <c r="AU33">
        <v>245</v>
      </c>
      <c r="AV33">
        <v>246</v>
      </c>
      <c r="AW33" s="43">
        <v>-2</v>
      </c>
      <c r="AX33" s="46"/>
      <c r="AY33" s="45">
        <v>33</v>
      </c>
      <c r="AZ33">
        <v>30</v>
      </c>
      <c r="BA33">
        <v>36</v>
      </c>
      <c r="BB33">
        <v>35</v>
      </c>
      <c r="BC33" s="43">
        <v>4</v>
      </c>
      <c r="BD33" s="46"/>
      <c r="BE33" s="47"/>
      <c r="BF33">
        <v>250</v>
      </c>
      <c r="BG33">
        <v>246</v>
      </c>
      <c r="BH33">
        <v>245</v>
      </c>
      <c r="BI33" s="42">
        <v>-249</v>
      </c>
      <c r="BJ33" s="46">
        <v>249</v>
      </c>
      <c r="BK33">
        <v>129</v>
      </c>
      <c r="BL33">
        <v>128</v>
      </c>
      <c r="BP33" s="43">
        <v>1</v>
      </c>
      <c r="BQ33" s="46"/>
      <c r="BR33">
        <v>40</v>
      </c>
      <c r="BS33">
        <v>40</v>
      </c>
      <c r="BT33" s="43">
        <v>0</v>
      </c>
      <c r="BU33" s="46"/>
      <c r="BV33" s="45">
        <v>69</v>
      </c>
      <c r="BW33">
        <v>69</v>
      </c>
      <c r="BX33">
        <v>522</v>
      </c>
      <c r="BY33">
        <v>512</v>
      </c>
      <c r="BZ33" s="43">
        <v>10</v>
      </c>
      <c r="CA33" s="46"/>
      <c r="CB33">
        <v>122</v>
      </c>
      <c r="CC33">
        <v>120</v>
      </c>
      <c r="CD33">
        <v>187</v>
      </c>
      <c r="CE33">
        <v>187</v>
      </c>
      <c r="CF33" s="43">
        <v>2</v>
      </c>
      <c r="CG33" s="46"/>
      <c r="CJ33">
        <v>81</v>
      </c>
      <c r="CK33">
        <v>79</v>
      </c>
      <c r="CL33" s="43">
        <v>2</v>
      </c>
      <c r="CM33" s="46"/>
      <c r="CN33" s="47"/>
      <c r="CP33">
        <v>100</v>
      </c>
      <c r="CQ33">
        <v>99</v>
      </c>
      <c r="CR33" s="43">
        <v>1</v>
      </c>
      <c r="CS33" s="46"/>
      <c r="CT33">
        <v>101</v>
      </c>
      <c r="CU33">
        <v>100</v>
      </c>
      <c r="CV33">
        <v>133</v>
      </c>
      <c r="CW33">
        <v>135</v>
      </c>
      <c r="CX33" s="43">
        <v>-1</v>
      </c>
      <c r="CY33" s="46"/>
      <c r="CZ33" s="47"/>
      <c r="DD33" s="43">
        <v>0</v>
      </c>
      <c r="DE33" s="46"/>
      <c r="DF33" s="45">
        <v>102</v>
      </c>
      <c r="DG33">
        <v>100</v>
      </c>
      <c r="DH33">
        <v>298</v>
      </c>
      <c r="DI33">
        <v>300</v>
      </c>
      <c r="DJ33">
        <v>158</v>
      </c>
      <c r="DK33">
        <v>157</v>
      </c>
      <c r="DL33" s="43">
        <v>1</v>
      </c>
      <c r="DM33" s="46"/>
      <c r="DN33" s="45">
        <v>108</v>
      </c>
      <c r="DO33">
        <v>110</v>
      </c>
      <c r="DP33">
        <v>109</v>
      </c>
      <c r="DQ33">
        <v>110</v>
      </c>
      <c r="DR33" s="43">
        <v>-3</v>
      </c>
      <c r="DS33" s="46"/>
      <c r="DT33">
        <v>251</v>
      </c>
      <c r="DU33">
        <v>250</v>
      </c>
      <c r="DV33">
        <v>204</v>
      </c>
      <c r="DW33">
        <v>200</v>
      </c>
      <c r="DX33">
        <v>301</v>
      </c>
      <c r="DY33">
        <v>300</v>
      </c>
      <c r="DZ33" s="43">
        <v>6</v>
      </c>
      <c r="EA33" s="46"/>
      <c r="EB33" s="47"/>
      <c r="ED33">
        <v>238</v>
      </c>
      <c r="EE33">
        <v>240</v>
      </c>
      <c r="EF33" s="43">
        <v>-2</v>
      </c>
      <c r="EG33" s="46"/>
      <c r="EH33" s="47"/>
      <c r="EJ33">
        <v>300</v>
      </c>
      <c r="EK33">
        <v>300</v>
      </c>
      <c r="EL33" s="43">
        <v>0</v>
      </c>
      <c r="EM33" s="46"/>
      <c r="EN33" s="47"/>
      <c r="ER33" s="43">
        <v>0</v>
      </c>
      <c r="ES33" s="46"/>
      <c r="ET33">
        <v>202</v>
      </c>
      <c r="EU33">
        <v>200</v>
      </c>
      <c r="EV33">
        <v>220</v>
      </c>
      <c r="EW33">
        <v>220</v>
      </c>
      <c r="EX33">
        <v>273</v>
      </c>
      <c r="EY33">
        <v>270</v>
      </c>
      <c r="EZ33" s="43">
        <v>5</v>
      </c>
      <c r="FA33" s="46"/>
      <c r="FB33">
        <v>81</v>
      </c>
      <c r="FC33">
        <v>80</v>
      </c>
      <c r="FG33" s="43">
        <v>1</v>
      </c>
      <c r="FH33" s="46"/>
      <c r="FI33" s="45">
        <v>49</v>
      </c>
      <c r="FK33" s="48">
        <v>50</v>
      </c>
      <c r="FL33" s="43">
        <v>-1</v>
      </c>
      <c r="FM33" s="46"/>
      <c r="FN33" s="45">
        <v>244</v>
      </c>
      <c r="FP33">
        <v>241</v>
      </c>
      <c r="FQ33" s="43">
        <v>3</v>
      </c>
      <c r="FR33" s="46"/>
      <c r="FS33">
        <v>294</v>
      </c>
      <c r="FT33">
        <v>190</v>
      </c>
      <c r="FU33">
        <v>192</v>
      </c>
      <c r="FV33">
        <v>290</v>
      </c>
      <c r="FW33" s="43">
        <v>6</v>
      </c>
      <c r="FX33" s="46"/>
      <c r="FY33" s="45">
        <v>102</v>
      </c>
      <c r="GA33">
        <v>100</v>
      </c>
      <c r="GB33">
        <v>130</v>
      </c>
      <c r="GC33">
        <v>130</v>
      </c>
      <c r="GD33" s="43">
        <v>2</v>
      </c>
      <c r="GE33" s="46"/>
      <c r="GH33">
        <v>48</v>
      </c>
      <c r="GI33">
        <v>50</v>
      </c>
      <c r="GJ33" s="43">
        <v>-2</v>
      </c>
      <c r="GK33" s="46"/>
      <c r="GL33" s="47"/>
      <c r="GN33">
        <v>220</v>
      </c>
      <c r="GO33">
        <v>220</v>
      </c>
      <c r="GP33" s="43">
        <v>0</v>
      </c>
      <c r="GQ33" s="46"/>
      <c r="GR33">
        <v>203</v>
      </c>
      <c r="GS33">
        <v>200</v>
      </c>
      <c r="GT33">
        <v>205</v>
      </c>
      <c r="GU33">
        <v>200</v>
      </c>
      <c r="GV33" s="43">
        <v>8</v>
      </c>
      <c r="GW33" s="46"/>
      <c r="GX33" s="47"/>
      <c r="GZ33" s="43">
        <v>0</v>
      </c>
      <c r="HA33" s="46"/>
      <c r="HB33" s="45">
        <v>298</v>
      </c>
      <c r="HC33">
        <v>300</v>
      </c>
      <c r="HD33">
        <v>447</v>
      </c>
      <c r="HE33">
        <v>450</v>
      </c>
      <c r="HF33" s="43">
        <v>-5</v>
      </c>
      <c r="HG33" s="46"/>
      <c r="HH33" s="47"/>
      <c r="HJ33" s="43">
        <v>0</v>
      </c>
      <c r="HK33" s="46"/>
      <c r="HL33" s="47"/>
      <c r="HN33">
        <v>142</v>
      </c>
      <c r="HO33">
        <v>140</v>
      </c>
      <c r="HP33" s="43">
        <v>2</v>
      </c>
      <c r="HQ33" s="46"/>
      <c r="HR33">
        <v>299</v>
      </c>
      <c r="HS33">
        <v>300</v>
      </c>
      <c r="HV33">
        <v>203</v>
      </c>
      <c r="HW33">
        <v>200</v>
      </c>
      <c r="HX33" s="43">
        <v>2</v>
      </c>
      <c r="HY33" s="46"/>
      <c r="HZ33" s="45">
        <v>301</v>
      </c>
      <c r="IA33">
        <v>300</v>
      </c>
      <c r="IB33">
        <v>301</v>
      </c>
      <c r="IC33">
        <v>300</v>
      </c>
      <c r="ID33" s="43">
        <v>2</v>
      </c>
      <c r="IE33" s="46"/>
      <c r="IH33">
        <v>69</v>
      </c>
      <c r="II33">
        <v>70</v>
      </c>
      <c r="IJ33" s="43">
        <v>-1</v>
      </c>
      <c r="IK33" s="49"/>
      <c r="IL33">
        <v>297</v>
      </c>
      <c r="IM33">
        <v>300</v>
      </c>
      <c r="IN33">
        <v>528</v>
      </c>
      <c r="IO33">
        <v>530</v>
      </c>
      <c r="IP33" s="43">
        <v>-5</v>
      </c>
      <c r="IQ33" s="49"/>
      <c r="IR33">
        <v>89</v>
      </c>
      <c r="IS33">
        <v>90</v>
      </c>
      <c r="IV33" s="43">
        <v>-1</v>
      </c>
      <c r="IW33" s="49"/>
      <c r="IX33">
        <v>93</v>
      </c>
      <c r="IY33">
        <v>350</v>
      </c>
      <c r="IZ33">
        <v>292</v>
      </c>
      <c r="JA33">
        <v>290</v>
      </c>
      <c r="JB33" s="42">
        <v>-255</v>
      </c>
      <c r="JC33" s="46">
        <v>255</v>
      </c>
      <c r="JD33">
        <v>203</v>
      </c>
      <c r="JE33">
        <v>200</v>
      </c>
      <c r="JF33" s="43">
        <v>3</v>
      </c>
      <c r="JG33" s="49"/>
      <c r="JH33">
        <v>342</v>
      </c>
      <c r="JI33">
        <v>340</v>
      </c>
      <c r="JJ33">
        <v>262</v>
      </c>
      <c r="JK33">
        <v>260</v>
      </c>
      <c r="JL33" s="43">
        <v>4</v>
      </c>
      <c r="JM33" s="46"/>
      <c r="JN33" s="45">
        <v>250</v>
      </c>
      <c r="JO33" s="48">
        <v>250</v>
      </c>
      <c r="JP33" s="43">
        <v>0</v>
      </c>
      <c r="JQ33" s="49"/>
      <c r="JT33">
        <v>523</v>
      </c>
      <c r="JU33">
        <v>520</v>
      </c>
      <c r="JV33" s="43">
        <v>3</v>
      </c>
      <c r="JW33" s="49"/>
      <c r="KB33" s="43">
        <v>0</v>
      </c>
      <c r="KC33" s="49"/>
      <c r="KD33">
        <v>300</v>
      </c>
      <c r="KE33">
        <v>300</v>
      </c>
      <c r="KF33">
        <v>322</v>
      </c>
      <c r="KG33">
        <v>320</v>
      </c>
      <c r="KH33" s="43">
        <v>2</v>
      </c>
      <c r="KI33" s="49"/>
      <c r="KJ33">
        <v>150</v>
      </c>
      <c r="KK33">
        <v>150</v>
      </c>
      <c r="KL33">
        <v>202</v>
      </c>
      <c r="KM33">
        <v>200</v>
      </c>
      <c r="KN33" s="43">
        <v>2</v>
      </c>
      <c r="KO33" s="49"/>
      <c r="KP33" s="45">
        <v>203</v>
      </c>
      <c r="KQ33">
        <v>200</v>
      </c>
      <c r="KR33">
        <v>203</v>
      </c>
      <c r="KS33">
        <v>200</v>
      </c>
      <c r="KT33">
        <v>89</v>
      </c>
      <c r="KU33">
        <v>160</v>
      </c>
      <c r="KV33" s="42">
        <v>-65</v>
      </c>
      <c r="KW33" s="49">
        <v>65</v>
      </c>
      <c r="KX33" s="48">
        <v>150.291</v>
      </c>
      <c r="KY33" s="48">
        <v>150</v>
      </c>
      <c r="KZ33" s="48">
        <v>201.88800000000001</v>
      </c>
      <c r="LA33" s="48">
        <v>200</v>
      </c>
      <c r="LB33" s="43">
        <v>2.1789999999999741</v>
      </c>
      <c r="LC33" s="49"/>
      <c r="LD33" s="48">
        <v>0</v>
      </c>
      <c r="LE33" s="48">
        <v>0</v>
      </c>
      <c r="LF33" s="48">
        <v>109.282</v>
      </c>
      <c r="LG33" s="48">
        <v>110</v>
      </c>
      <c r="LH33" s="43">
        <v>-0.71800000000000352</v>
      </c>
      <c r="LI33" s="49"/>
      <c r="LJ33" s="50">
        <v>88.593999999999994</v>
      </c>
      <c r="LK33" s="48">
        <v>90</v>
      </c>
      <c r="LL33" s="43">
        <v>-1.4060000000000059</v>
      </c>
      <c r="LM33" s="49"/>
      <c r="LN33" s="50">
        <v>396.94600000000003</v>
      </c>
      <c r="LO33" s="48">
        <v>400</v>
      </c>
      <c r="LP33" s="48">
        <v>387.488</v>
      </c>
      <c r="LQ33" s="48">
        <v>0</v>
      </c>
      <c r="LR33" s="48">
        <v>390</v>
      </c>
      <c r="LS33" s="43">
        <v>-5.5660000000000309</v>
      </c>
      <c r="LT33" s="49"/>
      <c r="LU33" s="50">
        <v>0</v>
      </c>
      <c r="LV33" s="48">
        <v>0</v>
      </c>
      <c r="LW33" s="48">
        <v>40.441000000000003</v>
      </c>
      <c r="LX33" s="48">
        <v>40</v>
      </c>
      <c r="LY33" s="43">
        <v>0.4410000000000025</v>
      </c>
      <c r="LZ33" s="49"/>
      <c r="MA33" s="50">
        <v>0</v>
      </c>
      <c r="MB33" s="48">
        <v>0</v>
      </c>
      <c r="MC33" s="43">
        <v>0</v>
      </c>
      <c r="MD33" s="49"/>
      <c r="ME33" s="50">
        <v>252.786</v>
      </c>
      <c r="MF33" s="48">
        <v>250</v>
      </c>
      <c r="MG33" s="48">
        <v>254.642</v>
      </c>
      <c r="MH33" s="48">
        <v>250</v>
      </c>
      <c r="MI33" s="43">
        <v>7.4279999999999973</v>
      </c>
      <c r="MJ33" s="49"/>
      <c r="MK33" s="50">
        <v>753.18899999999996</v>
      </c>
      <c r="ML33" s="48">
        <v>750</v>
      </c>
      <c r="MM33" s="43">
        <v>3.188999999999965</v>
      </c>
      <c r="MN33" s="49"/>
      <c r="MO33" s="50">
        <v>302.64600000000002</v>
      </c>
      <c r="MP33" s="48">
        <v>300</v>
      </c>
      <c r="MQ33" s="48">
        <v>152.05099999999999</v>
      </c>
      <c r="MR33" s="48">
        <v>150</v>
      </c>
      <c r="MS33" s="43">
        <v>4.6970000000000027</v>
      </c>
      <c r="MT33" s="49"/>
      <c r="MU33" s="48">
        <v>0</v>
      </c>
      <c r="MV33" s="46"/>
      <c r="MW33" s="48">
        <v>521.11199999999997</v>
      </c>
      <c r="MX33" s="48">
        <v>520</v>
      </c>
      <c r="MY33" s="43">
        <v>1.1119999999999659</v>
      </c>
      <c r="MZ33" s="49"/>
      <c r="NA33" s="50">
        <v>303.91500000000002</v>
      </c>
      <c r="NB33" s="48">
        <v>300</v>
      </c>
      <c r="NC33" s="48">
        <v>650.48299999999995</v>
      </c>
      <c r="ND33" s="48">
        <v>650</v>
      </c>
      <c r="NE33" s="43">
        <v>4.3979999999999109</v>
      </c>
      <c r="NF33" s="49"/>
      <c r="NG33" s="50">
        <v>101.56399999999999</v>
      </c>
      <c r="NH33" s="48">
        <v>150</v>
      </c>
      <c r="NI33" s="48">
        <v>291.05399999999997</v>
      </c>
      <c r="NJ33" s="48">
        <v>290</v>
      </c>
      <c r="NK33" s="42">
        <v>-47.382000000000062</v>
      </c>
      <c r="NL33" s="49">
        <v>47.382000000000062</v>
      </c>
      <c r="NM33" s="50">
        <v>48.594000000000001</v>
      </c>
      <c r="NN33" s="48">
        <v>50</v>
      </c>
      <c r="NO33" s="48">
        <v>101.622</v>
      </c>
      <c r="NP33" s="48">
        <v>100</v>
      </c>
      <c r="NQ33" s="43">
        <v>0.21600000000000821</v>
      </c>
      <c r="NR33" s="49"/>
      <c r="NS33" s="25">
        <v>117.60299999999999</v>
      </c>
      <c r="NT33" s="48">
        <v>0</v>
      </c>
      <c r="NU33" s="48">
        <v>141.71899999999999</v>
      </c>
      <c r="NV33" s="48">
        <v>140</v>
      </c>
      <c r="NW33" s="43">
        <v>119.322</v>
      </c>
      <c r="NX33" s="49"/>
      <c r="NY33" s="50">
        <v>0</v>
      </c>
      <c r="NZ33" s="48">
        <v>0</v>
      </c>
      <c r="OA33" s="48">
        <v>125.506</v>
      </c>
      <c r="OB33" s="48">
        <v>120</v>
      </c>
      <c r="OC33" s="43">
        <v>5.5060000000000002</v>
      </c>
      <c r="OD33" s="49"/>
      <c r="OE33" s="50">
        <v>1401.1590000000001</v>
      </c>
      <c r="OF33" s="48">
        <v>1400</v>
      </c>
      <c r="OG33" s="43">
        <v>1.1590000000001059</v>
      </c>
      <c r="OH33" s="49"/>
      <c r="OI33" s="50">
        <v>0</v>
      </c>
      <c r="OJ33" s="48">
        <v>0</v>
      </c>
      <c r="OK33" s="43">
        <v>0</v>
      </c>
      <c r="OL33" s="49"/>
      <c r="OM33" s="50">
        <v>519.31799999999998</v>
      </c>
      <c r="ON33" s="48">
        <v>650</v>
      </c>
      <c r="OO33" s="48">
        <v>450.15699999999998</v>
      </c>
      <c r="OP33" s="48">
        <v>450</v>
      </c>
      <c r="OQ33" s="42">
        <v>-130.52500000000009</v>
      </c>
      <c r="OR33" s="49">
        <v>130.52500000000009</v>
      </c>
      <c r="OS33" s="50">
        <v>64.787000000000006</v>
      </c>
      <c r="OT33" s="48">
        <v>63</v>
      </c>
      <c r="OU33" s="43">
        <v>1.7870000000000059</v>
      </c>
      <c r="OV33" s="49"/>
      <c r="OW33" s="50">
        <v>0</v>
      </c>
      <c r="OX33" s="33">
        <v>700</v>
      </c>
      <c r="OY33" s="48">
        <v>534.88699999999994</v>
      </c>
      <c r="OZ33" s="48">
        <v>537</v>
      </c>
      <c r="PA33" s="42">
        <v>-702.11300000000006</v>
      </c>
      <c r="PB33" s="49">
        <v>702.11300000000006</v>
      </c>
      <c r="PC33" s="50">
        <v>204.97399999999999</v>
      </c>
      <c r="PD33" s="48">
        <v>147</v>
      </c>
      <c r="PE33" s="43">
        <v>57.97399999999999</v>
      </c>
      <c r="PF33" s="49"/>
      <c r="PG33" s="50">
        <v>73.834000000000003</v>
      </c>
      <c r="PH33" s="48">
        <v>150</v>
      </c>
      <c r="PI33" s="48">
        <v>98.176000000000002</v>
      </c>
      <c r="PJ33" s="48">
        <v>201</v>
      </c>
      <c r="PK33" s="42">
        <v>-178.99</v>
      </c>
      <c r="PL33" s="49">
        <v>178.99</v>
      </c>
      <c r="PM33" s="47">
        <v>20.161000000000001</v>
      </c>
      <c r="PN33" s="48">
        <v>310</v>
      </c>
      <c r="PO33" s="48">
        <v>375.12299999999999</v>
      </c>
      <c r="PP33" s="48">
        <v>375</v>
      </c>
      <c r="PQ33" s="42">
        <v>-289.71600000000001</v>
      </c>
      <c r="PR33" s="49">
        <v>289.71600000000001</v>
      </c>
      <c r="PS33" s="47">
        <v>200.77799999999999</v>
      </c>
      <c r="PT33" s="43">
        <v>200</v>
      </c>
      <c r="PU33" s="43">
        <v>301.178</v>
      </c>
      <c r="PV33" s="43">
        <v>300</v>
      </c>
      <c r="PW33" s="43">
        <v>1.9560000000000171</v>
      </c>
      <c r="PX33" s="46"/>
      <c r="PY33" s="47">
        <v>450.16</v>
      </c>
      <c r="PZ33" s="43">
        <v>450</v>
      </c>
      <c r="QA33" s="43">
        <v>0.16000000000002501</v>
      </c>
      <c r="QB33" s="46"/>
      <c r="QC33" s="47">
        <v>505.01100000000002</v>
      </c>
      <c r="QD33" s="43">
        <v>500</v>
      </c>
      <c r="QE33" s="43">
        <v>649.89599999999996</v>
      </c>
      <c r="QF33" s="43">
        <v>650</v>
      </c>
      <c r="QG33" s="43">
        <v>4.9069999999999254</v>
      </c>
      <c r="QH33" s="46"/>
      <c r="QI33" s="47">
        <v>253.64</v>
      </c>
      <c r="QJ33" s="43">
        <v>250</v>
      </c>
      <c r="QK33" s="43">
        <v>561.57299999999998</v>
      </c>
      <c r="QL33" s="43">
        <v>550</v>
      </c>
      <c r="QM33" s="43">
        <v>15.212999999999971</v>
      </c>
      <c r="QN33" s="46"/>
      <c r="QO33" s="47">
        <v>204.15799999999999</v>
      </c>
      <c r="QP33" s="43">
        <v>200</v>
      </c>
      <c r="QQ33" s="43">
        <v>80.778000000000006</v>
      </c>
      <c r="QR33" s="43">
        <v>250</v>
      </c>
      <c r="QS33" s="42">
        <v>-165.06399999999999</v>
      </c>
      <c r="QT33" s="46">
        <v>165.06399999999999</v>
      </c>
      <c r="QU33" s="47">
        <v>498.86099999999999</v>
      </c>
      <c r="QV33" s="43">
        <v>500</v>
      </c>
      <c r="QW33" s="43">
        <v>-1.13900000000001</v>
      </c>
      <c r="QX33" s="46"/>
      <c r="QY33" s="47">
        <v>404.62</v>
      </c>
      <c r="QZ33" s="43">
        <v>400</v>
      </c>
      <c r="RA33" s="43">
        <v>665.72400000000005</v>
      </c>
      <c r="RB33" s="43">
        <v>663</v>
      </c>
      <c r="RC33" s="43">
        <v>7.3440000000000509</v>
      </c>
      <c r="RD33" s="46"/>
    </row>
    <row r="34" spans="1:472" x14ac:dyDescent="0.25">
      <c r="A34" s="43" t="s">
        <v>322</v>
      </c>
      <c r="B34" s="44">
        <v>0.22</v>
      </c>
      <c r="F34">
        <v>67</v>
      </c>
      <c r="I34" s="45">
        <v>16</v>
      </c>
      <c r="J34" s="52">
        <v>16</v>
      </c>
      <c r="K34" s="52">
        <v>40</v>
      </c>
      <c r="L34" s="52">
        <v>38</v>
      </c>
      <c r="M34" s="51">
        <f t="shared" si="8"/>
        <v>2</v>
      </c>
      <c r="N34" s="46"/>
      <c r="O34" s="47"/>
      <c r="P34" s="51"/>
      <c r="Q34" s="52">
        <v>32</v>
      </c>
      <c r="R34" s="52">
        <v>32</v>
      </c>
      <c r="S34" s="51">
        <f t="shared" si="9"/>
        <v>0</v>
      </c>
      <c r="T34" s="46"/>
      <c r="U34" s="45">
        <v>24</v>
      </c>
      <c r="V34" s="52">
        <v>24</v>
      </c>
      <c r="W34" s="52">
        <v>24</v>
      </c>
      <c r="X34" s="52">
        <v>29</v>
      </c>
      <c r="Y34" s="51">
        <f t="shared" si="10"/>
        <v>-5</v>
      </c>
      <c r="Z34" s="46"/>
      <c r="AA34" s="52">
        <v>48</v>
      </c>
      <c r="AB34">
        <v>48</v>
      </c>
      <c r="AC34">
        <v>24</v>
      </c>
      <c r="AD34">
        <v>56</v>
      </c>
      <c r="AE34" s="42">
        <v>-32</v>
      </c>
      <c r="AF34" s="46">
        <v>7.04</v>
      </c>
      <c r="AG34" s="45">
        <v>32</v>
      </c>
      <c r="AH34">
        <v>32</v>
      </c>
      <c r="AI34">
        <v>56</v>
      </c>
      <c r="AJ34">
        <v>59</v>
      </c>
      <c r="AK34" s="43">
        <v>-3</v>
      </c>
      <c r="AL34" s="46"/>
      <c r="AM34">
        <v>32</v>
      </c>
      <c r="AN34">
        <v>32</v>
      </c>
      <c r="AO34">
        <v>32</v>
      </c>
      <c r="AP34">
        <v>36</v>
      </c>
      <c r="AQ34" s="43">
        <v>-4</v>
      </c>
      <c r="AR34" s="46"/>
      <c r="AT34">
        <v>24</v>
      </c>
      <c r="AU34">
        <v>16</v>
      </c>
      <c r="AV34">
        <v>20</v>
      </c>
      <c r="AW34" s="42">
        <v>-28</v>
      </c>
      <c r="AX34" s="46">
        <v>6.16</v>
      </c>
      <c r="AY34" s="47"/>
      <c r="BA34">
        <v>48</v>
      </c>
      <c r="BB34">
        <v>50</v>
      </c>
      <c r="BC34" s="43">
        <v>-2</v>
      </c>
      <c r="BD34" s="46"/>
      <c r="BE34" s="47"/>
      <c r="BG34">
        <v>40</v>
      </c>
      <c r="BH34">
        <v>38</v>
      </c>
      <c r="BI34" s="43">
        <v>2</v>
      </c>
      <c r="BJ34" s="46"/>
      <c r="BN34">
        <v>96</v>
      </c>
      <c r="BO34">
        <v>101</v>
      </c>
      <c r="BP34" s="43">
        <v>-5</v>
      </c>
      <c r="BQ34" s="46"/>
      <c r="BT34" s="43">
        <v>0</v>
      </c>
      <c r="BU34" s="46"/>
      <c r="BV34" s="45">
        <v>16</v>
      </c>
      <c r="BW34">
        <v>17</v>
      </c>
      <c r="BX34">
        <v>72</v>
      </c>
      <c r="BY34">
        <v>74</v>
      </c>
      <c r="BZ34" s="43">
        <v>-3</v>
      </c>
      <c r="CA34" s="46"/>
      <c r="CD34">
        <v>40</v>
      </c>
      <c r="CE34">
        <v>38</v>
      </c>
      <c r="CF34" s="43">
        <v>2</v>
      </c>
      <c r="CG34" s="46"/>
      <c r="CK34">
        <v>30</v>
      </c>
      <c r="CL34" s="42">
        <v>-30</v>
      </c>
      <c r="CM34" s="46">
        <v>6.6</v>
      </c>
      <c r="CN34" s="47"/>
      <c r="CP34">
        <v>56</v>
      </c>
      <c r="CQ34">
        <v>55</v>
      </c>
      <c r="CR34" s="43">
        <v>1</v>
      </c>
      <c r="CS34" s="46"/>
      <c r="CX34" s="43">
        <v>0</v>
      </c>
      <c r="CY34" s="46"/>
      <c r="CZ34" s="47"/>
      <c r="DD34" s="43">
        <v>0</v>
      </c>
      <c r="DE34" s="46"/>
      <c r="DF34" s="47"/>
      <c r="DJ34">
        <v>160</v>
      </c>
      <c r="DK34">
        <v>160</v>
      </c>
      <c r="DL34" s="43">
        <v>0</v>
      </c>
      <c r="DM34" s="46"/>
      <c r="DN34" s="47"/>
      <c r="DP34">
        <v>40</v>
      </c>
      <c r="DQ34">
        <v>40</v>
      </c>
      <c r="DR34" s="43">
        <v>0</v>
      </c>
      <c r="DS34" s="46"/>
      <c r="DV34">
        <v>128</v>
      </c>
      <c r="DW34">
        <v>130</v>
      </c>
      <c r="DZ34" s="43">
        <v>-2</v>
      </c>
      <c r="EA34" s="46"/>
      <c r="EB34" s="47"/>
      <c r="EF34" s="43">
        <v>0</v>
      </c>
      <c r="EG34" s="46"/>
      <c r="EH34" s="47"/>
      <c r="EL34" s="43">
        <v>0</v>
      </c>
      <c r="EM34" s="46"/>
      <c r="EN34" s="45">
        <v>48</v>
      </c>
      <c r="EO34">
        <v>48</v>
      </c>
      <c r="EP34">
        <v>40</v>
      </c>
      <c r="EQ34">
        <v>42</v>
      </c>
      <c r="ER34" s="43">
        <v>-2</v>
      </c>
      <c r="ES34" s="46"/>
      <c r="EZ34" s="43">
        <v>0</v>
      </c>
      <c r="FA34" s="46"/>
      <c r="FB34">
        <v>40</v>
      </c>
      <c r="FC34">
        <v>40</v>
      </c>
      <c r="FG34" s="43">
        <v>0</v>
      </c>
      <c r="FH34" s="46"/>
      <c r="FI34" s="45">
        <v>80</v>
      </c>
      <c r="FK34" s="48">
        <v>80.799999999999983</v>
      </c>
      <c r="FL34" s="43">
        <v>-0.79999999999998295</v>
      </c>
      <c r="FM34" s="46"/>
      <c r="FN34" s="47"/>
      <c r="FQ34" s="43">
        <v>0</v>
      </c>
      <c r="FR34" s="46"/>
      <c r="FW34" s="43">
        <v>0</v>
      </c>
      <c r="FX34" s="46"/>
      <c r="FY34" s="47"/>
      <c r="GB34">
        <v>64</v>
      </c>
      <c r="GC34">
        <v>64</v>
      </c>
      <c r="GD34" s="43">
        <v>0</v>
      </c>
      <c r="GE34" s="46"/>
      <c r="GH34">
        <v>32</v>
      </c>
      <c r="GI34">
        <v>32</v>
      </c>
      <c r="GJ34" s="43">
        <v>0</v>
      </c>
      <c r="GK34" s="46"/>
      <c r="GL34" s="47"/>
      <c r="GN34">
        <v>48</v>
      </c>
      <c r="GO34">
        <v>46</v>
      </c>
      <c r="GP34" s="43">
        <v>2</v>
      </c>
      <c r="GQ34" s="46"/>
      <c r="GT34">
        <v>32</v>
      </c>
      <c r="GU34">
        <v>32</v>
      </c>
      <c r="GV34" s="43">
        <v>0</v>
      </c>
      <c r="GW34" s="46"/>
      <c r="GX34" s="45">
        <v>24</v>
      </c>
      <c r="GY34" s="48">
        <v>24</v>
      </c>
      <c r="GZ34" s="43">
        <v>0</v>
      </c>
      <c r="HA34" s="46"/>
      <c r="HB34" s="47"/>
      <c r="HD34">
        <v>24</v>
      </c>
      <c r="HE34">
        <v>24</v>
      </c>
      <c r="HF34" s="43">
        <v>0</v>
      </c>
      <c r="HG34" s="46"/>
      <c r="HH34" s="47"/>
      <c r="HJ34" s="43">
        <v>0</v>
      </c>
      <c r="HK34" s="46"/>
      <c r="HL34" s="47"/>
      <c r="HN34">
        <v>112</v>
      </c>
      <c r="HO34">
        <v>110</v>
      </c>
      <c r="HP34" s="43">
        <v>2</v>
      </c>
      <c r="HQ34" s="46"/>
      <c r="HV34">
        <v>40</v>
      </c>
      <c r="HW34">
        <v>44</v>
      </c>
      <c r="HX34" s="43">
        <v>-4</v>
      </c>
      <c r="HY34" s="46"/>
      <c r="HZ34" s="47"/>
      <c r="ID34" s="43">
        <v>0</v>
      </c>
      <c r="IE34" s="46"/>
      <c r="IJ34" s="43">
        <v>0</v>
      </c>
      <c r="IK34" s="49"/>
      <c r="IP34" s="43">
        <v>0</v>
      </c>
      <c r="IQ34" s="49"/>
      <c r="IR34">
        <v>64</v>
      </c>
      <c r="IS34">
        <v>64</v>
      </c>
      <c r="IT34">
        <v>16</v>
      </c>
      <c r="IU34">
        <v>16</v>
      </c>
      <c r="IV34" s="43">
        <v>0</v>
      </c>
      <c r="IW34" s="49"/>
      <c r="JB34" s="43">
        <v>0</v>
      </c>
      <c r="JC34" s="46"/>
      <c r="JD34">
        <v>56</v>
      </c>
      <c r="JE34">
        <v>60</v>
      </c>
      <c r="JF34" s="43">
        <v>-4</v>
      </c>
      <c r="JG34" s="49"/>
      <c r="JH34">
        <v>56</v>
      </c>
      <c r="JI34">
        <v>60</v>
      </c>
      <c r="JJ34">
        <v>64</v>
      </c>
      <c r="JK34">
        <v>65</v>
      </c>
      <c r="JL34" s="43">
        <v>-5</v>
      </c>
      <c r="JM34" s="46"/>
      <c r="JN34" s="45">
        <v>56</v>
      </c>
      <c r="JO34" s="48">
        <v>60</v>
      </c>
      <c r="JP34" s="43">
        <v>-4</v>
      </c>
      <c r="JQ34" s="49"/>
      <c r="JT34">
        <v>40</v>
      </c>
      <c r="JU34">
        <v>39</v>
      </c>
      <c r="JV34" s="43">
        <v>1</v>
      </c>
      <c r="JW34" s="49"/>
      <c r="KB34" s="43">
        <v>0</v>
      </c>
      <c r="KC34" s="49"/>
      <c r="KD34">
        <v>40</v>
      </c>
      <c r="KE34">
        <v>40</v>
      </c>
      <c r="KF34">
        <v>40</v>
      </c>
      <c r="KG34">
        <v>40</v>
      </c>
      <c r="KH34" s="43">
        <v>0</v>
      </c>
      <c r="KI34" s="49"/>
      <c r="KL34">
        <v>80</v>
      </c>
      <c r="KM34">
        <v>80</v>
      </c>
      <c r="KN34" s="43">
        <v>0</v>
      </c>
      <c r="KO34" s="49"/>
      <c r="KP34" s="50"/>
      <c r="KV34" s="43">
        <v>0</v>
      </c>
      <c r="KW34" s="49"/>
      <c r="KX34" s="48">
        <v>0</v>
      </c>
      <c r="KY34" s="48">
        <v>0</v>
      </c>
      <c r="KZ34" s="48">
        <v>72</v>
      </c>
      <c r="LA34" s="48">
        <v>70</v>
      </c>
      <c r="LB34" s="43">
        <v>2</v>
      </c>
      <c r="LC34" s="49"/>
      <c r="LD34" s="48">
        <v>0</v>
      </c>
      <c r="LE34" s="48">
        <v>0</v>
      </c>
      <c r="LF34" s="48">
        <v>0</v>
      </c>
      <c r="LG34" s="48">
        <v>0</v>
      </c>
      <c r="LH34" s="43">
        <v>0</v>
      </c>
      <c r="LI34" s="49"/>
      <c r="LJ34" s="50">
        <v>0</v>
      </c>
      <c r="LK34" s="48">
        <v>0</v>
      </c>
      <c r="LL34" s="43">
        <v>0</v>
      </c>
      <c r="LM34" s="49"/>
      <c r="LN34" s="50">
        <v>32</v>
      </c>
      <c r="LO34" s="48">
        <v>30</v>
      </c>
      <c r="LP34" s="48">
        <v>40</v>
      </c>
      <c r="LQ34" s="48">
        <v>0</v>
      </c>
      <c r="LR34" s="48">
        <v>40</v>
      </c>
      <c r="LS34" s="43">
        <v>2</v>
      </c>
      <c r="LT34" s="49"/>
      <c r="LU34" s="50">
        <v>0</v>
      </c>
      <c r="LV34" s="48">
        <v>0</v>
      </c>
      <c r="LW34" s="48">
        <v>0</v>
      </c>
      <c r="LX34" s="48">
        <v>0</v>
      </c>
      <c r="LY34" s="43">
        <v>0</v>
      </c>
      <c r="LZ34" s="49"/>
      <c r="MA34" s="50">
        <v>120</v>
      </c>
      <c r="MB34" s="48">
        <v>120</v>
      </c>
      <c r="MC34" s="43">
        <v>0</v>
      </c>
      <c r="MD34" s="49"/>
      <c r="ME34" s="50">
        <v>0</v>
      </c>
      <c r="MF34" s="48">
        <v>0</v>
      </c>
      <c r="MG34" s="48">
        <v>24</v>
      </c>
      <c r="MH34" s="48">
        <v>24</v>
      </c>
      <c r="MI34" s="43">
        <v>0</v>
      </c>
      <c r="MJ34" s="49"/>
      <c r="MK34" s="50">
        <v>0</v>
      </c>
      <c r="ML34" s="48">
        <v>0</v>
      </c>
      <c r="MM34" s="43">
        <v>0</v>
      </c>
      <c r="MN34" s="49"/>
      <c r="MO34" s="50">
        <v>0</v>
      </c>
      <c r="MP34" s="48">
        <v>0</v>
      </c>
      <c r="MQ34" s="48">
        <v>48</v>
      </c>
      <c r="MR34" s="48">
        <v>47</v>
      </c>
      <c r="MS34" s="43">
        <v>1</v>
      </c>
      <c r="MT34" s="49"/>
      <c r="MU34" s="48">
        <v>0</v>
      </c>
      <c r="MV34" s="46"/>
      <c r="MW34" s="48">
        <v>0</v>
      </c>
      <c r="MX34" s="48">
        <v>0</v>
      </c>
      <c r="MY34" s="43">
        <v>0</v>
      </c>
      <c r="MZ34" s="49"/>
      <c r="NA34" s="50">
        <v>0</v>
      </c>
      <c r="NB34" s="48">
        <v>0</v>
      </c>
      <c r="NC34" s="48">
        <v>16</v>
      </c>
      <c r="ND34" s="48">
        <v>20</v>
      </c>
      <c r="NE34" s="43">
        <v>-4</v>
      </c>
      <c r="NF34" s="49"/>
      <c r="NG34" s="50">
        <v>0</v>
      </c>
      <c r="NH34" s="48">
        <v>0</v>
      </c>
      <c r="NI34" s="48">
        <v>0</v>
      </c>
      <c r="NJ34" s="48">
        <v>0</v>
      </c>
      <c r="NK34" s="43">
        <v>0</v>
      </c>
      <c r="NL34" s="49"/>
      <c r="NM34" s="50">
        <v>0</v>
      </c>
      <c r="NN34" s="48">
        <v>0</v>
      </c>
      <c r="NO34" s="48">
        <v>0</v>
      </c>
      <c r="NP34" s="48">
        <v>0</v>
      </c>
      <c r="NQ34" s="43">
        <v>0</v>
      </c>
      <c r="NR34" s="49"/>
      <c r="NS34" s="50">
        <v>0</v>
      </c>
      <c r="NT34" s="48">
        <v>0</v>
      </c>
      <c r="NU34" s="48">
        <v>48</v>
      </c>
      <c r="NV34" s="48">
        <v>50</v>
      </c>
      <c r="NW34" s="43">
        <v>-2</v>
      </c>
      <c r="NX34" s="49"/>
      <c r="NY34" s="50">
        <v>0</v>
      </c>
      <c r="NZ34" s="48">
        <v>0</v>
      </c>
      <c r="OA34" s="48">
        <v>40</v>
      </c>
      <c r="OB34" s="48">
        <v>40</v>
      </c>
      <c r="OC34" s="43">
        <v>0</v>
      </c>
      <c r="OD34" s="49"/>
      <c r="OE34" s="50">
        <v>48</v>
      </c>
      <c r="OF34" s="48">
        <v>50</v>
      </c>
      <c r="OG34" s="43">
        <v>-2</v>
      </c>
      <c r="OH34" s="49"/>
      <c r="OI34" s="50">
        <v>0</v>
      </c>
      <c r="OJ34" s="48">
        <v>0</v>
      </c>
      <c r="OK34" s="43">
        <v>0</v>
      </c>
      <c r="OL34" s="49"/>
      <c r="OM34" s="50">
        <v>0</v>
      </c>
      <c r="ON34" s="48">
        <v>0</v>
      </c>
      <c r="OO34" s="48">
        <v>48</v>
      </c>
      <c r="OP34" s="48">
        <v>50</v>
      </c>
      <c r="OQ34" s="43">
        <v>-2</v>
      </c>
      <c r="OR34" s="49"/>
      <c r="OS34" s="50">
        <v>16</v>
      </c>
      <c r="OT34" s="48">
        <v>20</v>
      </c>
      <c r="OU34" s="43">
        <v>-4</v>
      </c>
      <c r="OV34" s="49"/>
      <c r="OW34" s="50">
        <v>0</v>
      </c>
      <c r="OX34" s="48">
        <v>0</v>
      </c>
      <c r="OY34" s="48">
        <v>32</v>
      </c>
      <c r="OZ34" s="48">
        <v>33</v>
      </c>
      <c r="PA34" s="43">
        <v>-1</v>
      </c>
      <c r="PB34" s="49"/>
      <c r="PC34" s="50">
        <v>0</v>
      </c>
      <c r="PD34" s="48">
        <v>0</v>
      </c>
      <c r="PE34" s="43">
        <v>0</v>
      </c>
      <c r="PF34" s="49"/>
      <c r="PG34" s="50">
        <v>0</v>
      </c>
      <c r="PH34" s="48">
        <v>0</v>
      </c>
      <c r="PI34" s="48">
        <v>16</v>
      </c>
      <c r="PJ34" s="48">
        <v>20</v>
      </c>
      <c r="PK34" s="43">
        <v>-4</v>
      </c>
      <c r="PL34" s="49"/>
      <c r="PM34" s="47">
        <v>0</v>
      </c>
      <c r="PN34" s="48">
        <v>0</v>
      </c>
      <c r="PO34" s="48">
        <v>56</v>
      </c>
      <c r="PP34" s="48">
        <v>60</v>
      </c>
      <c r="PQ34" s="43">
        <v>-4</v>
      </c>
      <c r="PR34" s="49"/>
      <c r="PS34" s="47">
        <v>48</v>
      </c>
      <c r="PT34" s="43">
        <v>50</v>
      </c>
      <c r="PU34" s="43">
        <v>0</v>
      </c>
      <c r="PV34" s="43">
        <v>0</v>
      </c>
      <c r="PW34" s="43">
        <v>-2</v>
      </c>
      <c r="PX34" s="46"/>
      <c r="PY34" s="47">
        <v>32</v>
      </c>
      <c r="PZ34" s="43">
        <v>30</v>
      </c>
      <c r="QA34" s="43">
        <v>2</v>
      </c>
      <c r="QB34" s="46"/>
      <c r="QC34" s="47">
        <v>64</v>
      </c>
      <c r="QD34" s="43">
        <v>62</v>
      </c>
      <c r="QE34" s="43">
        <v>0</v>
      </c>
      <c r="QF34" s="43">
        <v>0</v>
      </c>
      <c r="QG34" s="43">
        <v>2</v>
      </c>
      <c r="QH34" s="46"/>
      <c r="QI34" s="47">
        <v>0</v>
      </c>
      <c r="QJ34" s="43">
        <v>0</v>
      </c>
      <c r="QK34" s="43">
        <v>0</v>
      </c>
      <c r="QL34" s="43">
        <v>0</v>
      </c>
      <c r="QM34" s="43">
        <v>0</v>
      </c>
      <c r="QN34" s="46"/>
      <c r="QO34" s="47">
        <v>48</v>
      </c>
      <c r="QP34" s="43">
        <v>50</v>
      </c>
      <c r="QQ34" s="43">
        <v>40</v>
      </c>
      <c r="QR34" s="43">
        <v>70</v>
      </c>
      <c r="QS34" s="42">
        <v>-32</v>
      </c>
      <c r="QT34" s="46">
        <v>7.04</v>
      </c>
      <c r="QU34" s="47">
        <v>80</v>
      </c>
      <c r="QV34" s="43">
        <v>80</v>
      </c>
      <c r="QW34" s="43">
        <v>0</v>
      </c>
      <c r="QX34" s="46"/>
      <c r="QY34" s="47">
        <v>0</v>
      </c>
      <c r="QZ34" s="43">
        <v>0</v>
      </c>
      <c r="RA34" s="43">
        <v>72</v>
      </c>
      <c r="RB34" s="43">
        <v>70</v>
      </c>
      <c r="RC34" s="43">
        <v>2</v>
      </c>
      <c r="RD34" s="46"/>
    </row>
    <row r="35" spans="1:472" x14ac:dyDescent="0.25">
      <c r="A35" s="43" t="s">
        <v>323</v>
      </c>
      <c r="B35" s="44">
        <v>1</v>
      </c>
      <c r="I35" s="47"/>
      <c r="J35" s="51"/>
      <c r="K35" s="51"/>
      <c r="L35" s="51"/>
      <c r="M35" s="51">
        <f t="shared" si="8"/>
        <v>0</v>
      </c>
      <c r="N35" s="46"/>
      <c r="O35" s="47"/>
      <c r="P35" s="51"/>
      <c r="Q35" s="51"/>
      <c r="R35" s="51"/>
      <c r="S35" s="51">
        <f t="shared" si="9"/>
        <v>0</v>
      </c>
      <c r="T35" s="46"/>
      <c r="U35" s="47"/>
      <c r="V35" s="51"/>
      <c r="W35" s="51"/>
      <c r="X35" s="51"/>
      <c r="Y35" s="51">
        <f t="shared" si="10"/>
        <v>0</v>
      </c>
      <c r="Z35" s="46"/>
      <c r="AA35" s="51"/>
      <c r="AE35" s="43">
        <v>0</v>
      </c>
      <c r="AF35" s="46"/>
      <c r="AG35" s="47"/>
      <c r="AK35" s="43">
        <v>0</v>
      </c>
      <c r="AL35" s="46"/>
      <c r="AQ35" s="43">
        <v>0</v>
      </c>
      <c r="AR35" s="46"/>
      <c r="AW35" s="43">
        <v>0</v>
      </c>
      <c r="AX35" s="46"/>
      <c r="AY35" s="47"/>
      <c r="BC35" s="43">
        <v>0</v>
      </c>
      <c r="BD35" s="46"/>
      <c r="BE35" s="47"/>
      <c r="BI35" s="43">
        <v>0</v>
      </c>
      <c r="BJ35" s="46"/>
      <c r="BP35" s="43">
        <v>0</v>
      </c>
      <c r="BQ35" s="46"/>
      <c r="BT35" s="43">
        <v>0</v>
      </c>
      <c r="BU35" s="46"/>
      <c r="BV35" s="47"/>
      <c r="BZ35" s="43">
        <v>0</v>
      </c>
      <c r="CA35" s="46"/>
      <c r="CF35" s="43">
        <v>0</v>
      </c>
      <c r="CG35" s="46"/>
      <c r="CL35" s="43">
        <v>0</v>
      </c>
      <c r="CM35" s="46"/>
      <c r="CN35" s="47"/>
      <c r="CR35" s="43">
        <v>0</v>
      </c>
      <c r="CS35" s="46"/>
      <c r="CX35" s="43">
        <v>0</v>
      </c>
      <c r="CY35" s="46"/>
      <c r="CZ35" s="47"/>
      <c r="DD35" s="43">
        <v>0</v>
      </c>
      <c r="DE35" s="46"/>
      <c r="DF35" s="47"/>
      <c r="DL35" s="43">
        <v>0</v>
      </c>
      <c r="DM35" s="46"/>
      <c r="DN35" s="47"/>
      <c r="DR35" s="43">
        <v>0</v>
      </c>
      <c r="DS35" s="46"/>
      <c r="DZ35" s="43">
        <v>0</v>
      </c>
      <c r="EA35" s="46"/>
      <c r="EB35" s="47"/>
      <c r="EF35" s="43">
        <v>0</v>
      </c>
      <c r="EG35" s="46"/>
      <c r="EH35" s="47"/>
      <c r="EL35" s="43">
        <v>0</v>
      </c>
      <c r="EM35" s="46"/>
      <c r="EN35" s="47"/>
      <c r="ER35" s="43">
        <v>0</v>
      </c>
      <c r="ES35" s="46"/>
      <c r="EZ35" s="43">
        <v>0</v>
      </c>
      <c r="FA35" s="46"/>
      <c r="FG35" s="43">
        <v>0</v>
      </c>
      <c r="FH35" s="46"/>
      <c r="FI35" s="47"/>
      <c r="FL35" s="43">
        <v>0</v>
      </c>
      <c r="FM35" s="46"/>
      <c r="FN35" s="47"/>
      <c r="FQ35" s="43">
        <v>0</v>
      </c>
      <c r="FR35" s="46"/>
      <c r="FW35" s="43">
        <v>0</v>
      </c>
      <c r="FX35" s="46"/>
      <c r="FY35" s="47"/>
      <c r="GD35" s="43">
        <v>0</v>
      </c>
      <c r="GE35" s="46"/>
      <c r="GJ35" s="43">
        <v>0</v>
      </c>
      <c r="GK35" s="46"/>
      <c r="GL35" s="47"/>
      <c r="GP35" s="43">
        <v>0</v>
      </c>
      <c r="GQ35" s="46"/>
      <c r="GV35" s="43">
        <v>0</v>
      </c>
      <c r="GW35" s="46"/>
      <c r="GX35" s="47"/>
      <c r="GZ35" s="43">
        <v>0</v>
      </c>
      <c r="HA35" s="46"/>
      <c r="HB35" s="47"/>
      <c r="HF35" s="43">
        <v>0</v>
      </c>
      <c r="HG35" s="46"/>
      <c r="HH35" s="47"/>
      <c r="HJ35" s="43">
        <v>0</v>
      </c>
      <c r="HK35" s="46"/>
      <c r="HL35" s="47"/>
      <c r="HP35" s="43">
        <v>0</v>
      </c>
      <c r="HQ35" s="46"/>
      <c r="HX35" s="43">
        <v>0</v>
      </c>
      <c r="HY35" s="46"/>
      <c r="HZ35" s="47"/>
      <c r="ID35" s="43">
        <v>0</v>
      </c>
      <c r="IE35" s="46"/>
      <c r="IJ35" s="43">
        <v>0</v>
      </c>
      <c r="IK35" s="49"/>
      <c r="IP35" s="43">
        <v>0</v>
      </c>
      <c r="IQ35" s="49"/>
      <c r="IV35" s="43">
        <v>0</v>
      </c>
      <c r="IW35" s="49"/>
      <c r="JB35" s="43">
        <v>0</v>
      </c>
      <c r="JC35" s="46"/>
      <c r="JF35" s="43">
        <v>0</v>
      </c>
      <c r="JG35" s="49"/>
      <c r="JL35" s="43">
        <v>0</v>
      </c>
      <c r="JM35" s="46"/>
      <c r="JN35" s="50"/>
      <c r="JP35" s="43">
        <v>0</v>
      </c>
      <c r="JQ35" s="49"/>
      <c r="JV35" s="43">
        <v>0</v>
      </c>
      <c r="JW35" s="49"/>
      <c r="KB35" s="43">
        <v>0</v>
      </c>
      <c r="KC35" s="49"/>
      <c r="KH35" s="43">
        <v>0</v>
      </c>
      <c r="KI35" s="49"/>
      <c r="KN35" s="43">
        <v>0</v>
      </c>
      <c r="KO35" s="49"/>
      <c r="KP35" s="50"/>
      <c r="KV35" s="43">
        <v>0</v>
      </c>
      <c r="KW35" s="49"/>
      <c r="KX35" s="48">
        <v>0</v>
      </c>
      <c r="KY35" s="48">
        <v>0</v>
      </c>
      <c r="KZ35" s="48">
        <v>0</v>
      </c>
      <c r="LA35" s="48">
        <v>0</v>
      </c>
      <c r="LB35" s="43">
        <v>0</v>
      </c>
      <c r="LC35" s="49"/>
      <c r="LD35" s="48">
        <v>0</v>
      </c>
      <c r="LE35" s="48">
        <v>0</v>
      </c>
      <c r="LF35" s="48">
        <v>0</v>
      </c>
      <c r="LG35" s="48">
        <v>0</v>
      </c>
      <c r="LH35" s="43">
        <v>0</v>
      </c>
      <c r="LI35" s="49"/>
      <c r="LJ35" s="50">
        <v>0</v>
      </c>
      <c r="LK35" s="48">
        <v>0</v>
      </c>
      <c r="LL35" s="43">
        <v>0</v>
      </c>
      <c r="LM35" s="49"/>
      <c r="LN35" s="50">
        <v>0</v>
      </c>
      <c r="LO35" s="48">
        <v>0</v>
      </c>
      <c r="LP35" s="48">
        <v>0</v>
      </c>
      <c r="LQ35" s="48">
        <v>0</v>
      </c>
      <c r="LR35" s="48">
        <v>0</v>
      </c>
      <c r="LS35" s="43">
        <v>0</v>
      </c>
      <c r="LT35" s="49"/>
      <c r="LU35" s="50">
        <v>0</v>
      </c>
      <c r="LV35" s="48">
        <v>0</v>
      </c>
      <c r="LW35" s="48">
        <v>0</v>
      </c>
      <c r="LX35" s="48">
        <v>0</v>
      </c>
      <c r="LY35" s="43">
        <v>0</v>
      </c>
      <c r="LZ35" s="49"/>
      <c r="MA35" s="50">
        <v>0</v>
      </c>
      <c r="MB35" s="48">
        <v>0</v>
      </c>
      <c r="MC35" s="43">
        <v>0</v>
      </c>
      <c r="MD35" s="49"/>
      <c r="ME35" s="50">
        <v>0</v>
      </c>
      <c r="MF35" s="48">
        <v>0</v>
      </c>
      <c r="MG35" s="48">
        <v>0</v>
      </c>
      <c r="MH35" s="48">
        <v>0</v>
      </c>
      <c r="MI35" s="43">
        <v>0</v>
      </c>
      <c r="MJ35" s="49"/>
      <c r="MK35" s="50">
        <v>0</v>
      </c>
      <c r="ML35" s="48">
        <v>0</v>
      </c>
      <c r="MM35" s="43">
        <v>0</v>
      </c>
      <c r="MN35" s="49"/>
      <c r="MO35" s="50">
        <v>0</v>
      </c>
      <c r="MP35" s="48">
        <v>0</v>
      </c>
      <c r="MQ35" s="48">
        <v>0</v>
      </c>
      <c r="MR35" s="48">
        <v>0</v>
      </c>
      <c r="MS35" s="43">
        <v>0</v>
      </c>
      <c r="MT35" s="49"/>
      <c r="MU35" s="48">
        <v>0</v>
      </c>
      <c r="MV35" s="46"/>
      <c r="MW35" s="48">
        <v>0</v>
      </c>
      <c r="MX35" s="48">
        <v>0</v>
      </c>
      <c r="MY35" s="43">
        <v>0</v>
      </c>
      <c r="MZ35" s="49"/>
      <c r="NA35" s="50">
        <v>0</v>
      </c>
      <c r="NB35" s="48">
        <v>0</v>
      </c>
      <c r="NC35" s="48">
        <v>0</v>
      </c>
      <c r="ND35" s="48">
        <v>0</v>
      </c>
      <c r="NE35" s="43">
        <v>0</v>
      </c>
      <c r="NF35" s="49"/>
      <c r="NG35" s="50">
        <v>0</v>
      </c>
      <c r="NH35" s="48">
        <v>0</v>
      </c>
      <c r="NI35" s="48">
        <v>0</v>
      </c>
      <c r="NJ35" s="48">
        <v>0</v>
      </c>
      <c r="NK35" s="43">
        <v>0</v>
      </c>
      <c r="NL35" s="49"/>
      <c r="NM35" s="50">
        <v>0</v>
      </c>
      <c r="NN35" s="48">
        <v>0</v>
      </c>
      <c r="NO35" s="48">
        <v>0</v>
      </c>
      <c r="NP35" s="48">
        <v>0</v>
      </c>
      <c r="NQ35" s="43">
        <v>0</v>
      </c>
      <c r="NR35" s="49"/>
      <c r="NS35" s="50">
        <v>0</v>
      </c>
      <c r="NT35" s="48">
        <v>0</v>
      </c>
      <c r="NU35" s="48">
        <v>0</v>
      </c>
      <c r="NV35" s="48">
        <v>0</v>
      </c>
      <c r="NW35" s="43">
        <v>0</v>
      </c>
      <c r="NX35" s="49"/>
      <c r="NY35" s="50">
        <v>0</v>
      </c>
      <c r="NZ35" s="48">
        <v>0</v>
      </c>
      <c r="OA35" s="48">
        <v>0</v>
      </c>
      <c r="OB35" s="48">
        <v>0</v>
      </c>
      <c r="OC35" s="43">
        <v>0</v>
      </c>
      <c r="OD35" s="49"/>
      <c r="OE35" s="50">
        <v>0</v>
      </c>
      <c r="OF35" s="48">
        <v>0</v>
      </c>
      <c r="OG35" s="43">
        <v>0</v>
      </c>
      <c r="OH35" s="49"/>
      <c r="OI35" s="50">
        <v>0</v>
      </c>
      <c r="OJ35" s="48">
        <v>0</v>
      </c>
      <c r="OK35" s="43">
        <v>0</v>
      </c>
      <c r="OL35" s="49"/>
      <c r="OM35" s="50">
        <v>0</v>
      </c>
      <c r="ON35" s="48">
        <v>0</v>
      </c>
      <c r="OO35" s="48">
        <v>0</v>
      </c>
      <c r="OP35" s="17">
        <v>20</v>
      </c>
      <c r="OQ35" s="43">
        <v>-1.4699999999999991</v>
      </c>
      <c r="OR35" s="49"/>
      <c r="OS35" s="50">
        <v>0</v>
      </c>
      <c r="OT35" s="48">
        <v>0</v>
      </c>
      <c r="OU35" s="43">
        <v>0</v>
      </c>
      <c r="OV35" s="49"/>
      <c r="OW35" s="50">
        <v>0</v>
      </c>
      <c r="OX35" s="48">
        <v>0</v>
      </c>
      <c r="OY35" s="48">
        <v>0</v>
      </c>
      <c r="OZ35" s="48">
        <v>0</v>
      </c>
      <c r="PA35" s="43">
        <v>0</v>
      </c>
      <c r="PB35" s="49"/>
      <c r="PC35" s="50">
        <v>0</v>
      </c>
      <c r="PD35" s="48">
        <v>0</v>
      </c>
      <c r="PE35" s="43">
        <v>0</v>
      </c>
      <c r="PF35" s="49"/>
      <c r="PG35" s="50">
        <v>0</v>
      </c>
      <c r="PH35" s="48">
        <v>0</v>
      </c>
      <c r="PI35" s="48">
        <v>0</v>
      </c>
      <c r="PJ35" s="48">
        <v>0</v>
      </c>
      <c r="PK35" s="43">
        <v>0</v>
      </c>
      <c r="PL35" s="49"/>
      <c r="PM35" s="47">
        <v>0</v>
      </c>
      <c r="PN35" s="48">
        <v>0</v>
      </c>
      <c r="PO35" s="48">
        <v>0</v>
      </c>
      <c r="PP35" s="33">
        <v>20</v>
      </c>
      <c r="PQ35" s="42">
        <v>-20</v>
      </c>
      <c r="PR35" s="49">
        <v>20</v>
      </c>
      <c r="PS35" s="47">
        <v>58.387</v>
      </c>
      <c r="PT35" s="43">
        <v>60</v>
      </c>
      <c r="PU35" s="43">
        <v>57.741999999999997</v>
      </c>
      <c r="PV35" s="43">
        <v>60</v>
      </c>
      <c r="PW35" s="43">
        <v>-3.8710000000000089</v>
      </c>
      <c r="PX35" s="46"/>
      <c r="PY35" s="47">
        <v>0</v>
      </c>
      <c r="PZ35" s="43">
        <v>0</v>
      </c>
      <c r="QA35" s="43">
        <v>0</v>
      </c>
      <c r="QB35" s="46"/>
      <c r="QC35" s="47">
        <v>0</v>
      </c>
      <c r="QD35" s="43">
        <v>0</v>
      </c>
      <c r="QE35" s="43">
        <v>0</v>
      </c>
      <c r="QF35" s="43">
        <v>0</v>
      </c>
      <c r="QG35" s="43">
        <v>0</v>
      </c>
      <c r="QH35" s="46"/>
      <c r="QI35" s="47">
        <v>0</v>
      </c>
      <c r="QJ35" s="43">
        <v>0</v>
      </c>
      <c r="QK35" s="43">
        <v>0</v>
      </c>
      <c r="QL35" s="43">
        <v>0</v>
      </c>
      <c r="QM35" s="43">
        <v>0</v>
      </c>
      <c r="QN35" s="46"/>
      <c r="QO35" s="47">
        <v>0</v>
      </c>
      <c r="QP35" s="43">
        <v>0</v>
      </c>
      <c r="QQ35" s="43">
        <v>148.13499999999999</v>
      </c>
      <c r="QR35" s="43">
        <v>0</v>
      </c>
      <c r="QS35" s="43">
        <v>148.13499999999999</v>
      </c>
      <c r="QT35" s="46"/>
      <c r="QU35" s="47">
        <v>0</v>
      </c>
      <c r="QV35" s="43">
        <v>0</v>
      </c>
      <c r="QW35" s="43">
        <v>0</v>
      </c>
      <c r="QX35" s="46"/>
      <c r="QY35" s="47">
        <v>0</v>
      </c>
      <c r="QZ35" s="43">
        <v>0</v>
      </c>
      <c r="RA35" s="43">
        <v>0</v>
      </c>
      <c r="RB35" s="43">
        <v>0</v>
      </c>
      <c r="RC35" s="43">
        <v>0</v>
      </c>
      <c r="RD35" s="46"/>
    </row>
    <row r="36" spans="1:472" x14ac:dyDescent="0.25">
      <c r="A36" s="43" t="s">
        <v>324</v>
      </c>
      <c r="B36" s="44">
        <v>0.4</v>
      </c>
      <c r="I36" s="47"/>
      <c r="J36" s="51"/>
      <c r="K36" s="51"/>
      <c r="L36" s="52">
        <v>18</v>
      </c>
      <c r="M36" s="51">
        <f>K205-J36-L36</f>
        <v>-2</v>
      </c>
      <c r="N36" s="46"/>
      <c r="O36" s="47"/>
      <c r="P36" s="51"/>
      <c r="Q36" s="51"/>
      <c r="R36" s="52">
        <v>16</v>
      </c>
      <c r="S36" s="51">
        <f>Q205-P36-R36</f>
        <v>0</v>
      </c>
      <c r="T36" s="46"/>
      <c r="U36" s="47"/>
      <c r="V36" s="52">
        <v>6</v>
      </c>
      <c r="W36" s="51"/>
      <c r="X36" s="51"/>
      <c r="Y36" s="51">
        <f>U205-V36-X36</f>
        <v>2</v>
      </c>
      <c r="Z36" s="46"/>
      <c r="AA36" s="51"/>
      <c r="AE36" s="43">
        <v>0</v>
      </c>
      <c r="AF36" s="46"/>
      <c r="AG36" s="47"/>
      <c r="AK36" s="43">
        <v>0</v>
      </c>
      <c r="AL36" s="46"/>
      <c r="AQ36" s="43">
        <v>0</v>
      </c>
      <c r="AR36" s="46"/>
      <c r="AW36" s="43">
        <v>0</v>
      </c>
      <c r="AX36" s="46"/>
      <c r="AY36" s="47"/>
      <c r="BC36" s="43">
        <v>0</v>
      </c>
      <c r="BD36" s="46"/>
      <c r="BE36" s="47"/>
      <c r="BG36">
        <v>32</v>
      </c>
      <c r="BH36">
        <v>36</v>
      </c>
      <c r="BI36" s="43">
        <v>-4</v>
      </c>
      <c r="BJ36" s="46"/>
      <c r="BN36">
        <v>72</v>
      </c>
      <c r="BO36">
        <v>73</v>
      </c>
      <c r="BP36" s="43">
        <v>-1</v>
      </c>
      <c r="BQ36" s="46"/>
      <c r="BT36" s="43">
        <v>0</v>
      </c>
      <c r="BU36" s="46"/>
      <c r="BV36" s="45">
        <v>16</v>
      </c>
      <c r="BW36">
        <v>15</v>
      </c>
      <c r="BZ36" s="43">
        <v>1</v>
      </c>
      <c r="CA36" s="46"/>
      <c r="CD36">
        <v>88</v>
      </c>
      <c r="CE36">
        <v>93</v>
      </c>
      <c r="CF36" s="43">
        <v>-5</v>
      </c>
      <c r="CG36" s="46"/>
      <c r="CL36" s="43">
        <v>0</v>
      </c>
      <c r="CM36" s="46"/>
      <c r="CN36" s="47"/>
      <c r="CP36">
        <v>56</v>
      </c>
      <c r="CQ36" s="43">
        <v>60</v>
      </c>
      <c r="CR36" s="43">
        <v>-4</v>
      </c>
      <c r="CS36" s="46"/>
      <c r="CX36" s="43">
        <v>0</v>
      </c>
      <c r="CY36" s="46"/>
      <c r="CZ36" s="47"/>
      <c r="DD36" s="43">
        <v>0</v>
      </c>
      <c r="DE36" s="46"/>
      <c r="DF36" s="47"/>
      <c r="DL36" s="43">
        <v>0</v>
      </c>
      <c r="DM36" s="46"/>
      <c r="DN36" s="47"/>
      <c r="DR36" s="43">
        <v>0</v>
      </c>
      <c r="DS36" s="46"/>
      <c r="DZ36" s="43">
        <v>0</v>
      </c>
      <c r="EA36" s="46"/>
      <c r="EB36" s="47"/>
      <c r="EF36" s="43">
        <v>0</v>
      </c>
      <c r="EG36" s="46"/>
      <c r="EH36" s="47"/>
      <c r="EL36" s="43">
        <v>0</v>
      </c>
      <c r="EM36" s="46"/>
      <c r="EN36" s="47"/>
      <c r="ER36" s="43">
        <v>0</v>
      </c>
      <c r="ES36" s="46"/>
      <c r="EZ36" s="43">
        <v>0</v>
      </c>
      <c r="FA36" s="46"/>
      <c r="FG36" s="43">
        <v>0</v>
      </c>
      <c r="FH36" s="46"/>
      <c r="FI36" s="47"/>
      <c r="FL36" s="43">
        <v>0</v>
      </c>
      <c r="FM36" s="46"/>
      <c r="FN36" s="47"/>
      <c r="FQ36" s="43">
        <v>0</v>
      </c>
      <c r="FR36" s="46"/>
      <c r="FW36" s="43">
        <v>0</v>
      </c>
      <c r="FX36" s="46"/>
      <c r="FY36" s="47"/>
      <c r="GD36" s="43">
        <v>0</v>
      </c>
      <c r="GE36" s="46"/>
      <c r="GJ36" s="43">
        <v>0</v>
      </c>
      <c r="GK36" s="46"/>
      <c r="GL36" s="47"/>
      <c r="GP36" s="43">
        <v>0</v>
      </c>
      <c r="GQ36" s="46"/>
      <c r="GV36" s="43">
        <v>0</v>
      </c>
      <c r="GW36" s="46"/>
      <c r="GX36" s="47"/>
      <c r="GZ36" s="43">
        <v>0</v>
      </c>
      <c r="HA36" s="46"/>
      <c r="HB36" s="47"/>
      <c r="HF36" s="43">
        <v>0</v>
      </c>
      <c r="HG36" s="46"/>
      <c r="HH36" s="47"/>
      <c r="HJ36" s="43">
        <v>0</v>
      </c>
      <c r="HK36" s="46"/>
      <c r="HL36" s="47"/>
      <c r="HP36" s="43">
        <v>0</v>
      </c>
      <c r="HQ36" s="46"/>
      <c r="HX36" s="43">
        <v>0</v>
      </c>
      <c r="HY36" s="46"/>
      <c r="HZ36" s="47"/>
      <c r="ID36" s="43">
        <v>0</v>
      </c>
      <c r="IE36" s="46"/>
      <c r="IJ36" s="43">
        <v>0</v>
      </c>
      <c r="IK36" s="49"/>
      <c r="IP36" s="43">
        <v>0</v>
      </c>
      <c r="IQ36" s="49"/>
      <c r="IV36" s="43">
        <v>0</v>
      </c>
      <c r="IW36" s="49"/>
      <c r="JB36" s="43">
        <v>0</v>
      </c>
      <c r="JC36" s="46"/>
      <c r="JF36" s="43">
        <v>0</v>
      </c>
      <c r="JG36" s="49"/>
      <c r="JL36" s="43">
        <v>0</v>
      </c>
      <c r="JM36" s="46"/>
      <c r="JN36" s="50"/>
      <c r="JP36" s="43">
        <v>0</v>
      </c>
      <c r="JQ36" s="49"/>
      <c r="JV36" s="43">
        <v>0</v>
      </c>
      <c r="JW36" s="49"/>
      <c r="KB36" s="43">
        <v>0</v>
      </c>
      <c r="KC36" s="49"/>
      <c r="KH36" s="43">
        <v>0</v>
      </c>
      <c r="KI36" s="49"/>
      <c r="KN36" s="43">
        <v>0</v>
      </c>
      <c r="KO36" s="49"/>
      <c r="KP36" s="50"/>
      <c r="KV36" s="43">
        <v>0</v>
      </c>
      <c r="KW36" s="49"/>
      <c r="KX36" s="48">
        <v>0</v>
      </c>
      <c r="KY36" s="48">
        <v>0</v>
      </c>
      <c r="KZ36" s="48">
        <v>0</v>
      </c>
      <c r="LA36" s="48">
        <v>0</v>
      </c>
      <c r="LB36" s="43">
        <v>0</v>
      </c>
      <c r="LC36" s="49"/>
      <c r="LD36" s="48">
        <v>0</v>
      </c>
      <c r="LE36" s="48">
        <v>0</v>
      </c>
      <c r="LF36" s="48">
        <v>0</v>
      </c>
      <c r="LG36" s="48">
        <v>0</v>
      </c>
      <c r="LH36" s="43">
        <v>0</v>
      </c>
      <c r="LI36" s="49"/>
      <c r="LJ36" s="50">
        <v>0</v>
      </c>
      <c r="LK36" s="48">
        <v>0</v>
      </c>
      <c r="LL36" s="43">
        <v>0</v>
      </c>
      <c r="LM36" s="49"/>
      <c r="LN36" s="50">
        <v>0</v>
      </c>
      <c r="LO36" s="48">
        <v>0</v>
      </c>
      <c r="LP36" s="48">
        <v>0</v>
      </c>
      <c r="LQ36" s="48">
        <v>0</v>
      </c>
      <c r="LR36" s="48">
        <v>0</v>
      </c>
      <c r="LS36" s="43">
        <v>0</v>
      </c>
      <c r="LT36" s="49"/>
      <c r="LU36" s="50">
        <v>0</v>
      </c>
      <c r="LV36" s="48">
        <v>0</v>
      </c>
      <c r="LW36" s="48">
        <v>0</v>
      </c>
      <c r="LX36" s="48">
        <v>0</v>
      </c>
      <c r="LY36" s="43">
        <v>0</v>
      </c>
      <c r="LZ36" s="49"/>
      <c r="MA36" s="50">
        <v>0</v>
      </c>
      <c r="MB36" s="48">
        <v>0</v>
      </c>
      <c r="MC36" s="43">
        <v>0</v>
      </c>
      <c r="MD36" s="49"/>
      <c r="ME36" s="50">
        <v>0</v>
      </c>
      <c r="MF36" s="48">
        <v>0</v>
      </c>
      <c r="MG36" s="48">
        <v>0</v>
      </c>
      <c r="MH36" s="48">
        <v>0</v>
      </c>
      <c r="MI36" s="43">
        <v>0</v>
      </c>
      <c r="MJ36" s="49"/>
      <c r="MK36" s="50">
        <v>0</v>
      </c>
      <c r="ML36" s="48">
        <v>0</v>
      </c>
      <c r="MM36" s="43">
        <v>0</v>
      </c>
      <c r="MN36" s="49"/>
      <c r="MO36" s="50">
        <v>0</v>
      </c>
      <c r="MP36" s="48">
        <v>0</v>
      </c>
      <c r="MQ36" s="48">
        <v>0</v>
      </c>
      <c r="MR36" s="48">
        <v>0</v>
      </c>
      <c r="MS36" s="43">
        <v>0</v>
      </c>
      <c r="MT36" s="49"/>
      <c r="MU36" s="48">
        <v>0</v>
      </c>
      <c r="MV36" s="46"/>
      <c r="MW36" s="48">
        <v>0</v>
      </c>
      <c r="MX36" s="48">
        <v>0</v>
      </c>
      <c r="MY36" s="43">
        <v>0</v>
      </c>
      <c r="MZ36" s="49"/>
      <c r="NA36" s="50">
        <v>0</v>
      </c>
      <c r="NB36" s="48">
        <v>0</v>
      </c>
      <c r="NC36" s="48">
        <v>0</v>
      </c>
      <c r="ND36" s="48">
        <v>0</v>
      </c>
      <c r="NE36" s="43">
        <v>0</v>
      </c>
      <c r="NF36" s="49"/>
      <c r="NG36" s="50">
        <v>0</v>
      </c>
      <c r="NH36" s="48">
        <v>0</v>
      </c>
      <c r="NI36" s="48">
        <v>0</v>
      </c>
      <c r="NJ36" s="48">
        <v>0</v>
      </c>
      <c r="NK36" s="43">
        <v>0</v>
      </c>
      <c r="NL36" s="49"/>
      <c r="NM36" s="50">
        <v>0</v>
      </c>
      <c r="NN36" s="48">
        <v>0</v>
      </c>
      <c r="NO36" s="48">
        <v>0</v>
      </c>
      <c r="NP36" s="48">
        <v>0</v>
      </c>
      <c r="NQ36" s="43">
        <v>0</v>
      </c>
      <c r="NR36" s="49"/>
      <c r="NS36" s="50">
        <v>0</v>
      </c>
      <c r="NT36" s="48">
        <v>0</v>
      </c>
      <c r="NU36" s="48">
        <v>0</v>
      </c>
      <c r="NV36" s="48">
        <v>0</v>
      </c>
      <c r="NW36" s="43">
        <v>0</v>
      </c>
      <c r="NX36" s="49"/>
      <c r="NY36" s="50">
        <v>0</v>
      </c>
      <c r="NZ36" s="48">
        <v>0</v>
      </c>
      <c r="OA36" s="48">
        <v>0</v>
      </c>
      <c r="OB36" s="48">
        <v>0</v>
      </c>
      <c r="OC36" s="43">
        <v>0</v>
      </c>
      <c r="OD36" s="49"/>
      <c r="OE36" s="50">
        <v>0</v>
      </c>
      <c r="OF36" s="48">
        <v>0</v>
      </c>
      <c r="OG36" s="43">
        <v>0</v>
      </c>
      <c r="OH36" s="49"/>
      <c r="OI36" s="50">
        <v>0</v>
      </c>
      <c r="OJ36" s="48">
        <v>0</v>
      </c>
      <c r="OK36" s="43">
        <v>0</v>
      </c>
      <c r="OL36" s="49"/>
      <c r="OM36" s="50">
        <v>0</v>
      </c>
      <c r="ON36" s="48">
        <v>0</v>
      </c>
      <c r="OO36" s="48">
        <v>0</v>
      </c>
      <c r="OP36" s="48">
        <v>0</v>
      </c>
      <c r="OQ36" s="43">
        <v>0</v>
      </c>
      <c r="OR36" s="49"/>
      <c r="OS36" s="50">
        <v>0</v>
      </c>
      <c r="OT36" s="48">
        <v>0</v>
      </c>
      <c r="OU36" s="43">
        <v>0</v>
      </c>
      <c r="OV36" s="49"/>
      <c r="OW36" s="50">
        <v>0</v>
      </c>
      <c r="OX36" s="48">
        <v>0</v>
      </c>
      <c r="OY36" s="48">
        <v>0</v>
      </c>
      <c r="OZ36" s="48">
        <v>0</v>
      </c>
      <c r="PA36" s="43">
        <v>0</v>
      </c>
      <c r="PB36" s="49"/>
      <c r="PC36" s="50">
        <v>0</v>
      </c>
      <c r="PD36" s="48">
        <v>0</v>
      </c>
      <c r="PE36" s="43">
        <v>0</v>
      </c>
      <c r="PF36" s="49"/>
      <c r="PG36" s="50">
        <v>0</v>
      </c>
      <c r="PH36" s="48">
        <v>0</v>
      </c>
      <c r="PI36" s="48">
        <v>0</v>
      </c>
      <c r="PJ36" s="48">
        <v>0</v>
      </c>
      <c r="PK36" s="43">
        <v>0</v>
      </c>
      <c r="PL36" s="49"/>
      <c r="PM36" s="47">
        <v>0</v>
      </c>
      <c r="PN36" s="48">
        <v>0</v>
      </c>
      <c r="PO36" s="48">
        <v>0</v>
      </c>
      <c r="PP36" s="48">
        <v>0</v>
      </c>
      <c r="PQ36" s="43">
        <v>0</v>
      </c>
      <c r="PR36" s="49"/>
      <c r="PS36" s="47">
        <v>0</v>
      </c>
      <c r="PT36" s="43">
        <v>0</v>
      </c>
      <c r="PU36" s="43">
        <v>0</v>
      </c>
      <c r="PV36" s="43">
        <v>0</v>
      </c>
      <c r="PW36" s="43">
        <v>0</v>
      </c>
      <c r="PX36" s="46"/>
      <c r="PY36" s="47">
        <v>0</v>
      </c>
      <c r="PZ36" s="43">
        <v>0</v>
      </c>
      <c r="QA36" s="43">
        <v>0</v>
      </c>
      <c r="QB36" s="46"/>
      <c r="QC36" s="47">
        <v>0</v>
      </c>
      <c r="QD36" s="43">
        <v>0</v>
      </c>
      <c r="QE36" s="43">
        <v>0</v>
      </c>
      <c r="QF36" s="43">
        <v>0</v>
      </c>
      <c r="QG36" s="43">
        <v>0</v>
      </c>
      <c r="QH36" s="46"/>
      <c r="QI36" s="47">
        <v>0</v>
      </c>
      <c r="QJ36" s="43">
        <v>0</v>
      </c>
      <c r="QK36" s="43">
        <v>0</v>
      </c>
      <c r="QL36" s="43">
        <v>0</v>
      </c>
      <c r="QM36" s="43">
        <v>0</v>
      </c>
      <c r="QN36" s="46"/>
      <c r="QO36" s="47">
        <v>0</v>
      </c>
      <c r="QP36" s="43">
        <v>0</v>
      </c>
      <c r="QQ36" s="43">
        <v>80</v>
      </c>
      <c r="QR36" s="43">
        <v>0</v>
      </c>
      <c r="QS36" s="43">
        <v>80</v>
      </c>
      <c r="QT36" s="46"/>
      <c r="QU36" s="47">
        <v>96</v>
      </c>
      <c r="QV36" s="43">
        <v>100</v>
      </c>
      <c r="QW36" s="43">
        <v>-4</v>
      </c>
      <c r="QX36" s="46"/>
      <c r="QY36" s="47">
        <v>0</v>
      </c>
      <c r="QZ36" s="43">
        <v>0</v>
      </c>
      <c r="RA36" s="43">
        <v>320</v>
      </c>
      <c r="RB36" s="43">
        <v>400</v>
      </c>
      <c r="RC36" s="42">
        <v>-80</v>
      </c>
      <c r="RD36" s="46">
        <v>32</v>
      </c>
    </row>
    <row r="37" spans="1:472" x14ac:dyDescent="0.25">
      <c r="A37" s="43" t="s">
        <v>325</v>
      </c>
      <c r="B37" s="44">
        <v>1</v>
      </c>
      <c r="I37" s="47"/>
      <c r="J37" s="51"/>
      <c r="K37" s="51"/>
      <c r="L37" s="51"/>
      <c r="M37" s="51">
        <f t="shared" si="8"/>
        <v>0</v>
      </c>
      <c r="N37" s="46"/>
      <c r="O37" s="47"/>
      <c r="P37" s="51"/>
      <c r="Q37" s="51"/>
      <c r="R37" s="51"/>
      <c r="S37" s="51">
        <f t="shared" si="9"/>
        <v>0</v>
      </c>
      <c r="T37" s="46"/>
      <c r="U37" s="47"/>
      <c r="V37" s="51"/>
      <c r="W37" s="51"/>
      <c r="X37" s="51"/>
      <c r="Y37" s="51">
        <f t="shared" si="10"/>
        <v>0</v>
      </c>
      <c r="Z37" s="46"/>
      <c r="AA37" s="51"/>
      <c r="AE37" s="43">
        <v>0</v>
      </c>
      <c r="AF37" s="46"/>
      <c r="AG37" s="47"/>
      <c r="AK37" s="43">
        <v>0</v>
      </c>
      <c r="AL37" s="46"/>
      <c r="AQ37" s="43">
        <v>0</v>
      </c>
      <c r="AR37" s="46"/>
      <c r="AW37" s="43">
        <v>0</v>
      </c>
      <c r="AX37" s="46"/>
      <c r="AY37" s="47"/>
      <c r="BC37" s="43">
        <v>0</v>
      </c>
      <c r="BD37" s="46"/>
      <c r="BE37" s="47"/>
      <c r="BI37" s="43">
        <v>0</v>
      </c>
      <c r="BJ37" s="46"/>
      <c r="BP37" s="43">
        <v>0</v>
      </c>
      <c r="BQ37" s="46"/>
      <c r="BT37" s="43">
        <v>0</v>
      </c>
      <c r="BU37" s="46"/>
      <c r="BV37" s="47"/>
      <c r="BZ37" s="43">
        <v>0</v>
      </c>
      <c r="CA37" s="46"/>
      <c r="CF37" s="43">
        <v>0</v>
      </c>
      <c r="CG37" s="46"/>
      <c r="CL37" s="43">
        <v>0</v>
      </c>
      <c r="CM37" s="46"/>
      <c r="CN37" s="47"/>
      <c r="CR37" s="43">
        <v>0</v>
      </c>
      <c r="CS37" s="46"/>
      <c r="CX37" s="43">
        <v>0</v>
      </c>
      <c r="CY37" s="46"/>
      <c r="CZ37" s="47"/>
      <c r="DD37" s="43">
        <v>0</v>
      </c>
      <c r="DE37" s="46"/>
      <c r="DF37" s="47"/>
      <c r="DL37" s="43">
        <v>0</v>
      </c>
      <c r="DM37" s="46"/>
      <c r="DN37" s="47"/>
      <c r="DR37" s="43">
        <v>0</v>
      </c>
      <c r="DS37" s="46"/>
      <c r="DZ37" s="43">
        <v>0</v>
      </c>
      <c r="EA37" s="46"/>
      <c r="EB37" s="47"/>
      <c r="EF37" s="43">
        <v>0</v>
      </c>
      <c r="EG37" s="46"/>
      <c r="EH37" s="47"/>
      <c r="EL37" s="43">
        <v>0</v>
      </c>
      <c r="EM37" s="46"/>
      <c r="EN37" s="47"/>
      <c r="ER37" s="43">
        <v>0</v>
      </c>
      <c r="ES37" s="46"/>
      <c r="EZ37" s="43">
        <v>0</v>
      </c>
      <c r="FA37" s="46"/>
      <c r="FG37" s="43">
        <v>0</v>
      </c>
      <c r="FH37" s="46"/>
      <c r="FI37" s="47"/>
      <c r="FL37" s="43">
        <v>0</v>
      </c>
      <c r="FM37" s="46"/>
      <c r="FN37" s="47"/>
      <c r="FQ37" s="43">
        <v>0</v>
      </c>
      <c r="FR37" s="46"/>
      <c r="FW37" s="43">
        <v>0</v>
      </c>
      <c r="FX37" s="46"/>
      <c r="FY37" s="47"/>
      <c r="GD37" s="43">
        <v>0</v>
      </c>
      <c r="GE37" s="46"/>
      <c r="GJ37" s="43">
        <v>0</v>
      </c>
      <c r="GK37" s="46"/>
      <c r="GL37" s="47"/>
      <c r="GP37" s="43">
        <v>0</v>
      </c>
      <c r="GQ37" s="46"/>
      <c r="GV37" s="43">
        <v>0</v>
      </c>
      <c r="GW37" s="46"/>
      <c r="GX37" s="47"/>
      <c r="GZ37" s="43">
        <v>0</v>
      </c>
      <c r="HA37" s="46"/>
      <c r="HB37" s="47"/>
      <c r="HF37" s="43">
        <v>0</v>
      </c>
      <c r="HG37" s="46"/>
      <c r="HH37" s="47"/>
      <c r="HJ37" s="43">
        <v>0</v>
      </c>
      <c r="HK37" s="46"/>
      <c r="HL37" s="47"/>
      <c r="HP37" s="43">
        <v>0</v>
      </c>
      <c r="HQ37" s="46"/>
      <c r="HX37" s="43">
        <v>0</v>
      </c>
      <c r="HY37" s="46"/>
      <c r="HZ37" s="47"/>
      <c r="ID37" s="43">
        <v>0</v>
      </c>
      <c r="IE37" s="46"/>
      <c r="IJ37" s="43">
        <v>0</v>
      </c>
      <c r="IK37" s="49"/>
      <c r="IP37" s="43">
        <v>0</v>
      </c>
      <c r="IQ37" s="49"/>
      <c r="IV37" s="43">
        <v>0</v>
      </c>
      <c r="IW37" s="49"/>
      <c r="JB37" s="43">
        <v>0</v>
      </c>
      <c r="JC37" s="46"/>
      <c r="JF37" s="43">
        <v>0</v>
      </c>
      <c r="JG37" s="49"/>
      <c r="JL37" s="43">
        <v>0</v>
      </c>
      <c r="JM37" s="46"/>
      <c r="JN37" s="50"/>
      <c r="JP37" s="43">
        <v>0</v>
      </c>
      <c r="JQ37" s="49"/>
      <c r="JV37" s="43">
        <v>0</v>
      </c>
      <c r="JW37" s="49"/>
      <c r="KB37" s="43">
        <v>0</v>
      </c>
      <c r="KC37" s="49"/>
      <c r="KH37" s="43">
        <v>0</v>
      </c>
      <c r="KI37" s="49"/>
      <c r="KN37" s="43">
        <v>0</v>
      </c>
      <c r="KO37" s="49"/>
      <c r="KP37" s="50"/>
      <c r="KV37" s="43">
        <v>0</v>
      </c>
      <c r="KW37" s="49"/>
      <c r="KX37" s="48">
        <v>0</v>
      </c>
      <c r="KY37" s="48">
        <v>0</v>
      </c>
      <c r="KZ37" s="48">
        <v>0</v>
      </c>
      <c r="LA37" s="48">
        <v>0</v>
      </c>
      <c r="LB37" s="43">
        <v>0</v>
      </c>
      <c r="LC37" s="49"/>
      <c r="LD37" s="48">
        <v>0</v>
      </c>
      <c r="LE37" s="48">
        <v>0</v>
      </c>
      <c r="LF37" s="48">
        <v>0</v>
      </c>
      <c r="LG37" s="48">
        <v>0</v>
      </c>
      <c r="LH37" s="43">
        <v>0</v>
      </c>
      <c r="LI37" s="49"/>
      <c r="LJ37" s="50">
        <v>0</v>
      </c>
      <c r="LK37" s="48">
        <v>0</v>
      </c>
      <c r="LL37" s="43">
        <v>0</v>
      </c>
      <c r="LM37" s="49"/>
      <c r="LN37" s="50">
        <v>0</v>
      </c>
      <c r="LO37" s="48">
        <v>0</v>
      </c>
      <c r="LP37" s="48">
        <v>0</v>
      </c>
      <c r="LQ37" s="48">
        <v>0</v>
      </c>
      <c r="LR37" s="48">
        <v>0</v>
      </c>
      <c r="LS37" s="43">
        <v>0</v>
      </c>
      <c r="LT37" s="49"/>
      <c r="LU37" s="50">
        <v>0</v>
      </c>
      <c r="LV37" s="48">
        <v>0</v>
      </c>
      <c r="LW37" s="48">
        <v>0</v>
      </c>
      <c r="LX37" s="48">
        <v>0</v>
      </c>
      <c r="LY37" s="43">
        <v>0</v>
      </c>
      <c r="LZ37" s="49"/>
      <c r="MA37" s="50">
        <v>0</v>
      </c>
      <c r="MB37" s="48">
        <v>0</v>
      </c>
      <c r="MC37" s="43">
        <v>0</v>
      </c>
      <c r="MD37" s="49"/>
      <c r="ME37" s="50">
        <v>0</v>
      </c>
      <c r="MF37" s="48">
        <v>0</v>
      </c>
      <c r="MG37" s="48">
        <v>0</v>
      </c>
      <c r="MH37" s="48">
        <v>0</v>
      </c>
      <c r="MI37" s="43">
        <v>0</v>
      </c>
      <c r="MJ37" s="49"/>
      <c r="MK37" s="50">
        <v>0</v>
      </c>
      <c r="ML37" s="48">
        <v>0</v>
      </c>
      <c r="MM37" s="43">
        <v>0</v>
      </c>
      <c r="MN37" s="49"/>
      <c r="MO37" s="50">
        <v>0</v>
      </c>
      <c r="MP37" s="48">
        <v>0</v>
      </c>
      <c r="MQ37" s="48">
        <v>0</v>
      </c>
      <c r="MR37" s="48">
        <v>0</v>
      </c>
      <c r="MS37" s="43">
        <v>0</v>
      </c>
      <c r="MT37" s="49"/>
      <c r="MU37" s="48">
        <v>0</v>
      </c>
      <c r="MV37" s="46"/>
      <c r="MW37" s="48">
        <v>0</v>
      </c>
      <c r="MX37" s="48">
        <v>0</v>
      </c>
      <c r="MY37" s="43">
        <v>0</v>
      </c>
      <c r="MZ37" s="49"/>
      <c r="NA37" s="50">
        <v>0</v>
      </c>
      <c r="NB37" s="48">
        <v>0</v>
      </c>
      <c r="NC37" s="48">
        <v>21.37</v>
      </c>
      <c r="ND37" s="48">
        <v>20</v>
      </c>
      <c r="NE37" s="43">
        <v>1.370000000000001</v>
      </c>
      <c r="NF37" s="49"/>
      <c r="NG37" s="50">
        <v>0</v>
      </c>
      <c r="NH37" s="33">
        <v>25</v>
      </c>
      <c r="NI37" s="48">
        <v>0</v>
      </c>
      <c r="NJ37" s="48">
        <v>0</v>
      </c>
      <c r="NK37" s="42">
        <v>-25</v>
      </c>
      <c r="NL37" s="49">
        <v>25</v>
      </c>
      <c r="NM37" s="50">
        <v>103.509</v>
      </c>
      <c r="NN37" s="48">
        <v>100</v>
      </c>
      <c r="NO37" s="48">
        <v>200.63900000000001</v>
      </c>
      <c r="NP37" s="48">
        <v>200</v>
      </c>
      <c r="NQ37" s="43">
        <v>4.1480000000000246</v>
      </c>
      <c r="NR37" s="49"/>
      <c r="NS37" s="50">
        <v>0</v>
      </c>
      <c r="NT37" s="48">
        <v>0</v>
      </c>
      <c r="NU37" s="48">
        <v>0</v>
      </c>
      <c r="NV37" s="48">
        <v>0</v>
      </c>
      <c r="NW37" s="43">
        <v>0</v>
      </c>
      <c r="NX37" s="49"/>
      <c r="NY37" s="50">
        <v>0</v>
      </c>
      <c r="NZ37" s="48">
        <v>0</v>
      </c>
      <c r="OA37" s="48">
        <v>48.741</v>
      </c>
      <c r="OB37" s="48">
        <v>50</v>
      </c>
      <c r="OC37" s="43">
        <v>-1.2589999999999999</v>
      </c>
      <c r="OD37" s="49"/>
      <c r="OE37" s="50">
        <v>163.405</v>
      </c>
      <c r="OF37" s="48">
        <v>160</v>
      </c>
      <c r="OG37" s="43">
        <v>3.4050000000000011</v>
      </c>
      <c r="OH37" s="49"/>
      <c r="OI37" s="50">
        <v>150.916</v>
      </c>
      <c r="OJ37" s="48">
        <v>153</v>
      </c>
      <c r="OK37" s="43">
        <v>-2.0840000000000032</v>
      </c>
      <c r="OL37" s="49"/>
      <c r="OM37" s="50">
        <v>199.72800000000001</v>
      </c>
      <c r="ON37" s="48">
        <v>200</v>
      </c>
      <c r="OO37" s="48">
        <v>151.321</v>
      </c>
      <c r="OP37" s="48">
        <v>150</v>
      </c>
      <c r="OQ37" s="43">
        <v>1.048999999999978</v>
      </c>
      <c r="OR37" s="49"/>
      <c r="OS37" s="50">
        <v>0</v>
      </c>
      <c r="OT37" s="48">
        <v>0</v>
      </c>
      <c r="OU37" s="43">
        <v>0</v>
      </c>
      <c r="OV37" s="49"/>
      <c r="OW37" s="50">
        <v>111.218</v>
      </c>
      <c r="OX37" s="48">
        <v>300</v>
      </c>
      <c r="OY37" s="48">
        <v>324.33699999999999</v>
      </c>
      <c r="OZ37" s="48">
        <v>199</v>
      </c>
      <c r="PA37" s="42">
        <v>-63.444999999999993</v>
      </c>
      <c r="PB37" s="49">
        <v>63.444999999999993</v>
      </c>
      <c r="PC37" s="50">
        <v>0</v>
      </c>
      <c r="PD37" s="48">
        <v>0</v>
      </c>
      <c r="PE37" s="43">
        <v>0</v>
      </c>
      <c r="PF37" s="49"/>
      <c r="PG37" s="50">
        <v>91.878</v>
      </c>
      <c r="PH37" s="48">
        <v>100</v>
      </c>
      <c r="PI37" s="48">
        <v>188.25800000000001</v>
      </c>
      <c r="PJ37" s="48">
        <v>208</v>
      </c>
      <c r="PK37" s="42">
        <v>-27.863999999999979</v>
      </c>
      <c r="PL37" s="49">
        <v>27.863999999999979</v>
      </c>
      <c r="PM37" s="47">
        <v>151.58000000000001</v>
      </c>
      <c r="PN37" s="48">
        <v>150</v>
      </c>
      <c r="PO37" s="48">
        <v>183.398</v>
      </c>
      <c r="PP37" s="48">
        <v>186</v>
      </c>
      <c r="PQ37" s="43">
        <v>-1.0219999999999909</v>
      </c>
      <c r="PR37" s="49"/>
      <c r="PS37" s="47">
        <v>79.968999999999994</v>
      </c>
      <c r="PT37" s="43">
        <v>83</v>
      </c>
      <c r="PU37" s="43">
        <v>0</v>
      </c>
      <c r="PV37" s="43">
        <v>0</v>
      </c>
      <c r="PW37" s="43">
        <v>-3.0310000000000059</v>
      </c>
      <c r="PX37" s="46"/>
      <c r="PY37" s="47">
        <v>92.47</v>
      </c>
      <c r="PZ37" s="43">
        <v>89</v>
      </c>
      <c r="QA37" s="43">
        <v>3.4699999999999989</v>
      </c>
      <c r="QB37" s="46"/>
      <c r="QC37" s="47">
        <v>102.913</v>
      </c>
      <c r="QD37" s="43">
        <v>100</v>
      </c>
      <c r="QE37" s="43">
        <v>101.29300000000001</v>
      </c>
      <c r="QF37" s="43">
        <v>100</v>
      </c>
      <c r="QG37" s="43">
        <v>4.2060000000000173</v>
      </c>
      <c r="QH37" s="46"/>
      <c r="QI37" s="47">
        <v>0</v>
      </c>
      <c r="QJ37" s="43">
        <v>0</v>
      </c>
      <c r="QK37" s="43">
        <v>0</v>
      </c>
      <c r="QL37" s="43">
        <v>0</v>
      </c>
      <c r="QM37" s="43">
        <v>0</v>
      </c>
      <c r="QN37" s="46"/>
      <c r="QO37" s="47">
        <v>91.191999999999993</v>
      </c>
      <c r="QP37" s="43">
        <v>93</v>
      </c>
      <c r="QQ37" s="43">
        <v>0</v>
      </c>
      <c r="QR37" s="43">
        <v>0</v>
      </c>
      <c r="QS37" s="43">
        <v>-1.8080000000000069</v>
      </c>
      <c r="QT37" s="46"/>
      <c r="QU37" s="47">
        <v>102.532</v>
      </c>
      <c r="QV37" s="43">
        <v>100</v>
      </c>
      <c r="QW37" s="43">
        <v>2.531999999999996</v>
      </c>
      <c r="QX37" s="46"/>
      <c r="QY37" s="47">
        <v>216.374</v>
      </c>
      <c r="QZ37" s="43">
        <v>300</v>
      </c>
      <c r="RA37" s="43">
        <v>503.358</v>
      </c>
      <c r="RB37" s="43">
        <v>500</v>
      </c>
      <c r="RC37" s="42">
        <v>-80.268000000000029</v>
      </c>
      <c r="RD37" s="46">
        <v>80.268000000000029</v>
      </c>
    </row>
    <row r="38" spans="1:472" x14ac:dyDescent="0.25">
      <c r="A38" s="43" t="s">
        <v>326</v>
      </c>
      <c r="B38" s="44">
        <v>1</v>
      </c>
      <c r="I38" s="47"/>
      <c r="J38" s="51"/>
      <c r="K38" s="51"/>
      <c r="L38" s="51"/>
      <c r="M38" s="51">
        <f t="shared" si="8"/>
        <v>0</v>
      </c>
      <c r="N38" s="46"/>
      <c r="O38" s="47"/>
      <c r="P38" s="51"/>
      <c r="Q38" s="51"/>
      <c r="R38" s="51"/>
      <c r="S38" s="51">
        <f t="shared" si="9"/>
        <v>0</v>
      </c>
      <c r="T38" s="46"/>
      <c r="U38" s="47"/>
      <c r="V38" s="51"/>
      <c r="W38" s="51"/>
      <c r="X38" s="51"/>
      <c r="Y38" s="51">
        <f t="shared" si="10"/>
        <v>0</v>
      </c>
      <c r="Z38" s="46"/>
      <c r="AA38" s="51"/>
      <c r="AE38" s="43">
        <v>0</v>
      </c>
      <c r="AF38" s="46"/>
      <c r="AG38" s="47"/>
      <c r="AK38" s="43">
        <v>0</v>
      </c>
      <c r="AL38" s="46"/>
      <c r="AQ38" s="43">
        <v>0</v>
      </c>
      <c r="AR38" s="46"/>
      <c r="AW38" s="43">
        <v>0</v>
      </c>
      <c r="AX38" s="46"/>
      <c r="AY38" s="47"/>
      <c r="BC38" s="43">
        <v>0</v>
      </c>
      <c r="BD38" s="46"/>
      <c r="BE38" s="47"/>
      <c r="BI38" s="43">
        <v>0</v>
      </c>
      <c r="BJ38" s="46"/>
      <c r="BP38" s="43">
        <v>0</v>
      </c>
      <c r="BQ38" s="46"/>
      <c r="BT38" s="43">
        <v>0</v>
      </c>
      <c r="BU38" s="46"/>
      <c r="BV38" s="47"/>
      <c r="BZ38" s="43">
        <v>0</v>
      </c>
      <c r="CA38" s="46"/>
      <c r="CF38" s="43">
        <v>0</v>
      </c>
      <c r="CG38" s="46"/>
      <c r="CL38" s="43">
        <v>0</v>
      </c>
      <c r="CM38" s="46"/>
      <c r="CN38" s="47"/>
      <c r="CR38" s="43">
        <v>0</v>
      </c>
      <c r="CS38" s="46"/>
      <c r="CX38" s="43">
        <v>0</v>
      </c>
      <c r="CY38" s="46"/>
      <c r="CZ38" s="47"/>
      <c r="DD38" s="43">
        <v>0</v>
      </c>
      <c r="DE38" s="46"/>
      <c r="DF38" s="47"/>
      <c r="DL38" s="43">
        <v>0</v>
      </c>
      <c r="DM38" s="46"/>
      <c r="DN38" s="47"/>
      <c r="DR38" s="43">
        <v>0</v>
      </c>
      <c r="DS38" s="46"/>
      <c r="DZ38" s="43">
        <v>0</v>
      </c>
      <c r="EA38" s="46"/>
      <c r="EB38" s="47"/>
      <c r="EF38" s="43">
        <v>0</v>
      </c>
      <c r="EG38" s="46"/>
      <c r="EH38" s="47"/>
      <c r="EL38" s="43">
        <v>0</v>
      </c>
      <c r="EM38" s="46"/>
      <c r="EN38" s="47"/>
      <c r="ER38" s="43">
        <v>0</v>
      </c>
      <c r="ES38" s="46"/>
      <c r="EZ38" s="43">
        <v>0</v>
      </c>
      <c r="FA38" s="46"/>
      <c r="FG38" s="43">
        <v>0</v>
      </c>
      <c r="FH38" s="46"/>
      <c r="FI38" s="47"/>
      <c r="FL38" s="43">
        <v>0</v>
      </c>
      <c r="FM38" s="46"/>
      <c r="FN38" s="47"/>
      <c r="FQ38" s="43">
        <v>0</v>
      </c>
      <c r="FR38" s="46"/>
      <c r="FW38" s="43">
        <v>0</v>
      </c>
      <c r="FX38" s="46"/>
      <c r="FY38" s="47"/>
      <c r="GD38" s="43">
        <v>0</v>
      </c>
      <c r="GE38" s="46"/>
      <c r="GJ38" s="43">
        <v>0</v>
      </c>
      <c r="GK38" s="46"/>
      <c r="GL38" s="47"/>
      <c r="GP38" s="43">
        <v>0</v>
      </c>
      <c r="GQ38" s="46"/>
      <c r="GV38" s="43">
        <v>0</v>
      </c>
      <c r="GW38" s="46"/>
      <c r="GX38" s="47"/>
      <c r="GZ38" s="43">
        <v>0</v>
      </c>
      <c r="HA38" s="46"/>
      <c r="HB38" s="47"/>
      <c r="HF38" s="43">
        <v>0</v>
      </c>
      <c r="HG38" s="46"/>
      <c r="HH38" s="47"/>
      <c r="HJ38" s="43">
        <v>0</v>
      </c>
      <c r="HK38" s="46"/>
      <c r="HL38" s="47"/>
      <c r="HP38" s="43">
        <v>0</v>
      </c>
      <c r="HQ38" s="46"/>
      <c r="HX38" s="43">
        <v>0</v>
      </c>
      <c r="HY38" s="46"/>
      <c r="HZ38" s="47"/>
      <c r="ID38" s="43">
        <v>0</v>
      </c>
      <c r="IE38" s="46"/>
      <c r="IJ38" s="43">
        <v>0</v>
      </c>
      <c r="IK38" s="49"/>
      <c r="IP38" s="43">
        <v>0</v>
      </c>
      <c r="IQ38" s="49"/>
      <c r="IV38" s="43">
        <v>0</v>
      </c>
      <c r="IW38" s="49"/>
      <c r="JB38" s="43">
        <v>0</v>
      </c>
      <c r="JC38" s="46"/>
      <c r="JF38" s="43">
        <v>0</v>
      </c>
      <c r="JG38" s="49"/>
      <c r="JL38" s="43">
        <v>0</v>
      </c>
      <c r="JM38" s="46"/>
      <c r="JN38" s="50"/>
      <c r="JP38" s="43">
        <v>0</v>
      </c>
      <c r="JQ38" s="49"/>
      <c r="JV38" s="43">
        <v>0</v>
      </c>
      <c r="JW38" s="49"/>
      <c r="KB38" s="43">
        <v>0</v>
      </c>
      <c r="KC38" s="49"/>
      <c r="KH38" s="43">
        <v>0</v>
      </c>
      <c r="KI38" s="49"/>
      <c r="KN38" s="43">
        <v>0</v>
      </c>
      <c r="KO38" s="49"/>
      <c r="KP38" s="50"/>
      <c r="KV38" s="43">
        <v>0</v>
      </c>
      <c r="KW38" s="49"/>
      <c r="KX38" s="48">
        <v>0</v>
      </c>
      <c r="KY38" s="48">
        <v>0</v>
      </c>
      <c r="KZ38" s="48">
        <v>0</v>
      </c>
      <c r="LA38" s="48">
        <v>0</v>
      </c>
      <c r="LB38" s="43">
        <v>0</v>
      </c>
      <c r="LC38" s="49"/>
      <c r="LD38" s="48">
        <v>0</v>
      </c>
      <c r="LE38" s="48">
        <v>0</v>
      </c>
      <c r="LF38" s="48">
        <v>0</v>
      </c>
      <c r="LG38" s="48">
        <v>0</v>
      </c>
      <c r="LH38" s="43">
        <v>0</v>
      </c>
      <c r="LI38" s="49"/>
      <c r="LJ38" s="50">
        <v>0</v>
      </c>
      <c r="LK38" s="48">
        <v>0</v>
      </c>
      <c r="LL38" s="43">
        <v>0</v>
      </c>
      <c r="LM38" s="49"/>
      <c r="LN38" s="50">
        <v>0</v>
      </c>
      <c r="LO38" s="48">
        <v>0</v>
      </c>
      <c r="LP38" s="48">
        <v>0</v>
      </c>
      <c r="LQ38" s="48">
        <v>0</v>
      </c>
      <c r="LR38" s="48">
        <v>0</v>
      </c>
      <c r="LS38" s="43">
        <v>0</v>
      </c>
      <c r="LT38" s="49"/>
      <c r="LU38" s="50">
        <v>0</v>
      </c>
      <c r="LV38" s="48">
        <v>0</v>
      </c>
      <c r="LW38" s="48">
        <v>0</v>
      </c>
      <c r="LX38" s="48">
        <v>0</v>
      </c>
      <c r="LY38" s="43">
        <v>0</v>
      </c>
      <c r="LZ38" s="49"/>
      <c r="MA38" s="50">
        <v>0</v>
      </c>
      <c r="MB38" s="48">
        <v>0</v>
      </c>
      <c r="MC38" s="43">
        <v>0</v>
      </c>
      <c r="MD38" s="49"/>
      <c r="ME38" s="50">
        <v>0</v>
      </c>
      <c r="MF38" s="48">
        <v>0</v>
      </c>
      <c r="MG38" s="48">
        <v>0</v>
      </c>
      <c r="MH38" s="48">
        <v>0</v>
      </c>
      <c r="MI38" s="43">
        <v>0</v>
      </c>
      <c r="MJ38" s="49"/>
      <c r="MK38" s="50">
        <v>0</v>
      </c>
      <c r="ML38" s="48">
        <v>0</v>
      </c>
      <c r="MM38" s="43">
        <v>0</v>
      </c>
      <c r="MN38" s="49"/>
      <c r="MO38" s="50">
        <v>0</v>
      </c>
      <c r="MP38" s="48">
        <v>0</v>
      </c>
      <c r="MQ38" s="48">
        <v>0</v>
      </c>
      <c r="MR38" s="48">
        <v>0</v>
      </c>
      <c r="MS38" s="43">
        <v>0</v>
      </c>
      <c r="MT38" s="49"/>
      <c r="MU38" s="48">
        <v>0</v>
      </c>
      <c r="MV38" s="46"/>
      <c r="MW38" s="48">
        <v>0</v>
      </c>
      <c r="MX38" s="48">
        <v>0</v>
      </c>
      <c r="MY38" s="43">
        <v>0</v>
      </c>
      <c r="MZ38" s="49"/>
      <c r="NA38" s="50">
        <v>0</v>
      </c>
      <c r="NB38" s="48">
        <v>0</v>
      </c>
      <c r="NC38" s="48">
        <v>0</v>
      </c>
      <c r="ND38" s="48">
        <v>0</v>
      </c>
      <c r="NE38" s="43">
        <v>0</v>
      </c>
      <c r="NF38" s="49"/>
      <c r="NG38" s="50">
        <v>0</v>
      </c>
      <c r="NH38" s="48">
        <v>0</v>
      </c>
      <c r="NI38" s="48">
        <v>0</v>
      </c>
      <c r="NJ38" s="48">
        <v>0</v>
      </c>
      <c r="NK38" s="43">
        <v>0</v>
      </c>
      <c r="NL38" s="49"/>
      <c r="NM38" s="50">
        <v>0</v>
      </c>
      <c r="NN38" s="48">
        <v>0</v>
      </c>
      <c r="NO38" s="48">
        <v>0</v>
      </c>
      <c r="NP38" s="48">
        <v>0</v>
      </c>
      <c r="NQ38" s="43">
        <v>0</v>
      </c>
      <c r="NR38" s="49"/>
      <c r="NS38" s="50">
        <v>0</v>
      </c>
      <c r="NT38" s="48">
        <v>0</v>
      </c>
      <c r="NU38" s="48">
        <v>0</v>
      </c>
      <c r="NV38" s="48">
        <v>0</v>
      </c>
      <c r="NW38" s="43">
        <v>0</v>
      </c>
      <c r="NX38" s="49"/>
      <c r="NY38" s="50">
        <v>0</v>
      </c>
      <c r="NZ38" s="48">
        <v>0</v>
      </c>
      <c r="OA38" s="48">
        <v>0</v>
      </c>
      <c r="OB38" s="48">
        <v>0</v>
      </c>
      <c r="OC38" s="43">
        <v>0</v>
      </c>
      <c r="OD38" s="49"/>
      <c r="OE38" s="50">
        <v>0</v>
      </c>
      <c r="OF38" s="48">
        <v>0</v>
      </c>
      <c r="OG38" s="43">
        <v>0</v>
      </c>
      <c r="OH38" s="49"/>
      <c r="OI38" s="50">
        <v>0</v>
      </c>
      <c r="OJ38" s="48">
        <v>0</v>
      </c>
      <c r="OK38" s="43">
        <v>0</v>
      </c>
      <c r="OL38" s="49"/>
      <c r="OM38" s="50">
        <v>0</v>
      </c>
      <c r="ON38" s="48">
        <v>0</v>
      </c>
      <c r="OO38" s="48">
        <v>0</v>
      </c>
      <c r="OP38" s="48">
        <v>0</v>
      </c>
      <c r="OQ38" s="43">
        <v>0</v>
      </c>
      <c r="OR38" s="49"/>
      <c r="OS38" s="50">
        <v>0</v>
      </c>
      <c r="OT38" s="48">
        <v>0</v>
      </c>
      <c r="OU38" s="43">
        <v>0</v>
      </c>
      <c r="OV38" s="49"/>
      <c r="OW38" s="50">
        <v>0</v>
      </c>
      <c r="OX38" s="48">
        <v>0</v>
      </c>
      <c r="OY38" s="48">
        <v>0</v>
      </c>
      <c r="OZ38" s="48">
        <v>0</v>
      </c>
      <c r="PA38" s="43">
        <v>0</v>
      </c>
      <c r="PB38" s="49"/>
      <c r="PC38" s="50">
        <v>0</v>
      </c>
      <c r="PD38" s="48">
        <v>0</v>
      </c>
      <c r="PE38" s="43">
        <v>0</v>
      </c>
      <c r="PF38" s="49"/>
      <c r="PG38" s="50">
        <v>0</v>
      </c>
      <c r="PH38" s="48">
        <v>0</v>
      </c>
      <c r="PI38" s="48">
        <v>0</v>
      </c>
      <c r="PJ38" s="48">
        <v>0</v>
      </c>
      <c r="PK38" s="43">
        <v>0</v>
      </c>
      <c r="PL38" s="49"/>
      <c r="PM38" s="47">
        <v>0</v>
      </c>
      <c r="PN38" s="48">
        <v>0</v>
      </c>
      <c r="PO38" s="48">
        <v>0</v>
      </c>
      <c r="PP38" s="48">
        <v>0</v>
      </c>
      <c r="PQ38" s="43">
        <v>0</v>
      </c>
      <c r="PR38" s="49"/>
      <c r="PS38" s="47">
        <v>0</v>
      </c>
      <c r="PT38" s="43">
        <v>0</v>
      </c>
      <c r="PU38" s="43">
        <v>0</v>
      </c>
      <c r="PV38" s="43">
        <v>0</v>
      </c>
      <c r="PW38" s="43">
        <v>0</v>
      </c>
      <c r="PX38" s="46"/>
      <c r="PY38" s="47">
        <v>0</v>
      </c>
      <c r="PZ38" s="43">
        <v>0</v>
      </c>
      <c r="QA38" s="43">
        <v>0</v>
      </c>
      <c r="QB38" s="46"/>
      <c r="QC38" s="47">
        <v>0</v>
      </c>
      <c r="QD38" s="43">
        <v>0</v>
      </c>
      <c r="QE38" s="43">
        <v>0</v>
      </c>
      <c r="QF38" s="43">
        <v>0</v>
      </c>
      <c r="QG38" s="43">
        <v>0</v>
      </c>
      <c r="QH38" s="46"/>
      <c r="QI38" s="47">
        <v>0</v>
      </c>
      <c r="QJ38" s="43">
        <v>0</v>
      </c>
      <c r="QK38" s="43">
        <v>0</v>
      </c>
      <c r="QL38" s="43">
        <v>0</v>
      </c>
      <c r="QM38" s="43">
        <v>0</v>
      </c>
      <c r="QN38" s="46"/>
      <c r="QO38" s="47">
        <v>0</v>
      </c>
      <c r="QP38" s="43">
        <v>0</v>
      </c>
      <c r="QQ38" s="43">
        <v>0</v>
      </c>
      <c r="QR38" s="43">
        <v>0</v>
      </c>
      <c r="QS38" s="43">
        <v>0</v>
      </c>
      <c r="QT38" s="46"/>
      <c r="QU38" s="47">
        <v>0</v>
      </c>
      <c r="QV38" s="43">
        <v>0</v>
      </c>
      <c r="QW38" s="43">
        <v>0</v>
      </c>
      <c r="QX38" s="46"/>
      <c r="QY38" s="47">
        <v>0</v>
      </c>
      <c r="QZ38" s="43">
        <v>0</v>
      </c>
      <c r="RA38" s="43">
        <v>56.188000000000002</v>
      </c>
      <c r="RB38" s="43">
        <v>55</v>
      </c>
      <c r="RC38" s="43">
        <v>1.1880000000000019</v>
      </c>
      <c r="RD38" s="46"/>
    </row>
    <row r="39" spans="1:472" x14ac:dyDescent="0.25">
      <c r="A39" s="43" t="s">
        <v>327</v>
      </c>
      <c r="B39" s="44">
        <v>0.4</v>
      </c>
      <c r="I39" s="47"/>
      <c r="J39" s="51"/>
      <c r="K39" s="51"/>
      <c r="L39" s="51"/>
      <c r="M39" s="51">
        <f t="shared" si="8"/>
        <v>0</v>
      </c>
      <c r="N39" s="46"/>
      <c r="O39" s="47"/>
      <c r="P39" s="51"/>
      <c r="Q39" s="51"/>
      <c r="R39" s="51"/>
      <c r="S39" s="51">
        <f t="shared" si="9"/>
        <v>0</v>
      </c>
      <c r="T39" s="46"/>
      <c r="U39" s="47"/>
      <c r="V39" s="51"/>
      <c r="W39" s="51"/>
      <c r="X39" s="51"/>
      <c r="Y39" s="51">
        <f t="shared" si="10"/>
        <v>0</v>
      </c>
      <c r="Z39" s="46"/>
      <c r="AA39" s="51"/>
      <c r="AE39" s="43">
        <v>0</v>
      </c>
      <c r="AF39" s="46"/>
      <c r="AG39" s="47"/>
      <c r="AK39" s="43">
        <v>0</v>
      </c>
      <c r="AL39" s="46"/>
      <c r="AQ39" s="43">
        <v>0</v>
      </c>
      <c r="AR39" s="46"/>
      <c r="AW39" s="43">
        <v>0</v>
      </c>
      <c r="AX39" s="46"/>
      <c r="AY39" s="47"/>
      <c r="BC39" s="43">
        <v>0</v>
      </c>
      <c r="BD39" s="46"/>
      <c r="BE39" s="47"/>
      <c r="BI39" s="43">
        <v>0</v>
      </c>
      <c r="BJ39" s="46"/>
      <c r="BP39" s="43">
        <v>0</v>
      </c>
      <c r="BQ39" s="46"/>
      <c r="BT39" s="43">
        <v>0</v>
      </c>
      <c r="BU39" s="46"/>
      <c r="BV39" s="47"/>
      <c r="BZ39" s="43">
        <v>0</v>
      </c>
      <c r="CA39" s="46"/>
      <c r="CF39" s="43">
        <v>0</v>
      </c>
      <c r="CG39" s="46"/>
      <c r="CL39" s="43">
        <v>0</v>
      </c>
      <c r="CM39" s="46"/>
      <c r="CN39" s="47"/>
      <c r="CR39" s="43">
        <v>0</v>
      </c>
      <c r="CS39" s="46"/>
      <c r="CX39" s="43">
        <v>0</v>
      </c>
      <c r="CY39" s="46"/>
      <c r="CZ39" s="47"/>
      <c r="DD39" s="43">
        <v>0</v>
      </c>
      <c r="DE39" s="46"/>
      <c r="DF39" s="47"/>
      <c r="DL39" s="43">
        <v>0</v>
      </c>
      <c r="DM39" s="46"/>
      <c r="DN39" s="47"/>
      <c r="DR39" s="43">
        <v>0</v>
      </c>
      <c r="DS39" s="46"/>
      <c r="DZ39" s="43">
        <v>0</v>
      </c>
      <c r="EA39" s="46"/>
      <c r="EB39" s="47"/>
      <c r="EF39" s="43">
        <v>0</v>
      </c>
      <c r="EG39" s="46"/>
      <c r="EH39" s="47"/>
      <c r="EL39" s="43">
        <v>0</v>
      </c>
      <c r="EM39" s="46"/>
      <c r="EN39" s="47"/>
      <c r="ER39" s="43">
        <v>0</v>
      </c>
      <c r="ES39" s="46"/>
      <c r="EZ39" s="43">
        <v>0</v>
      </c>
      <c r="FA39" s="46"/>
      <c r="FG39" s="43">
        <v>0</v>
      </c>
      <c r="FH39" s="46"/>
      <c r="FI39" s="47"/>
      <c r="FL39" s="43">
        <v>0</v>
      </c>
      <c r="FM39" s="46"/>
      <c r="FN39" s="47"/>
      <c r="FQ39" s="43">
        <v>0</v>
      </c>
      <c r="FR39" s="46"/>
      <c r="FW39" s="43">
        <v>0</v>
      </c>
      <c r="FX39" s="46"/>
      <c r="FY39" s="47"/>
      <c r="GD39" s="43">
        <v>0</v>
      </c>
      <c r="GE39" s="46"/>
      <c r="GJ39" s="43">
        <v>0</v>
      </c>
      <c r="GK39" s="46"/>
      <c r="GL39" s="47"/>
      <c r="GP39" s="43">
        <v>0</v>
      </c>
      <c r="GQ39" s="46"/>
      <c r="GV39" s="43">
        <v>0</v>
      </c>
      <c r="GW39" s="46"/>
      <c r="GX39" s="47"/>
      <c r="GZ39" s="43">
        <v>0</v>
      </c>
      <c r="HA39" s="46"/>
      <c r="HB39" s="47"/>
      <c r="HF39" s="43">
        <v>0</v>
      </c>
      <c r="HG39" s="46"/>
      <c r="HH39" s="47"/>
      <c r="HJ39" s="43">
        <v>0</v>
      </c>
      <c r="HK39" s="46"/>
      <c r="HL39" s="47"/>
      <c r="HP39" s="43">
        <v>0</v>
      </c>
      <c r="HQ39" s="46"/>
      <c r="HX39" s="43">
        <v>0</v>
      </c>
      <c r="HY39" s="46"/>
      <c r="HZ39" s="47"/>
      <c r="ID39" s="43">
        <v>0</v>
      </c>
      <c r="IE39" s="46"/>
      <c r="IJ39" s="43">
        <v>0</v>
      </c>
      <c r="IK39" s="49"/>
      <c r="IP39" s="43">
        <v>0</v>
      </c>
      <c r="IQ39" s="49"/>
      <c r="IV39" s="43">
        <v>0</v>
      </c>
      <c r="IW39" s="49"/>
      <c r="JB39" s="43">
        <v>0</v>
      </c>
      <c r="JC39" s="46"/>
      <c r="JF39" s="43">
        <v>0</v>
      </c>
      <c r="JG39" s="49"/>
      <c r="JL39" s="43">
        <v>0</v>
      </c>
      <c r="JM39" s="46"/>
      <c r="JN39" s="50"/>
      <c r="JP39" s="43">
        <v>0</v>
      </c>
      <c r="JQ39" s="49"/>
      <c r="JV39" s="43">
        <v>0</v>
      </c>
      <c r="JW39" s="49"/>
      <c r="KB39" s="43">
        <v>0</v>
      </c>
      <c r="KC39" s="49"/>
      <c r="KH39" s="43">
        <v>0</v>
      </c>
      <c r="KI39" s="49"/>
      <c r="KN39" s="43">
        <v>0</v>
      </c>
      <c r="KO39" s="49"/>
      <c r="KP39" s="50"/>
      <c r="KV39" s="43">
        <v>0</v>
      </c>
      <c r="KW39" s="49"/>
      <c r="KX39" s="48">
        <v>0</v>
      </c>
      <c r="KY39" s="48">
        <v>0</v>
      </c>
      <c r="KZ39" s="48">
        <v>0</v>
      </c>
      <c r="LA39" s="48">
        <v>0</v>
      </c>
      <c r="LB39" s="43">
        <v>0</v>
      </c>
      <c r="LC39" s="49"/>
      <c r="LD39" s="48">
        <v>0</v>
      </c>
      <c r="LE39" s="48">
        <v>0</v>
      </c>
      <c r="LF39" s="48">
        <v>0</v>
      </c>
      <c r="LG39" s="48">
        <v>0</v>
      </c>
      <c r="LH39" s="43">
        <v>0</v>
      </c>
      <c r="LI39" s="49"/>
      <c r="LJ39" s="50">
        <v>0</v>
      </c>
      <c r="LK39" s="48">
        <v>0</v>
      </c>
      <c r="LL39" s="43">
        <v>0</v>
      </c>
      <c r="LM39" s="49"/>
      <c r="LN39" s="50">
        <v>0</v>
      </c>
      <c r="LO39" s="48">
        <v>0</v>
      </c>
      <c r="LP39" s="48">
        <v>0</v>
      </c>
      <c r="LQ39" s="48">
        <v>0</v>
      </c>
      <c r="LR39" s="48">
        <v>0</v>
      </c>
      <c r="LS39" s="43">
        <v>0</v>
      </c>
      <c r="LT39" s="49"/>
      <c r="LU39" s="50">
        <v>0</v>
      </c>
      <c r="LV39" s="48">
        <v>0</v>
      </c>
      <c r="LW39" s="48">
        <v>0</v>
      </c>
      <c r="LX39" s="48">
        <v>0</v>
      </c>
      <c r="LY39" s="43">
        <v>0</v>
      </c>
      <c r="LZ39" s="49"/>
      <c r="MA39" s="50">
        <v>0</v>
      </c>
      <c r="MB39" s="48">
        <v>0</v>
      </c>
      <c r="MC39" s="43">
        <v>0</v>
      </c>
      <c r="MD39" s="49"/>
      <c r="ME39" s="50">
        <v>0</v>
      </c>
      <c r="MF39" s="48">
        <v>0</v>
      </c>
      <c r="MG39" s="48">
        <v>0</v>
      </c>
      <c r="MH39" s="48">
        <v>0</v>
      </c>
      <c r="MI39" s="43">
        <v>0</v>
      </c>
      <c r="MJ39" s="49"/>
      <c r="MK39" s="50">
        <v>0</v>
      </c>
      <c r="ML39" s="48">
        <v>0</v>
      </c>
      <c r="MM39" s="43">
        <v>0</v>
      </c>
      <c r="MN39" s="49"/>
      <c r="MO39" s="50">
        <v>0</v>
      </c>
      <c r="MP39" s="48">
        <v>0</v>
      </c>
      <c r="MQ39" s="48">
        <v>0</v>
      </c>
      <c r="MR39" s="48">
        <v>0</v>
      </c>
      <c r="MS39" s="43">
        <v>0</v>
      </c>
      <c r="MT39" s="49"/>
      <c r="MU39" s="48">
        <v>0</v>
      </c>
      <c r="MV39" s="46"/>
      <c r="MW39" s="48">
        <v>0</v>
      </c>
      <c r="MX39" s="48">
        <v>0</v>
      </c>
      <c r="MY39" s="43">
        <v>0</v>
      </c>
      <c r="MZ39" s="49"/>
      <c r="NA39" s="50">
        <v>0</v>
      </c>
      <c r="NB39" s="48">
        <v>0</v>
      </c>
      <c r="NC39" s="48">
        <v>0</v>
      </c>
      <c r="ND39" s="48">
        <v>0</v>
      </c>
      <c r="NE39" s="43">
        <v>0</v>
      </c>
      <c r="NF39" s="49"/>
      <c r="NG39" s="50">
        <v>0</v>
      </c>
      <c r="NH39" s="48">
        <v>0</v>
      </c>
      <c r="NI39" s="48">
        <v>0</v>
      </c>
      <c r="NJ39" s="48">
        <v>0</v>
      </c>
      <c r="NK39" s="43">
        <v>0</v>
      </c>
      <c r="NL39" s="49"/>
      <c r="NM39" s="50">
        <v>0</v>
      </c>
      <c r="NN39" s="48">
        <v>0</v>
      </c>
      <c r="NO39" s="48">
        <v>0</v>
      </c>
      <c r="NP39" s="48">
        <v>0</v>
      </c>
      <c r="NQ39" s="43">
        <v>0</v>
      </c>
      <c r="NR39" s="49"/>
      <c r="NS39" s="50">
        <v>0</v>
      </c>
      <c r="NT39" s="48">
        <v>0</v>
      </c>
      <c r="NU39" s="48">
        <v>0</v>
      </c>
      <c r="NV39" s="48">
        <v>0</v>
      </c>
      <c r="NW39" s="43">
        <v>0</v>
      </c>
      <c r="NX39" s="49"/>
      <c r="NY39" s="50">
        <v>0</v>
      </c>
      <c r="NZ39" s="48">
        <v>0</v>
      </c>
      <c r="OA39" s="48">
        <v>0</v>
      </c>
      <c r="OB39" s="48">
        <v>0</v>
      </c>
      <c r="OC39" s="43">
        <v>0</v>
      </c>
      <c r="OD39" s="49"/>
      <c r="OE39" s="50">
        <v>0</v>
      </c>
      <c r="OF39" s="48">
        <v>0</v>
      </c>
      <c r="OG39" s="43">
        <v>0</v>
      </c>
      <c r="OH39" s="49"/>
      <c r="OI39" s="50">
        <v>0</v>
      </c>
      <c r="OJ39" s="48">
        <v>0</v>
      </c>
      <c r="OK39" s="43">
        <v>0</v>
      </c>
      <c r="OL39" s="49"/>
      <c r="OM39" s="50">
        <v>0</v>
      </c>
      <c r="ON39" s="48">
        <v>0</v>
      </c>
      <c r="OO39" s="48">
        <v>0</v>
      </c>
      <c r="OP39" s="48">
        <v>0</v>
      </c>
      <c r="OQ39" s="43">
        <v>0</v>
      </c>
      <c r="OR39" s="49"/>
      <c r="OS39" s="50">
        <v>0</v>
      </c>
      <c r="OT39" s="48">
        <v>0</v>
      </c>
      <c r="OU39" s="43">
        <v>0</v>
      </c>
      <c r="OV39" s="49"/>
      <c r="OW39" s="50">
        <v>0</v>
      </c>
      <c r="OX39" s="48">
        <v>0</v>
      </c>
      <c r="OY39" s="48">
        <v>0</v>
      </c>
      <c r="OZ39" s="48">
        <v>0</v>
      </c>
      <c r="PA39" s="43">
        <v>0</v>
      </c>
      <c r="PB39" s="49"/>
      <c r="PC39" s="50">
        <v>0</v>
      </c>
      <c r="PD39" s="48">
        <v>0</v>
      </c>
      <c r="PE39" s="43">
        <v>0</v>
      </c>
      <c r="PF39" s="49"/>
      <c r="PG39" s="50">
        <v>0</v>
      </c>
      <c r="PH39" s="48">
        <v>0</v>
      </c>
      <c r="PI39" s="48">
        <v>0</v>
      </c>
      <c r="PJ39" s="48">
        <v>0</v>
      </c>
      <c r="PK39" s="43">
        <v>0</v>
      </c>
      <c r="PL39" s="49"/>
      <c r="PM39" s="47">
        <v>0</v>
      </c>
      <c r="PN39" s="48">
        <v>0</v>
      </c>
      <c r="PO39" s="48">
        <v>48</v>
      </c>
      <c r="PP39" s="48">
        <v>50</v>
      </c>
      <c r="PQ39" s="43">
        <v>-2</v>
      </c>
      <c r="PR39" s="49"/>
      <c r="PS39" s="47">
        <v>0</v>
      </c>
      <c r="PT39" s="43">
        <v>0</v>
      </c>
      <c r="PU39" s="43">
        <v>0</v>
      </c>
      <c r="PV39" s="43">
        <v>0</v>
      </c>
      <c r="PW39" s="43">
        <v>0</v>
      </c>
      <c r="PX39" s="46"/>
      <c r="PY39" s="47">
        <v>156</v>
      </c>
      <c r="PZ39" s="43">
        <v>154</v>
      </c>
      <c r="QA39" s="43">
        <v>2</v>
      </c>
      <c r="QB39" s="46"/>
      <c r="QC39" s="47">
        <v>0</v>
      </c>
      <c r="QD39" s="43">
        <v>0</v>
      </c>
      <c r="QE39" s="43">
        <v>0</v>
      </c>
      <c r="QF39" s="43">
        <v>0</v>
      </c>
      <c r="QG39" s="43">
        <v>0</v>
      </c>
      <c r="QH39" s="46"/>
      <c r="QI39" s="47">
        <v>0</v>
      </c>
      <c r="QJ39" s="43">
        <v>0</v>
      </c>
      <c r="QK39" s="43">
        <v>0</v>
      </c>
      <c r="QL39" s="43">
        <v>0</v>
      </c>
      <c r="QM39" s="43">
        <v>0</v>
      </c>
      <c r="QN39" s="46"/>
      <c r="QO39" s="47">
        <v>0</v>
      </c>
      <c r="QP39" s="43">
        <v>0</v>
      </c>
      <c r="QQ39" s="43">
        <v>0</v>
      </c>
      <c r="QR39" s="43">
        <v>0</v>
      </c>
      <c r="QS39" s="43">
        <v>0</v>
      </c>
      <c r="QT39" s="46"/>
      <c r="QU39" s="47">
        <v>0</v>
      </c>
      <c r="QV39" s="43">
        <v>0</v>
      </c>
      <c r="QW39" s="43">
        <v>0</v>
      </c>
      <c r="QX39" s="46"/>
      <c r="QY39" s="47">
        <v>0</v>
      </c>
      <c r="QZ39" s="43">
        <v>0</v>
      </c>
      <c r="RA39" s="43">
        <v>0</v>
      </c>
      <c r="RB39" s="43">
        <v>0</v>
      </c>
      <c r="RC39" s="43">
        <v>0</v>
      </c>
      <c r="RD39" s="46"/>
    </row>
    <row r="40" spans="1:472" x14ac:dyDescent="0.25">
      <c r="A40" s="43" t="s">
        <v>328</v>
      </c>
      <c r="B40" s="44">
        <v>0.33</v>
      </c>
      <c r="I40" s="47"/>
      <c r="J40" s="51"/>
      <c r="K40" s="51"/>
      <c r="L40" s="51"/>
      <c r="M40" s="51">
        <f t="shared" si="8"/>
        <v>0</v>
      </c>
      <c r="N40" s="46"/>
      <c r="O40" s="47"/>
      <c r="P40" s="51"/>
      <c r="Q40" s="51"/>
      <c r="R40" s="51"/>
      <c r="S40" s="51">
        <f t="shared" si="9"/>
        <v>0</v>
      </c>
      <c r="T40" s="46"/>
      <c r="U40" s="47"/>
      <c r="V40" s="51"/>
      <c r="W40" s="51"/>
      <c r="X40" s="51"/>
      <c r="Y40" s="51">
        <f t="shared" si="10"/>
        <v>0</v>
      </c>
      <c r="Z40" s="46"/>
      <c r="AA40" s="51"/>
      <c r="AE40" s="43">
        <v>0</v>
      </c>
      <c r="AF40" s="46"/>
      <c r="AG40" s="47"/>
      <c r="AK40" s="43">
        <v>0</v>
      </c>
      <c r="AL40" s="46"/>
      <c r="AQ40" s="43">
        <v>0</v>
      </c>
      <c r="AR40" s="46"/>
      <c r="AW40" s="43">
        <v>0</v>
      </c>
      <c r="AX40" s="46"/>
      <c r="AY40" s="47"/>
      <c r="BC40" s="43">
        <v>0</v>
      </c>
      <c r="BD40" s="46"/>
      <c r="BE40" s="47"/>
      <c r="BI40" s="43">
        <v>0</v>
      </c>
      <c r="BJ40" s="46"/>
      <c r="BP40" s="43">
        <v>0</v>
      </c>
      <c r="BQ40" s="46"/>
      <c r="BT40" s="43">
        <v>0</v>
      </c>
      <c r="BU40" s="46"/>
      <c r="BV40" s="47"/>
      <c r="BZ40" s="43">
        <v>0</v>
      </c>
      <c r="CA40" s="46"/>
      <c r="CF40" s="43">
        <v>0</v>
      </c>
      <c r="CG40" s="46"/>
      <c r="CL40" s="43">
        <v>0</v>
      </c>
      <c r="CM40" s="46"/>
      <c r="CN40" s="47"/>
      <c r="CR40" s="43">
        <v>0</v>
      </c>
      <c r="CS40" s="46"/>
      <c r="CX40" s="43">
        <v>0</v>
      </c>
      <c r="CY40" s="46"/>
      <c r="CZ40" s="47"/>
      <c r="DD40" s="43">
        <v>0</v>
      </c>
      <c r="DE40" s="46"/>
      <c r="DF40" s="47"/>
      <c r="DL40" s="43">
        <v>0</v>
      </c>
      <c r="DM40" s="46"/>
      <c r="DN40" s="47"/>
      <c r="DR40" s="43">
        <v>0</v>
      </c>
      <c r="DS40" s="46"/>
      <c r="DZ40" s="43">
        <v>0</v>
      </c>
      <c r="EA40" s="46"/>
      <c r="EB40" s="47"/>
      <c r="EF40" s="43">
        <v>0</v>
      </c>
      <c r="EG40" s="46"/>
      <c r="EH40" s="47"/>
      <c r="EL40" s="43">
        <v>0</v>
      </c>
      <c r="EM40" s="46"/>
      <c r="EN40" s="47"/>
      <c r="ER40" s="43">
        <v>0</v>
      </c>
      <c r="ES40" s="46"/>
      <c r="EZ40" s="43">
        <v>0</v>
      </c>
      <c r="FA40" s="46"/>
      <c r="FG40" s="43">
        <v>0</v>
      </c>
      <c r="FH40" s="46"/>
      <c r="FI40" s="47"/>
      <c r="FL40" s="43">
        <v>0</v>
      </c>
      <c r="FM40" s="46"/>
      <c r="FN40" s="47"/>
      <c r="FP40">
        <v>287</v>
      </c>
      <c r="FQ40" s="43">
        <v>1</v>
      </c>
      <c r="FR40" s="46"/>
      <c r="FW40" s="43">
        <v>0</v>
      </c>
      <c r="FX40" s="46"/>
      <c r="FY40" s="47"/>
      <c r="GB40">
        <v>56</v>
      </c>
      <c r="GC40">
        <v>60</v>
      </c>
      <c r="GD40" s="43">
        <v>-4</v>
      </c>
      <c r="GE40" s="46"/>
      <c r="GH40">
        <v>72</v>
      </c>
      <c r="GI40">
        <v>70</v>
      </c>
      <c r="GJ40" s="43">
        <v>2</v>
      </c>
      <c r="GK40" s="46"/>
      <c r="GL40" s="45">
        <v>152</v>
      </c>
      <c r="GM40">
        <v>150</v>
      </c>
      <c r="GN40">
        <v>160</v>
      </c>
      <c r="GO40">
        <v>160</v>
      </c>
      <c r="GP40" s="43">
        <v>2</v>
      </c>
      <c r="GQ40" s="46"/>
      <c r="GT40">
        <v>32</v>
      </c>
      <c r="GU40">
        <v>30</v>
      </c>
      <c r="GV40" s="43">
        <v>2</v>
      </c>
      <c r="GW40" s="46"/>
      <c r="GX40" s="45">
        <v>88</v>
      </c>
      <c r="GY40" s="48">
        <v>90</v>
      </c>
      <c r="GZ40" s="43">
        <v>-2</v>
      </c>
      <c r="HA40" s="46"/>
      <c r="HB40" s="45">
        <v>96</v>
      </c>
      <c r="HC40">
        <v>100</v>
      </c>
      <c r="HD40">
        <v>128</v>
      </c>
      <c r="HE40">
        <v>130</v>
      </c>
      <c r="HF40" s="43">
        <v>-6</v>
      </c>
      <c r="HG40" s="46"/>
      <c r="HH40" s="45">
        <v>56</v>
      </c>
      <c r="HI40">
        <v>60</v>
      </c>
      <c r="HJ40" s="43">
        <v>-4</v>
      </c>
      <c r="HK40" s="46"/>
      <c r="HL40" s="45">
        <v>96</v>
      </c>
      <c r="HM40">
        <v>100</v>
      </c>
      <c r="HN40">
        <v>72</v>
      </c>
      <c r="HO40">
        <v>70</v>
      </c>
      <c r="HP40" s="43">
        <v>-2</v>
      </c>
      <c r="HQ40" s="46"/>
      <c r="HV40">
        <v>48</v>
      </c>
      <c r="HW40">
        <v>50</v>
      </c>
      <c r="HX40" s="43">
        <v>-2</v>
      </c>
      <c r="HY40" s="46"/>
      <c r="HZ40" s="45">
        <v>112</v>
      </c>
      <c r="IA40">
        <v>110</v>
      </c>
      <c r="IB40">
        <v>96</v>
      </c>
      <c r="IC40">
        <v>100</v>
      </c>
      <c r="ID40" s="43">
        <v>-2</v>
      </c>
      <c r="IE40" s="46"/>
      <c r="IH40">
        <v>96</v>
      </c>
      <c r="II40">
        <v>100</v>
      </c>
      <c r="IJ40" s="43">
        <v>-4</v>
      </c>
      <c r="IK40" s="49"/>
      <c r="IL40">
        <v>96</v>
      </c>
      <c r="IM40">
        <v>100</v>
      </c>
      <c r="IN40">
        <v>208</v>
      </c>
      <c r="IO40">
        <v>210</v>
      </c>
      <c r="IP40" s="43">
        <v>-6</v>
      </c>
      <c r="IQ40" s="49"/>
      <c r="IR40">
        <v>96</v>
      </c>
      <c r="IS40">
        <v>100</v>
      </c>
      <c r="IT40">
        <v>40</v>
      </c>
      <c r="IU40">
        <v>40</v>
      </c>
      <c r="IV40" s="43">
        <v>-4</v>
      </c>
      <c r="IW40" s="49"/>
      <c r="IX40">
        <v>96</v>
      </c>
      <c r="IY40">
        <v>100</v>
      </c>
      <c r="IZ40">
        <v>72</v>
      </c>
      <c r="JA40">
        <v>70</v>
      </c>
      <c r="JB40" s="43">
        <v>-2</v>
      </c>
      <c r="JC40" s="46"/>
      <c r="JE40">
        <v>50</v>
      </c>
      <c r="JF40" s="42">
        <v>-50</v>
      </c>
      <c r="JG40" s="46">
        <v>16.5</v>
      </c>
      <c r="JJ40">
        <v>8</v>
      </c>
      <c r="JK40">
        <v>6</v>
      </c>
      <c r="JL40" s="43">
        <v>2</v>
      </c>
      <c r="JM40" s="46"/>
      <c r="JN40" s="45">
        <v>208</v>
      </c>
      <c r="JO40" s="48">
        <v>210</v>
      </c>
      <c r="JP40" s="43">
        <v>-2</v>
      </c>
      <c r="JQ40" s="49"/>
      <c r="JT40">
        <v>160</v>
      </c>
      <c r="JU40">
        <v>160</v>
      </c>
      <c r="JV40" s="43">
        <v>0</v>
      </c>
      <c r="JW40" s="49"/>
      <c r="JX40">
        <v>48</v>
      </c>
      <c r="JY40">
        <v>50</v>
      </c>
      <c r="JZ40">
        <v>48</v>
      </c>
      <c r="KA40">
        <v>50</v>
      </c>
      <c r="KB40" s="43">
        <v>-4</v>
      </c>
      <c r="KC40" s="49"/>
      <c r="KD40">
        <v>48</v>
      </c>
      <c r="KE40">
        <v>50</v>
      </c>
      <c r="KF40">
        <v>96</v>
      </c>
      <c r="KG40">
        <v>100</v>
      </c>
      <c r="KH40" s="43">
        <v>-6</v>
      </c>
      <c r="KI40" s="49"/>
      <c r="KL40">
        <v>32</v>
      </c>
      <c r="KM40">
        <v>30</v>
      </c>
      <c r="KN40" s="43">
        <v>2</v>
      </c>
      <c r="KO40" s="49"/>
      <c r="KP40" s="50"/>
      <c r="KQ40">
        <v>80</v>
      </c>
      <c r="KS40">
        <v>100</v>
      </c>
      <c r="KT40">
        <v>8</v>
      </c>
      <c r="KU40">
        <v>180</v>
      </c>
      <c r="KV40" s="42">
        <v>-352</v>
      </c>
      <c r="KW40" s="49">
        <v>116.16</v>
      </c>
      <c r="KX40" s="48">
        <v>0</v>
      </c>
      <c r="KY40" s="48">
        <v>0</v>
      </c>
      <c r="KZ40" s="48">
        <v>144</v>
      </c>
      <c r="LA40" s="48">
        <v>150</v>
      </c>
      <c r="LB40" s="43">
        <v>-6</v>
      </c>
      <c r="LC40" s="49"/>
      <c r="LD40" s="48">
        <v>0</v>
      </c>
      <c r="LE40" s="48">
        <v>0</v>
      </c>
      <c r="LF40" s="48">
        <v>80</v>
      </c>
      <c r="LG40" s="48">
        <v>80</v>
      </c>
      <c r="LH40" s="43">
        <v>0</v>
      </c>
      <c r="LI40" s="49"/>
      <c r="LJ40" s="50">
        <v>192</v>
      </c>
      <c r="LK40" s="48">
        <v>192</v>
      </c>
      <c r="LL40" s="43">
        <v>0</v>
      </c>
      <c r="LM40" s="49"/>
      <c r="LN40" s="50">
        <v>72</v>
      </c>
      <c r="LO40" s="48">
        <v>70</v>
      </c>
      <c r="LP40" s="48">
        <v>72</v>
      </c>
      <c r="LQ40" s="48">
        <v>0</v>
      </c>
      <c r="LR40" s="48">
        <v>70</v>
      </c>
      <c r="LS40" s="43">
        <v>4</v>
      </c>
      <c r="LT40" s="49"/>
      <c r="LU40" s="50">
        <v>56</v>
      </c>
      <c r="LV40" s="48">
        <v>60</v>
      </c>
      <c r="LW40" s="48">
        <v>56</v>
      </c>
      <c r="LX40" s="48">
        <v>60</v>
      </c>
      <c r="LY40" s="43">
        <v>-8</v>
      </c>
      <c r="LZ40" s="49"/>
      <c r="MA40" s="50">
        <v>48</v>
      </c>
      <c r="MB40" s="48">
        <v>50</v>
      </c>
      <c r="MC40" s="43">
        <v>-2</v>
      </c>
      <c r="MD40" s="49"/>
      <c r="ME40" s="50">
        <v>0</v>
      </c>
      <c r="MF40" s="48">
        <v>0</v>
      </c>
      <c r="MG40" s="48">
        <v>0</v>
      </c>
      <c r="MH40" s="48">
        <v>0</v>
      </c>
      <c r="MI40" s="43">
        <v>0</v>
      </c>
      <c r="MJ40" s="49"/>
      <c r="MK40" s="50">
        <v>64</v>
      </c>
      <c r="ML40" s="48">
        <v>65</v>
      </c>
      <c r="MM40" s="43">
        <v>-1</v>
      </c>
      <c r="MN40" s="49"/>
      <c r="MO40" s="50">
        <v>0</v>
      </c>
      <c r="MP40" s="48">
        <v>0</v>
      </c>
      <c r="MQ40" s="48">
        <v>0</v>
      </c>
      <c r="MR40" s="48">
        <v>0</v>
      </c>
      <c r="MS40" s="43">
        <v>0</v>
      </c>
      <c r="MT40" s="49"/>
      <c r="MU40" s="48">
        <v>0</v>
      </c>
      <c r="MV40" s="46"/>
      <c r="MW40" s="48">
        <v>32</v>
      </c>
      <c r="MX40" s="48">
        <v>30</v>
      </c>
      <c r="MY40" s="43">
        <v>2</v>
      </c>
      <c r="MZ40" s="49"/>
      <c r="NA40" s="50">
        <v>0</v>
      </c>
      <c r="NB40" s="48">
        <v>0</v>
      </c>
      <c r="NC40" s="48">
        <v>0</v>
      </c>
      <c r="ND40" s="48">
        <v>0</v>
      </c>
      <c r="NE40" s="43">
        <v>0</v>
      </c>
      <c r="NF40" s="49"/>
      <c r="NG40" s="50">
        <v>0</v>
      </c>
      <c r="NH40" s="48">
        <v>0</v>
      </c>
      <c r="NI40" s="48">
        <v>0</v>
      </c>
      <c r="NJ40" s="48">
        <v>0</v>
      </c>
      <c r="NK40" s="43">
        <v>0</v>
      </c>
      <c r="NL40" s="49"/>
      <c r="NM40" s="50">
        <v>0</v>
      </c>
      <c r="NN40" s="48">
        <v>0</v>
      </c>
      <c r="NO40" s="48">
        <v>16</v>
      </c>
      <c r="NP40" s="48">
        <v>20</v>
      </c>
      <c r="NQ40" s="43">
        <v>-4</v>
      </c>
      <c r="NR40" s="49"/>
      <c r="NS40" s="25">
        <v>80</v>
      </c>
      <c r="NT40" s="48">
        <v>0</v>
      </c>
      <c r="NU40" s="48">
        <v>48</v>
      </c>
      <c r="NV40" s="48">
        <v>50</v>
      </c>
      <c r="NW40" s="43">
        <v>78</v>
      </c>
      <c r="NX40" s="49"/>
      <c r="NY40" s="50">
        <v>0</v>
      </c>
      <c r="NZ40" s="48">
        <v>0</v>
      </c>
      <c r="OA40" s="48">
        <v>88</v>
      </c>
      <c r="OB40" s="48">
        <v>90</v>
      </c>
      <c r="OC40" s="43">
        <v>-2</v>
      </c>
      <c r="OD40" s="49"/>
      <c r="OE40" s="50">
        <v>0</v>
      </c>
      <c r="OF40" s="48">
        <v>0</v>
      </c>
      <c r="OG40" s="43">
        <v>0</v>
      </c>
      <c r="OH40" s="49"/>
      <c r="OI40" s="50">
        <v>0</v>
      </c>
      <c r="OJ40" s="48">
        <v>0</v>
      </c>
      <c r="OK40" s="43">
        <v>0</v>
      </c>
      <c r="OL40" s="49"/>
      <c r="OM40" s="50">
        <v>0</v>
      </c>
      <c r="ON40" s="48">
        <v>0</v>
      </c>
      <c r="OO40" s="48">
        <v>72</v>
      </c>
      <c r="OP40" s="48">
        <v>70</v>
      </c>
      <c r="OQ40" s="43">
        <v>2</v>
      </c>
      <c r="OR40" s="49"/>
      <c r="OS40" s="23">
        <v>48</v>
      </c>
      <c r="OT40" s="48">
        <v>0</v>
      </c>
      <c r="OU40" s="43">
        <v>0</v>
      </c>
      <c r="OV40" s="49"/>
      <c r="OW40" s="50"/>
      <c r="PB40" s="49"/>
      <c r="PC40" s="50"/>
      <c r="PF40" s="49"/>
      <c r="PG40" s="50"/>
      <c r="PL40" s="49"/>
      <c r="PM40" s="47"/>
      <c r="PN40" s="48"/>
      <c r="PP40" s="48"/>
      <c r="PR40" s="49"/>
      <c r="PS40" s="47"/>
      <c r="PX40" s="46"/>
      <c r="PY40" s="47"/>
      <c r="QB40" s="46"/>
      <c r="QC40" s="47"/>
      <c r="QH40" s="46"/>
      <c r="QI40" s="47"/>
      <c r="QN40" s="46"/>
      <c r="QO40" s="47"/>
      <c r="QT40" s="46"/>
      <c r="QU40" s="47"/>
      <c r="QX40" s="46"/>
      <c r="QY40" s="47"/>
      <c r="RD40" s="46"/>
    </row>
    <row r="41" spans="1:472" x14ac:dyDescent="0.25">
      <c r="A41" s="43" t="s">
        <v>329</v>
      </c>
      <c r="B41" s="44">
        <v>1</v>
      </c>
      <c r="I41" s="47"/>
      <c r="J41" s="51"/>
      <c r="K41" s="51"/>
      <c r="L41" s="51"/>
      <c r="M41" s="51">
        <f t="shared" si="8"/>
        <v>0</v>
      </c>
      <c r="N41" s="46"/>
      <c r="O41" s="47"/>
      <c r="P41" s="51"/>
      <c r="Q41" s="51"/>
      <c r="R41" s="51"/>
      <c r="S41" s="51">
        <f t="shared" si="9"/>
        <v>0</v>
      </c>
      <c r="T41" s="46"/>
      <c r="U41" s="47"/>
      <c r="V41" s="51"/>
      <c r="W41" s="51"/>
      <c r="X41" s="51"/>
      <c r="Y41" s="51">
        <f t="shared" si="10"/>
        <v>0</v>
      </c>
      <c r="Z41" s="46"/>
      <c r="AA41" s="51"/>
      <c r="AE41" s="43">
        <v>0</v>
      </c>
      <c r="AF41" s="46"/>
      <c r="AG41" s="47"/>
      <c r="AK41" s="43">
        <v>0</v>
      </c>
      <c r="AL41" s="46"/>
      <c r="AQ41" s="43">
        <v>0</v>
      </c>
      <c r="AR41" s="46"/>
      <c r="AW41" s="43">
        <v>0</v>
      </c>
      <c r="AX41" s="46"/>
      <c r="AY41" s="47"/>
      <c r="BC41" s="43">
        <v>0</v>
      </c>
      <c r="BD41" s="46"/>
      <c r="BE41" s="47"/>
      <c r="BI41" s="43">
        <v>0</v>
      </c>
      <c r="BJ41" s="46"/>
      <c r="BP41" s="43">
        <v>0</v>
      </c>
      <c r="BQ41" s="46"/>
      <c r="BT41" s="43">
        <v>0</v>
      </c>
      <c r="BU41" s="46"/>
      <c r="BV41" s="47"/>
      <c r="BZ41" s="43">
        <v>0</v>
      </c>
      <c r="CA41" s="46"/>
      <c r="CF41" s="43">
        <v>0</v>
      </c>
      <c r="CG41" s="46"/>
      <c r="CL41" s="43">
        <v>0</v>
      </c>
      <c r="CM41" s="46"/>
      <c r="CN41" s="47"/>
      <c r="CR41" s="43">
        <v>0</v>
      </c>
      <c r="CS41" s="46"/>
      <c r="CX41" s="43">
        <v>0</v>
      </c>
      <c r="CY41" s="46"/>
      <c r="CZ41" s="47"/>
      <c r="DD41" s="43">
        <v>0</v>
      </c>
      <c r="DE41" s="46"/>
      <c r="DF41" s="47"/>
      <c r="DL41" s="43">
        <v>0</v>
      </c>
      <c r="DM41" s="46"/>
      <c r="DN41" s="47"/>
      <c r="DR41" s="43">
        <v>0</v>
      </c>
      <c r="DS41" s="46"/>
      <c r="DZ41" s="43">
        <v>0</v>
      </c>
      <c r="EA41" s="46"/>
      <c r="EB41" s="47"/>
      <c r="EF41" s="43">
        <v>0</v>
      </c>
      <c r="EG41" s="46"/>
      <c r="EH41" s="47"/>
      <c r="EL41" s="43">
        <v>0</v>
      </c>
      <c r="EM41" s="46"/>
      <c r="EN41" s="47"/>
      <c r="ER41" s="43">
        <v>0</v>
      </c>
      <c r="ES41" s="46"/>
      <c r="EZ41" s="43">
        <v>0</v>
      </c>
      <c r="FA41" s="46"/>
      <c r="FG41" s="43">
        <v>0</v>
      </c>
      <c r="FH41" s="46"/>
      <c r="FI41" s="47"/>
      <c r="FL41" s="43">
        <v>0</v>
      </c>
      <c r="FM41" s="46"/>
      <c r="FN41" s="47"/>
      <c r="FQ41" s="43">
        <v>0</v>
      </c>
      <c r="FR41" s="46"/>
      <c r="FW41" s="43">
        <v>0</v>
      </c>
      <c r="FX41" s="46"/>
      <c r="FY41" s="47"/>
      <c r="GD41" s="43">
        <v>0</v>
      </c>
      <c r="GE41" s="46"/>
      <c r="GJ41" s="43">
        <v>0</v>
      </c>
      <c r="GK41" s="46"/>
      <c r="GL41" s="47"/>
      <c r="GP41" s="43">
        <v>0</v>
      </c>
      <c r="GQ41" s="46"/>
      <c r="GV41" s="43">
        <v>0</v>
      </c>
      <c r="GW41" s="46"/>
      <c r="GX41" s="47"/>
      <c r="GZ41" s="43">
        <v>0</v>
      </c>
      <c r="HA41" s="46"/>
      <c r="HB41" s="47"/>
      <c r="HF41" s="43">
        <v>0</v>
      </c>
      <c r="HG41" s="46"/>
      <c r="HH41" s="47"/>
      <c r="HJ41" s="43">
        <v>0</v>
      </c>
      <c r="HK41" s="46"/>
      <c r="HL41" s="47"/>
      <c r="HP41" s="43">
        <v>0</v>
      </c>
      <c r="HQ41" s="46"/>
      <c r="HX41" s="43">
        <v>0</v>
      </c>
      <c r="HY41" s="46"/>
      <c r="HZ41" s="47"/>
      <c r="ID41" s="43">
        <v>0</v>
      </c>
      <c r="IE41" s="46"/>
      <c r="IJ41" s="43">
        <v>0</v>
      </c>
      <c r="IK41" s="49"/>
      <c r="IP41" s="43">
        <v>0</v>
      </c>
      <c r="IQ41" s="49"/>
      <c r="IV41" s="43">
        <v>0</v>
      </c>
      <c r="IW41" s="49"/>
      <c r="JB41" s="43">
        <v>0</v>
      </c>
      <c r="JC41" s="46"/>
      <c r="JF41" s="43">
        <v>0</v>
      </c>
      <c r="JG41" s="49"/>
      <c r="JL41" s="43">
        <v>0</v>
      </c>
      <c r="JM41" s="46"/>
      <c r="JN41" s="50"/>
      <c r="JP41" s="43">
        <v>0</v>
      </c>
      <c r="JQ41" s="49"/>
      <c r="JV41" s="43">
        <v>0</v>
      </c>
      <c r="JW41" s="49"/>
      <c r="KB41" s="43">
        <v>0</v>
      </c>
      <c r="KC41" s="49"/>
      <c r="KH41" s="43">
        <v>0</v>
      </c>
      <c r="KI41" s="49"/>
      <c r="KN41" s="43">
        <v>0</v>
      </c>
      <c r="KO41" s="49"/>
      <c r="KP41" s="50"/>
      <c r="KQ41">
        <v>50</v>
      </c>
      <c r="KS41">
        <v>50</v>
      </c>
      <c r="KU41">
        <v>50</v>
      </c>
      <c r="KV41" s="42">
        <v>-150</v>
      </c>
      <c r="KW41" s="49">
        <v>150</v>
      </c>
      <c r="KX41" s="48">
        <v>0</v>
      </c>
      <c r="KY41" s="48">
        <v>0</v>
      </c>
      <c r="KZ41" s="48">
        <v>0</v>
      </c>
      <c r="LA41" s="48">
        <v>0</v>
      </c>
      <c r="LB41" s="43">
        <v>0</v>
      </c>
      <c r="LC41" s="49"/>
      <c r="LD41" s="48">
        <v>152.29499999999999</v>
      </c>
      <c r="LE41" s="48">
        <v>150</v>
      </c>
      <c r="LF41" s="48">
        <v>243.67500000000001</v>
      </c>
      <c r="LG41" s="48">
        <v>226</v>
      </c>
      <c r="LH41" s="43">
        <v>19.970000000000031</v>
      </c>
      <c r="LI41" s="49"/>
      <c r="LJ41" s="50">
        <v>97.561000000000007</v>
      </c>
      <c r="LK41" s="48">
        <v>90</v>
      </c>
      <c r="LL41" s="43">
        <v>7.561000000000007</v>
      </c>
      <c r="LM41" s="49"/>
      <c r="LN41" s="50">
        <v>0</v>
      </c>
      <c r="LO41" s="48">
        <v>0</v>
      </c>
      <c r="LP41" s="48">
        <v>0</v>
      </c>
      <c r="LQ41" s="48">
        <v>0</v>
      </c>
      <c r="LR41" s="48">
        <v>0</v>
      </c>
      <c r="LS41" s="43">
        <v>0</v>
      </c>
      <c r="LT41" s="49"/>
      <c r="LU41" s="50">
        <v>0</v>
      </c>
      <c r="LV41" s="48">
        <v>0</v>
      </c>
      <c r="LW41" s="48">
        <v>0</v>
      </c>
      <c r="LX41" s="48">
        <v>0</v>
      </c>
      <c r="LY41" s="43">
        <v>0</v>
      </c>
      <c r="LZ41" s="49"/>
      <c r="MA41" s="50">
        <v>0</v>
      </c>
      <c r="MB41" s="48">
        <v>0</v>
      </c>
      <c r="MC41" s="43">
        <v>0</v>
      </c>
      <c r="MD41" s="49"/>
      <c r="ME41" s="50">
        <v>0</v>
      </c>
      <c r="MF41" s="48">
        <v>0</v>
      </c>
      <c r="MG41" s="48">
        <v>0</v>
      </c>
      <c r="MH41" s="48">
        <v>0</v>
      </c>
      <c r="MI41" s="43">
        <v>0</v>
      </c>
      <c r="MJ41" s="49"/>
      <c r="MK41" s="50">
        <v>391.11799999999999</v>
      </c>
      <c r="ML41" s="48">
        <v>400</v>
      </c>
      <c r="MM41" s="42">
        <v>-8.882000000000005</v>
      </c>
      <c r="MN41" s="49">
        <v>8.882000000000005</v>
      </c>
      <c r="MO41" s="50">
        <v>96.42</v>
      </c>
      <c r="MP41" s="48">
        <v>100</v>
      </c>
      <c r="MQ41" s="48">
        <v>454.25400000000002</v>
      </c>
      <c r="MR41" s="48">
        <v>460</v>
      </c>
      <c r="MS41" s="42">
        <v>-9.3260000000000218</v>
      </c>
      <c r="MT41" s="49">
        <v>9.3260000000000218</v>
      </c>
      <c r="MU41" s="48">
        <v>0</v>
      </c>
      <c r="MV41" s="46"/>
      <c r="MW41" s="48">
        <v>508.14</v>
      </c>
      <c r="MX41" s="48">
        <v>500</v>
      </c>
      <c r="MY41" s="43">
        <v>8.1399999999999864</v>
      </c>
      <c r="MZ41" s="49"/>
      <c r="NA41" s="50">
        <v>214.447</v>
      </c>
      <c r="NB41" s="48">
        <v>210</v>
      </c>
      <c r="NC41" s="48">
        <v>729.83799999999997</v>
      </c>
      <c r="ND41" s="48">
        <v>713</v>
      </c>
      <c r="NE41" s="43">
        <v>21.284999999999972</v>
      </c>
      <c r="NF41" s="49"/>
      <c r="NG41" s="50">
        <v>49.844000000000001</v>
      </c>
      <c r="NH41" s="48">
        <v>150</v>
      </c>
      <c r="NI41" s="48">
        <v>149.21799999999999</v>
      </c>
      <c r="NJ41" s="48">
        <v>150</v>
      </c>
      <c r="NK41" s="42">
        <v>-100.938</v>
      </c>
      <c r="NL41" s="49">
        <v>100.938</v>
      </c>
      <c r="NM41" s="50">
        <v>0</v>
      </c>
      <c r="NN41" s="48">
        <v>0</v>
      </c>
      <c r="NO41" s="48">
        <v>0</v>
      </c>
      <c r="NP41" s="48">
        <v>0</v>
      </c>
      <c r="NQ41" s="43">
        <v>0</v>
      </c>
      <c r="NR41" s="49"/>
      <c r="NS41" s="25">
        <v>49.963999999999999</v>
      </c>
      <c r="NT41" s="48">
        <v>0</v>
      </c>
      <c r="NU41" s="48">
        <v>0</v>
      </c>
      <c r="NV41" s="48">
        <v>0</v>
      </c>
      <c r="NW41" s="43">
        <v>49.963999999999999</v>
      </c>
      <c r="NX41" s="49"/>
      <c r="NY41" s="50">
        <v>0</v>
      </c>
      <c r="NZ41" s="48">
        <v>0</v>
      </c>
      <c r="OA41" s="48">
        <v>0</v>
      </c>
      <c r="OB41" s="48">
        <v>0</v>
      </c>
      <c r="OC41" s="43">
        <v>0</v>
      </c>
      <c r="OD41" s="49"/>
      <c r="OE41" s="50">
        <v>1426.3720000000001</v>
      </c>
      <c r="OF41" s="48">
        <v>1400</v>
      </c>
      <c r="OG41" s="43">
        <v>26.372000000000071</v>
      </c>
      <c r="OH41" s="49"/>
      <c r="OI41" s="50">
        <v>0</v>
      </c>
      <c r="OJ41" s="48">
        <v>0</v>
      </c>
      <c r="OK41" s="43">
        <v>0</v>
      </c>
      <c r="OL41" s="49"/>
      <c r="OM41" s="50">
        <v>452.50599999999997</v>
      </c>
      <c r="ON41" s="48">
        <v>450</v>
      </c>
      <c r="OO41" s="48">
        <v>401.03199999999998</v>
      </c>
      <c r="OP41" s="48">
        <v>398.28699999999992</v>
      </c>
      <c r="OQ41" s="43">
        <v>5.25100000000009</v>
      </c>
      <c r="OR41" s="49"/>
      <c r="OS41" s="50">
        <v>44.128</v>
      </c>
      <c r="OT41" s="48">
        <v>42</v>
      </c>
      <c r="OU41" s="43">
        <v>2.1280000000000001</v>
      </c>
      <c r="OV41" s="49"/>
      <c r="OW41" s="50">
        <v>267.65499999999997</v>
      </c>
      <c r="OX41" s="48">
        <v>270</v>
      </c>
      <c r="OY41" s="48">
        <v>204.85499999999999</v>
      </c>
      <c r="OZ41" s="48">
        <v>200</v>
      </c>
      <c r="PA41" s="43">
        <v>2.5099999999999909</v>
      </c>
      <c r="PB41" s="49"/>
      <c r="PC41" s="50">
        <v>0</v>
      </c>
      <c r="PD41" s="48">
        <v>0</v>
      </c>
      <c r="PE41" s="43">
        <v>0</v>
      </c>
      <c r="PF41" s="49"/>
      <c r="PG41" s="50">
        <v>0</v>
      </c>
      <c r="PH41" s="33">
        <v>300</v>
      </c>
      <c r="PI41" s="48">
        <v>0</v>
      </c>
      <c r="PJ41" s="33">
        <v>300</v>
      </c>
      <c r="PK41" s="42">
        <v>-600</v>
      </c>
      <c r="PL41" s="49">
        <v>600</v>
      </c>
      <c r="PM41" s="47">
        <v>973.45100000000002</v>
      </c>
      <c r="PN41" s="48">
        <v>1000</v>
      </c>
      <c r="PO41" s="48">
        <v>1025.847</v>
      </c>
      <c r="PP41" s="48">
        <v>1000</v>
      </c>
      <c r="PQ41" s="43">
        <v>-0.70199999999999818</v>
      </c>
      <c r="PR41" s="49"/>
      <c r="PS41" s="47">
        <v>0</v>
      </c>
      <c r="PT41" s="13">
        <v>300</v>
      </c>
      <c r="PU41" s="43">
        <v>0</v>
      </c>
      <c r="PV41" s="13">
        <v>400</v>
      </c>
      <c r="PW41" s="42">
        <v>-700</v>
      </c>
      <c r="PX41" s="46">
        <v>700</v>
      </c>
      <c r="PY41" s="47">
        <v>514.11400000000003</v>
      </c>
      <c r="PZ41" s="43">
        <v>818</v>
      </c>
      <c r="QA41" s="42">
        <v>-303.88600000000002</v>
      </c>
      <c r="QB41" s="46">
        <v>303.88600000000002</v>
      </c>
      <c r="QC41" s="47">
        <v>395.19900000000001</v>
      </c>
      <c r="QD41" s="43">
        <v>394</v>
      </c>
      <c r="QE41" s="43">
        <v>388.93299999999999</v>
      </c>
      <c r="QF41" s="43">
        <v>400</v>
      </c>
      <c r="QG41" s="42">
        <v>-9.8679999999999382</v>
      </c>
      <c r="QH41" s="46">
        <v>9.8679999999999382</v>
      </c>
      <c r="QI41" s="47">
        <v>91.316000000000003</v>
      </c>
      <c r="QJ41" s="43">
        <v>90</v>
      </c>
      <c r="QK41" s="43">
        <v>105.01900000000001</v>
      </c>
      <c r="QL41" s="43">
        <v>110</v>
      </c>
      <c r="QM41" s="43">
        <v>-3.664999999999992</v>
      </c>
      <c r="QN41" s="46"/>
      <c r="QO41" s="47">
        <v>304.78800000000001</v>
      </c>
      <c r="QP41" s="43">
        <v>300</v>
      </c>
      <c r="QQ41" s="43">
        <v>156.916</v>
      </c>
      <c r="QR41" s="43">
        <v>450</v>
      </c>
      <c r="QS41" s="42">
        <v>-288.29599999999999</v>
      </c>
      <c r="QT41" s="46">
        <v>288.29599999999999</v>
      </c>
      <c r="QU41" s="47">
        <v>195.89099999999999</v>
      </c>
      <c r="QV41" s="43">
        <v>200</v>
      </c>
      <c r="QW41" s="43">
        <v>-4.1090000000000089</v>
      </c>
      <c r="QX41" s="46"/>
      <c r="QY41" s="47">
        <v>313.11500000000001</v>
      </c>
      <c r="QZ41" s="43">
        <v>300</v>
      </c>
      <c r="RA41" s="43">
        <v>675.04100000000005</v>
      </c>
      <c r="RB41" s="43">
        <v>650</v>
      </c>
      <c r="RC41" s="43">
        <v>38.156000000000063</v>
      </c>
      <c r="RD41" s="46"/>
    </row>
    <row r="42" spans="1:472" x14ac:dyDescent="0.25">
      <c r="A42" s="43" t="s">
        <v>330</v>
      </c>
      <c r="B42" s="44">
        <v>1</v>
      </c>
      <c r="I42" s="47"/>
      <c r="J42" s="51"/>
      <c r="K42" s="51"/>
      <c r="L42" s="51"/>
      <c r="M42" s="51">
        <f t="shared" si="8"/>
        <v>0</v>
      </c>
      <c r="N42" s="46"/>
      <c r="O42" s="47"/>
      <c r="P42" s="51"/>
      <c r="Q42" s="51"/>
      <c r="R42" s="51"/>
      <c r="S42" s="51">
        <f t="shared" si="9"/>
        <v>0</v>
      </c>
      <c r="T42" s="46"/>
      <c r="U42" s="47"/>
      <c r="V42" s="51"/>
      <c r="W42" s="51"/>
      <c r="X42" s="51"/>
      <c r="Y42" s="51">
        <f t="shared" si="10"/>
        <v>0</v>
      </c>
      <c r="Z42" s="46"/>
      <c r="AA42" s="51"/>
      <c r="AE42" s="43">
        <v>0</v>
      </c>
      <c r="AF42" s="46"/>
      <c r="AG42" s="47"/>
      <c r="AK42" s="43">
        <v>0</v>
      </c>
      <c r="AL42" s="46"/>
      <c r="AQ42" s="43">
        <v>0</v>
      </c>
      <c r="AR42" s="46"/>
      <c r="AW42" s="43">
        <v>0</v>
      </c>
      <c r="AX42" s="46"/>
      <c r="AY42" s="47"/>
      <c r="BC42" s="43">
        <v>0</v>
      </c>
      <c r="BD42" s="46"/>
      <c r="BE42" s="47"/>
      <c r="BI42" s="43">
        <v>0</v>
      </c>
      <c r="BJ42" s="46"/>
      <c r="BP42" s="43">
        <v>0</v>
      </c>
      <c r="BQ42" s="46"/>
      <c r="BT42" s="43">
        <v>0</v>
      </c>
      <c r="BU42" s="46"/>
      <c r="BV42" s="47"/>
      <c r="BZ42" s="43">
        <v>0</v>
      </c>
      <c r="CA42" s="46"/>
      <c r="CF42" s="43">
        <v>0</v>
      </c>
      <c r="CG42" s="46"/>
      <c r="CL42" s="43">
        <v>0</v>
      </c>
      <c r="CM42" s="46"/>
      <c r="CN42" s="47"/>
      <c r="CR42" s="43">
        <v>0</v>
      </c>
      <c r="CS42" s="46"/>
      <c r="CX42" s="43">
        <v>0</v>
      </c>
      <c r="CY42" s="46"/>
      <c r="CZ42" s="47"/>
      <c r="DD42" s="43">
        <v>0</v>
      </c>
      <c r="DE42" s="46"/>
      <c r="DF42" s="47"/>
      <c r="DL42" s="43">
        <v>0</v>
      </c>
      <c r="DM42" s="46"/>
      <c r="DN42" s="47"/>
      <c r="DR42" s="43">
        <v>0</v>
      </c>
      <c r="DS42" s="46"/>
      <c r="DZ42" s="43">
        <v>0</v>
      </c>
      <c r="EA42" s="46"/>
      <c r="EB42" s="47"/>
      <c r="EF42" s="43">
        <v>0</v>
      </c>
      <c r="EG42" s="46"/>
      <c r="EH42" s="47"/>
      <c r="EL42" s="43">
        <v>0</v>
      </c>
      <c r="EM42" s="46"/>
      <c r="EN42" s="47"/>
      <c r="ER42" s="43">
        <v>0</v>
      </c>
      <c r="ES42" s="46"/>
      <c r="EZ42" s="43">
        <v>0</v>
      </c>
      <c r="FA42" s="46"/>
      <c r="FG42" s="43">
        <v>0</v>
      </c>
      <c r="FH42" s="46"/>
      <c r="FI42" s="47"/>
      <c r="FL42" s="43">
        <v>0</v>
      </c>
      <c r="FM42" s="46"/>
      <c r="FN42" s="47"/>
      <c r="FQ42" s="43">
        <v>0</v>
      </c>
      <c r="FR42" s="46"/>
      <c r="FW42" s="43">
        <v>0</v>
      </c>
      <c r="FX42" s="46"/>
      <c r="FY42" s="47"/>
      <c r="GD42" s="43">
        <v>0</v>
      </c>
      <c r="GE42" s="46"/>
      <c r="GJ42" s="43">
        <v>0</v>
      </c>
      <c r="GK42" s="46"/>
      <c r="GL42" s="47"/>
      <c r="GP42" s="43">
        <v>0</v>
      </c>
      <c r="GQ42" s="46"/>
      <c r="GV42" s="43">
        <v>0</v>
      </c>
      <c r="GW42" s="46"/>
      <c r="GX42" s="47"/>
      <c r="GZ42" s="43">
        <v>0</v>
      </c>
      <c r="HA42" s="46"/>
      <c r="HB42" s="47"/>
      <c r="HF42" s="43">
        <v>0</v>
      </c>
      <c r="HG42" s="46"/>
      <c r="HH42" s="47"/>
      <c r="HJ42" s="43">
        <v>0</v>
      </c>
      <c r="HK42" s="46"/>
      <c r="HL42" s="47"/>
      <c r="HP42" s="43">
        <v>0</v>
      </c>
      <c r="HQ42" s="46"/>
      <c r="HX42" s="43">
        <v>0</v>
      </c>
      <c r="HY42" s="46"/>
      <c r="HZ42" s="47"/>
      <c r="ID42" s="43">
        <v>0</v>
      </c>
      <c r="IE42" s="46"/>
      <c r="IJ42" s="43">
        <v>0</v>
      </c>
      <c r="IK42" s="49"/>
      <c r="IP42" s="43">
        <v>0</v>
      </c>
      <c r="IQ42" s="49"/>
      <c r="IV42" s="43">
        <v>0</v>
      </c>
      <c r="IW42" s="49"/>
      <c r="JB42" s="43">
        <v>0</v>
      </c>
      <c r="JC42" s="46"/>
      <c r="JF42" s="43">
        <v>0</v>
      </c>
      <c r="JG42" s="49"/>
      <c r="JL42" s="43">
        <v>0</v>
      </c>
      <c r="JM42" s="46"/>
      <c r="JN42" s="50"/>
      <c r="JP42" s="43">
        <v>0</v>
      </c>
      <c r="JQ42" s="49"/>
      <c r="JV42" s="43">
        <v>0</v>
      </c>
      <c r="JW42" s="49"/>
      <c r="KB42" s="43">
        <v>0</v>
      </c>
      <c r="KC42" s="49"/>
      <c r="KH42" s="43">
        <v>0</v>
      </c>
      <c r="KI42" s="49"/>
      <c r="KN42" s="43">
        <v>0</v>
      </c>
      <c r="KO42" s="49"/>
      <c r="KP42" s="50"/>
      <c r="KV42" s="43">
        <v>0</v>
      </c>
      <c r="KW42" s="49"/>
      <c r="KX42" s="48">
        <v>0</v>
      </c>
      <c r="KY42" s="48">
        <v>0</v>
      </c>
      <c r="KZ42" s="48">
        <v>0</v>
      </c>
      <c r="LA42" s="48">
        <v>0</v>
      </c>
      <c r="LB42" s="43">
        <v>0</v>
      </c>
      <c r="LC42" s="49"/>
      <c r="LD42" s="48">
        <v>0</v>
      </c>
      <c r="LE42" s="48">
        <v>0</v>
      </c>
      <c r="LF42" s="48">
        <v>0</v>
      </c>
      <c r="LG42" s="48">
        <v>0</v>
      </c>
      <c r="LH42" s="43">
        <v>0</v>
      </c>
      <c r="LI42" s="49"/>
      <c r="LJ42" s="50">
        <v>0</v>
      </c>
      <c r="LK42" s="48">
        <v>0</v>
      </c>
      <c r="LL42" s="43">
        <v>0</v>
      </c>
      <c r="LM42" s="49"/>
      <c r="LN42" s="50">
        <v>0</v>
      </c>
      <c r="LO42" s="48">
        <v>0</v>
      </c>
      <c r="LP42" s="48">
        <v>0</v>
      </c>
      <c r="LQ42" s="48">
        <v>0</v>
      </c>
      <c r="LR42" s="48">
        <v>0</v>
      </c>
      <c r="LS42" s="43">
        <v>0</v>
      </c>
      <c r="LT42" s="49"/>
      <c r="LU42" s="50">
        <v>0</v>
      </c>
      <c r="LV42" s="48">
        <v>0</v>
      </c>
      <c r="LW42" s="48">
        <v>0</v>
      </c>
      <c r="LX42" s="48">
        <v>0</v>
      </c>
      <c r="LY42" s="43">
        <v>0</v>
      </c>
      <c r="LZ42" s="49"/>
      <c r="MA42" s="50">
        <v>0</v>
      </c>
      <c r="MB42" s="48">
        <v>0</v>
      </c>
      <c r="MC42" s="43">
        <v>0</v>
      </c>
      <c r="MD42" s="49"/>
      <c r="ME42" s="50">
        <v>0</v>
      </c>
      <c r="MF42" s="48">
        <v>0</v>
      </c>
      <c r="MG42" s="48">
        <v>0</v>
      </c>
      <c r="MH42" s="48">
        <v>0</v>
      </c>
      <c r="MI42" s="43">
        <v>0</v>
      </c>
      <c r="MJ42" s="49"/>
      <c r="MK42" s="50">
        <v>0</v>
      </c>
      <c r="ML42" s="48">
        <v>0</v>
      </c>
      <c r="MM42" s="43">
        <v>0</v>
      </c>
      <c r="MN42" s="49"/>
      <c r="MO42" s="50">
        <v>0</v>
      </c>
      <c r="MP42" s="48">
        <v>0</v>
      </c>
      <c r="MQ42" s="48">
        <v>0</v>
      </c>
      <c r="MR42" s="48">
        <v>0</v>
      </c>
      <c r="MS42" s="43">
        <v>0</v>
      </c>
      <c r="MT42" s="49"/>
      <c r="MU42" s="48">
        <v>0</v>
      </c>
      <c r="MV42" s="46"/>
      <c r="MW42" s="48">
        <v>0</v>
      </c>
      <c r="MX42" s="48">
        <v>0</v>
      </c>
      <c r="MY42" s="43">
        <v>0</v>
      </c>
      <c r="MZ42" s="49"/>
      <c r="NA42" s="50">
        <v>0</v>
      </c>
      <c r="NB42" s="48">
        <v>0</v>
      </c>
      <c r="NC42" s="48">
        <v>0</v>
      </c>
      <c r="ND42" s="48">
        <v>0</v>
      </c>
      <c r="NE42" s="43">
        <v>0</v>
      </c>
      <c r="NF42" s="49"/>
      <c r="NG42" s="50">
        <v>0</v>
      </c>
      <c r="NH42" s="48">
        <v>0</v>
      </c>
      <c r="NI42" s="48">
        <v>0</v>
      </c>
      <c r="NJ42" s="48">
        <v>0</v>
      </c>
      <c r="NK42" s="43">
        <v>0</v>
      </c>
      <c r="NL42" s="49"/>
      <c r="NM42" s="50">
        <v>0</v>
      </c>
      <c r="NN42" s="48">
        <v>0</v>
      </c>
      <c r="NO42" s="48">
        <v>0</v>
      </c>
      <c r="NP42" s="48">
        <v>0</v>
      </c>
      <c r="NQ42" s="43">
        <v>0</v>
      </c>
      <c r="NR42" s="49"/>
      <c r="NS42" s="50">
        <v>0</v>
      </c>
      <c r="NT42" s="48">
        <v>0</v>
      </c>
      <c r="NU42" s="48">
        <v>0</v>
      </c>
      <c r="NV42" s="48">
        <v>0</v>
      </c>
      <c r="NW42" s="43">
        <v>0</v>
      </c>
      <c r="NX42" s="49"/>
      <c r="NY42" s="50">
        <v>0</v>
      </c>
      <c r="NZ42" s="48">
        <v>0</v>
      </c>
      <c r="OA42" s="48">
        <v>0</v>
      </c>
      <c r="OB42" s="48">
        <v>0</v>
      </c>
      <c r="OC42" s="43">
        <v>0</v>
      </c>
      <c r="OD42" s="49"/>
      <c r="OE42" s="50">
        <v>0</v>
      </c>
      <c r="OF42" s="48">
        <v>0</v>
      </c>
      <c r="OG42" s="43">
        <v>0</v>
      </c>
      <c r="OH42" s="49"/>
      <c r="OI42" s="50">
        <v>0</v>
      </c>
      <c r="OJ42" s="48">
        <v>0</v>
      </c>
      <c r="OK42" s="43">
        <v>0</v>
      </c>
      <c r="OL42" s="49"/>
      <c r="OM42" s="50">
        <v>0</v>
      </c>
      <c r="ON42" s="48">
        <v>0</v>
      </c>
      <c r="OO42" s="48">
        <v>0</v>
      </c>
      <c r="OP42" s="48">
        <v>0</v>
      </c>
      <c r="OQ42" s="43">
        <v>0</v>
      </c>
      <c r="OR42" s="49"/>
      <c r="OS42" s="50">
        <v>0</v>
      </c>
      <c r="OT42" s="48">
        <v>0</v>
      </c>
      <c r="OU42" s="43">
        <v>0</v>
      </c>
      <c r="OV42" s="49"/>
      <c r="OW42" s="50">
        <v>0</v>
      </c>
      <c r="OX42" s="48">
        <v>0</v>
      </c>
      <c r="OY42" s="48">
        <v>0</v>
      </c>
      <c r="OZ42" s="48">
        <v>0</v>
      </c>
      <c r="PA42" s="43">
        <v>0</v>
      </c>
      <c r="PB42" s="49"/>
      <c r="PC42" s="50">
        <v>0</v>
      </c>
      <c r="PD42" s="48">
        <v>0</v>
      </c>
      <c r="PE42" s="43">
        <v>0</v>
      </c>
      <c r="PF42" s="49"/>
      <c r="PG42" s="50">
        <v>0</v>
      </c>
      <c r="PH42" s="48">
        <v>0</v>
      </c>
      <c r="PI42" s="48">
        <v>0</v>
      </c>
      <c r="PJ42" s="48">
        <v>0</v>
      </c>
      <c r="PK42" s="43">
        <v>0</v>
      </c>
      <c r="PL42" s="49"/>
      <c r="PM42" s="47">
        <v>0</v>
      </c>
      <c r="PN42" s="48">
        <v>0</v>
      </c>
      <c r="PO42" s="48">
        <v>0</v>
      </c>
      <c r="PP42" s="48">
        <v>0</v>
      </c>
      <c r="PQ42" s="43">
        <v>0</v>
      </c>
      <c r="PR42" s="49"/>
      <c r="PS42" s="47">
        <v>0</v>
      </c>
      <c r="PT42" s="7">
        <v>150</v>
      </c>
      <c r="PU42" s="43">
        <v>0</v>
      </c>
      <c r="PV42" s="7">
        <v>150</v>
      </c>
      <c r="PW42" s="43">
        <v>-0.51499999999998636</v>
      </c>
      <c r="PX42" s="46"/>
      <c r="PY42" s="47">
        <v>0</v>
      </c>
      <c r="PZ42" s="7">
        <v>860</v>
      </c>
      <c r="QA42" s="43">
        <v>-5.6299999999999946</v>
      </c>
      <c r="QB42" s="46"/>
      <c r="QC42" s="47">
        <v>0</v>
      </c>
      <c r="QD42" s="7">
        <v>338</v>
      </c>
      <c r="QE42" s="43">
        <v>0</v>
      </c>
      <c r="QF42" s="7">
        <v>600</v>
      </c>
      <c r="QG42" s="43">
        <v>-7.77800000000002</v>
      </c>
      <c r="QH42" s="46"/>
      <c r="QI42" s="47">
        <v>50.207999999999998</v>
      </c>
      <c r="QJ42" s="43">
        <v>50</v>
      </c>
      <c r="QK42" s="43">
        <v>50.085999999999999</v>
      </c>
      <c r="QL42" s="43">
        <v>50</v>
      </c>
      <c r="QM42" s="43">
        <v>0.29399999999999687</v>
      </c>
      <c r="QN42" s="46"/>
      <c r="QO42" s="47">
        <v>0</v>
      </c>
      <c r="QP42" s="43">
        <v>0</v>
      </c>
      <c r="QQ42" s="43">
        <v>442.49</v>
      </c>
      <c r="QR42" s="43">
        <v>0</v>
      </c>
      <c r="QS42" s="43">
        <v>442.49</v>
      </c>
      <c r="QT42" s="46"/>
      <c r="QU42" s="47">
        <v>937.47299999999996</v>
      </c>
      <c r="QV42" s="43">
        <v>950</v>
      </c>
      <c r="QW42" s="42">
        <v>-12.52700000000004</v>
      </c>
      <c r="QX42" s="46">
        <v>12.52700000000004</v>
      </c>
      <c r="QY42" s="47">
        <v>0</v>
      </c>
      <c r="QZ42" s="43">
        <v>0</v>
      </c>
      <c r="RA42" s="43">
        <v>0</v>
      </c>
      <c r="RB42" s="43">
        <v>0</v>
      </c>
      <c r="RC42" s="43">
        <v>0</v>
      </c>
      <c r="RD42" s="46"/>
    </row>
    <row r="43" spans="1:472" x14ac:dyDescent="0.25">
      <c r="A43" s="43" t="s">
        <v>331</v>
      </c>
      <c r="B43" s="44">
        <v>0.36</v>
      </c>
      <c r="I43" s="47"/>
      <c r="J43" s="51"/>
      <c r="K43" s="51"/>
      <c r="L43" s="51"/>
      <c r="M43" s="51">
        <f t="shared" si="8"/>
        <v>0</v>
      </c>
      <c r="N43" s="46"/>
      <c r="O43" s="47"/>
      <c r="P43" s="51"/>
      <c r="Q43" s="51"/>
      <c r="R43" s="51"/>
      <c r="S43" s="51">
        <f t="shared" si="9"/>
        <v>0</v>
      </c>
      <c r="T43" s="46"/>
      <c r="U43" s="47"/>
      <c r="V43" s="51"/>
      <c r="W43" s="51"/>
      <c r="X43" s="51"/>
      <c r="Y43" s="51">
        <f t="shared" si="10"/>
        <v>0</v>
      </c>
      <c r="Z43" s="46"/>
      <c r="AA43" s="51"/>
      <c r="AE43" s="43">
        <v>0</v>
      </c>
      <c r="AF43" s="46"/>
      <c r="AG43" s="47"/>
      <c r="AK43" s="43">
        <v>0</v>
      </c>
      <c r="AL43" s="46"/>
      <c r="AQ43" s="43">
        <v>0</v>
      </c>
      <c r="AR43" s="46"/>
      <c r="AW43" s="43">
        <v>0</v>
      </c>
      <c r="AX43" s="46"/>
      <c r="AY43" s="47"/>
      <c r="BC43" s="43">
        <v>0</v>
      </c>
      <c r="BD43" s="46"/>
      <c r="BE43" s="47"/>
      <c r="BI43" s="43">
        <v>0</v>
      </c>
      <c r="BJ43" s="46"/>
      <c r="BP43" s="43">
        <v>0</v>
      </c>
      <c r="BQ43" s="46"/>
      <c r="BT43" s="43">
        <v>0</v>
      </c>
      <c r="BU43" s="46"/>
      <c r="BV43" s="47"/>
      <c r="BZ43" s="43">
        <v>0</v>
      </c>
      <c r="CA43" s="46"/>
      <c r="CF43" s="43">
        <v>0</v>
      </c>
      <c r="CG43" s="46"/>
      <c r="CL43" s="43">
        <v>0</v>
      </c>
      <c r="CM43" s="46"/>
      <c r="CN43" s="47"/>
      <c r="CR43" s="43">
        <v>0</v>
      </c>
      <c r="CS43" s="46"/>
      <c r="CX43" s="43">
        <v>0</v>
      </c>
      <c r="CY43" s="46"/>
      <c r="CZ43" s="47"/>
      <c r="DD43" s="43">
        <v>0</v>
      </c>
      <c r="DE43" s="46"/>
      <c r="DF43" s="47"/>
      <c r="DL43" s="43">
        <v>0</v>
      </c>
      <c r="DM43" s="46"/>
      <c r="DN43" s="47"/>
      <c r="DR43" s="43">
        <v>0</v>
      </c>
      <c r="DS43" s="46"/>
      <c r="DZ43" s="43">
        <v>0</v>
      </c>
      <c r="EA43" s="46"/>
      <c r="EB43" s="47"/>
      <c r="EF43" s="43">
        <v>0</v>
      </c>
      <c r="EG43" s="46"/>
      <c r="EH43" s="47"/>
      <c r="EL43" s="43">
        <v>0</v>
      </c>
      <c r="EM43" s="46"/>
      <c r="EN43" s="47"/>
      <c r="ER43" s="43">
        <v>0</v>
      </c>
      <c r="ES43" s="46"/>
      <c r="EZ43" s="43">
        <v>0</v>
      </c>
      <c r="FA43" s="46"/>
      <c r="FG43" s="43">
        <v>0</v>
      </c>
      <c r="FH43" s="46"/>
      <c r="FI43" s="47"/>
      <c r="FL43" s="43">
        <v>0</v>
      </c>
      <c r="FM43" s="46"/>
      <c r="FN43" s="47"/>
      <c r="FQ43" s="43">
        <v>0</v>
      </c>
      <c r="FR43" s="46"/>
      <c r="FW43" s="43">
        <v>0</v>
      </c>
      <c r="FX43" s="46"/>
      <c r="FY43" s="47"/>
      <c r="GD43" s="43">
        <v>0</v>
      </c>
      <c r="GE43" s="46"/>
      <c r="GJ43" s="43">
        <v>0</v>
      </c>
      <c r="GK43" s="46"/>
      <c r="GL43" s="47"/>
      <c r="GP43" s="43">
        <v>0</v>
      </c>
      <c r="GQ43" s="46"/>
      <c r="GV43" s="43">
        <v>0</v>
      </c>
      <c r="GW43" s="46"/>
      <c r="GX43" s="47"/>
      <c r="GZ43" s="43">
        <v>0</v>
      </c>
      <c r="HA43" s="46"/>
      <c r="HB43" s="47"/>
      <c r="HF43" s="43">
        <v>0</v>
      </c>
      <c r="HG43" s="46"/>
      <c r="HH43" s="47"/>
      <c r="HJ43" s="43">
        <v>0</v>
      </c>
      <c r="HK43" s="46"/>
      <c r="HL43" s="47"/>
      <c r="HP43" s="43">
        <v>0</v>
      </c>
      <c r="HQ43" s="46"/>
      <c r="HX43" s="43">
        <v>0</v>
      </c>
      <c r="HY43" s="46"/>
      <c r="HZ43" s="47"/>
      <c r="ID43" s="43">
        <v>0</v>
      </c>
      <c r="IE43" s="46"/>
      <c r="IJ43" s="43">
        <v>0</v>
      </c>
      <c r="IK43" s="49"/>
      <c r="IP43" s="43">
        <v>0</v>
      </c>
      <c r="IQ43" s="49"/>
      <c r="IV43" s="43">
        <v>0</v>
      </c>
      <c r="IW43" s="49"/>
      <c r="JB43" s="43">
        <v>0</v>
      </c>
      <c r="JC43" s="46"/>
      <c r="JF43" s="43">
        <v>0</v>
      </c>
      <c r="JG43" s="49"/>
      <c r="JL43" s="43">
        <v>0</v>
      </c>
      <c r="JM43" s="46"/>
      <c r="JN43" s="50"/>
      <c r="JP43" s="43">
        <v>0</v>
      </c>
      <c r="JQ43" s="49"/>
      <c r="JV43" s="43">
        <v>0</v>
      </c>
      <c r="JW43" s="49"/>
      <c r="KB43" s="43">
        <v>0</v>
      </c>
      <c r="KC43" s="49"/>
      <c r="KH43" s="43">
        <v>0</v>
      </c>
      <c r="KI43" s="49"/>
      <c r="KN43" s="43">
        <v>0</v>
      </c>
      <c r="KO43" s="49"/>
      <c r="KP43" s="50"/>
      <c r="KV43" s="43">
        <v>0</v>
      </c>
      <c r="KW43" s="49"/>
      <c r="KX43" s="48">
        <v>0</v>
      </c>
      <c r="KY43" s="48">
        <v>0</v>
      </c>
      <c r="KZ43" s="48">
        <v>0</v>
      </c>
      <c r="LA43" s="48">
        <v>0</v>
      </c>
      <c r="LB43" s="43">
        <v>0</v>
      </c>
      <c r="LC43" s="49"/>
      <c r="LD43" s="48">
        <v>0</v>
      </c>
      <c r="LE43" s="48">
        <v>0</v>
      </c>
      <c r="LF43" s="48">
        <v>0</v>
      </c>
      <c r="LG43" s="48">
        <v>0</v>
      </c>
      <c r="LH43" s="43">
        <v>0</v>
      </c>
      <c r="LI43" s="49"/>
      <c r="LJ43" s="50">
        <v>0</v>
      </c>
      <c r="LK43" s="48">
        <v>0</v>
      </c>
      <c r="LL43" s="43">
        <v>0</v>
      </c>
      <c r="LM43" s="49"/>
      <c r="LN43" s="50">
        <v>0</v>
      </c>
      <c r="LO43" s="48">
        <v>0</v>
      </c>
      <c r="LP43" s="48">
        <v>0</v>
      </c>
      <c r="LQ43" s="48">
        <v>0</v>
      </c>
      <c r="LR43" s="48">
        <v>0</v>
      </c>
      <c r="LS43" s="43">
        <v>0</v>
      </c>
      <c r="LT43" s="49"/>
      <c r="LU43" s="50">
        <v>0</v>
      </c>
      <c r="LV43" s="48">
        <v>0</v>
      </c>
      <c r="LW43" s="48">
        <v>0</v>
      </c>
      <c r="LX43" s="48">
        <v>0</v>
      </c>
      <c r="LY43" s="43">
        <v>0</v>
      </c>
      <c r="LZ43" s="49"/>
      <c r="MA43" s="50">
        <v>0</v>
      </c>
      <c r="MB43" s="48">
        <v>0</v>
      </c>
      <c r="MC43" s="43">
        <v>0</v>
      </c>
      <c r="MD43" s="49"/>
      <c r="ME43" s="50">
        <v>0</v>
      </c>
      <c r="MF43" s="48">
        <v>0</v>
      </c>
      <c r="MG43" s="48">
        <v>0</v>
      </c>
      <c r="MH43" s="48">
        <v>0</v>
      </c>
      <c r="MI43" s="43">
        <v>0</v>
      </c>
      <c r="MJ43" s="49"/>
      <c r="MK43" s="50">
        <v>0</v>
      </c>
      <c r="ML43" s="48">
        <v>0</v>
      </c>
      <c r="MM43" s="43">
        <v>0</v>
      </c>
      <c r="MN43" s="49"/>
      <c r="MO43" s="50">
        <v>0</v>
      </c>
      <c r="MP43" s="48">
        <v>0</v>
      </c>
      <c r="MQ43" s="48">
        <v>0</v>
      </c>
      <c r="MR43" s="48">
        <v>0</v>
      </c>
      <c r="MS43" s="43">
        <v>0</v>
      </c>
      <c r="MT43" s="49"/>
      <c r="MU43" s="48">
        <v>0</v>
      </c>
      <c r="MV43" s="46"/>
      <c r="MW43" s="48">
        <v>0</v>
      </c>
      <c r="MX43" s="48">
        <v>0</v>
      </c>
      <c r="MY43" s="43">
        <v>0</v>
      </c>
      <c r="MZ43" s="49"/>
      <c r="NA43" s="50">
        <v>0</v>
      </c>
      <c r="NB43" s="48">
        <v>0</v>
      </c>
      <c r="NC43" s="48">
        <v>0</v>
      </c>
      <c r="ND43" s="48">
        <v>0</v>
      </c>
      <c r="NE43" s="43">
        <v>0</v>
      </c>
      <c r="NF43" s="49"/>
      <c r="NG43" s="50">
        <v>0</v>
      </c>
      <c r="NH43" s="48">
        <v>0</v>
      </c>
      <c r="NI43" s="48">
        <v>0</v>
      </c>
      <c r="NJ43" s="48">
        <v>0</v>
      </c>
      <c r="NK43" s="43">
        <v>0</v>
      </c>
      <c r="NL43" s="49"/>
      <c r="NM43" s="50">
        <v>0</v>
      </c>
      <c r="NN43" s="48">
        <v>0</v>
      </c>
      <c r="NO43" s="48">
        <v>0</v>
      </c>
      <c r="NP43" s="48">
        <v>0</v>
      </c>
      <c r="NQ43" s="43">
        <v>0</v>
      </c>
      <c r="NR43" s="49"/>
      <c r="NS43" s="50">
        <v>0</v>
      </c>
      <c r="NT43" s="48">
        <v>0</v>
      </c>
      <c r="NU43" s="48">
        <v>0</v>
      </c>
      <c r="NV43" s="48">
        <v>0</v>
      </c>
      <c r="NW43" s="43">
        <v>0</v>
      </c>
      <c r="NX43" s="49"/>
      <c r="NY43" s="50">
        <v>0</v>
      </c>
      <c r="NZ43" s="48">
        <v>0</v>
      </c>
      <c r="OA43" s="48">
        <v>0</v>
      </c>
      <c r="OB43" s="48">
        <v>0</v>
      </c>
      <c r="OC43" s="43">
        <v>0</v>
      </c>
      <c r="OD43" s="49"/>
      <c r="OE43" s="50">
        <v>0</v>
      </c>
      <c r="OF43" s="48">
        <v>0</v>
      </c>
      <c r="OG43" s="43">
        <v>0</v>
      </c>
      <c r="OH43" s="49"/>
      <c r="OI43" s="50">
        <v>0</v>
      </c>
      <c r="OJ43" s="48">
        <v>0</v>
      </c>
      <c r="OK43" s="43">
        <v>0</v>
      </c>
      <c r="OL43" s="49"/>
      <c r="OM43" s="50">
        <v>0</v>
      </c>
      <c r="ON43" s="48">
        <v>0</v>
      </c>
      <c r="OO43" s="48">
        <v>0</v>
      </c>
      <c r="OP43" s="48">
        <v>0</v>
      </c>
      <c r="OQ43" s="43">
        <v>0</v>
      </c>
      <c r="OR43" s="49"/>
      <c r="OS43" s="50">
        <v>0</v>
      </c>
      <c r="OT43" s="48">
        <v>0</v>
      </c>
      <c r="OU43" s="43">
        <v>0</v>
      </c>
      <c r="OV43" s="49"/>
      <c r="OW43" s="50">
        <v>0</v>
      </c>
      <c r="OX43" s="48">
        <v>0</v>
      </c>
      <c r="OY43" s="48">
        <v>0</v>
      </c>
      <c r="OZ43" s="48">
        <v>0</v>
      </c>
      <c r="PA43" s="43">
        <v>0</v>
      </c>
      <c r="PB43" s="49"/>
      <c r="PC43" s="50">
        <v>0</v>
      </c>
      <c r="PD43" s="48">
        <v>0</v>
      </c>
      <c r="PE43" s="43">
        <v>0</v>
      </c>
      <c r="PF43" s="49"/>
      <c r="PG43" s="50">
        <v>0</v>
      </c>
      <c r="PH43" s="48">
        <v>0</v>
      </c>
      <c r="PI43" s="48">
        <v>0</v>
      </c>
      <c r="PJ43" s="33">
        <v>50</v>
      </c>
      <c r="PK43" s="42">
        <v>-50</v>
      </c>
      <c r="PL43" s="49">
        <v>18</v>
      </c>
      <c r="PM43" s="47">
        <v>0</v>
      </c>
      <c r="PN43" s="48">
        <v>0</v>
      </c>
      <c r="PO43" s="48">
        <v>0</v>
      </c>
      <c r="PP43" s="33">
        <v>130</v>
      </c>
      <c r="PQ43" s="42">
        <v>-130</v>
      </c>
      <c r="PR43" s="49">
        <v>46.8</v>
      </c>
      <c r="PS43" s="47">
        <v>100</v>
      </c>
      <c r="PT43" s="43">
        <v>100</v>
      </c>
      <c r="PU43" s="43">
        <v>150</v>
      </c>
      <c r="PV43" s="43">
        <v>150</v>
      </c>
      <c r="PW43" s="43">
        <v>0</v>
      </c>
      <c r="PX43" s="46"/>
      <c r="PY43" s="47">
        <v>40</v>
      </c>
      <c r="PZ43" s="43">
        <v>40</v>
      </c>
      <c r="QA43" s="43">
        <v>0</v>
      </c>
      <c r="QB43" s="46"/>
      <c r="QC43" s="47">
        <v>100</v>
      </c>
      <c r="QD43" s="43">
        <v>100</v>
      </c>
      <c r="QE43" s="43">
        <v>100</v>
      </c>
      <c r="QF43" s="43">
        <v>100</v>
      </c>
      <c r="QG43" s="43">
        <v>0</v>
      </c>
      <c r="QH43" s="46"/>
      <c r="QI43" s="47">
        <v>50</v>
      </c>
      <c r="QJ43" s="43">
        <v>50</v>
      </c>
      <c r="QK43" s="43">
        <v>70</v>
      </c>
      <c r="QL43" s="43">
        <v>70</v>
      </c>
      <c r="QM43" s="43">
        <v>0</v>
      </c>
      <c r="QN43" s="46"/>
      <c r="QO43" s="47">
        <v>40</v>
      </c>
      <c r="QP43" s="43">
        <v>42</v>
      </c>
      <c r="QQ43" s="43">
        <v>0</v>
      </c>
      <c r="QR43" s="43">
        <v>50</v>
      </c>
      <c r="QS43" s="42">
        <v>-52</v>
      </c>
      <c r="QT43" s="46">
        <v>18.72</v>
      </c>
      <c r="QU43" s="47">
        <v>0</v>
      </c>
      <c r="QV43" s="43">
        <v>0</v>
      </c>
      <c r="QW43" s="43">
        <v>0</v>
      </c>
      <c r="QX43" s="46"/>
      <c r="QY43" s="47">
        <v>0</v>
      </c>
      <c r="QZ43" s="43">
        <v>0</v>
      </c>
      <c r="RA43" s="43">
        <v>190</v>
      </c>
      <c r="RB43" s="43">
        <v>300</v>
      </c>
      <c r="RC43" s="42">
        <v>-110</v>
      </c>
      <c r="RD43" s="46">
        <v>39.6</v>
      </c>
    </row>
    <row r="44" spans="1:472" x14ac:dyDescent="0.25">
      <c r="A44" s="43" t="s">
        <v>332</v>
      </c>
      <c r="B44" s="44">
        <v>0.3</v>
      </c>
      <c r="I44" s="47"/>
      <c r="J44" s="51"/>
      <c r="K44" s="51"/>
      <c r="L44" s="51"/>
      <c r="M44" s="51">
        <f t="shared" si="8"/>
        <v>0</v>
      </c>
      <c r="N44" s="46"/>
      <c r="O44" s="47"/>
      <c r="P44" s="51"/>
      <c r="Q44" s="51"/>
      <c r="R44" s="51"/>
      <c r="S44" s="51">
        <f t="shared" si="9"/>
        <v>0</v>
      </c>
      <c r="T44" s="46"/>
      <c r="U44" s="47"/>
      <c r="V44" s="51"/>
      <c r="W44" s="51"/>
      <c r="X44" s="51"/>
      <c r="Y44" s="51">
        <f t="shared" si="10"/>
        <v>0</v>
      </c>
      <c r="Z44" s="46"/>
      <c r="AA44" s="51"/>
      <c r="AE44" s="43">
        <v>0</v>
      </c>
      <c r="AF44" s="46"/>
      <c r="AG44" s="47"/>
      <c r="AK44" s="43">
        <v>0</v>
      </c>
      <c r="AL44" s="46"/>
      <c r="AQ44" s="43">
        <v>0</v>
      </c>
      <c r="AR44" s="46"/>
      <c r="AW44" s="43">
        <v>0</v>
      </c>
      <c r="AX44" s="46"/>
      <c r="AY44" s="47"/>
      <c r="BC44" s="43">
        <v>0</v>
      </c>
      <c r="BD44" s="46"/>
      <c r="BE44" s="47"/>
      <c r="BI44" s="43">
        <v>0</v>
      </c>
      <c r="BJ44" s="46"/>
      <c r="BP44" s="43">
        <v>0</v>
      </c>
      <c r="BQ44" s="46"/>
      <c r="BT44" s="43">
        <v>0</v>
      </c>
      <c r="BU44" s="46"/>
      <c r="BV44" s="47"/>
      <c r="BZ44" s="43">
        <v>0</v>
      </c>
      <c r="CA44" s="46"/>
      <c r="CF44" s="43">
        <v>0</v>
      </c>
      <c r="CG44" s="46"/>
      <c r="CL44" s="43">
        <v>0</v>
      </c>
      <c r="CM44" s="46"/>
      <c r="CN44" s="47"/>
      <c r="CR44" s="43">
        <v>0</v>
      </c>
      <c r="CS44" s="46"/>
      <c r="CX44" s="43">
        <v>0</v>
      </c>
      <c r="CY44" s="46"/>
      <c r="CZ44" s="47"/>
      <c r="DD44" s="43">
        <v>0</v>
      </c>
      <c r="DE44" s="46"/>
      <c r="DF44" s="47"/>
      <c r="DL44" s="43">
        <v>0</v>
      </c>
      <c r="DM44" s="46"/>
      <c r="DN44" s="47"/>
      <c r="DR44" s="43">
        <v>0</v>
      </c>
      <c r="DS44" s="46"/>
      <c r="DZ44" s="43">
        <v>0</v>
      </c>
      <c r="EA44" s="46"/>
      <c r="EB44" s="47"/>
      <c r="EF44" s="43">
        <v>0</v>
      </c>
      <c r="EG44" s="46"/>
      <c r="EH44" s="47"/>
      <c r="EL44" s="43">
        <v>0</v>
      </c>
      <c r="EM44" s="46"/>
      <c r="EN44" s="47"/>
      <c r="ER44" s="43">
        <v>0</v>
      </c>
      <c r="ES44" s="46"/>
      <c r="EZ44" s="43">
        <v>0</v>
      </c>
      <c r="FA44" s="46"/>
      <c r="FG44" s="43">
        <v>0</v>
      </c>
      <c r="FH44" s="46"/>
      <c r="FI44" s="47"/>
      <c r="FL44" s="43">
        <v>0</v>
      </c>
      <c r="FM44" s="46"/>
      <c r="FN44" s="47"/>
      <c r="FQ44" s="43">
        <v>0</v>
      </c>
      <c r="FR44" s="46"/>
      <c r="FW44" s="43">
        <v>0</v>
      </c>
      <c r="FX44" s="46"/>
      <c r="FY44" s="47"/>
      <c r="GD44" s="43">
        <v>0</v>
      </c>
      <c r="GE44" s="46"/>
      <c r="GJ44" s="43">
        <v>0</v>
      </c>
      <c r="GK44" s="46"/>
      <c r="GL44" s="47"/>
      <c r="GP44" s="43">
        <v>0</v>
      </c>
      <c r="GQ44" s="46"/>
      <c r="GV44" s="43">
        <v>0</v>
      </c>
      <c r="GW44" s="46"/>
      <c r="GX44" s="47"/>
      <c r="GZ44" s="43">
        <v>0</v>
      </c>
      <c r="HA44" s="46"/>
      <c r="HB44" s="47"/>
      <c r="HF44" s="43">
        <v>0</v>
      </c>
      <c r="HG44" s="46"/>
      <c r="HH44" s="47"/>
      <c r="HJ44" s="43">
        <v>0</v>
      </c>
      <c r="HK44" s="46"/>
      <c r="HL44" s="47"/>
      <c r="HP44" s="43">
        <v>0</v>
      </c>
      <c r="HQ44" s="46"/>
      <c r="HX44" s="43">
        <v>0</v>
      </c>
      <c r="HY44" s="46"/>
      <c r="HZ44" s="47"/>
      <c r="ID44" s="43">
        <v>0</v>
      </c>
      <c r="IE44" s="46"/>
      <c r="IJ44" s="43">
        <v>0</v>
      </c>
      <c r="IK44" s="49"/>
      <c r="IP44" s="43">
        <v>0</v>
      </c>
      <c r="IQ44" s="49"/>
      <c r="IT44">
        <v>702</v>
      </c>
      <c r="IU44">
        <v>700</v>
      </c>
      <c r="IV44" s="43">
        <v>2</v>
      </c>
      <c r="IW44" s="49"/>
      <c r="JB44" s="43">
        <v>0</v>
      </c>
      <c r="JC44" s="46"/>
      <c r="JF44" s="43">
        <v>0</v>
      </c>
      <c r="JG44" s="49"/>
      <c r="JH44">
        <v>600</v>
      </c>
      <c r="JI44">
        <v>600</v>
      </c>
      <c r="JL44" s="43">
        <v>0</v>
      </c>
      <c r="JM44" s="46"/>
      <c r="JN44" s="45">
        <v>450</v>
      </c>
      <c r="JO44" s="48">
        <v>450</v>
      </c>
      <c r="JP44" s="43">
        <v>0</v>
      </c>
      <c r="JQ44" s="49"/>
      <c r="JV44" s="43">
        <v>0</v>
      </c>
      <c r="JW44" s="49"/>
      <c r="KB44" s="43">
        <v>0</v>
      </c>
      <c r="KC44" s="49"/>
      <c r="KD44">
        <v>48</v>
      </c>
      <c r="KE44">
        <v>50</v>
      </c>
      <c r="KF44">
        <v>102</v>
      </c>
      <c r="KG44">
        <v>100</v>
      </c>
      <c r="KH44" s="43">
        <v>0</v>
      </c>
      <c r="KI44" s="49"/>
      <c r="KJ44">
        <v>150</v>
      </c>
      <c r="KK44">
        <v>150</v>
      </c>
      <c r="KL44">
        <v>360</v>
      </c>
      <c r="KM44">
        <v>360</v>
      </c>
      <c r="KN44" s="43">
        <v>0</v>
      </c>
      <c r="KO44" s="49"/>
      <c r="KP44" s="50"/>
      <c r="KV44" s="43">
        <v>0</v>
      </c>
      <c r="KW44" s="49"/>
      <c r="KX44" s="48">
        <v>0</v>
      </c>
      <c r="KY44" s="48">
        <v>0</v>
      </c>
      <c r="KZ44" s="48">
        <v>48</v>
      </c>
      <c r="LA44" s="48">
        <v>50</v>
      </c>
      <c r="LB44" s="43">
        <v>-2</v>
      </c>
      <c r="LC44" s="49"/>
      <c r="LD44" s="48">
        <v>150</v>
      </c>
      <c r="LE44" s="48">
        <v>150</v>
      </c>
      <c r="LF44" s="48">
        <v>198</v>
      </c>
      <c r="LG44" s="48">
        <v>200</v>
      </c>
      <c r="LH44" s="43">
        <v>-2</v>
      </c>
      <c r="LI44" s="49"/>
      <c r="LJ44" s="50">
        <v>60</v>
      </c>
      <c r="LK44" s="48">
        <v>60</v>
      </c>
      <c r="LL44" s="43">
        <v>0</v>
      </c>
      <c r="LM44" s="49"/>
      <c r="LN44" s="50">
        <v>594</v>
      </c>
      <c r="LO44" s="48">
        <v>600</v>
      </c>
      <c r="LP44" s="48">
        <v>300</v>
      </c>
      <c r="LQ44" s="48">
        <v>0</v>
      </c>
      <c r="LR44" s="48">
        <v>300</v>
      </c>
      <c r="LS44" s="43">
        <v>-6</v>
      </c>
      <c r="LT44" s="49"/>
      <c r="LU44" s="50">
        <v>156</v>
      </c>
      <c r="LV44" s="48">
        <v>150</v>
      </c>
      <c r="LW44" s="48">
        <v>150</v>
      </c>
      <c r="LX44" s="48">
        <v>150</v>
      </c>
      <c r="LY44" s="43">
        <v>6</v>
      </c>
      <c r="LZ44" s="49"/>
      <c r="MA44" s="50">
        <v>0</v>
      </c>
      <c r="MB44" s="48">
        <v>0</v>
      </c>
      <c r="MC44" s="43">
        <v>0</v>
      </c>
      <c r="MD44" s="49"/>
      <c r="ME44" s="50">
        <v>0</v>
      </c>
      <c r="MF44" s="48">
        <v>0</v>
      </c>
      <c r="MG44" s="48">
        <v>42</v>
      </c>
      <c r="MH44" s="48">
        <v>40</v>
      </c>
      <c r="MI44" s="43">
        <v>2</v>
      </c>
      <c r="MJ44" s="49"/>
      <c r="MK44" s="50">
        <v>198</v>
      </c>
      <c r="ML44" s="48">
        <v>200</v>
      </c>
      <c r="MM44" s="43">
        <v>-2</v>
      </c>
      <c r="MN44" s="49"/>
      <c r="MO44" s="50">
        <v>0</v>
      </c>
      <c r="MP44" s="48">
        <v>0</v>
      </c>
      <c r="MQ44" s="48">
        <v>0</v>
      </c>
      <c r="MR44" s="48">
        <v>0</v>
      </c>
      <c r="MS44" s="43">
        <v>0</v>
      </c>
      <c r="MT44" s="49"/>
      <c r="MU44" s="48">
        <v>0</v>
      </c>
      <c r="MV44" s="46"/>
      <c r="MW44" s="48">
        <v>0</v>
      </c>
      <c r="MX44" s="48">
        <v>0</v>
      </c>
      <c r="MY44" s="43">
        <v>0</v>
      </c>
      <c r="MZ44" s="49"/>
      <c r="NA44" s="50">
        <v>0</v>
      </c>
      <c r="NB44" s="48">
        <v>0</v>
      </c>
      <c r="NC44" s="48">
        <v>0</v>
      </c>
      <c r="ND44" s="48">
        <v>0</v>
      </c>
      <c r="NE44" s="43">
        <v>0</v>
      </c>
      <c r="NF44" s="49"/>
      <c r="NG44" s="50">
        <v>150</v>
      </c>
      <c r="NH44" s="48">
        <v>20</v>
      </c>
      <c r="NI44" s="48">
        <v>0</v>
      </c>
      <c r="NJ44" s="48">
        <v>0</v>
      </c>
      <c r="NK44" s="43">
        <v>130</v>
      </c>
      <c r="NL44" s="49"/>
      <c r="NM44" s="50">
        <v>102</v>
      </c>
      <c r="NN44" s="48">
        <v>100</v>
      </c>
      <c r="NO44" s="48">
        <v>198</v>
      </c>
      <c r="NP44" s="48">
        <v>200</v>
      </c>
      <c r="NQ44" s="43">
        <v>0</v>
      </c>
      <c r="NR44" s="49"/>
      <c r="NS44" s="25">
        <v>48</v>
      </c>
      <c r="NT44" s="48">
        <v>0</v>
      </c>
      <c r="NU44" s="48">
        <v>42</v>
      </c>
      <c r="NV44" s="48">
        <v>40</v>
      </c>
      <c r="NW44" s="43">
        <v>50</v>
      </c>
      <c r="NX44" s="49"/>
      <c r="NY44" s="50">
        <v>0</v>
      </c>
      <c r="NZ44" s="48">
        <v>0</v>
      </c>
      <c r="OA44" s="48">
        <v>18</v>
      </c>
      <c r="OB44" s="48">
        <v>20</v>
      </c>
      <c r="OC44" s="43">
        <v>-2</v>
      </c>
      <c r="OD44" s="49"/>
      <c r="OE44" s="50">
        <v>204</v>
      </c>
      <c r="OF44" s="48">
        <v>100</v>
      </c>
      <c r="OG44" s="43">
        <v>104</v>
      </c>
      <c r="OH44" s="49"/>
      <c r="OI44" s="50">
        <v>0</v>
      </c>
      <c r="OJ44" s="48">
        <v>0</v>
      </c>
      <c r="OK44" s="43">
        <v>0</v>
      </c>
      <c r="OL44" s="49"/>
      <c r="OM44" s="50">
        <v>0</v>
      </c>
      <c r="ON44" s="48">
        <v>0</v>
      </c>
      <c r="OO44" s="48">
        <v>48</v>
      </c>
      <c r="OP44" s="48">
        <v>50</v>
      </c>
      <c r="OQ44" s="43">
        <v>-2</v>
      </c>
      <c r="OR44" s="49"/>
      <c r="OS44" s="50">
        <v>0</v>
      </c>
      <c r="OT44" s="48">
        <v>0</v>
      </c>
      <c r="OU44" s="43">
        <v>0</v>
      </c>
      <c r="OV44" s="49"/>
      <c r="OW44" s="50">
        <v>0</v>
      </c>
      <c r="OX44" s="48">
        <v>0</v>
      </c>
      <c r="OY44" s="48">
        <v>0</v>
      </c>
      <c r="OZ44" s="48">
        <v>0</v>
      </c>
      <c r="PA44" s="43">
        <v>0</v>
      </c>
      <c r="PB44" s="49"/>
      <c r="PC44" s="50">
        <v>60</v>
      </c>
      <c r="PD44" s="48">
        <v>61</v>
      </c>
      <c r="PE44" s="43">
        <v>-1</v>
      </c>
      <c r="PF44" s="49"/>
      <c r="PG44" s="50">
        <v>0</v>
      </c>
      <c r="PH44" s="48">
        <v>0</v>
      </c>
      <c r="PI44" s="48">
        <v>0</v>
      </c>
      <c r="PJ44" s="48">
        <v>0</v>
      </c>
      <c r="PK44" s="43">
        <v>0</v>
      </c>
      <c r="PL44" s="49"/>
      <c r="PM44" s="47">
        <v>0</v>
      </c>
      <c r="PN44" s="48">
        <v>0</v>
      </c>
      <c r="PO44" s="48">
        <v>0</v>
      </c>
      <c r="PP44" s="48">
        <v>0</v>
      </c>
      <c r="PQ44" s="43">
        <v>0</v>
      </c>
      <c r="PR44" s="49"/>
      <c r="PS44" s="47">
        <v>0</v>
      </c>
      <c r="PT44" s="43">
        <v>0</v>
      </c>
      <c r="PU44" s="43">
        <v>0</v>
      </c>
      <c r="PV44" s="43">
        <v>0</v>
      </c>
      <c r="PW44" s="43">
        <v>0</v>
      </c>
      <c r="PX44" s="46"/>
      <c r="PY44" s="8">
        <v>72</v>
      </c>
      <c r="PZ44" s="43">
        <v>0</v>
      </c>
      <c r="QA44" s="43">
        <v>0</v>
      </c>
      <c r="QB44" s="46"/>
      <c r="QC44" s="47">
        <v>0</v>
      </c>
      <c r="QD44" s="43">
        <v>0</v>
      </c>
      <c r="QE44" s="43">
        <v>0</v>
      </c>
      <c r="QF44" s="43">
        <v>0</v>
      </c>
      <c r="QG44" s="43">
        <v>0</v>
      </c>
      <c r="QH44" s="46"/>
      <c r="QI44" s="47">
        <v>0</v>
      </c>
      <c r="QJ44" s="43">
        <v>0</v>
      </c>
      <c r="QK44" s="43">
        <v>0</v>
      </c>
      <c r="QL44" s="43">
        <v>0</v>
      </c>
      <c r="QM44" s="43">
        <v>0</v>
      </c>
      <c r="QN44" s="46"/>
      <c r="QO44" s="47">
        <v>0</v>
      </c>
      <c r="QP44" s="43">
        <v>0</v>
      </c>
      <c r="QQ44" s="43">
        <v>0</v>
      </c>
      <c r="QR44" s="43">
        <v>0</v>
      </c>
      <c r="QS44" s="43">
        <v>0</v>
      </c>
      <c r="QT44" s="46"/>
      <c r="QU44" s="47">
        <v>0</v>
      </c>
      <c r="QV44" s="43">
        <v>0</v>
      </c>
      <c r="QW44" s="43">
        <v>0</v>
      </c>
      <c r="QX44" s="46"/>
      <c r="QY44" s="47">
        <v>0</v>
      </c>
      <c r="QZ44" s="43">
        <v>0</v>
      </c>
      <c r="RA44" s="43">
        <v>0</v>
      </c>
      <c r="RB44" s="43">
        <v>0</v>
      </c>
      <c r="RC44" s="43">
        <v>0</v>
      </c>
      <c r="RD44" s="46"/>
    </row>
    <row r="45" spans="1:472" x14ac:dyDescent="0.25">
      <c r="A45" s="43" t="s">
        <v>333</v>
      </c>
      <c r="B45" s="44">
        <v>0.15</v>
      </c>
      <c r="F45">
        <v>70</v>
      </c>
      <c r="I45" s="45">
        <v>20</v>
      </c>
      <c r="J45" s="52">
        <v>20</v>
      </c>
      <c r="K45" s="52">
        <v>50</v>
      </c>
      <c r="L45" s="52">
        <v>51</v>
      </c>
      <c r="M45" s="51">
        <f t="shared" si="8"/>
        <v>-1</v>
      </c>
      <c r="N45" s="46"/>
      <c r="O45" s="47"/>
      <c r="P45" s="51"/>
      <c r="Q45" s="52">
        <v>30</v>
      </c>
      <c r="R45" s="52">
        <v>29</v>
      </c>
      <c r="S45" s="51">
        <f t="shared" si="9"/>
        <v>1</v>
      </c>
      <c r="T45" s="46"/>
      <c r="U45" s="47"/>
      <c r="V45" s="51"/>
      <c r="W45" s="51"/>
      <c r="X45" s="51"/>
      <c r="Y45" s="51">
        <f t="shared" si="10"/>
        <v>0</v>
      </c>
      <c r="Z45" s="46"/>
      <c r="AA45" s="51"/>
      <c r="AE45" s="43">
        <v>0</v>
      </c>
      <c r="AF45" s="46"/>
      <c r="AG45" s="45">
        <v>20</v>
      </c>
      <c r="AH45" s="43">
        <v>20</v>
      </c>
      <c r="AK45" s="43">
        <v>0</v>
      </c>
      <c r="AL45" s="46"/>
      <c r="AO45">
        <v>70</v>
      </c>
      <c r="AQ45" s="43">
        <v>70</v>
      </c>
      <c r="AR45" s="46"/>
      <c r="AW45" s="43">
        <v>0</v>
      </c>
      <c r="AX45" s="46"/>
      <c r="AY45" s="47"/>
      <c r="BC45" s="43">
        <v>0</v>
      </c>
      <c r="BD45" s="46"/>
      <c r="BE45" s="47"/>
      <c r="BI45" s="43">
        <v>0</v>
      </c>
      <c r="BJ45" s="46"/>
      <c r="BQ45" s="46"/>
      <c r="BU45" s="46"/>
      <c r="BV45" s="47"/>
      <c r="CA45" s="46"/>
      <c r="CG45" s="46"/>
      <c r="CM45" s="46"/>
      <c r="CN45" s="47"/>
      <c r="CS45" s="46"/>
      <c r="CY45" s="46"/>
      <c r="CZ45" s="47"/>
      <c r="DE45" s="46"/>
      <c r="DF45" s="47"/>
      <c r="DM45" s="46"/>
      <c r="DN45" s="47"/>
      <c r="DS45" s="46"/>
      <c r="EA45" s="46"/>
      <c r="EB45" s="47"/>
      <c r="EG45" s="46"/>
      <c r="EH45" s="47"/>
      <c r="EL45" s="43"/>
      <c r="EM45" s="46"/>
      <c r="EN45" s="47"/>
      <c r="ER45" s="43"/>
      <c r="ES45" s="46"/>
      <c r="FA45" s="46"/>
      <c r="FB45" s="43"/>
      <c r="FH45" s="46"/>
      <c r="FI45" s="47"/>
      <c r="FM45" s="46"/>
      <c r="FN45" s="47"/>
      <c r="FR45" s="46"/>
      <c r="FX45" s="46"/>
      <c r="FY45" s="47"/>
      <c r="GE45" s="46"/>
      <c r="GK45" s="46"/>
      <c r="GL45" s="47"/>
      <c r="GP45" s="43"/>
      <c r="GQ45" s="46"/>
      <c r="GW45" s="46"/>
      <c r="GX45" s="47"/>
      <c r="HA45" s="46"/>
      <c r="HB45" s="47"/>
      <c r="HG45" s="46"/>
      <c r="HH45" s="47"/>
      <c r="HJ45" s="43"/>
      <c r="HK45" s="46"/>
      <c r="HL45" s="47"/>
      <c r="HP45" s="43"/>
      <c r="HQ45" s="46"/>
      <c r="HY45" s="46"/>
      <c r="HZ45" s="47"/>
      <c r="IE45" s="46"/>
      <c r="IK45" s="49"/>
      <c r="IQ45" s="49"/>
      <c r="IR45" s="48"/>
      <c r="IS45" s="48"/>
      <c r="IW45" s="49"/>
      <c r="JC45" s="46"/>
      <c r="JG45" s="49"/>
      <c r="JM45" s="46"/>
      <c r="JN45" s="45"/>
      <c r="JO45" s="48"/>
      <c r="JQ45" s="49"/>
      <c r="JW45" s="49"/>
      <c r="KC45" s="49"/>
      <c r="KI45" s="49"/>
      <c r="KO45" s="49"/>
      <c r="KP45" s="50"/>
      <c r="KW45" s="49"/>
      <c r="KX45" s="48"/>
      <c r="KY45" s="48"/>
      <c r="KZ45" s="48"/>
      <c r="LA45" s="48"/>
      <c r="LC45" s="49"/>
      <c r="LD45" s="48"/>
      <c r="LE45" s="48"/>
      <c r="LF45" s="48"/>
      <c r="LG45" s="48"/>
      <c r="LI45" s="49"/>
      <c r="LJ45" s="50"/>
      <c r="LK45" s="48"/>
      <c r="LM45" s="49"/>
      <c r="LN45" s="50"/>
      <c r="LO45" s="48"/>
      <c r="LP45" s="48"/>
      <c r="LQ45" s="48"/>
      <c r="LR45" s="48"/>
      <c r="LT45" s="49"/>
      <c r="LU45" s="50"/>
      <c r="LV45" s="48"/>
      <c r="LW45" s="48"/>
      <c r="LX45" s="48"/>
      <c r="LZ45" s="49"/>
      <c r="MA45" s="50"/>
      <c r="MB45" s="48"/>
      <c r="MD45" s="49"/>
      <c r="ME45" s="50"/>
      <c r="MF45" s="48"/>
      <c r="MG45" s="48"/>
      <c r="MH45" s="48"/>
      <c r="MJ45" s="49"/>
      <c r="MK45" s="50"/>
      <c r="ML45" s="48"/>
      <c r="MN45" s="49"/>
      <c r="MO45" s="50"/>
      <c r="MP45" s="48"/>
      <c r="MQ45" s="48"/>
      <c r="MR45" s="48"/>
      <c r="MT45" s="49"/>
      <c r="MU45" s="48"/>
      <c r="MV45" s="46"/>
      <c r="MW45" s="48"/>
      <c r="MX45" s="48"/>
      <c r="MZ45" s="49"/>
      <c r="NA45" s="50"/>
      <c r="NB45" s="48"/>
      <c r="NC45" s="48"/>
      <c r="ND45" s="48"/>
      <c r="NF45" s="49"/>
      <c r="NG45" s="50"/>
      <c r="NH45" s="48"/>
      <c r="NI45" s="48"/>
      <c r="NJ45" s="48"/>
      <c r="NL45" s="49"/>
      <c r="NM45" s="50"/>
      <c r="NN45" s="48"/>
      <c r="NO45" s="48"/>
      <c r="NP45" s="48"/>
      <c r="NR45" s="49"/>
      <c r="NS45" s="50"/>
      <c r="NT45" s="48"/>
      <c r="NU45" s="48"/>
      <c r="NV45" s="48"/>
      <c r="NX45" s="49"/>
      <c r="NY45" s="50"/>
      <c r="NZ45" s="48"/>
      <c r="OA45" s="48"/>
      <c r="OB45" s="48"/>
      <c r="OD45" s="49"/>
      <c r="OE45" s="50"/>
      <c r="OF45" s="48"/>
      <c r="OH45" s="49"/>
      <c r="OI45" s="50"/>
      <c r="OJ45" s="48"/>
      <c r="OL45" s="49"/>
      <c r="OM45" s="50"/>
      <c r="ON45" s="48"/>
      <c r="OO45" s="48"/>
      <c r="OP45" s="48"/>
      <c r="OR45" s="49"/>
      <c r="OS45" s="50"/>
      <c r="OT45" s="48"/>
      <c r="OV45" s="49"/>
      <c r="OW45" s="50"/>
      <c r="OX45" s="48"/>
      <c r="OY45" s="48"/>
      <c r="OZ45" s="48"/>
      <c r="PB45" s="49"/>
      <c r="PC45" s="50"/>
      <c r="PD45" s="48"/>
      <c r="PF45" s="49"/>
      <c r="PG45" s="50"/>
      <c r="PH45" s="48"/>
      <c r="PI45" s="48"/>
      <c r="PJ45" s="48"/>
      <c r="PL45" s="49"/>
      <c r="PM45" s="47"/>
      <c r="PN45" s="48"/>
      <c r="PO45" s="48"/>
      <c r="PP45" s="48"/>
      <c r="PR45" s="49"/>
      <c r="PS45" s="47"/>
      <c r="PX45" s="46"/>
      <c r="PY45" s="47"/>
      <c r="QB45" s="46"/>
      <c r="QC45" s="47"/>
      <c r="QH45" s="46"/>
      <c r="QI45" s="47"/>
      <c r="QN45" s="46"/>
      <c r="QO45" s="47"/>
      <c r="QT45" s="46"/>
      <c r="QU45" s="47"/>
      <c r="QX45" s="46"/>
      <c r="QY45" s="47"/>
      <c r="RD45" s="46"/>
    </row>
    <row r="46" spans="1:472" x14ac:dyDescent="0.25">
      <c r="A46" s="43" t="s">
        <v>334</v>
      </c>
      <c r="B46" s="44">
        <v>0.35</v>
      </c>
      <c r="I46" s="47"/>
      <c r="J46" s="51"/>
      <c r="K46" s="51"/>
      <c r="L46" s="51"/>
      <c r="M46" s="51">
        <f t="shared" si="8"/>
        <v>0</v>
      </c>
      <c r="N46" s="46"/>
      <c r="O46" s="47"/>
      <c r="P46" s="51"/>
      <c r="Q46" s="51"/>
      <c r="R46" s="51"/>
      <c r="S46" s="51">
        <f t="shared" si="9"/>
        <v>0</v>
      </c>
      <c r="T46" s="46"/>
      <c r="U46" s="47"/>
      <c r="V46" s="51"/>
      <c r="W46" s="51"/>
      <c r="X46" s="51"/>
      <c r="Y46" s="51">
        <f t="shared" si="10"/>
        <v>0</v>
      </c>
      <c r="Z46" s="46"/>
      <c r="AA46" s="51"/>
      <c r="AE46" s="43">
        <v>0</v>
      </c>
      <c r="AF46" s="46"/>
      <c r="AG46" s="47"/>
      <c r="AK46" s="43">
        <v>0</v>
      </c>
      <c r="AL46" s="46"/>
      <c r="AQ46" s="43">
        <v>0</v>
      </c>
      <c r="AR46" s="46"/>
      <c r="AW46" s="43">
        <v>0</v>
      </c>
      <c r="AX46" s="46"/>
      <c r="AY46" s="47"/>
      <c r="BC46" s="43">
        <v>0</v>
      </c>
      <c r="BD46" s="46"/>
      <c r="BE46" s="47"/>
      <c r="BI46" s="43">
        <v>0</v>
      </c>
      <c r="BJ46" s="46"/>
      <c r="BP46" s="43">
        <v>0</v>
      </c>
      <c r="BQ46" s="46"/>
      <c r="BT46" s="43">
        <v>0</v>
      </c>
      <c r="BU46" s="46"/>
      <c r="BV46" s="47"/>
      <c r="BZ46" s="43">
        <v>0</v>
      </c>
      <c r="CA46" s="46"/>
      <c r="CF46" s="43">
        <v>0</v>
      </c>
      <c r="CG46" s="46"/>
      <c r="CL46" s="43">
        <v>0</v>
      </c>
      <c r="CM46" s="46"/>
      <c r="CN46" s="47"/>
      <c r="CR46" s="43">
        <v>0</v>
      </c>
      <c r="CS46" s="46"/>
      <c r="CX46" s="43">
        <v>0</v>
      </c>
      <c r="CY46" s="46"/>
      <c r="CZ46" s="47"/>
      <c r="DD46" s="43">
        <v>0</v>
      </c>
      <c r="DE46" s="46"/>
      <c r="DF46" s="47"/>
      <c r="DL46" s="43">
        <v>0</v>
      </c>
      <c r="DM46" s="46"/>
      <c r="DN46" s="47"/>
      <c r="DR46" s="43">
        <v>0</v>
      </c>
      <c r="DS46" s="46"/>
      <c r="DZ46" s="43">
        <v>0</v>
      </c>
      <c r="EA46" s="46"/>
      <c r="EB46" s="47"/>
      <c r="EF46" s="43">
        <v>0</v>
      </c>
      <c r="EG46" s="46"/>
      <c r="EH46" s="47"/>
      <c r="EL46" s="43">
        <v>0</v>
      </c>
      <c r="EM46" s="46"/>
      <c r="EN46" s="47"/>
      <c r="ER46" s="43">
        <v>0</v>
      </c>
      <c r="ES46" s="46"/>
      <c r="EZ46" s="43">
        <v>0</v>
      </c>
      <c r="FA46" s="46"/>
      <c r="FG46" s="43">
        <v>0</v>
      </c>
      <c r="FH46" s="46"/>
      <c r="FI46" s="47"/>
      <c r="FL46" s="43">
        <v>0</v>
      </c>
      <c r="FM46" s="46"/>
      <c r="FN46" s="47"/>
      <c r="FQ46" s="43">
        <v>0</v>
      </c>
      <c r="FR46" s="46"/>
      <c r="FW46" s="43">
        <v>0</v>
      </c>
      <c r="FX46" s="46"/>
      <c r="FY46" s="47"/>
      <c r="GD46" s="43">
        <v>0</v>
      </c>
      <c r="GE46" s="46"/>
      <c r="GJ46" s="43">
        <v>0</v>
      </c>
      <c r="GK46" s="46"/>
      <c r="GL46" s="47"/>
      <c r="GP46" s="43">
        <v>0</v>
      </c>
      <c r="GQ46" s="46"/>
      <c r="GV46" s="43">
        <v>0</v>
      </c>
      <c r="GW46" s="46"/>
      <c r="GX46" s="47"/>
      <c r="GZ46" s="43">
        <v>0</v>
      </c>
      <c r="HA46" s="46"/>
      <c r="HB46" s="47"/>
      <c r="HF46" s="43">
        <v>0</v>
      </c>
      <c r="HG46" s="46"/>
      <c r="HH46" s="47"/>
      <c r="HJ46" s="43">
        <v>0</v>
      </c>
      <c r="HK46" s="46"/>
      <c r="HL46" s="47"/>
      <c r="HP46" s="43">
        <v>0</v>
      </c>
      <c r="HQ46" s="46"/>
      <c r="HX46" s="43">
        <v>0</v>
      </c>
      <c r="HY46" s="46"/>
      <c r="HZ46" s="47"/>
      <c r="ID46" s="43">
        <v>0</v>
      </c>
      <c r="IE46" s="46"/>
      <c r="IJ46" s="43">
        <v>0</v>
      </c>
      <c r="IK46" s="49"/>
      <c r="IP46" s="43">
        <v>0</v>
      </c>
      <c r="IQ46" s="49"/>
      <c r="IV46" s="43">
        <v>0</v>
      </c>
      <c r="IW46" s="49"/>
      <c r="JB46" s="43">
        <v>0</v>
      </c>
      <c r="JC46" s="46"/>
      <c r="JF46" s="43">
        <v>0</v>
      </c>
      <c r="JG46" s="49"/>
      <c r="JL46" s="43">
        <v>0</v>
      </c>
      <c r="JM46" s="46"/>
      <c r="JN46" s="50"/>
      <c r="JP46" s="43">
        <v>0</v>
      </c>
      <c r="JQ46" s="49"/>
      <c r="JV46" s="43">
        <v>0</v>
      </c>
      <c r="JW46" s="49"/>
      <c r="KB46" s="43">
        <v>0</v>
      </c>
      <c r="KC46" s="49"/>
      <c r="KH46" s="43">
        <v>0</v>
      </c>
      <c r="KI46" s="49"/>
      <c r="KN46" s="43">
        <v>0</v>
      </c>
      <c r="KO46" s="49"/>
      <c r="KP46" s="50"/>
      <c r="KV46" s="43">
        <v>0</v>
      </c>
      <c r="KW46" s="49"/>
      <c r="KX46" s="48">
        <v>0</v>
      </c>
      <c r="KY46" s="48">
        <v>0</v>
      </c>
      <c r="KZ46" s="48">
        <v>0</v>
      </c>
      <c r="LA46" s="48">
        <v>0</v>
      </c>
      <c r="LB46" s="43">
        <v>0</v>
      </c>
      <c r="LC46" s="49"/>
      <c r="LD46" s="48">
        <v>0</v>
      </c>
      <c r="LE46" s="48">
        <v>0</v>
      </c>
      <c r="LF46" s="48">
        <v>0</v>
      </c>
      <c r="LG46" s="48">
        <v>0</v>
      </c>
      <c r="LH46" s="43">
        <v>0</v>
      </c>
      <c r="LI46" s="49"/>
      <c r="LJ46" s="50">
        <v>0</v>
      </c>
      <c r="LK46" s="48">
        <v>0</v>
      </c>
      <c r="LL46" s="43">
        <v>0</v>
      </c>
      <c r="LM46" s="49"/>
      <c r="LN46" s="50">
        <v>0</v>
      </c>
      <c r="LO46" s="48">
        <v>0</v>
      </c>
      <c r="LP46" s="48">
        <v>0</v>
      </c>
      <c r="LQ46" s="48">
        <v>0</v>
      </c>
      <c r="LR46" s="48">
        <v>0</v>
      </c>
      <c r="LS46" s="43">
        <v>0</v>
      </c>
      <c r="LT46" s="49"/>
      <c r="LU46" s="50">
        <v>0</v>
      </c>
      <c r="LV46" s="48">
        <v>0</v>
      </c>
      <c r="LW46" s="48">
        <v>0</v>
      </c>
      <c r="LX46" s="48">
        <v>0</v>
      </c>
      <c r="LY46" s="43">
        <v>0</v>
      </c>
      <c r="LZ46" s="49"/>
      <c r="MA46" s="50">
        <v>0</v>
      </c>
      <c r="MB46" s="48">
        <v>0</v>
      </c>
      <c r="MC46" s="43">
        <v>0</v>
      </c>
      <c r="MD46" s="49"/>
      <c r="ME46" s="50">
        <v>0</v>
      </c>
      <c r="MF46" s="48">
        <v>0</v>
      </c>
      <c r="MG46" s="48">
        <v>0</v>
      </c>
      <c r="MH46" s="48">
        <v>0</v>
      </c>
      <c r="MI46" s="43">
        <v>0</v>
      </c>
      <c r="MJ46" s="49"/>
      <c r="MK46" s="50">
        <v>0</v>
      </c>
      <c r="ML46" s="48">
        <v>0</v>
      </c>
      <c r="MM46" s="43">
        <v>0</v>
      </c>
      <c r="MN46" s="49"/>
      <c r="MO46" s="50">
        <v>0</v>
      </c>
      <c r="MP46" s="48">
        <v>0</v>
      </c>
      <c r="MQ46" s="48">
        <v>0</v>
      </c>
      <c r="MR46" s="48">
        <v>0</v>
      </c>
      <c r="MS46" s="43">
        <v>0</v>
      </c>
      <c r="MT46" s="49"/>
      <c r="MU46" s="48">
        <v>0</v>
      </c>
      <c r="MV46" s="46"/>
      <c r="MW46" s="48">
        <v>0</v>
      </c>
      <c r="MX46" s="48">
        <v>0</v>
      </c>
      <c r="MY46" s="43">
        <v>0</v>
      </c>
      <c r="MZ46" s="49"/>
      <c r="NA46" s="50">
        <v>0</v>
      </c>
      <c r="NB46" s="48">
        <v>0</v>
      </c>
      <c r="NC46" s="48">
        <v>0</v>
      </c>
      <c r="ND46" s="48">
        <v>0</v>
      </c>
      <c r="NE46" s="43">
        <v>0</v>
      </c>
      <c r="NF46" s="49"/>
      <c r="NG46" s="50">
        <v>0</v>
      </c>
      <c r="NH46" s="48">
        <v>0</v>
      </c>
      <c r="NI46" s="48">
        <v>0</v>
      </c>
      <c r="NJ46" s="48">
        <v>0</v>
      </c>
      <c r="NK46" s="43">
        <v>0</v>
      </c>
      <c r="NL46" s="49"/>
      <c r="NM46" s="50">
        <v>0</v>
      </c>
      <c r="NN46" s="48">
        <v>0</v>
      </c>
      <c r="NO46" s="48">
        <v>0</v>
      </c>
      <c r="NP46" s="48">
        <v>0</v>
      </c>
      <c r="NQ46" s="43">
        <v>0</v>
      </c>
      <c r="NR46" s="49"/>
      <c r="NS46" s="50">
        <v>0</v>
      </c>
      <c r="NT46" s="48">
        <v>0</v>
      </c>
      <c r="NU46" s="48">
        <v>0</v>
      </c>
      <c r="NV46" s="48">
        <v>0</v>
      </c>
      <c r="NW46" s="43">
        <v>0</v>
      </c>
      <c r="NX46" s="49"/>
      <c r="NY46" s="50">
        <v>0</v>
      </c>
      <c r="NZ46" s="48">
        <v>0</v>
      </c>
      <c r="OA46" s="48">
        <v>0</v>
      </c>
      <c r="OB46" s="48">
        <v>0</v>
      </c>
      <c r="OC46" s="43">
        <v>0</v>
      </c>
      <c r="OD46" s="49"/>
      <c r="OE46" s="50">
        <v>0</v>
      </c>
      <c r="OF46" s="48">
        <v>0</v>
      </c>
      <c r="OG46" s="43">
        <v>0</v>
      </c>
      <c r="OH46" s="49"/>
      <c r="OI46" s="50">
        <v>0</v>
      </c>
      <c r="OJ46" s="48">
        <v>0</v>
      </c>
      <c r="OK46" s="43">
        <v>0</v>
      </c>
      <c r="OL46" s="49"/>
      <c r="OM46" s="50">
        <v>0</v>
      </c>
      <c r="ON46" s="48">
        <v>0</v>
      </c>
      <c r="OO46" s="48">
        <v>0</v>
      </c>
      <c r="OP46" s="48">
        <v>0</v>
      </c>
      <c r="OQ46" s="43">
        <v>0</v>
      </c>
      <c r="OR46" s="49"/>
      <c r="OS46" s="50">
        <v>0</v>
      </c>
      <c r="OT46" s="48">
        <v>0</v>
      </c>
      <c r="OU46" s="43">
        <v>0</v>
      </c>
      <c r="OV46" s="49"/>
      <c r="OW46" s="50">
        <v>0</v>
      </c>
      <c r="OX46" s="48">
        <v>0</v>
      </c>
      <c r="OY46" s="48">
        <v>0</v>
      </c>
      <c r="OZ46" s="48">
        <v>0</v>
      </c>
      <c r="PA46" s="43">
        <v>0</v>
      </c>
      <c r="PB46" s="49"/>
      <c r="PC46" s="50">
        <v>0</v>
      </c>
      <c r="PD46" s="48">
        <v>0</v>
      </c>
      <c r="PE46" s="43">
        <v>0</v>
      </c>
      <c r="PF46" s="49"/>
      <c r="PG46" s="50">
        <v>0</v>
      </c>
      <c r="PH46" s="48">
        <v>0</v>
      </c>
      <c r="PI46" s="48">
        <v>0</v>
      </c>
      <c r="PJ46" s="48">
        <v>0</v>
      </c>
      <c r="PK46" s="43">
        <v>0</v>
      </c>
      <c r="PL46" s="49"/>
      <c r="PM46" s="47">
        <v>0</v>
      </c>
      <c r="PN46" s="48">
        <v>0</v>
      </c>
      <c r="PO46" s="48">
        <v>0</v>
      </c>
      <c r="PP46" s="48">
        <v>0</v>
      </c>
      <c r="PQ46" s="43">
        <v>0</v>
      </c>
      <c r="PR46" s="49"/>
      <c r="PS46" s="47">
        <v>0</v>
      </c>
      <c r="PT46" s="43">
        <v>0</v>
      </c>
      <c r="PU46" s="43">
        <v>0</v>
      </c>
      <c r="PV46" s="43">
        <v>0</v>
      </c>
      <c r="PW46" s="43">
        <v>0</v>
      </c>
      <c r="PX46" s="46"/>
      <c r="PY46" s="47">
        <v>0</v>
      </c>
      <c r="PZ46" s="43">
        <v>0</v>
      </c>
      <c r="QA46" s="43">
        <v>0</v>
      </c>
      <c r="QB46" s="46"/>
      <c r="QC46" s="47">
        <v>0</v>
      </c>
      <c r="QD46" s="43">
        <v>0</v>
      </c>
      <c r="QE46" s="43">
        <v>0</v>
      </c>
      <c r="QF46" s="43">
        <v>0</v>
      </c>
      <c r="QG46" s="43">
        <v>0</v>
      </c>
      <c r="QH46" s="46"/>
      <c r="QI46" s="47">
        <v>0</v>
      </c>
      <c r="QJ46" s="43">
        <v>0</v>
      </c>
      <c r="QK46" s="43">
        <v>0</v>
      </c>
      <c r="QL46" s="43">
        <v>0</v>
      </c>
      <c r="QM46" s="43">
        <v>0</v>
      </c>
      <c r="QN46" s="46"/>
      <c r="QO46" s="47">
        <v>16</v>
      </c>
      <c r="QP46" s="43">
        <v>18</v>
      </c>
      <c r="QQ46" s="43">
        <v>0</v>
      </c>
      <c r="QR46" s="43">
        <v>0</v>
      </c>
      <c r="QS46" s="43">
        <v>-2</v>
      </c>
      <c r="QT46" s="46"/>
      <c r="QU46" s="47">
        <v>0</v>
      </c>
      <c r="QV46" s="43">
        <v>0</v>
      </c>
      <c r="QW46" s="43">
        <v>0</v>
      </c>
      <c r="QX46" s="46"/>
      <c r="QY46" s="47">
        <v>0</v>
      </c>
      <c r="QZ46" s="43">
        <v>0</v>
      </c>
      <c r="RA46" s="43">
        <v>0</v>
      </c>
      <c r="RB46" s="43">
        <v>0</v>
      </c>
      <c r="RC46" s="43">
        <v>0</v>
      </c>
      <c r="RD46" s="46"/>
    </row>
    <row r="47" spans="1:472" x14ac:dyDescent="0.25">
      <c r="A47" s="43" t="s">
        <v>335</v>
      </c>
      <c r="B47" s="44">
        <v>1</v>
      </c>
      <c r="F47">
        <v>100</v>
      </c>
      <c r="I47" s="45">
        <v>61</v>
      </c>
      <c r="J47" s="52">
        <v>60</v>
      </c>
      <c r="K47" s="52">
        <v>90</v>
      </c>
      <c r="L47" s="52">
        <v>90</v>
      </c>
      <c r="M47" s="51">
        <f t="shared" si="8"/>
        <v>1</v>
      </c>
      <c r="N47" s="46"/>
      <c r="O47" s="47"/>
      <c r="P47" s="51"/>
      <c r="Q47" s="51"/>
      <c r="R47" s="52">
        <v>140</v>
      </c>
      <c r="S47" s="56">
        <f t="shared" si="9"/>
        <v>-140</v>
      </c>
      <c r="T47" s="46">
        <f>-1*S47*B47</f>
        <v>140</v>
      </c>
      <c r="U47" s="47"/>
      <c r="V47" s="52">
        <v>40</v>
      </c>
      <c r="W47" s="51"/>
      <c r="X47" s="52">
        <v>44</v>
      </c>
      <c r="Y47" s="56">
        <f t="shared" si="10"/>
        <v>-84</v>
      </c>
      <c r="Z47" s="46">
        <f>-1*Y47*B47</f>
        <v>84</v>
      </c>
      <c r="AA47" s="51"/>
      <c r="AE47" s="43">
        <v>0</v>
      </c>
      <c r="AF47" s="46"/>
      <c r="AG47" s="45">
        <v>48</v>
      </c>
      <c r="AH47" s="43">
        <v>50</v>
      </c>
      <c r="AK47" s="43">
        <v>-2</v>
      </c>
      <c r="AL47" s="46"/>
      <c r="AQ47" s="43">
        <v>0</v>
      </c>
      <c r="AR47" s="46"/>
      <c r="AW47" s="43">
        <v>0</v>
      </c>
      <c r="AX47" s="46"/>
      <c r="AY47" s="47"/>
      <c r="BC47" s="43">
        <v>0</v>
      </c>
      <c r="BD47" s="46"/>
      <c r="BE47" s="47"/>
      <c r="BI47" s="43">
        <v>0</v>
      </c>
      <c r="BJ47" s="46"/>
      <c r="BP47" s="43">
        <v>0</v>
      </c>
      <c r="BQ47" s="46"/>
      <c r="BT47" s="43">
        <v>0</v>
      </c>
      <c r="BU47" s="46"/>
      <c r="BV47" s="47"/>
      <c r="BZ47" s="43">
        <v>0</v>
      </c>
      <c r="CA47" s="46"/>
      <c r="CF47" s="43">
        <v>0</v>
      </c>
      <c r="CG47" s="46"/>
      <c r="CL47" s="43">
        <v>0</v>
      </c>
      <c r="CM47" s="46"/>
      <c r="CN47" s="47"/>
      <c r="CR47" s="43">
        <v>0</v>
      </c>
      <c r="CS47" s="46"/>
      <c r="CX47" s="43">
        <v>0</v>
      </c>
      <c r="CY47" s="46"/>
      <c r="CZ47" s="47"/>
      <c r="DD47" s="43">
        <v>0</v>
      </c>
      <c r="DE47" s="46"/>
      <c r="DF47" s="47"/>
      <c r="DL47" s="43">
        <v>0</v>
      </c>
      <c r="DM47" s="46"/>
      <c r="DN47" s="47"/>
      <c r="DR47" s="43">
        <v>0</v>
      </c>
      <c r="DS47" s="46"/>
      <c r="DZ47" s="43">
        <v>0</v>
      </c>
      <c r="EA47" s="46"/>
      <c r="EB47" s="47"/>
      <c r="EF47" s="43">
        <v>0</v>
      </c>
      <c r="EG47" s="46"/>
      <c r="EH47" s="47"/>
      <c r="EL47" s="43">
        <v>0</v>
      </c>
      <c r="EM47" s="46"/>
      <c r="EN47" s="47"/>
      <c r="ER47" s="43">
        <v>0</v>
      </c>
      <c r="ES47" s="46"/>
      <c r="EZ47" s="43">
        <v>0</v>
      </c>
      <c r="FA47" s="46"/>
      <c r="FG47" s="43">
        <v>0</v>
      </c>
      <c r="FH47" s="46"/>
      <c r="FI47" s="47"/>
      <c r="FL47" s="43">
        <v>0</v>
      </c>
      <c r="FM47" s="46"/>
      <c r="FN47" s="47"/>
      <c r="FQ47" s="43">
        <v>0</v>
      </c>
      <c r="FR47" s="46"/>
      <c r="FW47" s="43">
        <v>0</v>
      </c>
      <c r="FX47" s="46"/>
      <c r="FY47" s="47"/>
      <c r="GD47" s="43">
        <v>0</v>
      </c>
      <c r="GE47" s="46"/>
      <c r="GJ47" s="43">
        <v>0</v>
      </c>
      <c r="GK47" s="46"/>
      <c r="GL47" s="47"/>
      <c r="GP47" s="43">
        <v>0</v>
      </c>
      <c r="GQ47" s="46"/>
      <c r="GV47" s="43">
        <v>0</v>
      </c>
      <c r="GW47" s="46"/>
      <c r="GX47" s="47"/>
      <c r="GZ47" s="43">
        <v>0</v>
      </c>
      <c r="HA47" s="46"/>
      <c r="HB47" s="47"/>
      <c r="HF47" s="43">
        <v>0</v>
      </c>
      <c r="HG47" s="46"/>
      <c r="HH47" s="47"/>
      <c r="HJ47" s="43">
        <v>0</v>
      </c>
      <c r="HK47" s="46"/>
      <c r="HL47" s="47"/>
      <c r="HP47" s="43">
        <v>0</v>
      </c>
      <c r="HQ47" s="46"/>
      <c r="HX47" s="43">
        <v>0</v>
      </c>
      <c r="HY47" s="46"/>
      <c r="HZ47" s="47"/>
      <c r="ID47" s="43">
        <v>0</v>
      </c>
      <c r="IE47" s="46"/>
      <c r="IJ47" s="43">
        <v>0</v>
      </c>
      <c r="IK47" s="49"/>
      <c r="IP47" s="43">
        <v>0</v>
      </c>
      <c r="IQ47" s="49"/>
      <c r="IV47" s="43">
        <v>0</v>
      </c>
      <c r="IW47" s="49"/>
      <c r="JB47" s="43">
        <v>0</v>
      </c>
      <c r="JC47" s="46"/>
      <c r="JF47" s="43">
        <v>0</v>
      </c>
      <c r="JG47" s="49"/>
      <c r="JL47" s="43">
        <v>0</v>
      </c>
      <c r="JM47" s="46"/>
      <c r="JN47" s="50"/>
      <c r="JP47" s="43">
        <v>0</v>
      </c>
      <c r="JQ47" s="49"/>
      <c r="JV47" s="43">
        <v>0</v>
      </c>
      <c r="JW47" s="49"/>
      <c r="KB47" s="43">
        <v>0</v>
      </c>
      <c r="KC47" s="49"/>
      <c r="KH47" s="43">
        <v>0</v>
      </c>
      <c r="KI47" s="49"/>
      <c r="KN47" s="43">
        <v>0</v>
      </c>
      <c r="KO47" s="49"/>
      <c r="KP47" s="50"/>
      <c r="KV47" s="43">
        <v>0</v>
      </c>
      <c r="KW47" s="49"/>
      <c r="KX47" s="48">
        <v>0</v>
      </c>
      <c r="KY47" s="48">
        <v>0</v>
      </c>
      <c r="KZ47" s="48">
        <v>0</v>
      </c>
      <c r="LA47" s="48">
        <v>0</v>
      </c>
      <c r="LB47" s="43">
        <v>0</v>
      </c>
      <c r="LC47" s="49"/>
      <c r="LD47" s="48">
        <v>0</v>
      </c>
      <c r="LE47" s="48">
        <v>0</v>
      </c>
      <c r="LF47" s="48">
        <v>0</v>
      </c>
      <c r="LG47" s="48">
        <v>0</v>
      </c>
      <c r="LH47" s="43">
        <v>0</v>
      </c>
      <c r="LI47" s="49"/>
      <c r="LJ47" s="50">
        <v>0</v>
      </c>
      <c r="LK47" s="48">
        <v>0</v>
      </c>
      <c r="LL47" s="43">
        <v>0</v>
      </c>
      <c r="LM47" s="49"/>
      <c r="LN47" s="50">
        <v>0</v>
      </c>
      <c r="LO47" s="48">
        <v>0</v>
      </c>
      <c r="LP47" s="48">
        <v>0</v>
      </c>
      <c r="LQ47" s="48">
        <v>0</v>
      </c>
      <c r="LR47" s="48">
        <v>0</v>
      </c>
      <c r="LS47" s="43">
        <v>0</v>
      </c>
      <c r="LT47" s="49"/>
      <c r="LU47" s="50">
        <v>0</v>
      </c>
      <c r="LV47" s="48">
        <v>0</v>
      </c>
      <c r="LW47" s="48">
        <v>0</v>
      </c>
      <c r="LX47" s="48">
        <v>0</v>
      </c>
      <c r="LY47" s="43">
        <v>0</v>
      </c>
      <c r="LZ47" s="49"/>
      <c r="MA47" s="50">
        <v>0</v>
      </c>
      <c r="MB47" s="48">
        <v>0</v>
      </c>
      <c r="MC47" s="43">
        <v>0</v>
      </c>
      <c r="MD47" s="49"/>
      <c r="ME47" s="50">
        <v>0</v>
      </c>
      <c r="MF47" s="48">
        <v>0</v>
      </c>
      <c r="MG47" s="48">
        <v>0</v>
      </c>
      <c r="MH47" s="48">
        <v>0</v>
      </c>
      <c r="MI47" s="43">
        <v>0</v>
      </c>
      <c r="MJ47" s="49"/>
      <c r="MK47" s="50">
        <v>0</v>
      </c>
      <c r="ML47" s="48">
        <v>0</v>
      </c>
      <c r="MM47" s="43">
        <v>0</v>
      </c>
      <c r="MN47" s="49"/>
      <c r="MO47" s="50">
        <v>0</v>
      </c>
      <c r="MP47" s="48">
        <v>0</v>
      </c>
      <c r="MQ47" s="48">
        <v>0</v>
      </c>
      <c r="MR47" s="48">
        <v>0</v>
      </c>
      <c r="MS47" s="43">
        <v>0</v>
      </c>
      <c r="MT47" s="49"/>
      <c r="MU47" s="48">
        <v>0</v>
      </c>
      <c r="MV47" s="46"/>
      <c r="MW47" s="48">
        <v>0</v>
      </c>
      <c r="MX47" s="48">
        <v>0</v>
      </c>
      <c r="MY47" s="43">
        <v>0</v>
      </c>
      <c r="MZ47" s="49"/>
      <c r="NA47" s="50">
        <v>0</v>
      </c>
      <c r="NB47" s="48">
        <v>0</v>
      </c>
      <c r="NC47" s="48">
        <v>0</v>
      </c>
      <c r="ND47" s="48">
        <v>0</v>
      </c>
      <c r="NE47" s="43">
        <v>0</v>
      </c>
      <c r="NF47" s="49"/>
      <c r="NG47" s="50">
        <v>0</v>
      </c>
      <c r="NH47" s="48">
        <v>0</v>
      </c>
      <c r="NI47" s="48">
        <v>0</v>
      </c>
      <c r="NJ47" s="48">
        <v>0</v>
      </c>
      <c r="NK47" s="43">
        <v>0</v>
      </c>
      <c r="NL47" s="49"/>
      <c r="NM47" s="50">
        <v>0</v>
      </c>
      <c r="NN47" s="48">
        <v>0</v>
      </c>
      <c r="NO47" s="48">
        <v>0</v>
      </c>
      <c r="NP47" s="48">
        <v>0</v>
      </c>
      <c r="NQ47" s="43">
        <v>0</v>
      </c>
      <c r="NR47" s="49"/>
      <c r="NS47" s="50">
        <v>0</v>
      </c>
      <c r="NT47" s="48">
        <v>0</v>
      </c>
      <c r="NU47" s="48">
        <v>0</v>
      </c>
      <c r="NV47" s="48">
        <v>0</v>
      </c>
      <c r="NW47" s="43">
        <v>0</v>
      </c>
      <c r="NX47" s="49"/>
      <c r="NY47" s="50">
        <v>0</v>
      </c>
      <c r="NZ47" s="48">
        <v>0</v>
      </c>
      <c r="OA47" s="48">
        <v>0</v>
      </c>
      <c r="OB47" s="48">
        <v>0</v>
      </c>
      <c r="OC47" s="43">
        <v>0</v>
      </c>
      <c r="OD47" s="49"/>
      <c r="OE47" s="50">
        <v>0</v>
      </c>
      <c r="OF47" s="48">
        <v>0</v>
      </c>
      <c r="OG47" s="43">
        <v>0</v>
      </c>
      <c r="OH47" s="49"/>
      <c r="OI47" s="50">
        <v>0</v>
      </c>
      <c r="OJ47" s="48">
        <v>0</v>
      </c>
      <c r="OK47" s="43">
        <v>0</v>
      </c>
      <c r="OL47" s="49"/>
      <c r="OM47" s="50">
        <v>0</v>
      </c>
      <c r="ON47" s="48">
        <v>0</v>
      </c>
      <c r="OO47" s="48">
        <v>0</v>
      </c>
      <c r="OP47" s="48">
        <v>0</v>
      </c>
      <c r="OQ47" s="43">
        <v>0</v>
      </c>
      <c r="OR47" s="49"/>
      <c r="OS47" s="50">
        <v>0</v>
      </c>
      <c r="OT47" s="48">
        <v>0</v>
      </c>
      <c r="OU47" s="43">
        <v>0</v>
      </c>
      <c r="OV47" s="49"/>
      <c r="OW47" s="50">
        <v>0</v>
      </c>
      <c r="OX47" s="48">
        <v>0</v>
      </c>
      <c r="OY47" s="48">
        <v>0</v>
      </c>
      <c r="OZ47" s="48">
        <v>0</v>
      </c>
      <c r="PA47" s="43">
        <v>0</v>
      </c>
      <c r="PB47" s="49"/>
      <c r="PC47" s="50">
        <v>0</v>
      </c>
      <c r="PD47" s="48">
        <v>0</v>
      </c>
      <c r="PE47" s="43">
        <v>0</v>
      </c>
      <c r="PF47" s="49"/>
      <c r="PG47" s="50">
        <v>77.066999999999993</v>
      </c>
      <c r="PH47" s="48">
        <v>150</v>
      </c>
      <c r="PI47" s="48">
        <v>93.381</v>
      </c>
      <c r="PJ47" s="48">
        <v>176</v>
      </c>
      <c r="PK47" s="42">
        <v>-155.55199999999999</v>
      </c>
      <c r="PL47" s="49">
        <v>155.55199999999999</v>
      </c>
      <c r="PM47" s="47">
        <v>0</v>
      </c>
      <c r="PN47" s="48">
        <v>0</v>
      </c>
      <c r="PO47" s="48">
        <v>149.15700000000001</v>
      </c>
      <c r="PP47" s="48">
        <v>150</v>
      </c>
      <c r="PQ47" s="43">
        <v>-0.84299999999998931</v>
      </c>
      <c r="PR47" s="49"/>
      <c r="PS47" s="47">
        <v>100.625</v>
      </c>
      <c r="PT47" s="43">
        <v>100</v>
      </c>
      <c r="PU47" s="43">
        <v>100.92700000000001</v>
      </c>
      <c r="PV47" s="43">
        <v>100</v>
      </c>
      <c r="PW47" s="43">
        <v>1.5520000000000209</v>
      </c>
      <c r="PX47" s="46"/>
      <c r="PY47" s="47">
        <v>223.452</v>
      </c>
      <c r="PZ47" s="43">
        <v>650</v>
      </c>
      <c r="QA47" s="42">
        <v>-426.548</v>
      </c>
      <c r="QB47" s="46">
        <v>426.548</v>
      </c>
      <c r="QC47" s="47">
        <v>75.457999999999998</v>
      </c>
      <c r="QD47" s="43">
        <v>100</v>
      </c>
      <c r="QE47" s="43">
        <v>76.715000000000003</v>
      </c>
      <c r="QF47" s="43">
        <v>100</v>
      </c>
      <c r="QG47" s="42">
        <v>-47.826999999999998</v>
      </c>
      <c r="QH47" s="46">
        <v>47.826999999999998</v>
      </c>
      <c r="QI47" s="47">
        <v>101.229</v>
      </c>
      <c r="QJ47" s="43">
        <v>100</v>
      </c>
      <c r="QK47" s="43">
        <v>201.69300000000001</v>
      </c>
      <c r="QL47" s="43">
        <v>200</v>
      </c>
      <c r="QM47" s="43">
        <v>2.922000000000025</v>
      </c>
      <c r="QN47" s="46"/>
      <c r="QO47" s="47">
        <v>56.06</v>
      </c>
      <c r="QP47" s="43">
        <v>100</v>
      </c>
      <c r="QQ47" s="43">
        <v>64.054000000000002</v>
      </c>
      <c r="QR47" s="43">
        <v>200</v>
      </c>
      <c r="QS47" s="42">
        <v>-179.886</v>
      </c>
      <c r="QT47" s="46">
        <v>179.886</v>
      </c>
      <c r="QU47" s="47">
        <v>101.48399999999999</v>
      </c>
      <c r="QV47" s="43">
        <v>100</v>
      </c>
      <c r="QW47" s="43">
        <v>1.4839999999999951</v>
      </c>
      <c r="QX47" s="46"/>
      <c r="QY47" s="47">
        <v>211.46100000000001</v>
      </c>
      <c r="QZ47" s="43">
        <v>300</v>
      </c>
      <c r="RA47" s="43">
        <v>93.471000000000004</v>
      </c>
      <c r="RB47" s="43">
        <v>300</v>
      </c>
      <c r="RC47" s="42">
        <v>-295.06799999999998</v>
      </c>
      <c r="RD47" s="46">
        <v>295.06799999999998</v>
      </c>
    </row>
    <row r="48" spans="1:472" x14ac:dyDescent="0.25">
      <c r="A48" s="43" t="s">
        <v>336</v>
      </c>
      <c r="B48" s="44">
        <v>0.09</v>
      </c>
      <c r="F48">
        <v>20</v>
      </c>
      <c r="I48" s="45">
        <v>70</v>
      </c>
      <c r="J48" s="52">
        <v>70</v>
      </c>
      <c r="K48" s="52">
        <v>90</v>
      </c>
      <c r="L48" s="52">
        <v>92</v>
      </c>
      <c r="M48" s="51">
        <f t="shared" si="8"/>
        <v>-2</v>
      </c>
      <c r="N48" s="46"/>
      <c r="O48" s="47"/>
      <c r="P48" s="51"/>
      <c r="Q48" s="51"/>
      <c r="R48" s="51"/>
      <c r="S48" s="51">
        <f t="shared" si="9"/>
        <v>0</v>
      </c>
      <c r="T48" s="46"/>
      <c r="U48" s="45">
        <v>40</v>
      </c>
      <c r="V48" s="52">
        <v>40</v>
      </c>
      <c r="W48" s="52">
        <v>60</v>
      </c>
      <c r="X48" s="52">
        <v>65</v>
      </c>
      <c r="Y48" s="51">
        <f t="shared" si="10"/>
        <v>-5</v>
      </c>
      <c r="Z48" s="46"/>
      <c r="AA48" s="51"/>
      <c r="AE48" s="43">
        <v>0</v>
      </c>
      <c r="AF48" s="46"/>
      <c r="AG48" s="45">
        <v>20</v>
      </c>
      <c r="AH48">
        <v>20</v>
      </c>
      <c r="AI48">
        <v>40</v>
      </c>
      <c r="AJ48">
        <v>38</v>
      </c>
      <c r="AK48" s="43">
        <v>2</v>
      </c>
      <c r="AL48" s="46"/>
      <c r="AO48">
        <v>10</v>
      </c>
      <c r="AP48">
        <v>8</v>
      </c>
      <c r="AQ48" s="43">
        <v>2</v>
      </c>
      <c r="AR48" s="46"/>
      <c r="AS48">
        <v>20</v>
      </c>
      <c r="AT48">
        <v>20</v>
      </c>
      <c r="AU48">
        <v>20</v>
      </c>
      <c r="AV48">
        <v>21</v>
      </c>
      <c r="AW48" s="43">
        <v>-1</v>
      </c>
      <c r="AX48" s="46"/>
      <c r="AY48" s="47"/>
      <c r="BA48">
        <v>10</v>
      </c>
      <c r="BB48">
        <v>5</v>
      </c>
      <c r="BC48" s="43">
        <v>5</v>
      </c>
      <c r="BD48" s="46"/>
      <c r="BE48" s="47"/>
      <c r="BG48">
        <v>30</v>
      </c>
      <c r="BH48">
        <v>37</v>
      </c>
      <c r="BI48" s="43">
        <v>-7</v>
      </c>
      <c r="BJ48" s="46"/>
      <c r="BP48" s="43">
        <v>0</v>
      </c>
      <c r="BQ48" s="46"/>
      <c r="BT48" s="43">
        <v>0</v>
      </c>
      <c r="BU48" s="46"/>
      <c r="BV48" s="45">
        <v>40</v>
      </c>
      <c r="BW48">
        <v>42</v>
      </c>
      <c r="BZ48" s="43">
        <v>-2</v>
      </c>
      <c r="CA48" s="46"/>
      <c r="CD48" s="43">
        <v>30</v>
      </c>
      <c r="CE48">
        <v>30</v>
      </c>
      <c r="CF48" s="43">
        <v>0</v>
      </c>
      <c r="CG48" s="46"/>
      <c r="CL48" s="43">
        <v>0</v>
      </c>
      <c r="CM48" s="46"/>
      <c r="CN48" s="47"/>
      <c r="CQ48" s="43">
        <v>50</v>
      </c>
      <c r="CR48" s="42">
        <v>-50</v>
      </c>
      <c r="CS48" s="46">
        <v>4.5</v>
      </c>
      <c r="CX48" s="43">
        <v>0</v>
      </c>
      <c r="CY48" s="46"/>
      <c r="CZ48" s="47"/>
      <c r="DD48" s="43">
        <v>0</v>
      </c>
      <c r="DE48" s="46"/>
      <c r="DF48" s="47"/>
      <c r="DL48" s="43">
        <v>0</v>
      </c>
      <c r="DM48" s="46"/>
      <c r="DN48" s="47"/>
      <c r="DR48" s="43">
        <v>0</v>
      </c>
      <c r="DS48" s="46"/>
      <c r="EA48" s="46"/>
      <c r="EB48" s="47"/>
      <c r="EG48" s="46"/>
      <c r="EH48" s="47"/>
      <c r="EM48" s="46"/>
      <c r="EN48" s="47"/>
      <c r="ES48" s="46"/>
      <c r="FA48" s="46"/>
      <c r="FH48" s="46"/>
      <c r="FI48" s="47"/>
      <c r="FM48" s="46"/>
      <c r="FN48" s="47"/>
      <c r="FR48" s="46"/>
      <c r="FX48" s="46"/>
      <c r="FY48" s="47"/>
      <c r="GE48" s="46"/>
      <c r="GK48" s="46"/>
      <c r="GL48" s="47"/>
      <c r="GQ48" s="46"/>
      <c r="GW48" s="46"/>
      <c r="GX48" s="47"/>
      <c r="HA48" s="46"/>
      <c r="HB48" s="47"/>
      <c r="HG48" s="46"/>
      <c r="HH48" s="47"/>
      <c r="HK48" s="46"/>
      <c r="HL48" s="47"/>
      <c r="HQ48" s="46"/>
      <c r="HY48" s="46"/>
      <c r="HZ48" s="47"/>
      <c r="IE48" s="46"/>
      <c r="IK48" s="49"/>
      <c r="IQ48" s="49"/>
      <c r="IW48" s="49"/>
      <c r="JC48" s="46"/>
      <c r="JG48" s="49"/>
      <c r="JM48" s="46"/>
      <c r="JN48" s="50"/>
      <c r="JQ48" s="49"/>
      <c r="JW48" s="49"/>
      <c r="KC48" s="49"/>
      <c r="KD48" s="48"/>
      <c r="KF48" s="48"/>
      <c r="KG48" s="48"/>
      <c r="KI48" s="49"/>
      <c r="KJ48" s="48"/>
      <c r="KO48" s="49"/>
      <c r="KP48" s="50"/>
      <c r="KW48" s="49"/>
      <c r="KX48" s="48"/>
      <c r="KY48" s="48"/>
      <c r="KZ48" s="48"/>
      <c r="LA48" s="48"/>
      <c r="LC48" s="49"/>
      <c r="LD48" s="48"/>
      <c r="LE48" s="48"/>
      <c r="LF48" s="48"/>
      <c r="LG48" s="48"/>
      <c r="LI48" s="49"/>
      <c r="LJ48" s="50"/>
      <c r="LK48" s="48"/>
      <c r="LM48" s="49"/>
      <c r="LN48" s="50"/>
      <c r="LO48" s="48"/>
      <c r="LP48" s="48"/>
      <c r="LQ48" s="48"/>
      <c r="LR48" s="48"/>
      <c r="LT48" s="49"/>
      <c r="LU48" s="50"/>
      <c r="LV48" s="48"/>
      <c r="LW48" s="48"/>
      <c r="LX48" s="48"/>
      <c r="LZ48" s="49"/>
      <c r="MA48" s="50"/>
      <c r="MB48" s="48"/>
      <c r="MD48" s="49"/>
      <c r="ME48" s="50"/>
      <c r="MF48" s="48"/>
      <c r="MG48" s="48"/>
      <c r="MH48" s="48"/>
      <c r="MJ48" s="49"/>
      <c r="MK48" s="50"/>
      <c r="ML48" s="48"/>
      <c r="MN48" s="49"/>
      <c r="MO48" s="50"/>
      <c r="MP48" s="48"/>
      <c r="MQ48" s="48"/>
      <c r="MR48" s="48"/>
      <c r="MT48" s="49"/>
      <c r="MU48" s="48"/>
      <c r="MV48" s="46"/>
      <c r="MW48" s="48"/>
      <c r="MX48" s="48"/>
      <c r="MZ48" s="49"/>
      <c r="NA48" s="50"/>
      <c r="NB48" s="48"/>
      <c r="NC48" s="48"/>
      <c r="ND48" s="48"/>
      <c r="NF48" s="49"/>
      <c r="NG48" s="50"/>
      <c r="NH48" s="48"/>
      <c r="NI48" s="48"/>
      <c r="NJ48" s="48"/>
      <c r="NL48" s="49"/>
      <c r="NM48" s="50"/>
      <c r="NN48" s="48"/>
      <c r="NO48" s="48"/>
      <c r="NP48" s="48"/>
      <c r="NR48" s="49"/>
      <c r="NS48" s="50"/>
      <c r="NT48" s="48"/>
      <c r="NU48" s="48"/>
      <c r="NV48" s="48"/>
      <c r="NX48" s="49"/>
      <c r="NY48" s="50"/>
      <c r="NZ48" s="48"/>
      <c r="OA48" s="48"/>
      <c r="OB48" s="48"/>
      <c r="OD48" s="49"/>
      <c r="OE48" s="50"/>
      <c r="OF48" s="48"/>
      <c r="OH48" s="49"/>
      <c r="OI48" s="50"/>
      <c r="OJ48" s="48"/>
      <c r="OL48" s="49"/>
      <c r="OM48" s="50"/>
      <c r="ON48" s="48"/>
      <c r="OO48" s="48"/>
      <c r="OP48" s="48"/>
      <c r="OR48" s="49"/>
      <c r="OS48" s="50"/>
      <c r="OT48" s="48"/>
      <c r="OV48" s="49"/>
      <c r="OW48" s="50"/>
      <c r="OX48" s="48"/>
      <c r="OY48" s="48"/>
      <c r="OZ48" s="48"/>
      <c r="PB48" s="49"/>
      <c r="PC48" s="50"/>
      <c r="PD48" s="48"/>
      <c r="PF48" s="49"/>
      <c r="PG48" s="50"/>
      <c r="PH48" s="48"/>
      <c r="PI48" s="48"/>
      <c r="PJ48" s="48"/>
      <c r="PL48" s="49"/>
      <c r="PM48" s="47"/>
      <c r="PN48" s="48"/>
      <c r="PO48" s="48"/>
      <c r="PP48" s="48"/>
      <c r="PR48" s="49"/>
      <c r="PS48" s="47"/>
      <c r="PX48" s="46"/>
      <c r="PY48" s="47"/>
      <c r="QB48" s="46"/>
      <c r="QC48" s="47"/>
      <c r="QH48" s="46"/>
      <c r="QI48" s="47"/>
      <c r="QN48" s="46"/>
      <c r="QO48" s="47"/>
      <c r="QT48" s="46"/>
      <c r="QU48" s="47"/>
      <c r="QX48" s="46"/>
      <c r="QY48" s="47"/>
      <c r="RD48" s="46"/>
    </row>
    <row r="49" spans="1:472" x14ac:dyDescent="0.25">
      <c r="A49" s="43" t="s">
        <v>337</v>
      </c>
      <c r="B49" s="44">
        <v>0.09</v>
      </c>
      <c r="E49">
        <v>50</v>
      </c>
      <c r="F49">
        <v>48</v>
      </c>
      <c r="I49" s="45">
        <v>70</v>
      </c>
      <c r="J49" s="52">
        <v>70</v>
      </c>
      <c r="K49" s="52">
        <v>90</v>
      </c>
      <c r="L49" s="52">
        <v>94</v>
      </c>
      <c r="M49" s="51">
        <f t="shared" si="8"/>
        <v>-4</v>
      </c>
      <c r="N49" s="46"/>
      <c r="O49" s="45">
        <v>100</v>
      </c>
      <c r="P49" s="52">
        <v>100</v>
      </c>
      <c r="Q49" s="52">
        <v>120</v>
      </c>
      <c r="R49" s="52">
        <v>126</v>
      </c>
      <c r="S49" s="51">
        <f t="shared" si="9"/>
        <v>-6</v>
      </c>
      <c r="T49" s="46"/>
      <c r="U49" s="45">
        <v>30</v>
      </c>
      <c r="V49" s="52">
        <v>30</v>
      </c>
      <c r="W49" s="52">
        <v>60</v>
      </c>
      <c r="X49" s="52">
        <v>66</v>
      </c>
      <c r="Y49" s="51">
        <f t="shared" si="10"/>
        <v>-6</v>
      </c>
      <c r="Z49" s="46"/>
      <c r="AA49" s="51"/>
      <c r="AE49" s="43">
        <v>0</v>
      </c>
      <c r="AF49" s="46"/>
      <c r="AG49" s="45">
        <v>120</v>
      </c>
      <c r="AH49">
        <v>120</v>
      </c>
      <c r="AI49">
        <v>200</v>
      </c>
      <c r="AJ49">
        <v>204</v>
      </c>
      <c r="AK49" s="43">
        <v>-4</v>
      </c>
      <c r="AL49" s="46"/>
      <c r="AQ49" s="43">
        <v>0</v>
      </c>
      <c r="AR49" s="46"/>
      <c r="AS49">
        <v>120</v>
      </c>
      <c r="AT49">
        <v>120</v>
      </c>
      <c r="AU49">
        <v>130</v>
      </c>
      <c r="AV49">
        <v>136</v>
      </c>
      <c r="AW49" s="43">
        <v>-6</v>
      </c>
      <c r="AX49" s="46"/>
      <c r="AY49" s="47"/>
      <c r="BA49">
        <v>60</v>
      </c>
      <c r="BB49">
        <v>60</v>
      </c>
      <c r="BC49" s="43">
        <v>0</v>
      </c>
      <c r="BD49" s="46"/>
      <c r="BE49" s="47"/>
      <c r="BI49" s="43">
        <v>0</v>
      </c>
      <c r="BJ49" s="46"/>
      <c r="BK49">
        <v>100</v>
      </c>
      <c r="BL49">
        <v>100</v>
      </c>
      <c r="BN49">
        <v>110</v>
      </c>
      <c r="BO49">
        <v>108</v>
      </c>
      <c r="BP49" s="43">
        <v>2</v>
      </c>
      <c r="BQ49" s="46"/>
      <c r="BT49" s="43">
        <v>0</v>
      </c>
      <c r="BU49" s="46"/>
      <c r="BV49" s="47"/>
      <c r="BZ49" s="43">
        <v>0</v>
      </c>
      <c r="CA49" s="46"/>
      <c r="CB49">
        <v>120</v>
      </c>
      <c r="CC49">
        <v>120</v>
      </c>
      <c r="CD49">
        <v>190</v>
      </c>
      <c r="CE49">
        <v>188</v>
      </c>
      <c r="CF49" s="43">
        <v>2</v>
      </c>
      <c r="CG49" s="46"/>
      <c r="CJ49">
        <v>60</v>
      </c>
      <c r="CK49">
        <v>64</v>
      </c>
      <c r="CL49" s="43">
        <v>-4</v>
      </c>
      <c r="CM49" s="46"/>
      <c r="CN49" s="47"/>
      <c r="CP49">
        <v>270</v>
      </c>
      <c r="CQ49">
        <v>274</v>
      </c>
      <c r="CR49" s="43">
        <v>-4</v>
      </c>
      <c r="CS49" s="46"/>
      <c r="CX49" s="43">
        <v>0</v>
      </c>
      <c r="CY49" s="46"/>
      <c r="CZ49" s="47"/>
      <c r="DD49" s="43">
        <v>0</v>
      </c>
      <c r="DE49" s="46"/>
      <c r="DF49" s="47"/>
      <c r="DJ49">
        <v>340</v>
      </c>
      <c r="DK49">
        <v>340</v>
      </c>
      <c r="DL49" s="43">
        <v>0</v>
      </c>
      <c r="DM49" s="46"/>
      <c r="DN49" s="47"/>
      <c r="DR49" s="43">
        <v>0</v>
      </c>
      <c r="DS49" s="46"/>
      <c r="DT49">
        <v>100</v>
      </c>
      <c r="DU49">
        <v>100</v>
      </c>
      <c r="DV49">
        <v>230</v>
      </c>
      <c r="DW49">
        <v>230</v>
      </c>
      <c r="DZ49" s="43">
        <v>0</v>
      </c>
      <c r="EA49" s="46"/>
      <c r="EB49" s="47"/>
      <c r="EF49" s="43">
        <v>0</v>
      </c>
      <c r="EG49" s="46"/>
      <c r="EH49" s="47"/>
      <c r="EK49">
        <v>110</v>
      </c>
      <c r="EL49" s="42">
        <v>-110</v>
      </c>
      <c r="EM49" s="46">
        <v>9.9</v>
      </c>
      <c r="EN49" s="45">
        <v>140</v>
      </c>
      <c r="EO49">
        <v>140</v>
      </c>
      <c r="EQ49">
        <v>70</v>
      </c>
      <c r="ER49" s="42">
        <v>-70</v>
      </c>
      <c r="ES49" s="46">
        <v>6.3</v>
      </c>
      <c r="EV49">
        <v>30</v>
      </c>
      <c r="EW49">
        <v>30</v>
      </c>
      <c r="EX49">
        <v>40</v>
      </c>
      <c r="EY49">
        <v>40</v>
      </c>
      <c r="EZ49" s="43">
        <v>0</v>
      </c>
      <c r="FA49" s="46"/>
      <c r="FD49">
        <v>230</v>
      </c>
      <c r="FF49">
        <v>230</v>
      </c>
      <c r="FG49" s="43">
        <v>0</v>
      </c>
      <c r="FH49" s="46"/>
      <c r="FI49" s="47"/>
      <c r="FL49" s="43">
        <v>0</v>
      </c>
      <c r="FM49" s="46"/>
      <c r="FN49" s="45">
        <v>420</v>
      </c>
      <c r="FP49">
        <v>422</v>
      </c>
      <c r="FQ49" s="43">
        <v>-2</v>
      </c>
      <c r="FR49" s="46"/>
      <c r="FS49">
        <v>70</v>
      </c>
      <c r="FV49">
        <v>75</v>
      </c>
      <c r="FW49" s="43">
        <v>-5</v>
      </c>
      <c r="FX49" s="46"/>
      <c r="FY49" s="47"/>
      <c r="GA49">
        <v>10</v>
      </c>
      <c r="GD49" s="42">
        <v>-10</v>
      </c>
      <c r="GE49" s="46">
        <v>0.89999999999999991</v>
      </c>
      <c r="GF49">
        <v>130</v>
      </c>
      <c r="GG49">
        <v>130</v>
      </c>
      <c r="GH49">
        <v>130</v>
      </c>
      <c r="GI49">
        <v>130</v>
      </c>
      <c r="GJ49" s="43">
        <v>0</v>
      </c>
      <c r="GK49" s="46"/>
      <c r="GL49" s="47"/>
      <c r="GN49">
        <v>260</v>
      </c>
      <c r="GO49">
        <v>260</v>
      </c>
      <c r="GP49" s="43">
        <v>0</v>
      </c>
      <c r="GQ49" s="46"/>
      <c r="GV49" s="43">
        <v>0</v>
      </c>
      <c r="GW49" s="46"/>
      <c r="GX49" s="45">
        <v>290</v>
      </c>
      <c r="GY49" s="48">
        <v>290</v>
      </c>
      <c r="GZ49" s="43">
        <v>0</v>
      </c>
      <c r="HA49" s="46"/>
      <c r="HB49" s="47"/>
      <c r="HF49" s="43">
        <v>0</v>
      </c>
      <c r="HG49" s="46"/>
      <c r="HH49" s="45">
        <v>210</v>
      </c>
      <c r="HI49">
        <v>210</v>
      </c>
      <c r="HJ49" s="43">
        <v>0</v>
      </c>
      <c r="HK49" s="46"/>
      <c r="HL49" s="45">
        <v>150</v>
      </c>
      <c r="HM49">
        <v>150</v>
      </c>
      <c r="HN49">
        <v>130</v>
      </c>
      <c r="HO49">
        <v>130</v>
      </c>
      <c r="HP49" s="43">
        <v>0</v>
      </c>
      <c r="HQ49" s="46"/>
      <c r="HV49">
        <v>140</v>
      </c>
      <c r="HW49">
        <v>140</v>
      </c>
      <c r="HX49" s="43">
        <v>0</v>
      </c>
      <c r="HY49" s="46"/>
      <c r="HZ49" s="47"/>
      <c r="IB49">
        <v>10</v>
      </c>
      <c r="IC49">
        <v>10</v>
      </c>
      <c r="ID49" s="43">
        <v>0</v>
      </c>
      <c r="IE49" s="46"/>
      <c r="IF49">
        <v>150</v>
      </c>
      <c r="IG49">
        <v>150</v>
      </c>
      <c r="IH49">
        <v>170</v>
      </c>
      <c r="II49">
        <v>170</v>
      </c>
      <c r="IJ49" s="43">
        <v>0</v>
      </c>
      <c r="IK49" s="49"/>
      <c r="IL49">
        <v>150</v>
      </c>
      <c r="IM49">
        <v>150</v>
      </c>
      <c r="IN49">
        <v>200</v>
      </c>
      <c r="IO49">
        <v>200</v>
      </c>
      <c r="IP49" s="43">
        <v>0</v>
      </c>
      <c r="IQ49" s="49"/>
      <c r="IR49">
        <v>110</v>
      </c>
      <c r="IS49">
        <v>110</v>
      </c>
      <c r="IT49">
        <v>70</v>
      </c>
      <c r="IU49">
        <v>70</v>
      </c>
      <c r="IV49" s="43">
        <v>0</v>
      </c>
      <c r="IW49" s="49"/>
      <c r="IX49">
        <v>230</v>
      </c>
      <c r="IY49">
        <v>230</v>
      </c>
      <c r="IZ49">
        <v>170</v>
      </c>
      <c r="JA49">
        <v>170</v>
      </c>
      <c r="JB49" s="43">
        <v>0</v>
      </c>
      <c r="JC49" s="46"/>
      <c r="JE49">
        <v>112</v>
      </c>
      <c r="JF49" s="42">
        <v>-112</v>
      </c>
      <c r="JG49" s="46">
        <v>10.08</v>
      </c>
      <c r="JH49">
        <v>200</v>
      </c>
      <c r="JI49">
        <v>200</v>
      </c>
      <c r="JJ49">
        <v>170</v>
      </c>
      <c r="JK49">
        <v>177</v>
      </c>
      <c r="JL49" s="43">
        <v>-7</v>
      </c>
      <c r="JM49" s="46"/>
      <c r="JN49" s="45">
        <v>100</v>
      </c>
      <c r="JO49" s="48">
        <v>100</v>
      </c>
      <c r="JP49" s="43">
        <v>0</v>
      </c>
      <c r="JQ49" s="49"/>
      <c r="JV49" s="43">
        <v>0</v>
      </c>
      <c r="JW49" s="49"/>
      <c r="JX49">
        <v>250</v>
      </c>
      <c r="JY49">
        <v>250</v>
      </c>
      <c r="JZ49">
        <v>250</v>
      </c>
      <c r="KA49">
        <v>250</v>
      </c>
      <c r="KB49" s="43">
        <v>0</v>
      </c>
      <c r="KC49" s="49"/>
      <c r="KH49" s="43">
        <v>0</v>
      </c>
      <c r="KI49" s="49"/>
      <c r="KJ49">
        <v>150</v>
      </c>
      <c r="KK49">
        <v>150</v>
      </c>
      <c r="KL49">
        <v>320</v>
      </c>
      <c r="KM49">
        <v>320</v>
      </c>
      <c r="KN49" s="43">
        <v>0</v>
      </c>
      <c r="KO49" s="49"/>
      <c r="KP49" s="45">
        <v>50</v>
      </c>
      <c r="KQ49">
        <v>50</v>
      </c>
      <c r="KR49">
        <v>100</v>
      </c>
      <c r="KS49">
        <v>100</v>
      </c>
      <c r="KT49">
        <v>10</v>
      </c>
      <c r="KU49">
        <v>50</v>
      </c>
      <c r="KV49" s="42">
        <v>-40</v>
      </c>
      <c r="KW49" s="49">
        <v>3.6</v>
      </c>
      <c r="KX49" s="48">
        <v>0</v>
      </c>
      <c r="KY49" s="48">
        <v>0</v>
      </c>
      <c r="KZ49" s="48">
        <v>30</v>
      </c>
      <c r="LA49" s="48">
        <v>32</v>
      </c>
      <c r="LB49" s="43">
        <v>-2</v>
      </c>
      <c r="LC49" s="49"/>
      <c r="LD49" s="48">
        <v>100</v>
      </c>
      <c r="LE49" s="48">
        <v>100</v>
      </c>
      <c r="LF49" s="48">
        <v>180</v>
      </c>
      <c r="LG49" s="48">
        <v>180</v>
      </c>
      <c r="LH49" s="43">
        <v>0</v>
      </c>
      <c r="LI49" s="49"/>
      <c r="LJ49" s="50">
        <v>170</v>
      </c>
      <c r="LK49" s="48">
        <v>170</v>
      </c>
      <c r="LL49" s="43">
        <v>0</v>
      </c>
      <c r="LM49" s="49"/>
      <c r="LN49" s="50">
        <v>230</v>
      </c>
      <c r="LO49" s="48">
        <v>230</v>
      </c>
      <c r="LP49" s="48">
        <v>200</v>
      </c>
      <c r="LQ49" s="48">
        <v>0</v>
      </c>
      <c r="LR49" s="48">
        <v>200</v>
      </c>
      <c r="LS49" s="43">
        <v>0</v>
      </c>
      <c r="LT49" s="49"/>
      <c r="LU49" s="50">
        <v>40</v>
      </c>
      <c r="LV49" s="48">
        <v>40</v>
      </c>
      <c r="LW49" s="48">
        <v>40</v>
      </c>
      <c r="LX49" s="48">
        <v>40</v>
      </c>
      <c r="LY49" s="43">
        <v>0</v>
      </c>
      <c r="LZ49" s="49"/>
      <c r="MA49" s="50">
        <v>290</v>
      </c>
      <c r="MB49" s="48">
        <v>290</v>
      </c>
      <c r="MC49" s="43">
        <v>0</v>
      </c>
      <c r="MD49" s="49"/>
      <c r="ME49" s="50">
        <v>0</v>
      </c>
      <c r="MF49" s="48">
        <v>0</v>
      </c>
      <c r="MG49" s="48">
        <v>240</v>
      </c>
      <c r="MH49" s="48">
        <v>240</v>
      </c>
      <c r="MI49" s="43">
        <v>0</v>
      </c>
      <c r="MJ49" s="49"/>
      <c r="MK49" s="50">
        <v>190</v>
      </c>
      <c r="ML49" s="48">
        <v>190</v>
      </c>
      <c r="MM49" s="43">
        <v>0</v>
      </c>
      <c r="MN49" s="49"/>
      <c r="MO49" s="50">
        <v>0</v>
      </c>
      <c r="MP49" s="48">
        <v>0</v>
      </c>
      <c r="MQ49" s="48">
        <v>260</v>
      </c>
      <c r="MR49" s="48">
        <v>261</v>
      </c>
      <c r="MS49" s="43">
        <v>-1</v>
      </c>
      <c r="MT49" s="49"/>
      <c r="MU49" s="48">
        <v>0</v>
      </c>
      <c r="MV49" s="46"/>
      <c r="MW49" s="48">
        <v>30</v>
      </c>
      <c r="MX49" s="48">
        <v>30</v>
      </c>
      <c r="MY49" s="43">
        <v>0</v>
      </c>
      <c r="MZ49" s="49"/>
      <c r="NA49" s="50">
        <v>0</v>
      </c>
      <c r="NB49" s="48">
        <v>0</v>
      </c>
      <c r="NC49" s="48">
        <v>70</v>
      </c>
      <c r="ND49" s="48">
        <v>70</v>
      </c>
      <c r="NE49" s="43">
        <v>0</v>
      </c>
      <c r="NF49" s="49"/>
      <c r="NG49" s="25">
        <v>40</v>
      </c>
      <c r="NH49" s="48">
        <v>0</v>
      </c>
      <c r="NI49" s="48">
        <v>0</v>
      </c>
      <c r="NJ49" s="48">
        <v>0</v>
      </c>
      <c r="NK49" s="43">
        <v>40</v>
      </c>
      <c r="NL49" s="49"/>
      <c r="NM49" s="50">
        <v>160</v>
      </c>
      <c r="NN49" s="48">
        <v>160</v>
      </c>
      <c r="NO49" s="48">
        <v>200</v>
      </c>
      <c r="NP49" s="48">
        <v>200</v>
      </c>
      <c r="NQ49" s="43">
        <v>0</v>
      </c>
      <c r="NR49" s="49"/>
      <c r="NS49" s="50">
        <v>0</v>
      </c>
      <c r="NT49" s="48">
        <v>0</v>
      </c>
      <c r="NU49" s="48">
        <v>0</v>
      </c>
      <c r="NV49" s="48">
        <v>0</v>
      </c>
      <c r="NW49" s="43">
        <v>0</v>
      </c>
      <c r="NX49" s="49"/>
      <c r="NY49" s="50">
        <v>0</v>
      </c>
      <c r="NZ49" s="48">
        <v>0</v>
      </c>
      <c r="OA49" s="48">
        <v>150</v>
      </c>
      <c r="OB49" s="48">
        <v>150</v>
      </c>
      <c r="OC49" s="43">
        <v>0</v>
      </c>
      <c r="OD49" s="49"/>
      <c r="OE49" s="50">
        <v>350</v>
      </c>
      <c r="OF49" s="48">
        <v>350</v>
      </c>
      <c r="OG49" s="43">
        <v>0</v>
      </c>
      <c r="OH49" s="49"/>
      <c r="OI49" s="50">
        <v>0</v>
      </c>
      <c r="OJ49" s="48">
        <v>0</v>
      </c>
      <c r="OK49" s="43">
        <v>0</v>
      </c>
      <c r="OL49" s="49"/>
      <c r="OM49" s="50">
        <v>0</v>
      </c>
      <c r="ON49" s="48">
        <v>0</v>
      </c>
      <c r="OO49" s="48">
        <v>0</v>
      </c>
      <c r="OP49" s="48">
        <v>0</v>
      </c>
      <c r="OQ49" s="43">
        <v>0</v>
      </c>
      <c r="OR49" s="49"/>
      <c r="OS49" s="50">
        <v>0</v>
      </c>
      <c r="OT49" s="48">
        <v>0</v>
      </c>
      <c r="OU49" s="43">
        <v>0</v>
      </c>
      <c r="OV49" s="49"/>
      <c r="OW49" s="50">
        <v>0</v>
      </c>
      <c r="OX49" s="48">
        <v>0</v>
      </c>
      <c r="OY49" s="48">
        <v>0</v>
      </c>
      <c r="OZ49" s="48">
        <v>0</v>
      </c>
      <c r="PA49" s="43">
        <v>0</v>
      </c>
      <c r="PB49" s="49"/>
      <c r="PC49" s="50">
        <v>0</v>
      </c>
      <c r="PD49" s="48">
        <v>0</v>
      </c>
      <c r="PE49" s="43">
        <v>0</v>
      </c>
      <c r="PF49" s="49"/>
      <c r="PG49" s="50">
        <v>0</v>
      </c>
      <c r="PH49" s="48">
        <v>0</v>
      </c>
      <c r="PI49" s="48">
        <v>30</v>
      </c>
      <c r="PJ49" s="48">
        <v>30</v>
      </c>
      <c r="PK49" s="43">
        <v>0</v>
      </c>
      <c r="PL49" s="49"/>
      <c r="PM49" s="47">
        <v>0</v>
      </c>
      <c r="PN49" s="48">
        <v>0</v>
      </c>
      <c r="PO49" s="48">
        <v>120</v>
      </c>
      <c r="PP49" s="48">
        <v>124</v>
      </c>
      <c r="PQ49" s="43">
        <v>-4</v>
      </c>
      <c r="PR49" s="49"/>
      <c r="PS49" s="47">
        <v>0</v>
      </c>
      <c r="PT49" s="43">
        <v>0</v>
      </c>
      <c r="PU49" s="43">
        <v>0</v>
      </c>
      <c r="PV49" s="43">
        <v>0</v>
      </c>
      <c r="PW49" s="43">
        <v>0</v>
      </c>
      <c r="PX49" s="46"/>
      <c r="PY49" s="47">
        <v>0</v>
      </c>
      <c r="PZ49" s="43">
        <v>0</v>
      </c>
      <c r="QA49" s="43">
        <v>0</v>
      </c>
      <c r="QB49" s="46"/>
      <c r="QC49" s="47">
        <v>0</v>
      </c>
      <c r="QD49" s="43">
        <v>0</v>
      </c>
      <c r="QE49" s="43">
        <v>0</v>
      </c>
      <c r="QF49" s="43">
        <v>0</v>
      </c>
      <c r="QG49" s="43">
        <v>0</v>
      </c>
      <c r="QH49" s="46"/>
      <c r="QI49" s="47">
        <v>0</v>
      </c>
      <c r="QJ49" s="43">
        <v>0</v>
      </c>
      <c r="QK49" s="43">
        <v>0</v>
      </c>
      <c r="QL49" s="43">
        <v>0</v>
      </c>
      <c r="QM49" s="43">
        <v>0</v>
      </c>
      <c r="QN49" s="46"/>
      <c r="QO49" s="47">
        <v>0</v>
      </c>
      <c r="QP49" s="43">
        <v>0</v>
      </c>
      <c r="QQ49" s="43">
        <v>110</v>
      </c>
      <c r="QR49" s="43">
        <v>0</v>
      </c>
      <c r="QS49" s="43">
        <v>110</v>
      </c>
      <c r="QT49" s="46"/>
      <c r="QU49" s="47">
        <v>0</v>
      </c>
      <c r="QV49" s="43">
        <v>0</v>
      </c>
      <c r="QW49" s="43">
        <v>0</v>
      </c>
      <c r="QX49" s="46"/>
      <c r="QY49" s="47">
        <v>0</v>
      </c>
      <c r="QZ49" s="43">
        <v>0</v>
      </c>
      <c r="RA49" s="43">
        <v>0</v>
      </c>
      <c r="RB49" s="43">
        <v>0</v>
      </c>
      <c r="RC49" s="43">
        <v>0</v>
      </c>
      <c r="RD49" s="46"/>
    </row>
    <row r="50" spans="1:472" x14ac:dyDescent="0.25">
      <c r="A50" s="43" t="s">
        <v>338</v>
      </c>
      <c r="B50" s="44">
        <v>0.4</v>
      </c>
      <c r="F50">
        <v>32</v>
      </c>
      <c r="I50" s="45">
        <v>80</v>
      </c>
      <c r="J50" s="52">
        <v>80</v>
      </c>
      <c r="K50" s="52">
        <v>96</v>
      </c>
      <c r="L50" s="52">
        <v>97</v>
      </c>
      <c r="M50" s="51">
        <f t="shared" si="8"/>
        <v>-1</v>
      </c>
      <c r="N50" s="46"/>
      <c r="O50" s="45">
        <v>56</v>
      </c>
      <c r="P50" s="52">
        <v>60</v>
      </c>
      <c r="Q50" s="52">
        <v>56</v>
      </c>
      <c r="R50" s="52">
        <v>59</v>
      </c>
      <c r="S50" s="51">
        <f t="shared" si="9"/>
        <v>-7</v>
      </c>
      <c r="T50" s="46"/>
      <c r="U50" s="45">
        <v>96</v>
      </c>
      <c r="V50" s="52">
        <v>100</v>
      </c>
      <c r="W50" s="52">
        <v>112</v>
      </c>
      <c r="X50" s="52">
        <v>117</v>
      </c>
      <c r="Y50" s="51">
        <f t="shared" si="10"/>
        <v>-9</v>
      </c>
      <c r="Z50" s="46"/>
      <c r="AA50" s="52">
        <v>96</v>
      </c>
      <c r="AB50">
        <v>96</v>
      </c>
      <c r="AC50">
        <v>96</v>
      </c>
      <c r="AD50">
        <v>100</v>
      </c>
      <c r="AE50" s="43">
        <v>-4</v>
      </c>
      <c r="AF50" s="46"/>
      <c r="AG50" s="45">
        <v>96</v>
      </c>
      <c r="AH50">
        <v>100</v>
      </c>
      <c r="AI50">
        <v>128</v>
      </c>
      <c r="AJ50">
        <v>132</v>
      </c>
      <c r="AK50" s="43">
        <v>-8</v>
      </c>
      <c r="AL50" s="46"/>
      <c r="AM50">
        <v>56</v>
      </c>
      <c r="AN50">
        <v>60</v>
      </c>
      <c r="AO50">
        <v>72</v>
      </c>
      <c r="AP50">
        <v>77</v>
      </c>
      <c r="AQ50" s="43">
        <v>-9</v>
      </c>
      <c r="AR50" s="46"/>
      <c r="AS50">
        <v>40</v>
      </c>
      <c r="AT50">
        <v>40</v>
      </c>
      <c r="AU50">
        <v>40</v>
      </c>
      <c r="AV50">
        <v>42</v>
      </c>
      <c r="AW50" s="43">
        <v>-2</v>
      </c>
      <c r="AX50" s="46"/>
      <c r="AY50" s="47"/>
      <c r="BC50" s="43">
        <v>0</v>
      </c>
      <c r="BD50" s="46"/>
      <c r="BE50" s="45">
        <v>168</v>
      </c>
      <c r="BF50">
        <v>170</v>
      </c>
      <c r="BG50">
        <v>200</v>
      </c>
      <c r="BH50">
        <v>200</v>
      </c>
      <c r="BI50" s="43">
        <v>-2</v>
      </c>
      <c r="BJ50" s="46"/>
      <c r="BK50">
        <v>40</v>
      </c>
      <c r="BL50">
        <v>40</v>
      </c>
      <c r="BP50" s="43">
        <v>0</v>
      </c>
      <c r="BQ50" s="46"/>
      <c r="BR50">
        <v>152</v>
      </c>
      <c r="BS50">
        <v>150</v>
      </c>
      <c r="BT50" s="43">
        <v>2</v>
      </c>
      <c r="BU50" s="46"/>
      <c r="BV50" s="45">
        <v>96</v>
      </c>
      <c r="BW50">
        <v>209</v>
      </c>
      <c r="BZ50" s="42">
        <v>-113</v>
      </c>
      <c r="CA50" s="46">
        <v>45.2</v>
      </c>
      <c r="CB50">
        <v>88</v>
      </c>
      <c r="CC50">
        <v>90</v>
      </c>
      <c r="CD50">
        <v>160</v>
      </c>
      <c r="CE50">
        <v>163</v>
      </c>
      <c r="CF50" s="43">
        <v>-5</v>
      </c>
      <c r="CG50" s="46"/>
      <c r="CL50" s="43">
        <v>0</v>
      </c>
      <c r="CM50" s="46"/>
      <c r="CN50" s="47"/>
      <c r="CP50">
        <v>208</v>
      </c>
      <c r="CQ50" s="43">
        <v>211</v>
      </c>
      <c r="CR50" s="43">
        <v>-3</v>
      </c>
      <c r="CS50" s="46"/>
      <c r="CX50" s="43">
        <v>0</v>
      </c>
      <c r="CY50" s="46"/>
      <c r="CZ50" s="47"/>
      <c r="DB50">
        <v>120</v>
      </c>
      <c r="DC50" s="43">
        <v>120</v>
      </c>
      <c r="DD50" s="43">
        <v>0</v>
      </c>
      <c r="DE50" s="46"/>
      <c r="DF50" s="47"/>
      <c r="DL50" s="43">
        <v>0</v>
      </c>
      <c r="DM50" s="46"/>
      <c r="DN50" s="47"/>
      <c r="DR50" s="43">
        <v>0</v>
      </c>
      <c r="DS50" s="46"/>
      <c r="EA50" s="46"/>
      <c r="EB50" s="47"/>
      <c r="EG50" s="46"/>
      <c r="EH50" s="47"/>
      <c r="EM50" s="46"/>
      <c r="EN50" s="45"/>
      <c r="ES50" s="46"/>
      <c r="FA50" s="46"/>
      <c r="FH50" s="46"/>
      <c r="FI50" s="47"/>
      <c r="FM50" s="46"/>
      <c r="FN50" s="45"/>
      <c r="FR50" s="46"/>
      <c r="FX50" s="46"/>
      <c r="FY50" s="47"/>
      <c r="GE50" s="46"/>
      <c r="GK50" s="46"/>
      <c r="GL50" s="47"/>
      <c r="GQ50" s="46"/>
      <c r="GW50" s="46"/>
      <c r="GX50" s="45"/>
      <c r="HA50" s="46"/>
      <c r="HB50" s="47"/>
      <c r="HG50" s="46"/>
      <c r="HH50" s="45"/>
      <c r="HK50" s="46"/>
      <c r="HL50" s="45"/>
      <c r="HQ50" s="46"/>
      <c r="HY50" s="46"/>
      <c r="HZ50" s="47"/>
      <c r="IE50" s="46"/>
      <c r="IK50" s="49"/>
      <c r="IQ50" s="49"/>
      <c r="IW50" s="49"/>
      <c r="JC50" s="46"/>
      <c r="JG50" s="46"/>
      <c r="JM50" s="46"/>
      <c r="JN50" s="45"/>
      <c r="JQ50" s="49"/>
      <c r="JW50" s="49"/>
      <c r="KC50" s="49"/>
      <c r="KE50" s="48"/>
      <c r="KI50" s="49"/>
      <c r="KO50" s="49"/>
      <c r="KP50" s="45"/>
      <c r="KW50" s="49"/>
      <c r="KX50" s="48"/>
      <c r="KY50" s="48"/>
      <c r="KZ50" s="48"/>
      <c r="LA50" s="48"/>
      <c r="LC50" s="49"/>
      <c r="LD50" s="48"/>
      <c r="LE50" s="48"/>
      <c r="LF50" s="48"/>
      <c r="LG50" s="48"/>
      <c r="LI50" s="49"/>
      <c r="LJ50" s="50"/>
      <c r="LK50" s="48"/>
      <c r="LM50" s="49"/>
      <c r="LN50" s="50"/>
      <c r="LO50" s="48"/>
      <c r="LP50" s="48"/>
      <c r="LQ50" s="48"/>
      <c r="LR50" s="48"/>
      <c r="LT50" s="49"/>
      <c r="LU50" s="50"/>
      <c r="LV50" s="48"/>
      <c r="LW50" s="48"/>
      <c r="LX50" s="48"/>
      <c r="LZ50" s="49"/>
      <c r="MA50" s="50"/>
      <c r="MB50" s="48"/>
      <c r="MD50" s="49"/>
      <c r="ME50" s="50"/>
      <c r="MF50" s="48"/>
      <c r="MG50" s="48"/>
      <c r="MH50" s="48"/>
      <c r="MJ50" s="49"/>
      <c r="MK50" s="50"/>
      <c r="ML50" s="48"/>
      <c r="MN50" s="49"/>
      <c r="MO50" s="50"/>
      <c r="MP50" s="48"/>
      <c r="MQ50" s="48"/>
      <c r="MR50" s="48"/>
      <c r="MT50" s="49"/>
      <c r="MU50" s="48"/>
      <c r="MV50" s="46"/>
      <c r="MW50" s="48"/>
      <c r="MX50" s="48"/>
      <c r="MZ50" s="49"/>
      <c r="NA50" s="50"/>
      <c r="NB50" s="48"/>
      <c r="NC50" s="48"/>
      <c r="ND50" s="48"/>
      <c r="NF50" s="49"/>
      <c r="NG50" s="50"/>
      <c r="NH50" s="48"/>
      <c r="NI50" s="48"/>
      <c r="NJ50" s="48"/>
      <c r="NL50" s="49"/>
      <c r="NM50" s="50"/>
      <c r="NN50" s="48"/>
      <c r="NO50" s="48"/>
      <c r="NP50" s="48"/>
      <c r="NR50" s="49"/>
      <c r="NS50" s="50"/>
      <c r="NT50" s="48"/>
      <c r="NU50" s="48"/>
      <c r="NV50" s="48"/>
      <c r="NX50" s="49"/>
      <c r="NY50" s="50"/>
      <c r="NZ50" s="48"/>
      <c r="OA50" s="48"/>
      <c r="OB50" s="48"/>
      <c r="OD50" s="49"/>
      <c r="OE50" s="50"/>
      <c r="OF50" s="48"/>
      <c r="OH50" s="49"/>
      <c r="OI50" s="50"/>
      <c r="OJ50" s="48"/>
      <c r="OL50" s="49"/>
      <c r="OM50" s="50"/>
      <c r="ON50" s="48"/>
      <c r="OO50" s="48"/>
      <c r="OP50" s="48"/>
      <c r="OR50" s="49"/>
      <c r="OS50" s="50"/>
      <c r="OT50" s="48"/>
      <c r="OV50" s="49"/>
      <c r="OW50" s="50"/>
      <c r="OX50" s="48"/>
      <c r="OY50" s="48"/>
      <c r="OZ50" s="48"/>
      <c r="PB50" s="49"/>
      <c r="PC50" s="50"/>
      <c r="PD50" s="48"/>
      <c r="PF50" s="49"/>
      <c r="PG50" s="50"/>
      <c r="PH50" s="48"/>
      <c r="PI50" s="48"/>
      <c r="PJ50" s="48"/>
      <c r="PL50" s="49"/>
      <c r="PM50" s="47"/>
      <c r="PN50" s="48"/>
      <c r="PO50" s="48"/>
      <c r="PP50" s="48"/>
      <c r="PR50" s="49"/>
      <c r="PS50" s="47"/>
      <c r="PX50" s="46"/>
      <c r="PY50" s="47"/>
      <c r="QB50" s="46"/>
      <c r="QC50" s="47"/>
      <c r="QH50" s="46"/>
      <c r="QI50" s="47"/>
      <c r="QN50" s="46"/>
      <c r="QO50" s="47"/>
      <c r="QT50" s="46"/>
      <c r="QU50" s="47"/>
      <c r="QX50" s="46"/>
      <c r="QY50" s="47"/>
      <c r="RD50" s="46"/>
    </row>
    <row r="51" spans="1:472" x14ac:dyDescent="0.25">
      <c r="A51" s="43" t="s">
        <v>339</v>
      </c>
      <c r="B51" s="44">
        <v>0.15</v>
      </c>
      <c r="E51">
        <v>30</v>
      </c>
      <c r="F51">
        <v>48</v>
      </c>
      <c r="I51" s="47"/>
      <c r="J51" s="51"/>
      <c r="K51" s="51"/>
      <c r="L51" s="51"/>
      <c r="M51" s="51">
        <f t="shared" si="8"/>
        <v>0</v>
      </c>
      <c r="N51" s="46"/>
      <c r="O51" s="47"/>
      <c r="P51" s="52">
        <v>30</v>
      </c>
      <c r="Q51" s="52">
        <v>40</v>
      </c>
      <c r="R51" s="52">
        <v>38</v>
      </c>
      <c r="S51" s="56">
        <f t="shared" si="9"/>
        <v>-28</v>
      </c>
      <c r="T51" s="46">
        <f>-1*S51*B51</f>
        <v>4.2</v>
      </c>
      <c r="U51" s="47"/>
      <c r="V51" s="51"/>
      <c r="W51" s="51"/>
      <c r="X51" s="51"/>
      <c r="Y51" s="51">
        <f t="shared" si="10"/>
        <v>0</v>
      </c>
      <c r="Z51" s="46"/>
      <c r="AA51" s="51"/>
      <c r="AC51">
        <v>40</v>
      </c>
      <c r="AD51">
        <v>40</v>
      </c>
      <c r="AE51" s="43">
        <v>0</v>
      </c>
      <c r="AF51" s="46"/>
      <c r="AG51" s="47"/>
      <c r="AK51" s="43">
        <v>0</v>
      </c>
      <c r="AL51" s="46"/>
      <c r="AO51">
        <v>168</v>
      </c>
      <c r="AP51">
        <v>170</v>
      </c>
      <c r="AQ51" s="43">
        <v>-2</v>
      </c>
      <c r="AR51" s="46"/>
      <c r="AW51" s="43">
        <v>0</v>
      </c>
      <c r="AX51" s="46"/>
      <c r="AY51" s="47"/>
      <c r="BC51" s="43">
        <v>0</v>
      </c>
      <c r="BD51" s="46"/>
      <c r="BE51" s="47"/>
      <c r="BG51">
        <v>8</v>
      </c>
      <c r="BH51">
        <v>8</v>
      </c>
      <c r="BI51" s="43">
        <v>0</v>
      </c>
      <c r="BJ51" s="46"/>
      <c r="BN51">
        <v>16</v>
      </c>
      <c r="BO51">
        <v>16</v>
      </c>
      <c r="BP51" s="43">
        <v>0</v>
      </c>
      <c r="BQ51" s="46"/>
      <c r="BT51" s="43">
        <v>0</v>
      </c>
      <c r="BU51" s="46"/>
      <c r="BV51" s="47"/>
      <c r="BX51">
        <v>8</v>
      </c>
      <c r="BY51">
        <v>7</v>
      </c>
      <c r="BZ51" s="43">
        <v>1</v>
      </c>
      <c r="CA51" s="46"/>
      <c r="CF51" s="43">
        <v>0</v>
      </c>
      <c r="CG51" s="46"/>
      <c r="CL51" s="43">
        <v>0</v>
      </c>
      <c r="CM51" s="46"/>
      <c r="CN51" s="47"/>
      <c r="CP51" s="43">
        <v>48</v>
      </c>
      <c r="CQ51" s="43">
        <v>50</v>
      </c>
      <c r="CR51" s="43">
        <v>-2</v>
      </c>
      <c r="CS51" s="46"/>
      <c r="CX51" s="43">
        <v>0</v>
      </c>
      <c r="CY51" s="46"/>
      <c r="CZ51" s="47"/>
      <c r="DD51" s="43">
        <v>0</v>
      </c>
      <c r="DE51" s="46"/>
      <c r="DF51" s="47"/>
      <c r="DL51" s="43">
        <v>0</v>
      </c>
      <c r="DM51" s="46"/>
      <c r="DN51" s="47"/>
      <c r="DR51" s="43">
        <v>0</v>
      </c>
      <c r="DS51" s="46"/>
      <c r="EA51" s="46"/>
      <c r="EB51" s="47"/>
      <c r="EG51" s="46"/>
      <c r="EH51" s="47"/>
      <c r="EM51" s="46"/>
      <c r="EN51" s="45"/>
      <c r="ES51" s="46"/>
      <c r="FA51" s="46"/>
      <c r="FH51" s="46"/>
      <c r="FI51" s="47"/>
      <c r="FM51" s="46"/>
      <c r="FN51" s="45"/>
      <c r="FR51" s="46"/>
      <c r="FX51" s="46"/>
      <c r="FY51" s="47"/>
      <c r="GE51" s="46"/>
      <c r="GK51" s="46"/>
      <c r="GL51" s="47"/>
      <c r="GQ51" s="46"/>
      <c r="GW51" s="46"/>
      <c r="GX51" s="45"/>
      <c r="HA51" s="46"/>
      <c r="HB51" s="47"/>
      <c r="HG51" s="46"/>
      <c r="HH51" s="45"/>
      <c r="HK51" s="46"/>
      <c r="HL51" s="45"/>
      <c r="HQ51" s="46"/>
      <c r="HY51" s="46"/>
      <c r="HZ51" s="47"/>
      <c r="IE51" s="46"/>
      <c r="IK51" s="49"/>
      <c r="IQ51" s="49"/>
      <c r="IW51" s="49"/>
      <c r="JC51" s="46"/>
      <c r="JG51" s="46"/>
      <c r="JM51" s="46"/>
      <c r="JN51" s="45"/>
      <c r="JQ51" s="49"/>
      <c r="JW51" s="49"/>
      <c r="KC51" s="49"/>
      <c r="KD51" s="48"/>
      <c r="KE51" s="48"/>
      <c r="KF51" s="48"/>
      <c r="KI51" s="49"/>
      <c r="KO51" s="49"/>
      <c r="KP51" s="45"/>
      <c r="KW51" s="49"/>
      <c r="KX51" s="48"/>
      <c r="KY51" s="48"/>
      <c r="KZ51" s="48"/>
      <c r="LA51" s="48"/>
      <c r="LC51" s="49"/>
      <c r="LD51" s="48"/>
      <c r="LE51" s="48"/>
      <c r="LF51" s="48"/>
      <c r="LG51" s="48"/>
      <c r="LI51" s="49"/>
      <c r="LJ51" s="50"/>
      <c r="LK51" s="48"/>
      <c r="LM51" s="49"/>
      <c r="LN51" s="50"/>
      <c r="LO51" s="48"/>
      <c r="LP51" s="48"/>
      <c r="LQ51" s="48"/>
      <c r="LR51" s="48"/>
      <c r="LT51" s="49"/>
      <c r="LU51" s="50"/>
      <c r="LV51" s="48"/>
      <c r="LW51" s="48"/>
      <c r="LX51" s="48"/>
      <c r="LZ51" s="49"/>
      <c r="MA51" s="50"/>
      <c r="MB51" s="48"/>
      <c r="MD51" s="49"/>
      <c r="ME51" s="50"/>
      <c r="MF51" s="48"/>
      <c r="MG51" s="48"/>
      <c r="MH51" s="48"/>
      <c r="MJ51" s="49"/>
      <c r="MK51" s="50"/>
      <c r="ML51" s="48"/>
      <c r="MN51" s="49"/>
      <c r="MO51" s="50"/>
      <c r="MP51" s="48"/>
      <c r="MQ51" s="48"/>
      <c r="MR51" s="48"/>
      <c r="MT51" s="49"/>
      <c r="MU51" s="48"/>
      <c r="MV51" s="46"/>
      <c r="MW51" s="48"/>
      <c r="MX51" s="48"/>
      <c r="MZ51" s="49"/>
      <c r="NA51" s="50"/>
      <c r="NB51" s="48"/>
      <c r="NC51" s="48"/>
      <c r="ND51" s="48"/>
      <c r="NF51" s="49"/>
      <c r="NG51" s="50"/>
      <c r="NH51" s="48"/>
      <c r="NI51" s="48"/>
      <c r="NJ51" s="48"/>
      <c r="NL51" s="49"/>
      <c r="NM51" s="50"/>
      <c r="NN51" s="48"/>
      <c r="NO51" s="48"/>
      <c r="NP51" s="48"/>
      <c r="NR51" s="49"/>
      <c r="NS51" s="50"/>
      <c r="NT51" s="48"/>
      <c r="NU51" s="48"/>
      <c r="NV51" s="48"/>
      <c r="NX51" s="49"/>
      <c r="NY51" s="50"/>
      <c r="NZ51" s="48"/>
      <c r="OA51" s="48"/>
      <c r="OB51" s="48"/>
      <c r="OD51" s="49"/>
      <c r="OE51" s="50"/>
      <c r="OF51" s="48"/>
      <c r="OH51" s="49"/>
      <c r="OI51" s="50"/>
      <c r="OJ51" s="48"/>
      <c r="OL51" s="49"/>
      <c r="OM51" s="50"/>
      <c r="ON51" s="48"/>
      <c r="OO51" s="48"/>
      <c r="OP51" s="48"/>
      <c r="OR51" s="49"/>
      <c r="OS51" s="50"/>
      <c r="OT51" s="48"/>
      <c r="OV51" s="49"/>
      <c r="OW51" s="50"/>
      <c r="OX51" s="48"/>
      <c r="OY51" s="48"/>
      <c r="OZ51" s="48"/>
      <c r="PB51" s="49"/>
      <c r="PC51" s="50"/>
      <c r="PD51" s="48"/>
      <c r="PF51" s="49"/>
      <c r="PG51" s="50"/>
      <c r="PH51" s="48"/>
      <c r="PI51" s="48"/>
      <c r="PJ51" s="48"/>
      <c r="PL51" s="49"/>
      <c r="PM51" s="47"/>
      <c r="PN51" s="48"/>
      <c r="PO51" s="48"/>
      <c r="PP51" s="48"/>
      <c r="PR51" s="49"/>
      <c r="PS51" s="47"/>
      <c r="PX51" s="46"/>
      <c r="PY51" s="47"/>
      <c r="QB51" s="46"/>
      <c r="QC51" s="47"/>
      <c r="QH51" s="46"/>
      <c r="QI51" s="47"/>
      <c r="QN51" s="46"/>
      <c r="QO51" s="47"/>
      <c r="QT51" s="46"/>
      <c r="QU51" s="47"/>
      <c r="QX51" s="46"/>
      <c r="QY51" s="47"/>
      <c r="RD51" s="46"/>
    </row>
    <row r="52" spans="1:472" x14ac:dyDescent="0.25">
      <c r="A52" s="43" t="s">
        <v>340</v>
      </c>
      <c r="B52" s="44">
        <v>0.3</v>
      </c>
      <c r="I52" s="47"/>
      <c r="J52" s="51"/>
      <c r="K52" s="51"/>
      <c r="L52" s="51"/>
      <c r="M52" s="51">
        <f t="shared" si="8"/>
        <v>0</v>
      </c>
      <c r="N52" s="46"/>
      <c r="O52" s="47"/>
      <c r="P52" s="51"/>
      <c r="Q52" s="51"/>
      <c r="R52" s="51"/>
      <c r="S52" s="51">
        <f t="shared" si="9"/>
        <v>0</v>
      </c>
      <c r="T52" s="46"/>
      <c r="U52" s="47"/>
      <c r="V52" s="51"/>
      <c r="W52" s="51"/>
      <c r="X52" s="51"/>
      <c r="Y52" s="51">
        <f t="shared" si="10"/>
        <v>0</v>
      </c>
      <c r="Z52" s="46"/>
      <c r="AA52" s="51"/>
      <c r="AE52" s="43">
        <v>0</v>
      </c>
      <c r="AF52" s="46"/>
      <c r="AG52" s="47"/>
      <c r="AK52" s="43">
        <v>0</v>
      </c>
      <c r="AL52" s="46"/>
      <c r="AQ52" s="43">
        <v>0</v>
      </c>
      <c r="AR52" s="46"/>
      <c r="AW52" s="43">
        <v>0</v>
      </c>
      <c r="AX52" s="46"/>
      <c r="AY52" s="47"/>
      <c r="BC52" s="43">
        <v>0</v>
      </c>
      <c r="BD52" s="46"/>
      <c r="BE52" s="47"/>
      <c r="BI52" s="43">
        <v>0</v>
      </c>
      <c r="BJ52" s="46"/>
      <c r="BP52" s="43">
        <v>0</v>
      </c>
      <c r="BQ52" s="46"/>
      <c r="BT52" s="43">
        <v>0</v>
      </c>
      <c r="BU52" s="46"/>
      <c r="BV52" s="47"/>
      <c r="BZ52" s="43">
        <v>0</v>
      </c>
      <c r="CA52" s="46"/>
      <c r="CF52" s="43">
        <v>0</v>
      </c>
      <c r="CG52" s="46"/>
      <c r="CL52" s="43">
        <v>0</v>
      </c>
      <c r="CM52" s="46"/>
      <c r="CN52" s="47"/>
      <c r="CR52" s="43">
        <v>0</v>
      </c>
      <c r="CS52" s="46"/>
      <c r="CX52" s="43">
        <v>0</v>
      </c>
      <c r="CY52" s="46"/>
      <c r="CZ52" s="47"/>
      <c r="DD52" s="43">
        <v>0</v>
      </c>
      <c r="DE52" s="46"/>
      <c r="DF52" s="47"/>
      <c r="DL52" s="43">
        <v>0</v>
      </c>
      <c r="DM52" s="46"/>
      <c r="DN52" s="47"/>
      <c r="DR52" s="43">
        <v>0</v>
      </c>
      <c r="DS52" s="46"/>
      <c r="DZ52" s="43">
        <v>0</v>
      </c>
      <c r="EA52" s="46"/>
      <c r="EB52" s="47"/>
      <c r="EF52" s="43">
        <v>0</v>
      </c>
      <c r="EG52" s="46"/>
      <c r="EH52" s="47"/>
      <c r="EL52" s="43">
        <v>0</v>
      </c>
      <c r="EM52" s="46"/>
      <c r="EN52" s="47"/>
      <c r="ER52" s="43">
        <v>0</v>
      </c>
      <c r="ES52" s="46"/>
      <c r="EZ52" s="43">
        <v>0</v>
      </c>
      <c r="FA52" s="46"/>
      <c r="FG52" s="43">
        <v>0</v>
      </c>
      <c r="FH52" s="46"/>
      <c r="FI52" s="47"/>
      <c r="FL52" s="43">
        <v>0</v>
      </c>
      <c r="FM52" s="46"/>
      <c r="FN52" s="47"/>
      <c r="FQ52" s="43">
        <v>0</v>
      </c>
      <c r="FR52" s="46"/>
      <c r="FW52" s="43">
        <v>0</v>
      </c>
      <c r="FX52" s="46"/>
      <c r="FY52" s="47"/>
      <c r="GD52" s="43">
        <v>0</v>
      </c>
      <c r="GE52" s="46"/>
      <c r="GJ52" s="43">
        <v>0</v>
      </c>
      <c r="GK52" s="46"/>
      <c r="GL52" s="47"/>
      <c r="GP52" s="43">
        <v>0</v>
      </c>
      <c r="GQ52" s="46"/>
      <c r="GV52" s="43">
        <v>0</v>
      </c>
      <c r="GW52" s="46"/>
      <c r="GX52" s="47"/>
      <c r="GZ52" s="43">
        <v>0</v>
      </c>
      <c r="HA52" s="46"/>
      <c r="HB52" s="47"/>
      <c r="HF52" s="43">
        <v>0</v>
      </c>
      <c r="HG52" s="46"/>
      <c r="HH52" s="47"/>
      <c r="HJ52" s="43">
        <v>0</v>
      </c>
      <c r="HK52" s="46"/>
      <c r="HL52" s="47"/>
      <c r="HP52" s="43">
        <v>0</v>
      </c>
      <c r="HQ52" s="46"/>
      <c r="HX52" s="43">
        <v>0</v>
      </c>
      <c r="HY52" s="46"/>
      <c r="HZ52" s="47"/>
      <c r="ID52" s="43">
        <v>0</v>
      </c>
      <c r="IE52" s="46"/>
      <c r="IJ52" s="43">
        <v>0</v>
      </c>
      <c r="IK52" s="49"/>
      <c r="IP52" s="43">
        <v>0</v>
      </c>
      <c r="IQ52" s="49"/>
      <c r="IV52" s="43">
        <v>0</v>
      </c>
      <c r="IW52" s="49"/>
      <c r="JB52" s="43">
        <v>0</v>
      </c>
      <c r="JC52" s="46"/>
      <c r="JF52" s="43">
        <v>0</v>
      </c>
      <c r="JG52" s="49"/>
      <c r="JL52" s="43">
        <v>0</v>
      </c>
      <c r="JM52" s="46"/>
      <c r="JN52" s="50"/>
      <c r="JP52" s="43">
        <v>0</v>
      </c>
      <c r="JQ52" s="49"/>
      <c r="JV52" s="43">
        <v>0</v>
      </c>
      <c r="JW52" s="49"/>
      <c r="KB52" s="43">
        <v>0</v>
      </c>
      <c r="KC52" s="49"/>
      <c r="KH52" s="43">
        <v>0</v>
      </c>
      <c r="KI52" s="49"/>
      <c r="KN52" s="43">
        <v>0</v>
      </c>
      <c r="KO52" s="49"/>
      <c r="KP52" s="50"/>
      <c r="KV52" s="43">
        <v>0</v>
      </c>
      <c r="KW52" s="49"/>
      <c r="KX52" s="48">
        <v>0</v>
      </c>
      <c r="KY52" s="48">
        <v>0</v>
      </c>
      <c r="KZ52" s="48">
        <v>0</v>
      </c>
      <c r="LA52" s="48">
        <v>0</v>
      </c>
      <c r="LB52" s="43">
        <v>0</v>
      </c>
      <c r="LC52" s="49"/>
      <c r="LD52" s="48">
        <v>0</v>
      </c>
      <c r="LE52" s="48">
        <v>0</v>
      </c>
      <c r="LF52" s="48">
        <v>0</v>
      </c>
      <c r="LG52" s="48">
        <v>0</v>
      </c>
      <c r="LH52" s="43">
        <v>0</v>
      </c>
      <c r="LI52" s="49"/>
      <c r="LJ52" s="50">
        <v>0</v>
      </c>
      <c r="LK52" s="48">
        <v>0</v>
      </c>
      <c r="LL52" s="43">
        <v>0</v>
      </c>
      <c r="LM52" s="49"/>
      <c r="LN52" s="50">
        <v>0</v>
      </c>
      <c r="LO52" s="48">
        <v>0</v>
      </c>
      <c r="LP52" s="48">
        <v>0</v>
      </c>
      <c r="LQ52" s="48">
        <v>0</v>
      </c>
      <c r="LR52" s="48">
        <v>0</v>
      </c>
      <c r="LS52" s="43">
        <v>0</v>
      </c>
      <c r="LT52" s="49"/>
      <c r="LU52" s="50">
        <v>0</v>
      </c>
      <c r="LV52" s="48">
        <v>0</v>
      </c>
      <c r="LW52" s="48">
        <v>0</v>
      </c>
      <c r="LX52" s="48">
        <v>0</v>
      </c>
      <c r="LY52" s="43">
        <v>0</v>
      </c>
      <c r="LZ52" s="49"/>
      <c r="MA52" s="50">
        <v>0</v>
      </c>
      <c r="MB52" s="48">
        <v>0</v>
      </c>
      <c r="MC52" s="43">
        <v>0</v>
      </c>
      <c r="MD52" s="49"/>
      <c r="ME52" s="50">
        <v>0</v>
      </c>
      <c r="MF52" s="48">
        <v>0</v>
      </c>
      <c r="MG52" s="48">
        <v>0</v>
      </c>
      <c r="MH52" s="48">
        <v>0</v>
      </c>
      <c r="MI52" s="43">
        <v>0</v>
      </c>
      <c r="MJ52" s="49"/>
      <c r="MK52" s="50">
        <v>0</v>
      </c>
      <c r="ML52" s="48">
        <v>0</v>
      </c>
      <c r="MM52" s="43">
        <v>0</v>
      </c>
      <c r="MN52" s="49"/>
      <c r="MO52" s="50">
        <v>0</v>
      </c>
      <c r="MP52" s="48">
        <v>0</v>
      </c>
      <c r="MQ52" s="48">
        <v>0</v>
      </c>
      <c r="MR52" s="48">
        <v>0</v>
      </c>
      <c r="MS52" s="43">
        <v>0</v>
      </c>
      <c r="MT52" s="49"/>
      <c r="MU52" s="48">
        <v>0</v>
      </c>
      <c r="MV52" s="46"/>
      <c r="MW52" s="48">
        <v>0</v>
      </c>
      <c r="MX52" s="48">
        <v>0</v>
      </c>
      <c r="MY52" s="43">
        <v>0</v>
      </c>
      <c r="MZ52" s="49"/>
      <c r="NA52" s="50">
        <v>0</v>
      </c>
      <c r="NB52" s="48">
        <v>0</v>
      </c>
      <c r="NC52" s="48">
        <v>0</v>
      </c>
      <c r="ND52" s="48">
        <v>0</v>
      </c>
      <c r="NE52" s="43">
        <v>0</v>
      </c>
      <c r="NF52" s="49"/>
      <c r="NG52" s="50">
        <v>0</v>
      </c>
      <c r="NH52" s="48">
        <v>0</v>
      </c>
      <c r="NI52" s="48">
        <v>0</v>
      </c>
      <c r="NJ52" s="48">
        <v>0</v>
      </c>
      <c r="NK52" s="43">
        <v>0</v>
      </c>
      <c r="NL52" s="49"/>
      <c r="NM52" s="50">
        <v>0</v>
      </c>
      <c r="NN52" s="48">
        <v>0</v>
      </c>
      <c r="NO52" s="48">
        <v>0</v>
      </c>
      <c r="NP52" s="48">
        <v>0</v>
      </c>
      <c r="NQ52" s="43">
        <v>0</v>
      </c>
      <c r="NR52" s="49"/>
      <c r="NS52" s="50">
        <v>0</v>
      </c>
      <c r="NT52" s="48">
        <v>0</v>
      </c>
      <c r="NU52" s="48">
        <v>0</v>
      </c>
      <c r="NV52" s="48">
        <v>0</v>
      </c>
      <c r="NW52" s="43">
        <v>0</v>
      </c>
      <c r="NX52" s="49"/>
      <c r="NY52" s="50">
        <v>0</v>
      </c>
      <c r="NZ52" s="48">
        <v>0</v>
      </c>
      <c r="OA52" s="48">
        <v>0</v>
      </c>
      <c r="OB52" s="48">
        <v>0</v>
      </c>
      <c r="OC52" s="43">
        <v>0</v>
      </c>
      <c r="OD52" s="49"/>
      <c r="OE52" s="50">
        <v>0</v>
      </c>
      <c r="OF52" s="48">
        <v>0</v>
      </c>
      <c r="OG52" s="43">
        <v>0</v>
      </c>
      <c r="OH52" s="49"/>
      <c r="OI52" s="50">
        <v>0</v>
      </c>
      <c r="OJ52" s="48">
        <v>0</v>
      </c>
      <c r="OK52" s="43">
        <v>0</v>
      </c>
      <c r="OL52" s="49"/>
      <c r="OM52" s="50">
        <v>0</v>
      </c>
      <c r="ON52" s="48">
        <v>0</v>
      </c>
      <c r="OO52" s="48">
        <v>0</v>
      </c>
      <c r="OP52" s="48">
        <v>0</v>
      </c>
      <c r="OQ52" s="43">
        <v>0</v>
      </c>
      <c r="OR52" s="49"/>
      <c r="OS52" s="50">
        <v>0</v>
      </c>
      <c r="OT52" s="48">
        <v>0</v>
      </c>
      <c r="OU52" s="43">
        <v>0</v>
      </c>
      <c r="OV52" s="49"/>
      <c r="OW52" s="50">
        <v>0</v>
      </c>
      <c r="OX52" s="48">
        <v>0</v>
      </c>
      <c r="OY52" s="48">
        <v>0</v>
      </c>
      <c r="OZ52" s="48">
        <v>0</v>
      </c>
      <c r="PA52" s="43">
        <v>0</v>
      </c>
      <c r="PB52" s="49"/>
      <c r="PC52" s="50">
        <v>0</v>
      </c>
      <c r="PD52" s="48">
        <v>0</v>
      </c>
      <c r="PE52" s="43">
        <v>0</v>
      </c>
      <c r="PF52" s="49"/>
      <c r="PG52" s="50">
        <v>0</v>
      </c>
      <c r="PH52" s="48">
        <v>0</v>
      </c>
      <c r="PI52" s="48">
        <v>0</v>
      </c>
      <c r="PJ52" s="48">
        <v>0</v>
      </c>
      <c r="PK52" s="43">
        <v>0</v>
      </c>
      <c r="PL52" s="49"/>
      <c r="PM52" s="47">
        <v>0</v>
      </c>
      <c r="PN52" s="48">
        <v>0</v>
      </c>
      <c r="PO52" s="48">
        <v>0</v>
      </c>
      <c r="PP52" s="48">
        <v>0</v>
      </c>
      <c r="PQ52" s="43">
        <v>0</v>
      </c>
      <c r="PR52" s="49"/>
      <c r="PS52" s="47">
        <v>0</v>
      </c>
      <c r="PT52" s="43">
        <v>0</v>
      </c>
      <c r="PU52" s="43">
        <v>0</v>
      </c>
      <c r="PV52" s="43">
        <v>0</v>
      </c>
      <c r="PW52" s="43">
        <v>0</v>
      </c>
      <c r="PX52" s="46"/>
      <c r="PY52" s="47">
        <v>0</v>
      </c>
      <c r="PZ52" s="7">
        <v>70</v>
      </c>
      <c r="QA52" s="43">
        <v>2</v>
      </c>
      <c r="QB52" s="46"/>
      <c r="QC52" s="47">
        <v>0</v>
      </c>
      <c r="QD52" s="43">
        <v>0</v>
      </c>
      <c r="QE52" s="43">
        <v>0</v>
      </c>
      <c r="QF52" s="43">
        <v>0</v>
      </c>
      <c r="QG52" s="43">
        <v>0</v>
      </c>
      <c r="QH52" s="46"/>
      <c r="QI52" s="47">
        <v>36</v>
      </c>
      <c r="QJ52" s="43">
        <v>50</v>
      </c>
      <c r="QK52" s="43">
        <v>72</v>
      </c>
      <c r="QL52" s="43">
        <v>70</v>
      </c>
      <c r="QM52" s="43">
        <v>-12</v>
      </c>
      <c r="QN52" s="46"/>
      <c r="QO52" s="47">
        <v>0</v>
      </c>
      <c r="QP52" s="43">
        <v>0</v>
      </c>
      <c r="QQ52" s="43">
        <v>180</v>
      </c>
      <c r="QR52" s="43">
        <v>0</v>
      </c>
      <c r="QS52" s="43">
        <v>180</v>
      </c>
      <c r="QT52" s="46"/>
      <c r="QU52" s="47">
        <v>264</v>
      </c>
      <c r="QV52" s="43">
        <v>266</v>
      </c>
      <c r="QW52" s="43">
        <v>-2</v>
      </c>
      <c r="QX52" s="46"/>
      <c r="QY52" s="47">
        <v>0</v>
      </c>
      <c r="QZ52" s="43">
        <v>0</v>
      </c>
      <c r="RA52" s="43">
        <v>228</v>
      </c>
      <c r="RB52" s="43">
        <v>229</v>
      </c>
      <c r="RC52" s="43">
        <v>-1</v>
      </c>
      <c r="RD52" s="46"/>
    </row>
    <row r="53" spans="1:472" x14ac:dyDescent="0.25">
      <c r="A53" s="43" t="s">
        <v>341</v>
      </c>
      <c r="B53" s="44">
        <v>0.27</v>
      </c>
      <c r="I53" s="47"/>
      <c r="J53" s="51"/>
      <c r="K53" s="51"/>
      <c r="L53" s="51"/>
      <c r="M53" s="51">
        <f t="shared" si="8"/>
        <v>0</v>
      </c>
      <c r="N53" s="46"/>
      <c r="O53" s="47"/>
      <c r="P53" s="51"/>
      <c r="Q53" s="51"/>
      <c r="R53" s="51"/>
      <c r="S53" s="51">
        <f t="shared" si="9"/>
        <v>0</v>
      </c>
      <c r="T53" s="46"/>
      <c r="U53" s="47"/>
      <c r="V53" s="51"/>
      <c r="W53" s="51"/>
      <c r="X53" s="51"/>
      <c r="Y53" s="51">
        <f t="shared" si="10"/>
        <v>0</v>
      </c>
      <c r="Z53" s="46"/>
      <c r="AA53" s="51"/>
      <c r="AE53" s="43">
        <v>0</v>
      </c>
      <c r="AF53" s="46"/>
      <c r="AG53" s="47"/>
      <c r="AK53" s="43">
        <v>0</v>
      </c>
      <c r="AL53" s="46"/>
      <c r="AQ53" s="43">
        <v>0</v>
      </c>
      <c r="AR53" s="46"/>
      <c r="AW53" s="43">
        <v>0</v>
      </c>
      <c r="AX53" s="46"/>
      <c r="AY53" s="47"/>
      <c r="BC53" s="43">
        <v>0</v>
      </c>
      <c r="BD53" s="46"/>
      <c r="BE53" s="47"/>
      <c r="BI53" s="43">
        <v>0</v>
      </c>
      <c r="BJ53" s="46"/>
      <c r="BP53" s="43">
        <v>0</v>
      </c>
      <c r="BQ53" s="46"/>
      <c r="BT53" s="43">
        <v>0</v>
      </c>
      <c r="BU53" s="46"/>
      <c r="BV53" s="47"/>
      <c r="BZ53" s="43">
        <v>0</v>
      </c>
      <c r="CA53" s="46"/>
      <c r="CF53" s="43">
        <v>0</v>
      </c>
      <c r="CG53" s="46"/>
      <c r="CL53" s="43">
        <v>0</v>
      </c>
      <c r="CM53" s="46"/>
      <c r="CN53" s="47"/>
      <c r="CR53" s="43">
        <v>0</v>
      </c>
      <c r="CS53" s="46"/>
      <c r="CX53" s="43">
        <v>0</v>
      </c>
      <c r="CY53" s="46"/>
      <c r="CZ53" s="47"/>
      <c r="DD53" s="43">
        <v>0</v>
      </c>
      <c r="DE53" s="46"/>
      <c r="DF53" s="47"/>
      <c r="DL53" s="43">
        <v>0</v>
      </c>
      <c r="DM53" s="46"/>
      <c r="DN53" s="47"/>
      <c r="DR53" s="43">
        <v>0</v>
      </c>
      <c r="DS53" s="46"/>
      <c r="DZ53" s="43">
        <v>0</v>
      </c>
      <c r="EA53" s="46"/>
      <c r="EB53" s="47"/>
      <c r="EF53" s="43">
        <v>0</v>
      </c>
      <c r="EG53" s="46"/>
      <c r="EH53" s="47"/>
      <c r="EL53" s="43">
        <v>0</v>
      </c>
      <c r="EM53" s="46"/>
      <c r="EN53" s="47"/>
      <c r="ER53" s="43">
        <v>0</v>
      </c>
      <c r="ES53" s="46"/>
      <c r="EZ53" s="43">
        <v>0</v>
      </c>
      <c r="FA53" s="46"/>
      <c r="FG53" s="43">
        <v>0</v>
      </c>
      <c r="FH53" s="46"/>
      <c r="FI53" s="47"/>
      <c r="FL53" s="43">
        <v>0</v>
      </c>
      <c r="FM53" s="46"/>
      <c r="FN53" s="47"/>
      <c r="FQ53" s="43">
        <v>0</v>
      </c>
      <c r="FR53" s="46"/>
      <c r="FW53" s="43">
        <v>0</v>
      </c>
      <c r="FX53" s="46"/>
      <c r="FY53" s="47"/>
      <c r="GD53" s="43">
        <v>0</v>
      </c>
      <c r="GE53" s="46"/>
      <c r="GJ53" s="43">
        <v>0</v>
      </c>
      <c r="GK53" s="46"/>
      <c r="GL53" s="47"/>
      <c r="GP53" s="43">
        <v>0</v>
      </c>
      <c r="GQ53" s="46"/>
      <c r="GV53" s="43">
        <v>0</v>
      </c>
      <c r="GW53" s="46"/>
      <c r="GX53" s="47"/>
      <c r="GZ53" s="43">
        <v>0</v>
      </c>
      <c r="HA53" s="46"/>
      <c r="HB53" s="47"/>
      <c r="HF53" s="43">
        <v>0</v>
      </c>
      <c r="HG53" s="46"/>
      <c r="HH53" s="47"/>
      <c r="HJ53" s="43">
        <v>0</v>
      </c>
      <c r="HK53" s="46"/>
      <c r="HL53" s="47"/>
      <c r="HP53" s="43">
        <v>0</v>
      </c>
      <c r="HQ53" s="46"/>
      <c r="HX53" s="43">
        <v>0</v>
      </c>
      <c r="HY53" s="46"/>
      <c r="HZ53" s="47"/>
      <c r="ID53" s="43">
        <v>0</v>
      </c>
      <c r="IE53" s="46"/>
      <c r="IJ53" s="43">
        <v>0</v>
      </c>
      <c r="IK53" s="49"/>
      <c r="IP53" s="43">
        <v>0</v>
      </c>
      <c r="IQ53" s="49"/>
      <c r="IV53" s="43">
        <v>0</v>
      </c>
      <c r="IW53" s="49"/>
      <c r="JB53" s="43">
        <v>0</v>
      </c>
      <c r="JC53" s="46"/>
      <c r="JF53" s="43">
        <v>0</v>
      </c>
      <c r="JG53" s="49"/>
      <c r="JL53" s="43">
        <v>0</v>
      </c>
      <c r="JM53" s="46"/>
      <c r="JN53" s="50"/>
      <c r="JP53" s="43">
        <v>0</v>
      </c>
      <c r="JQ53" s="49"/>
      <c r="JV53" s="43">
        <v>0</v>
      </c>
      <c r="JW53" s="49"/>
      <c r="KB53" s="43">
        <v>0</v>
      </c>
      <c r="KC53" s="49"/>
      <c r="KH53" s="43">
        <v>0</v>
      </c>
      <c r="KI53" s="49"/>
      <c r="KN53" s="43">
        <v>0</v>
      </c>
      <c r="KO53" s="49"/>
      <c r="KP53" s="50"/>
      <c r="KV53" s="43">
        <v>0</v>
      </c>
      <c r="KW53" s="49"/>
      <c r="KX53" s="48">
        <v>0</v>
      </c>
      <c r="KY53" s="48">
        <v>0</v>
      </c>
      <c r="KZ53" s="48">
        <v>0</v>
      </c>
      <c r="LA53" s="48">
        <v>0</v>
      </c>
      <c r="LB53" s="43">
        <v>0</v>
      </c>
      <c r="LC53" s="49"/>
      <c r="LD53" s="48">
        <v>0</v>
      </c>
      <c r="LE53" s="48">
        <v>0</v>
      </c>
      <c r="LF53" s="48">
        <v>0</v>
      </c>
      <c r="LG53" s="48">
        <v>0</v>
      </c>
      <c r="LH53" s="43">
        <v>0</v>
      </c>
      <c r="LI53" s="49"/>
      <c r="LJ53" s="50">
        <v>0</v>
      </c>
      <c r="LK53" s="48">
        <v>0</v>
      </c>
      <c r="LL53" s="43">
        <v>0</v>
      </c>
      <c r="LM53" s="49"/>
      <c r="LN53" s="50">
        <v>0</v>
      </c>
      <c r="LO53" s="48">
        <v>0</v>
      </c>
      <c r="LP53" s="48">
        <v>0</v>
      </c>
      <c r="LQ53" s="48">
        <v>0</v>
      </c>
      <c r="LR53" s="48">
        <v>0</v>
      </c>
      <c r="LS53" s="43">
        <v>0</v>
      </c>
      <c r="LT53" s="49"/>
      <c r="LU53" s="50">
        <v>0</v>
      </c>
      <c r="LV53" s="48">
        <v>0</v>
      </c>
      <c r="LW53" s="48">
        <v>0</v>
      </c>
      <c r="LX53" s="48">
        <v>0</v>
      </c>
      <c r="LY53" s="43">
        <v>0</v>
      </c>
      <c r="LZ53" s="49"/>
      <c r="MA53" s="50">
        <v>0</v>
      </c>
      <c r="MB53" s="48">
        <v>0</v>
      </c>
      <c r="MC53" s="43">
        <v>0</v>
      </c>
      <c r="MD53" s="49"/>
      <c r="ME53" s="50">
        <v>0</v>
      </c>
      <c r="MF53" s="48">
        <v>0</v>
      </c>
      <c r="MG53" s="48">
        <v>0</v>
      </c>
      <c r="MH53" s="48">
        <v>0</v>
      </c>
      <c r="MI53" s="43">
        <v>0</v>
      </c>
      <c r="MJ53" s="49"/>
      <c r="MK53" s="50">
        <v>0</v>
      </c>
      <c r="ML53" s="48">
        <v>0</v>
      </c>
      <c r="MM53" s="43">
        <v>0</v>
      </c>
      <c r="MN53" s="49"/>
      <c r="MO53" s="50">
        <v>0</v>
      </c>
      <c r="MP53" s="48">
        <v>0</v>
      </c>
      <c r="MQ53" s="48">
        <v>0</v>
      </c>
      <c r="MR53" s="48">
        <v>0</v>
      </c>
      <c r="MS53" s="43">
        <v>0</v>
      </c>
      <c r="MT53" s="49"/>
      <c r="MU53" s="48">
        <v>0</v>
      </c>
      <c r="MV53" s="46"/>
      <c r="MW53" s="48">
        <v>0</v>
      </c>
      <c r="MX53" s="48">
        <v>0</v>
      </c>
      <c r="MY53" s="43">
        <v>0</v>
      </c>
      <c r="MZ53" s="49"/>
      <c r="NA53" s="50">
        <v>0</v>
      </c>
      <c r="NB53" s="48">
        <v>0</v>
      </c>
      <c r="NC53" s="48">
        <v>0</v>
      </c>
      <c r="ND53" s="48">
        <v>0</v>
      </c>
      <c r="NE53" s="43">
        <v>0</v>
      </c>
      <c r="NF53" s="49"/>
      <c r="NG53" s="50">
        <v>0</v>
      </c>
      <c r="NH53" s="48">
        <v>0</v>
      </c>
      <c r="NI53" s="48">
        <v>0</v>
      </c>
      <c r="NJ53" s="48">
        <v>0</v>
      </c>
      <c r="NK53" s="43">
        <v>0</v>
      </c>
      <c r="NL53" s="49"/>
      <c r="NM53" s="50">
        <v>0</v>
      </c>
      <c r="NN53" s="48">
        <v>0</v>
      </c>
      <c r="NO53" s="48">
        <v>0</v>
      </c>
      <c r="NP53" s="48">
        <v>0</v>
      </c>
      <c r="NQ53" s="43">
        <v>0</v>
      </c>
      <c r="NR53" s="49"/>
      <c r="NS53" s="50">
        <v>0</v>
      </c>
      <c r="NT53" s="48">
        <v>0</v>
      </c>
      <c r="NU53" s="48">
        <v>0</v>
      </c>
      <c r="NV53" s="48">
        <v>0</v>
      </c>
      <c r="NW53" s="43">
        <v>0</v>
      </c>
      <c r="NX53" s="49"/>
      <c r="NY53" s="50">
        <v>0</v>
      </c>
      <c r="NZ53" s="48">
        <v>0</v>
      </c>
      <c r="OA53" s="48">
        <v>0</v>
      </c>
      <c r="OB53" s="48">
        <v>0</v>
      </c>
      <c r="OC53" s="43">
        <v>0</v>
      </c>
      <c r="OD53" s="49"/>
      <c r="OE53" s="50">
        <v>0</v>
      </c>
      <c r="OF53" s="48">
        <v>0</v>
      </c>
      <c r="OG53" s="43">
        <v>0</v>
      </c>
      <c r="OH53" s="49"/>
      <c r="OI53" s="50">
        <v>0</v>
      </c>
      <c r="OJ53" s="48">
        <v>0</v>
      </c>
      <c r="OK53" s="43">
        <v>0</v>
      </c>
      <c r="OL53" s="49"/>
      <c r="OM53" s="50">
        <v>0</v>
      </c>
      <c r="ON53" s="48">
        <v>0</v>
      </c>
      <c r="OO53" s="48">
        <v>0</v>
      </c>
      <c r="OP53" s="48">
        <v>0</v>
      </c>
      <c r="OQ53" s="43">
        <v>0</v>
      </c>
      <c r="OR53" s="49"/>
      <c r="OS53" s="50">
        <v>0</v>
      </c>
      <c r="OT53" s="17">
        <v>50</v>
      </c>
      <c r="OU53" s="43">
        <v>-2</v>
      </c>
      <c r="OV53" s="49"/>
      <c r="OW53" s="50">
        <v>0</v>
      </c>
      <c r="OX53" s="48">
        <v>0</v>
      </c>
      <c r="OY53" s="48">
        <v>0</v>
      </c>
      <c r="OZ53" s="33">
        <v>50</v>
      </c>
      <c r="PA53" s="42">
        <v>-50</v>
      </c>
      <c r="PB53" s="49">
        <v>13.5</v>
      </c>
      <c r="PC53" s="50">
        <v>0</v>
      </c>
      <c r="PD53" s="48">
        <v>0</v>
      </c>
      <c r="PE53" s="43">
        <v>0</v>
      </c>
      <c r="PF53" s="49"/>
      <c r="PG53" s="50">
        <v>0</v>
      </c>
      <c r="PH53" s="48">
        <v>0</v>
      </c>
      <c r="PI53" s="48">
        <v>0</v>
      </c>
      <c r="PJ53" s="48">
        <v>0</v>
      </c>
      <c r="PK53" s="43">
        <v>0</v>
      </c>
      <c r="PL53" s="49"/>
      <c r="PM53" s="18">
        <v>48</v>
      </c>
      <c r="PN53" s="48">
        <v>0</v>
      </c>
      <c r="PO53" s="48">
        <v>48</v>
      </c>
      <c r="PP53" s="48">
        <v>50</v>
      </c>
      <c r="PQ53" s="43">
        <v>46</v>
      </c>
      <c r="PR53" s="49"/>
      <c r="PS53" s="47">
        <v>0</v>
      </c>
      <c r="PT53" s="13">
        <v>30</v>
      </c>
      <c r="PU53" s="43">
        <v>0</v>
      </c>
      <c r="PV53" s="43">
        <v>0</v>
      </c>
      <c r="PW53" s="42">
        <v>-30</v>
      </c>
      <c r="PX53" s="46">
        <v>8.1000000000000014</v>
      </c>
      <c r="PY53" s="47">
        <v>204</v>
      </c>
      <c r="PZ53" s="43">
        <v>200</v>
      </c>
      <c r="QA53" s="43">
        <v>4</v>
      </c>
      <c r="QB53" s="46"/>
      <c r="QC53" s="47">
        <v>48</v>
      </c>
      <c r="QD53" s="43">
        <v>48</v>
      </c>
      <c r="QE53" s="43">
        <v>60</v>
      </c>
      <c r="QF53" s="43">
        <v>60</v>
      </c>
      <c r="QG53" s="43">
        <v>0</v>
      </c>
      <c r="QH53" s="46"/>
      <c r="QI53" s="47">
        <v>36</v>
      </c>
      <c r="QJ53" s="43">
        <v>40</v>
      </c>
      <c r="QK53" s="43">
        <v>48</v>
      </c>
      <c r="QL53" s="43">
        <v>50</v>
      </c>
      <c r="QM53" s="43">
        <v>-6</v>
      </c>
      <c r="QN53" s="46"/>
      <c r="QO53" s="47">
        <v>24</v>
      </c>
      <c r="QP53" s="43">
        <v>30</v>
      </c>
      <c r="QQ53" s="43">
        <v>108</v>
      </c>
      <c r="QR53" s="43">
        <v>0</v>
      </c>
      <c r="QS53" s="43">
        <v>102</v>
      </c>
      <c r="QT53" s="46"/>
      <c r="QU53" s="47">
        <v>60</v>
      </c>
      <c r="QV53" s="43">
        <v>60</v>
      </c>
      <c r="QW53" s="43">
        <v>0</v>
      </c>
      <c r="QX53" s="46"/>
      <c r="QY53" s="47">
        <v>0</v>
      </c>
      <c r="QZ53" s="43">
        <v>0</v>
      </c>
      <c r="RA53" s="43">
        <v>216</v>
      </c>
      <c r="RB53" s="43">
        <v>220</v>
      </c>
      <c r="RC53" s="43">
        <v>-4</v>
      </c>
      <c r="RD53" s="46"/>
    </row>
    <row r="54" spans="1:472" x14ac:dyDescent="0.25">
      <c r="A54" s="43" t="s">
        <v>342</v>
      </c>
      <c r="B54" s="44">
        <v>1</v>
      </c>
      <c r="E54">
        <v>320</v>
      </c>
      <c r="F54">
        <v>215</v>
      </c>
      <c r="I54" s="47"/>
      <c r="J54" s="51"/>
      <c r="K54" s="51"/>
      <c r="L54" s="51"/>
      <c r="M54" s="51">
        <f t="shared" si="8"/>
        <v>0</v>
      </c>
      <c r="N54" s="46"/>
      <c r="O54" s="45">
        <v>284</v>
      </c>
      <c r="P54" s="52">
        <v>270</v>
      </c>
      <c r="Q54" s="52">
        <v>305</v>
      </c>
      <c r="R54" s="52">
        <v>283</v>
      </c>
      <c r="S54" s="51">
        <f t="shared" si="9"/>
        <v>36</v>
      </c>
      <c r="T54" s="46"/>
      <c r="U54" s="45">
        <v>240</v>
      </c>
      <c r="V54" s="52">
        <v>230</v>
      </c>
      <c r="W54" s="52">
        <v>261</v>
      </c>
      <c r="X54" s="52">
        <v>250</v>
      </c>
      <c r="Y54" s="51">
        <f t="shared" si="10"/>
        <v>21</v>
      </c>
      <c r="Z54" s="46"/>
      <c r="AA54" s="52">
        <v>103</v>
      </c>
      <c r="AB54">
        <v>100</v>
      </c>
      <c r="AC54">
        <v>78</v>
      </c>
      <c r="AD54">
        <v>74</v>
      </c>
      <c r="AE54" s="43">
        <v>7</v>
      </c>
      <c r="AF54" s="46"/>
      <c r="AG54" s="45">
        <v>143</v>
      </c>
      <c r="AH54">
        <v>140</v>
      </c>
      <c r="AI54">
        <v>78</v>
      </c>
      <c r="AJ54">
        <v>78</v>
      </c>
      <c r="AK54" s="43">
        <v>3</v>
      </c>
      <c r="AL54" s="46"/>
      <c r="AQ54" s="43">
        <v>0</v>
      </c>
      <c r="AR54" s="46"/>
      <c r="AS54">
        <v>221</v>
      </c>
      <c r="AT54">
        <v>210</v>
      </c>
      <c r="AU54">
        <v>227</v>
      </c>
      <c r="AV54">
        <v>215</v>
      </c>
      <c r="AW54" s="43">
        <v>23</v>
      </c>
      <c r="AX54" s="46"/>
      <c r="AY54" s="45">
        <v>126</v>
      </c>
      <c r="AZ54">
        <v>120</v>
      </c>
      <c r="BA54">
        <v>147</v>
      </c>
      <c r="BB54">
        <v>142</v>
      </c>
      <c r="BC54" s="43">
        <v>11</v>
      </c>
      <c r="BD54" s="46"/>
      <c r="BE54" s="45">
        <v>273</v>
      </c>
      <c r="BF54">
        <v>257</v>
      </c>
      <c r="BG54">
        <v>287</v>
      </c>
      <c r="BH54">
        <v>276</v>
      </c>
      <c r="BI54" s="43">
        <v>27</v>
      </c>
      <c r="BJ54" s="46"/>
      <c r="BK54">
        <v>74</v>
      </c>
      <c r="BL54">
        <v>70</v>
      </c>
      <c r="BN54">
        <v>60</v>
      </c>
      <c r="BO54">
        <v>58</v>
      </c>
      <c r="BP54" s="43">
        <v>6</v>
      </c>
      <c r="BQ54" s="46"/>
      <c r="BR54">
        <v>62</v>
      </c>
      <c r="BS54">
        <v>60</v>
      </c>
      <c r="BT54" s="43">
        <v>2</v>
      </c>
      <c r="BU54" s="46"/>
      <c r="BV54" s="45">
        <v>116</v>
      </c>
      <c r="BW54">
        <v>114</v>
      </c>
      <c r="BX54">
        <v>658</v>
      </c>
      <c r="BY54">
        <v>616</v>
      </c>
      <c r="BZ54" s="43">
        <v>44</v>
      </c>
      <c r="CA54" s="46"/>
      <c r="CB54">
        <v>82</v>
      </c>
      <c r="CC54">
        <v>80</v>
      </c>
      <c r="CD54">
        <v>166</v>
      </c>
      <c r="CE54">
        <v>154</v>
      </c>
      <c r="CF54" s="43">
        <v>14</v>
      </c>
      <c r="CG54" s="46"/>
      <c r="CJ54">
        <v>190</v>
      </c>
      <c r="CK54">
        <v>183</v>
      </c>
      <c r="CL54" s="43">
        <v>7</v>
      </c>
      <c r="CM54" s="46"/>
      <c r="CN54" s="47"/>
      <c r="CP54">
        <v>379</v>
      </c>
      <c r="CQ54">
        <v>357</v>
      </c>
      <c r="CR54" s="43">
        <v>22</v>
      </c>
      <c r="CS54" s="46"/>
      <c r="CV54">
        <v>119</v>
      </c>
      <c r="CW54">
        <v>111</v>
      </c>
      <c r="CX54" s="43">
        <v>8</v>
      </c>
      <c r="CY54" s="46"/>
      <c r="CZ54" s="47"/>
      <c r="DB54">
        <v>152</v>
      </c>
      <c r="DC54">
        <v>143</v>
      </c>
      <c r="DD54" s="43">
        <v>9</v>
      </c>
      <c r="DE54" s="46"/>
      <c r="DF54" s="47"/>
      <c r="DJ54">
        <v>132</v>
      </c>
      <c r="DK54">
        <v>130</v>
      </c>
      <c r="DL54" s="43">
        <v>2</v>
      </c>
      <c r="DM54" s="46"/>
      <c r="DN54" s="45">
        <v>221</v>
      </c>
      <c r="DO54">
        <v>200</v>
      </c>
      <c r="DP54">
        <v>213</v>
      </c>
      <c r="DQ54">
        <v>200</v>
      </c>
      <c r="DR54" s="43">
        <v>34</v>
      </c>
      <c r="DS54" s="46"/>
      <c r="DV54">
        <v>224</v>
      </c>
      <c r="DW54">
        <v>220</v>
      </c>
      <c r="DZ54" s="43">
        <v>4</v>
      </c>
      <c r="EA54" s="46"/>
      <c r="EB54" s="47"/>
      <c r="ED54">
        <v>123</v>
      </c>
      <c r="EE54">
        <v>118</v>
      </c>
      <c r="EF54" s="43">
        <v>5</v>
      </c>
      <c r="EG54" s="46"/>
      <c r="EH54" s="45">
        <v>208</v>
      </c>
      <c r="EI54">
        <v>200</v>
      </c>
      <c r="EJ54">
        <v>194</v>
      </c>
      <c r="EK54">
        <v>190</v>
      </c>
      <c r="EL54" s="43">
        <v>12</v>
      </c>
      <c r="EM54" s="46"/>
      <c r="EN54" s="47"/>
      <c r="ER54" s="43">
        <v>0</v>
      </c>
      <c r="ES54" s="46"/>
      <c r="ET54">
        <v>348</v>
      </c>
      <c r="EU54">
        <v>330</v>
      </c>
      <c r="EV54">
        <v>339</v>
      </c>
      <c r="EW54">
        <v>330</v>
      </c>
      <c r="EX54">
        <v>510</v>
      </c>
      <c r="EY54">
        <v>480</v>
      </c>
      <c r="EZ54" s="43">
        <v>57</v>
      </c>
      <c r="FA54" s="46"/>
      <c r="FG54" s="43">
        <v>0</v>
      </c>
      <c r="FH54" s="46"/>
      <c r="FI54" s="45">
        <v>516</v>
      </c>
      <c r="FK54" s="48">
        <v>479.78300000000002</v>
      </c>
      <c r="FL54" s="43">
        <v>36.216999999999977</v>
      </c>
      <c r="FM54" s="46"/>
      <c r="FN54" s="47"/>
      <c r="FQ54" s="43">
        <v>0</v>
      </c>
      <c r="FR54" s="46"/>
      <c r="FS54">
        <v>209</v>
      </c>
      <c r="FV54">
        <v>200</v>
      </c>
      <c r="FW54" s="43">
        <v>9</v>
      </c>
      <c r="FX54" s="46"/>
      <c r="FY54" s="47"/>
      <c r="GD54" s="43">
        <v>0</v>
      </c>
      <c r="GE54" s="46"/>
      <c r="GF54">
        <v>334</v>
      </c>
      <c r="GG54">
        <v>310</v>
      </c>
      <c r="GH54">
        <v>329</v>
      </c>
      <c r="GI54">
        <v>310</v>
      </c>
      <c r="GJ54" s="43">
        <v>43</v>
      </c>
      <c r="GK54" s="46"/>
      <c r="GL54" s="47"/>
      <c r="GP54" s="43">
        <v>0</v>
      </c>
      <c r="GQ54" s="46"/>
      <c r="GR54">
        <v>375</v>
      </c>
      <c r="GS54">
        <v>350</v>
      </c>
      <c r="GT54">
        <v>431</v>
      </c>
      <c r="GU54">
        <v>400</v>
      </c>
      <c r="GV54" s="43">
        <v>56</v>
      </c>
      <c r="GW54" s="46"/>
      <c r="GX54" s="47"/>
      <c r="GZ54" s="43">
        <v>0</v>
      </c>
      <c r="HA54" s="46"/>
      <c r="HB54" s="45">
        <v>312</v>
      </c>
      <c r="HC54">
        <v>300</v>
      </c>
      <c r="HD54">
        <v>343</v>
      </c>
      <c r="HE54">
        <v>324</v>
      </c>
      <c r="HF54" s="43">
        <v>31</v>
      </c>
      <c r="HG54" s="46"/>
      <c r="HH54" s="45">
        <v>51</v>
      </c>
      <c r="HI54">
        <v>50</v>
      </c>
      <c r="HJ54" s="43">
        <v>1</v>
      </c>
      <c r="HK54" s="46"/>
      <c r="HL54" s="47"/>
      <c r="HP54" s="43">
        <v>0</v>
      </c>
      <c r="HQ54" s="46"/>
      <c r="HR54">
        <v>289</v>
      </c>
      <c r="HS54">
        <v>300</v>
      </c>
      <c r="HT54">
        <v>381</v>
      </c>
      <c r="HU54">
        <v>380</v>
      </c>
      <c r="HX54" s="42">
        <v>-10</v>
      </c>
      <c r="HY54" s="46">
        <v>10</v>
      </c>
      <c r="HZ54" s="47"/>
      <c r="IB54">
        <v>147</v>
      </c>
      <c r="IC54">
        <v>150</v>
      </c>
      <c r="ID54" s="43">
        <v>-3</v>
      </c>
      <c r="IE54" s="46"/>
      <c r="IH54">
        <v>172</v>
      </c>
      <c r="II54">
        <v>170</v>
      </c>
      <c r="IJ54" s="43">
        <v>2</v>
      </c>
      <c r="IK54" s="49"/>
      <c r="IL54">
        <v>401</v>
      </c>
      <c r="IM54">
        <v>400</v>
      </c>
      <c r="IN54">
        <v>579</v>
      </c>
      <c r="IO54">
        <v>580</v>
      </c>
      <c r="IP54" s="43">
        <v>0</v>
      </c>
      <c r="IQ54" s="49"/>
      <c r="IV54" s="43">
        <v>0</v>
      </c>
      <c r="IW54" s="49"/>
      <c r="IX54">
        <v>501</v>
      </c>
      <c r="IY54">
        <v>500</v>
      </c>
      <c r="IZ54">
        <v>403</v>
      </c>
      <c r="JA54">
        <v>400</v>
      </c>
      <c r="JB54" s="43">
        <v>4</v>
      </c>
      <c r="JC54" s="46"/>
      <c r="JD54">
        <v>52</v>
      </c>
      <c r="JE54">
        <v>50</v>
      </c>
      <c r="JF54" s="43">
        <v>2</v>
      </c>
      <c r="JG54" s="49"/>
      <c r="JH54">
        <v>181</v>
      </c>
      <c r="JI54">
        <v>180</v>
      </c>
      <c r="JJ54">
        <v>121</v>
      </c>
      <c r="JK54">
        <v>120</v>
      </c>
      <c r="JL54" s="43">
        <v>2</v>
      </c>
      <c r="JM54" s="46"/>
      <c r="JN54" s="45">
        <v>220</v>
      </c>
      <c r="JO54" s="48">
        <v>220</v>
      </c>
      <c r="JP54" s="43">
        <v>0</v>
      </c>
      <c r="JQ54" s="49"/>
      <c r="JT54">
        <v>203</v>
      </c>
      <c r="JU54">
        <v>200</v>
      </c>
      <c r="JV54" s="43">
        <v>3</v>
      </c>
      <c r="JW54" s="49"/>
      <c r="KB54" s="43">
        <v>0</v>
      </c>
      <c r="KC54" s="49"/>
      <c r="KD54">
        <v>252</v>
      </c>
      <c r="KE54">
        <v>250</v>
      </c>
      <c r="KF54">
        <v>368</v>
      </c>
      <c r="KG54">
        <v>360</v>
      </c>
      <c r="KH54" s="43">
        <v>10</v>
      </c>
      <c r="KI54" s="49"/>
      <c r="KJ54">
        <v>62</v>
      </c>
      <c r="KK54">
        <v>60</v>
      </c>
      <c r="KN54" s="43">
        <v>2</v>
      </c>
      <c r="KO54" s="49"/>
      <c r="KP54" s="45">
        <v>145</v>
      </c>
      <c r="KQ54">
        <v>140</v>
      </c>
      <c r="KR54">
        <v>202</v>
      </c>
      <c r="KS54">
        <v>200</v>
      </c>
      <c r="KT54">
        <v>101</v>
      </c>
      <c r="KU54">
        <v>140</v>
      </c>
      <c r="KV54" s="42">
        <v>-32</v>
      </c>
      <c r="KW54" s="49">
        <v>32</v>
      </c>
      <c r="KX54" s="48">
        <v>296.32499999999999</v>
      </c>
      <c r="KY54" s="48">
        <v>300</v>
      </c>
      <c r="KZ54" s="48">
        <v>357.95499999999998</v>
      </c>
      <c r="LA54" s="48">
        <v>350</v>
      </c>
      <c r="LB54" s="43">
        <v>4.2799999999999727</v>
      </c>
      <c r="LC54" s="49"/>
      <c r="LD54" s="48">
        <v>0</v>
      </c>
      <c r="LE54" s="48">
        <v>0</v>
      </c>
      <c r="LF54" s="48">
        <v>0</v>
      </c>
      <c r="LG54" s="48">
        <v>0</v>
      </c>
      <c r="LH54" s="43">
        <v>0</v>
      </c>
      <c r="LI54" s="49"/>
      <c r="LJ54" s="50">
        <v>62.188000000000002</v>
      </c>
      <c r="LK54" s="48">
        <v>60</v>
      </c>
      <c r="LL54" s="43">
        <v>2.1880000000000019</v>
      </c>
      <c r="LM54" s="49"/>
      <c r="LN54" s="50">
        <v>253.57499999999999</v>
      </c>
      <c r="LO54" s="48">
        <v>250</v>
      </c>
      <c r="LP54" s="48">
        <v>273.90699999999998</v>
      </c>
      <c r="LQ54" s="48">
        <v>0</v>
      </c>
      <c r="LR54" s="48">
        <v>240</v>
      </c>
      <c r="LS54" s="43">
        <v>37.481999999999971</v>
      </c>
      <c r="LT54" s="49"/>
      <c r="LU54" s="50">
        <v>143.50299999999999</v>
      </c>
      <c r="LV54" s="48">
        <v>140</v>
      </c>
      <c r="LW54" s="48">
        <v>181.92500000000001</v>
      </c>
      <c r="LX54" s="48">
        <v>190</v>
      </c>
      <c r="LY54" s="43">
        <v>-4.5720000000000027</v>
      </c>
      <c r="LZ54" s="49"/>
      <c r="MA54" s="50">
        <v>202.46799999999999</v>
      </c>
      <c r="MB54" s="48">
        <v>200</v>
      </c>
      <c r="MC54" s="43">
        <v>2.4679999999999889</v>
      </c>
      <c r="MD54" s="49"/>
      <c r="ME54" s="50">
        <v>223.55799999999999</v>
      </c>
      <c r="MF54" s="48">
        <v>220</v>
      </c>
      <c r="MG54" s="48">
        <v>397.81</v>
      </c>
      <c r="MH54" s="48">
        <v>400</v>
      </c>
      <c r="MI54" s="43">
        <v>1.3679999999999379</v>
      </c>
      <c r="MJ54" s="49"/>
      <c r="MK54" s="50">
        <v>492.803</v>
      </c>
      <c r="ML54" s="48">
        <v>490</v>
      </c>
      <c r="MM54" s="43">
        <v>2.8029999999999968</v>
      </c>
      <c r="MN54" s="49"/>
      <c r="MO54" s="50">
        <v>72.004000000000005</v>
      </c>
      <c r="MP54" s="48">
        <v>70</v>
      </c>
      <c r="MQ54" s="48">
        <v>348</v>
      </c>
      <c r="MR54" s="48">
        <v>344</v>
      </c>
      <c r="MS54" s="43">
        <v>6.0040000000000191</v>
      </c>
      <c r="MT54" s="49"/>
      <c r="MU54" s="48">
        <v>0</v>
      </c>
      <c r="MV54" s="46"/>
      <c r="MW54" s="48">
        <v>301.822</v>
      </c>
      <c r="MX54" s="48">
        <v>300</v>
      </c>
      <c r="MY54" s="43">
        <v>1.822000000000003</v>
      </c>
      <c r="MZ54" s="49"/>
      <c r="NA54" s="50">
        <v>151.91999999999999</v>
      </c>
      <c r="NB54" s="48">
        <v>150</v>
      </c>
      <c r="NC54" s="48">
        <v>226.44499999999999</v>
      </c>
      <c r="ND54" s="48">
        <v>230</v>
      </c>
      <c r="NE54" s="43">
        <v>-1.6349999999999909</v>
      </c>
      <c r="NF54" s="49"/>
      <c r="NG54" s="50">
        <v>0</v>
      </c>
      <c r="NH54" s="33">
        <v>150</v>
      </c>
      <c r="NI54" s="48">
        <v>302.084</v>
      </c>
      <c r="NJ54" s="48">
        <v>300</v>
      </c>
      <c r="NK54" s="42">
        <v>-147.916</v>
      </c>
      <c r="NL54" s="49">
        <v>147.916</v>
      </c>
      <c r="NM54" s="50">
        <v>120.881</v>
      </c>
      <c r="NN54" s="48">
        <v>120</v>
      </c>
      <c r="NO54" s="48">
        <v>181.00899999999999</v>
      </c>
      <c r="NP54" s="48">
        <v>180</v>
      </c>
      <c r="NQ54" s="43">
        <v>1.8899999999999859</v>
      </c>
      <c r="NR54" s="49"/>
      <c r="NS54" s="25">
        <v>100.726</v>
      </c>
      <c r="NT54" s="48">
        <v>200</v>
      </c>
      <c r="NU54" s="48">
        <v>381.21</v>
      </c>
      <c r="NV54" s="48">
        <v>380</v>
      </c>
      <c r="NW54" s="42">
        <v>-98.064000000000021</v>
      </c>
      <c r="NX54" s="49">
        <v>98.064000000000021</v>
      </c>
      <c r="NY54" s="50">
        <v>152.93700000000001</v>
      </c>
      <c r="NZ54" s="48">
        <v>150</v>
      </c>
      <c r="OA54" s="48">
        <v>173.94</v>
      </c>
      <c r="OB54" s="48">
        <v>172</v>
      </c>
      <c r="OC54" s="43">
        <v>4.8770000000000104</v>
      </c>
      <c r="OD54" s="49"/>
      <c r="OE54" s="50">
        <v>502.14299999999997</v>
      </c>
      <c r="OF54" s="48">
        <v>500</v>
      </c>
      <c r="OG54" s="43">
        <v>2.1429999999999718</v>
      </c>
      <c r="OH54" s="49"/>
      <c r="OI54" s="50">
        <v>496.27100000000002</v>
      </c>
      <c r="OJ54" s="48">
        <v>496</v>
      </c>
      <c r="OK54" s="43">
        <v>0.27100000000001501</v>
      </c>
      <c r="OL54" s="49"/>
      <c r="OM54" s="50">
        <v>0</v>
      </c>
      <c r="ON54" s="48">
        <v>0</v>
      </c>
      <c r="OO54" s="48">
        <v>71.266000000000005</v>
      </c>
      <c r="OP54" s="48">
        <v>70</v>
      </c>
      <c r="OQ54" s="43">
        <v>1.2660000000000049</v>
      </c>
      <c r="OR54" s="49"/>
      <c r="OS54" s="50">
        <v>251.13900000000001</v>
      </c>
      <c r="OT54" s="48">
        <v>250</v>
      </c>
      <c r="OU54" s="43">
        <v>1.13900000000001</v>
      </c>
      <c r="OV54" s="49"/>
      <c r="OW54" s="50">
        <v>492.86099999999999</v>
      </c>
      <c r="OX54" s="48">
        <v>500</v>
      </c>
      <c r="OY54" s="48">
        <v>411.221</v>
      </c>
      <c r="OZ54" s="48">
        <v>414</v>
      </c>
      <c r="PA54" s="43">
        <v>-9.9180000000000064</v>
      </c>
      <c r="PB54" s="49"/>
      <c r="PC54" s="50">
        <v>119.059</v>
      </c>
      <c r="PD54" s="48">
        <v>117</v>
      </c>
      <c r="PE54" s="43">
        <v>2.0589999999999971</v>
      </c>
      <c r="PF54" s="49"/>
      <c r="PG54" s="50">
        <v>0</v>
      </c>
      <c r="PH54" s="48">
        <v>0</v>
      </c>
      <c r="PI54" s="48">
        <v>161.79900000000001</v>
      </c>
      <c r="PJ54" s="48">
        <v>163</v>
      </c>
      <c r="PK54" s="43">
        <v>-1.200999999999993</v>
      </c>
      <c r="PL54" s="49"/>
      <c r="PM54" s="47">
        <v>0</v>
      </c>
      <c r="PN54" s="48">
        <v>0</v>
      </c>
      <c r="PO54" s="48">
        <v>118.788</v>
      </c>
      <c r="PP54" s="48">
        <v>120</v>
      </c>
      <c r="PQ54" s="43">
        <v>-1.2120000000000031</v>
      </c>
      <c r="PR54" s="49"/>
      <c r="PS54" s="47">
        <v>252.08099999999999</v>
      </c>
      <c r="PT54" s="43">
        <v>250</v>
      </c>
      <c r="PU54" s="43">
        <v>246.59899999999999</v>
      </c>
      <c r="PV54" s="43">
        <v>250</v>
      </c>
      <c r="PW54" s="43">
        <v>-1.32000000000005</v>
      </c>
      <c r="PX54" s="46"/>
      <c r="PY54" s="47">
        <v>498.24799999999999</v>
      </c>
      <c r="PZ54" s="43">
        <v>500</v>
      </c>
      <c r="QA54" s="43">
        <v>-1.75200000000001</v>
      </c>
      <c r="QB54" s="46"/>
      <c r="QC54" s="47">
        <v>0</v>
      </c>
      <c r="QD54" s="43">
        <v>0</v>
      </c>
      <c r="QE54" s="43">
        <v>0</v>
      </c>
      <c r="QF54" s="43">
        <v>0</v>
      </c>
      <c r="QG54" s="43">
        <v>0</v>
      </c>
      <c r="QH54" s="46"/>
      <c r="QI54" s="47">
        <v>352.09199999999998</v>
      </c>
      <c r="QJ54" s="43">
        <v>350</v>
      </c>
      <c r="QK54" s="43">
        <v>551.05399999999997</v>
      </c>
      <c r="QL54" s="43">
        <v>550</v>
      </c>
      <c r="QM54" s="43">
        <v>3.1459999999999582</v>
      </c>
      <c r="QN54" s="46"/>
      <c r="QO54" s="47">
        <v>72.233000000000004</v>
      </c>
      <c r="QP54" s="43">
        <v>70</v>
      </c>
      <c r="QQ54" s="43">
        <v>148.744</v>
      </c>
      <c r="QR54" s="43">
        <v>80</v>
      </c>
      <c r="QS54" s="43">
        <v>70.977000000000004</v>
      </c>
      <c r="QT54" s="46"/>
      <c r="QU54" s="47">
        <v>0</v>
      </c>
      <c r="QV54" s="43">
        <v>0</v>
      </c>
      <c r="QW54" s="43">
        <v>0</v>
      </c>
      <c r="QX54" s="46"/>
      <c r="QY54" s="47">
        <v>300.13200000000001</v>
      </c>
      <c r="QZ54" s="43">
        <v>300</v>
      </c>
      <c r="RA54" s="43">
        <v>300.39</v>
      </c>
      <c r="RB54" s="43">
        <v>300</v>
      </c>
      <c r="RC54" s="43">
        <v>0.52199999999993452</v>
      </c>
      <c r="RD54" s="46"/>
    </row>
    <row r="55" spans="1:472" x14ac:dyDescent="0.25">
      <c r="A55" s="43" t="s">
        <v>343</v>
      </c>
      <c r="B55" s="44">
        <v>1</v>
      </c>
      <c r="I55" s="47"/>
      <c r="J55" s="51"/>
      <c r="K55" s="51"/>
      <c r="L55" s="51"/>
      <c r="M55" s="51">
        <f t="shared" si="8"/>
        <v>0</v>
      </c>
      <c r="N55" s="46"/>
      <c r="O55" s="47"/>
      <c r="P55" s="51"/>
      <c r="Q55" s="51"/>
      <c r="R55" s="51"/>
      <c r="S55" s="51">
        <f t="shared" si="9"/>
        <v>0</v>
      </c>
      <c r="T55" s="46"/>
      <c r="U55" s="47"/>
      <c r="V55" s="51"/>
      <c r="W55" s="51"/>
      <c r="X55" s="51"/>
      <c r="Y55" s="51">
        <f t="shared" si="10"/>
        <v>0</v>
      </c>
      <c r="Z55" s="46"/>
      <c r="AA55" s="51"/>
      <c r="AE55" s="43">
        <v>0</v>
      </c>
      <c r="AF55" s="46"/>
      <c r="AG55" s="47"/>
      <c r="AK55" s="43">
        <v>0</v>
      </c>
      <c r="AL55" s="46"/>
      <c r="AQ55" s="43">
        <v>0</v>
      </c>
      <c r="AR55" s="46"/>
      <c r="AW55" s="43">
        <v>0</v>
      </c>
      <c r="AX55" s="46"/>
      <c r="AY55" s="47"/>
      <c r="BC55" s="43">
        <v>0</v>
      </c>
      <c r="BD55" s="46"/>
      <c r="BE55" s="47"/>
      <c r="BI55" s="43">
        <v>0</v>
      </c>
      <c r="BJ55" s="46"/>
      <c r="BP55" s="43">
        <v>0</v>
      </c>
      <c r="BQ55" s="46"/>
      <c r="BT55" s="43">
        <v>0</v>
      </c>
      <c r="BU55" s="46"/>
      <c r="BV55" s="47"/>
      <c r="BZ55" s="43">
        <v>0</v>
      </c>
      <c r="CA55" s="46"/>
      <c r="CF55" s="43">
        <v>0</v>
      </c>
      <c r="CG55" s="46"/>
      <c r="CL55" s="43">
        <v>0</v>
      </c>
      <c r="CM55" s="46"/>
      <c r="CN55" s="47"/>
      <c r="CR55" s="43">
        <v>0</v>
      </c>
      <c r="CS55" s="46"/>
      <c r="CX55" s="43">
        <v>0</v>
      </c>
      <c r="CY55" s="46"/>
      <c r="CZ55" s="47"/>
      <c r="DD55" s="43">
        <v>0</v>
      </c>
      <c r="DE55" s="46"/>
      <c r="DF55" s="47"/>
      <c r="DL55" s="43">
        <v>0</v>
      </c>
      <c r="DM55" s="46"/>
      <c r="DN55" s="47"/>
      <c r="DR55" s="43">
        <v>0</v>
      </c>
      <c r="DS55" s="46"/>
      <c r="DZ55" s="43">
        <v>0</v>
      </c>
      <c r="EA55" s="46"/>
      <c r="EB55" s="47"/>
      <c r="EF55" s="43">
        <v>0</v>
      </c>
      <c r="EG55" s="46"/>
      <c r="EH55" s="47"/>
      <c r="EL55" s="43">
        <v>0</v>
      </c>
      <c r="EM55" s="46"/>
      <c r="EN55" s="47"/>
      <c r="ER55" s="43">
        <v>0</v>
      </c>
      <c r="ES55" s="46"/>
      <c r="EZ55" s="43">
        <v>0</v>
      </c>
      <c r="FA55" s="46"/>
      <c r="FG55" s="43">
        <v>0</v>
      </c>
      <c r="FH55" s="46"/>
      <c r="FI55" s="47"/>
      <c r="FL55" s="43">
        <v>0</v>
      </c>
      <c r="FM55" s="46"/>
      <c r="FN55" s="47"/>
      <c r="FQ55" s="43">
        <v>0</v>
      </c>
      <c r="FR55" s="46"/>
      <c r="FW55" s="43">
        <v>0</v>
      </c>
      <c r="FX55" s="46"/>
      <c r="FY55" s="47"/>
      <c r="GD55" s="43">
        <v>0</v>
      </c>
      <c r="GE55" s="46"/>
      <c r="GJ55" s="43">
        <v>0</v>
      </c>
      <c r="GK55" s="46"/>
      <c r="GL55" s="47"/>
      <c r="GP55" s="43">
        <v>0</v>
      </c>
      <c r="GQ55" s="46"/>
      <c r="GV55" s="43">
        <v>0</v>
      </c>
      <c r="GW55" s="46"/>
      <c r="GX55" s="47"/>
      <c r="GZ55" s="43">
        <v>0</v>
      </c>
      <c r="HA55" s="46"/>
      <c r="HB55" s="47"/>
      <c r="HF55" s="43">
        <v>0</v>
      </c>
      <c r="HG55" s="46"/>
      <c r="HH55" s="47"/>
      <c r="HJ55" s="43">
        <v>0</v>
      </c>
      <c r="HK55" s="46"/>
      <c r="HL55" s="47"/>
      <c r="HP55" s="43">
        <v>0</v>
      </c>
      <c r="HQ55" s="46"/>
      <c r="HX55" s="43">
        <v>0</v>
      </c>
      <c r="HY55" s="46"/>
      <c r="HZ55" s="47"/>
      <c r="ID55" s="43">
        <v>0</v>
      </c>
      <c r="IE55" s="46"/>
      <c r="IJ55" s="43">
        <v>0</v>
      </c>
      <c r="IK55" s="49"/>
      <c r="IP55" s="43">
        <v>0</v>
      </c>
      <c r="IQ55" s="49"/>
      <c r="IV55" s="43">
        <v>0</v>
      </c>
      <c r="IW55" s="49"/>
      <c r="JB55" s="43">
        <v>0</v>
      </c>
      <c r="JC55" s="46"/>
      <c r="JF55" s="43">
        <v>0</v>
      </c>
      <c r="JG55" s="49"/>
      <c r="JL55" s="43">
        <v>0</v>
      </c>
      <c r="JM55" s="46"/>
      <c r="JN55" s="50"/>
      <c r="JP55" s="43">
        <v>0</v>
      </c>
      <c r="JQ55" s="49"/>
      <c r="JV55" s="43">
        <v>0</v>
      </c>
      <c r="JW55" s="49"/>
      <c r="KB55" s="43">
        <v>0</v>
      </c>
      <c r="KC55" s="49"/>
      <c r="KH55" s="43">
        <v>0</v>
      </c>
      <c r="KI55" s="49"/>
      <c r="KN55" s="43">
        <v>0</v>
      </c>
      <c r="KO55" s="49"/>
      <c r="KP55" s="50"/>
      <c r="KV55" s="43">
        <v>0</v>
      </c>
      <c r="KW55" s="49"/>
      <c r="KX55" s="48">
        <v>0</v>
      </c>
      <c r="KY55" s="48">
        <v>0</v>
      </c>
      <c r="KZ55" s="48">
        <v>0</v>
      </c>
      <c r="LA55" s="48">
        <v>0</v>
      </c>
      <c r="LB55" s="43">
        <v>0</v>
      </c>
      <c r="LC55" s="49"/>
      <c r="LD55" s="48">
        <v>0</v>
      </c>
      <c r="LE55" s="48">
        <v>0</v>
      </c>
      <c r="LF55" s="48">
        <v>0</v>
      </c>
      <c r="LG55" s="48">
        <v>0</v>
      </c>
      <c r="LH55" s="43">
        <v>0</v>
      </c>
      <c r="LI55" s="49"/>
      <c r="LJ55" s="50">
        <v>0</v>
      </c>
      <c r="LK55" s="48">
        <v>0</v>
      </c>
      <c r="LL55" s="43">
        <v>0</v>
      </c>
      <c r="LM55" s="49"/>
      <c r="LN55" s="50">
        <v>0</v>
      </c>
      <c r="LO55" s="48">
        <v>0</v>
      </c>
      <c r="LP55" s="48">
        <v>0</v>
      </c>
      <c r="LQ55" s="48">
        <v>0</v>
      </c>
      <c r="LR55" s="48">
        <v>0</v>
      </c>
      <c r="LS55" s="43">
        <v>0</v>
      </c>
      <c r="LT55" s="49"/>
      <c r="LU55" s="50">
        <v>0</v>
      </c>
      <c r="LV55" s="48">
        <v>0</v>
      </c>
      <c r="LW55" s="48">
        <v>0</v>
      </c>
      <c r="LX55" s="48">
        <v>0</v>
      </c>
      <c r="LY55" s="43">
        <v>0</v>
      </c>
      <c r="LZ55" s="49"/>
      <c r="MA55" s="50">
        <v>0</v>
      </c>
      <c r="MB55" s="48">
        <v>0</v>
      </c>
      <c r="MC55" s="43">
        <v>0</v>
      </c>
      <c r="MD55" s="49"/>
      <c r="ME55" s="50">
        <v>0</v>
      </c>
      <c r="MF55" s="48">
        <v>0</v>
      </c>
      <c r="MG55" s="48">
        <v>0</v>
      </c>
      <c r="MH55" s="48">
        <v>0</v>
      </c>
      <c r="MI55" s="43">
        <v>0</v>
      </c>
      <c r="MJ55" s="49"/>
      <c r="MK55" s="50">
        <v>0</v>
      </c>
      <c r="ML55" s="48">
        <v>0</v>
      </c>
      <c r="MM55" s="43">
        <v>0</v>
      </c>
      <c r="MN55" s="49"/>
      <c r="MO55" s="50">
        <v>0</v>
      </c>
      <c r="MP55" s="48">
        <v>0</v>
      </c>
      <c r="MQ55" s="48">
        <v>0</v>
      </c>
      <c r="MR55" s="48">
        <v>0</v>
      </c>
      <c r="MS55" s="43">
        <v>0</v>
      </c>
      <c r="MT55" s="49"/>
      <c r="MU55" s="48">
        <v>0</v>
      </c>
      <c r="MV55" s="46"/>
      <c r="MW55" s="48">
        <v>0</v>
      </c>
      <c r="MX55" s="48">
        <v>0</v>
      </c>
      <c r="MY55" s="43">
        <v>0</v>
      </c>
      <c r="MZ55" s="49"/>
      <c r="NA55" s="50">
        <v>0</v>
      </c>
      <c r="NB55" s="48">
        <v>0</v>
      </c>
      <c r="NC55" s="48">
        <v>0</v>
      </c>
      <c r="ND55" s="48">
        <v>0</v>
      </c>
      <c r="NE55" s="43">
        <v>0</v>
      </c>
      <c r="NF55" s="49"/>
      <c r="NG55" s="50">
        <v>0</v>
      </c>
      <c r="NH55" s="48">
        <v>0</v>
      </c>
      <c r="NI55" s="48">
        <v>0</v>
      </c>
      <c r="NJ55" s="48">
        <v>0</v>
      </c>
      <c r="NK55" s="43">
        <v>0</v>
      </c>
      <c r="NL55" s="49"/>
      <c r="NM55" s="50">
        <v>0</v>
      </c>
      <c r="NN55" s="48">
        <v>0</v>
      </c>
      <c r="NO55" s="48">
        <v>0</v>
      </c>
      <c r="NP55" s="48">
        <v>0</v>
      </c>
      <c r="NQ55" s="43">
        <v>0</v>
      </c>
      <c r="NR55" s="49"/>
      <c r="NS55" s="50">
        <v>0</v>
      </c>
      <c r="NT55" s="48">
        <v>0</v>
      </c>
      <c r="NU55" s="48">
        <v>0</v>
      </c>
      <c r="NV55" s="48">
        <v>0</v>
      </c>
      <c r="NW55" s="43">
        <v>0</v>
      </c>
      <c r="NX55" s="49"/>
      <c r="NY55" s="50">
        <v>0</v>
      </c>
      <c r="NZ55" s="48">
        <v>0</v>
      </c>
      <c r="OA55" s="48">
        <v>0</v>
      </c>
      <c r="OB55" s="48">
        <v>0</v>
      </c>
      <c r="OC55" s="43">
        <v>0</v>
      </c>
      <c r="OD55" s="49"/>
      <c r="OE55" s="50">
        <v>0</v>
      </c>
      <c r="OF55" s="48">
        <v>0</v>
      </c>
      <c r="OG55" s="43">
        <v>0</v>
      </c>
      <c r="OH55" s="49"/>
      <c r="OI55" s="50">
        <v>0</v>
      </c>
      <c r="OJ55" s="48">
        <v>0</v>
      </c>
      <c r="OK55" s="43">
        <v>0</v>
      </c>
      <c r="OL55" s="49"/>
      <c r="OM55" s="50">
        <v>0</v>
      </c>
      <c r="ON55" s="48">
        <v>0</v>
      </c>
      <c r="OO55" s="48">
        <v>0</v>
      </c>
      <c r="OP55" s="48">
        <v>0</v>
      </c>
      <c r="OQ55" s="43">
        <v>0</v>
      </c>
      <c r="OR55" s="49"/>
      <c r="OS55" s="50">
        <v>0</v>
      </c>
      <c r="OT55" s="48">
        <v>0</v>
      </c>
      <c r="OU55" s="43">
        <v>0</v>
      </c>
      <c r="OV55" s="49"/>
      <c r="OW55" s="50">
        <v>0</v>
      </c>
      <c r="OX55" s="48">
        <v>0</v>
      </c>
      <c r="OY55" s="48">
        <v>0</v>
      </c>
      <c r="OZ55" s="48">
        <v>0</v>
      </c>
      <c r="PA55" s="43">
        <v>0</v>
      </c>
      <c r="PB55" s="49"/>
      <c r="PC55" s="50">
        <v>0</v>
      </c>
      <c r="PD55" s="48">
        <v>0</v>
      </c>
      <c r="PE55" s="43">
        <v>0</v>
      </c>
      <c r="PF55" s="49"/>
      <c r="PG55" s="50">
        <v>0</v>
      </c>
      <c r="PH55" s="48">
        <v>0</v>
      </c>
      <c r="PI55" s="48">
        <v>0</v>
      </c>
      <c r="PJ55" s="48">
        <v>0</v>
      </c>
      <c r="PK55" s="43">
        <v>0</v>
      </c>
      <c r="PL55" s="49"/>
      <c r="PM55" s="47">
        <v>0</v>
      </c>
      <c r="PN55" s="48">
        <v>0</v>
      </c>
      <c r="PO55" s="48">
        <v>0</v>
      </c>
      <c r="PP55" s="48">
        <v>0</v>
      </c>
      <c r="PQ55" s="43">
        <v>0</v>
      </c>
      <c r="PR55" s="49"/>
      <c r="PS55" s="47">
        <v>0</v>
      </c>
      <c r="PT55" s="13">
        <v>60</v>
      </c>
      <c r="PU55" s="43">
        <v>0</v>
      </c>
      <c r="PV55" s="43">
        <v>0</v>
      </c>
      <c r="PW55" s="42">
        <v>-60</v>
      </c>
      <c r="PX55" s="46">
        <v>60</v>
      </c>
      <c r="PY55" s="47">
        <v>0</v>
      </c>
      <c r="PZ55" s="43">
        <v>130</v>
      </c>
      <c r="QA55" s="42">
        <v>-130</v>
      </c>
      <c r="QB55" s="46">
        <v>130</v>
      </c>
      <c r="QC55" s="47">
        <v>59.267000000000003</v>
      </c>
      <c r="QD55" s="43">
        <v>59</v>
      </c>
      <c r="QE55" s="43">
        <v>0</v>
      </c>
      <c r="QF55" s="43">
        <v>70</v>
      </c>
      <c r="QG55" s="42">
        <v>-69.733000000000004</v>
      </c>
      <c r="QH55" s="46">
        <v>69.733000000000004</v>
      </c>
      <c r="QI55" s="47">
        <v>0</v>
      </c>
      <c r="QJ55" s="43">
        <v>0</v>
      </c>
      <c r="QK55" s="43">
        <v>0</v>
      </c>
      <c r="QL55" s="43">
        <v>0</v>
      </c>
      <c r="QM55" s="43">
        <v>0</v>
      </c>
      <c r="QN55" s="46"/>
      <c r="QO55" s="47">
        <v>67.935000000000002</v>
      </c>
      <c r="QP55" s="43">
        <v>69</v>
      </c>
      <c r="QQ55" s="43">
        <v>50.942</v>
      </c>
      <c r="QR55" s="43">
        <v>70</v>
      </c>
      <c r="QS55" s="42">
        <v>-20.12299999999999</v>
      </c>
      <c r="QT55" s="46">
        <v>20.12299999999999</v>
      </c>
      <c r="QU55" s="47">
        <v>102.377</v>
      </c>
      <c r="QV55" s="43">
        <v>100</v>
      </c>
      <c r="QW55" s="43">
        <v>2.3769999999999949</v>
      </c>
      <c r="QX55" s="46"/>
      <c r="QY55" s="47">
        <v>0</v>
      </c>
      <c r="QZ55" s="43">
        <v>0</v>
      </c>
      <c r="RA55" s="43">
        <v>53.868000000000002</v>
      </c>
      <c r="RB55" s="43">
        <v>53</v>
      </c>
      <c r="RC55" s="43">
        <v>0.8680000000000021</v>
      </c>
      <c r="RD55" s="46"/>
    </row>
    <row r="56" spans="1:472" x14ac:dyDescent="0.25">
      <c r="A56" s="43" t="s">
        <v>344</v>
      </c>
      <c r="B56" s="44">
        <v>0.4</v>
      </c>
      <c r="E56">
        <v>80</v>
      </c>
      <c r="F56">
        <v>99</v>
      </c>
      <c r="I56" s="45">
        <v>24</v>
      </c>
      <c r="J56" s="52">
        <v>24</v>
      </c>
      <c r="K56" s="52">
        <v>64</v>
      </c>
      <c r="L56" s="52">
        <v>68</v>
      </c>
      <c r="M56" s="51">
        <f t="shared" si="8"/>
        <v>-4</v>
      </c>
      <c r="N56" s="46"/>
      <c r="O56" s="47"/>
      <c r="P56" s="51"/>
      <c r="Q56" s="51"/>
      <c r="R56" s="51"/>
      <c r="S56" s="51">
        <f t="shared" si="9"/>
        <v>0</v>
      </c>
      <c r="T56" s="46"/>
      <c r="U56" s="45">
        <v>160</v>
      </c>
      <c r="V56" s="52">
        <v>160</v>
      </c>
      <c r="W56" s="52">
        <v>160</v>
      </c>
      <c r="X56" s="52">
        <v>163</v>
      </c>
      <c r="Y56" s="51">
        <f t="shared" si="10"/>
        <v>-3</v>
      </c>
      <c r="Z56" s="46"/>
      <c r="AA56" s="51"/>
      <c r="AE56" s="43">
        <v>0</v>
      </c>
      <c r="AF56" s="46"/>
      <c r="AG56" s="45">
        <v>152</v>
      </c>
      <c r="AH56">
        <v>152</v>
      </c>
      <c r="AI56">
        <v>168</v>
      </c>
      <c r="AJ56">
        <v>172</v>
      </c>
      <c r="AK56" s="43">
        <v>-4</v>
      </c>
      <c r="AL56" s="46"/>
      <c r="AQ56" s="43">
        <v>0</v>
      </c>
      <c r="AR56" s="46"/>
      <c r="AS56">
        <v>72</v>
      </c>
      <c r="AT56">
        <v>70</v>
      </c>
      <c r="AU56">
        <v>72</v>
      </c>
      <c r="AV56">
        <v>76</v>
      </c>
      <c r="AW56" s="43">
        <v>-2</v>
      </c>
      <c r="AX56" s="46"/>
      <c r="AY56" s="47"/>
      <c r="BA56">
        <v>48</v>
      </c>
      <c r="BB56">
        <v>49</v>
      </c>
      <c r="BC56" s="43">
        <v>-1</v>
      </c>
      <c r="BD56" s="46"/>
      <c r="BE56" s="47"/>
      <c r="BF56">
        <v>37</v>
      </c>
      <c r="BI56" s="42">
        <v>-37</v>
      </c>
      <c r="BJ56" s="46">
        <v>14.8</v>
      </c>
      <c r="BK56">
        <v>80</v>
      </c>
      <c r="BL56">
        <v>80</v>
      </c>
      <c r="BN56">
        <v>56</v>
      </c>
      <c r="BO56">
        <v>55</v>
      </c>
      <c r="BP56" s="43">
        <v>1</v>
      </c>
      <c r="BQ56" s="46"/>
      <c r="BT56" s="43">
        <v>0</v>
      </c>
      <c r="BU56" s="46"/>
      <c r="BV56" s="45">
        <v>32</v>
      </c>
      <c r="BW56">
        <v>37</v>
      </c>
      <c r="BX56">
        <v>256</v>
      </c>
      <c r="BY56">
        <v>257</v>
      </c>
      <c r="BZ56" s="43">
        <v>-6</v>
      </c>
      <c r="CA56" s="46"/>
      <c r="CB56">
        <v>48</v>
      </c>
      <c r="CC56">
        <v>48</v>
      </c>
      <c r="CD56">
        <v>104</v>
      </c>
      <c r="CE56">
        <v>103</v>
      </c>
      <c r="CF56" s="43">
        <v>1</v>
      </c>
      <c r="CG56" s="46"/>
      <c r="CL56" s="43">
        <v>0</v>
      </c>
      <c r="CM56" s="46"/>
      <c r="CN56" s="47"/>
      <c r="CP56">
        <v>312</v>
      </c>
      <c r="CQ56">
        <v>314</v>
      </c>
      <c r="CR56" s="43">
        <v>-2</v>
      </c>
      <c r="CS56" s="46"/>
      <c r="CX56" s="43">
        <v>0</v>
      </c>
      <c r="CY56" s="46"/>
      <c r="CZ56" s="47"/>
      <c r="DB56">
        <v>72</v>
      </c>
      <c r="DC56">
        <v>73</v>
      </c>
      <c r="DD56" s="43">
        <v>-1</v>
      </c>
      <c r="DE56" s="46"/>
      <c r="DF56" s="47"/>
      <c r="DL56" s="43">
        <v>0</v>
      </c>
      <c r="DM56" s="46"/>
      <c r="DN56" s="47"/>
      <c r="DR56" s="43">
        <v>0</v>
      </c>
      <c r="DS56" s="46"/>
      <c r="DV56">
        <v>272</v>
      </c>
      <c r="DW56">
        <v>270</v>
      </c>
      <c r="DX56">
        <v>120</v>
      </c>
      <c r="DY56">
        <v>120</v>
      </c>
      <c r="DZ56" s="43">
        <v>2</v>
      </c>
      <c r="EA56" s="46"/>
      <c r="EB56" s="47"/>
      <c r="EF56" s="43">
        <v>0</v>
      </c>
      <c r="EG56" s="46"/>
      <c r="EH56" s="47"/>
      <c r="EJ56">
        <v>208</v>
      </c>
      <c r="EK56">
        <v>210</v>
      </c>
      <c r="EL56" s="43">
        <v>-2</v>
      </c>
      <c r="EM56" s="46"/>
      <c r="EN56" s="45">
        <v>40</v>
      </c>
      <c r="EO56">
        <v>40</v>
      </c>
      <c r="ER56" s="43">
        <v>0</v>
      </c>
      <c r="ES56" s="46"/>
      <c r="ET56">
        <v>40</v>
      </c>
      <c r="EU56">
        <v>40</v>
      </c>
      <c r="EV56">
        <v>40</v>
      </c>
      <c r="EW56">
        <v>40</v>
      </c>
      <c r="EX56">
        <v>40</v>
      </c>
      <c r="EY56">
        <v>40</v>
      </c>
      <c r="EZ56" s="43">
        <v>0</v>
      </c>
      <c r="FA56" s="46"/>
      <c r="FD56">
        <v>176</v>
      </c>
      <c r="FF56">
        <v>180</v>
      </c>
      <c r="FG56" s="43">
        <v>-4</v>
      </c>
      <c r="FH56" s="46"/>
      <c r="FI56" s="47"/>
      <c r="FL56" s="43">
        <v>0</v>
      </c>
      <c r="FM56" s="46"/>
      <c r="FN56" s="45">
        <v>224</v>
      </c>
      <c r="FP56">
        <v>222</v>
      </c>
      <c r="FQ56" s="43">
        <v>2</v>
      </c>
      <c r="FR56" s="46"/>
      <c r="FS56">
        <v>32</v>
      </c>
      <c r="FV56">
        <v>30</v>
      </c>
      <c r="FW56" s="43">
        <v>2</v>
      </c>
      <c r="FX56" s="46"/>
      <c r="FY56" s="47"/>
      <c r="GB56">
        <v>72</v>
      </c>
      <c r="GC56">
        <v>70</v>
      </c>
      <c r="GD56" s="43">
        <v>2</v>
      </c>
      <c r="GE56" s="46"/>
      <c r="GF56">
        <v>40</v>
      </c>
      <c r="GG56">
        <v>40</v>
      </c>
      <c r="GH56">
        <v>40</v>
      </c>
      <c r="GI56">
        <v>40</v>
      </c>
      <c r="GJ56" s="43">
        <v>0</v>
      </c>
      <c r="GK56" s="46"/>
      <c r="GL56" s="47"/>
      <c r="GN56">
        <v>112</v>
      </c>
      <c r="GO56">
        <v>110</v>
      </c>
      <c r="GP56" s="43">
        <v>2</v>
      </c>
      <c r="GQ56" s="46"/>
      <c r="GT56">
        <v>168</v>
      </c>
      <c r="GU56">
        <v>170</v>
      </c>
      <c r="GV56" s="43">
        <v>-2</v>
      </c>
      <c r="GW56" s="46"/>
      <c r="GX56" s="45">
        <v>48</v>
      </c>
      <c r="GY56" s="48">
        <v>50</v>
      </c>
      <c r="GZ56" s="43">
        <v>-2</v>
      </c>
      <c r="HA56" s="46"/>
      <c r="HB56" s="47"/>
      <c r="HF56" s="43">
        <v>0</v>
      </c>
      <c r="HG56" s="46"/>
      <c r="HH56" s="45">
        <v>320</v>
      </c>
      <c r="HI56">
        <v>324</v>
      </c>
      <c r="HJ56" s="43">
        <v>-4</v>
      </c>
      <c r="HK56" s="46"/>
      <c r="HL56" s="47"/>
      <c r="HP56" s="43">
        <v>0</v>
      </c>
      <c r="HQ56" s="46"/>
      <c r="HT56">
        <v>216</v>
      </c>
      <c r="HU56">
        <v>220</v>
      </c>
      <c r="HV56">
        <v>80</v>
      </c>
      <c r="HW56">
        <v>80</v>
      </c>
      <c r="HX56" s="43">
        <v>-4</v>
      </c>
      <c r="HY56" s="46"/>
      <c r="HZ56" s="47"/>
      <c r="IB56">
        <v>16</v>
      </c>
      <c r="IC56">
        <v>16</v>
      </c>
      <c r="ID56" s="43">
        <v>0</v>
      </c>
      <c r="IE56" s="46"/>
      <c r="IJ56" s="43">
        <v>0</v>
      </c>
      <c r="IK56" s="49"/>
      <c r="IL56">
        <v>96</v>
      </c>
      <c r="IM56">
        <v>100</v>
      </c>
      <c r="IN56">
        <v>120</v>
      </c>
      <c r="IO56">
        <v>120</v>
      </c>
      <c r="IP56" s="43">
        <v>-4</v>
      </c>
      <c r="IQ56" s="49"/>
      <c r="IR56">
        <v>48</v>
      </c>
      <c r="IS56">
        <v>48</v>
      </c>
      <c r="IV56" s="43">
        <v>0</v>
      </c>
      <c r="IW56" s="49"/>
      <c r="JB56" s="43">
        <v>0</v>
      </c>
      <c r="JC56" s="46"/>
      <c r="JD56">
        <v>48</v>
      </c>
      <c r="JE56">
        <v>50</v>
      </c>
      <c r="JF56" s="43">
        <v>-2</v>
      </c>
      <c r="JG56" s="49"/>
      <c r="JH56">
        <v>72</v>
      </c>
      <c r="JI56">
        <v>70</v>
      </c>
      <c r="JJ56">
        <v>64</v>
      </c>
      <c r="JK56">
        <v>62</v>
      </c>
      <c r="JL56" s="43">
        <v>4</v>
      </c>
      <c r="JM56" s="46"/>
      <c r="JN56" s="50"/>
      <c r="JP56" s="43">
        <v>0</v>
      </c>
      <c r="JQ56" s="49"/>
      <c r="JV56" s="43">
        <v>0</v>
      </c>
      <c r="JW56" s="49"/>
      <c r="KB56" s="43">
        <v>0</v>
      </c>
      <c r="KC56" s="49"/>
      <c r="KD56">
        <v>48</v>
      </c>
      <c r="KE56">
        <v>50</v>
      </c>
      <c r="KF56">
        <v>80</v>
      </c>
      <c r="KG56">
        <v>80</v>
      </c>
      <c r="KH56" s="43">
        <v>-2</v>
      </c>
      <c r="KI56" s="49"/>
      <c r="KN56" s="43">
        <v>0</v>
      </c>
      <c r="KO56" s="49"/>
      <c r="KP56" s="45">
        <v>56</v>
      </c>
      <c r="KQ56">
        <v>60</v>
      </c>
      <c r="KR56">
        <v>72</v>
      </c>
      <c r="KS56">
        <v>70</v>
      </c>
      <c r="KT56">
        <v>56</v>
      </c>
      <c r="KU56">
        <v>70</v>
      </c>
      <c r="KV56" s="43">
        <v>-16</v>
      </c>
      <c r="KW56" s="49"/>
      <c r="KX56" s="48">
        <v>0</v>
      </c>
      <c r="KY56" s="48">
        <v>0</v>
      </c>
      <c r="KZ56" s="48">
        <v>48</v>
      </c>
      <c r="LA56" s="48">
        <v>50</v>
      </c>
      <c r="LB56" s="43">
        <v>-2</v>
      </c>
      <c r="LC56" s="49"/>
      <c r="LD56" s="48">
        <v>0</v>
      </c>
      <c r="LE56" s="48">
        <v>0</v>
      </c>
      <c r="LF56" s="48">
        <v>40</v>
      </c>
      <c r="LG56" s="48">
        <v>40</v>
      </c>
      <c r="LH56" s="43">
        <v>0</v>
      </c>
      <c r="LI56" s="49"/>
      <c r="LJ56" s="50">
        <v>96</v>
      </c>
      <c r="LK56" s="48">
        <v>100</v>
      </c>
      <c r="LL56" s="43">
        <v>-4</v>
      </c>
      <c r="LM56" s="49"/>
      <c r="LN56" s="50">
        <v>40</v>
      </c>
      <c r="LO56" s="48">
        <v>40</v>
      </c>
      <c r="LP56" s="48">
        <v>0</v>
      </c>
      <c r="LQ56" s="48">
        <v>0</v>
      </c>
      <c r="LR56" s="48">
        <v>0</v>
      </c>
      <c r="LS56" s="43">
        <v>0</v>
      </c>
      <c r="LT56" s="49"/>
      <c r="LU56" s="50">
        <v>0</v>
      </c>
      <c r="LV56" s="48">
        <v>0</v>
      </c>
      <c r="LW56" s="48">
        <v>0</v>
      </c>
      <c r="LX56" s="48">
        <v>0</v>
      </c>
      <c r="LY56" s="43">
        <v>0</v>
      </c>
      <c r="LZ56" s="49"/>
      <c r="MA56" s="50">
        <v>192</v>
      </c>
      <c r="MB56" s="48">
        <v>190</v>
      </c>
      <c r="MC56" s="43">
        <v>2</v>
      </c>
      <c r="MD56" s="49"/>
      <c r="ME56" s="50">
        <v>0</v>
      </c>
      <c r="MF56" s="48">
        <v>0</v>
      </c>
      <c r="MG56" s="48">
        <v>40</v>
      </c>
      <c r="MH56" s="48">
        <v>40</v>
      </c>
      <c r="MI56" s="43">
        <v>0</v>
      </c>
      <c r="MJ56" s="49"/>
      <c r="MK56" s="50">
        <v>40</v>
      </c>
      <c r="ML56" s="48">
        <v>40</v>
      </c>
      <c r="MM56" s="43">
        <v>0</v>
      </c>
      <c r="MN56" s="49"/>
      <c r="MO56" s="50">
        <v>80</v>
      </c>
      <c r="MP56" s="48">
        <v>80</v>
      </c>
      <c r="MQ56" s="48">
        <v>0</v>
      </c>
      <c r="MR56" s="48">
        <v>0</v>
      </c>
      <c r="MS56" s="43">
        <v>0</v>
      </c>
      <c r="MT56" s="49"/>
      <c r="MU56" s="48">
        <v>0</v>
      </c>
      <c r="MV56" s="46"/>
      <c r="MZ56" s="49"/>
      <c r="NA56" s="50"/>
      <c r="NF56" s="49"/>
      <c r="NG56" s="50"/>
      <c r="NL56" s="49"/>
      <c r="NM56" s="50"/>
      <c r="NR56" s="49"/>
      <c r="NS56" s="50"/>
      <c r="NX56" s="49"/>
      <c r="NY56" s="50"/>
      <c r="OD56" s="49"/>
      <c r="OE56" s="50"/>
      <c r="OH56" s="49"/>
      <c r="OI56" s="50"/>
      <c r="OL56" s="49"/>
      <c r="OM56" s="50"/>
      <c r="OR56" s="49"/>
      <c r="OS56" s="50"/>
      <c r="OV56" s="49"/>
      <c r="OW56" s="50"/>
      <c r="PB56" s="49"/>
      <c r="PC56" s="50"/>
      <c r="PF56" s="49"/>
      <c r="PG56" s="50"/>
      <c r="PL56" s="49"/>
      <c r="PM56" s="47"/>
      <c r="PN56" s="48"/>
      <c r="PP56" s="48"/>
      <c r="PR56" s="49"/>
      <c r="PS56" s="47"/>
      <c r="PX56" s="46"/>
      <c r="PY56" s="47"/>
      <c r="QB56" s="46"/>
      <c r="QC56" s="47"/>
      <c r="QH56" s="46"/>
      <c r="QI56" s="47"/>
      <c r="QN56" s="46"/>
      <c r="QO56" s="47"/>
      <c r="QT56" s="46"/>
      <c r="QU56" s="47"/>
      <c r="QX56" s="46"/>
      <c r="QY56" s="47"/>
      <c r="RD56" s="46"/>
    </row>
    <row r="57" spans="1:472" x14ac:dyDescent="0.25">
      <c r="A57" s="43" t="s">
        <v>345</v>
      </c>
      <c r="B57" s="44">
        <v>0.4</v>
      </c>
      <c r="I57" s="45">
        <v>24</v>
      </c>
      <c r="J57" s="52">
        <v>24</v>
      </c>
      <c r="K57" s="52">
        <v>40</v>
      </c>
      <c r="L57" s="52">
        <v>43</v>
      </c>
      <c r="M57" s="51">
        <f t="shared" si="8"/>
        <v>-3</v>
      </c>
      <c r="N57" s="46"/>
      <c r="O57" s="47"/>
      <c r="P57" s="51"/>
      <c r="Q57" s="52">
        <v>24</v>
      </c>
      <c r="R57" s="52">
        <v>27</v>
      </c>
      <c r="S57" s="51">
        <f t="shared" si="9"/>
        <v>-3</v>
      </c>
      <c r="T57" s="46"/>
      <c r="U57" s="45">
        <v>8</v>
      </c>
      <c r="V57" s="52">
        <v>8</v>
      </c>
      <c r="W57" s="52">
        <v>24</v>
      </c>
      <c r="X57" s="52">
        <v>24</v>
      </c>
      <c r="Y57" s="51">
        <f t="shared" si="10"/>
        <v>0</v>
      </c>
      <c r="Z57" s="46"/>
      <c r="AA57" s="51"/>
      <c r="AC57">
        <v>32</v>
      </c>
      <c r="AD57">
        <v>36</v>
      </c>
      <c r="AE57" s="43">
        <v>-4</v>
      </c>
      <c r="AF57" s="46"/>
      <c r="AG57" s="47"/>
      <c r="AK57" s="43">
        <v>0</v>
      </c>
      <c r="AL57" s="46"/>
      <c r="AM57">
        <v>24</v>
      </c>
      <c r="AN57">
        <v>24</v>
      </c>
      <c r="AO57">
        <v>24</v>
      </c>
      <c r="AP57">
        <v>24</v>
      </c>
      <c r="AQ57" s="43">
        <v>0</v>
      </c>
      <c r="AR57" s="46"/>
      <c r="AW57" s="43">
        <v>0</v>
      </c>
      <c r="AX57" s="46"/>
      <c r="AY57" s="47"/>
      <c r="BC57" s="43">
        <v>0</v>
      </c>
      <c r="BD57" s="46"/>
      <c r="BE57" s="47"/>
      <c r="BG57">
        <v>16</v>
      </c>
      <c r="BH57">
        <v>19</v>
      </c>
      <c r="BI57" s="43">
        <v>-3</v>
      </c>
      <c r="BJ57" s="46"/>
      <c r="BN57">
        <v>8</v>
      </c>
      <c r="BO57">
        <v>11</v>
      </c>
      <c r="BP57" s="43">
        <v>-3</v>
      </c>
      <c r="BQ57" s="46"/>
      <c r="BT57" s="43">
        <v>0</v>
      </c>
      <c r="BU57" s="46"/>
      <c r="BV57" s="45">
        <v>8</v>
      </c>
      <c r="BW57">
        <v>13</v>
      </c>
      <c r="BZ57" s="43">
        <v>-5</v>
      </c>
      <c r="CA57" s="46"/>
      <c r="CD57">
        <v>48</v>
      </c>
      <c r="CE57">
        <v>52</v>
      </c>
      <c r="CF57" s="43">
        <v>-4</v>
      </c>
      <c r="CG57" s="46"/>
      <c r="CL57" s="43">
        <v>0</v>
      </c>
      <c r="CM57" s="46"/>
      <c r="CN57" s="47"/>
      <c r="CP57" s="43">
        <v>40</v>
      </c>
      <c r="CQ57">
        <v>40</v>
      </c>
      <c r="CR57" s="43">
        <v>0</v>
      </c>
      <c r="CS57" s="46"/>
      <c r="CX57" s="43">
        <v>0</v>
      </c>
      <c r="CY57" s="46"/>
      <c r="CZ57" s="47"/>
      <c r="DD57" s="43">
        <v>0</v>
      </c>
      <c r="DE57" s="46"/>
      <c r="DF57" s="47"/>
      <c r="DL57" s="43">
        <v>0</v>
      </c>
      <c r="DM57" s="46"/>
      <c r="DN57" s="47"/>
      <c r="DR57" s="43">
        <v>0</v>
      </c>
      <c r="DS57" s="46"/>
      <c r="EA57" s="46"/>
      <c r="EB57" s="47"/>
      <c r="EG57" s="46"/>
      <c r="EH57" s="47"/>
      <c r="EM57" s="46"/>
      <c r="EN57" s="45"/>
      <c r="ES57" s="46"/>
      <c r="FA57" s="46"/>
      <c r="FH57" s="46"/>
      <c r="FI57" s="47"/>
      <c r="FM57" s="46"/>
      <c r="FN57" s="45"/>
      <c r="FR57" s="46"/>
      <c r="FX57" s="46"/>
      <c r="FY57" s="47"/>
      <c r="GE57" s="46"/>
      <c r="GK57" s="46"/>
      <c r="GL57" s="47"/>
      <c r="GQ57" s="46"/>
      <c r="GW57" s="46"/>
      <c r="GX57" s="45"/>
      <c r="HA57" s="46"/>
      <c r="HB57" s="47"/>
      <c r="HG57" s="46"/>
      <c r="HH57" s="45"/>
      <c r="HK57" s="46"/>
      <c r="HL57" s="47"/>
      <c r="HQ57" s="46"/>
      <c r="HY57" s="46"/>
      <c r="HZ57" s="47"/>
      <c r="IE57" s="46"/>
      <c r="IK57" s="49"/>
      <c r="IQ57" s="49"/>
      <c r="IW57" s="49"/>
      <c r="JC57" s="46"/>
      <c r="JG57" s="49"/>
      <c r="JM57" s="46"/>
      <c r="JN57" s="50"/>
      <c r="JQ57" s="49"/>
      <c r="JW57" s="49"/>
      <c r="KC57" s="49"/>
      <c r="KI57" s="49"/>
      <c r="KJ57" s="48"/>
      <c r="KO57" s="49"/>
      <c r="KP57" s="45"/>
      <c r="KW57" s="49"/>
      <c r="KX57" s="48"/>
      <c r="KY57" s="48"/>
      <c r="KZ57" s="48"/>
      <c r="LA57" s="48"/>
      <c r="LC57" s="49"/>
      <c r="LD57" s="48"/>
      <c r="LE57" s="48"/>
      <c r="LF57" s="48"/>
      <c r="LG57" s="48"/>
      <c r="LI57" s="49"/>
      <c r="LJ57" s="50"/>
      <c r="LK57" s="48"/>
      <c r="LM57" s="49"/>
      <c r="LN57" s="50"/>
      <c r="LO57" s="48"/>
      <c r="LP57" s="48"/>
      <c r="LQ57" s="48"/>
      <c r="LR57" s="48"/>
      <c r="LT57" s="49"/>
      <c r="LU57" s="50"/>
      <c r="LV57" s="48"/>
      <c r="LW57" s="48"/>
      <c r="LX57" s="48"/>
      <c r="LZ57" s="49"/>
      <c r="MA57" s="50"/>
      <c r="MB57" s="48"/>
      <c r="MD57" s="49"/>
      <c r="ME57" s="50"/>
      <c r="MF57" s="48"/>
      <c r="MG57" s="48"/>
      <c r="MH57" s="48"/>
      <c r="MJ57" s="49"/>
      <c r="MK57" s="50"/>
      <c r="ML57" s="48"/>
      <c r="MN57" s="49"/>
      <c r="MO57" s="50"/>
      <c r="MP57" s="48"/>
      <c r="MQ57" s="48"/>
      <c r="MR57" s="48"/>
      <c r="MT57" s="49"/>
      <c r="MU57" s="48"/>
      <c r="MV57" s="46"/>
      <c r="MZ57" s="49"/>
      <c r="NA57" s="50"/>
      <c r="NF57" s="49"/>
      <c r="NG57" s="50"/>
      <c r="NL57" s="49"/>
      <c r="NM57" s="50"/>
      <c r="NR57" s="49"/>
      <c r="NS57" s="50"/>
      <c r="NX57" s="49"/>
      <c r="NY57" s="50"/>
      <c r="OD57" s="49"/>
      <c r="OE57" s="50"/>
      <c r="OH57" s="49"/>
      <c r="OI57" s="50"/>
      <c r="OL57" s="49"/>
      <c r="OM57" s="50"/>
      <c r="OR57" s="49"/>
      <c r="OS57" s="50"/>
      <c r="OV57" s="49"/>
      <c r="OW57" s="50"/>
      <c r="PB57" s="49"/>
      <c r="PC57" s="50"/>
      <c r="PF57" s="49"/>
      <c r="PG57" s="50"/>
      <c r="PL57" s="49"/>
      <c r="PM57" s="47"/>
      <c r="PN57" s="48"/>
      <c r="PP57" s="48"/>
      <c r="PR57" s="49"/>
      <c r="PS57" s="47"/>
      <c r="PX57" s="46"/>
      <c r="PY57" s="47"/>
      <c r="QB57" s="46"/>
      <c r="QC57" s="47"/>
      <c r="QH57" s="46"/>
      <c r="QI57" s="47"/>
      <c r="QN57" s="46"/>
      <c r="QO57" s="47"/>
      <c r="QT57" s="46"/>
      <c r="QU57" s="47"/>
      <c r="QX57" s="46"/>
      <c r="QY57" s="47"/>
      <c r="RD57" s="46"/>
    </row>
    <row r="58" spans="1:472" x14ac:dyDescent="0.25">
      <c r="A58" s="43" t="s">
        <v>346</v>
      </c>
      <c r="B58" s="44">
        <v>0.5</v>
      </c>
      <c r="I58" s="47"/>
      <c r="J58" s="51"/>
      <c r="K58" s="51"/>
      <c r="L58" s="51"/>
      <c r="M58" s="51">
        <f t="shared" si="8"/>
        <v>0</v>
      </c>
      <c r="N58" s="46"/>
      <c r="O58" s="47"/>
      <c r="P58" s="51"/>
      <c r="Q58" s="51"/>
      <c r="R58" s="51"/>
      <c r="S58" s="51">
        <f t="shared" si="9"/>
        <v>0</v>
      </c>
      <c r="T58" s="46"/>
      <c r="U58" s="47"/>
      <c r="V58" s="51"/>
      <c r="W58" s="51"/>
      <c r="X58" s="51"/>
      <c r="Y58" s="51">
        <f t="shared" si="10"/>
        <v>0</v>
      </c>
      <c r="Z58" s="46"/>
      <c r="AA58" s="51"/>
      <c r="AE58" s="43">
        <v>0</v>
      </c>
      <c r="AF58" s="46"/>
      <c r="AG58" s="47"/>
      <c r="AK58" s="43">
        <v>0</v>
      </c>
      <c r="AL58" s="46"/>
      <c r="AQ58" s="43">
        <v>0</v>
      </c>
      <c r="AR58" s="46"/>
      <c r="AW58" s="43">
        <v>0</v>
      </c>
      <c r="AX58" s="46"/>
      <c r="AY58" s="47"/>
      <c r="BC58" s="43">
        <v>0</v>
      </c>
      <c r="BD58" s="46"/>
      <c r="BE58" s="47"/>
      <c r="BI58" s="43">
        <v>0</v>
      </c>
      <c r="BJ58" s="46"/>
      <c r="BP58" s="43">
        <v>0</v>
      </c>
      <c r="BQ58" s="46"/>
      <c r="BT58" s="43">
        <v>0</v>
      </c>
      <c r="BU58" s="46"/>
      <c r="BV58" s="47"/>
      <c r="BZ58" s="43">
        <v>0</v>
      </c>
      <c r="CA58" s="46"/>
      <c r="CF58" s="43">
        <v>0</v>
      </c>
      <c r="CG58" s="46"/>
      <c r="CL58" s="43">
        <v>0</v>
      </c>
      <c r="CM58" s="46"/>
      <c r="CN58" s="47"/>
      <c r="CR58" s="43">
        <v>0</v>
      </c>
      <c r="CS58" s="46"/>
      <c r="CX58" s="43">
        <v>0</v>
      </c>
      <c r="CY58" s="46"/>
      <c r="CZ58" s="47"/>
      <c r="DD58" s="43">
        <v>0</v>
      </c>
      <c r="DE58" s="46"/>
      <c r="DF58" s="47"/>
      <c r="DL58" s="43">
        <v>0</v>
      </c>
      <c r="DM58" s="46"/>
      <c r="DN58" s="47"/>
      <c r="DR58" s="43">
        <v>0</v>
      </c>
      <c r="DS58" s="46"/>
      <c r="DZ58" s="43">
        <v>0</v>
      </c>
      <c r="EA58" s="46"/>
      <c r="EB58" s="47"/>
      <c r="EF58" s="43">
        <v>0</v>
      </c>
      <c r="EG58" s="46"/>
      <c r="EH58" s="47"/>
      <c r="EL58" s="43">
        <v>0</v>
      </c>
      <c r="EM58" s="46"/>
      <c r="EN58" s="47"/>
      <c r="ER58" s="43">
        <v>0</v>
      </c>
      <c r="ES58" s="46"/>
      <c r="EZ58" s="43">
        <v>0</v>
      </c>
      <c r="FA58" s="46"/>
      <c r="FG58" s="43">
        <v>0</v>
      </c>
      <c r="FH58" s="46"/>
      <c r="FI58" s="47"/>
      <c r="FL58" s="43">
        <v>0</v>
      </c>
      <c r="FM58" s="46"/>
      <c r="FN58" s="47"/>
      <c r="FQ58" s="43">
        <v>0</v>
      </c>
      <c r="FR58" s="46"/>
      <c r="FW58" s="43">
        <v>0</v>
      </c>
      <c r="FX58" s="46"/>
      <c r="FY58" s="47"/>
      <c r="GD58" s="43">
        <v>0</v>
      </c>
      <c r="GE58" s="46"/>
      <c r="GJ58" s="43">
        <v>0</v>
      </c>
      <c r="GK58" s="46"/>
      <c r="GL58" s="47"/>
      <c r="GP58" s="43">
        <v>0</v>
      </c>
      <c r="GQ58" s="46"/>
      <c r="GV58" s="43">
        <v>0</v>
      </c>
      <c r="GW58" s="46"/>
      <c r="GX58" s="47"/>
      <c r="GZ58" s="43">
        <v>0</v>
      </c>
      <c r="HA58" s="46"/>
      <c r="HB58" s="47"/>
      <c r="HF58" s="43">
        <v>0</v>
      </c>
      <c r="HG58" s="46"/>
      <c r="HH58" s="47"/>
      <c r="HJ58" s="43">
        <v>0</v>
      </c>
      <c r="HK58" s="46"/>
      <c r="HL58" s="47"/>
      <c r="HP58" s="43">
        <v>0</v>
      </c>
      <c r="HQ58" s="46"/>
      <c r="HX58" s="43">
        <v>0</v>
      </c>
      <c r="HY58" s="46"/>
      <c r="HZ58" s="47"/>
      <c r="ID58" s="43">
        <v>0</v>
      </c>
      <c r="IE58" s="46"/>
      <c r="IJ58" s="43">
        <v>0</v>
      </c>
      <c r="IK58" s="49"/>
      <c r="IP58" s="43">
        <v>0</v>
      </c>
      <c r="IQ58" s="49"/>
      <c r="IV58" s="43">
        <v>0</v>
      </c>
      <c r="IW58" s="49"/>
      <c r="JB58" s="43">
        <v>0</v>
      </c>
      <c r="JC58" s="46"/>
      <c r="JF58" s="43">
        <v>0</v>
      </c>
      <c r="JG58" s="49"/>
      <c r="JL58" s="43">
        <v>0</v>
      </c>
      <c r="JM58" s="46"/>
      <c r="JN58" s="50"/>
      <c r="JP58" s="43">
        <v>0</v>
      </c>
      <c r="JQ58" s="49"/>
      <c r="JV58" s="43">
        <v>0</v>
      </c>
      <c r="JW58" s="49"/>
      <c r="KB58" s="43">
        <v>0</v>
      </c>
      <c r="KC58" s="49"/>
      <c r="KH58" s="43">
        <v>0</v>
      </c>
      <c r="KI58" s="49"/>
      <c r="KN58" s="43">
        <v>0</v>
      </c>
      <c r="KO58" s="49"/>
      <c r="KP58" s="50"/>
      <c r="KV58" s="43">
        <v>0</v>
      </c>
      <c r="KW58" s="49"/>
      <c r="KX58" s="48">
        <v>0</v>
      </c>
      <c r="KY58" s="48">
        <v>0</v>
      </c>
      <c r="KZ58" s="48">
        <v>0</v>
      </c>
      <c r="LA58" s="48">
        <v>0</v>
      </c>
      <c r="LB58" s="43">
        <v>0</v>
      </c>
      <c r="LC58" s="49"/>
      <c r="LD58" s="48">
        <v>0</v>
      </c>
      <c r="LE58" s="48">
        <v>0</v>
      </c>
      <c r="LF58" s="48">
        <v>0</v>
      </c>
      <c r="LG58" s="48">
        <v>0</v>
      </c>
      <c r="LH58" s="43">
        <v>0</v>
      </c>
      <c r="LI58" s="49"/>
      <c r="LJ58" s="50">
        <v>0</v>
      </c>
      <c r="LK58" s="48">
        <v>0</v>
      </c>
      <c r="LL58" s="43">
        <v>0</v>
      </c>
      <c r="LM58" s="49"/>
      <c r="LN58" s="50">
        <v>0</v>
      </c>
      <c r="LO58" s="48">
        <v>0</v>
      </c>
      <c r="LP58" s="48">
        <v>0</v>
      </c>
      <c r="LQ58" s="48">
        <v>0</v>
      </c>
      <c r="LR58" s="48">
        <v>0</v>
      </c>
      <c r="LS58" s="43">
        <v>0</v>
      </c>
      <c r="LT58" s="49"/>
      <c r="LU58" s="50">
        <v>0</v>
      </c>
      <c r="LV58" s="48">
        <v>0</v>
      </c>
      <c r="LW58" s="48">
        <v>0</v>
      </c>
      <c r="LX58" s="48">
        <v>0</v>
      </c>
      <c r="LY58" s="43">
        <v>0</v>
      </c>
      <c r="LZ58" s="49"/>
      <c r="MA58" s="50">
        <v>0</v>
      </c>
      <c r="MB58" s="48">
        <v>0</v>
      </c>
      <c r="MC58" s="43">
        <v>0</v>
      </c>
      <c r="MD58" s="49"/>
      <c r="ME58" s="50">
        <v>0</v>
      </c>
      <c r="MF58" s="48">
        <v>0</v>
      </c>
      <c r="MG58" s="48">
        <v>0</v>
      </c>
      <c r="MH58" s="48">
        <v>0</v>
      </c>
      <c r="MI58" s="43">
        <v>0</v>
      </c>
      <c r="MJ58" s="49"/>
      <c r="MK58" s="50">
        <v>0</v>
      </c>
      <c r="ML58" s="48">
        <v>0</v>
      </c>
      <c r="MM58" s="43">
        <v>0</v>
      </c>
      <c r="MN58" s="49"/>
      <c r="MO58" s="50">
        <v>0</v>
      </c>
      <c r="MP58" s="48">
        <v>0</v>
      </c>
      <c r="MQ58" s="48">
        <v>0</v>
      </c>
      <c r="MR58" s="48">
        <v>0</v>
      </c>
      <c r="MS58" s="43">
        <v>0</v>
      </c>
      <c r="MT58" s="49"/>
      <c r="MU58" s="48">
        <v>0</v>
      </c>
      <c r="MV58" s="46"/>
      <c r="MW58" s="48">
        <v>0</v>
      </c>
      <c r="MX58" s="48">
        <v>0</v>
      </c>
      <c r="MY58" s="43">
        <v>0</v>
      </c>
      <c r="MZ58" s="49"/>
      <c r="NA58" s="50">
        <v>0</v>
      </c>
      <c r="NB58" s="48">
        <v>0</v>
      </c>
      <c r="NC58" s="48">
        <v>0</v>
      </c>
      <c r="ND58" s="48">
        <v>0</v>
      </c>
      <c r="NE58" s="43">
        <v>0</v>
      </c>
      <c r="NF58" s="49"/>
      <c r="NG58" s="50">
        <v>0</v>
      </c>
      <c r="NH58" s="48">
        <v>0</v>
      </c>
      <c r="NI58" s="48">
        <v>0</v>
      </c>
      <c r="NJ58" s="48">
        <v>0</v>
      </c>
      <c r="NK58" s="43">
        <v>0</v>
      </c>
      <c r="NL58" s="49"/>
      <c r="NM58" s="50">
        <v>0</v>
      </c>
      <c r="NN58" s="48">
        <v>0</v>
      </c>
      <c r="NO58" s="48">
        <v>0</v>
      </c>
      <c r="NP58" s="48">
        <v>0</v>
      </c>
      <c r="NQ58" s="43">
        <v>0</v>
      </c>
      <c r="NR58" s="49"/>
      <c r="NS58" s="50">
        <v>0</v>
      </c>
      <c r="NT58" s="48">
        <v>0</v>
      </c>
      <c r="NU58" s="48">
        <v>0</v>
      </c>
      <c r="NV58" s="48">
        <v>0</v>
      </c>
      <c r="NW58" s="43">
        <v>0</v>
      </c>
      <c r="NX58" s="49"/>
      <c r="NY58" s="50">
        <v>0</v>
      </c>
      <c r="NZ58" s="48">
        <v>0</v>
      </c>
      <c r="OA58" s="48">
        <v>0</v>
      </c>
      <c r="OB58" s="48">
        <v>0</v>
      </c>
      <c r="OC58" s="43">
        <v>0</v>
      </c>
      <c r="OD58" s="49"/>
      <c r="OE58" s="50">
        <v>0</v>
      </c>
      <c r="OF58" s="48">
        <v>0</v>
      </c>
      <c r="OG58" s="43">
        <v>0</v>
      </c>
      <c r="OH58" s="49"/>
      <c r="OI58" s="50">
        <v>0</v>
      </c>
      <c r="OJ58" s="48">
        <v>0</v>
      </c>
      <c r="OK58" s="43">
        <v>0</v>
      </c>
      <c r="OL58" s="49"/>
      <c r="OM58" s="50">
        <v>0</v>
      </c>
      <c r="ON58" s="48">
        <v>0</v>
      </c>
      <c r="OO58" s="48">
        <v>0</v>
      </c>
      <c r="OP58" s="48">
        <v>0</v>
      </c>
      <c r="OQ58" s="43">
        <v>0</v>
      </c>
      <c r="OR58" s="49"/>
      <c r="OS58" s="50">
        <v>0</v>
      </c>
      <c r="OT58" s="48">
        <v>0</v>
      </c>
      <c r="OU58" s="43">
        <v>0</v>
      </c>
      <c r="OV58" s="49"/>
      <c r="OW58" s="50">
        <v>0</v>
      </c>
      <c r="OX58" s="48">
        <v>0</v>
      </c>
      <c r="OY58" s="48">
        <v>0</v>
      </c>
      <c r="OZ58" s="48">
        <v>0</v>
      </c>
      <c r="PA58" s="43">
        <v>0</v>
      </c>
      <c r="PB58" s="49"/>
      <c r="PC58" s="50">
        <v>0</v>
      </c>
      <c r="PD58" s="48">
        <v>0</v>
      </c>
      <c r="PE58" s="43">
        <v>0</v>
      </c>
      <c r="PF58" s="49"/>
      <c r="PG58" s="50">
        <v>0</v>
      </c>
      <c r="PH58" s="48">
        <v>0</v>
      </c>
      <c r="PI58" s="48">
        <v>0</v>
      </c>
      <c r="PJ58" s="48">
        <v>0</v>
      </c>
      <c r="PK58" s="43">
        <v>0</v>
      </c>
      <c r="PL58" s="49"/>
      <c r="PM58" s="47">
        <v>0</v>
      </c>
      <c r="PN58" s="48">
        <v>0</v>
      </c>
      <c r="PO58" s="48">
        <v>0</v>
      </c>
      <c r="PP58" s="48">
        <v>0</v>
      </c>
      <c r="PQ58" s="43">
        <v>0</v>
      </c>
      <c r="PR58" s="49"/>
      <c r="PS58" s="47">
        <v>0</v>
      </c>
      <c r="PT58" s="43">
        <v>0</v>
      </c>
      <c r="PU58" s="43">
        <v>0</v>
      </c>
      <c r="PV58" s="43">
        <v>0</v>
      </c>
      <c r="PW58" s="43">
        <v>0</v>
      </c>
      <c r="PX58" s="46"/>
      <c r="PY58" s="47">
        <v>0</v>
      </c>
      <c r="PZ58" s="43">
        <v>0</v>
      </c>
      <c r="QA58" s="43">
        <v>0</v>
      </c>
      <c r="QB58" s="46"/>
      <c r="QC58" s="47">
        <v>496</v>
      </c>
      <c r="QD58" s="43">
        <v>500</v>
      </c>
      <c r="QE58" s="43">
        <v>496</v>
      </c>
      <c r="QF58" s="43">
        <v>500</v>
      </c>
      <c r="QG58" s="43">
        <v>-8</v>
      </c>
      <c r="QH58" s="46"/>
      <c r="QI58" s="47">
        <v>0</v>
      </c>
      <c r="QJ58" s="43">
        <v>0</v>
      </c>
      <c r="QK58" s="43">
        <v>0</v>
      </c>
      <c r="QL58" s="43">
        <v>0</v>
      </c>
      <c r="QM58" s="43">
        <v>0</v>
      </c>
      <c r="QN58" s="46"/>
      <c r="QO58" s="47">
        <v>0</v>
      </c>
      <c r="QP58" s="43">
        <v>0</v>
      </c>
      <c r="QQ58" s="43">
        <v>0</v>
      </c>
      <c r="QR58" s="43">
        <v>0</v>
      </c>
      <c r="QS58" s="43">
        <v>0</v>
      </c>
      <c r="QT58" s="46"/>
      <c r="QU58" s="47">
        <v>0</v>
      </c>
      <c r="QV58" s="43">
        <v>0</v>
      </c>
      <c r="QW58" s="43">
        <v>0</v>
      </c>
      <c r="QX58" s="46"/>
      <c r="QY58" s="47">
        <v>0</v>
      </c>
      <c r="QZ58" s="43">
        <v>0</v>
      </c>
      <c r="RA58" s="43">
        <v>0</v>
      </c>
      <c r="RB58" s="43">
        <v>0</v>
      </c>
      <c r="RC58" s="43">
        <v>0</v>
      </c>
      <c r="RD58" s="46"/>
    </row>
    <row r="59" spans="1:472" x14ac:dyDescent="0.25">
      <c r="A59" s="43" t="s">
        <v>347</v>
      </c>
      <c r="B59" s="44">
        <v>0.4</v>
      </c>
      <c r="E59">
        <v>160</v>
      </c>
      <c r="F59">
        <v>107</v>
      </c>
      <c r="I59" s="45">
        <v>112</v>
      </c>
      <c r="J59" s="52">
        <v>113</v>
      </c>
      <c r="K59" s="51"/>
      <c r="L59" s="51"/>
      <c r="M59" s="51">
        <f t="shared" si="8"/>
        <v>-1</v>
      </c>
      <c r="N59" s="46"/>
      <c r="O59" s="45">
        <v>128</v>
      </c>
      <c r="P59" s="52">
        <v>130</v>
      </c>
      <c r="Q59" s="52">
        <v>112</v>
      </c>
      <c r="R59" s="52">
        <v>115</v>
      </c>
      <c r="S59" s="51">
        <f t="shared" si="9"/>
        <v>-5</v>
      </c>
      <c r="T59" s="46"/>
      <c r="U59" s="45">
        <v>240</v>
      </c>
      <c r="V59" s="52">
        <v>240</v>
      </c>
      <c r="W59" s="52">
        <v>208</v>
      </c>
      <c r="X59" s="52">
        <v>207</v>
      </c>
      <c r="Y59" s="51">
        <f t="shared" si="10"/>
        <v>1</v>
      </c>
      <c r="Z59" s="46"/>
      <c r="AA59" s="52">
        <v>200</v>
      </c>
      <c r="AB59">
        <v>200</v>
      </c>
      <c r="AC59">
        <v>176</v>
      </c>
      <c r="AD59">
        <v>179</v>
      </c>
      <c r="AE59" s="43">
        <v>-3</v>
      </c>
      <c r="AF59" s="46"/>
      <c r="AG59" s="45">
        <v>160</v>
      </c>
      <c r="AH59">
        <v>160</v>
      </c>
      <c r="AI59">
        <v>192</v>
      </c>
      <c r="AJ59">
        <v>193</v>
      </c>
      <c r="AK59" s="43">
        <v>-1</v>
      </c>
      <c r="AL59" s="46"/>
      <c r="AM59">
        <v>200</v>
      </c>
      <c r="AN59">
        <v>200</v>
      </c>
      <c r="AO59">
        <v>216</v>
      </c>
      <c r="AP59">
        <v>216</v>
      </c>
      <c r="AQ59" s="43">
        <v>0</v>
      </c>
      <c r="AR59" s="46"/>
      <c r="AS59">
        <v>120</v>
      </c>
      <c r="AT59">
        <v>120</v>
      </c>
      <c r="AU59">
        <v>128</v>
      </c>
      <c r="AV59">
        <v>131</v>
      </c>
      <c r="AW59" s="43">
        <v>-3</v>
      </c>
      <c r="AX59" s="46"/>
      <c r="AY59" s="45">
        <v>48</v>
      </c>
      <c r="AZ59">
        <v>48</v>
      </c>
      <c r="BA59">
        <v>120</v>
      </c>
      <c r="BB59">
        <v>123</v>
      </c>
      <c r="BC59" s="43">
        <v>-3</v>
      </c>
      <c r="BD59" s="46"/>
      <c r="BE59" s="45">
        <v>240</v>
      </c>
      <c r="BF59">
        <v>240</v>
      </c>
      <c r="BG59">
        <v>184</v>
      </c>
      <c r="BH59">
        <v>188</v>
      </c>
      <c r="BI59" s="43">
        <v>-4</v>
      </c>
      <c r="BJ59" s="46"/>
      <c r="BK59">
        <v>104</v>
      </c>
      <c r="BL59">
        <v>105</v>
      </c>
      <c r="BP59" s="43">
        <v>-1</v>
      </c>
      <c r="BQ59" s="46"/>
      <c r="BR59">
        <v>96</v>
      </c>
      <c r="BS59">
        <v>96</v>
      </c>
      <c r="BT59" s="43">
        <v>0</v>
      </c>
      <c r="BU59" s="46"/>
      <c r="BV59" s="45">
        <v>136</v>
      </c>
      <c r="BW59">
        <v>141</v>
      </c>
      <c r="BX59">
        <v>704</v>
      </c>
      <c r="BY59">
        <v>705</v>
      </c>
      <c r="BZ59" s="43">
        <v>-6</v>
      </c>
      <c r="CA59" s="46"/>
      <c r="CB59">
        <v>80</v>
      </c>
      <c r="CC59">
        <v>80</v>
      </c>
      <c r="CD59">
        <v>56</v>
      </c>
      <c r="CE59">
        <v>59</v>
      </c>
      <c r="CF59" s="43">
        <v>-3</v>
      </c>
      <c r="CG59" s="46"/>
      <c r="CH59">
        <v>152</v>
      </c>
      <c r="CI59">
        <v>150</v>
      </c>
      <c r="CJ59">
        <v>152</v>
      </c>
      <c r="CK59">
        <v>151</v>
      </c>
      <c r="CL59" s="43">
        <v>3</v>
      </c>
      <c r="CM59" s="46"/>
      <c r="CN59" s="47"/>
      <c r="CP59">
        <v>280</v>
      </c>
      <c r="CQ59">
        <v>282</v>
      </c>
      <c r="CR59" s="43">
        <v>-2</v>
      </c>
      <c r="CS59" s="46"/>
      <c r="CT59">
        <v>120</v>
      </c>
      <c r="CU59">
        <v>120</v>
      </c>
      <c r="CV59">
        <v>192</v>
      </c>
      <c r="CW59">
        <v>196</v>
      </c>
      <c r="CX59" s="43">
        <v>-4</v>
      </c>
      <c r="CY59" s="46"/>
      <c r="CZ59" s="45">
        <v>96</v>
      </c>
      <c r="DA59">
        <v>100</v>
      </c>
      <c r="DD59" s="43">
        <v>-4</v>
      </c>
      <c r="DE59" s="46"/>
      <c r="DF59" s="47"/>
      <c r="DJ59">
        <v>192</v>
      </c>
      <c r="DK59">
        <v>196</v>
      </c>
      <c r="DL59" s="43">
        <v>-4</v>
      </c>
      <c r="DM59" s="46"/>
      <c r="DN59" s="47"/>
      <c r="DP59">
        <v>80</v>
      </c>
      <c r="DQ59">
        <v>80</v>
      </c>
      <c r="DR59" s="43">
        <v>0</v>
      </c>
      <c r="DS59" s="46"/>
      <c r="DT59">
        <v>192</v>
      </c>
      <c r="DU59">
        <v>190</v>
      </c>
      <c r="DV59">
        <v>480</v>
      </c>
      <c r="DW59">
        <v>480</v>
      </c>
      <c r="DX59">
        <v>200</v>
      </c>
      <c r="DY59">
        <v>200</v>
      </c>
      <c r="DZ59" s="43">
        <v>2</v>
      </c>
      <c r="EA59" s="46"/>
      <c r="EB59" s="47"/>
      <c r="ED59">
        <v>192</v>
      </c>
      <c r="EE59">
        <v>192</v>
      </c>
      <c r="EF59" s="43">
        <v>0</v>
      </c>
      <c r="EG59" s="46"/>
      <c r="EH59" s="47"/>
      <c r="EJ59">
        <v>328</v>
      </c>
      <c r="EK59">
        <v>330</v>
      </c>
      <c r="EL59" s="43">
        <v>-2</v>
      </c>
      <c r="EM59" s="46"/>
      <c r="EN59" s="45">
        <v>168</v>
      </c>
      <c r="EO59">
        <v>170</v>
      </c>
      <c r="ER59" s="43">
        <v>-2</v>
      </c>
      <c r="ES59" s="46"/>
      <c r="ET59">
        <v>160</v>
      </c>
      <c r="EU59">
        <v>160</v>
      </c>
      <c r="EV59">
        <v>160</v>
      </c>
      <c r="EW59">
        <v>160</v>
      </c>
      <c r="EX59">
        <v>240</v>
      </c>
      <c r="EY59">
        <v>240</v>
      </c>
      <c r="EZ59" s="43">
        <v>0</v>
      </c>
      <c r="FA59" s="46"/>
      <c r="FD59">
        <v>192</v>
      </c>
      <c r="FF59">
        <v>190</v>
      </c>
      <c r="FG59" s="43">
        <v>2</v>
      </c>
      <c r="FH59" s="46"/>
      <c r="FI59" s="45">
        <v>352</v>
      </c>
      <c r="FK59" s="48">
        <v>350</v>
      </c>
      <c r="FL59" s="43">
        <v>2</v>
      </c>
      <c r="FM59" s="46"/>
      <c r="FN59" s="45">
        <v>584</v>
      </c>
      <c r="FP59">
        <v>583</v>
      </c>
      <c r="FQ59" s="43">
        <v>1</v>
      </c>
      <c r="FR59" s="46"/>
      <c r="FW59" s="43">
        <v>0</v>
      </c>
      <c r="FX59" s="46"/>
      <c r="FY59" s="47"/>
      <c r="GA59">
        <v>220</v>
      </c>
      <c r="GB59">
        <v>240</v>
      </c>
      <c r="GC59">
        <v>240</v>
      </c>
      <c r="GD59" s="42">
        <v>-220</v>
      </c>
      <c r="GE59" s="46">
        <v>88</v>
      </c>
      <c r="GF59">
        <v>72</v>
      </c>
      <c r="GG59">
        <v>70</v>
      </c>
      <c r="GH59">
        <v>80</v>
      </c>
      <c r="GI59">
        <v>80</v>
      </c>
      <c r="GJ59" s="43">
        <v>2</v>
      </c>
      <c r="GK59" s="46"/>
      <c r="GL59" s="47"/>
      <c r="GN59">
        <v>568</v>
      </c>
      <c r="GO59">
        <v>570</v>
      </c>
      <c r="GP59" s="43">
        <v>-2</v>
      </c>
      <c r="GQ59" s="46"/>
      <c r="GT59">
        <v>152</v>
      </c>
      <c r="GU59">
        <v>150</v>
      </c>
      <c r="GV59" s="43">
        <v>2</v>
      </c>
      <c r="GW59" s="46"/>
      <c r="GX59" s="47"/>
      <c r="GZ59" s="43">
        <v>0</v>
      </c>
      <c r="HA59" s="46"/>
      <c r="HB59" s="45">
        <v>200</v>
      </c>
      <c r="HC59">
        <v>200</v>
      </c>
      <c r="HD59">
        <v>320</v>
      </c>
      <c r="HE59">
        <v>318</v>
      </c>
      <c r="HF59" s="43">
        <v>2</v>
      </c>
      <c r="HG59" s="46"/>
      <c r="HH59" s="45">
        <v>88</v>
      </c>
      <c r="HI59">
        <v>90</v>
      </c>
      <c r="HJ59" s="43">
        <v>-2</v>
      </c>
      <c r="HK59" s="46"/>
      <c r="HL59" s="45">
        <v>176</v>
      </c>
      <c r="HM59">
        <v>180</v>
      </c>
      <c r="HN59">
        <v>96</v>
      </c>
      <c r="HO59">
        <v>100</v>
      </c>
      <c r="HP59" s="43">
        <v>-8</v>
      </c>
      <c r="HQ59" s="46"/>
      <c r="HT59">
        <v>328</v>
      </c>
      <c r="HU59">
        <v>330</v>
      </c>
      <c r="HX59" s="43">
        <v>-2</v>
      </c>
      <c r="HY59" s="46"/>
      <c r="HZ59" s="45">
        <v>296</v>
      </c>
      <c r="IA59">
        <v>300</v>
      </c>
      <c r="IB59">
        <v>248</v>
      </c>
      <c r="IC59">
        <v>250</v>
      </c>
      <c r="ID59" s="43">
        <v>-6</v>
      </c>
      <c r="IE59" s="46"/>
      <c r="IF59">
        <v>96</v>
      </c>
      <c r="IG59">
        <v>100</v>
      </c>
      <c r="IH59">
        <v>120</v>
      </c>
      <c r="II59">
        <v>120</v>
      </c>
      <c r="IJ59" s="43">
        <v>-4</v>
      </c>
      <c r="IK59" s="49"/>
      <c r="IL59">
        <v>200</v>
      </c>
      <c r="IM59">
        <v>200</v>
      </c>
      <c r="IN59">
        <v>208</v>
      </c>
      <c r="IO59">
        <v>210</v>
      </c>
      <c r="IP59" s="43">
        <v>-2</v>
      </c>
      <c r="IQ59" s="49"/>
      <c r="IR59">
        <v>200</v>
      </c>
      <c r="IS59">
        <v>200</v>
      </c>
      <c r="IT59">
        <v>88</v>
      </c>
      <c r="IU59">
        <v>90</v>
      </c>
      <c r="IV59" s="43">
        <v>-2</v>
      </c>
      <c r="IW59" s="49"/>
      <c r="IX59">
        <v>216</v>
      </c>
      <c r="IY59">
        <v>220</v>
      </c>
      <c r="IZ59">
        <v>176</v>
      </c>
      <c r="JA59">
        <v>180</v>
      </c>
      <c r="JB59" s="43">
        <v>-8</v>
      </c>
      <c r="JC59" s="46"/>
      <c r="JD59">
        <v>120</v>
      </c>
      <c r="JE59">
        <v>120</v>
      </c>
      <c r="JF59" s="43">
        <v>0</v>
      </c>
      <c r="JG59" s="49"/>
      <c r="JH59">
        <v>152</v>
      </c>
      <c r="JI59">
        <v>150</v>
      </c>
      <c r="JJ59">
        <v>128</v>
      </c>
      <c r="JK59">
        <v>130</v>
      </c>
      <c r="JL59" s="43">
        <v>0</v>
      </c>
      <c r="JM59" s="46"/>
      <c r="JN59" s="45">
        <v>248</v>
      </c>
      <c r="JO59" s="48">
        <v>250</v>
      </c>
      <c r="JP59" s="43">
        <v>-2</v>
      </c>
      <c r="JQ59" s="49"/>
      <c r="JT59">
        <v>616</v>
      </c>
      <c r="JU59">
        <v>620</v>
      </c>
      <c r="JV59" s="43">
        <v>-4</v>
      </c>
      <c r="JW59" s="49"/>
      <c r="KB59" s="43">
        <v>0</v>
      </c>
      <c r="KC59" s="49"/>
      <c r="KD59">
        <v>200</v>
      </c>
      <c r="KE59">
        <v>200</v>
      </c>
      <c r="KF59">
        <v>352</v>
      </c>
      <c r="KG59">
        <v>350</v>
      </c>
      <c r="KH59" s="43">
        <v>2</v>
      </c>
      <c r="KI59" s="49"/>
      <c r="KJ59">
        <v>96</v>
      </c>
      <c r="KK59">
        <v>100</v>
      </c>
      <c r="KL59">
        <v>248</v>
      </c>
      <c r="KM59">
        <v>250</v>
      </c>
      <c r="KN59" s="43">
        <v>-6</v>
      </c>
      <c r="KO59" s="49"/>
      <c r="KP59" s="45">
        <v>128</v>
      </c>
      <c r="KQ59">
        <v>130</v>
      </c>
      <c r="KR59">
        <v>152</v>
      </c>
      <c r="KS59">
        <v>150</v>
      </c>
      <c r="KT59">
        <v>128</v>
      </c>
      <c r="KU59">
        <v>130</v>
      </c>
      <c r="KV59" s="43">
        <v>-2</v>
      </c>
      <c r="KW59" s="49"/>
      <c r="KX59" s="48">
        <v>152</v>
      </c>
      <c r="KY59" s="48">
        <v>150</v>
      </c>
      <c r="KZ59" s="48">
        <v>200</v>
      </c>
      <c r="LA59" s="48">
        <v>200</v>
      </c>
      <c r="LB59" s="43">
        <v>2</v>
      </c>
      <c r="LC59" s="49"/>
      <c r="LD59" s="48">
        <v>0</v>
      </c>
      <c r="LE59" s="48">
        <v>0</v>
      </c>
      <c r="LF59" s="48">
        <v>0</v>
      </c>
      <c r="LG59" s="48">
        <v>0</v>
      </c>
      <c r="LH59" s="43">
        <v>0</v>
      </c>
      <c r="LI59" s="49"/>
      <c r="LJ59" s="50">
        <v>432</v>
      </c>
      <c r="LK59" s="48">
        <v>430</v>
      </c>
      <c r="LL59" s="43">
        <v>2</v>
      </c>
      <c r="LM59" s="49"/>
      <c r="LN59" s="50">
        <v>152</v>
      </c>
      <c r="LO59" s="48">
        <v>150</v>
      </c>
      <c r="LP59" s="48">
        <v>176</v>
      </c>
      <c r="LQ59" s="48">
        <v>0</v>
      </c>
      <c r="LR59" s="48">
        <v>180</v>
      </c>
      <c r="LS59" s="43">
        <v>-2</v>
      </c>
      <c r="LT59" s="49"/>
      <c r="LU59" s="50">
        <v>48</v>
      </c>
      <c r="LV59" s="48">
        <v>50</v>
      </c>
      <c r="LW59" s="48">
        <v>0</v>
      </c>
      <c r="LX59" s="48">
        <v>0</v>
      </c>
      <c r="LY59" s="43">
        <v>-2</v>
      </c>
      <c r="LZ59" s="49"/>
      <c r="MA59" s="50">
        <v>152</v>
      </c>
      <c r="MB59" s="48">
        <v>150</v>
      </c>
      <c r="MC59" s="43">
        <v>2</v>
      </c>
      <c r="MD59" s="49"/>
      <c r="ME59" s="50">
        <v>72</v>
      </c>
      <c r="MF59" s="48">
        <v>70</v>
      </c>
      <c r="MG59" s="48">
        <v>328</v>
      </c>
      <c r="MH59" s="48">
        <v>330</v>
      </c>
      <c r="MI59" s="43">
        <v>0</v>
      </c>
      <c r="MJ59" s="49"/>
      <c r="MK59" s="50">
        <v>416</v>
      </c>
      <c r="ML59" s="48">
        <v>420</v>
      </c>
      <c r="MM59" s="43">
        <v>-4</v>
      </c>
      <c r="MN59" s="49"/>
      <c r="MO59" s="50">
        <v>136</v>
      </c>
      <c r="MP59" s="48">
        <v>140</v>
      </c>
      <c r="MQ59" s="48">
        <v>256</v>
      </c>
      <c r="MR59" s="48">
        <v>260</v>
      </c>
      <c r="MS59" s="43">
        <v>-8</v>
      </c>
      <c r="MT59" s="49"/>
      <c r="MU59" s="48">
        <v>0</v>
      </c>
      <c r="MV59" s="46"/>
      <c r="MW59" s="48">
        <v>296</v>
      </c>
      <c r="MX59" s="48">
        <v>300</v>
      </c>
      <c r="MY59" s="43">
        <v>-4</v>
      </c>
      <c r="MZ59" s="49"/>
      <c r="NA59" s="50">
        <v>48</v>
      </c>
      <c r="NB59" s="48">
        <v>50</v>
      </c>
      <c r="NC59" s="48">
        <v>96</v>
      </c>
      <c r="ND59" s="48">
        <v>100</v>
      </c>
      <c r="NE59" s="43">
        <v>-6</v>
      </c>
      <c r="NF59" s="49"/>
      <c r="NG59" s="50">
        <v>152</v>
      </c>
      <c r="NH59" s="48">
        <v>150</v>
      </c>
      <c r="NI59" s="48">
        <v>304</v>
      </c>
      <c r="NJ59" s="48">
        <v>304</v>
      </c>
      <c r="NK59" s="43">
        <v>2</v>
      </c>
      <c r="NL59" s="49"/>
      <c r="NM59" s="50">
        <v>96</v>
      </c>
      <c r="NN59" s="48">
        <v>100</v>
      </c>
      <c r="NO59" s="26">
        <v>304</v>
      </c>
      <c r="NP59" s="48">
        <v>150</v>
      </c>
      <c r="NQ59" s="43">
        <v>150</v>
      </c>
      <c r="NR59" s="49"/>
      <c r="NS59" s="25">
        <v>96</v>
      </c>
      <c r="NT59" s="48">
        <v>150</v>
      </c>
      <c r="NU59" s="48">
        <v>288</v>
      </c>
      <c r="NV59" s="48">
        <v>290</v>
      </c>
      <c r="NW59" s="42">
        <v>-56</v>
      </c>
      <c r="NX59" s="49">
        <v>22.4</v>
      </c>
      <c r="NY59" s="50">
        <v>200</v>
      </c>
      <c r="NZ59" s="48">
        <v>200</v>
      </c>
      <c r="OA59" s="48">
        <v>208</v>
      </c>
      <c r="OB59" s="48">
        <v>200</v>
      </c>
      <c r="OC59" s="43">
        <v>8</v>
      </c>
      <c r="OD59" s="49"/>
      <c r="OE59" s="50">
        <v>448</v>
      </c>
      <c r="OF59" s="48">
        <v>450</v>
      </c>
      <c r="OG59" s="43">
        <v>-2</v>
      </c>
      <c r="OH59" s="49"/>
      <c r="OI59" s="50">
        <v>504</v>
      </c>
      <c r="OJ59" s="48">
        <v>503</v>
      </c>
      <c r="OK59" s="43">
        <v>1</v>
      </c>
      <c r="OL59" s="49"/>
      <c r="OM59" s="50">
        <v>152</v>
      </c>
      <c r="ON59" s="48">
        <v>150</v>
      </c>
      <c r="OO59" s="48">
        <v>152</v>
      </c>
      <c r="OP59" s="48">
        <v>150</v>
      </c>
      <c r="OQ59" s="43">
        <v>4</v>
      </c>
      <c r="OR59" s="49"/>
      <c r="OS59" s="50">
        <v>400</v>
      </c>
      <c r="OT59" s="48">
        <v>400</v>
      </c>
      <c r="OU59" s="43">
        <v>0</v>
      </c>
      <c r="OV59" s="49"/>
      <c r="OW59" s="50">
        <v>0</v>
      </c>
      <c r="OX59" s="48">
        <v>0</v>
      </c>
      <c r="OY59" s="48">
        <v>120</v>
      </c>
      <c r="OZ59" s="48">
        <v>110</v>
      </c>
      <c r="PA59" s="43">
        <v>10</v>
      </c>
      <c r="PB59" s="49"/>
      <c r="PC59" s="50">
        <v>0</v>
      </c>
      <c r="PD59" s="48">
        <v>0</v>
      </c>
      <c r="PE59" s="43">
        <v>0</v>
      </c>
      <c r="PF59" s="49"/>
      <c r="PG59" s="50">
        <v>0</v>
      </c>
      <c r="PH59" s="48">
        <v>0</v>
      </c>
      <c r="PI59" s="48">
        <v>0</v>
      </c>
      <c r="PJ59" s="48">
        <v>0</v>
      </c>
      <c r="PK59" s="43">
        <v>0</v>
      </c>
      <c r="PL59" s="49"/>
      <c r="PM59" s="47">
        <v>0</v>
      </c>
      <c r="PN59" s="48">
        <v>0</v>
      </c>
      <c r="PO59" s="48">
        <v>0</v>
      </c>
      <c r="PP59" s="48">
        <v>0</v>
      </c>
      <c r="PQ59" s="43">
        <v>0</v>
      </c>
      <c r="PR59" s="49"/>
      <c r="PS59" s="47">
        <v>0</v>
      </c>
      <c r="PT59" s="43">
        <v>0</v>
      </c>
      <c r="PU59" s="43">
        <v>0</v>
      </c>
      <c r="PV59" s="43">
        <v>0</v>
      </c>
      <c r="PW59" s="43">
        <v>0</v>
      </c>
      <c r="PX59" s="46"/>
      <c r="PY59" s="47">
        <v>752</v>
      </c>
      <c r="PZ59" s="43">
        <v>750</v>
      </c>
      <c r="QA59" s="43">
        <v>2</v>
      </c>
      <c r="QB59" s="46"/>
      <c r="QC59" s="47">
        <v>16</v>
      </c>
      <c r="QD59" s="43">
        <v>20</v>
      </c>
      <c r="QE59" s="43">
        <v>0</v>
      </c>
      <c r="QF59" s="43">
        <v>0</v>
      </c>
      <c r="QG59" s="43">
        <v>-4</v>
      </c>
      <c r="QH59" s="46"/>
      <c r="QI59" s="47">
        <v>248</v>
      </c>
      <c r="QJ59" s="43">
        <v>250</v>
      </c>
      <c r="QK59" s="43">
        <v>400</v>
      </c>
      <c r="QL59" s="43">
        <v>400</v>
      </c>
      <c r="QM59" s="43">
        <v>-2</v>
      </c>
      <c r="QN59" s="46"/>
      <c r="QO59" s="47">
        <v>72</v>
      </c>
      <c r="QP59" s="43">
        <v>70</v>
      </c>
      <c r="QQ59" s="43">
        <v>176</v>
      </c>
      <c r="QR59" s="43">
        <v>80</v>
      </c>
      <c r="QS59" s="43">
        <v>98</v>
      </c>
      <c r="QT59" s="46"/>
      <c r="QU59" s="47">
        <v>128</v>
      </c>
      <c r="QV59" s="43">
        <v>250</v>
      </c>
      <c r="QW59" s="42">
        <v>-122</v>
      </c>
      <c r="QX59" s="46">
        <v>48.8</v>
      </c>
      <c r="QY59" s="47">
        <v>96</v>
      </c>
      <c r="QZ59" s="43">
        <v>200</v>
      </c>
      <c r="RA59" s="43">
        <v>400</v>
      </c>
      <c r="RB59" s="43">
        <v>400</v>
      </c>
      <c r="RC59" s="42">
        <v>-104</v>
      </c>
      <c r="RD59" s="46">
        <v>41.6</v>
      </c>
    </row>
    <row r="60" spans="1:472" x14ac:dyDescent="0.25">
      <c r="A60" s="43" t="s">
        <v>348</v>
      </c>
      <c r="B60" s="44">
        <v>0.5</v>
      </c>
      <c r="I60" s="47"/>
      <c r="J60" s="51"/>
      <c r="K60" s="51"/>
      <c r="L60" s="51"/>
      <c r="M60" s="51">
        <f t="shared" si="8"/>
        <v>0</v>
      </c>
      <c r="N60" s="46"/>
      <c r="O60" s="47"/>
      <c r="P60" s="51"/>
      <c r="Q60" s="51"/>
      <c r="R60" s="51"/>
      <c r="S60" s="51">
        <f t="shared" si="9"/>
        <v>0</v>
      </c>
      <c r="T60" s="46"/>
      <c r="U60" s="47"/>
      <c r="V60" s="51"/>
      <c r="W60" s="51"/>
      <c r="X60" s="51"/>
      <c r="Y60" s="51">
        <f t="shared" si="10"/>
        <v>0</v>
      </c>
      <c r="Z60" s="46"/>
      <c r="AA60" s="51"/>
      <c r="AE60" s="43">
        <v>0</v>
      </c>
      <c r="AF60" s="46"/>
      <c r="AG60" s="47"/>
      <c r="AK60" s="43">
        <v>0</v>
      </c>
      <c r="AL60" s="46"/>
      <c r="AQ60" s="43">
        <v>0</v>
      </c>
      <c r="AR60" s="46"/>
      <c r="AW60" s="43">
        <v>0</v>
      </c>
      <c r="AX60" s="46"/>
      <c r="AY60" s="47"/>
      <c r="BC60" s="43">
        <v>0</v>
      </c>
      <c r="BD60" s="46"/>
      <c r="BE60" s="47"/>
      <c r="BI60" s="43">
        <v>0</v>
      </c>
      <c r="BJ60" s="46"/>
      <c r="BP60" s="43">
        <v>0</v>
      </c>
      <c r="BQ60" s="46"/>
      <c r="BT60" s="43">
        <v>0</v>
      </c>
      <c r="BU60" s="46"/>
      <c r="BV60" s="47"/>
      <c r="BZ60" s="43">
        <v>0</v>
      </c>
      <c r="CA60" s="46"/>
      <c r="CF60" s="43">
        <v>0</v>
      </c>
      <c r="CG60" s="46"/>
      <c r="CL60" s="43">
        <v>0</v>
      </c>
      <c r="CM60" s="46"/>
      <c r="CN60" s="47"/>
      <c r="CR60" s="43">
        <v>0</v>
      </c>
      <c r="CS60" s="46"/>
      <c r="CX60" s="43">
        <v>0</v>
      </c>
      <c r="CY60" s="46"/>
      <c r="CZ60" s="47"/>
      <c r="DD60" s="43">
        <v>0</v>
      </c>
      <c r="DE60" s="46"/>
      <c r="DF60" s="47"/>
      <c r="DL60" s="43">
        <v>0</v>
      </c>
      <c r="DM60" s="46"/>
      <c r="DN60" s="47"/>
      <c r="DR60" s="43">
        <v>0</v>
      </c>
      <c r="DS60" s="46"/>
      <c r="DZ60" s="43">
        <v>0</v>
      </c>
      <c r="EA60" s="46"/>
      <c r="EB60" s="47"/>
      <c r="EF60" s="43">
        <v>0</v>
      </c>
      <c r="EG60" s="46"/>
      <c r="EH60" s="47"/>
      <c r="EL60" s="43">
        <v>0</v>
      </c>
      <c r="EM60" s="46"/>
      <c r="EN60" s="47"/>
      <c r="ER60" s="43">
        <v>0</v>
      </c>
      <c r="ES60" s="46"/>
      <c r="EZ60" s="43">
        <v>0</v>
      </c>
      <c r="FA60" s="46"/>
      <c r="FG60" s="43">
        <v>0</v>
      </c>
      <c r="FH60" s="46"/>
      <c r="FI60" s="47"/>
      <c r="FL60" s="43">
        <v>0</v>
      </c>
      <c r="FM60" s="46"/>
      <c r="FN60" s="45">
        <v>32</v>
      </c>
      <c r="FP60">
        <v>34</v>
      </c>
      <c r="FQ60" s="43">
        <v>-2</v>
      </c>
      <c r="FR60" s="46"/>
      <c r="FW60" s="43">
        <v>0</v>
      </c>
      <c r="FX60" s="46"/>
      <c r="FY60" s="47"/>
      <c r="GD60" s="43">
        <v>0</v>
      </c>
      <c r="GE60" s="46"/>
      <c r="GH60">
        <v>40</v>
      </c>
      <c r="GI60">
        <v>40</v>
      </c>
      <c r="GJ60" s="43">
        <v>0</v>
      </c>
      <c r="GK60" s="46"/>
      <c r="GL60" s="47"/>
      <c r="GP60" s="43">
        <v>0</v>
      </c>
      <c r="GQ60" s="46"/>
      <c r="GT60">
        <v>24</v>
      </c>
      <c r="GU60">
        <v>24</v>
      </c>
      <c r="GV60" s="43">
        <v>0</v>
      </c>
      <c r="GW60" s="46"/>
      <c r="GX60" s="47"/>
      <c r="GZ60" s="43">
        <v>0</v>
      </c>
      <c r="HA60" s="46"/>
      <c r="HB60" s="47"/>
      <c r="HD60">
        <v>8</v>
      </c>
      <c r="HE60">
        <v>10</v>
      </c>
      <c r="HF60" s="43">
        <v>-2</v>
      </c>
      <c r="HG60" s="46"/>
      <c r="HH60" s="47"/>
      <c r="HJ60" s="43">
        <v>0</v>
      </c>
      <c r="HK60" s="46"/>
      <c r="HL60" s="47"/>
      <c r="HP60" s="43">
        <v>0</v>
      </c>
      <c r="HQ60" s="46"/>
      <c r="HX60" s="43">
        <v>0</v>
      </c>
      <c r="HY60" s="46"/>
      <c r="HZ60" s="47"/>
      <c r="ID60" s="43">
        <v>0</v>
      </c>
      <c r="IE60" s="46"/>
      <c r="IH60">
        <v>152</v>
      </c>
      <c r="II60">
        <v>150</v>
      </c>
      <c r="IJ60" s="43">
        <v>2</v>
      </c>
      <c r="IK60" s="49"/>
      <c r="IN60">
        <v>112</v>
      </c>
      <c r="IO60">
        <v>110</v>
      </c>
      <c r="IP60" s="43">
        <v>2</v>
      </c>
      <c r="IQ60" s="49"/>
      <c r="IR60">
        <v>16</v>
      </c>
      <c r="IS60">
        <v>16</v>
      </c>
      <c r="IV60" s="43">
        <v>0</v>
      </c>
      <c r="IW60" s="49"/>
      <c r="JB60" s="43">
        <v>0</v>
      </c>
      <c r="JC60" s="46"/>
      <c r="JD60">
        <v>88</v>
      </c>
      <c r="JE60">
        <v>92</v>
      </c>
      <c r="JF60" s="43">
        <v>-4</v>
      </c>
      <c r="JG60" s="49"/>
      <c r="JL60" s="43">
        <v>0</v>
      </c>
      <c r="JM60" s="46"/>
      <c r="JN60" s="45">
        <v>88</v>
      </c>
      <c r="JO60" s="48">
        <v>90</v>
      </c>
      <c r="JP60" s="43">
        <v>-2</v>
      </c>
      <c r="JQ60" s="49"/>
      <c r="JT60">
        <v>168</v>
      </c>
      <c r="JU60">
        <v>170</v>
      </c>
      <c r="JV60" s="43">
        <v>-2</v>
      </c>
      <c r="JW60" s="49"/>
      <c r="JX60">
        <v>48</v>
      </c>
      <c r="JY60">
        <v>48</v>
      </c>
      <c r="JZ60">
        <v>32</v>
      </c>
      <c r="KA60">
        <v>32</v>
      </c>
      <c r="KB60" s="43">
        <v>0</v>
      </c>
      <c r="KC60" s="49"/>
      <c r="KF60">
        <v>48</v>
      </c>
      <c r="KG60">
        <v>50</v>
      </c>
      <c r="KH60" s="43">
        <v>-2</v>
      </c>
      <c r="KI60" s="49"/>
      <c r="KN60" s="43">
        <v>0</v>
      </c>
      <c r="KO60" s="49"/>
      <c r="KP60" s="45">
        <v>80</v>
      </c>
      <c r="KQ60">
        <v>80</v>
      </c>
      <c r="KR60">
        <v>96</v>
      </c>
      <c r="KS60">
        <v>100</v>
      </c>
      <c r="KT60">
        <v>56</v>
      </c>
      <c r="KU60">
        <v>80</v>
      </c>
      <c r="KV60" s="42">
        <v>-28</v>
      </c>
      <c r="KW60" s="49">
        <v>14</v>
      </c>
      <c r="KX60" s="48">
        <v>0</v>
      </c>
      <c r="KY60" s="48">
        <v>0</v>
      </c>
      <c r="KZ60" s="48">
        <v>168</v>
      </c>
      <c r="LA60" s="48">
        <v>170</v>
      </c>
      <c r="LB60" s="43">
        <v>-2</v>
      </c>
      <c r="LC60" s="49"/>
      <c r="LD60" s="48">
        <v>0</v>
      </c>
      <c r="LE60" s="48">
        <v>0</v>
      </c>
      <c r="LF60" s="48">
        <v>96</v>
      </c>
      <c r="LG60" s="48">
        <v>100</v>
      </c>
      <c r="LH60" s="43">
        <v>-4</v>
      </c>
      <c r="LI60" s="49"/>
      <c r="LJ60" s="50">
        <v>80</v>
      </c>
      <c r="LK60" s="48">
        <v>80</v>
      </c>
      <c r="LL60" s="43">
        <v>0</v>
      </c>
      <c r="LM60" s="49"/>
      <c r="LN60" s="50">
        <v>80</v>
      </c>
      <c r="LO60" s="48">
        <v>80</v>
      </c>
      <c r="LP60" s="48">
        <v>328</v>
      </c>
      <c r="LQ60" s="48">
        <v>300</v>
      </c>
      <c r="LR60" s="48">
        <v>40</v>
      </c>
      <c r="LS60" s="42">
        <v>-12</v>
      </c>
      <c r="LT60" s="49">
        <v>6</v>
      </c>
      <c r="LU60" s="50">
        <v>48</v>
      </c>
      <c r="LV60" s="48">
        <v>48</v>
      </c>
      <c r="LW60" s="48">
        <v>88</v>
      </c>
      <c r="LX60" s="48">
        <v>92</v>
      </c>
      <c r="LY60" s="43">
        <v>-4</v>
      </c>
      <c r="LZ60" s="49"/>
      <c r="MA60" s="50">
        <v>16</v>
      </c>
      <c r="MB60" s="48">
        <v>20</v>
      </c>
      <c r="MC60" s="43">
        <v>-4</v>
      </c>
      <c r="MD60" s="49"/>
      <c r="ME60" s="50">
        <v>8</v>
      </c>
      <c r="MF60" s="48">
        <v>8</v>
      </c>
      <c r="MG60" s="48">
        <v>32</v>
      </c>
      <c r="MH60" s="48">
        <v>32</v>
      </c>
      <c r="MI60" s="43">
        <v>0</v>
      </c>
      <c r="MJ60" s="49"/>
      <c r="MK60" s="50">
        <v>0</v>
      </c>
      <c r="ML60" s="48">
        <v>0</v>
      </c>
      <c r="MM60" s="43">
        <v>0</v>
      </c>
      <c r="MN60" s="49"/>
      <c r="MO60" s="50">
        <v>0</v>
      </c>
      <c r="MP60" s="48">
        <v>0</v>
      </c>
      <c r="MQ60" s="48">
        <v>120</v>
      </c>
      <c r="MR60" s="48">
        <v>120</v>
      </c>
      <c r="MS60" s="43">
        <v>0</v>
      </c>
      <c r="MT60" s="49"/>
      <c r="MU60" s="48">
        <v>0</v>
      </c>
      <c r="MV60" s="46"/>
      <c r="MW60" s="48">
        <v>0</v>
      </c>
      <c r="MX60" s="48">
        <v>0</v>
      </c>
      <c r="MY60" s="43">
        <v>0</v>
      </c>
      <c r="MZ60" s="49"/>
      <c r="NA60" s="50">
        <v>0</v>
      </c>
      <c r="NB60" s="48">
        <v>0</v>
      </c>
      <c r="NC60" s="48">
        <v>0</v>
      </c>
      <c r="ND60" s="48">
        <v>0</v>
      </c>
      <c r="NE60" s="43">
        <v>0</v>
      </c>
      <c r="NF60" s="49"/>
      <c r="NG60" s="50">
        <v>0</v>
      </c>
      <c r="NH60" s="48">
        <v>0</v>
      </c>
      <c r="NI60" s="48">
        <v>56</v>
      </c>
      <c r="NJ60" s="48">
        <v>60</v>
      </c>
      <c r="NK60" s="43">
        <v>-4</v>
      </c>
      <c r="NL60" s="49"/>
      <c r="NM60" s="50">
        <v>0</v>
      </c>
      <c r="NN60" s="48">
        <v>0</v>
      </c>
      <c r="NO60" s="48">
        <v>0</v>
      </c>
      <c r="NP60" s="48">
        <v>0</v>
      </c>
      <c r="NQ60" s="43">
        <v>0</v>
      </c>
      <c r="NR60" s="49"/>
      <c r="NS60" s="50">
        <v>0</v>
      </c>
      <c r="NT60" s="48">
        <v>0</v>
      </c>
      <c r="NU60" s="48">
        <v>40</v>
      </c>
      <c r="NV60" s="48">
        <v>40</v>
      </c>
      <c r="NW60" s="43">
        <v>0</v>
      </c>
      <c r="NX60" s="49"/>
      <c r="NY60" s="50">
        <v>0</v>
      </c>
      <c r="NZ60" s="48">
        <v>0</v>
      </c>
      <c r="OA60" s="48">
        <v>16</v>
      </c>
      <c r="OB60" s="48">
        <v>16</v>
      </c>
      <c r="OC60" s="43">
        <v>0</v>
      </c>
      <c r="OD60" s="49"/>
      <c r="OE60" s="50">
        <v>0</v>
      </c>
      <c r="OF60" s="48">
        <v>0</v>
      </c>
      <c r="OG60" s="43">
        <v>0</v>
      </c>
      <c r="OH60" s="49"/>
      <c r="OI60" s="50">
        <v>0</v>
      </c>
      <c r="OJ60" s="48">
        <v>0</v>
      </c>
      <c r="OK60" s="43">
        <v>0</v>
      </c>
      <c r="OL60" s="49"/>
      <c r="OM60" s="50">
        <v>0</v>
      </c>
      <c r="ON60" s="48">
        <v>0</v>
      </c>
      <c r="OO60" s="48">
        <v>0</v>
      </c>
      <c r="OP60" s="48">
        <v>0</v>
      </c>
      <c r="OQ60" s="43">
        <v>0</v>
      </c>
      <c r="OR60" s="49"/>
      <c r="OS60" s="23">
        <v>96</v>
      </c>
      <c r="OT60" s="48">
        <v>0</v>
      </c>
      <c r="OU60" s="43">
        <v>0</v>
      </c>
      <c r="OV60" s="49"/>
      <c r="OW60" s="50">
        <v>0</v>
      </c>
      <c r="OX60" s="48">
        <v>0</v>
      </c>
      <c r="OY60" s="17">
        <v>48</v>
      </c>
      <c r="OZ60" s="48">
        <v>0</v>
      </c>
      <c r="PA60" s="43">
        <v>0</v>
      </c>
      <c r="PB60" s="49"/>
      <c r="PC60" s="50"/>
      <c r="PF60" s="49"/>
      <c r="PG60" s="50"/>
      <c r="PL60" s="49"/>
      <c r="PM60" s="47"/>
      <c r="PN60" s="48"/>
      <c r="PP60" s="48"/>
      <c r="PR60" s="49"/>
      <c r="PS60" s="47"/>
      <c r="PX60" s="46"/>
      <c r="PY60" s="47"/>
      <c r="QB60" s="46"/>
      <c r="QC60" s="47"/>
      <c r="QH60" s="46"/>
      <c r="QI60" s="47"/>
      <c r="QN60" s="46"/>
      <c r="QO60" s="47"/>
      <c r="QT60" s="46"/>
      <c r="QU60" s="47"/>
      <c r="QX60" s="46"/>
      <c r="QY60" s="47"/>
      <c r="RD60" s="46"/>
    </row>
    <row r="61" spans="1:472" x14ac:dyDescent="0.25">
      <c r="A61" s="43" t="s">
        <v>349</v>
      </c>
      <c r="B61" s="44">
        <v>0.5</v>
      </c>
      <c r="I61" s="47"/>
      <c r="J61" s="51"/>
      <c r="K61" s="51"/>
      <c r="L61" s="51"/>
      <c r="M61" s="51">
        <f t="shared" si="8"/>
        <v>0</v>
      </c>
      <c r="N61" s="46"/>
      <c r="O61" s="47"/>
      <c r="P61" s="51"/>
      <c r="Q61" s="51"/>
      <c r="R61" s="51"/>
      <c r="S61" s="51">
        <f t="shared" si="9"/>
        <v>0</v>
      </c>
      <c r="T61" s="46"/>
      <c r="U61" s="47"/>
      <c r="V61" s="51"/>
      <c r="W61" s="51"/>
      <c r="X61" s="51"/>
      <c r="Y61" s="51">
        <f t="shared" si="10"/>
        <v>0</v>
      </c>
      <c r="Z61" s="46"/>
      <c r="AA61" s="51"/>
      <c r="AE61" s="43">
        <v>0</v>
      </c>
      <c r="AF61" s="46"/>
      <c r="AG61" s="47"/>
      <c r="AK61" s="43">
        <v>0</v>
      </c>
      <c r="AL61" s="46"/>
      <c r="AQ61" s="43">
        <v>0</v>
      </c>
      <c r="AR61" s="46"/>
      <c r="AW61" s="43">
        <v>0</v>
      </c>
      <c r="AX61" s="46"/>
      <c r="AY61" s="47"/>
      <c r="BC61" s="43">
        <v>0</v>
      </c>
      <c r="BD61" s="46"/>
      <c r="BE61" s="47"/>
      <c r="BI61" s="43">
        <v>0</v>
      </c>
      <c r="BJ61" s="46"/>
      <c r="BP61" s="43">
        <v>0</v>
      </c>
      <c r="BQ61" s="46"/>
      <c r="BT61" s="43">
        <v>0</v>
      </c>
      <c r="BU61" s="46"/>
      <c r="BV61" s="47"/>
      <c r="BZ61" s="43">
        <v>0</v>
      </c>
      <c r="CA61" s="46"/>
      <c r="CF61" s="43">
        <v>0</v>
      </c>
      <c r="CG61" s="46"/>
      <c r="CL61" s="43">
        <v>0</v>
      </c>
      <c r="CM61" s="46"/>
      <c r="CN61" s="47"/>
      <c r="CR61" s="43">
        <v>0</v>
      </c>
      <c r="CS61" s="46"/>
      <c r="CX61" s="43">
        <v>0</v>
      </c>
      <c r="CY61" s="46"/>
      <c r="CZ61" s="47"/>
      <c r="DD61" s="43">
        <v>0</v>
      </c>
      <c r="DE61" s="46"/>
      <c r="DF61" s="47"/>
      <c r="DL61" s="43">
        <v>0</v>
      </c>
      <c r="DM61" s="46"/>
      <c r="DN61" s="47"/>
      <c r="DR61" s="43">
        <v>0</v>
      </c>
      <c r="DS61" s="46"/>
      <c r="DZ61" s="43">
        <v>0</v>
      </c>
      <c r="EA61" s="46"/>
      <c r="EB61" s="47"/>
      <c r="EF61" s="43">
        <v>0</v>
      </c>
      <c r="EG61" s="46"/>
      <c r="EH61" s="47"/>
      <c r="EL61" s="43">
        <v>0</v>
      </c>
      <c r="EM61" s="46"/>
      <c r="EN61" s="47"/>
      <c r="ER61" s="43">
        <v>0</v>
      </c>
      <c r="ES61" s="46"/>
      <c r="EZ61" s="43">
        <v>0</v>
      </c>
      <c r="FA61" s="46"/>
      <c r="FG61" s="43">
        <v>0</v>
      </c>
      <c r="FH61" s="46"/>
      <c r="FI61" s="47"/>
      <c r="FL61" s="43">
        <v>0</v>
      </c>
      <c r="FM61" s="46"/>
      <c r="FN61" s="45">
        <v>8</v>
      </c>
      <c r="FP61">
        <v>8</v>
      </c>
      <c r="FQ61" s="43">
        <v>0</v>
      </c>
      <c r="FR61" s="46"/>
      <c r="FS61">
        <v>8</v>
      </c>
      <c r="FV61">
        <v>8</v>
      </c>
      <c r="FW61" s="43">
        <v>0</v>
      </c>
      <c r="FX61" s="46"/>
      <c r="FY61" s="47"/>
      <c r="GD61" s="43">
        <v>0</v>
      </c>
      <c r="GE61" s="46"/>
      <c r="GJ61" s="43">
        <v>0</v>
      </c>
      <c r="GK61" s="46"/>
      <c r="GL61" s="47"/>
      <c r="GP61" s="43">
        <v>0</v>
      </c>
      <c r="GQ61" s="46"/>
      <c r="GV61" s="43">
        <v>0</v>
      </c>
      <c r="GW61" s="46"/>
      <c r="GX61" s="47"/>
      <c r="GZ61" s="43">
        <v>0</v>
      </c>
      <c r="HA61" s="46"/>
      <c r="HB61" s="47"/>
      <c r="HF61" s="43">
        <v>0</v>
      </c>
      <c r="HG61" s="46"/>
      <c r="HH61" s="47"/>
      <c r="HJ61" s="43">
        <v>0</v>
      </c>
      <c r="HK61" s="46"/>
      <c r="HL61" s="47"/>
      <c r="HN61">
        <v>32</v>
      </c>
      <c r="HO61">
        <v>30</v>
      </c>
      <c r="HP61" s="43">
        <v>2</v>
      </c>
      <c r="HQ61" s="46"/>
      <c r="HV61">
        <v>8</v>
      </c>
      <c r="HW61">
        <v>7</v>
      </c>
      <c r="HX61" s="43">
        <v>1</v>
      </c>
      <c r="HY61" s="46"/>
      <c r="HZ61" s="47"/>
      <c r="ID61" s="43">
        <v>0</v>
      </c>
      <c r="IE61" s="46"/>
      <c r="IJ61" s="43">
        <v>0</v>
      </c>
      <c r="IK61" s="49"/>
      <c r="IN61">
        <v>32</v>
      </c>
      <c r="IO61">
        <v>30</v>
      </c>
      <c r="IP61" s="43">
        <v>2</v>
      </c>
      <c r="IQ61" s="49"/>
      <c r="IR61">
        <v>8</v>
      </c>
      <c r="IS61">
        <v>8</v>
      </c>
      <c r="IV61" s="43">
        <v>0</v>
      </c>
      <c r="IW61" s="49"/>
      <c r="IZ61">
        <v>24</v>
      </c>
      <c r="JA61">
        <v>22</v>
      </c>
      <c r="JB61" s="43">
        <v>2</v>
      </c>
      <c r="JC61" s="46"/>
      <c r="JF61" s="43">
        <v>0</v>
      </c>
      <c r="JG61" s="49"/>
      <c r="JL61" s="43">
        <v>0</v>
      </c>
      <c r="JM61" s="46"/>
      <c r="JN61" s="45">
        <v>16</v>
      </c>
      <c r="JO61" s="48">
        <v>20</v>
      </c>
      <c r="JP61" s="43">
        <v>-4</v>
      </c>
      <c r="JQ61" s="49"/>
      <c r="JV61" s="43">
        <v>0</v>
      </c>
      <c r="JW61" s="49"/>
      <c r="JZ61">
        <v>24</v>
      </c>
      <c r="KA61">
        <v>26</v>
      </c>
      <c r="KB61" s="43">
        <v>-2</v>
      </c>
      <c r="KC61" s="49"/>
      <c r="KH61" s="43">
        <v>0</v>
      </c>
      <c r="KI61" s="49"/>
      <c r="KN61" s="43">
        <v>0</v>
      </c>
      <c r="KO61" s="49"/>
      <c r="KP61" s="45">
        <v>32</v>
      </c>
      <c r="KQ61">
        <v>30</v>
      </c>
      <c r="KU61">
        <v>30</v>
      </c>
      <c r="KV61" s="42">
        <v>-28</v>
      </c>
      <c r="KW61" s="49">
        <v>14</v>
      </c>
      <c r="KX61" s="48">
        <v>0</v>
      </c>
      <c r="KY61" s="48">
        <v>0</v>
      </c>
      <c r="KZ61" s="48">
        <v>0</v>
      </c>
      <c r="LA61" s="48">
        <v>0</v>
      </c>
      <c r="LB61" s="43">
        <v>0</v>
      </c>
      <c r="LC61" s="49"/>
      <c r="LD61" s="48">
        <v>0</v>
      </c>
      <c r="LE61" s="48">
        <v>0</v>
      </c>
      <c r="LF61" s="48">
        <v>0</v>
      </c>
      <c r="LG61" s="48">
        <v>0</v>
      </c>
      <c r="LH61" s="43">
        <v>0</v>
      </c>
      <c r="LI61" s="49"/>
      <c r="LJ61" s="50">
        <v>32</v>
      </c>
      <c r="LK61" s="48">
        <v>30</v>
      </c>
      <c r="LL61" s="43">
        <v>2</v>
      </c>
      <c r="LM61" s="49"/>
      <c r="LN61" s="50">
        <v>0</v>
      </c>
      <c r="LO61" s="48">
        <v>0</v>
      </c>
      <c r="LP61" s="48">
        <v>0</v>
      </c>
      <c r="LQ61" s="48">
        <v>0</v>
      </c>
      <c r="LR61" s="48">
        <v>0</v>
      </c>
      <c r="LS61" s="43">
        <v>0</v>
      </c>
      <c r="LT61" s="49"/>
      <c r="LU61" s="50">
        <v>8</v>
      </c>
      <c r="LV61" s="48">
        <v>8</v>
      </c>
      <c r="LW61" s="48">
        <v>8</v>
      </c>
      <c r="LX61" s="48">
        <v>8</v>
      </c>
      <c r="LY61" s="43">
        <v>0</v>
      </c>
      <c r="LZ61" s="49"/>
      <c r="MA61" s="50">
        <v>0</v>
      </c>
      <c r="MB61" s="48">
        <v>0</v>
      </c>
      <c r="MC61" s="43">
        <v>0</v>
      </c>
      <c r="MD61" s="49"/>
      <c r="ME61" s="50">
        <v>0</v>
      </c>
      <c r="MF61" s="48">
        <v>0</v>
      </c>
      <c r="MG61" s="48">
        <v>8</v>
      </c>
      <c r="MH61" s="48">
        <v>10</v>
      </c>
      <c r="MI61" s="43">
        <v>-2</v>
      </c>
      <c r="MJ61" s="49"/>
      <c r="MK61" s="50">
        <v>8</v>
      </c>
      <c r="ML61" s="48">
        <v>8</v>
      </c>
      <c r="MM61" s="43">
        <v>0</v>
      </c>
      <c r="MN61" s="49"/>
      <c r="MO61" s="50">
        <v>0</v>
      </c>
      <c r="MP61" s="48">
        <v>0</v>
      </c>
      <c r="MQ61" s="48">
        <v>24</v>
      </c>
      <c r="MR61" s="48">
        <v>25</v>
      </c>
      <c r="MS61" s="43">
        <v>-1</v>
      </c>
      <c r="MT61" s="49"/>
      <c r="MU61" s="48">
        <v>0</v>
      </c>
      <c r="MV61" s="46"/>
      <c r="MW61" s="48">
        <v>0</v>
      </c>
      <c r="MX61" s="48">
        <v>0</v>
      </c>
      <c r="MY61" s="43">
        <v>0</v>
      </c>
      <c r="MZ61" s="49"/>
      <c r="NA61" s="50">
        <v>0</v>
      </c>
      <c r="NB61" s="48">
        <v>0</v>
      </c>
      <c r="NC61" s="48">
        <v>0</v>
      </c>
      <c r="ND61" s="48">
        <v>0</v>
      </c>
      <c r="NE61" s="43">
        <v>0</v>
      </c>
      <c r="NF61" s="49"/>
      <c r="NG61" s="50">
        <v>0</v>
      </c>
      <c r="NH61" s="48">
        <v>0</v>
      </c>
      <c r="NI61" s="48">
        <v>32</v>
      </c>
      <c r="NJ61" s="48">
        <v>30</v>
      </c>
      <c r="NK61" s="43">
        <v>2</v>
      </c>
      <c r="NL61" s="49"/>
      <c r="NM61" s="50">
        <v>0</v>
      </c>
      <c r="NN61" s="48">
        <v>0</v>
      </c>
      <c r="NO61" s="48">
        <v>0</v>
      </c>
      <c r="NP61" s="48">
        <v>0</v>
      </c>
      <c r="NQ61" s="43">
        <v>0</v>
      </c>
      <c r="NR61" s="49"/>
      <c r="NS61" s="50">
        <v>0</v>
      </c>
      <c r="NT61" s="48">
        <v>0</v>
      </c>
      <c r="NU61" s="48">
        <v>8</v>
      </c>
      <c r="NV61" s="48">
        <v>10</v>
      </c>
      <c r="NW61" s="43">
        <v>-2</v>
      </c>
      <c r="NX61" s="49"/>
      <c r="NY61" s="50">
        <v>0</v>
      </c>
      <c r="NZ61" s="48">
        <v>0</v>
      </c>
      <c r="OA61" s="48">
        <v>16</v>
      </c>
      <c r="OB61" s="48">
        <v>16</v>
      </c>
      <c r="OC61" s="43">
        <v>0</v>
      </c>
      <c r="OD61" s="49"/>
      <c r="OE61" s="50">
        <v>0</v>
      </c>
      <c r="OF61" s="48">
        <v>0</v>
      </c>
      <c r="OG61" s="43">
        <v>0</v>
      </c>
      <c r="OH61" s="49"/>
      <c r="OI61" s="23">
        <v>8</v>
      </c>
      <c r="OJ61" s="48">
        <v>0</v>
      </c>
      <c r="OK61" s="43">
        <v>0</v>
      </c>
      <c r="OL61" s="49"/>
      <c r="OM61" s="50"/>
      <c r="OR61" s="49"/>
      <c r="OS61" s="50"/>
      <c r="OV61" s="49"/>
      <c r="OW61" s="50"/>
      <c r="PB61" s="49"/>
      <c r="PC61" s="50"/>
      <c r="PF61" s="49"/>
      <c r="PG61" s="50"/>
      <c r="PL61" s="49"/>
      <c r="PM61" s="47"/>
      <c r="PN61" s="48"/>
      <c r="PP61" s="48"/>
      <c r="PR61" s="49"/>
      <c r="PS61" s="47"/>
      <c r="PX61" s="46"/>
      <c r="PY61" s="47"/>
      <c r="QB61" s="46"/>
      <c r="QC61" s="47"/>
      <c r="QH61" s="46"/>
      <c r="QI61" s="47"/>
      <c r="QN61" s="46"/>
      <c r="QO61" s="47"/>
      <c r="QT61" s="46"/>
      <c r="QU61" s="47"/>
      <c r="QX61" s="46"/>
      <c r="QY61" s="47"/>
      <c r="RD61" s="46"/>
    </row>
    <row r="62" spans="1:472" x14ac:dyDescent="0.25">
      <c r="A62" s="43" t="s">
        <v>350</v>
      </c>
      <c r="B62" s="44">
        <v>0.5</v>
      </c>
      <c r="I62" s="47"/>
      <c r="J62" s="51"/>
      <c r="K62" s="51"/>
      <c r="L62" s="51"/>
      <c r="M62" s="51">
        <f t="shared" si="8"/>
        <v>0</v>
      </c>
      <c r="N62" s="46"/>
      <c r="O62" s="47"/>
      <c r="P62" s="51"/>
      <c r="Q62" s="51"/>
      <c r="R62" s="51"/>
      <c r="S62" s="51">
        <f t="shared" si="9"/>
        <v>0</v>
      </c>
      <c r="T62" s="46"/>
      <c r="U62" s="47"/>
      <c r="V62" s="51"/>
      <c r="W62" s="51"/>
      <c r="X62" s="51"/>
      <c r="Y62" s="51">
        <f t="shared" si="10"/>
        <v>0</v>
      </c>
      <c r="Z62" s="46"/>
      <c r="AA62" s="51"/>
      <c r="AE62" s="43">
        <v>0</v>
      </c>
      <c r="AF62" s="46"/>
      <c r="AG62" s="47"/>
      <c r="AK62" s="43">
        <v>0</v>
      </c>
      <c r="AL62" s="46"/>
      <c r="AQ62" s="43">
        <v>0</v>
      </c>
      <c r="AR62" s="46"/>
      <c r="AW62" s="43">
        <v>0</v>
      </c>
      <c r="AX62" s="46"/>
      <c r="AY62" s="47"/>
      <c r="BC62" s="43">
        <v>0</v>
      </c>
      <c r="BD62" s="46"/>
      <c r="BE62" s="47"/>
      <c r="BI62" s="43">
        <v>0</v>
      </c>
      <c r="BJ62" s="46"/>
      <c r="BP62" s="43">
        <v>0</v>
      </c>
      <c r="BQ62" s="46"/>
      <c r="BT62" s="43">
        <v>0</v>
      </c>
      <c r="BU62" s="46"/>
      <c r="BV62" s="47"/>
      <c r="BZ62" s="43">
        <v>0</v>
      </c>
      <c r="CA62" s="46"/>
      <c r="CF62" s="43">
        <v>0</v>
      </c>
      <c r="CG62" s="46"/>
      <c r="CL62" s="43">
        <v>0</v>
      </c>
      <c r="CM62" s="46"/>
      <c r="CN62" s="47"/>
      <c r="CR62" s="43">
        <v>0</v>
      </c>
      <c r="CS62" s="46"/>
      <c r="CX62" s="43">
        <v>0</v>
      </c>
      <c r="CY62" s="46"/>
      <c r="CZ62" s="47"/>
      <c r="DD62" s="43">
        <v>0</v>
      </c>
      <c r="DE62" s="46"/>
      <c r="DF62" s="47"/>
      <c r="DL62" s="43">
        <v>0</v>
      </c>
      <c r="DM62" s="46"/>
      <c r="DN62" s="47"/>
      <c r="DR62" s="43">
        <v>0</v>
      </c>
      <c r="DS62" s="46"/>
      <c r="DZ62" s="43">
        <v>0</v>
      </c>
      <c r="EA62" s="46"/>
      <c r="EB62" s="47"/>
      <c r="EF62" s="43">
        <v>0</v>
      </c>
      <c r="EG62" s="46"/>
      <c r="EH62" s="47"/>
      <c r="EL62" s="43">
        <v>0</v>
      </c>
      <c r="EM62" s="46"/>
      <c r="EN62" s="47"/>
      <c r="ER62" s="43">
        <v>0</v>
      </c>
      <c r="ES62" s="46"/>
      <c r="EZ62" s="43">
        <v>0</v>
      </c>
      <c r="FA62" s="46"/>
      <c r="FG62" s="43">
        <v>0</v>
      </c>
      <c r="FH62" s="46"/>
      <c r="FI62" s="47"/>
      <c r="FL62" s="43">
        <v>0</v>
      </c>
      <c r="FM62" s="46"/>
      <c r="FN62" s="47"/>
      <c r="FQ62" s="43">
        <v>0</v>
      </c>
      <c r="FR62" s="46"/>
      <c r="FW62" s="43">
        <v>0</v>
      </c>
      <c r="FX62" s="46"/>
      <c r="FY62" s="47"/>
      <c r="GD62" s="43">
        <v>0</v>
      </c>
      <c r="GE62" s="46"/>
      <c r="GJ62" s="43">
        <v>0</v>
      </c>
      <c r="GK62" s="46"/>
      <c r="GL62" s="47"/>
      <c r="GP62" s="43">
        <v>0</v>
      </c>
      <c r="GQ62" s="46"/>
      <c r="GV62" s="43">
        <v>0</v>
      </c>
      <c r="GW62" s="46"/>
      <c r="GX62" s="47"/>
      <c r="GZ62" s="43">
        <v>0</v>
      </c>
      <c r="HA62" s="46"/>
      <c r="HB62" s="47"/>
      <c r="HF62" s="43">
        <v>0</v>
      </c>
      <c r="HG62" s="46"/>
      <c r="HH62" s="47"/>
      <c r="HJ62" s="43">
        <v>0</v>
      </c>
      <c r="HK62" s="46"/>
      <c r="HL62" s="47"/>
      <c r="HP62" s="43">
        <v>0</v>
      </c>
      <c r="HQ62" s="46"/>
      <c r="HX62" s="43">
        <v>0</v>
      </c>
      <c r="HY62" s="46"/>
      <c r="HZ62" s="47"/>
      <c r="ID62" s="43">
        <v>0</v>
      </c>
      <c r="IE62" s="46"/>
      <c r="IJ62" s="43">
        <v>0</v>
      </c>
      <c r="IK62" s="49"/>
      <c r="IP62" s="43">
        <v>0</v>
      </c>
      <c r="IQ62" s="49"/>
      <c r="IV62" s="43">
        <v>0</v>
      </c>
      <c r="IW62" s="49"/>
      <c r="JB62" s="43">
        <v>0</v>
      </c>
      <c r="JC62" s="46"/>
      <c r="JF62" s="43">
        <v>0</v>
      </c>
      <c r="JG62" s="49"/>
      <c r="JL62" s="43">
        <v>0</v>
      </c>
      <c r="JM62" s="46"/>
      <c r="JN62" s="50"/>
      <c r="JP62" s="43">
        <v>0</v>
      </c>
      <c r="JQ62" s="49"/>
      <c r="JV62" s="43">
        <v>0</v>
      </c>
      <c r="JW62" s="49"/>
      <c r="KB62" s="43">
        <v>0</v>
      </c>
      <c r="KC62" s="49"/>
      <c r="KH62" s="43">
        <v>0</v>
      </c>
      <c r="KI62" s="49"/>
      <c r="KN62" s="43">
        <v>0</v>
      </c>
      <c r="KO62" s="49"/>
      <c r="KP62" s="50"/>
      <c r="KV62" s="43">
        <v>0</v>
      </c>
      <c r="KW62" s="49"/>
      <c r="KX62" s="48">
        <v>0</v>
      </c>
      <c r="KY62" s="48">
        <v>0</v>
      </c>
      <c r="KZ62" s="48">
        <v>0</v>
      </c>
      <c r="LA62" s="48">
        <v>0</v>
      </c>
      <c r="LB62" s="43">
        <v>0</v>
      </c>
      <c r="LC62" s="49"/>
      <c r="LD62" s="48">
        <v>0</v>
      </c>
      <c r="LE62" s="48">
        <v>0</v>
      </c>
      <c r="LF62" s="48">
        <v>0</v>
      </c>
      <c r="LG62" s="48">
        <v>0</v>
      </c>
      <c r="LH62" s="43">
        <v>0</v>
      </c>
      <c r="LI62" s="49"/>
      <c r="LJ62" s="50">
        <v>0</v>
      </c>
      <c r="LK62" s="48">
        <v>0</v>
      </c>
      <c r="LL62" s="43">
        <v>0</v>
      </c>
      <c r="LM62" s="49"/>
      <c r="LN62" s="50">
        <v>0</v>
      </c>
      <c r="LO62" s="48">
        <v>0</v>
      </c>
      <c r="LP62" s="48">
        <v>0</v>
      </c>
      <c r="LQ62" s="48">
        <v>0</v>
      </c>
      <c r="LR62" s="48">
        <v>0</v>
      </c>
      <c r="LS62" s="43">
        <v>0</v>
      </c>
      <c r="LT62" s="49"/>
      <c r="LU62" s="50">
        <v>0</v>
      </c>
      <c r="LV62" s="48">
        <v>0</v>
      </c>
      <c r="LW62" s="48">
        <v>0</v>
      </c>
      <c r="LX62" s="48">
        <v>0</v>
      </c>
      <c r="LY62" s="43">
        <v>0</v>
      </c>
      <c r="LZ62" s="49"/>
      <c r="MA62" s="50">
        <v>0</v>
      </c>
      <c r="MB62" s="48">
        <v>0</v>
      </c>
      <c r="MC62" s="43">
        <v>0</v>
      </c>
      <c r="MD62" s="49"/>
      <c r="ME62" s="50">
        <v>0</v>
      </c>
      <c r="MF62" s="48">
        <v>0</v>
      </c>
      <c r="MG62" s="48">
        <v>0</v>
      </c>
      <c r="MH62" s="48">
        <v>0</v>
      </c>
      <c r="MI62" s="43">
        <v>0</v>
      </c>
      <c r="MJ62" s="49"/>
      <c r="MK62" s="50">
        <v>0</v>
      </c>
      <c r="ML62" s="48">
        <v>0</v>
      </c>
      <c r="MM62" s="43">
        <v>0</v>
      </c>
      <c r="MN62" s="49"/>
      <c r="MO62" s="50">
        <v>0</v>
      </c>
      <c r="MP62" s="48">
        <v>0</v>
      </c>
      <c r="MQ62" s="48">
        <v>0</v>
      </c>
      <c r="MR62" s="48">
        <v>0</v>
      </c>
      <c r="MS62" s="43">
        <v>0</v>
      </c>
      <c r="MT62" s="49"/>
      <c r="MU62" s="48">
        <v>0</v>
      </c>
      <c r="MV62" s="46"/>
      <c r="MW62" s="48">
        <v>0</v>
      </c>
      <c r="MX62" s="48">
        <v>0</v>
      </c>
      <c r="MY62" s="43">
        <v>0</v>
      </c>
      <c r="MZ62" s="49"/>
      <c r="NA62" s="50">
        <v>0</v>
      </c>
      <c r="NB62" s="48">
        <v>0</v>
      </c>
      <c r="NC62" s="48">
        <v>0</v>
      </c>
      <c r="ND62" s="48">
        <v>0</v>
      </c>
      <c r="NE62" s="43">
        <v>0</v>
      </c>
      <c r="NF62" s="49"/>
      <c r="NG62" s="50">
        <v>0</v>
      </c>
      <c r="NH62" s="48">
        <v>0</v>
      </c>
      <c r="NI62" s="48">
        <v>0</v>
      </c>
      <c r="NJ62" s="48">
        <v>0</v>
      </c>
      <c r="NK62" s="43">
        <v>0</v>
      </c>
      <c r="NL62" s="49"/>
      <c r="NM62" s="50">
        <v>0</v>
      </c>
      <c r="NN62" s="48">
        <v>0</v>
      </c>
      <c r="NO62" s="48">
        <v>0</v>
      </c>
      <c r="NP62" s="48">
        <v>0</v>
      </c>
      <c r="NQ62" s="43">
        <v>0</v>
      </c>
      <c r="NR62" s="49"/>
      <c r="NS62" s="50">
        <v>0</v>
      </c>
      <c r="NT62" s="48">
        <v>0</v>
      </c>
      <c r="NU62" s="48">
        <v>0</v>
      </c>
      <c r="NV62" s="48">
        <v>0</v>
      </c>
      <c r="NW62" s="43">
        <v>0</v>
      </c>
      <c r="NX62" s="49"/>
      <c r="NY62" s="50">
        <v>0</v>
      </c>
      <c r="NZ62" s="48">
        <v>0</v>
      </c>
      <c r="OA62" s="48">
        <v>0</v>
      </c>
      <c r="OB62" s="48">
        <v>0</v>
      </c>
      <c r="OC62" s="43">
        <v>0</v>
      </c>
      <c r="OD62" s="49"/>
      <c r="OE62" s="50">
        <v>0</v>
      </c>
      <c r="OF62" s="48">
        <v>0</v>
      </c>
      <c r="OG62" s="43">
        <v>0</v>
      </c>
      <c r="OH62" s="49"/>
      <c r="OI62" s="50">
        <v>0</v>
      </c>
      <c r="OJ62" s="48">
        <v>0</v>
      </c>
      <c r="OK62" s="43">
        <v>0</v>
      </c>
      <c r="OL62" s="49"/>
      <c r="OM62" s="50">
        <v>0</v>
      </c>
      <c r="ON62" s="48">
        <v>0</v>
      </c>
      <c r="OO62" s="48">
        <v>0</v>
      </c>
      <c r="OP62" s="48">
        <v>0</v>
      </c>
      <c r="OQ62" s="43">
        <v>0</v>
      </c>
      <c r="OR62" s="49"/>
      <c r="OS62" s="50">
        <v>0</v>
      </c>
      <c r="OT62" s="48">
        <v>0</v>
      </c>
      <c r="OU62" s="43">
        <v>0</v>
      </c>
      <c r="OV62" s="49"/>
      <c r="OW62" s="50">
        <v>0</v>
      </c>
      <c r="OX62" s="48">
        <v>0</v>
      </c>
      <c r="OY62" s="48">
        <v>0</v>
      </c>
      <c r="OZ62" s="48">
        <v>0</v>
      </c>
      <c r="PA62" s="43">
        <v>0</v>
      </c>
      <c r="PB62" s="49"/>
      <c r="PC62" s="50">
        <v>0</v>
      </c>
      <c r="PD62" s="48">
        <v>0</v>
      </c>
      <c r="PE62" s="43">
        <v>0</v>
      </c>
      <c r="PF62" s="49"/>
      <c r="PG62" s="50">
        <v>0</v>
      </c>
      <c r="PH62" s="48">
        <v>0</v>
      </c>
      <c r="PI62" s="48">
        <v>0</v>
      </c>
      <c r="PJ62" s="48">
        <v>0</v>
      </c>
      <c r="PK62" s="43">
        <v>0</v>
      </c>
      <c r="PL62" s="49"/>
      <c r="PM62" s="47">
        <v>0</v>
      </c>
      <c r="PN62" s="48">
        <v>0</v>
      </c>
      <c r="PO62" s="48">
        <v>0</v>
      </c>
      <c r="PP62" s="48">
        <v>0</v>
      </c>
      <c r="PQ62" s="43">
        <v>0</v>
      </c>
      <c r="PR62" s="49"/>
      <c r="PS62" s="47">
        <v>0</v>
      </c>
      <c r="PT62" s="43">
        <v>0</v>
      </c>
      <c r="PU62" s="43">
        <v>0</v>
      </c>
      <c r="PV62" s="43">
        <v>0</v>
      </c>
      <c r="PW62" s="43">
        <v>0</v>
      </c>
      <c r="PX62" s="46"/>
      <c r="PY62" s="47">
        <v>0</v>
      </c>
      <c r="PZ62" s="43">
        <v>0</v>
      </c>
      <c r="QA62" s="43">
        <v>0</v>
      </c>
      <c r="QB62" s="46"/>
      <c r="QC62" s="47">
        <v>496</v>
      </c>
      <c r="QD62" s="43">
        <v>500</v>
      </c>
      <c r="QE62" s="43">
        <v>496</v>
      </c>
      <c r="QF62" s="43">
        <v>500</v>
      </c>
      <c r="QG62" s="43">
        <v>-8</v>
      </c>
      <c r="QH62" s="46"/>
      <c r="QI62" s="47">
        <v>0</v>
      </c>
      <c r="QJ62" s="43">
        <v>0</v>
      </c>
      <c r="QK62" s="43">
        <v>0</v>
      </c>
      <c r="QL62" s="43">
        <v>0</v>
      </c>
      <c r="QM62" s="43">
        <v>0</v>
      </c>
      <c r="QN62" s="46"/>
      <c r="QO62" s="47">
        <v>0</v>
      </c>
      <c r="QP62" s="43">
        <v>0</v>
      </c>
      <c r="QQ62" s="43">
        <v>0</v>
      </c>
      <c r="QR62" s="43">
        <v>0</v>
      </c>
      <c r="QS62" s="43">
        <v>0</v>
      </c>
      <c r="QT62" s="46"/>
      <c r="QU62" s="47">
        <v>0</v>
      </c>
      <c r="QV62" s="43">
        <v>0</v>
      </c>
      <c r="QW62" s="43">
        <v>0</v>
      </c>
      <c r="QX62" s="46"/>
      <c r="QY62" s="47">
        <v>0</v>
      </c>
      <c r="QZ62" s="43">
        <v>0</v>
      </c>
      <c r="RA62" s="43">
        <v>0</v>
      </c>
      <c r="RB62" s="43">
        <v>0</v>
      </c>
      <c r="RC62" s="43">
        <v>0</v>
      </c>
      <c r="RD62" s="46"/>
    </row>
    <row r="63" spans="1:472" x14ac:dyDescent="0.25">
      <c r="A63" s="43" t="s">
        <v>351</v>
      </c>
      <c r="B63" s="44">
        <v>0.4</v>
      </c>
      <c r="E63">
        <v>180</v>
      </c>
      <c r="F63">
        <v>193</v>
      </c>
      <c r="I63" s="45">
        <v>96</v>
      </c>
      <c r="J63" s="52">
        <v>100</v>
      </c>
      <c r="K63" s="52">
        <v>40</v>
      </c>
      <c r="L63" s="52">
        <v>44</v>
      </c>
      <c r="M63" s="51">
        <f t="shared" si="8"/>
        <v>-8</v>
      </c>
      <c r="N63" s="46"/>
      <c r="O63" s="45">
        <v>152</v>
      </c>
      <c r="P63" s="52">
        <v>150</v>
      </c>
      <c r="Q63" s="52">
        <v>200</v>
      </c>
      <c r="R63" s="52">
        <v>205</v>
      </c>
      <c r="S63" s="51">
        <f t="shared" si="9"/>
        <v>-3</v>
      </c>
      <c r="T63" s="46"/>
      <c r="U63" s="47"/>
      <c r="V63" s="51"/>
      <c r="W63" s="51"/>
      <c r="X63" s="51"/>
      <c r="Y63" s="51">
        <f t="shared" si="10"/>
        <v>0</v>
      </c>
      <c r="Z63" s="46"/>
      <c r="AA63" s="52">
        <v>176</v>
      </c>
      <c r="AB63">
        <v>180</v>
      </c>
      <c r="AC63">
        <v>216</v>
      </c>
      <c r="AD63">
        <v>216</v>
      </c>
      <c r="AE63" s="43">
        <v>-4</v>
      </c>
      <c r="AF63" s="46"/>
      <c r="AG63" s="45">
        <v>112</v>
      </c>
      <c r="AH63">
        <v>110</v>
      </c>
      <c r="AI63">
        <v>160</v>
      </c>
      <c r="AJ63">
        <v>158</v>
      </c>
      <c r="AK63" s="43">
        <v>4</v>
      </c>
      <c r="AL63" s="46"/>
      <c r="AM63">
        <v>112</v>
      </c>
      <c r="AN63">
        <v>110</v>
      </c>
      <c r="AO63">
        <v>128</v>
      </c>
      <c r="AP63">
        <v>129</v>
      </c>
      <c r="AQ63" s="43">
        <v>1</v>
      </c>
      <c r="AR63" s="46"/>
      <c r="AS63">
        <v>16</v>
      </c>
      <c r="AT63">
        <v>80</v>
      </c>
      <c r="AU63">
        <v>80</v>
      </c>
      <c r="AV63">
        <v>85</v>
      </c>
      <c r="AW63" s="42">
        <v>-69</v>
      </c>
      <c r="AX63" s="46">
        <v>27.6</v>
      </c>
      <c r="AY63" s="45">
        <v>200</v>
      </c>
      <c r="AZ63">
        <v>200</v>
      </c>
      <c r="BB63">
        <v>240</v>
      </c>
      <c r="BC63" s="42">
        <v>-240</v>
      </c>
      <c r="BD63" s="46">
        <v>96</v>
      </c>
      <c r="BE63" s="47"/>
      <c r="BI63" s="43">
        <v>0</v>
      </c>
      <c r="BJ63" s="46"/>
      <c r="BK63">
        <v>120</v>
      </c>
      <c r="BL63">
        <v>120</v>
      </c>
      <c r="BO63">
        <v>180</v>
      </c>
      <c r="BP63" s="42">
        <v>-180</v>
      </c>
      <c r="BQ63" s="46">
        <v>72</v>
      </c>
      <c r="BT63" s="43">
        <v>0</v>
      </c>
      <c r="BU63" s="46"/>
      <c r="BV63" s="45">
        <v>944</v>
      </c>
      <c r="BW63">
        <v>1000</v>
      </c>
      <c r="BX63">
        <v>568</v>
      </c>
      <c r="BY63">
        <v>1000</v>
      </c>
      <c r="BZ63" s="42">
        <v>-488</v>
      </c>
      <c r="CA63" s="46">
        <v>195.2</v>
      </c>
      <c r="CF63" s="43">
        <v>0</v>
      </c>
      <c r="CG63" s="46"/>
      <c r="CL63" s="43">
        <v>0</v>
      </c>
      <c r="CM63" s="46"/>
      <c r="CN63" s="47"/>
      <c r="CP63">
        <v>616</v>
      </c>
      <c r="CQ63">
        <v>619</v>
      </c>
      <c r="CR63" s="43">
        <v>-3</v>
      </c>
      <c r="CS63" s="46"/>
      <c r="CX63" s="43">
        <v>0</v>
      </c>
      <c r="CY63" s="46"/>
      <c r="CZ63" s="45">
        <v>200</v>
      </c>
      <c r="DA63">
        <v>200</v>
      </c>
      <c r="DC63">
        <v>186</v>
      </c>
      <c r="DD63" s="42">
        <v>-186</v>
      </c>
      <c r="DE63" s="46">
        <v>74.400000000000006</v>
      </c>
      <c r="DF63" s="47"/>
      <c r="DH63">
        <v>280</v>
      </c>
      <c r="DI63">
        <v>300</v>
      </c>
      <c r="DK63">
        <v>245</v>
      </c>
      <c r="DL63" s="42">
        <v>-265</v>
      </c>
      <c r="DM63" s="46">
        <v>106</v>
      </c>
      <c r="DN63" s="47"/>
      <c r="DP63">
        <v>16</v>
      </c>
      <c r="DQ63">
        <v>20</v>
      </c>
      <c r="DR63" s="43">
        <v>-4</v>
      </c>
      <c r="DS63" s="46"/>
      <c r="DV63">
        <v>120</v>
      </c>
      <c r="DW63">
        <v>120</v>
      </c>
      <c r="DX63">
        <v>120</v>
      </c>
      <c r="DY63">
        <v>120</v>
      </c>
      <c r="DZ63" s="43">
        <v>0</v>
      </c>
      <c r="EA63" s="46"/>
      <c r="EB63" s="47"/>
      <c r="ED63">
        <v>992</v>
      </c>
      <c r="EE63">
        <v>990</v>
      </c>
      <c r="EF63" s="43">
        <v>2</v>
      </c>
      <c r="EG63" s="46"/>
      <c r="EH63" s="47"/>
      <c r="EJ63">
        <v>16</v>
      </c>
      <c r="EK63">
        <v>16</v>
      </c>
      <c r="EL63" s="43">
        <v>0</v>
      </c>
      <c r="EM63" s="46"/>
      <c r="EN63" s="45">
        <v>320</v>
      </c>
      <c r="EO63">
        <v>320</v>
      </c>
      <c r="EP63">
        <v>296</v>
      </c>
      <c r="EQ63">
        <v>300</v>
      </c>
      <c r="ER63" s="43">
        <v>-4</v>
      </c>
      <c r="ES63" s="46"/>
      <c r="ET63">
        <v>96</v>
      </c>
      <c r="EU63">
        <v>100</v>
      </c>
      <c r="EV63">
        <v>96</v>
      </c>
      <c r="EW63">
        <v>100</v>
      </c>
      <c r="EX63">
        <v>96</v>
      </c>
      <c r="EY63">
        <v>100</v>
      </c>
      <c r="EZ63" s="43">
        <v>-12</v>
      </c>
      <c r="FA63" s="46"/>
      <c r="FD63">
        <v>296</v>
      </c>
      <c r="FF63">
        <v>300</v>
      </c>
      <c r="FG63" s="43">
        <v>-4</v>
      </c>
      <c r="FH63" s="46"/>
      <c r="FI63" s="47"/>
      <c r="FL63" s="43">
        <v>0</v>
      </c>
      <c r="FM63" s="46"/>
      <c r="FN63" s="45">
        <v>984</v>
      </c>
      <c r="FP63">
        <v>986</v>
      </c>
      <c r="FQ63" s="43">
        <v>-2</v>
      </c>
      <c r="FR63" s="46"/>
      <c r="FW63" s="43">
        <v>0</v>
      </c>
      <c r="FX63" s="46"/>
      <c r="FY63" s="45">
        <v>96</v>
      </c>
      <c r="GA63">
        <v>100</v>
      </c>
      <c r="GB63">
        <v>128</v>
      </c>
      <c r="GC63">
        <v>130</v>
      </c>
      <c r="GD63" s="43">
        <v>-6</v>
      </c>
      <c r="GE63" s="46"/>
      <c r="GF63">
        <v>256</v>
      </c>
      <c r="GG63">
        <v>260</v>
      </c>
      <c r="GH63">
        <v>240</v>
      </c>
      <c r="GI63">
        <v>240</v>
      </c>
      <c r="GJ63" s="43">
        <v>-4</v>
      </c>
      <c r="GK63" s="46"/>
      <c r="GL63" s="45">
        <v>352</v>
      </c>
      <c r="GM63">
        <v>350</v>
      </c>
      <c r="GN63">
        <v>400</v>
      </c>
      <c r="GO63">
        <v>400</v>
      </c>
      <c r="GP63" s="43">
        <v>2</v>
      </c>
      <c r="GQ63" s="46"/>
      <c r="GT63">
        <v>48</v>
      </c>
      <c r="GU63">
        <v>50</v>
      </c>
      <c r="GV63" s="43">
        <v>-2</v>
      </c>
      <c r="GW63" s="46"/>
      <c r="GX63" s="47"/>
      <c r="GZ63" s="43">
        <v>0</v>
      </c>
      <c r="HA63" s="46"/>
      <c r="HB63" s="45">
        <v>296</v>
      </c>
      <c r="HC63">
        <v>300</v>
      </c>
      <c r="HD63">
        <v>488</v>
      </c>
      <c r="HE63">
        <v>491</v>
      </c>
      <c r="HF63" s="43">
        <v>-7</v>
      </c>
      <c r="HG63" s="46"/>
      <c r="HH63" s="45">
        <v>296</v>
      </c>
      <c r="HI63">
        <v>300</v>
      </c>
      <c r="HJ63" s="43">
        <v>-4</v>
      </c>
      <c r="HK63" s="46"/>
      <c r="HL63" s="45">
        <v>128</v>
      </c>
      <c r="HM63">
        <v>150</v>
      </c>
      <c r="HN63">
        <v>136</v>
      </c>
      <c r="HO63">
        <v>140</v>
      </c>
      <c r="HP63" s="42">
        <v>-26</v>
      </c>
      <c r="HQ63" s="46">
        <v>10.4</v>
      </c>
      <c r="HR63">
        <v>496</v>
      </c>
      <c r="HS63">
        <v>500</v>
      </c>
      <c r="HT63">
        <v>512</v>
      </c>
      <c r="HU63">
        <v>510</v>
      </c>
      <c r="HX63" s="43">
        <v>-2</v>
      </c>
      <c r="HY63" s="46"/>
      <c r="HZ63" s="47"/>
      <c r="ID63" s="43">
        <v>0</v>
      </c>
      <c r="IE63" s="46"/>
      <c r="IF63">
        <v>248</v>
      </c>
      <c r="IG63">
        <v>250</v>
      </c>
      <c r="IH63">
        <v>448</v>
      </c>
      <c r="II63">
        <v>450</v>
      </c>
      <c r="IJ63" s="43">
        <v>-4</v>
      </c>
      <c r="IK63" s="49"/>
      <c r="IL63">
        <v>496</v>
      </c>
      <c r="IM63">
        <v>500</v>
      </c>
      <c r="IN63">
        <v>496</v>
      </c>
      <c r="IO63">
        <v>500</v>
      </c>
      <c r="IP63" s="43">
        <v>-8</v>
      </c>
      <c r="IQ63" s="49"/>
      <c r="IR63">
        <v>232</v>
      </c>
      <c r="IS63">
        <v>230</v>
      </c>
      <c r="IV63" s="43">
        <v>2</v>
      </c>
      <c r="IW63" s="49"/>
      <c r="IX63">
        <v>216</v>
      </c>
      <c r="IY63">
        <v>220</v>
      </c>
      <c r="IZ63">
        <v>176</v>
      </c>
      <c r="JA63">
        <v>180</v>
      </c>
      <c r="JB63" s="43">
        <v>-8</v>
      </c>
      <c r="JC63" s="46"/>
      <c r="JD63">
        <v>160</v>
      </c>
      <c r="JE63">
        <v>160</v>
      </c>
      <c r="JF63" s="43">
        <v>0</v>
      </c>
      <c r="JG63" s="49"/>
      <c r="JH63">
        <v>352</v>
      </c>
      <c r="JI63">
        <v>350</v>
      </c>
      <c r="JJ63">
        <v>272</v>
      </c>
      <c r="JK63">
        <v>276</v>
      </c>
      <c r="JL63" s="43">
        <v>-2</v>
      </c>
      <c r="JM63" s="46"/>
      <c r="JN63" s="45">
        <v>296</v>
      </c>
      <c r="JO63" s="48">
        <v>300</v>
      </c>
      <c r="JP63" s="43">
        <v>-4</v>
      </c>
      <c r="JQ63" s="49"/>
      <c r="JT63">
        <v>152</v>
      </c>
      <c r="JU63">
        <v>150</v>
      </c>
      <c r="JV63" s="43">
        <v>2</v>
      </c>
      <c r="JW63" s="49"/>
      <c r="JX63">
        <v>400</v>
      </c>
      <c r="JY63">
        <v>400</v>
      </c>
      <c r="JZ63">
        <v>432</v>
      </c>
      <c r="KA63">
        <v>433</v>
      </c>
      <c r="KB63" s="43">
        <v>-1</v>
      </c>
      <c r="KC63" s="49"/>
      <c r="KH63" s="43">
        <v>0</v>
      </c>
      <c r="KI63" s="49"/>
      <c r="KN63" s="43">
        <v>0</v>
      </c>
      <c r="KO63" s="49"/>
      <c r="KP63" s="45">
        <v>296</v>
      </c>
      <c r="KQ63">
        <v>300</v>
      </c>
      <c r="KR63">
        <v>400</v>
      </c>
      <c r="KS63">
        <v>400</v>
      </c>
      <c r="KT63">
        <v>24</v>
      </c>
      <c r="KU63">
        <v>290</v>
      </c>
      <c r="KV63" s="42">
        <v>-270</v>
      </c>
      <c r="KW63" s="49">
        <v>108</v>
      </c>
      <c r="KX63" s="48">
        <v>96</v>
      </c>
      <c r="KY63" s="48">
        <v>100</v>
      </c>
      <c r="KZ63" s="48">
        <v>96</v>
      </c>
      <c r="LA63" s="48">
        <v>100</v>
      </c>
      <c r="LB63" s="43">
        <v>-8</v>
      </c>
      <c r="LC63" s="49"/>
      <c r="LD63" s="48">
        <v>152</v>
      </c>
      <c r="LE63" s="48">
        <v>150</v>
      </c>
      <c r="LF63" s="48">
        <v>152</v>
      </c>
      <c r="LG63" s="48">
        <v>150</v>
      </c>
      <c r="LH63" s="43">
        <v>4</v>
      </c>
      <c r="LI63" s="49"/>
      <c r="LJ63" s="50">
        <v>352</v>
      </c>
      <c r="LK63" s="48">
        <v>350</v>
      </c>
      <c r="LL63" s="43">
        <v>2</v>
      </c>
      <c r="LM63" s="49"/>
      <c r="LN63" s="50">
        <v>240</v>
      </c>
      <c r="LO63" s="48">
        <v>240</v>
      </c>
      <c r="LP63" s="48">
        <v>200</v>
      </c>
      <c r="LQ63" s="48">
        <v>0</v>
      </c>
      <c r="LR63" s="48">
        <v>200</v>
      </c>
      <c r="LS63" s="43">
        <v>0</v>
      </c>
      <c r="LT63" s="49"/>
      <c r="LU63" s="50">
        <v>0</v>
      </c>
      <c r="LV63" s="48">
        <v>0</v>
      </c>
      <c r="LW63" s="48">
        <v>0</v>
      </c>
      <c r="LX63" s="48">
        <v>0</v>
      </c>
      <c r="LY63" s="43">
        <v>0</v>
      </c>
      <c r="LZ63" s="49"/>
      <c r="MA63" s="50">
        <v>0</v>
      </c>
      <c r="MB63" s="48">
        <v>0</v>
      </c>
      <c r="MC63" s="43">
        <v>0</v>
      </c>
      <c r="MD63" s="49"/>
      <c r="ME63" s="50">
        <v>80</v>
      </c>
      <c r="MF63" s="48">
        <v>80</v>
      </c>
      <c r="MG63" s="48">
        <v>0</v>
      </c>
      <c r="MH63" s="48">
        <v>0</v>
      </c>
      <c r="MI63" s="43">
        <v>0</v>
      </c>
      <c r="MJ63" s="49"/>
      <c r="MK63" s="50">
        <v>696</v>
      </c>
      <c r="ML63" s="48">
        <v>700</v>
      </c>
      <c r="MM63" s="43">
        <v>-4</v>
      </c>
      <c r="MN63" s="49"/>
      <c r="MO63" s="50">
        <v>200</v>
      </c>
      <c r="MP63" s="48">
        <v>200</v>
      </c>
      <c r="MQ63" s="48">
        <v>600</v>
      </c>
      <c r="MR63" s="48">
        <v>600</v>
      </c>
      <c r="MS63" s="43">
        <v>0</v>
      </c>
      <c r="MT63" s="49"/>
      <c r="MU63" s="48">
        <v>0</v>
      </c>
      <c r="MV63" s="46"/>
      <c r="MW63" s="48">
        <v>1496</v>
      </c>
      <c r="MX63" s="48">
        <v>1500</v>
      </c>
      <c r="MY63" s="43">
        <v>-4</v>
      </c>
      <c r="MZ63" s="49"/>
      <c r="NA63" s="50">
        <v>72</v>
      </c>
      <c r="NB63" s="48">
        <v>70</v>
      </c>
      <c r="NC63" s="48">
        <v>248</v>
      </c>
      <c r="ND63" s="48">
        <v>246</v>
      </c>
      <c r="NE63" s="43">
        <v>4</v>
      </c>
      <c r="NF63" s="49"/>
      <c r="NG63" s="50">
        <v>128</v>
      </c>
      <c r="NH63" s="48">
        <v>50</v>
      </c>
      <c r="NI63" s="48">
        <v>0</v>
      </c>
      <c r="NJ63" s="48">
        <v>0</v>
      </c>
      <c r="NK63" s="43">
        <v>78</v>
      </c>
      <c r="NL63" s="49"/>
      <c r="NM63" s="50">
        <v>200</v>
      </c>
      <c r="NN63" s="48">
        <v>200</v>
      </c>
      <c r="NO63" s="48">
        <v>296</v>
      </c>
      <c r="NP63" s="48">
        <v>300</v>
      </c>
      <c r="NQ63" s="43">
        <v>-4</v>
      </c>
      <c r="NR63" s="49"/>
      <c r="NS63" s="25">
        <v>152</v>
      </c>
      <c r="NT63" s="48">
        <v>0</v>
      </c>
      <c r="NU63" s="48">
        <v>48</v>
      </c>
      <c r="NV63" s="48">
        <v>50</v>
      </c>
      <c r="NW63" s="43">
        <v>150</v>
      </c>
      <c r="NX63" s="49"/>
      <c r="NY63" s="50">
        <v>248</v>
      </c>
      <c r="NZ63" s="48">
        <v>250</v>
      </c>
      <c r="OA63" s="48">
        <v>248</v>
      </c>
      <c r="OB63" s="48">
        <v>250</v>
      </c>
      <c r="OC63" s="43">
        <v>-4</v>
      </c>
      <c r="OD63" s="49"/>
      <c r="OE63" s="50">
        <v>400</v>
      </c>
      <c r="OF63" s="48">
        <v>400</v>
      </c>
      <c r="OG63" s="43">
        <v>0</v>
      </c>
      <c r="OH63" s="49"/>
      <c r="OI63" s="50">
        <v>288</v>
      </c>
      <c r="OJ63" s="48">
        <v>287</v>
      </c>
      <c r="OK63" s="43">
        <v>1</v>
      </c>
      <c r="OL63" s="49"/>
      <c r="OM63" s="50">
        <v>0</v>
      </c>
      <c r="ON63" s="48">
        <v>0</v>
      </c>
      <c r="OO63" s="48">
        <v>152</v>
      </c>
      <c r="OP63" s="48">
        <v>156.6</v>
      </c>
      <c r="OQ63" s="43">
        <v>-4.6000000000000227</v>
      </c>
      <c r="OR63" s="49"/>
      <c r="OS63" s="50">
        <v>0</v>
      </c>
      <c r="OT63" s="48">
        <v>0</v>
      </c>
      <c r="OU63" s="43">
        <v>0</v>
      </c>
      <c r="OV63" s="49"/>
      <c r="OW63" s="50">
        <v>200</v>
      </c>
      <c r="OX63" s="48">
        <v>200</v>
      </c>
      <c r="OY63" s="48">
        <v>32</v>
      </c>
      <c r="OZ63" s="48">
        <v>169</v>
      </c>
      <c r="PA63" s="42">
        <v>-137</v>
      </c>
      <c r="PB63" s="49">
        <v>54.8</v>
      </c>
      <c r="PC63" s="50">
        <v>0</v>
      </c>
      <c r="PD63" s="48">
        <v>0</v>
      </c>
      <c r="PE63" s="43">
        <v>0</v>
      </c>
      <c r="PF63" s="49"/>
      <c r="PG63" s="50">
        <v>0</v>
      </c>
      <c r="PH63" s="48">
        <v>0</v>
      </c>
      <c r="PI63" s="48">
        <v>72</v>
      </c>
      <c r="PJ63" s="48">
        <v>107</v>
      </c>
      <c r="PK63" s="42">
        <v>-35</v>
      </c>
      <c r="PL63" s="49">
        <v>14</v>
      </c>
      <c r="PM63" s="47">
        <v>0</v>
      </c>
      <c r="PN63" s="48">
        <v>0</v>
      </c>
      <c r="PO63" s="48">
        <v>248</v>
      </c>
      <c r="PP63" s="48">
        <v>253</v>
      </c>
      <c r="PQ63" s="43">
        <v>-5</v>
      </c>
      <c r="PR63" s="49"/>
      <c r="PS63" s="47">
        <v>0</v>
      </c>
      <c r="PT63" s="43">
        <v>0</v>
      </c>
      <c r="PU63" s="43">
        <v>0</v>
      </c>
      <c r="PV63" s="43">
        <v>0</v>
      </c>
      <c r="PW63" s="43">
        <v>0</v>
      </c>
      <c r="PX63" s="46"/>
      <c r="PY63" s="47">
        <v>216</v>
      </c>
      <c r="PZ63" s="43">
        <v>220</v>
      </c>
      <c r="QA63" s="43">
        <v>-4</v>
      </c>
      <c r="QB63" s="46"/>
      <c r="QC63" s="47">
        <v>0</v>
      </c>
      <c r="QD63" s="43">
        <v>0</v>
      </c>
      <c r="QE63" s="43">
        <v>0</v>
      </c>
      <c r="QF63" s="43">
        <v>0</v>
      </c>
      <c r="QG63" s="43">
        <v>0</v>
      </c>
      <c r="QH63" s="46"/>
      <c r="QI63" s="47">
        <v>128</v>
      </c>
      <c r="QJ63" s="43">
        <v>130</v>
      </c>
      <c r="QK63" s="43">
        <v>168</v>
      </c>
      <c r="QL63" s="43">
        <v>170</v>
      </c>
      <c r="QM63" s="43">
        <v>-4</v>
      </c>
      <c r="QN63" s="46"/>
      <c r="QO63" s="47">
        <v>0</v>
      </c>
      <c r="QP63" s="43">
        <v>0</v>
      </c>
      <c r="QQ63" s="43">
        <v>176</v>
      </c>
      <c r="QR63" s="43">
        <v>0</v>
      </c>
      <c r="QS63" s="43">
        <v>176</v>
      </c>
      <c r="QT63" s="46"/>
      <c r="QU63" s="47">
        <v>152</v>
      </c>
      <c r="QV63" s="43">
        <v>150</v>
      </c>
      <c r="QW63" s="43">
        <v>2</v>
      </c>
      <c r="QX63" s="46"/>
      <c r="QY63" s="47">
        <v>48</v>
      </c>
      <c r="QZ63" s="43">
        <v>50</v>
      </c>
      <c r="RA63" s="43">
        <v>200</v>
      </c>
      <c r="RB63" s="43">
        <v>200</v>
      </c>
      <c r="RC63" s="43">
        <v>-2</v>
      </c>
      <c r="RD63" s="46"/>
    </row>
    <row r="64" spans="1:472" x14ac:dyDescent="0.25">
      <c r="A64" s="43" t="s">
        <v>352</v>
      </c>
      <c r="B64" s="44">
        <v>0.4</v>
      </c>
      <c r="E64">
        <v>600</v>
      </c>
      <c r="F64">
        <v>430</v>
      </c>
      <c r="I64" s="45">
        <v>248</v>
      </c>
      <c r="J64" s="52">
        <v>250</v>
      </c>
      <c r="K64" s="52">
        <v>232</v>
      </c>
      <c r="L64" s="52">
        <v>235</v>
      </c>
      <c r="M64" s="51">
        <f t="shared" si="8"/>
        <v>-5</v>
      </c>
      <c r="N64" s="46"/>
      <c r="O64" s="47"/>
      <c r="P64" s="51"/>
      <c r="Q64" s="51"/>
      <c r="R64" s="51"/>
      <c r="S64" s="51">
        <f t="shared" si="9"/>
        <v>0</v>
      </c>
      <c r="T64" s="46"/>
      <c r="U64" s="47"/>
      <c r="V64" s="51"/>
      <c r="W64" s="52">
        <v>496</v>
      </c>
      <c r="X64" s="52">
        <v>500</v>
      </c>
      <c r="Y64" s="51">
        <f t="shared" si="10"/>
        <v>-4</v>
      </c>
      <c r="Z64" s="46"/>
      <c r="AA64" s="51"/>
      <c r="AC64">
        <v>1600</v>
      </c>
      <c r="AD64">
        <v>1600</v>
      </c>
      <c r="AE64" s="43">
        <v>0</v>
      </c>
      <c r="AF64" s="46"/>
      <c r="AG64" s="45">
        <v>248</v>
      </c>
      <c r="AH64">
        <v>250</v>
      </c>
      <c r="AI64">
        <v>664</v>
      </c>
      <c r="AJ64">
        <v>146</v>
      </c>
      <c r="AK64" s="43">
        <v>516</v>
      </c>
      <c r="AL64" s="46"/>
      <c r="AM64">
        <v>552</v>
      </c>
      <c r="AN64">
        <v>550</v>
      </c>
      <c r="AO64">
        <v>600</v>
      </c>
      <c r="AP64">
        <v>605</v>
      </c>
      <c r="AQ64" s="43">
        <v>-3</v>
      </c>
      <c r="AR64" s="46"/>
      <c r="AS64">
        <v>104</v>
      </c>
      <c r="AT64">
        <v>106</v>
      </c>
      <c r="AW64" s="43">
        <v>-2</v>
      </c>
      <c r="AX64" s="46"/>
      <c r="AY64" s="45">
        <v>96</v>
      </c>
      <c r="AZ64">
        <v>100</v>
      </c>
      <c r="BA64">
        <v>144</v>
      </c>
      <c r="BB64">
        <v>148</v>
      </c>
      <c r="BC64" s="43">
        <v>-8</v>
      </c>
      <c r="BD64" s="46"/>
      <c r="BE64" s="45">
        <v>400</v>
      </c>
      <c r="BF64">
        <v>400</v>
      </c>
      <c r="BG64">
        <v>312</v>
      </c>
      <c r="BH64">
        <v>316</v>
      </c>
      <c r="BI64" s="43">
        <v>-4</v>
      </c>
      <c r="BJ64" s="46"/>
      <c r="BK64">
        <v>448</v>
      </c>
      <c r="BL64">
        <v>450</v>
      </c>
      <c r="BN64">
        <v>256</v>
      </c>
      <c r="BO64">
        <v>257</v>
      </c>
      <c r="BP64" s="43">
        <v>-3</v>
      </c>
      <c r="BQ64" s="46"/>
      <c r="BR64">
        <v>400</v>
      </c>
      <c r="BS64">
        <v>400</v>
      </c>
      <c r="BT64" s="43">
        <v>0</v>
      </c>
      <c r="BU64" s="46"/>
      <c r="BV64" s="45">
        <v>768</v>
      </c>
      <c r="BW64">
        <v>767</v>
      </c>
      <c r="BZ64" s="43">
        <v>1</v>
      </c>
      <c r="CA64" s="46"/>
      <c r="CB64">
        <v>160</v>
      </c>
      <c r="CC64">
        <v>160</v>
      </c>
      <c r="CD64">
        <v>152</v>
      </c>
      <c r="CE64">
        <v>152</v>
      </c>
      <c r="CF64" s="43">
        <v>0</v>
      </c>
      <c r="CG64" s="46"/>
      <c r="CH64">
        <v>280</v>
      </c>
      <c r="CI64">
        <v>280</v>
      </c>
      <c r="CJ64">
        <v>160</v>
      </c>
      <c r="CK64">
        <v>163</v>
      </c>
      <c r="CL64" s="43">
        <v>-3</v>
      </c>
      <c r="CM64" s="46"/>
      <c r="CN64" s="45">
        <v>288</v>
      </c>
      <c r="CO64">
        <v>290</v>
      </c>
      <c r="CP64">
        <v>688</v>
      </c>
      <c r="CQ64">
        <v>686</v>
      </c>
      <c r="CR64" s="43">
        <v>0</v>
      </c>
      <c r="CS64" s="46"/>
      <c r="CX64" s="43">
        <v>0</v>
      </c>
      <c r="CY64" s="46"/>
      <c r="CZ64" s="45">
        <v>248</v>
      </c>
      <c r="DA64">
        <v>250</v>
      </c>
      <c r="DB64">
        <v>232</v>
      </c>
      <c r="DC64">
        <v>234</v>
      </c>
      <c r="DD64" s="43">
        <v>-4</v>
      </c>
      <c r="DE64" s="46"/>
      <c r="DF64" s="47"/>
      <c r="DH64">
        <v>296</v>
      </c>
      <c r="DI64">
        <v>300</v>
      </c>
      <c r="DJ64">
        <v>280</v>
      </c>
      <c r="DK64">
        <v>283</v>
      </c>
      <c r="DL64" s="43">
        <v>-7</v>
      </c>
      <c r="DM64" s="46"/>
      <c r="DN64" s="47"/>
      <c r="DP64">
        <v>112</v>
      </c>
      <c r="DQ64">
        <v>110</v>
      </c>
      <c r="DR64" s="43">
        <v>2</v>
      </c>
      <c r="DS64" s="46"/>
      <c r="DT64">
        <v>312</v>
      </c>
      <c r="DU64">
        <v>310</v>
      </c>
      <c r="DV64">
        <v>288</v>
      </c>
      <c r="DW64">
        <v>290</v>
      </c>
      <c r="DX64">
        <v>496</v>
      </c>
      <c r="DY64">
        <v>500</v>
      </c>
      <c r="DZ64" s="43">
        <v>-4</v>
      </c>
      <c r="EA64" s="46"/>
      <c r="EB64" s="47"/>
      <c r="ED64">
        <v>120</v>
      </c>
      <c r="EE64">
        <v>120</v>
      </c>
      <c r="EF64" s="43">
        <v>0</v>
      </c>
      <c r="EG64" s="46"/>
      <c r="EH64" s="45">
        <v>496</v>
      </c>
      <c r="EI64">
        <v>500</v>
      </c>
      <c r="EJ64">
        <v>576</v>
      </c>
      <c r="EK64">
        <v>590</v>
      </c>
      <c r="EL64" s="42">
        <v>-18</v>
      </c>
      <c r="EM64" s="46">
        <v>7.2</v>
      </c>
      <c r="EN64" s="45">
        <v>120</v>
      </c>
      <c r="EO64">
        <v>120</v>
      </c>
      <c r="EP64">
        <v>120</v>
      </c>
      <c r="EQ64">
        <v>120</v>
      </c>
      <c r="ER64" s="43">
        <v>0</v>
      </c>
      <c r="ES64" s="46"/>
      <c r="ET64">
        <v>120</v>
      </c>
      <c r="EU64">
        <v>120</v>
      </c>
      <c r="EV64">
        <v>120</v>
      </c>
      <c r="EW64">
        <v>120</v>
      </c>
      <c r="EX64">
        <v>160</v>
      </c>
      <c r="EY64">
        <v>160</v>
      </c>
      <c r="EZ64" s="43">
        <v>0</v>
      </c>
      <c r="FA64" s="46"/>
      <c r="FD64">
        <v>552</v>
      </c>
      <c r="FF64">
        <v>550</v>
      </c>
      <c r="FG64" s="43">
        <v>2</v>
      </c>
      <c r="FH64" s="46"/>
      <c r="FI64" s="47"/>
      <c r="FL64" s="43">
        <v>0</v>
      </c>
      <c r="FM64" s="46"/>
      <c r="FN64" s="47"/>
      <c r="FQ64" s="43">
        <v>0</v>
      </c>
      <c r="FR64" s="46"/>
      <c r="FS64">
        <v>1600</v>
      </c>
      <c r="FV64">
        <v>1600</v>
      </c>
      <c r="FW64" s="43">
        <v>0</v>
      </c>
      <c r="FX64" s="46"/>
      <c r="FY64" s="47"/>
      <c r="GD64" s="43">
        <v>0</v>
      </c>
      <c r="GE64" s="46"/>
      <c r="GF64">
        <v>336</v>
      </c>
      <c r="GG64">
        <v>340</v>
      </c>
      <c r="GH64">
        <v>320</v>
      </c>
      <c r="GI64">
        <v>320</v>
      </c>
      <c r="GJ64" s="43">
        <v>-4</v>
      </c>
      <c r="GK64" s="46"/>
      <c r="GL64" s="45">
        <v>248</v>
      </c>
      <c r="GM64">
        <v>250</v>
      </c>
      <c r="GN64">
        <v>248</v>
      </c>
      <c r="GO64">
        <v>250</v>
      </c>
      <c r="GP64" s="43">
        <v>-4</v>
      </c>
      <c r="GQ64" s="46"/>
      <c r="GR64">
        <v>152</v>
      </c>
      <c r="GS64">
        <v>150</v>
      </c>
      <c r="GT64">
        <v>232</v>
      </c>
      <c r="GU64">
        <v>230</v>
      </c>
      <c r="GV64" s="43">
        <v>4</v>
      </c>
      <c r="GW64" s="46"/>
      <c r="GX64" s="45">
        <v>320</v>
      </c>
      <c r="GY64" s="48">
        <v>320</v>
      </c>
      <c r="GZ64" s="43">
        <v>0</v>
      </c>
      <c r="HA64" s="46"/>
      <c r="HB64" s="45">
        <v>200</v>
      </c>
      <c r="HC64">
        <v>200</v>
      </c>
      <c r="HD64">
        <v>280</v>
      </c>
      <c r="HE64">
        <v>280</v>
      </c>
      <c r="HF64" s="43">
        <v>0</v>
      </c>
      <c r="HG64" s="46"/>
      <c r="HH64" s="45">
        <v>240</v>
      </c>
      <c r="HI64">
        <v>240</v>
      </c>
      <c r="HJ64" s="43">
        <v>0</v>
      </c>
      <c r="HK64" s="46"/>
      <c r="HL64" s="45">
        <v>352</v>
      </c>
      <c r="HM64">
        <v>350</v>
      </c>
      <c r="HN64">
        <v>352</v>
      </c>
      <c r="HO64">
        <v>350</v>
      </c>
      <c r="HP64" s="43">
        <v>4</v>
      </c>
      <c r="HQ64" s="46"/>
      <c r="HV64">
        <v>216</v>
      </c>
      <c r="HW64">
        <v>220</v>
      </c>
      <c r="HX64" s="43">
        <v>-4</v>
      </c>
      <c r="HY64" s="46"/>
      <c r="HZ64" s="45">
        <v>248</v>
      </c>
      <c r="IA64">
        <v>250</v>
      </c>
      <c r="IB64">
        <v>248</v>
      </c>
      <c r="IC64">
        <v>250</v>
      </c>
      <c r="ID64" s="43">
        <v>-4</v>
      </c>
      <c r="IE64" s="46"/>
      <c r="IF64">
        <v>496</v>
      </c>
      <c r="IG64">
        <v>500</v>
      </c>
      <c r="IH64">
        <v>712</v>
      </c>
      <c r="II64">
        <v>715</v>
      </c>
      <c r="IJ64" s="43">
        <v>-7</v>
      </c>
      <c r="IK64" s="49"/>
      <c r="IN64">
        <v>1096</v>
      </c>
      <c r="IO64">
        <v>1100</v>
      </c>
      <c r="IP64" s="43">
        <v>-4</v>
      </c>
      <c r="IQ64" s="49"/>
      <c r="IT64">
        <v>1496</v>
      </c>
      <c r="IU64">
        <v>1500</v>
      </c>
      <c r="IV64" s="43">
        <v>-4</v>
      </c>
      <c r="IW64" s="49"/>
      <c r="IX64">
        <v>136</v>
      </c>
      <c r="IY64">
        <v>140</v>
      </c>
      <c r="IZ64">
        <v>96</v>
      </c>
      <c r="JA64">
        <v>100</v>
      </c>
      <c r="JB64" s="43">
        <v>-8</v>
      </c>
      <c r="JC64" s="46"/>
      <c r="JD64">
        <v>120</v>
      </c>
      <c r="JE64">
        <v>120</v>
      </c>
      <c r="JF64" s="43">
        <v>0</v>
      </c>
      <c r="JG64" s="49"/>
      <c r="JH64">
        <v>160</v>
      </c>
      <c r="JI64">
        <v>160</v>
      </c>
      <c r="JJ64">
        <v>144</v>
      </c>
      <c r="JK64">
        <v>144</v>
      </c>
      <c r="JL64" s="43">
        <v>0</v>
      </c>
      <c r="JM64" s="46"/>
      <c r="JN64" s="45">
        <v>632</v>
      </c>
      <c r="JO64" s="48">
        <v>630</v>
      </c>
      <c r="JP64" s="43">
        <v>2</v>
      </c>
      <c r="JQ64" s="49"/>
      <c r="JT64">
        <v>488</v>
      </c>
      <c r="JU64">
        <v>490</v>
      </c>
      <c r="JV64" s="43">
        <v>-2</v>
      </c>
      <c r="JW64" s="49"/>
      <c r="JX64">
        <v>200</v>
      </c>
      <c r="JY64">
        <v>200</v>
      </c>
      <c r="JZ64">
        <v>296</v>
      </c>
      <c r="KA64">
        <v>299</v>
      </c>
      <c r="KB64" s="43">
        <v>-3</v>
      </c>
      <c r="KC64" s="49"/>
      <c r="KD64">
        <v>136</v>
      </c>
      <c r="KE64">
        <v>140</v>
      </c>
      <c r="KF64">
        <v>96</v>
      </c>
      <c r="KG64">
        <v>100</v>
      </c>
      <c r="KH64" s="43">
        <v>-8</v>
      </c>
      <c r="KI64" s="49"/>
      <c r="KN64" s="43">
        <v>0</v>
      </c>
      <c r="KO64" s="49"/>
      <c r="KP64" s="45">
        <v>296</v>
      </c>
      <c r="KQ64">
        <v>300</v>
      </c>
      <c r="KR64">
        <v>400</v>
      </c>
      <c r="KS64">
        <v>400</v>
      </c>
      <c r="KT64">
        <v>296</v>
      </c>
      <c r="KU64">
        <v>300</v>
      </c>
      <c r="KV64" s="43">
        <v>-8</v>
      </c>
      <c r="KW64" s="49"/>
      <c r="KX64" s="48">
        <v>0</v>
      </c>
      <c r="KY64" s="48">
        <v>0</v>
      </c>
      <c r="KZ64" s="48">
        <v>96</v>
      </c>
      <c r="LA64" s="48">
        <v>100</v>
      </c>
      <c r="LB64" s="43">
        <v>-4</v>
      </c>
      <c r="LC64" s="49"/>
      <c r="LD64" s="48">
        <v>96</v>
      </c>
      <c r="LE64" s="48">
        <v>100</v>
      </c>
      <c r="LF64" s="48">
        <v>96</v>
      </c>
      <c r="LG64" s="48">
        <v>100</v>
      </c>
      <c r="LH64" s="43">
        <v>-8</v>
      </c>
      <c r="LI64" s="49"/>
      <c r="LJ64" s="50">
        <v>616</v>
      </c>
      <c r="LK64" s="48">
        <v>620</v>
      </c>
      <c r="LL64" s="43">
        <v>-4</v>
      </c>
      <c r="LM64" s="49"/>
      <c r="LN64" s="50">
        <v>200</v>
      </c>
      <c r="LO64" s="48">
        <v>200</v>
      </c>
      <c r="LP64" s="48">
        <v>152</v>
      </c>
      <c r="LQ64" s="48">
        <v>0</v>
      </c>
      <c r="LR64" s="48">
        <v>154</v>
      </c>
      <c r="LS64" s="43">
        <v>-2</v>
      </c>
      <c r="LT64" s="49"/>
      <c r="LU64" s="50">
        <v>0</v>
      </c>
      <c r="LV64" s="48">
        <v>0</v>
      </c>
      <c r="LW64" s="48">
        <v>0</v>
      </c>
      <c r="LX64" s="48">
        <v>0</v>
      </c>
      <c r="LY64" s="43">
        <v>0</v>
      </c>
      <c r="LZ64" s="49"/>
      <c r="MA64" s="50">
        <v>0</v>
      </c>
      <c r="MB64" s="48">
        <v>0</v>
      </c>
      <c r="MC64" s="43">
        <v>0</v>
      </c>
      <c r="MD64" s="49"/>
      <c r="ME64" s="50">
        <v>0</v>
      </c>
      <c r="MF64" s="48">
        <v>0</v>
      </c>
      <c r="MG64" s="48">
        <v>0</v>
      </c>
      <c r="MH64" s="48">
        <v>0</v>
      </c>
      <c r="MI64" s="43">
        <v>0</v>
      </c>
      <c r="MJ64" s="49"/>
      <c r="MK64" s="50">
        <v>0</v>
      </c>
      <c r="ML64" s="48">
        <v>0</v>
      </c>
      <c r="MM64" s="43">
        <v>0</v>
      </c>
      <c r="MN64" s="49"/>
      <c r="MO64" s="50">
        <v>800</v>
      </c>
      <c r="MP64" s="48">
        <v>800</v>
      </c>
      <c r="MQ64" s="48">
        <v>2800</v>
      </c>
      <c r="MR64" s="48">
        <v>2800</v>
      </c>
      <c r="MS64" s="43">
        <v>0</v>
      </c>
      <c r="MT64" s="49"/>
      <c r="MU64" s="48">
        <v>0</v>
      </c>
      <c r="MV64" s="46"/>
      <c r="MW64" s="48">
        <v>696</v>
      </c>
      <c r="MX64" s="48">
        <v>700</v>
      </c>
      <c r="MY64" s="43">
        <v>-4</v>
      </c>
      <c r="MZ64" s="49"/>
      <c r="NA64" s="50">
        <v>1344</v>
      </c>
      <c r="NB64" s="48">
        <v>250</v>
      </c>
      <c r="NC64" s="48">
        <v>648</v>
      </c>
      <c r="ND64" s="48">
        <v>650</v>
      </c>
      <c r="NE64" s="43">
        <v>1092</v>
      </c>
      <c r="NF64" s="49"/>
      <c r="NG64" s="50">
        <v>152</v>
      </c>
      <c r="NH64" s="48">
        <v>240</v>
      </c>
      <c r="NI64" s="48">
        <v>0</v>
      </c>
      <c r="NJ64" s="33">
        <v>210</v>
      </c>
      <c r="NK64" s="42">
        <v>-298</v>
      </c>
      <c r="NL64" s="49">
        <v>119.2</v>
      </c>
      <c r="NM64" s="50">
        <v>400</v>
      </c>
      <c r="NN64" s="48">
        <v>400</v>
      </c>
      <c r="NO64" s="48">
        <v>600</v>
      </c>
      <c r="NP64" s="48">
        <v>600</v>
      </c>
      <c r="NQ64" s="43">
        <v>0</v>
      </c>
      <c r="NR64" s="49"/>
      <c r="NS64" s="50">
        <v>0</v>
      </c>
      <c r="NT64" s="33">
        <v>100</v>
      </c>
      <c r="NU64" s="48">
        <v>168</v>
      </c>
      <c r="NV64" s="48">
        <v>170</v>
      </c>
      <c r="NW64" s="42">
        <v>-102</v>
      </c>
      <c r="NX64" s="49">
        <v>40.799999999999997</v>
      </c>
      <c r="NY64" s="50">
        <v>0</v>
      </c>
      <c r="NZ64" s="48">
        <v>0</v>
      </c>
      <c r="OA64" s="48">
        <v>96</v>
      </c>
      <c r="OB64" s="48">
        <v>100</v>
      </c>
      <c r="OC64" s="43">
        <v>-4</v>
      </c>
      <c r="OD64" s="49"/>
      <c r="OE64" s="50">
        <v>400</v>
      </c>
      <c r="OF64" s="48">
        <v>400</v>
      </c>
      <c r="OG64" s="43">
        <v>0</v>
      </c>
      <c r="OH64" s="49"/>
      <c r="OI64" s="50">
        <v>120</v>
      </c>
      <c r="OJ64" s="48">
        <v>120</v>
      </c>
      <c r="OK64" s="43">
        <v>0</v>
      </c>
      <c r="OL64" s="49"/>
      <c r="OM64" s="50">
        <v>0</v>
      </c>
      <c r="ON64" s="48">
        <v>0</v>
      </c>
      <c r="OO64" s="48">
        <v>16</v>
      </c>
      <c r="OP64" s="48">
        <v>15</v>
      </c>
      <c r="OQ64" s="43">
        <v>1</v>
      </c>
      <c r="OR64" s="49"/>
      <c r="OS64" s="50">
        <v>72</v>
      </c>
      <c r="OT64" s="48">
        <v>70</v>
      </c>
      <c r="OU64" s="43">
        <v>2</v>
      </c>
      <c r="OV64" s="49"/>
      <c r="OW64" s="50">
        <v>0</v>
      </c>
      <c r="OX64" s="48">
        <v>0</v>
      </c>
      <c r="OY64" s="48">
        <v>0</v>
      </c>
      <c r="OZ64" s="48">
        <v>0</v>
      </c>
      <c r="PA64" s="43">
        <v>0</v>
      </c>
      <c r="PB64" s="49"/>
      <c r="PC64" s="50">
        <v>0</v>
      </c>
      <c r="PD64" s="48">
        <v>0</v>
      </c>
      <c r="PE64" s="43">
        <v>0</v>
      </c>
      <c r="PF64" s="49"/>
      <c r="PG64" s="50">
        <v>0</v>
      </c>
      <c r="PH64" s="48">
        <v>0</v>
      </c>
      <c r="PI64" s="48">
        <v>0</v>
      </c>
      <c r="PJ64" s="48">
        <v>0</v>
      </c>
      <c r="PK64" s="43">
        <v>0</v>
      </c>
      <c r="PL64" s="49"/>
      <c r="PM64" s="47">
        <v>0</v>
      </c>
      <c r="PN64" s="48">
        <v>0</v>
      </c>
      <c r="PO64" s="48">
        <v>0</v>
      </c>
      <c r="PP64" s="48">
        <v>0</v>
      </c>
      <c r="PQ64" s="43">
        <v>0</v>
      </c>
      <c r="PR64" s="49"/>
      <c r="PS64" s="47">
        <v>0</v>
      </c>
      <c r="PT64" s="43">
        <v>0</v>
      </c>
      <c r="PU64" s="43">
        <v>0</v>
      </c>
      <c r="PV64" s="43">
        <v>0</v>
      </c>
      <c r="PW64" s="43">
        <v>0</v>
      </c>
      <c r="PX64" s="46"/>
      <c r="PY64" s="47">
        <v>48</v>
      </c>
      <c r="PZ64" s="43">
        <v>50</v>
      </c>
      <c r="QA64" s="43">
        <v>-2</v>
      </c>
      <c r="QB64" s="46"/>
      <c r="QC64" s="47">
        <v>0</v>
      </c>
      <c r="QD64" s="43">
        <v>0</v>
      </c>
      <c r="QE64" s="43">
        <v>0</v>
      </c>
      <c r="QF64" s="43">
        <v>0</v>
      </c>
      <c r="QG64" s="43">
        <v>0</v>
      </c>
      <c r="QH64" s="46"/>
      <c r="QI64" s="47">
        <v>48</v>
      </c>
      <c r="QJ64" s="43">
        <v>50</v>
      </c>
      <c r="QK64" s="43">
        <v>0</v>
      </c>
      <c r="QL64" s="43">
        <v>0</v>
      </c>
      <c r="QM64" s="43">
        <v>-2</v>
      </c>
      <c r="QN64" s="46"/>
      <c r="QO64" s="47">
        <v>40</v>
      </c>
      <c r="QP64" s="43">
        <v>44</v>
      </c>
      <c r="QQ64" s="43">
        <v>296</v>
      </c>
      <c r="QR64" s="43">
        <v>40</v>
      </c>
      <c r="QS64" s="43">
        <v>252</v>
      </c>
      <c r="QT64" s="46"/>
      <c r="QU64" s="47">
        <v>72</v>
      </c>
      <c r="QV64" s="43">
        <v>76</v>
      </c>
      <c r="QW64" s="43">
        <v>-4</v>
      </c>
      <c r="QX64" s="46"/>
      <c r="QY64" s="47">
        <v>0</v>
      </c>
      <c r="QZ64" s="43">
        <v>0</v>
      </c>
      <c r="RA64" s="43">
        <v>104</v>
      </c>
      <c r="RB64" s="43">
        <v>102</v>
      </c>
      <c r="RC64" s="43">
        <v>2</v>
      </c>
      <c r="RD64" s="46"/>
    </row>
    <row r="65" spans="1:472" x14ac:dyDescent="0.25">
      <c r="A65" s="48" t="s">
        <v>353</v>
      </c>
      <c r="B65" s="36">
        <v>0.84</v>
      </c>
      <c r="I65" s="47"/>
      <c r="J65" s="51"/>
      <c r="K65" s="51"/>
      <c r="L65" s="51"/>
      <c r="M65" s="51">
        <f t="shared" si="8"/>
        <v>0</v>
      </c>
      <c r="N65" s="46"/>
      <c r="O65" s="47"/>
      <c r="P65" s="51"/>
      <c r="Q65" s="51"/>
      <c r="R65" s="51"/>
      <c r="S65" s="51">
        <f t="shared" si="9"/>
        <v>0</v>
      </c>
      <c r="T65" s="46"/>
      <c r="U65" s="47"/>
      <c r="V65" s="51"/>
      <c r="W65" s="51"/>
      <c r="X65" s="51"/>
      <c r="Y65" s="51">
        <f t="shared" si="10"/>
        <v>0</v>
      </c>
      <c r="Z65" s="46"/>
      <c r="AA65" s="51"/>
      <c r="AE65" s="43">
        <v>0</v>
      </c>
      <c r="AF65" s="46"/>
      <c r="AG65" s="47"/>
      <c r="AK65" s="43">
        <v>0</v>
      </c>
      <c r="AL65" s="46"/>
      <c r="AQ65" s="43">
        <v>0</v>
      </c>
      <c r="AR65" s="46"/>
      <c r="AW65" s="43">
        <v>0</v>
      </c>
      <c r="AX65" s="46"/>
      <c r="AY65" s="47"/>
      <c r="BC65" s="43">
        <v>0</v>
      </c>
      <c r="BD65" s="46"/>
      <c r="BE65" s="47"/>
      <c r="BI65" s="43">
        <v>0</v>
      </c>
      <c r="BJ65" s="46"/>
      <c r="BP65" s="43">
        <v>0</v>
      </c>
      <c r="BQ65" s="46"/>
      <c r="BT65" s="43">
        <v>0</v>
      </c>
      <c r="BU65" s="46"/>
      <c r="BV65" s="47"/>
      <c r="BZ65" s="43">
        <v>0</v>
      </c>
      <c r="CA65" s="46"/>
      <c r="CF65" s="43">
        <v>0</v>
      </c>
      <c r="CG65" s="46"/>
      <c r="CL65" s="43">
        <v>0</v>
      </c>
      <c r="CM65" s="46"/>
      <c r="CN65" s="47"/>
      <c r="CR65" s="43">
        <v>0</v>
      </c>
      <c r="CS65" s="46"/>
      <c r="CX65" s="43">
        <v>0</v>
      </c>
      <c r="CY65" s="46"/>
      <c r="CZ65" s="47"/>
      <c r="DD65" s="43">
        <v>0</v>
      </c>
      <c r="DE65" s="46"/>
      <c r="DF65" s="47"/>
      <c r="DL65" s="43">
        <v>0</v>
      </c>
      <c r="DM65" s="46"/>
      <c r="DN65" s="47"/>
      <c r="DR65" s="43">
        <v>0</v>
      </c>
      <c r="DS65" s="46"/>
      <c r="DZ65" s="43">
        <v>0</v>
      </c>
      <c r="EA65" s="46"/>
      <c r="EB65" s="47"/>
      <c r="EF65" s="43">
        <v>0</v>
      </c>
      <c r="EG65" s="46"/>
      <c r="EH65" s="47"/>
      <c r="EL65" s="43">
        <v>0</v>
      </c>
      <c r="EM65" s="46"/>
      <c r="EN65" s="47"/>
      <c r="ER65" s="43">
        <v>0</v>
      </c>
      <c r="ES65" s="46"/>
      <c r="EZ65" s="43">
        <v>0</v>
      </c>
      <c r="FA65" s="46"/>
      <c r="FG65" s="43">
        <v>0</v>
      </c>
      <c r="FH65" s="46"/>
      <c r="FI65" s="47"/>
      <c r="FL65" s="43">
        <v>0</v>
      </c>
      <c r="FM65" s="46"/>
      <c r="FN65" s="47"/>
      <c r="FQ65" s="43">
        <v>0</v>
      </c>
      <c r="FR65" s="46"/>
      <c r="FW65" s="43">
        <v>0</v>
      </c>
      <c r="FX65" s="46"/>
      <c r="FY65" s="47"/>
      <c r="GD65" s="43">
        <v>0</v>
      </c>
      <c r="GE65" s="46"/>
      <c r="GJ65" s="43">
        <v>0</v>
      </c>
      <c r="GK65" s="46"/>
      <c r="GL65" s="47"/>
      <c r="GP65" s="43">
        <v>0</v>
      </c>
      <c r="GQ65" s="46"/>
      <c r="GV65" s="43">
        <v>0</v>
      </c>
      <c r="GW65" s="46"/>
      <c r="GX65" s="47"/>
      <c r="GZ65" s="43">
        <v>0</v>
      </c>
      <c r="HA65" s="46"/>
      <c r="HB65" s="47"/>
      <c r="HF65" s="43">
        <v>0</v>
      </c>
      <c r="HG65" s="46"/>
      <c r="HH65" s="47"/>
      <c r="HJ65" s="43">
        <v>0</v>
      </c>
      <c r="HK65" s="46"/>
      <c r="HL65" s="47"/>
      <c r="HP65" s="43">
        <v>0</v>
      </c>
      <c r="HQ65" s="46"/>
      <c r="HV65">
        <v>42</v>
      </c>
      <c r="HW65">
        <v>41</v>
      </c>
      <c r="HX65" s="43">
        <v>1</v>
      </c>
      <c r="HY65" s="46"/>
      <c r="HZ65" s="47"/>
      <c r="ID65" s="43">
        <v>0</v>
      </c>
      <c r="IE65" s="46"/>
      <c r="IJ65" s="43">
        <v>0</v>
      </c>
      <c r="IK65" s="49"/>
      <c r="IP65" s="43">
        <v>0</v>
      </c>
      <c r="IQ65" s="49"/>
      <c r="IV65" s="43">
        <v>0</v>
      </c>
      <c r="IW65" s="49"/>
      <c r="JB65" s="43">
        <v>0</v>
      </c>
      <c r="JC65" s="46"/>
      <c r="JD65">
        <v>18</v>
      </c>
      <c r="JE65" s="43">
        <v>20</v>
      </c>
      <c r="JF65" s="43">
        <v>-2</v>
      </c>
      <c r="JG65" s="49"/>
      <c r="JH65">
        <v>78</v>
      </c>
      <c r="JI65">
        <v>80</v>
      </c>
      <c r="JL65" s="43">
        <v>-2</v>
      </c>
      <c r="JM65" s="46"/>
      <c r="JN65" s="47"/>
      <c r="JQ65" s="49"/>
      <c r="JW65" s="49"/>
      <c r="KC65" s="49"/>
      <c r="KI65" s="49"/>
      <c r="KO65" s="49"/>
      <c r="KP65" s="45"/>
      <c r="KW65" s="49"/>
      <c r="LC65" s="49"/>
      <c r="LI65" s="49"/>
      <c r="LJ65" s="50"/>
      <c r="LM65" s="49"/>
      <c r="LN65" s="50"/>
      <c r="LT65" s="49"/>
      <c r="LU65" s="50"/>
      <c r="LZ65" s="49"/>
      <c r="MA65" s="50"/>
      <c r="MD65" s="49"/>
      <c r="ME65" s="50"/>
      <c r="MJ65" s="49"/>
      <c r="MK65" s="50"/>
      <c r="MN65" s="49"/>
      <c r="MO65" s="50"/>
      <c r="MT65" s="49"/>
      <c r="MV65" s="46"/>
      <c r="MZ65" s="49"/>
      <c r="NA65" s="50"/>
      <c r="NF65" s="49"/>
      <c r="NG65" s="50"/>
      <c r="NL65" s="49"/>
      <c r="NM65" s="50"/>
      <c r="NR65" s="49"/>
      <c r="NS65" s="50"/>
      <c r="NX65" s="49"/>
      <c r="NY65" s="50"/>
      <c r="OD65" s="49"/>
      <c r="OE65" s="50"/>
      <c r="OH65" s="49"/>
      <c r="OI65" s="50"/>
      <c r="OL65" s="49"/>
      <c r="OM65" s="50"/>
      <c r="OR65" s="49"/>
      <c r="OS65" s="50"/>
      <c r="OT65" s="48"/>
      <c r="OV65" s="49"/>
      <c r="OW65" s="50"/>
      <c r="OX65" s="48"/>
      <c r="OY65" s="48"/>
      <c r="OZ65" s="48"/>
      <c r="PB65" s="49"/>
      <c r="PC65" s="50"/>
      <c r="PD65" s="48"/>
      <c r="PF65" s="49"/>
      <c r="PG65" s="50"/>
      <c r="PH65" s="48"/>
      <c r="PI65" s="48"/>
      <c r="PJ65" s="48"/>
      <c r="PL65" s="49"/>
      <c r="PM65" s="47"/>
      <c r="PN65" s="48"/>
      <c r="PO65" s="48"/>
      <c r="PP65" s="48"/>
      <c r="PR65" s="49"/>
      <c r="PS65" s="47"/>
      <c r="PX65" s="46"/>
      <c r="PY65" s="47"/>
      <c r="QB65" s="46"/>
      <c r="QC65" s="47"/>
      <c r="QH65" s="46"/>
      <c r="QI65" s="47"/>
      <c r="QN65" s="46"/>
      <c r="QO65" s="47"/>
      <c r="QT65" s="46"/>
      <c r="QU65" s="47"/>
      <c r="QX65" s="46"/>
      <c r="QY65" s="47"/>
      <c r="RD65" s="46"/>
    </row>
    <row r="66" spans="1:472" x14ac:dyDescent="0.25">
      <c r="A66" s="43" t="s">
        <v>354</v>
      </c>
      <c r="B66" s="44">
        <v>0.1</v>
      </c>
      <c r="E66">
        <v>20</v>
      </c>
      <c r="I66" s="45">
        <v>30</v>
      </c>
      <c r="J66" s="52">
        <v>30</v>
      </c>
      <c r="K66" s="52">
        <v>50</v>
      </c>
      <c r="L66" s="52">
        <v>50</v>
      </c>
      <c r="M66" s="51">
        <f t="shared" si="8"/>
        <v>0</v>
      </c>
      <c r="N66" s="46"/>
      <c r="O66" s="47"/>
      <c r="P66" s="51"/>
      <c r="Q66" s="51"/>
      <c r="R66" s="51"/>
      <c r="S66" s="51">
        <f t="shared" si="9"/>
        <v>0</v>
      </c>
      <c r="T66" s="46"/>
      <c r="U66" s="47"/>
      <c r="V66" s="51"/>
      <c r="W66" s="51"/>
      <c r="X66" s="51"/>
      <c r="Y66" s="51">
        <f t="shared" si="10"/>
        <v>0</v>
      </c>
      <c r="Z66" s="46"/>
      <c r="AA66" s="51"/>
      <c r="AE66" s="43">
        <v>0</v>
      </c>
      <c r="AF66" s="46"/>
      <c r="AG66" s="47"/>
      <c r="AK66" s="43">
        <v>0</v>
      </c>
      <c r="AL66" s="46"/>
      <c r="AM66">
        <v>60</v>
      </c>
      <c r="AN66">
        <v>60</v>
      </c>
      <c r="AO66">
        <v>40</v>
      </c>
      <c r="AP66">
        <v>40</v>
      </c>
      <c r="AQ66" s="43">
        <v>0</v>
      </c>
      <c r="AR66" s="46"/>
      <c r="AW66" s="43">
        <v>0</v>
      </c>
      <c r="AX66" s="46"/>
      <c r="AY66" s="47"/>
      <c r="BA66">
        <v>20</v>
      </c>
      <c r="BB66">
        <v>20</v>
      </c>
      <c r="BC66" s="43">
        <v>0</v>
      </c>
      <c r="BD66" s="46"/>
      <c r="BE66" s="47"/>
      <c r="BI66" s="43">
        <v>0</v>
      </c>
      <c r="BJ66" s="46"/>
      <c r="BP66" s="43">
        <v>0</v>
      </c>
      <c r="BQ66" s="46"/>
      <c r="BT66" s="43">
        <v>0</v>
      </c>
      <c r="BU66" s="46"/>
      <c r="BV66" s="45">
        <v>10</v>
      </c>
      <c r="BW66">
        <v>6</v>
      </c>
      <c r="BZ66" s="43">
        <v>4</v>
      </c>
      <c r="CA66" s="46"/>
      <c r="CF66" s="43">
        <v>0</v>
      </c>
      <c r="CG66" s="46"/>
      <c r="CL66" s="43">
        <v>0</v>
      </c>
      <c r="CM66" s="46"/>
      <c r="CN66" s="47"/>
      <c r="CP66">
        <v>110</v>
      </c>
      <c r="CQ66">
        <v>110</v>
      </c>
      <c r="CR66" s="43">
        <v>0</v>
      </c>
      <c r="CS66" s="46"/>
      <c r="CX66" s="43">
        <v>0</v>
      </c>
      <c r="CY66" s="46"/>
      <c r="CZ66" s="47"/>
      <c r="DD66" s="43">
        <v>0</v>
      </c>
      <c r="DE66" s="46"/>
      <c r="DF66" s="47"/>
      <c r="DJ66">
        <v>30</v>
      </c>
      <c r="DK66">
        <v>30</v>
      </c>
      <c r="DL66" s="43">
        <v>0</v>
      </c>
      <c r="DM66" s="46"/>
      <c r="DN66" s="47"/>
      <c r="DR66" s="43">
        <v>0</v>
      </c>
      <c r="DS66" s="46"/>
      <c r="DZ66" s="43">
        <v>0</v>
      </c>
      <c r="EA66" s="46"/>
      <c r="EB66" s="47"/>
      <c r="ED66">
        <v>240</v>
      </c>
      <c r="EE66">
        <v>240</v>
      </c>
      <c r="EF66" s="43">
        <v>0</v>
      </c>
      <c r="EG66" s="46"/>
      <c r="EH66" s="47"/>
      <c r="EL66" s="43">
        <v>0</v>
      </c>
      <c r="EM66" s="46"/>
      <c r="EN66" s="47"/>
      <c r="ER66" s="43">
        <v>0</v>
      </c>
      <c r="ES66" s="46"/>
      <c r="EZ66" s="43">
        <v>0</v>
      </c>
      <c r="FA66" s="46"/>
      <c r="FB66">
        <v>400</v>
      </c>
      <c r="FC66">
        <v>400</v>
      </c>
      <c r="FD66">
        <v>300</v>
      </c>
      <c r="FF66">
        <v>300</v>
      </c>
      <c r="FG66" s="43">
        <v>0</v>
      </c>
      <c r="FH66" s="46"/>
      <c r="FI66" s="45">
        <v>100</v>
      </c>
      <c r="FK66" s="48">
        <v>100</v>
      </c>
      <c r="FL66" s="43">
        <v>0</v>
      </c>
      <c r="FM66" s="46"/>
      <c r="FN66" s="47"/>
      <c r="FQ66" s="43">
        <v>0</v>
      </c>
      <c r="FR66" s="46"/>
      <c r="FW66" s="43">
        <v>0</v>
      </c>
      <c r="FX66" s="46"/>
      <c r="FY66" s="47"/>
      <c r="GD66" s="43">
        <v>0</v>
      </c>
      <c r="GE66" s="46"/>
      <c r="GJ66" s="43">
        <v>0</v>
      </c>
      <c r="GK66" s="46"/>
      <c r="GL66" s="47"/>
      <c r="GP66" s="43">
        <v>0</v>
      </c>
      <c r="GQ66" s="46"/>
      <c r="GV66" s="43">
        <v>0</v>
      </c>
      <c r="GW66" s="46"/>
      <c r="GX66" s="47"/>
      <c r="GZ66" s="43">
        <v>0</v>
      </c>
      <c r="HA66" s="46"/>
      <c r="HB66" s="47"/>
      <c r="HD66">
        <v>2500</v>
      </c>
      <c r="HE66">
        <v>2500</v>
      </c>
      <c r="HF66" s="43">
        <v>0</v>
      </c>
      <c r="HG66" s="46"/>
      <c r="HH66" s="47"/>
      <c r="HJ66" s="43">
        <v>0</v>
      </c>
      <c r="HK66" s="46"/>
      <c r="HL66" s="47"/>
      <c r="HP66" s="43">
        <v>0</v>
      </c>
      <c r="HQ66" s="46"/>
      <c r="HX66" s="43">
        <v>0</v>
      </c>
      <c r="HY66" s="46"/>
      <c r="HZ66" s="45">
        <v>170</v>
      </c>
      <c r="IA66">
        <v>170</v>
      </c>
      <c r="IB66">
        <v>170</v>
      </c>
      <c r="IC66">
        <v>170</v>
      </c>
      <c r="ID66" s="43">
        <v>0</v>
      </c>
      <c r="IE66" s="46"/>
      <c r="IF66">
        <v>250</v>
      </c>
      <c r="IG66">
        <v>250</v>
      </c>
      <c r="IH66">
        <v>310</v>
      </c>
      <c r="II66">
        <v>315</v>
      </c>
      <c r="IJ66" s="43">
        <v>-5</v>
      </c>
      <c r="IK66" s="49"/>
      <c r="IN66">
        <v>200</v>
      </c>
      <c r="IO66">
        <v>200</v>
      </c>
      <c r="IP66" s="43">
        <v>0</v>
      </c>
      <c r="IQ66" s="49"/>
      <c r="IT66">
        <v>800</v>
      </c>
      <c r="IU66">
        <v>800</v>
      </c>
      <c r="IV66" s="43">
        <v>0</v>
      </c>
      <c r="IW66" s="49"/>
      <c r="IX66">
        <v>110</v>
      </c>
      <c r="IY66">
        <v>110</v>
      </c>
      <c r="IZ66">
        <v>100</v>
      </c>
      <c r="JA66">
        <v>100</v>
      </c>
      <c r="JB66" s="43">
        <v>0</v>
      </c>
      <c r="JC66" s="46"/>
      <c r="JD66">
        <v>50</v>
      </c>
      <c r="JE66">
        <v>50</v>
      </c>
      <c r="JF66" s="43">
        <v>0</v>
      </c>
      <c r="JG66" s="49"/>
      <c r="JH66">
        <v>250</v>
      </c>
      <c r="JI66">
        <v>250</v>
      </c>
      <c r="JJ66">
        <v>180</v>
      </c>
      <c r="JK66">
        <v>184</v>
      </c>
      <c r="JL66" s="43">
        <v>-4</v>
      </c>
      <c r="JM66" s="46"/>
      <c r="JN66" s="45">
        <v>320</v>
      </c>
      <c r="JO66" s="48">
        <v>320</v>
      </c>
      <c r="JP66" s="43">
        <v>0</v>
      </c>
      <c r="JQ66" s="49"/>
      <c r="JU66">
        <v>50</v>
      </c>
      <c r="JV66" s="42">
        <v>-50</v>
      </c>
      <c r="JW66" s="49">
        <v>5</v>
      </c>
      <c r="JY66">
        <v>20</v>
      </c>
      <c r="KB66" s="42">
        <v>-20</v>
      </c>
      <c r="KC66" s="49">
        <v>2</v>
      </c>
      <c r="KH66" s="43">
        <v>0</v>
      </c>
      <c r="KI66" s="49"/>
      <c r="KL66">
        <v>460</v>
      </c>
      <c r="KM66">
        <v>460</v>
      </c>
      <c r="KN66" s="43">
        <v>0</v>
      </c>
      <c r="KO66" s="49"/>
      <c r="KP66" s="45">
        <v>130</v>
      </c>
      <c r="KQ66">
        <v>130</v>
      </c>
      <c r="KR66">
        <v>200</v>
      </c>
      <c r="KS66">
        <v>200</v>
      </c>
      <c r="KT66">
        <v>130</v>
      </c>
      <c r="KU66">
        <v>130</v>
      </c>
      <c r="KV66" s="43">
        <v>0</v>
      </c>
      <c r="KW66" s="49"/>
      <c r="KX66" s="48">
        <v>70</v>
      </c>
      <c r="KY66" s="48">
        <v>70</v>
      </c>
      <c r="KZ66" s="48">
        <v>100</v>
      </c>
      <c r="LA66" s="48">
        <v>100</v>
      </c>
      <c r="LB66" s="43">
        <v>0</v>
      </c>
      <c r="LC66" s="49"/>
      <c r="LD66" s="48">
        <v>0</v>
      </c>
      <c r="LE66" s="48">
        <v>0</v>
      </c>
      <c r="LF66" s="48">
        <v>30</v>
      </c>
      <c r="LG66" s="48">
        <v>30</v>
      </c>
      <c r="LH66" s="43">
        <v>0</v>
      </c>
      <c r="LI66" s="49"/>
      <c r="LJ66" s="50">
        <v>220</v>
      </c>
      <c r="LK66" s="48">
        <v>220</v>
      </c>
      <c r="LL66" s="43">
        <v>0</v>
      </c>
      <c r="LM66" s="49"/>
      <c r="LN66" s="50">
        <v>300</v>
      </c>
      <c r="LO66" s="48">
        <v>300</v>
      </c>
      <c r="LP66" s="48">
        <v>190</v>
      </c>
      <c r="LQ66" s="48">
        <v>0</v>
      </c>
      <c r="LR66" s="48">
        <v>190</v>
      </c>
      <c r="LS66" s="43">
        <v>0</v>
      </c>
      <c r="LT66" s="49"/>
      <c r="LU66" s="50">
        <v>60</v>
      </c>
      <c r="LV66" s="48">
        <v>60</v>
      </c>
      <c r="LW66" s="48">
        <v>60</v>
      </c>
      <c r="LX66" s="48">
        <v>60</v>
      </c>
      <c r="LY66" s="43">
        <v>0</v>
      </c>
      <c r="LZ66" s="49"/>
      <c r="MA66" s="50">
        <v>50</v>
      </c>
      <c r="MB66" s="48">
        <v>50</v>
      </c>
      <c r="MC66" s="43">
        <v>0</v>
      </c>
      <c r="MD66" s="49"/>
      <c r="ME66" s="50">
        <v>0</v>
      </c>
      <c r="MF66" s="48">
        <v>0</v>
      </c>
      <c r="MG66" s="48">
        <v>0</v>
      </c>
      <c r="MH66" s="48">
        <v>0</v>
      </c>
      <c r="MI66" s="43">
        <v>0</v>
      </c>
      <c r="MJ66" s="49"/>
      <c r="MK66" s="50">
        <v>0</v>
      </c>
      <c r="ML66" s="48">
        <v>0</v>
      </c>
      <c r="MM66" s="43">
        <v>0</v>
      </c>
      <c r="MN66" s="49"/>
      <c r="MO66" s="50">
        <v>150</v>
      </c>
      <c r="MP66" s="48">
        <v>150</v>
      </c>
      <c r="MQ66" s="48">
        <v>340</v>
      </c>
      <c r="MR66" s="48">
        <v>346</v>
      </c>
      <c r="MS66" s="43">
        <v>-6</v>
      </c>
      <c r="MT66" s="49"/>
      <c r="MU66" s="48">
        <v>0</v>
      </c>
      <c r="MV66" s="46"/>
      <c r="MW66" s="48">
        <v>950</v>
      </c>
      <c r="MX66" s="48">
        <v>950</v>
      </c>
      <c r="MY66" s="43">
        <v>0</v>
      </c>
      <c r="MZ66" s="49"/>
      <c r="NA66" s="50">
        <v>200</v>
      </c>
      <c r="NB66" s="48">
        <v>200</v>
      </c>
      <c r="NC66" s="48">
        <v>400</v>
      </c>
      <c r="ND66" s="48">
        <v>400</v>
      </c>
      <c r="NE66" s="43">
        <v>0</v>
      </c>
      <c r="NF66" s="49"/>
      <c r="NG66" s="50">
        <v>0</v>
      </c>
      <c r="NH66" s="48">
        <v>0</v>
      </c>
      <c r="NI66" s="48">
        <v>0</v>
      </c>
      <c r="NJ66" s="48">
        <v>0</v>
      </c>
      <c r="NK66" s="43">
        <v>0</v>
      </c>
      <c r="NL66" s="49"/>
      <c r="NM66" s="50">
        <v>400</v>
      </c>
      <c r="NN66" s="48">
        <v>400</v>
      </c>
      <c r="NO66" s="48">
        <v>600</v>
      </c>
      <c r="NP66" s="48">
        <v>600</v>
      </c>
      <c r="NQ66" s="43">
        <v>0</v>
      </c>
      <c r="NR66" s="49"/>
      <c r="NS66" s="50">
        <v>50</v>
      </c>
      <c r="NT66" s="48">
        <v>90</v>
      </c>
      <c r="NU66" s="48">
        <v>140</v>
      </c>
      <c r="NV66" s="48">
        <v>140</v>
      </c>
      <c r="NW66" s="42">
        <v>-40</v>
      </c>
      <c r="NX66" s="49">
        <v>4</v>
      </c>
      <c r="NY66" s="50">
        <v>0</v>
      </c>
      <c r="NZ66" s="48">
        <v>0</v>
      </c>
      <c r="OA66" s="48">
        <v>190</v>
      </c>
      <c r="OB66" s="48">
        <v>190</v>
      </c>
      <c r="OC66" s="43">
        <v>0</v>
      </c>
      <c r="OD66" s="49"/>
      <c r="OE66" s="50">
        <v>590</v>
      </c>
      <c r="OF66" s="48">
        <v>600</v>
      </c>
      <c r="OG66" s="43">
        <v>-10</v>
      </c>
      <c r="OH66" s="49"/>
      <c r="OI66" s="50">
        <v>230</v>
      </c>
      <c r="OJ66" s="48">
        <v>234</v>
      </c>
      <c r="OK66" s="43">
        <v>-4</v>
      </c>
      <c r="OL66" s="49"/>
      <c r="OM66" s="50">
        <v>0</v>
      </c>
      <c r="ON66" s="48">
        <v>0</v>
      </c>
      <c r="OO66" s="48">
        <v>0</v>
      </c>
      <c r="OP66" s="48">
        <v>0</v>
      </c>
      <c r="OQ66" s="43">
        <v>0</v>
      </c>
      <c r="OR66" s="49"/>
      <c r="OS66" s="50">
        <v>190</v>
      </c>
      <c r="OT66" s="48">
        <v>200</v>
      </c>
      <c r="OU66" s="43">
        <v>-10</v>
      </c>
      <c r="OV66" s="49"/>
      <c r="OW66" s="50">
        <v>130</v>
      </c>
      <c r="OX66" s="48">
        <v>130</v>
      </c>
      <c r="OY66" s="48">
        <v>100</v>
      </c>
      <c r="OZ66" s="48">
        <v>100</v>
      </c>
      <c r="PA66" s="43">
        <v>0</v>
      </c>
      <c r="PB66" s="49"/>
      <c r="PC66" s="50">
        <v>110</v>
      </c>
      <c r="PD66" s="48">
        <v>114</v>
      </c>
      <c r="PE66" s="43">
        <v>-4</v>
      </c>
      <c r="PF66" s="49"/>
      <c r="PG66" s="50">
        <v>0</v>
      </c>
      <c r="PH66" s="48">
        <v>0</v>
      </c>
      <c r="PI66" s="48">
        <v>0</v>
      </c>
      <c r="PJ66" s="48">
        <v>0</v>
      </c>
      <c r="PK66" s="43">
        <v>0</v>
      </c>
      <c r="PL66" s="49"/>
      <c r="PM66" s="47">
        <v>0</v>
      </c>
      <c r="PN66" s="48">
        <v>0</v>
      </c>
      <c r="PO66" s="48">
        <v>130</v>
      </c>
      <c r="PP66" s="48">
        <v>134</v>
      </c>
      <c r="PQ66" s="43">
        <v>-4</v>
      </c>
      <c r="PR66" s="49"/>
      <c r="PS66" s="47">
        <v>100</v>
      </c>
      <c r="PT66" s="43">
        <v>100</v>
      </c>
      <c r="PU66" s="43">
        <v>140</v>
      </c>
      <c r="PV66" s="43">
        <v>150</v>
      </c>
      <c r="PW66" s="43">
        <v>-10</v>
      </c>
      <c r="PX66" s="46"/>
      <c r="PY66" s="47">
        <v>90</v>
      </c>
      <c r="PZ66" s="43">
        <v>92</v>
      </c>
      <c r="QA66" s="43">
        <v>-2</v>
      </c>
      <c r="QB66" s="46"/>
      <c r="QC66" s="47">
        <v>0</v>
      </c>
      <c r="QD66" s="43">
        <v>0</v>
      </c>
      <c r="QE66" s="43">
        <v>0</v>
      </c>
      <c r="QF66" s="43">
        <v>0</v>
      </c>
      <c r="QG66" s="43">
        <v>0</v>
      </c>
      <c r="QH66" s="46"/>
      <c r="QI66" s="47">
        <v>150</v>
      </c>
      <c r="QJ66" s="43">
        <v>150</v>
      </c>
      <c r="QK66" s="43">
        <v>200</v>
      </c>
      <c r="QL66" s="43">
        <v>200</v>
      </c>
      <c r="QM66" s="43">
        <v>0</v>
      </c>
      <c r="QN66" s="46"/>
      <c r="QO66" s="47">
        <v>60</v>
      </c>
      <c r="QP66" s="43">
        <v>63</v>
      </c>
      <c r="QQ66" s="43">
        <v>0</v>
      </c>
      <c r="QR66" s="43">
        <v>60</v>
      </c>
      <c r="QS66" s="42">
        <v>-63</v>
      </c>
      <c r="QT66" s="46">
        <v>6.3000000000000007</v>
      </c>
      <c r="QU66" s="47">
        <v>0</v>
      </c>
      <c r="QV66" s="43">
        <v>255</v>
      </c>
      <c r="QW66" s="42">
        <v>-255</v>
      </c>
      <c r="QX66" s="46">
        <v>25.5</v>
      </c>
      <c r="QY66" s="47">
        <v>0</v>
      </c>
      <c r="QZ66" s="43">
        <v>0</v>
      </c>
      <c r="RA66" s="43">
        <v>320</v>
      </c>
      <c r="RB66" s="43">
        <v>331</v>
      </c>
      <c r="RC66" s="43">
        <v>-11</v>
      </c>
      <c r="RD66" s="46"/>
    </row>
    <row r="67" spans="1:472" x14ac:dyDescent="0.25">
      <c r="A67" s="43" t="s">
        <v>355</v>
      </c>
      <c r="B67" s="44">
        <v>0.1</v>
      </c>
      <c r="E67">
        <v>100</v>
      </c>
      <c r="F67">
        <v>126</v>
      </c>
      <c r="I67" s="45">
        <v>112</v>
      </c>
      <c r="J67" s="52">
        <v>120</v>
      </c>
      <c r="K67" s="52">
        <v>140</v>
      </c>
      <c r="L67" s="52">
        <v>144</v>
      </c>
      <c r="M67" s="51">
        <f t="shared" si="8"/>
        <v>-12</v>
      </c>
      <c r="N67" s="46"/>
      <c r="O67" s="47"/>
      <c r="P67" s="51"/>
      <c r="Q67" s="52">
        <v>14</v>
      </c>
      <c r="R67" s="52">
        <v>14</v>
      </c>
      <c r="S67" s="51">
        <f t="shared" si="9"/>
        <v>0</v>
      </c>
      <c r="T67" s="46"/>
      <c r="U67" s="45">
        <v>140</v>
      </c>
      <c r="V67" s="52">
        <v>140</v>
      </c>
      <c r="W67" s="52">
        <v>140</v>
      </c>
      <c r="X67" s="52">
        <v>149</v>
      </c>
      <c r="Y67" s="51">
        <f t="shared" si="10"/>
        <v>-9</v>
      </c>
      <c r="Z67" s="46"/>
      <c r="AA67" s="52">
        <v>140</v>
      </c>
      <c r="AB67">
        <v>150</v>
      </c>
      <c r="AC67">
        <v>210</v>
      </c>
      <c r="AD67">
        <v>212</v>
      </c>
      <c r="AE67" s="43">
        <v>-12</v>
      </c>
      <c r="AF67" s="46"/>
      <c r="AG67" s="45">
        <v>56</v>
      </c>
      <c r="AH67">
        <v>56</v>
      </c>
      <c r="AI67">
        <v>98</v>
      </c>
      <c r="AJ67">
        <v>101</v>
      </c>
      <c r="AK67" s="43">
        <v>-3</v>
      </c>
      <c r="AL67" s="46"/>
      <c r="AN67">
        <v>70</v>
      </c>
      <c r="AO67">
        <v>56</v>
      </c>
      <c r="AP67">
        <v>88</v>
      </c>
      <c r="AQ67" s="42">
        <v>-102</v>
      </c>
      <c r="AR67" s="46">
        <v>10.199999999999999</v>
      </c>
      <c r="AS67">
        <v>182</v>
      </c>
      <c r="AT67">
        <v>182</v>
      </c>
      <c r="AU67">
        <v>182</v>
      </c>
      <c r="AV67">
        <v>193</v>
      </c>
      <c r="AW67" s="43">
        <v>-11</v>
      </c>
      <c r="AX67" s="46"/>
      <c r="AY67" s="47"/>
      <c r="BC67" s="43">
        <v>0</v>
      </c>
      <c r="BD67" s="46"/>
      <c r="BE67" s="45">
        <v>84</v>
      </c>
      <c r="BF67">
        <v>95</v>
      </c>
      <c r="BI67" s="43">
        <v>-11</v>
      </c>
      <c r="BJ67" s="46"/>
      <c r="BK67">
        <v>196</v>
      </c>
      <c r="BL67">
        <v>200</v>
      </c>
      <c r="BN67">
        <v>238</v>
      </c>
      <c r="BO67">
        <v>248</v>
      </c>
      <c r="BP67" s="43">
        <v>-14</v>
      </c>
      <c r="BQ67" s="46"/>
      <c r="BT67" s="43">
        <v>0</v>
      </c>
      <c r="BU67" s="46"/>
      <c r="BV67" s="47"/>
      <c r="BZ67" s="43">
        <v>0</v>
      </c>
      <c r="CA67" s="46"/>
      <c r="CB67">
        <v>140</v>
      </c>
      <c r="CC67">
        <v>150</v>
      </c>
      <c r="CD67">
        <v>224</v>
      </c>
      <c r="CE67">
        <v>233</v>
      </c>
      <c r="CF67" s="42">
        <v>-19</v>
      </c>
      <c r="CG67" s="46">
        <v>1.9</v>
      </c>
      <c r="CJ67">
        <v>70</v>
      </c>
      <c r="CK67">
        <v>73</v>
      </c>
      <c r="CL67" s="43">
        <v>-3</v>
      </c>
      <c r="CM67" s="46"/>
      <c r="CN67" s="47"/>
      <c r="CP67">
        <v>126</v>
      </c>
      <c r="CQ67">
        <v>134</v>
      </c>
      <c r="CR67" s="43">
        <v>-8</v>
      </c>
      <c r="CS67" s="46"/>
      <c r="CX67" s="43">
        <v>0</v>
      </c>
      <c r="CY67" s="46"/>
      <c r="CZ67" s="47"/>
      <c r="DD67" s="43">
        <v>0</v>
      </c>
      <c r="DE67" s="46"/>
      <c r="DF67" s="47"/>
      <c r="DH67">
        <v>392</v>
      </c>
      <c r="DI67">
        <v>400</v>
      </c>
      <c r="DJ67">
        <v>266</v>
      </c>
      <c r="DK67">
        <v>268</v>
      </c>
      <c r="DL67" s="43">
        <v>-10</v>
      </c>
      <c r="DM67" s="46"/>
      <c r="DN67" s="45">
        <v>140</v>
      </c>
      <c r="DO67">
        <v>140</v>
      </c>
      <c r="DP67">
        <v>168</v>
      </c>
      <c r="DQ67">
        <v>170</v>
      </c>
      <c r="DR67" s="43">
        <v>-2</v>
      </c>
      <c r="DS67" s="46"/>
      <c r="DV67">
        <v>126</v>
      </c>
      <c r="DW67">
        <v>130</v>
      </c>
      <c r="DZ67" s="43">
        <v>-4</v>
      </c>
      <c r="EA67" s="46"/>
      <c r="EB67" s="47"/>
      <c r="ED67">
        <v>224</v>
      </c>
      <c r="EE67">
        <v>230</v>
      </c>
      <c r="EF67" s="43">
        <v>-6</v>
      </c>
      <c r="EG67" s="46"/>
      <c r="EH67" s="47"/>
      <c r="EL67" s="43">
        <v>0</v>
      </c>
      <c r="EM67" s="46"/>
      <c r="EN67" s="45">
        <v>294</v>
      </c>
      <c r="EO67">
        <v>300</v>
      </c>
      <c r="EP67">
        <v>280</v>
      </c>
      <c r="EQ67">
        <v>290</v>
      </c>
      <c r="ER67" s="43">
        <v>-16</v>
      </c>
      <c r="ES67" s="46"/>
      <c r="ET67">
        <v>56</v>
      </c>
      <c r="EU67">
        <v>56</v>
      </c>
      <c r="EV67">
        <v>56</v>
      </c>
      <c r="EW67">
        <v>56</v>
      </c>
      <c r="EX67">
        <v>84</v>
      </c>
      <c r="EY67">
        <v>88</v>
      </c>
      <c r="EZ67" s="43">
        <v>-4</v>
      </c>
      <c r="FA67" s="46"/>
      <c r="FD67">
        <v>252</v>
      </c>
      <c r="FF67">
        <v>260</v>
      </c>
      <c r="FG67" s="43">
        <v>-8</v>
      </c>
      <c r="FH67" s="46"/>
      <c r="FI67" s="45">
        <v>14</v>
      </c>
      <c r="FK67" s="48">
        <v>13</v>
      </c>
      <c r="FL67" s="43">
        <v>1</v>
      </c>
      <c r="FM67" s="46"/>
      <c r="FN67" s="45">
        <v>462</v>
      </c>
      <c r="FP67">
        <v>467</v>
      </c>
      <c r="FQ67" s="43">
        <v>-5</v>
      </c>
      <c r="FR67" s="46"/>
      <c r="FS67">
        <v>140</v>
      </c>
      <c r="FV67">
        <v>150</v>
      </c>
      <c r="FW67" s="43">
        <v>-10</v>
      </c>
      <c r="FX67" s="46"/>
      <c r="FY67" s="47"/>
      <c r="GB67">
        <v>28</v>
      </c>
      <c r="GC67">
        <v>30</v>
      </c>
      <c r="GD67" s="43">
        <v>-2</v>
      </c>
      <c r="GE67" s="46"/>
      <c r="GF67">
        <v>154</v>
      </c>
      <c r="GG67">
        <v>154</v>
      </c>
      <c r="GH67">
        <v>182</v>
      </c>
      <c r="GI67">
        <v>180</v>
      </c>
      <c r="GJ67" s="43">
        <v>2</v>
      </c>
      <c r="GK67" s="46"/>
      <c r="GL67" s="45">
        <v>196</v>
      </c>
      <c r="GM67">
        <v>200</v>
      </c>
      <c r="GN67">
        <v>196</v>
      </c>
      <c r="GO67">
        <v>200</v>
      </c>
      <c r="GP67" s="43">
        <v>-8</v>
      </c>
      <c r="GQ67" s="46"/>
      <c r="GT67">
        <v>42</v>
      </c>
      <c r="GU67">
        <v>50</v>
      </c>
      <c r="GV67" s="43">
        <v>-8</v>
      </c>
      <c r="GW67" s="46"/>
      <c r="GX67" s="45">
        <v>84</v>
      </c>
      <c r="GY67" s="48">
        <v>90</v>
      </c>
      <c r="GZ67" s="43">
        <v>-6</v>
      </c>
      <c r="HA67" s="46"/>
      <c r="HB67" s="45">
        <v>196</v>
      </c>
      <c r="HC67">
        <v>200</v>
      </c>
      <c r="HD67">
        <v>336</v>
      </c>
      <c r="HE67">
        <v>340</v>
      </c>
      <c r="HF67" s="43">
        <v>-8</v>
      </c>
      <c r="HG67" s="46"/>
      <c r="HH67" s="45">
        <v>98</v>
      </c>
      <c r="HI67">
        <v>100</v>
      </c>
      <c r="HJ67" s="43">
        <v>-2</v>
      </c>
      <c r="HK67" s="46"/>
      <c r="HL67" s="47"/>
      <c r="HN67">
        <v>182</v>
      </c>
      <c r="HO67">
        <v>190</v>
      </c>
      <c r="HP67" s="43">
        <v>-8</v>
      </c>
      <c r="HQ67" s="46"/>
      <c r="HV67">
        <v>210</v>
      </c>
      <c r="HW67">
        <v>210</v>
      </c>
      <c r="HX67" s="43">
        <v>0</v>
      </c>
      <c r="HY67" s="46"/>
      <c r="HZ67" s="45">
        <v>168</v>
      </c>
      <c r="IA67">
        <v>170</v>
      </c>
      <c r="IB67">
        <v>154</v>
      </c>
      <c r="IC67">
        <v>160</v>
      </c>
      <c r="ID67" s="43">
        <v>-8</v>
      </c>
      <c r="IE67" s="46"/>
      <c r="IH67">
        <v>140</v>
      </c>
      <c r="II67">
        <v>150</v>
      </c>
      <c r="IJ67" s="43">
        <v>-10</v>
      </c>
      <c r="IK67" s="49"/>
      <c r="IL67">
        <v>98</v>
      </c>
      <c r="IM67">
        <v>100</v>
      </c>
      <c r="IN67">
        <v>154</v>
      </c>
      <c r="IO67">
        <v>160</v>
      </c>
      <c r="IP67" s="43">
        <v>-8</v>
      </c>
      <c r="IQ67" s="49"/>
      <c r="IR67">
        <v>112</v>
      </c>
      <c r="IS67">
        <v>120</v>
      </c>
      <c r="IV67" s="43">
        <v>-8</v>
      </c>
      <c r="IW67" s="49"/>
      <c r="IX67">
        <v>224</v>
      </c>
      <c r="IY67">
        <v>230</v>
      </c>
      <c r="IZ67">
        <v>196</v>
      </c>
      <c r="JA67">
        <v>200</v>
      </c>
      <c r="JB67" s="43">
        <v>-10</v>
      </c>
      <c r="JC67" s="46"/>
      <c r="JD67">
        <v>42</v>
      </c>
      <c r="JE67">
        <v>50</v>
      </c>
      <c r="JF67" s="43">
        <v>-8</v>
      </c>
      <c r="JG67" s="49"/>
      <c r="JH67">
        <v>140</v>
      </c>
      <c r="JI67">
        <v>150</v>
      </c>
      <c r="JJ67">
        <v>308</v>
      </c>
      <c r="JK67">
        <v>319</v>
      </c>
      <c r="JL67" s="42">
        <v>-21</v>
      </c>
      <c r="JM67" s="46">
        <v>2.1</v>
      </c>
      <c r="JN67" s="45">
        <v>252</v>
      </c>
      <c r="JO67" s="48">
        <v>250</v>
      </c>
      <c r="JP67" s="43">
        <v>2</v>
      </c>
      <c r="JQ67" s="49"/>
      <c r="JT67">
        <v>42</v>
      </c>
      <c r="JU67">
        <v>50</v>
      </c>
      <c r="JV67" s="43">
        <v>-8</v>
      </c>
      <c r="JW67" s="49"/>
      <c r="JX67">
        <v>196</v>
      </c>
      <c r="JY67">
        <v>200</v>
      </c>
      <c r="JZ67">
        <v>238</v>
      </c>
      <c r="KA67">
        <v>239</v>
      </c>
      <c r="KB67" s="43">
        <v>-5</v>
      </c>
      <c r="KC67" s="49"/>
      <c r="KF67">
        <v>322</v>
      </c>
      <c r="KG67">
        <v>330</v>
      </c>
      <c r="KH67" s="43">
        <v>-8</v>
      </c>
      <c r="KI67" s="49"/>
      <c r="KJ67">
        <v>42</v>
      </c>
      <c r="KK67">
        <v>42</v>
      </c>
      <c r="KL67">
        <v>98</v>
      </c>
      <c r="KM67">
        <v>108</v>
      </c>
      <c r="KN67" s="43">
        <v>-10</v>
      </c>
      <c r="KO67" s="49"/>
      <c r="KP67" s="45">
        <v>70</v>
      </c>
      <c r="KQ67">
        <v>80</v>
      </c>
      <c r="KR67">
        <v>98</v>
      </c>
      <c r="KS67">
        <v>100</v>
      </c>
      <c r="KT67">
        <v>42</v>
      </c>
      <c r="KU67">
        <v>60</v>
      </c>
      <c r="KV67" s="42">
        <v>-30</v>
      </c>
      <c r="KW67" s="49">
        <v>3</v>
      </c>
      <c r="KX67" s="48">
        <v>0</v>
      </c>
      <c r="KY67" s="48">
        <v>0</v>
      </c>
      <c r="KZ67" s="48">
        <v>42</v>
      </c>
      <c r="LA67" s="48">
        <v>50</v>
      </c>
      <c r="LB67" s="43">
        <v>-8</v>
      </c>
      <c r="LC67" s="49"/>
      <c r="LD67" s="48">
        <v>140</v>
      </c>
      <c r="LE67" s="48">
        <v>150</v>
      </c>
      <c r="LF67" s="48">
        <v>196</v>
      </c>
      <c r="LG67" s="48">
        <v>200</v>
      </c>
      <c r="LH67" s="43">
        <v>-14</v>
      </c>
      <c r="LI67" s="49"/>
      <c r="LJ67" s="50">
        <v>182</v>
      </c>
      <c r="LK67" s="48">
        <v>180</v>
      </c>
      <c r="LL67" s="43">
        <v>2</v>
      </c>
      <c r="LM67" s="49"/>
      <c r="LN67" s="50">
        <v>126</v>
      </c>
      <c r="LO67" s="48">
        <v>130</v>
      </c>
      <c r="LP67" s="48">
        <v>112</v>
      </c>
      <c r="LQ67" s="48">
        <v>0</v>
      </c>
      <c r="LR67" s="48">
        <v>110</v>
      </c>
      <c r="LS67" s="43">
        <v>-2</v>
      </c>
      <c r="LT67" s="49"/>
      <c r="LU67" s="50">
        <v>140</v>
      </c>
      <c r="LV67" s="48">
        <v>150</v>
      </c>
      <c r="LW67" s="48">
        <v>196</v>
      </c>
      <c r="LX67" s="48">
        <v>200</v>
      </c>
      <c r="LY67" s="43">
        <v>-14</v>
      </c>
      <c r="LZ67" s="49"/>
      <c r="MA67" s="50">
        <v>252</v>
      </c>
      <c r="MB67" s="48">
        <v>250</v>
      </c>
      <c r="MC67" s="43">
        <v>2</v>
      </c>
      <c r="MD67" s="49"/>
      <c r="ME67" s="50">
        <v>0</v>
      </c>
      <c r="MF67" s="48">
        <v>0</v>
      </c>
      <c r="MG67" s="48">
        <v>294</v>
      </c>
      <c r="MH67" s="48">
        <v>300</v>
      </c>
      <c r="MI67" s="43">
        <v>-6</v>
      </c>
      <c r="MJ67" s="49"/>
      <c r="MK67" s="50">
        <v>0</v>
      </c>
      <c r="ML67" s="48">
        <v>0</v>
      </c>
      <c r="MM67" s="43">
        <v>0</v>
      </c>
      <c r="MN67" s="49"/>
      <c r="MO67" s="50">
        <v>56</v>
      </c>
      <c r="MP67" s="48">
        <v>60</v>
      </c>
      <c r="MQ67" s="48">
        <v>406</v>
      </c>
      <c r="MR67" s="48">
        <v>407</v>
      </c>
      <c r="MS67" s="43">
        <v>-5</v>
      </c>
      <c r="MT67" s="49"/>
      <c r="MU67" s="48">
        <v>42</v>
      </c>
      <c r="MV67" s="46">
        <v>-4.2</v>
      </c>
      <c r="MW67" s="48">
        <v>0</v>
      </c>
      <c r="MX67" s="48">
        <v>50</v>
      </c>
      <c r="MY67" s="42">
        <v>-50</v>
      </c>
      <c r="MZ67" s="49">
        <v>5</v>
      </c>
      <c r="NA67" s="50">
        <v>42</v>
      </c>
      <c r="NB67" s="48">
        <v>50</v>
      </c>
      <c r="NC67" s="48">
        <v>252</v>
      </c>
      <c r="ND67" s="48">
        <v>255</v>
      </c>
      <c r="NE67" s="43">
        <v>-11</v>
      </c>
      <c r="NF67" s="49"/>
      <c r="NG67" s="50">
        <v>0</v>
      </c>
      <c r="NH67" s="48">
        <v>0</v>
      </c>
      <c r="NI67" s="48">
        <v>0</v>
      </c>
      <c r="NJ67" s="48">
        <v>0</v>
      </c>
      <c r="NK67" s="43">
        <v>0</v>
      </c>
      <c r="NL67" s="49"/>
      <c r="NM67" s="50">
        <v>112</v>
      </c>
      <c r="NN67" s="48">
        <v>120</v>
      </c>
      <c r="NO67" s="48">
        <v>182</v>
      </c>
      <c r="NP67" s="48">
        <v>180</v>
      </c>
      <c r="NQ67" s="43">
        <v>-6</v>
      </c>
      <c r="NR67" s="49"/>
      <c r="NS67" s="50">
        <v>0</v>
      </c>
      <c r="NT67" s="48">
        <v>0</v>
      </c>
      <c r="NU67" s="48">
        <v>70</v>
      </c>
      <c r="NV67" s="48">
        <v>80</v>
      </c>
      <c r="NW67" s="42">
        <v>-10</v>
      </c>
      <c r="NX67" s="49">
        <v>1</v>
      </c>
      <c r="NY67" s="50">
        <v>98</v>
      </c>
      <c r="NZ67" s="48">
        <v>100</v>
      </c>
      <c r="OA67" s="48">
        <v>98</v>
      </c>
      <c r="OB67" s="48">
        <v>100</v>
      </c>
      <c r="OC67" s="43">
        <v>-4</v>
      </c>
      <c r="OD67" s="49"/>
      <c r="OE67" s="50">
        <v>588</v>
      </c>
      <c r="OF67" s="48">
        <v>600</v>
      </c>
      <c r="OG67" s="43">
        <v>-12</v>
      </c>
      <c r="OH67" s="49"/>
      <c r="OI67" s="50">
        <v>0</v>
      </c>
      <c r="OJ67" s="48">
        <v>0</v>
      </c>
      <c r="OK67" s="43">
        <v>0</v>
      </c>
      <c r="OL67" s="49"/>
      <c r="OM67" s="50">
        <v>0</v>
      </c>
      <c r="ON67" s="48">
        <v>0</v>
      </c>
      <c r="OO67" s="48">
        <v>140</v>
      </c>
      <c r="OP67" s="48">
        <v>130</v>
      </c>
      <c r="OQ67" s="43">
        <v>10</v>
      </c>
      <c r="OR67" s="49"/>
      <c r="OS67" s="50">
        <v>98</v>
      </c>
      <c r="OT67" s="48">
        <v>100</v>
      </c>
      <c r="OU67" s="43">
        <v>-2</v>
      </c>
      <c r="OV67" s="49"/>
      <c r="OW67" s="50">
        <v>0</v>
      </c>
      <c r="OX67" s="48">
        <v>0</v>
      </c>
      <c r="OY67" s="48">
        <v>42</v>
      </c>
      <c r="OZ67" s="48">
        <v>40</v>
      </c>
      <c r="PA67" s="43">
        <v>2</v>
      </c>
      <c r="PB67" s="49"/>
      <c r="PC67" s="50">
        <v>112</v>
      </c>
      <c r="PD67" s="48">
        <v>122</v>
      </c>
      <c r="PE67" s="43">
        <v>-10</v>
      </c>
      <c r="PF67" s="49"/>
      <c r="PG67" s="50">
        <v>0</v>
      </c>
      <c r="PH67" s="48">
        <v>0</v>
      </c>
      <c r="PI67" s="48">
        <v>0</v>
      </c>
      <c r="PJ67" s="48">
        <v>0</v>
      </c>
      <c r="PK67" s="43">
        <v>0</v>
      </c>
      <c r="PL67" s="49"/>
      <c r="PM67" s="47">
        <v>0</v>
      </c>
      <c r="PN67" s="48">
        <v>0</v>
      </c>
      <c r="PO67" s="48">
        <v>56</v>
      </c>
      <c r="PP67" s="48">
        <v>55</v>
      </c>
      <c r="PQ67" s="43">
        <v>1</v>
      </c>
      <c r="PR67" s="49"/>
      <c r="PS67" s="47">
        <v>0</v>
      </c>
      <c r="PT67" s="13">
        <v>40</v>
      </c>
      <c r="PU67" s="43">
        <v>0</v>
      </c>
      <c r="PV67" s="43">
        <v>0</v>
      </c>
      <c r="PW67" s="42">
        <v>-40</v>
      </c>
      <c r="PX67" s="46">
        <v>4</v>
      </c>
      <c r="PY67" s="47">
        <v>0</v>
      </c>
      <c r="PZ67" s="43">
        <v>0</v>
      </c>
      <c r="QA67" s="43">
        <v>0</v>
      </c>
      <c r="QB67" s="46"/>
      <c r="QC67" s="47">
        <v>0</v>
      </c>
      <c r="QD67" s="43">
        <v>0</v>
      </c>
      <c r="QE67" s="43">
        <v>0</v>
      </c>
      <c r="QF67" s="43">
        <v>0</v>
      </c>
      <c r="QG67" s="43">
        <v>0</v>
      </c>
      <c r="QH67" s="46"/>
      <c r="QI67" s="47">
        <v>14</v>
      </c>
      <c r="QJ67" s="43">
        <v>25</v>
      </c>
      <c r="QK67" s="43">
        <v>0</v>
      </c>
      <c r="QL67" s="43">
        <v>0</v>
      </c>
      <c r="QM67" s="43">
        <v>-11</v>
      </c>
      <c r="QN67" s="46"/>
      <c r="QO67" s="47">
        <v>0</v>
      </c>
      <c r="QP67" s="43">
        <v>0</v>
      </c>
      <c r="QQ67" s="43">
        <v>112</v>
      </c>
      <c r="QR67" s="43">
        <v>0</v>
      </c>
      <c r="QS67" s="43">
        <v>112</v>
      </c>
      <c r="QT67" s="46"/>
      <c r="QU67" s="47">
        <v>84</v>
      </c>
      <c r="QV67" s="43">
        <v>95</v>
      </c>
      <c r="QW67" s="43">
        <v>-11</v>
      </c>
      <c r="QX67" s="46"/>
      <c r="QY67" s="47">
        <v>0</v>
      </c>
      <c r="QZ67" s="43">
        <v>0</v>
      </c>
      <c r="RA67" s="43">
        <v>0</v>
      </c>
      <c r="RB67" s="43">
        <v>0</v>
      </c>
      <c r="RC67" s="43">
        <v>0</v>
      </c>
      <c r="RD67" s="46"/>
    </row>
    <row r="68" spans="1:472" x14ac:dyDescent="0.25">
      <c r="A68" s="43" t="s">
        <v>356</v>
      </c>
      <c r="B68" s="44">
        <v>0.1</v>
      </c>
      <c r="E68">
        <v>170</v>
      </c>
      <c r="F68">
        <v>172</v>
      </c>
      <c r="I68" s="45">
        <v>20</v>
      </c>
      <c r="J68" s="52">
        <v>20</v>
      </c>
      <c r="K68" s="51"/>
      <c r="L68" s="51"/>
      <c r="M68" s="51">
        <f t="shared" ref="M68:M131" si="12">I68+K68-J68-L68</f>
        <v>0</v>
      </c>
      <c r="N68" s="46"/>
      <c r="O68" s="45">
        <v>50</v>
      </c>
      <c r="P68" s="52">
        <v>50</v>
      </c>
      <c r="Q68" s="52">
        <v>10</v>
      </c>
      <c r="R68" s="52">
        <v>10</v>
      </c>
      <c r="S68" s="51">
        <f t="shared" ref="S68:S131" si="13">O68+Q68-P68-R68</f>
        <v>0</v>
      </c>
      <c r="T68" s="46"/>
      <c r="U68" s="45">
        <v>320</v>
      </c>
      <c r="V68" s="52">
        <v>320</v>
      </c>
      <c r="W68" s="52">
        <v>360</v>
      </c>
      <c r="X68" s="52">
        <v>361</v>
      </c>
      <c r="Y68" s="51">
        <f t="shared" ref="Y68:Y131" si="14">U68+W68-V68-X68</f>
        <v>-1</v>
      </c>
      <c r="Z68" s="46"/>
      <c r="AA68" s="52">
        <v>150</v>
      </c>
      <c r="AB68">
        <v>150</v>
      </c>
      <c r="AC68">
        <v>250</v>
      </c>
      <c r="AD68">
        <v>250</v>
      </c>
      <c r="AE68" s="43">
        <v>0</v>
      </c>
      <c r="AF68" s="46"/>
      <c r="AG68" s="47"/>
      <c r="AK68" s="43">
        <v>0</v>
      </c>
      <c r="AL68" s="46"/>
      <c r="AM68">
        <v>200</v>
      </c>
      <c r="AN68">
        <v>200</v>
      </c>
      <c r="AO68">
        <v>200</v>
      </c>
      <c r="AP68">
        <v>200</v>
      </c>
      <c r="AQ68" s="43">
        <v>0</v>
      </c>
      <c r="AR68" s="46"/>
      <c r="AS68">
        <v>80</v>
      </c>
      <c r="AT68">
        <v>80</v>
      </c>
      <c r="AU68">
        <v>670</v>
      </c>
      <c r="AV68">
        <v>670</v>
      </c>
      <c r="AW68" s="43">
        <v>0</v>
      </c>
      <c r="AX68" s="46"/>
      <c r="AY68" s="45">
        <v>100</v>
      </c>
      <c r="AZ68">
        <v>100</v>
      </c>
      <c r="BA68">
        <v>230</v>
      </c>
      <c r="BB68">
        <v>236</v>
      </c>
      <c r="BC68" s="43">
        <v>-6</v>
      </c>
      <c r="BD68" s="46"/>
      <c r="BE68" s="45">
        <v>20</v>
      </c>
      <c r="BF68">
        <v>20</v>
      </c>
      <c r="BG68">
        <v>30</v>
      </c>
      <c r="BH68">
        <v>30</v>
      </c>
      <c r="BI68" s="43">
        <v>0</v>
      </c>
      <c r="BJ68" s="46"/>
      <c r="BP68" s="43">
        <v>0</v>
      </c>
      <c r="BQ68" s="46"/>
      <c r="BR68">
        <v>200</v>
      </c>
      <c r="BS68">
        <v>200</v>
      </c>
      <c r="BT68" s="43">
        <v>0</v>
      </c>
      <c r="BU68" s="46"/>
      <c r="BV68" s="45">
        <v>310</v>
      </c>
      <c r="BW68">
        <v>311</v>
      </c>
      <c r="BZ68" s="43">
        <v>-1</v>
      </c>
      <c r="CA68" s="46"/>
      <c r="CF68" s="43">
        <v>0</v>
      </c>
      <c r="CG68" s="46"/>
      <c r="CL68" s="43">
        <v>0</v>
      </c>
      <c r="CM68" s="46"/>
      <c r="CN68" s="47"/>
      <c r="CP68">
        <v>600</v>
      </c>
      <c r="CQ68">
        <v>600</v>
      </c>
      <c r="CR68" s="43">
        <v>0</v>
      </c>
      <c r="CS68" s="46"/>
      <c r="CV68">
        <v>70</v>
      </c>
      <c r="CW68">
        <v>70</v>
      </c>
      <c r="CX68" s="43">
        <v>0</v>
      </c>
      <c r="CY68" s="46"/>
      <c r="CZ68" s="47"/>
      <c r="DD68" s="43">
        <v>0</v>
      </c>
      <c r="DE68" s="46"/>
      <c r="DF68" s="47"/>
      <c r="DH68">
        <v>500</v>
      </c>
      <c r="DI68">
        <v>500</v>
      </c>
      <c r="DJ68">
        <v>400</v>
      </c>
      <c r="DK68">
        <v>400</v>
      </c>
      <c r="DL68" s="43">
        <v>0</v>
      </c>
      <c r="DM68" s="46"/>
      <c r="DN68" s="47"/>
      <c r="DP68">
        <v>1190</v>
      </c>
      <c r="DQ68">
        <v>1190</v>
      </c>
      <c r="DR68" s="43">
        <v>0</v>
      </c>
      <c r="DS68" s="46"/>
      <c r="DV68">
        <v>130</v>
      </c>
      <c r="DW68">
        <v>130</v>
      </c>
      <c r="DZ68" s="43">
        <v>0</v>
      </c>
      <c r="EA68" s="46"/>
      <c r="EB68" s="47"/>
      <c r="ED68">
        <v>350</v>
      </c>
      <c r="EE68">
        <v>350</v>
      </c>
      <c r="EF68" s="43">
        <v>0</v>
      </c>
      <c r="EG68" s="46"/>
      <c r="EH68" s="47"/>
      <c r="EJ68">
        <v>170</v>
      </c>
      <c r="EK68">
        <v>170</v>
      </c>
      <c r="EL68" s="43">
        <v>0</v>
      </c>
      <c r="EM68" s="46"/>
      <c r="EN68" s="45">
        <v>220</v>
      </c>
      <c r="EO68">
        <v>220</v>
      </c>
      <c r="EP68">
        <v>200</v>
      </c>
      <c r="EQ68">
        <v>200</v>
      </c>
      <c r="ER68" s="43">
        <v>0</v>
      </c>
      <c r="ES68" s="46"/>
      <c r="EZ68" s="43">
        <v>0</v>
      </c>
      <c r="FA68" s="46"/>
      <c r="FD68">
        <v>650</v>
      </c>
      <c r="FF68">
        <v>650</v>
      </c>
      <c r="FG68" s="43">
        <v>0</v>
      </c>
      <c r="FH68" s="46"/>
      <c r="FI68" s="47"/>
      <c r="FL68" s="43">
        <v>0</v>
      </c>
      <c r="FM68" s="46"/>
      <c r="FN68" s="45">
        <v>700</v>
      </c>
      <c r="FP68">
        <v>700</v>
      </c>
      <c r="FQ68" s="43">
        <v>0</v>
      </c>
      <c r="FR68" s="46"/>
      <c r="FS68">
        <v>50</v>
      </c>
      <c r="FV68">
        <v>50</v>
      </c>
      <c r="FW68" s="43">
        <v>0</v>
      </c>
      <c r="FX68" s="46"/>
      <c r="FY68" s="45">
        <v>30</v>
      </c>
      <c r="GA68">
        <v>40</v>
      </c>
      <c r="GB68">
        <v>50</v>
      </c>
      <c r="GC68">
        <v>50</v>
      </c>
      <c r="GD68" s="42">
        <v>-10</v>
      </c>
      <c r="GE68" s="46">
        <v>1</v>
      </c>
      <c r="GF68">
        <v>140</v>
      </c>
      <c r="GG68">
        <v>140</v>
      </c>
      <c r="GH68">
        <v>160</v>
      </c>
      <c r="GI68">
        <v>158</v>
      </c>
      <c r="GJ68" s="43">
        <v>2</v>
      </c>
      <c r="GK68" s="46"/>
      <c r="GL68" s="45">
        <v>200</v>
      </c>
      <c r="GM68">
        <v>200</v>
      </c>
      <c r="GN68">
        <v>200</v>
      </c>
      <c r="GO68">
        <v>200</v>
      </c>
      <c r="GP68" s="43">
        <v>0</v>
      </c>
      <c r="GQ68" s="46"/>
      <c r="GR68">
        <v>100</v>
      </c>
      <c r="GS68">
        <v>100</v>
      </c>
      <c r="GT68">
        <v>110</v>
      </c>
      <c r="GU68">
        <v>110</v>
      </c>
      <c r="GV68" s="43">
        <v>0</v>
      </c>
      <c r="GW68" s="46"/>
      <c r="GX68" s="45">
        <v>150</v>
      </c>
      <c r="GY68" s="48">
        <v>150</v>
      </c>
      <c r="GZ68" s="43">
        <v>0</v>
      </c>
      <c r="HA68" s="46"/>
      <c r="HB68" s="45">
        <v>200</v>
      </c>
      <c r="HC68">
        <v>200</v>
      </c>
      <c r="HD68">
        <v>230</v>
      </c>
      <c r="HE68">
        <v>230</v>
      </c>
      <c r="HF68" s="43">
        <v>0</v>
      </c>
      <c r="HG68" s="46"/>
      <c r="HH68" s="45">
        <v>70</v>
      </c>
      <c r="HI68">
        <v>70</v>
      </c>
      <c r="HJ68" s="43">
        <v>0</v>
      </c>
      <c r="HK68" s="46"/>
      <c r="HL68" s="45">
        <v>120</v>
      </c>
      <c r="HM68">
        <v>120</v>
      </c>
      <c r="HN68">
        <v>100</v>
      </c>
      <c r="HO68">
        <v>100</v>
      </c>
      <c r="HP68" s="43">
        <v>0</v>
      </c>
      <c r="HQ68" s="46"/>
      <c r="HT68">
        <v>410</v>
      </c>
      <c r="HU68">
        <v>410</v>
      </c>
      <c r="HX68" s="43">
        <v>0</v>
      </c>
      <c r="HY68" s="46"/>
      <c r="HZ68" s="45">
        <v>70</v>
      </c>
      <c r="IA68">
        <v>70</v>
      </c>
      <c r="ID68" s="43">
        <v>0</v>
      </c>
      <c r="IE68" s="46"/>
      <c r="IH68">
        <v>130</v>
      </c>
      <c r="II68">
        <v>130</v>
      </c>
      <c r="IJ68" s="43">
        <v>0</v>
      </c>
      <c r="IK68" s="49"/>
      <c r="IL68">
        <v>100</v>
      </c>
      <c r="IM68">
        <v>100</v>
      </c>
      <c r="IN68">
        <v>220</v>
      </c>
      <c r="IO68">
        <v>220</v>
      </c>
      <c r="IP68" s="43">
        <v>0</v>
      </c>
      <c r="IQ68" s="49"/>
      <c r="IR68">
        <v>40</v>
      </c>
      <c r="IS68">
        <v>40</v>
      </c>
      <c r="IV68" s="43">
        <v>0</v>
      </c>
      <c r="IW68" s="49"/>
      <c r="IX68">
        <v>150</v>
      </c>
      <c r="IY68">
        <v>150</v>
      </c>
      <c r="IZ68">
        <v>130</v>
      </c>
      <c r="JA68">
        <v>130</v>
      </c>
      <c r="JB68" s="43">
        <v>0</v>
      </c>
      <c r="JC68" s="46"/>
      <c r="JD68">
        <v>40</v>
      </c>
      <c r="JE68">
        <v>40</v>
      </c>
      <c r="JF68" s="43">
        <v>0</v>
      </c>
      <c r="JG68" s="49"/>
      <c r="JH68">
        <v>400</v>
      </c>
      <c r="JI68">
        <v>400</v>
      </c>
      <c r="JJ68">
        <v>200</v>
      </c>
      <c r="JK68">
        <v>200</v>
      </c>
      <c r="JL68" s="43">
        <v>0</v>
      </c>
      <c r="JM68" s="46"/>
      <c r="JN68" s="45">
        <v>400</v>
      </c>
      <c r="JO68" s="48">
        <v>400</v>
      </c>
      <c r="JP68" s="43">
        <v>0</v>
      </c>
      <c r="JQ68" s="49"/>
      <c r="JT68">
        <v>300</v>
      </c>
      <c r="JU68">
        <v>300</v>
      </c>
      <c r="JV68" s="43">
        <v>0</v>
      </c>
      <c r="JW68" s="49"/>
      <c r="JX68">
        <v>150</v>
      </c>
      <c r="JY68">
        <v>150</v>
      </c>
      <c r="JZ68">
        <v>210</v>
      </c>
      <c r="KA68">
        <v>210</v>
      </c>
      <c r="KB68" s="43">
        <v>0</v>
      </c>
      <c r="KC68" s="49"/>
      <c r="KH68" s="43">
        <v>0</v>
      </c>
      <c r="KI68" s="49"/>
      <c r="KJ68">
        <v>50</v>
      </c>
      <c r="KK68">
        <v>50</v>
      </c>
      <c r="KL68">
        <v>100</v>
      </c>
      <c r="KM68">
        <v>100</v>
      </c>
      <c r="KN68" s="43">
        <v>0</v>
      </c>
      <c r="KO68" s="49"/>
      <c r="KP68" s="45">
        <v>130</v>
      </c>
      <c r="KQ68">
        <v>130</v>
      </c>
      <c r="KR68">
        <v>170</v>
      </c>
      <c r="KS68">
        <v>170</v>
      </c>
      <c r="KT68">
        <v>130</v>
      </c>
      <c r="KU68">
        <v>130</v>
      </c>
      <c r="KV68" s="43">
        <v>0</v>
      </c>
      <c r="KW68" s="49"/>
      <c r="KX68" s="48">
        <v>0</v>
      </c>
      <c r="KY68" s="48">
        <v>0</v>
      </c>
      <c r="KZ68" s="48">
        <v>0</v>
      </c>
      <c r="LA68" s="48">
        <v>0</v>
      </c>
      <c r="LB68" s="43">
        <v>0</v>
      </c>
      <c r="LC68" s="49"/>
      <c r="LD68" s="48">
        <v>0</v>
      </c>
      <c r="LE68" s="48">
        <v>0</v>
      </c>
      <c r="LF68" s="48">
        <v>0</v>
      </c>
      <c r="LG68" s="48">
        <v>0</v>
      </c>
      <c r="LH68" s="43">
        <v>0</v>
      </c>
      <c r="LI68" s="49"/>
      <c r="LJ68" s="50">
        <v>480</v>
      </c>
      <c r="LK68" s="48">
        <v>486</v>
      </c>
      <c r="LL68" s="43">
        <v>-6</v>
      </c>
      <c r="LM68" s="49"/>
      <c r="LN68" s="50">
        <v>150</v>
      </c>
      <c r="LO68" s="48">
        <v>150</v>
      </c>
      <c r="LP68" s="48">
        <v>120</v>
      </c>
      <c r="LQ68" s="48">
        <v>0</v>
      </c>
      <c r="LR68" s="48">
        <v>130</v>
      </c>
      <c r="LS68" s="42">
        <v>-10</v>
      </c>
      <c r="LT68" s="49">
        <v>1</v>
      </c>
      <c r="LU68" s="50">
        <v>50</v>
      </c>
      <c r="LV68" s="48">
        <v>50</v>
      </c>
      <c r="LW68" s="48">
        <v>100</v>
      </c>
      <c r="LX68" s="48">
        <v>100</v>
      </c>
      <c r="LY68" s="43">
        <v>0</v>
      </c>
      <c r="LZ68" s="49"/>
      <c r="MA68" s="50">
        <v>90</v>
      </c>
      <c r="MB68" s="48">
        <v>92</v>
      </c>
      <c r="MC68" s="43">
        <v>-2</v>
      </c>
      <c r="MD68" s="49"/>
      <c r="ME68" s="50">
        <v>0</v>
      </c>
      <c r="MF68" s="48">
        <v>0</v>
      </c>
      <c r="MG68" s="48">
        <v>170</v>
      </c>
      <c r="MH68" s="48">
        <v>170</v>
      </c>
      <c r="MI68" s="43">
        <v>0</v>
      </c>
      <c r="MJ68" s="49"/>
      <c r="MK68" s="50">
        <v>350</v>
      </c>
      <c r="ML68" s="48">
        <v>350</v>
      </c>
      <c r="MM68" s="43">
        <v>0</v>
      </c>
      <c r="MN68" s="49"/>
      <c r="MO68" s="50">
        <v>0</v>
      </c>
      <c r="MP68" s="48">
        <v>0</v>
      </c>
      <c r="MQ68" s="48">
        <v>0</v>
      </c>
      <c r="MR68" s="48">
        <v>0</v>
      </c>
      <c r="MS68" s="43">
        <v>0</v>
      </c>
      <c r="MT68" s="49"/>
      <c r="MU68" s="48">
        <v>0</v>
      </c>
      <c r="MV68" s="46"/>
      <c r="MW68" s="48">
        <v>1000</v>
      </c>
      <c r="MX68" s="48">
        <v>1000</v>
      </c>
      <c r="MY68" s="43">
        <v>0</v>
      </c>
      <c r="MZ68" s="49"/>
      <c r="NA68" s="50">
        <v>0</v>
      </c>
      <c r="NB68" s="48">
        <v>0</v>
      </c>
      <c r="NC68" s="48">
        <v>0</v>
      </c>
      <c r="ND68" s="48">
        <v>0</v>
      </c>
      <c r="NE68" s="43">
        <v>0</v>
      </c>
      <c r="NF68" s="49"/>
      <c r="NG68" s="50">
        <v>0</v>
      </c>
      <c r="NH68" s="48">
        <v>0</v>
      </c>
      <c r="NI68" s="48">
        <v>0</v>
      </c>
      <c r="NJ68" s="48">
        <v>0</v>
      </c>
      <c r="NK68" s="43">
        <v>0</v>
      </c>
      <c r="NL68" s="49"/>
      <c r="NM68" s="50">
        <v>200</v>
      </c>
      <c r="NN68" s="48">
        <v>200</v>
      </c>
      <c r="NO68" s="48">
        <v>350</v>
      </c>
      <c r="NP68" s="48">
        <v>350</v>
      </c>
      <c r="NQ68" s="43">
        <v>0</v>
      </c>
      <c r="NR68" s="49"/>
      <c r="NS68" s="25">
        <v>100</v>
      </c>
      <c r="NT68" s="48">
        <v>0</v>
      </c>
      <c r="NU68" s="48">
        <v>60</v>
      </c>
      <c r="NV68" s="48">
        <v>60</v>
      </c>
      <c r="NW68" s="43">
        <v>100</v>
      </c>
      <c r="NX68" s="49"/>
      <c r="NY68" s="50">
        <v>150</v>
      </c>
      <c r="NZ68" s="48">
        <v>150</v>
      </c>
      <c r="OA68" s="48">
        <v>200</v>
      </c>
      <c r="OB68" s="48">
        <v>200</v>
      </c>
      <c r="OC68" s="43">
        <v>0</v>
      </c>
      <c r="OD68" s="49"/>
      <c r="OE68" s="50">
        <v>310</v>
      </c>
      <c r="OF68" s="48">
        <v>350</v>
      </c>
      <c r="OG68" s="42">
        <v>-40</v>
      </c>
      <c r="OH68" s="49">
        <v>4</v>
      </c>
      <c r="OI68" s="50">
        <v>320</v>
      </c>
      <c r="OJ68" s="48">
        <v>320</v>
      </c>
      <c r="OK68" s="43">
        <v>0</v>
      </c>
      <c r="OL68" s="49"/>
      <c r="OM68" s="50">
        <v>0</v>
      </c>
      <c r="ON68" s="48">
        <v>0</v>
      </c>
      <c r="OO68" s="48">
        <v>30</v>
      </c>
      <c r="OP68" s="48">
        <v>60</v>
      </c>
      <c r="OQ68" s="42">
        <v>-30</v>
      </c>
      <c r="OR68" s="49">
        <v>3</v>
      </c>
      <c r="OS68" s="50">
        <v>60</v>
      </c>
      <c r="OT68" s="48">
        <v>100</v>
      </c>
      <c r="OU68" s="42">
        <v>-40</v>
      </c>
      <c r="OV68" s="49">
        <v>4</v>
      </c>
      <c r="OW68" s="50">
        <v>150</v>
      </c>
      <c r="OX68" s="48">
        <v>150</v>
      </c>
      <c r="OY68" s="48">
        <v>0</v>
      </c>
      <c r="OZ68" s="33">
        <v>100</v>
      </c>
      <c r="PA68" s="42">
        <v>-100</v>
      </c>
      <c r="PB68" s="49">
        <v>10</v>
      </c>
      <c r="PC68" s="50">
        <v>0</v>
      </c>
      <c r="PD68" s="33">
        <v>55</v>
      </c>
      <c r="PE68" s="42">
        <v>-55</v>
      </c>
      <c r="PF68" s="49">
        <v>5.5</v>
      </c>
      <c r="PG68" s="50">
        <v>0</v>
      </c>
      <c r="PH68" s="48">
        <v>0</v>
      </c>
      <c r="PI68" s="48">
        <v>0</v>
      </c>
      <c r="PJ68" s="33">
        <v>125</v>
      </c>
      <c r="PK68" s="42">
        <v>-125</v>
      </c>
      <c r="PL68" s="49">
        <v>12.5</v>
      </c>
      <c r="PM68" s="47">
        <v>0</v>
      </c>
      <c r="PN68" s="48">
        <v>0</v>
      </c>
      <c r="PO68" s="48">
        <v>10</v>
      </c>
      <c r="PP68" s="48">
        <v>81</v>
      </c>
      <c r="PQ68" s="42">
        <v>-71</v>
      </c>
      <c r="PR68" s="49">
        <v>7.1000000000000014</v>
      </c>
      <c r="PS68" s="47">
        <v>70</v>
      </c>
      <c r="PT68" s="43">
        <v>70</v>
      </c>
      <c r="PU68" s="43">
        <v>80</v>
      </c>
      <c r="PV68" s="43">
        <v>80</v>
      </c>
      <c r="PW68" s="43">
        <v>0</v>
      </c>
      <c r="PX68" s="46"/>
      <c r="PY68" s="47">
        <v>140</v>
      </c>
      <c r="PZ68" s="43">
        <v>144</v>
      </c>
      <c r="QA68" s="43">
        <v>-4</v>
      </c>
      <c r="QB68" s="46"/>
      <c r="QC68" s="47">
        <v>50</v>
      </c>
      <c r="QD68" s="43">
        <v>56</v>
      </c>
      <c r="QE68" s="43">
        <v>0</v>
      </c>
      <c r="QF68" s="43">
        <v>0</v>
      </c>
      <c r="QG68" s="43">
        <v>-6</v>
      </c>
      <c r="QH68" s="46"/>
      <c r="QI68" s="47">
        <v>50</v>
      </c>
      <c r="QJ68" s="43">
        <v>50</v>
      </c>
      <c r="QK68" s="43">
        <v>0</v>
      </c>
      <c r="QL68" s="43">
        <v>0</v>
      </c>
      <c r="QM68" s="43">
        <v>0</v>
      </c>
      <c r="QN68" s="46"/>
      <c r="QO68" s="47">
        <v>170</v>
      </c>
      <c r="QP68" s="43">
        <v>168</v>
      </c>
      <c r="QQ68" s="43">
        <v>0</v>
      </c>
      <c r="QR68" s="43">
        <v>0</v>
      </c>
      <c r="QS68" s="43">
        <v>2</v>
      </c>
      <c r="QT68" s="46"/>
      <c r="QU68" s="47">
        <v>250</v>
      </c>
      <c r="QV68" s="43">
        <v>248</v>
      </c>
      <c r="QW68" s="43">
        <v>2</v>
      </c>
      <c r="QX68" s="46"/>
      <c r="QY68" s="47">
        <v>0</v>
      </c>
      <c r="QZ68" s="43">
        <v>0</v>
      </c>
      <c r="RA68" s="43">
        <v>0</v>
      </c>
      <c r="RB68" s="43">
        <v>0</v>
      </c>
      <c r="RC68" s="43">
        <v>0</v>
      </c>
      <c r="RD68" s="46"/>
    </row>
    <row r="69" spans="1:472" x14ac:dyDescent="0.25">
      <c r="A69" s="43" t="s">
        <v>357</v>
      </c>
      <c r="B69" s="44">
        <v>0.1</v>
      </c>
      <c r="E69">
        <v>50</v>
      </c>
      <c r="F69">
        <v>50</v>
      </c>
      <c r="I69" s="47"/>
      <c r="J69" s="51"/>
      <c r="K69" s="51"/>
      <c r="L69" s="51"/>
      <c r="M69" s="51">
        <f t="shared" si="12"/>
        <v>0</v>
      </c>
      <c r="N69" s="46"/>
      <c r="O69" s="45">
        <v>60</v>
      </c>
      <c r="P69" s="52">
        <v>60</v>
      </c>
      <c r="Q69" s="52">
        <v>70</v>
      </c>
      <c r="R69" s="52">
        <v>75</v>
      </c>
      <c r="S69" s="51">
        <f t="shared" si="13"/>
        <v>-5</v>
      </c>
      <c r="T69" s="46"/>
      <c r="U69" s="45">
        <v>20</v>
      </c>
      <c r="V69" s="52">
        <v>20</v>
      </c>
      <c r="W69" s="52">
        <v>30</v>
      </c>
      <c r="X69" s="52">
        <v>30</v>
      </c>
      <c r="Y69" s="51">
        <f t="shared" si="14"/>
        <v>0</v>
      </c>
      <c r="Z69" s="46"/>
      <c r="AA69" s="52">
        <v>20</v>
      </c>
      <c r="AB69">
        <v>20</v>
      </c>
      <c r="AC69">
        <v>40</v>
      </c>
      <c r="AD69">
        <v>40</v>
      </c>
      <c r="AE69" s="43">
        <v>0</v>
      </c>
      <c r="AF69" s="46"/>
      <c r="AG69" s="45">
        <v>20</v>
      </c>
      <c r="AH69">
        <v>20</v>
      </c>
      <c r="AI69">
        <v>20</v>
      </c>
      <c r="AJ69">
        <v>24</v>
      </c>
      <c r="AK69" s="43">
        <v>-4</v>
      </c>
      <c r="AL69" s="46"/>
      <c r="AO69">
        <v>30</v>
      </c>
      <c r="AP69">
        <v>33</v>
      </c>
      <c r="AQ69" s="43">
        <v>-3</v>
      </c>
      <c r="AR69" s="46"/>
      <c r="AU69">
        <v>20</v>
      </c>
      <c r="AV69">
        <v>25</v>
      </c>
      <c r="AW69" s="43">
        <v>-5</v>
      </c>
      <c r="AX69" s="46"/>
      <c r="AY69" s="47"/>
      <c r="BA69">
        <v>10</v>
      </c>
      <c r="BB69">
        <v>17</v>
      </c>
      <c r="BC69" s="43">
        <v>-7</v>
      </c>
      <c r="BD69" s="46"/>
      <c r="BE69" s="47"/>
      <c r="BG69">
        <v>10</v>
      </c>
      <c r="BH69">
        <v>7</v>
      </c>
      <c r="BI69" s="43">
        <v>3</v>
      </c>
      <c r="BJ69" s="46"/>
      <c r="BN69">
        <v>30</v>
      </c>
      <c r="BO69">
        <v>36</v>
      </c>
      <c r="BP69" s="43">
        <v>-6</v>
      </c>
      <c r="BQ69" s="46"/>
      <c r="BT69" s="43">
        <v>0</v>
      </c>
      <c r="BU69" s="46"/>
      <c r="BV69" s="45">
        <v>10</v>
      </c>
      <c r="BW69">
        <v>14</v>
      </c>
      <c r="BX69">
        <v>20</v>
      </c>
      <c r="BY69">
        <v>22</v>
      </c>
      <c r="BZ69" s="43">
        <v>-6</v>
      </c>
      <c r="CA69" s="46"/>
      <c r="CD69">
        <v>40</v>
      </c>
      <c r="CE69">
        <v>45</v>
      </c>
      <c r="CF69" s="43">
        <v>-5</v>
      </c>
      <c r="CG69" s="46"/>
      <c r="CL69" s="43">
        <v>0</v>
      </c>
      <c r="CM69" s="46"/>
      <c r="CN69" s="47"/>
      <c r="CP69" s="43">
        <v>50</v>
      </c>
      <c r="CQ69">
        <v>50</v>
      </c>
      <c r="CR69" s="43">
        <v>0</v>
      </c>
      <c r="CS69" s="46"/>
      <c r="CX69" s="43">
        <v>0</v>
      </c>
      <c r="CY69" s="46"/>
      <c r="CZ69" s="47"/>
      <c r="DD69" s="43">
        <v>0</v>
      </c>
      <c r="DE69" s="46"/>
      <c r="DF69" s="47"/>
      <c r="DL69" s="43">
        <v>0</v>
      </c>
      <c r="DM69" s="46"/>
      <c r="DN69" s="47"/>
      <c r="DR69" s="43">
        <v>0</v>
      </c>
      <c r="DS69" s="46"/>
      <c r="EA69" s="46"/>
      <c r="EB69" s="47"/>
      <c r="EG69" s="46"/>
      <c r="EH69" s="47"/>
      <c r="EM69" s="46"/>
      <c r="EN69" s="45"/>
      <c r="ES69" s="46"/>
      <c r="FA69" s="46"/>
      <c r="FH69" s="46"/>
      <c r="FI69" s="47"/>
      <c r="FM69" s="46"/>
      <c r="FN69" s="45"/>
      <c r="FR69" s="46"/>
      <c r="FX69" s="46"/>
      <c r="FY69" s="45"/>
      <c r="GD69" s="42"/>
      <c r="GE69" s="46"/>
      <c r="GK69" s="46"/>
      <c r="GL69" s="45"/>
      <c r="GQ69" s="46"/>
      <c r="GW69" s="46"/>
      <c r="GX69" s="45"/>
      <c r="HA69" s="46"/>
      <c r="HB69" s="45"/>
      <c r="HG69" s="46"/>
      <c r="HH69" s="45"/>
      <c r="HK69" s="46"/>
      <c r="HL69" s="45"/>
      <c r="HQ69" s="46"/>
      <c r="HY69" s="46"/>
      <c r="HZ69" s="45"/>
      <c r="IE69" s="46"/>
      <c r="IK69" s="49"/>
      <c r="IQ69" s="49"/>
      <c r="IW69" s="49"/>
      <c r="JC69" s="46"/>
      <c r="JG69" s="49"/>
      <c r="JM69" s="46"/>
      <c r="JN69" s="45"/>
      <c r="JQ69" s="49"/>
      <c r="JW69" s="49"/>
      <c r="KC69" s="49"/>
      <c r="KI69" s="49"/>
      <c r="KO69" s="49"/>
      <c r="KP69" s="45"/>
      <c r="KW69" s="49"/>
      <c r="KX69" s="48"/>
      <c r="KY69" s="48"/>
      <c r="KZ69" s="48"/>
      <c r="LA69" s="48"/>
      <c r="LC69" s="49"/>
      <c r="LD69" s="48"/>
      <c r="LE69" s="48"/>
      <c r="LF69" s="48"/>
      <c r="LG69" s="48"/>
      <c r="LI69" s="49"/>
      <c r="LJ69" s="50"/>
      <c r="LK69" s="48"/>
      <c r="LM69" s="49"/>
      <c r="LN69" s="50"/>
      <c r="LO69" s="48"/>
      <c r="LP69" s="48"/>
      <c r="LQ69" s="48"/>
      <c r="LR69" s="48"/>
      <c r="LS69" s="42"/>
      <c r="LT69" s="49"/>
      <c r="LU69" s="50"/>
      <c r="LV69" s="48"/>
      <c r="LW69" s="48"/>
      <c r="LX69" s="48"/>
      <c r="LZ69" s="49"/>
      <c r="MA69" s="50"/>
      <c r="MB69" s="48"/>
      <c r="MD69" s="49"/>
      <c r="ME69" s="50"/>
      <c r="MF69" s="48"/>
      <c r="MG69" s="48"/>
      <c r="MH69" s="48"/>
      <c r="MJ69" s="49"/>
      <c r="MK69" s="50"/>
      <c r="ML69" s="48"/>
      <c r="MN69" s="49"/>
      <c r="MO69" s="50"/>
      <c r="MP69" s="48"/>
      <c r="MQ69" s="48"/>
      <c r="MR69" s="48"/>
      <c r="MT69" s="49"/>
      <c r="MU69" s="48"/>
      <c r="MV69" s="46"/>
      <c r="MW69" s="48"/>
      <c r="MX69" s="48"/>
      <c r="MZ69" s="49"/>
      <c r="NA69" s="50"/>
      <c r="NB69" s="48"/>
      <c r="NC69" s="48"/>
      <c r="ND69" s="48"/>
      <c r="NF69" s="49"/>
      <c r="NG69" s="50"/>
      <c r="NH69" s="48"/>
      <c r="NI69" s="48"/>
      <c r="NJ69" s="48"/>
      <c r="NL69" s="49"/>
      <c r="NM69" s="50"/>
      <c r="NN69" s="48"/>
      <c r="NO69" s="48"/>
      <c r="NP69" s="48"/>
      <c r="NR69" s="49"/>
      <c r="NS69" s="25"/>
      <c r="NT69" s="48"/>
      <c r="NU69" s="48"/>
      <c r="NV69" s="48"/>
      <c r="NX69" s="49"/>
      <c r="NY69" s="50"/>
      <c r="NZ69" s="48"/>
      <c r="OA69" s="48"/>
      <c r="OB69" s="48"/>
      <c r="OD69" s="49"/>
      <c r="OE69" s="50"/>
      <c r="OF69" s="48"/>
      <c r="OG69" s="42"/>
      <c r="OH69" s="49"/>
      <c r="OI69" s="50"/>
      <c r="OJ69" s="48"/>
      <c r="OL69" s="49"/>
      <c r="OM69" s="50"/>
      <c r="ON69" s="48"/>
      <c r="OO69" s="48"/>
      <c r="OP69" s="48"/>
      <c r="OQ69" s="42"/>
      <c r="OR69" s="49"/>
      <c r="OS69" s="50"/>
      <c r="OT69" s="48"/>
      <c r="OU69" s="42"/>
      <c r="OV69" s="49"/>
      <c r="OW69" s="50"/>
      <c r="OX69" s="48"/>
      <c r="OY69" s="48"/>
      <c r="OZ69" s="33"/>
      <c r="PA69" s="42"/>
      <c r="PB69" s="49"/>
      <c r="PC69" s="50"/>
      <c r="PD69" s="33"/>
      <c r="PE69" s="42"/>
      <c r="PF69" s="49"/>
      <c r="PG69" s="50"/>
      <c r="PH69" s="48"/>
      <c r="PI69" s="48"/>
      <c r="PJ69" s="33"/>
      <c r="PK69" s="42"/>
      <c r="PL69" s="49"/>
      <c r="PM69" s="47"/>
      <c r="PN69" s="48"/>
      <c r="PO69" s="48"/>
      <c r="PP69" s="48"/>
      <c r="PQ69" s="42"/>
      <c r="PR69" s="49"/>
      <c r="PS69" s="47"/>
      <c r="PX69" s="46"/>
      <c r="PY69" s="47"/>
      <c r="QB69" s="46"/>
      <c r="QC69" s="47"/>
      <c r="QH69" s="46"/>
      <c r="QI69" s="47"/>
      <c r="QN69" s="46"/>
      <c r="QO69" s="47"/>
      <c r="QT69" s="46"/>
      <c r="QU69" s="47"/>
      <c r="QX69" s="46"/>
      <c r="QY69" s="47"/>
      <c r="RD69" s="46"/>
    </row>
    <row r="70" spans="1:472" x14ac:dyDescent="0.25">
      <c r="A70" s="43" t="s">
        <v>358</v>
      </c>
      <c r="B70" s="44">
        <v>0.4</v>
      </c>
      <c r="E70">
        <v>72</v>
      </c>
      <c r="I70" s="45">
        <v>162</v>
      </c>
      <c r="J70" s="52">
        <v>160</v>
      </c>
      <c r="K70" s="52">
        <v>180</v>
      </c>
      <c r="L70" s="52">
        <v>183</v>
      </c>
      <c r="M70" s="51">
        <f t="shared" si="12"/>
        <v>-1</v>
      </c>
      <c r="N70" s="46"/>
      <c r="O70" s="47"/>
      <c r="P70" s="51"/>
      <c r="Q70" s="52">
        <v>12</v>
      </c>
      <c r="R70" s="52">
        <v>10</v>
      </c>
      <c r="S70" s="51">
        <f t="shared" si="13"/>
        <v>2</v>
      </c>
      <c r="T70" s="46"/>
      <c r="U70" s="45">
        <v>78</v>
      </c>
      <c r="V70" s="52">
        <v>80</v>
      </c>
      <c r="W70" s="52">
        <v>96</v>
      </c>
      <c r="X70" s="52">
        <v>98</v>
      </c>
      <c r="Y70" s="51">
        <f t="shared" si="14"/>
        <v>-4</v>
      </c>
      <c r="Z70" s="46"/>
      <c r="AA70" s="51"/>
      <c r="AE70" s="43">
        <v>0</v>
      </c>
      <c r="AF70" s="46"/>
      <c r="AG70" s="45">
        <v>198</v>
      </c>
      <c r="AH70">
        <v>200</v>
      </c>
      <c r="AI70">
        <v>246</v>
      </c>
      <c r="AJ70">
        <v>248</v>
      </c>
      <c r="AK70" s="43">
        <v>-4</v>
      </c>
      <c r="AL70" s="46"/>
      <c r="AQ70" s="43">
        <v>0</v>
      </c>
      <c r="AR70" s="46"/>
      <c r="AW70" s="43">
        <v>0</v>
      </c>
      <c r="AX70" s="46"/>
      <c r="AY70" s="45">
        <v>198</v>
      </c>
      <c r="AZ70">
        <v>200</v>
      </c>
      <c r="BA70">
        <v>240</v>
      </c>
      <c r="BB70">
        <v>241</v>
      </c>
      <c r="BC70" s="43">
        <v>-3</v>
      </c>
      <c r="BD70" s="46"/>
      <c r="BE70" s="47"/>
      <c r="BI70" s="43">
        <v>0</v>
      </c>
      <c r="BJ70" s="46"/>
      <c r="BK70">
        <v>150</v>
      </c>
      <c r="BL70">
        <v>150</v>
      </c>
      <c r="BN70">
        <v>198</v>
      </c>
      <c r="BO70">
        <v>196</v>
      </c>
      <c r="BP70" s="43">
        <v>2</v>
      </c>
      <c r="BQ70" s="46"/>
      <c r="BT70" s="43">
        <v>0</v>
      </c>
      <c r="BU70" s="46"/>
      <c r="BV70" s="45">
        <v>120</v>
      </c>
      <c r="BW70">
        <v>122</v>
      </c>
      <c r="BX70">
        <v>210</v>
      </c>
      <c r="BY70">
        <v>212</v>
      </c>
      <c r="BZ70" s="43">
        <v>-4</v>
      </c>
      <c r="CA70" s="46"/>
      <c r="CF70" s="43">
        <v>0</v>
      </c>
      <c r="CG70" s="46"/>
      <c r="CJ70">
        <v>90</v>
      </c>
      <c r="CK70">
        <v>88</v>
      </c>
      <c r="CL70" s="43">
        <v>2</v>
      </c>
      <c r="CM70" s="46"/>
      <c r="CN70" s="47"/>
      <c r="CP70">
        <v>210</v>
      </c>
      <c r="CQ70">
        <v>210</v>
      </c>
      <c r="CR70" s="43">
        <v>0</v>
      </c>
      <c r="CS70" s="46"/>
      <c r="CV70">
        <v>72</v>
      </c>
      <c r="CW70">
        <v>74</v>
      </c>
      <c r="CX70" s="43">
        <v>-2</v>
      </c>
      <c r="CY70" s="46"/>
      <c r="CZ70" s="47"/>
      <c r="DD70" s="43">
        <v>0</v>
      </c>
      <c r="DE70" s="46"/>
      <c r="DF70" s="47"/>
      <c r="DJ70">
        <v>210</v>
      </c>
      <c r="DK70">
        <v>210</v>
      </c>
      <c r="DL70" s="43">
        <v>0</v>
      </c>
      <c r="DM70" s="46"/>
      <c r="DN70" s="47"/>
      <c r="DR70" s="43">
        <v>0</v>
      </c>
      <c r="DS70" s="46"/>
      <c r="DV70">
        <v>138</v>
      </c>
      <c r="DW70">
        <v>140</v>
      </c>
      <c r="DX70">
        <v>198</v>
      </c>
      <c r="DY70">
        <v>200</v>
      </c>
      <c r="DZ70" s="43">
        <v>-4</v>
      </c>
      <c r="EA70" s="46"/>
      <c r="EB70" s="47"/>
      <c r="EF70" s="43">
        <v>0</v>
      </c>
      <c r="EG70" s="46"/>
      <c r="EH70" s="47"/>
      <c r="EL70" s="43">
        <v>0</v>
      </c>
      <c r="EM70" s="46"/>
      <c r="EN70" s="45">
        <v>150</v>
      </c>
      <c r="EO70">
        <v>150</v>
      </c>
      <c r="EP70">
        <v>150</v>
      </c>
      <c r="EQ70">
        <v>150</v>
      </c>
      <c r="ER70" s="43">
        <v>0</v>
      </c>
      <c r="ES70" s="46"/>
      <c r="EZ70" s="43">
        <v>0</v>
      </c>
      <c r="FA70" s="46"/>
      <c r="FD70">
        <v>180</v>
      </c>
      <c r="FF70">
        <v>180</v>
      </c>
      <c r="FG70" s="43">
        <v>0</v>
      </c>
      <c r="FH70" s="46"/>
      <c r="FI70" s="45">
        <v>6</v>
      </c>
      <c r="FK70" s="48">
        <v>6</v>
      </c>
      <c r="FL70" s="43">
        <v>0</v>
      </c>
      <c r="FM70" s="46"/>
      <c r="FN70" s="47"/>
      <c r="FQ70" s="43">
        <v>0</v>
      </c>
      <c r="FR70" s="46"/>
      <c r="FW70" s="43">
        <v>0</v>
      </c>
      <c r="FX70" s="46"/>
      <c r="FY70" s="45">
        <v>78</v>
      </c>
      <c r="GA70">
        <v>80</v>
      </c>
      <c r="GB70">
        <v>102</v>
      </c>
      <c r="GC70">
        <v>100</v>
      </c>
      <c r="GD70" s="43">
        <v>0</v>
      </c>
      <c r="GE70" s="46"/>
      <c r="GJ70" s="43">
        <v>0</v>
      </c>
      <c r="GK70" s="46"/>
      <c r="GL70" s="47"/>
      <c r="GN70">
        <v>108</v>
      </c>
      <c r="GO70">
        <v>110</v>
      </c>
      <c r="GP70" s="43">
        <v>-2</v>
      </c>
      <c r="GQ70" s="46"/>
      <c r="GV70" s="43">
        <v>0</v>
      </c>
      <c r="GW70" s="46"/>
      <c r="GX70" s="47"/>
      <c r="GZ70" s="43">
        <v>0</v>
      </c>
      <c r="HA70" s="46"/>
      <c r="HB70" s="45">
        <v>102</v>
      </c>
      <c r="HC70">
        <v>100</v>
      </c>
      <c r="HD70">
        <v>138</v>
      </c>
      <c r="HE70">
        <v>140</v>
      </c>
      <c r="HF70" s="43">
        <v>0</v>
      </c>
      <c r="HG70" s="46"/>
      <c r="HH70" s="45">
        <v>42</v>
      </c>
      <c r="HI70">
        <v>40</v>
      </c>
      <c r="HJ70" s="43">
        <v>2</v>
      </c>
      <c r="HK70" s="46"/>
      <c r="HL70" s="47"/>
      <c r="HP70" s="43">
        <v>0</v>
      </c>
      <c r="HQ70" s="46"/>
      <c r="HV70">
        <v>228</v>
      </c>
      <c r="HW70">
        <v>230</v>
      </c>
      <c r="HX70" s="43">
        <v>-2</v>
      </c>
      <c r="HY70" s="46"/>
      <c r="HZ70" s="47"/>
      <c r="ID70" s="43">
        <v>0</v>
      </c>
      <c r="IE70" s="46"/>
      <c r="IF70">
        <v>102</v>
      </c>
      <c r="IG70">
        <v>100</v>
      </c>
      <c r="IH70">
        <v>144</v>
      </c>
      <c r="II70">
        <v>145</v>
      </c>
      <c r="IJ70" s="43">
        <v>1</v>
      </c>
      <c r="IK70" s="49"/>
      <c r="IP70" s="43">
        <v>0</v>
      </c>
      <c r="IQ70" s="49"/>
      <c r="IR70">
        <v>78</v>
      </c>
      <c r="IS70">
        <v>80</v>
      </c>
      <c r="IT70">
        <v>60</v>
      </c>
      <c r="IU70">
        <v>60</v>
      </c>
      <c r="IV70" s="43">
        <v>-2</v>
      </c>
      <c r="IW70" s="49"/>
      <c r="IZ70">
        <v>18</v>
      </c>
      <c r="JA70">
        <v>16</v>
      </c>
      <c r="JB70" s="43">
        <v>2</v>
      </c>
      <c r="JC70" s="46"/>
      <c r="JD70">
        <v>102</v>
      </c>
      <c r="JE70">
        <v>100</v>
      </c>
      <c r="JF70" s="43">
        <v>2</v>
      </c>
      <c r="JG70" s="49"/>
      <c r="JJ70">
        <v>60</v>
      </c>
      <c r="JK70">
        <v>61</v>
      </c>
      <c r="JL70" s="43">
        <v>-1</v>
      </c>
      <c r="JM70" s="46"/>
      <c r="JN70" s="45">
        <v>42</v>
      </c>
      <c r="JO70" s="48">
        <v>40</v>
      </c>
      <c r="JP70" s="43">
        <v>2</v>
      </c>
      <c r="JQ70" s="49"/>
      <c r="JT70">
        <v>48</v>
      </c>
      <c r="JU70">
        <v>50</v>
      </c>
      <c r="JV70" s="43">
        <v>-2</v>
      </c>
      <c r="JW70" s="49"/>
      <c r="KB70" s="43">
        <v>0</v>
      </c>
      <c r="KC70" s="49"/>
      <c r="KF70">
        <v>210</v>
      </c>
      <c r="KG70">
        <v>210</v>
      </c>
      <c r="KH70" s="43">
        <v>0</v>
      </c>
      <c r="KI70" s="49"/>
      <c r="KJ70">
        <v>18</v>
      </c>
      <c r="KK70">
        <v>20</v>
      </c>
      <c r="KN70" s="43">
        <v>-2</v>
      </c>
      <c r="KO70" s="49"/>
      <c r="KP70" s="45">
        <v>60</v>
      </c>
      <c r="KQ70">
        <v>60</v>
      </c>
      <c r="KR70">
        <v>60</v>
      </c>
      <c r="KS70">
        <v>60</v>
      </c>
      <c r="KT70">
        <v>60</v>
      </c>
      <c r="KU70">
        <v>60</v>
      </c>
      <c r="KV70" s="43">
        <v>0</v>
      </c>
      <c r="KW70" s="49"/>
      <c r="KX70" s="48">
        <v>0</v>
      </c>
      <c r="KY70" s="48">
        <v>0</v>
      </c>
      <c r="KZ70" s="48">
        <v>120</v>
      </c>
      <c r="LA70" s="48">
        <v>120</v>
      </c>
      <c r="LB70" s="43">
        <v>0</v>
      </c>
      <c r="LC70" s="49"/>
      <c r="LD70" s="48">
        <v>0</v>
      </c>
      <c r="LE70" s="48">
        <v>0</v>
      </c>
      <c r="LF70" s="48">
        <v>18</v>
      </c>
      <c r="LG70" s="48">
        <v>20</v>
      </c>
      <c r="LH70" s="43">
        <v>-2</v>
      </c>
      <c r="LI70" s="49"/>
      <c r="LJ70" s="50">
        <v>42</v>
      </c>
      <c r="LK70" s="48">
        <v>40</v>
      </c>
      <c r="LL70" s="43">
        <v>2</v>
      </c>
      <c r="LM70" s="49"/>
      <c r="LN70" s="50">
        <v>120</v>
      </c>
      <c r="LO70" s="48">
        <v>120</v>
      </c>
      <c r="LP70" s="48">
        <v>102</v>
      </c>
      <c r="LQ70" s="48">
        <v>0</v>
      </c>
      <c r="LR70" s="48">
        <v>100</v>
      </c>
      <c r="LS70" s="43">
        <v>2</v>
      </c>
      <c r="LT70" s="49"/>
      <c r="LU70" s="50">
        <v>0</v>
      </c>
      <c r="LV70" s="48">
        <v>0</v>
      </c>
      <c r="LW70" s="48">
        <v>102</v>
      </c>
      <c r="LX70" s="48">
        <v>100</v>
      </c>
      <c r="LY70" s="43">
        <v>2</v>
      </c>
      <c r="LZ70" s="49"/>
      <c r="MA70" s="50">
        <v>18</v>
      </c>
      <c r="MB70" s="48">
        <v>20</v>
      </c>
      <c r="MC70" s="43">
        <v>-2</v>
      </c>
      <c r="MD70" s="49"/>
      <c r="ME70" s="50">
        <v>0</v>
      </c>
      <c r="MF70" s="48">
        <v>0</v>
      </c>
      <c r="MG70" s="48">
        <v>0</v>
      </c>
      <c r="MH70" s="48">
        <v>0</v>
      </c>
      <c r="MI70" s="43">
        <v>0</v>
      </c>
      <c r="MJ70" s="49"/>
      <c r="MK70" s="50">
        <v>288</v>
      </c>
      <c r="ML70" s="48">
        <v>290</v>
      </c>
      <c r="MM70" s="43">
        <v>-2</v>
      </c>
      <c r="MN70" s="49"/>
      <c r="MO70" s="50">
        <v>0</v>
      </c>
      <c r="MP70" s="48">
        <v>0</v>
      </c>
      <c r="MQ70" s="48">
        <v>0</v>
      </c>
      <c r="MR70" s="48">
        <v>0</v>
      </c>
      <c r="MS70" s="43">
        <v>0</v>
      </c>
      <c r="MT70" s="49"/>
      <c r="MU70" s="48">
        <v>0</v>
      </c>
      <c r="MV70" s="46"/>
      <c r="MW70" s="48">
        <v>102</v>
      </c>
      <c r="MX70" s="48">
        <v>100</v>
      </c>
      <c r="MY70" s="43">
        <v>2</v>
      </c>
      <c r="MZ70" s="49"/>
      <c r="NA70" s="50">
        <v>0</v>
      </c>
      <c r="NB70" s="48">
        <v>0</v>
      </c>
      <c r="NC70" s="48">
        <v>84</v>
      </c>
      <c r="ND70" s="48">
        <v>85</v>
      </c>
      <c r="NE70" s="43">
        <v>-1</v>
      </c>
      <c r="NF70" s="49"/>
      <c r="NG70" s="25">
        <v>72</v>
      </c>
      <c r="NH70" s="48">
        <v>0</v>
      </c>
      <c r="NI70" s="48">
        <v>84</v>
      </c>
      <c r="NJ70" s="48">
        <v>85</v>
      </c>
      <c r="NK70" s="43">
        <v>71</v>
      </c>
      <c r="NL70" s="49"/>
      <c r="NM70" s="50">
        <v>0</v>
      </c>
      <c r="NN70" s="48">
        <v>0</v>
      </c>
      <c r="NO70" s="48">
        <v>0</v>
      </c>
      <c r="NP70" s="48">
        <v>0</v>
      </c>
      <c r="NQ70" s="43">
        <v>0</v>
      </c>
      <c r="NR70" s="49"/>
      <c r="NS70" s="50">
        <v>0</v>
      </c>
      <c r="NT70" s="48">
        <v>0</v>
      </c>
      <c r="NU70" s="48">
        <v>48</v>
      </c>
      <c r="NV70" s="48">
        <v>50</v>
      </c>
      <c r="NW70" s="43">
        <v>-2</v>
      </c>
      <c r="NX70" s="49"/>
      <c r="NY70" s="50">
        <v>0</v>
      </c>
      <c r="NZ70" s="48">
        <v>0</v>
      </c>
      <c r="OA70" s="32">
        <v>252</v>
      </c>
      <c r="OB70" s="48">
        <v>30</v>
      </c>
      <c r="OC70" s="43">
        <v>222</v>
      </c>
      <c r="OD70" s="49"/>
      <c r="OE70" s="50">
        <v>24</v>
      </c>
      <c r="OF70" s="48">
        <v>25</v>
      </c>
      <c r="OG70" s="43">
        <v>-1</v>
      </c>
      <c r="OH70" s="49"/>
      <c r="OI70" s="50">
        <v>0</v>
      </c>
      <c r="OJ70" s="48">
        <v>0</v>
      </c>
      <c r="OK70" s="43">
        <v>0</v>
      </c>
      <c r="OL70" s="49"/>
      <c r="OM70" s="50">
        <v>0</v>
      </c>
      <c r="ON70" s="48">
        <v>0</v>
      </c>
      <c r="OO70" s="48">
        <v>30</v>
      </c>
      <c r="OP70" s="48">
        <v>30</v>
      </c>
      <c r="OQ70" s="43">
        <v>0</v>
      </c>
      <c r="OR70" s="49"/>
      <c r="OS70" s="50">
        <v>0</v>
      </c>
      <c r="OT70" s="48">
        <v>0</v>
      </c>
      <c r="OU70" s="43">
        <v>0</v>
      </c>
      <c r="OV70" s="49"/>
      <c r="OW70" s="50">
        <v>72</v>
      </c>
      <c r="OX70" s="48">
        <v>70</v>
      </c>
      <c r="OY70" s="48">
        <v>60</v>
      </c>
      <c r="OZ70" s="48">
        <v>60</v>
      </c>
      <c r="PA70" s="43">
        <v>2</v>
      </c>
      <c r="PB70" s="49"/>
      <c r="PC70" s="50">
        <v>12</v>
      </c>
      <c r="PD70" s="48">
        <v>14</v>
      </c>
      <c r="PE70" s="43">
        <v>-2</v>
      </c>
      <c r="PF70" s="49"/>
      <c r="PG70" s="50">
        <v>0</v>
      </c>
      <c r="PH70" s="48">
        <v>0</v>
      </c>
      <c r="PI70" s="48">
        <v>36</v>
      </c>
      <c r="PJ70" s="48">
        <v>35</v>
      </c>
      <c r="PK70" s="43">
        <v>1</v>
      </c>
      <c r="PL70" s="49"/>
      <c r="PM70" s="47">
        <v>0</v>
      </c>
      <c r="PN70" s="48">
        <v>0</v>
      </c>
      <c r="PO70" s="48">
        <v>108</v>
      </c>
      <c r="PP70" s="48">
        <v>107</v>
      </c>
      <c r="PQ70" s="43">
        <v>1</v>
      </c>
      <c r="PR70" s="49"/>
      <c r="PS70" s="47">
        <v>18</v>
      </c>
      <c r="PT70" s="43">
        <v>20</v>
      </c>
      <c r="PU70" s="43">
        <v>0</v>
      </c>
      <c r="PV70" s="43">
        <v>0</v>
      </c>
      <c r="PW70" s="43">
        <v>-2</v>
      </c>
      <c r="PX70" s="46"/>
      <c r="PY70" s="47">
        <v>42</v>
      </c>
      <c r="PZ70" s="43">
        <v>40</v>
      </c>
      <c r="QA70" s="43">
        <v>2</v>
      </c>
      <c r="QB70" s="46"/>
      <c r="QC70" s="47">
        <v>60</v>
      </c>
      <c r="QD70" s="43">
        <v>59</v>
      </c>
      <c r="QE70" s="43">
        <v>72</v>
      </c>
      <c r="QF70" s="43">
        <v>70</v>
      </c>
      <c r="QG70" s="43">
        <v>3</v>
      </c>
      <c r="QH70" s="46"/>
      <c r="QI70" s="47">
        <v>30</v>
      </c>
      <c r="QJ70" s="43">
        <v>30</v>
      </c>
      <c r="QK70" s="43">
        <v>0</v>
      </c>
      <c r="QL70" s="43">
        <v>0</v>
      </c>
      <c r="QM70" s="43">
        <v>0</v>
      </c>
      <c r="QN70" s="46"/>
      <c r="QO70" s="47">
        <v>0</v>
      </c>
      <c r="QP70" s="43">
        <v>80</v>
      </c>
      <c r="QQ70" s="43">
        <v>0</v>
      </c>
      <c r="QR70" s="43">
        <v>0</v>
      </c>
      <c r="QS70" s="42">
        <v>-80</v>
      </c>
      <c r="QT70" s="46">
        <v>32</v>
      </c>
      <c r="QU70" s="47">
        <v>78</v>
      </c>
      <c r="QV70" s="43">
        <v>80</v>
      </c>
      <c r="QW70" s="43">
        <v>-2</v>
      </c>
      <c r="QX70" s="46"/>
      <c r="QY70" s="47">
        <v>0</v>
      </c>
      <c r="QZ70" s="43">
        <v>0</v>
      </c>
      <c r="RA70" s="43">
        <v>138</v>
      </c>
      <c r="RB70" s="43">
        <v>137</v>
      </c>
      <c r="RC70" s="43">
        <v>1</v>
      </c>
      <c r="RD70" s="46"/>
    </row>
    <row r="71" spans="1:472" x14ac:dyDescent="0.25">
      <c r="A71" s="43" t="s">
        <v>359</v>
      </c>
      <c r="B71" s="44">
        <v>0.4</v>
      </c>
      <c r="I71" s="47"/>
      <c r="J71" s="51"/>
      <c r="K71" s="51"/>
      <c r="L71" s="51"/>
      <c r="M71" s="51">
        <f t="shared" si="12"/>
        <v>0</v>
      </c>
      <c r="N71" s="46"/>
      <c r="O71" s="47"/>
      <c r="P71" s="51"/>
      <c r="Q71" s="51"/>
      <c r="R71" s="51"/>
      <c r="S71" s="51">
        <f t="shared" si="13"/>
        <v>0</v>
      </c>
      <c r="T71" s="46"/>
      <c r="U71" s="47"/>
      <c r="V71" s="51"/>
      <c r="W71" s="51"/>
      <c r="X71" s="51"/>
      <c r="Y71" s="51">
        <f t="shared" si="14"/>
        <v>0</v>
      </c>
      <c r="Z71" s="46"/>
      <c r="AA71" s="51"/>
      <c r="AE71" s="43">
        <v>0</v>
      </c>
      <c r="AF71" s="46"/>
      <c r="AG71" s="47"/>
      <c r="AK71" s="43">
        <v>0</v>
      </c>
      <c r="AL71" s="46"/>
      <c r="AQ71" s="43">
        <v>0</v>
      </c>
      <c r="AR71" s="46"/>
      <c r="AW71" s="43">
        <v>0</v>
      </c>
      <c r="AX71" s="46"/>
      <c r="AY71" s="47"/>
      <c r="BC71" s="43">
        <v>0</v>
      </c>
      <c r="BD71" s="46"/>
      <c r="BE71" s="47"/>
      <c r="BI71" s="43">
        <v>0</v>
      </c>
      <c r="BJ71" s="46"/>
      <c r="BP71" s="43">
        <v>0</v>
      </c>
      <c r="BQ71" s="46"/>
      <c r="BT71" s="43">
        <v>0</v>
      </c>
      <c r="BU71" s="46"/>
      <c r="BV71" s="47"/>
      <c r="BZ71" s="43">
        <v>0</v>
      </c>
      <c r="CA71" s="46"/>
      <c r="CF71" s="43">
        <v>0</v>
      </c>
      <c r="CG71" s="46"/>
      <c r="CL71" s="43">
        <v>0</v>
      </c>
      <c r="CM71" s="46"/>
      <c r="CN71" s="47"/>
      <c r="CR71" s="43">
        <v>0</v>
      </c>
      <c r="CS71" s="46"/>
      <c r="CX71" s="43">
        <v>0</v>
      </c>
      <c r="CY71" s="46"/>
      <c r="CZ71" s="47"/>
      <c r="DD71" s="43">
        <v>0</v>
      </c>
      <c r="DE71" s="46"/>
      <c r="DF71" s="47"/>
      <c r="DL71" s="43">
        <v>0</v>
      </c>
      <c r="DM71" s="46"/>
      <c r="DN71" s="47"/>
      <c r="DR71" s="43">
        <v>0</v>
      </c>
      <c r="DS71" s="46"/>
      <c r="DZ71" s="43">
        <v>0</v>
      </c>
      <c r="EA71" s="46"/>
      <c r="EB71" s="47"/>
      <c r="EF71" s="43">
        <v>0</v>
      </c>
      <c r="EG71" s="46"/>
      <c r="EH71" s="47"/>
      <c r="EL71" s="43">
        <v>0</v>
      </c>
      <c r="EM71" s="46"/>
      <c r="EN71" s="47"/>
      <c r="ER71" s="43">
        <v>0</v>
      </c>
      <c r="ES71" s="46"/>
      <c r="EZ71" s="43">
        <v>0</v>
      </c>
      <c r="FA71" s="46"/>
      <c r="FG71" s="43">
        <v>0</v>
      </c>
      <c r="FH71" s="46"/>
      <c r="FI71" s="47"/>
      <c r="FL71" s="43">
        <v>0</v>
      </c>
      <c r="FM71" s="46"/>
      <c r="FN71" s="45">
        <v>6</v>
      </c>
      <c r="FP71">
        <v>7</v>
      </c>
      <c r="FQ71" s="43">
        <v>-1</v>
      </c>
      <c r="FR71" s="46"/>
      <c r="FW71" s="43">
        <v>0</v>
      </c>
      <c r="FX71" s="46"/>
      <c r="FY71" s="47"/>
      <c r="GD71" s="43">
        <v>0</v>
      </c>
      <c r="GE71" s="46"/>
      <c r="GF71">
        <v>42</v>
      </c>
      <c r="GG71">
        <v>42</v>
      </c>
      <c r="GH71">
        <v>60</v>
      </c>
      <c r="GI71">
        <v>58</v>
      </c>
      <c r="GJ71" s="43">
        <v>2</v>
      </c>
      <c r="GK71" s="46"/>
      <c r="GL71" s="47"/>
      <c r="GN71">
        <v>12</v>
      </c>
      <c r="GO71">
        <v>12</v>
      </c>
      <c r="GP71" s="43">
        <v>0</v>
      </c>
      <c r="GQ71" s="46"/>
      <c r="GV71" s="43">
        <v>0</v>
      </c>
      <c r="GW71" s="46"/>
      <c r="GX71" s="45">
        <v>210</v>
      </c>
      <c r="GY71" s="48">
        <v>210</v>
      </c>
      <c r="GZ71" s="43">
        <v>0</v>
      </c>
      <c r="HA71" s="46"/>
      <c r="HB71" s="47"/>
      <c r="HD71">
        <v>78</v>
      </c>
      <c r="HE71">
        <v>80</v>
      </c>
      <c r="HF71" s="43">
        <v>-2</v>
      </c>
      <c r="HG71" s="46"/>
      <c r="HH71" s="45">
        <v>150</v>
      </c>
      <c r="HI71">
        <v>150</v>
      </c>
      <c r="HJ71" s="43">
        <v>0</v>
      </c>
      <c r="HK71" s="46"/>
      <c r="HL71" s="47"/>
      <c r="HP71" s="43">
        <v>0</v>
      </c>
      <c r="HQ71" s="46"/>
      <c r="HT71">
        <v>198</v>
      </c>
      <c r="HU71">
        <v>200</v>
      </c>
      <c r="HV71">
        <v>150</v>
      </c>
      <c r="HW71">
        <v>150</v>
      </c>
      <c r="HX71" s="43">
        <v>-2</v>
      </c>
      <c r="HY71" s="46"/>
      <c r="HZ71" s="47"/>
      <c r="IB71">
        <v>24</v>
      </c>
      <c r="IC71">
        <v>24</v>
      </c>
      <c r="ID71" s="43">
        <v>0</v>
      </c>
      <c r="IE71" s="46"/>
      <c r="IH71">
        <v>72</v>
      </c>
      <c r="II71">
        <v>70</v>
      </c>
      <c r="IJ71" s="43">
        <v>2</v>
      </c>
      <c r="IK71" s="49"/>
      <c r="IP71" s="43">
        <v>0</v>
      </c>
      <c r="IQ71" s="49"/>
      <c r="IV71" s="43">
        <v>0</v>
      </c>
      <c r="IW71" s="49"/>
      <c r="JB71" s="43">
        <v>0</v>
      </c>
      <c r="JC71" s="46"/>
      <c r="JD71">
        <v>102</v>
      </c>
      <c r="JE71">
        <v>100</v>
      </c>
      <c r="JF71" s="43">
        <v>2</v>
      </c>
      <c r="JG71" s="49"/>
      <c r="JL71" s="43">
        <v>0</v>
      </c>
      <c r="JM71" s="46"/>
      <c r="JN71" s="45">
        <v>120</v>
      </c>
      <c r="JO71" s="48">
        <v>120</v>
      </c>
      <c r="JP71" s="43">
        <v>0</v>
      </c>
      <c r="JQ71" s="49"/>
      <c r="JT71">
        <v>72</v>
      </c>
      <c r="JU71">
        <v>70</v>
      </c>
      <c r="JV71" s="43">
        <v>2</v>
      </c>
      <c r="JW71" s="49"/>
      <c r="JX71">
        <v>12</v>
      </c>
      <c r="JY71">
        <v>15</v>
      </c>
      <c r="KB71" s="43">
        <v>-3</v>
      </c>
      <c r="KC71" s="49"/>
      <c r="KF71">
        <v>102</v>
      </c>
      <c r="KG71">
        <v>100</v>
      </c>
      <c r="KH71" s="43">
        <v>2</v>
      </c>
      <c r="KI71" s="49"/>
      <c r="KJ71">
        <v>48</v>
      </c>
      <c r="KK71">
        <v>50</v>
      </c>
      <c r="KL71">
        <v>120</v>
      </c>
      <c r="KM71">
        <v>120</v>
      </c>
      <c r="KN71" s="43">
        <v>-2</v>
      </c>
      <c r="KO71" s="49"/>
      <c r="KP71" s="45">
        <v>78</v>
      </c>
      <c r="KQ71">
        <v>80</v>
      </c>
      <c r="KR71">
        <v>78</v>
      </c>
      <c r="KS71">
        <v>80</v>
      </c>
      <c r="KT71">
        <v>48</v>
      </c>
      <c r="KU71">
        <v>70</v>
      </c>
      <c r="KV71" s="42">
        <v>-26</v>
      </c>
      <c r="KW71" s="49">
        <v>10.4</v>
      </c>
      <c r="KX71" s="48">
        <v>0</v>
      </c>
      <c r="KY71" s="48">
        <v>0</v>
      </c>
      <c r="KZ71" s="48">
        <v>0</v>
      </c>
      <c r="LA71" s="48">
        <v>0</v>
      </c>
      <c r="LB71" s="43">
        <v>0</v>
      </c>
      <c r="LC71" s="49"/>
      <c r="LD71" s="48">
        <v>78</v>
      </c>
      <c r="LE71" s="48">
        <v>80</v>
      </c>
      <c r="LF71" s="48">
        <v>108</v>
      </c>
      <c r="LG71" s="48">
        <v>106</v>
      </c>
      <c r="LH71" s="43">
        <v>0</v>
      </c>
      <c r="LI71" s="49"/>
      <c r="LJ71" s="50">
        <v>126</v>
      </c>
      <c r="LK71" s="48">
        <v>530</v>
      </c>
      <c r="LL71" s="42">
        <v>-404</v>
      </c>
      <c r="LM71" s="49">
        <v>161.6</v>
      </c>
      <c r="LN71" s="50">
        <v>78</v>
      </c>
      <c r="LO71" s="48">
        <v>80</v>
      </c>
      <c r="LP71" s="48">
        <v>108</v>
      </c>
      <c r="LQ71" s="48">
        <v>0</v>
      </c>
      <c r="LR71" s="48">
        <v>70</v>
      </c>
      <c r="LS71" s="43">
        <v>36</v>
      </c>
      <c r="LT71" s="49"/>
      <c r="LU71" s="50">
        <v>150</v>
      </c>
      <c r="LV71" s="48">
        <v>150</v>
      </c>
      <c r="LW71" s="48">
        <v>54</v>
      </c>
      <c r="LX71" s="48">
        <v>50</v>
      </c>
      <c r="LY71" s="43">
        <v>4</v>
      </c>
      <c r="LZ71" s="49"/>
      <c r="MA71" s="50">
        <v>300</v>
      </c>
      <c r="MB71" s="48">
        <v>300</v>
      </c>
      <c r="MC71" s="43">
        <v>0</v>
      </c>
      <c r="MD71" s="49"/>
      <c r="ME71" s="50">
        <v>0</v>
      </c>
      <c r="MF71" s="48">
        <v>0</v>
      </c>
      <c r="MG71" s="48">
        <v>0</v>
      </c>
      <c r="MH71" s="48">
        <v>0</v>
      </c>
      <c r="MI71" s="43">
        <v>0</v>
      </c>
      <c r="MJ71" s="49"/>
      <c r="MK71" s="50"/>
      <c r="MN71" s="49"/>
      <c r="MO71" s="50"/>
      <c r="MT71" s="49"/>
      <c r="MV71" s="46"/>
      <c r="MZ71" s="49"/>
      <c r="NA71" s="50"/>
      <c r="NF71" s="49"/>
      <c r="NG71" s="25"/>
      <c r="NL71" s="49"/>
      <c r="NM71" s="50"/>
      <c r="NR71" s="49"/>
      <c r="NS71" s="50"/>
      <c r="NX71" s="49"/>
      <c r="NY71" s="50"/>
      <c r="OA71" s="32"/>
      <c r="OD71" s="49"/>
      <c r="OE71" s="50"/>
      <c r="OH71" s="49"/>
      <c r="OI71" s="50"/>
      <c r="OL71" s="49"/>
      <c r="OM71" s="50"/>
      <c r="OR71" s="49"/>
      <c r="OS71" s="50"/>
      <c r="OV71" s="49"/>
      <c r="OW71" s="50"/>
      <c r="PB71" s="49"/>
      <c r="PC71" s="50"/>
      <c r="PF71" s="49"/>
      <c r="PG71" s="50"/>
      <c r="PL71" s="49"/>
      <c r="PM71" s="47"/>
      <c r="PN71" s="48"/>
      <c r="PP71" s="48"/>
      <c r="PR71" s="49"/>
      <c r="PS71" s="47"/>
      <c r="PX71" s="46"/>
      <c r="PY71" s="47"/>
      <c r="QB71" s="46"/>
      <c r="QC71" s="47"/>
      <c r="QH71" s="46"/>
      <c r="QI71" s="47"/>
      <c r="QN71" s="46"/>
      <c r="QO71" s="47"/>
      <c r="QS71" s="42"/>
      <c r="QT71" s="46"/>
      <c r="QU71" s="47"/>
      <c r="QX71" s="46"/>
      <c r="QY71" s="47"/>
      <c r="RD71" s="46"/>
    </row>
    <row r="72" spans="1:472" x14ac:dyDescent="0.25">
      <c r="A72" s="43" t="s">
        <v>360</v>
      </c>
      <c r="B72" s="44">
        <v>1</v>
      </c>
      <c r="E72">
        <v>200</v>
      </c>
      <c r="F72">
        <v>112</v>
      </c>
      <c r="I72" s="45">
        <v>121</v>
      </c>
      <c r="J72" s="52">
        <v>120</v>
      </c>
      <c r="K72" s="52">
        <v>148</v>
      </c>
      <c r="L72" s="52">
        <v>149</v>
      </c>
      <c r="M72" s="51">
        <f t="shared" si="12"/>
        <v>0</v>
      </c>
      <c r="N72" s="46"/>
      <c r="O72" s="47"/>
      <c r="P72" s="51"/>
      <c r="Q72" s="52">
        <v>12</v>
      </c>
      <c r="R72" s="52">
        <v>12</v>
      </c>
      <c r="S72" s="51">
        <f t="shared" si="13"/>
        <v>0</v>
      </c>
      <c r="T72" s="46"/>
      <c r="U72" s="45">
        <v>100</v>
      </c>
      <c r="V72" s="52">
        <v>100</v>
      </c>
      <c r="W72" s="52">
        <v>98</v>
      </c>
      <c r="X72" s="52">
        <v>95</v>
      </c>
      <c r="Y72" s="51">
        <f t="shared" si="14"/>
        <v>3</v>
      </c>
      <c r="Z72" s="46"/>
      <c r="AA72" s="51"/>
      <c r="AE72" s="43">
        <v>0</v>
      </c>
      <c r="AF72" s="46"/>
      <c r="AG72" s="45">
        <v>182</v>
      </c>
      <c r="AH72">
        <v>180</v>
      </c>
      <c r="AI72">
        <v>235</v>
      </c>
      <c r="AJ72">
        <v>235</v>
      </c>
      <c r="AK72" s="43">
        <v>2</v>
      </c>
      <c r="AL72" s="46"/>
      <c r="AM72">
        <v>72</v>
      </c>
      <c r="AN72">
        <v>70</v>
      </c>
      <c r="AO72">
        <v>84</v>
      </c>
      <c r="AP72">
        <v>82</v>
      </c>
      <c r="AQ72" s="43">
        <v>4</v>
      </c>
      <c r="AR72" s="46"/>
      <c r="AS72">
        <v>101</v>
      </c>
      <c r="AT72">
        <v>100</v>
      </c>
      <c r="AU72">
        <v>116</v>
      </c>
      <c r="AV72">
        <v>117</v>
      </c>
      <c r="AW72" s="43">
        <v>0</v>
      </c>
      <c r="AX72" s="46"/>
      <c r="AY72" s="47"/>
      <c r="BA72">
        <v>36</v>
      </c>
      <c r="BB72">
        <v>36</v>
      </c>
      <c r="BC72" s="43">
        <v>0</v>
      </c>
      <c r="BD72" s="46"/>
      <c r="BE72" s="45">
        <v>154</v>
      </c>
      <c r="BF72">
        <v>150</v>
      </c>
      <c r="BG72">
        <v>167</v>
      </c>
      <c r="BH72">
        <v>164</v>
      </c>
      <c r="BI72" s="43">
        <v>7</v>
      </c>
      <c r="BJ72" s="46"/>
      <c r="BP72" s="43">
        <v>0</v>
      </c>
      <c r="BQ72" s="46"/>
      <c r="BR72">
        <v>36</v>
      </c>
      <c r="BS72">
        <v>36</v>
      </c>
      <c r="BT72" s="43">
        <v>0</v>
      </c>
      <c r="BU72" s="46"/>
      <c r="BV72" s="47"/>
      <c r="BW72">
        <v>90</v>
      </c>
      <c r="BX72">
        <v>247</v>
      </c>
      <c r="BY72">
        <v>246</v>
      </c>
      <c r="BZ72" s="42">
        <v>-89</v>
      </c>
      <c r="CA72" s="46">
        <v>89</v>
      </c>
      <c r="CB72">
        <v>72</v>
      </c>
      <c r="CC72">
        <v>70</v>
      </c>
      <c r="CD72">
        <v>73</v>
      </c>
      <c r="CE72">
        <v>70</v>
      </c>
      <c r="CF72" s="43">
        <v>5</v>
      </c>
      <c r="CG72" s="46"/>
      <c r="CH72">
        <v>52</v>
      </c>
      <c r="CI72">
        <v>50</v>
      </c>
      <c r="CJ72">
        <v>171</v>
      </c>
      <c r="CK72">
        <v>173</v>
      </c>
      <c r="CL72" s="43">
        <v>0</v>
      </c>
      <c r="CM72" s="46"/>
      <c r="CN72" s="47"/>
      <c r="CP72">
        <v>125</v>
      </c>
      <c r="CQ72">
        <v>125</v>
      </c>
      <c r="CR72" s="43">
        <v>0</v>
      </c>
      <c r="CS72" s="46"/>
      <c r="CT72">
        <v>60</v>
      </c>
      <c r="CU72">
        <v>60</v>
      </c>
      <c r="CV72">
        <v>72</v>
      </c>
      <c r="CW72">
        <v>70</v>
      </c>
      <c r="CX72" s="43">
        <v>2</v>
      </c>
      <c r="CY72" s="46"/>
      <c r="CZ72" s="45">
        <v>100</v>
      </c>
      <c r="DA72">
        <v>100</v>
      </c>
      <c r="DB72">
        <v>104</v>
      </c>
      <c r="DC72">
        <v>103</v>
      </c>
      <c r="DD72" s="43">
        <v>1</v>
      </c>
      <c r="DE72" s="46"/>
      <c r="DF72" s="47"/>
      <c r="DJ72">
        <v>120</v>
      </c>
      <c r="DK72">
        <v>120</v>
      </c>
      <c r="DL72" s="43">
        <v>0</v>
      </c>
      <c r="DM72" s="46"/>
      <c r="DN72" s="47"/>
      <c r="DP72">
        <v>20</v>
      </c>
      <c r="DQ72">
        <v>20</v>
      </c>
      <c r="DR72" s="43">
        <v>0</v>
      </c>
      <c r="DS72" s="46"/>
      <c r="DT72">
        <v>101</v>
      </c>
      <c r="DU72">
        <v>100</v>
      </c>
      <c r="DV72">
        <v>161</v>
      </c>
      <c r="DW72">
        <v>160</v>
      </c>
      <c r="DX72">
        <v>200</v>
      </c>
      <c r="DY72">
        <v>200</v>
      </c>
      <c r="DZ72" s="43">
        <v>2</v>
      </c>
      <c r="EA72" s="46"/>
      <c r="EB72" s="47"/>
      <c r="ED72">
        <v>201</v>
      </c>
      <c r="EE72">
        <v>200</v>
      </c>
      <c r="EF72" s="43">
        <v>1</v>
      </c>
      <c r="EG72" s="46"/>
      <c r="EH72" s="47"/>
      <c r="EL72" s="43">
        <v>0</v>
      </c>
      <c r="EM72" s="46"/>
      <c r="EN72" s="45">
        <v>100</v>
      </c>
      <c r="EO72">
        <v>100</v>
      </c>
      <c r="EP72">
        <v>61</v>
      </c>
      <c r="EQ72">
        <v>60</v>
      </c>
      <c r="ER72" s="43">
        <v>1</v>
      </c>
      <c r="ES72" s="46"/>
      <c r="ET72">
        <v>113</v>
      </c>
      <c r="EU72">
        <v>110</v>
      </c>
      <c r="EV72">
        <v>112</v>
      </c>
      <c r="EW72">
        <v>110</v>
      </c>
      <c r="EX72">
        <v>132</v>
      </c>
      <c r="EY72">
        <v>130</v>
      </c>
      <c r="EZ72" s="43">
        <v>7</v>
      </c>
      <c r="FA72" s="46"/>
      <c r="FB72">
        <v>51</v>
      </c>
      <c r="FC72">
        <v>50</v>
      </c>
      <c r="FG72" s="43">
        <v>1</v>
      </c>
      <c r="FH72" s="46"/>
      <c r="FI72" s="45">
        <v>196</v>
      </c>
      <c r="FK72" s="48">
        <v>194.37100000000001</v>
      </c>
      <c r="FL72" s="43">
        <v>1.6289999999999909</v>
      </c>
      <c r="FM72" s="46"/>
      <c r="FN72" s="47"/>
      <c r="FQ72" s="43">
        <v>0</v>
      </c>
      <c r="FR72" s="46"/>
      <c r="FS72">
        <v>413</v>
      </c>
      <c r="FV72">
        <v>410</v>
      </c>
      <c r="FW72" s="43">
        <v>3</v>
      </c>
      <c r="FX72" s="46"/>
      <c r="FY72" s="45">
        <v>112</v>
      </c>
      <c r="GA72">
        <v>110</v>
      </c>
      <c r="GB72">
        <v>112</v>
      </c>
      <c r="GC72">
        <v>110</v>
      </c>
      <c r="GD72" s="43">
        <v>4</v>
      </c>
      <c r="GE72" s="46"/>
      <c r="GF72">
        <v>52</v>
      </c>
      <c r="GG72">
        <v>50</v>
      </c>
      <c r="GH72">
        <v>53</v>
      </c>
      <c r="GI72">
        <v>50</v>
      </c>
      <c r="GJ72" s="43">
        <v>5</v>
      </c>
      <c r="GK72" s="46"/>
      <c r="GL72" s="47"/>
      <c r="GN72">
        <v>120</v>
      </c>
      <c r="GO72">
        <v>120</v>
      </c>
      <c r="GP72" s="43">
        <v>0</v>
      </c>
      <c r="GQ72" s="46"/>
      <c r="GT72">
        <v>192</v>
      </c>
      <c r="GU72">
        <v>190</v>
      </c>
      <c r="GV72" s="43">
        <v>2</v>
      </c>
      <c r="GW72" s="46"/>
      <c r="GX72" s="45">
        <v>198</v>
      </c>
      <c r="GY72" s="48">
        <v>195.46340000000001</v>
      </c>
      <c r="GZ72" s="43">
        <v>2.5365999999999929</v>
      </c>
      <c r="HA72" s="46"/>
      <c r="HB72" s="45">
        <v>100</v>
      </c>
      <c r="HC72">
        <v>100</v>
      </c>
      <c r="HD72">
        <v>286</v>
      </c>
      <c r="HE72">
        <v>283</v>
      </c>
      <c r="HF72" s="43">
        <v>3</v>
      </c>
      <c r="HG72" s="46"/>
      <c r="HH72" s="47"/>
      <c r="HJ72" s="43">
        <v>0</v>
      </c>
      <c r="HK72" s="46"/>
      <c r="HL72" s="45">
        <v>199</v>
      </c>
      <c r="HM72">
        <v>200</v>
      </c>
      <c r="HN72">
        <v>140</v>
      </c>
      <c r="HO72">
        <v>140</v>
      </c>
      <c r="HP72" s="43">
        <v>-1</v>
      </c>
      <c r="HQ72" s="46"/>
      <c r="HV72">
        <v>260</v>
      </c>
      <c r="HW72">
        <v>260</v>
      </c>
      <c r="HX72" s="43">
        <v>0</v>
      </c>
      <c r="HY72" s="46"/>
      <c r="HZ72" s="45">
        <v>221</v>
      </c>
      <c r="IA72">
        <v>220</v>
      </c>
      <c r="IB72">
        <v>201</v>
      </c>
      <c r="IC72">
        <v>200</v>
      </c>
      <c r="ID72" s="43">
        <v>2</v>
      </c>
      <c r="IE72" s="46"/>
      <c r="IH72">
        <v>52</v>
      </c>
      <c r="II72">
        <v>50</v>
      </c>
      <c r="IJ72" s="43">
        <v>2</v>
      </c>
      <c r="IK72" s="49"/>
      <c r="IL72">
        <v>152</v>
      </c>
      <c r="IM72">
        <v>150</v>
      </c>
      <c r="IP72" s="43">
        <v>2</v>
      </c>
      <c r="IQ72" s="49"/>
      <c r="IV72" s="43">
        <v>0</v>
      </c>
      <c r="IW72" s="49"/>
      <c r="IX72">
        <v>302</v>
      </c>
      <c r="IY72">
        <v>300</v>
      </c>
      <c r="IZ72">
        <v>281</v>
      </c>
      <c r="JA72">
        <v>280</v>
      </c>
      <c r="JB72" s="43">
        <v>3</v>
      </c>
      <c r="JC72" s="46"/>
      <c r="JD72">
        <v>64</v>
      </c>
      <c r="JE72">
        <v>50</v>
      </c>
      <c r="JF72" s="43">
        <v>14</v>
      </c>
      <c r="JG72" s="49"/>
      <c r="JH72">
        <v>352</v>
      </c>
      <c r="JI72">
        <v>350</v>
      </c>
      <c r="JJ72">
        <v>221</v>
      </c>
      <c r="JK72">
        <v>219</v>
      </c>
      <c r="JL72" s="43">
        <v>4</v>
      </c>
      <c r="JM72" s="46"/>
      <c r="JN72" s="50"/>
      <c r="JP72" s="43">
        <v>0</v>
      </c>
      <c r="JQ72" s="49"/>
      <c r="JT72">
        <v>313</v>
      </c>
      <c r="JU72">
        <v>310</v>
      </c>
      <c r="JV72" s="43">
        <v>3</v>
      </c>
      <c r="JW72" s="49"/>
      <c r="KB72" s="43">
        <v>0</v>
      </c>
      <c r="KC72" s="49"/>
      <c r="KD72">
        <v>153</v>
      </c>
      <c r="KE72">
        <v>150</v>
      </c>
      <c r="KF72">
        <v>240</v>
      </c>
      <c r="KG72">
        <v>240</v>
      </c>
      <c r="KH72" s="43">
        <v>3</v>
      </c>
      <c r="KI72" s="49"/>
      <c r="KJ72">
        <v>100</v>
      </c>
      <c r="KK72">
        <v>100</v>
      </c>
      <c r="KL72">
        <v>220</v>
      </c>
      <c r="KM72">
        <v>220</v>
      </c>
      <c r="KN72" s="43">
        <v>0</v>
      </c>
      <c r="KO72" s="49"/>
      <c r="KP72" s="45">
        <v>72</v>
      </c>
      <c r="KQ72">
        <v>70</v>
      </c>
      <c r="KR72">
        <v>80</v>
      </c>
      <c r="KS72">
        <v>80</v>
      </c>
      <c r="KT72">
        <v>72</v>
      </c>
      <c r="KU72">
        <v>70</v>
      </c>
      <c r="KV72" s="43">
        <v>4</v>
      </c>
      <c r="KW72" s="49"/>
      <c r="KX72" s="48">
        <v>100.93899999999999</v>
      </c>
      <c r="KY72" s="48">
        <v>100</v>
      </c>
      <c r="KZ72" s="48">
        <v>168.863</v>
      </c>
      <c r="LA72" s="48">
        <v>169</v>
      </c>
      <c r="LB72" s="43">
        <v>0.80200000000002092</v>
      </c>
      <c r="LC72" s="49"/>
      <c r="LD72" s="48">
        <v>0</v>
      </c>
      <c r="LE72" s="48">
        <v>0</v>
      </c>
      <c r="LF72" s="48">
        <v>31.966999999999999</v>
      </c>
      <c r="LG72" s="48">
        <v>33</v>
      </c>
      <c r="LH72" s="43">
        <v>-1.033000000000001</v>
      </c>
      <c r="LI72" s="49"/>
      <c r="LJ72" s="50">
        <v>0</v>
      </c>
      <c r="LK72" s="48">
        <v>0</v>
      </c>
      <c r="LL72" s="43">
        <v>0</v>
      </c>
      <c r="LM72" s="49"/>
      <c r="LN72" s="50">
        <v>353.27800000000002</v>
      </c>
      <c r="LO72" s="48">
        <v>350</v>
      </c>
      <c r="LP72" s="48">
        <v>252.88399999999999</v>
      </c>
      <c r="LQ72" s="48">
        <v>0</v>
      </c>
      <c r="LR72" s="48">
        <v>250</v>
      </c>
      <c r="LS72" s="43">
        <v>6.1620000000000346</v>
      </c>
      <c r="LT72" s="49"/>
      <c r="LU72" s="50">
        <v>52.183999999999997</v>
      </c>
      <c r="LV72" s="48">
        <v>50</v>
      </c>
      <c r="LW72" s="48">
        <v>59.732999999999997</v>
      </c>
      <c r="LX72" s="48">
        <v>60</v>
      </c>
      <c r="LY72" s="43">
        <v>1.917000000000002</v>
      </c>
      <c r="LZ72" s="49"/>
      <c r="MA72" s="50">
        <v>152.48400000000001</v>
      </c>
      <c r="MB72" s="48">
        <v>150</v>
      </c>
      <c r="MC72" s="43">
        <v>2.4840000000000089</v>
      </c>
      <c r="MD72" s="49"/>
      <c r="ME72" s="50">
        <v>100.26600000000001</v>
      </c>
      <c r="MF72" s="48">
        <v>100</v>
      </c>
      <c r="MG72" s="48">
        <v>95.536000000000001</v>
      </c>
      <c r="MH72" s="48">
        <v>100</v>
      </c>
      <c r="MI72" s="43">
        <v>-4.1979999999999791</v>
      </c>
      <c r="MJ72" s="49"/>
      <c r="MK72" s="50">
        <v>448.24200000000002</v>
      </c>
      <c r="ML72" s="48">
        <v>450</v>
      </c>
      <c r="MM72" s="43">
        <v>-1.7579999999999809</v>
      </c>
      <c r="MN72" s="49"/>
      <c r="MO72" s="50">
        <v>31.966999999999999</v>
      </c>
      <c r="MP72" s="48">
        <v>40</v>
      </c>
      <c r="MQ72" s="48">
        <v>60.051000000000002</v>
      </c>
      <c r="MR72" s="48">
        <v>60</v>
      </c>
      <c r="MS72" s="42">
        <v>-7.9819999999999993</v>
      </c>
      <c r="MT72" s="49">
        <v>7.9819999999999993</v>
      </c>
      <c r="MU72" s="48">
        <v>0</v>
      </c>
      <c r="MV72" s="46"/>
      <c r="MW72" s="48">
        <v>198.691</v>
      </c>
      <c r="MX72" s="48">
        <v>200</v>
      </c>
      <c r="MY72" s="43">
        <v>-1.3089999999999971</v>
      </c>
      <c r="MZ72" s="49"/>
      <c r="NA72" s="50">
        <v>100.413</v>
      </c>
      <c r="NB72" s="48">
        <v>100</v>
      </c>
      <c r="NC72" s="48">
        <v>234.392</v>
      </c>
      <c r="ND72" s="48">
        <v>230</v>
      </c>
      <c r="NE72" s="43">
        <v>4.8050000000000068</v>
      </c>
      <c r="NF72" s="49"/>
      <c r="NG72" s="25">
        <v>52.284999999999997</v>
      </c>
      <c r="NH72" s="48">
        <v>0</v>
      </c>
      <c r="NI72" s="48">
        <v>0</v>
      </c>
      <c r="NJ72" s="48">
        <v>0</v>
      </c>
      <c r="NK72" s="43">
        <v>52.284999999999997</v>
      </c>
      <c r="NL72" s="49"/>
      <c r="NM72" s="50">
        <v>120.57299999999999</v>
      </c>
      <c r="NN72" s="48">
        <v>120</v>
      </c>
      <c r="NO72" s="48">
        <v>179.78399999999999</v>
      </c>
      <c r="NP72" s="48">
        <v>180</v>
      </c>
      <c r="NQ72" s="43">
        <v>0.3569999999999709</v>
      </c>
      <c r="NR72" s="49"/>
      <c r="NS72" s="50">
        <v>0</v>
      </c>
      <c r="NT72" s="48">
        <v>0</v>
      </c>
      <c r="NU72" s="48">
        <v>52.031999999999996</v>
      </c>
      <c r="NV72" s="48">
        <v>50</v>
      </c>
      <c r="NW72" s="43">
        <v>2.031999999999996</v>
      </c>
      <c r="NX72" s="49"/>
      <c r="NY72" s="50">
        <v>151.816</v>
      </c>
      <c r="NZ72" s="48">
        <v>150</v>
      </c>
      <c r="OA72" s="48">
        <v>152.52099999999999</v>
      </c>
      <c r="OB72" s="48">
        <v>143</v>
      </c>
      <c r="OC72" s="43">
        <v>11.336999999999991</v>
      </c>
      <c r="OD72" s="49"/>
      <c r="OE72" s="50">
        <v>224.589</v>
      </c>
      <c r="OF72" s="48">
        <v>222</v>
      </c>
      <c r="OG72" s="43">
        <v>2.5889999999999991</v>
      </c>
      <c r="OH72" s="49"/>
      <c r="OI72" s="50">
        <v>40.128999999999998</v>
      </c>
      <c r="OJ72" s="48">
        <v>40</v>
      </c>
      <c r="OK72" s="43">
        <v>0.12899999999999781</v>
      </c>
      <c r="OL72" s="49"/>
      <c r="OM72" s="50">
        <v>402.892</v>
      </c>
      <c r="ON72" s="48">
        <v>400</v>
      </c>
      <c r="OO72" s="48">
        <v>354.38400000000001</v>
      </c>
      <c r="OP72" s="48">
        <v>350</v>
      </c>
      <c r="OQ72" s="43">
        <v>7.2760000000000673</v>
      </c>
      <c r="OR72" s="49"/>
      <c r="OS72" s="50">
        <v>31.995999999999999</v>
      </c>
      <c r="OT72" s="48">
        <v>31</v>
      </c>
      <c r="OU72" s="43">
        <v>0.99599999999999866</v>
      </c>
      <c r="OV72" s="49"/>
      <c r="OW72" s="50">
        <v>131.26599999999999</v>
      </c>
      <c r="OX72" s="48">
        <v>130</v>
      </c>
      <c r="OY72" s="48">
        <v>104.233</v>
      </c>
      <c r="OZ72" s="48">
        <v>104</v>
      </c>
      <c r="PA72" s="43">
        <v>1.498999999999995</v>
      </c>
      <c r="PB72" s="49"/>
      <c r="PC72" s="50">
        <v>0</v>
      </c>
      <c r="PD72" s="48">
        <v>0</v>
      </c>
      <c r="PE72" s="43">
        <v>0</v>
      </c>
      <c r="PF72" s="49"/>
      <c r="PG72" s="50">
        <v>100.08199999999999</v>
      </c>
      <c r="PH72" s="48">
        <v>100</v>
      </c>
      <c r="PI72" s="48">
        <v>189.56899999999999</v>
      </c>
      <c r="PJ72" s="48">
        <v>189</v>
      </c>
      <c r="PK72" s="43">
        <v>0.65099999999995362</v>
      </c>
      <c r="PL72" s="49"/>
      <c r="PM72" s="47">
        <v>0</v>
      </c>
      <c r="PN72" s="48">
        <v>0</v>
      </c>
      <c r="PO72" s="48">
        <v>141.06899999999999</v>
      </c>
      <c r="PP72" s="48">
        <v>140</v>
      </c>
      <c r="PQ72" s="43">
        <v>1.068999999999988</v>
      </c>
      <c r="PR72" s="49"/>
      <c r="PS72" s="47">
        <v>100.633</v>
      </c>
      <c r="PT72" s="43">
        <v>100</v>
      </c>
      <c r="PU72" s="43">
        <v>151.785</v>
      </c>
      <c r="PV72" s="43">
        <v>150</v>
      </c>
      <c r="PW72" s="43">
        <v>2.4180000000000059</v>
      </c>
      <c r="PX72" s="46"/>
      <c r="PY72" s="47">
        <v>59.970999999999997</v>
      </c>
      <c r="PZ72" s="43">
        <v>60</v>
      </c>
      <c r="QA72" s="43">
        <v>-2.9000000000003471E-2</v>
      </c>
      <c r="QB72" s="46"/>
      <c r="QC72" s="47">
        <v>87.954999999999998</v>
      </c>
      <c r="QD72" s="43">
        <v>88</v>
      </c>
      <c r="QE72" s="43">
        <v>101.39</v>
      </c>
      <c r="QF72" s="43">
        <v>100</v>
      </c>
      <c r="QG72" s="43">
        <v>1.3449999999999991</v>
      </c>
      <c r="QH72" s="46"/>
      <c r="QI72" s="47">
        <v>80.456999999999994</v>
      </c>
      <c r="QJ72" s="43">
        <v>80</v>
      </c>
      <c r="QK72" s="43">
        <v>152.31100000000001</v>
      </c>
      <c r="QL72" s="43">
        <v>150</v>
      </c>
      <c r="QM72" s="43">
        <v>2.7680000000000011</v>
      </c>
      <c r="QN72" s="46"/>
      <c r="QO72" s="47">
        <v>75.721999999999994</v>
      </c>
      <c r="QP72" s="43">
        <v>75</v>
      </c>
      <c r="QQ72" s="43">
        <v>80.134</v>
      </c>
      <c r="QR72" s="43">
        <v>80</v>
      </c>
      <c r="QS72" s="43">
        <v>0.85599999999999454</v>
      </c>
      <c r="QT72" s="46"/>
      <c r="QU72" s="47">
        <v>152.00800000000001</v>
      </c>
      <c r="QV72" s="43">
        <v>150</v>
      </c>
      <c r="QW72" s="43">
        <v>2.0080000000000102</v>
      </c>
      <c r="QX72" s="46"/>
      <c r="QY72" s="47">
        <v>99.412000000000006</v>
      </c>
      <c r="QZ72" s="43">
        <v>100</v>
      </c>
      <c r="RA72" s="43">
        <v>127.629</v>
      </c>
      <c r="RB72" s="43">
        <v>128</v>
      </c>
      <c r="RC72" s="43">
        <v>-0.95900000000000318</v>
      </c>
      <c r="RD72" s="46"/>
    </row>
    <row r="73" spans="1:472" x14ac:dyDescent="0.25">
      <c r="A73" s="43" t="s">
        <v>361</v>
      </c>
      <c r="B73" s="44">
        <v>1</v>
      </c>
      <c r="E73">
        <v>50</v>
      </c>
      <c r="F73">
        <v>58</v>
      </c>
      <c r="I73" s="45">
        <v>43</v>
      </c>
      <c r="J73" s="52">
        <v>40</v>
      </c>
      <c r="K73" s="52">
        <v>72</v>
      </c>
      <c r="L73" s="52">
        <v>67</v>
      </c>
      <c r="M73" s="51">
        <f t="shared" si="12"/>
        <v>8</v>
      </c>
      <c r="N73" s="46"/>
      <c r="O73" s="45">
        <v>53</v>
      </c>
      <c r="P73" s="52">
        <v>50</v>
      </c>
      <c r="Q73" s="52">
        <v>60</v>
      </c>
      <c r="R73" s="52">
        <v>57</v>
      </c>
      <c r="S73" s="51">
        <f t="shared" si="13"/>
        <v>6</v>
      </c>
      <c r="T73" s="46"/>
      <c r="U73" s="45">
        <v>31</v>
      </c>
      <c r="V73" s="52">
        <v>30</v>
      </c>
      <c r="W73" s="52">
        <v>44</v>
      </c>
      <c r="X73" s="52">
        <v>42</v>
      </c>
      <c r="Y73" s="51">
        <f t="shared" si="14"/>
        <v>3</v>
      </c>
      <c r="Z73" s="46"/>
      <c r="AA73" s="52">
        <v>31</v>
      </c>
      <c r="AB73">
        <v>30</v>
      </c>
      <c r="AC73">
        <v>47</v>
      </c>
      <c r="AD73">
        <v>44</v>
      </c>
      <c r="AE73" s="43">
        <v>4</v>
      </c>
      <c r="AF73" s="46"/>
      <c r="AG73" s="45">
        <v>28</v>
      </c>
      <c r="AH73">
        <v>27</v>
      </c>
      <c r="AK73" s="43">
        <v>1</v>
      </c>
      <c r="AL73" s="46"/>
      <c r="AM73">
        <v>53</v>
      </c>
      <c r="AN73">
        <v>50</v>
      </c>
      <c r="AO73">
        <v>65</v>
      </c>
      <c r="AP73">
        <v>61</v>
      </c>
      <c r="AQ73" s="43">
        <v>7</v>
      </c>
      <c r="AR73" s="46"/>
      <c r="AS73">
        <v>62</v>
      </c>
      <c r="AT73">
        <v>60</v>
      </c>
      <c r="AU73">
        <v>68</v>
      </c>
      <c r="AV73">
        <v>64</v>
      </c>
      <c r="AW73" s="43">
        <v>6</v>
      </c>
      <c r="AX73" s="46"/>
      <c r="AY73" s="47"/>
      <c r="BA73">
        <v>6</v>
      </c>
      <c r="BB73">
        <v>6</v>
      </c>
      <c r="BC73" s="43">
        <v>0</v>
      </c>
      <c r="BD73" s="46"/>
      <c r="BE73" s="45">
        <v>31</v>
      </c>
      <c r="BF73">
        <v>30</v>
      </c>
      <c r="BG73">
        <v>65</v>
      </c>
      <c r="BH73">
        <v>61</v>
      </c>
      <c r="BI73" s="43">
        <v>5</v>
      </c>
      <c r="BJ73" s="46"/>
      <c r="BN73">
        <v>90</v>
      </c>
      <c r="BO73">
        <v>85</v>
      </c>
      <c r="BP73" s="43">
        <v>5</v>
      </c>
      <c r="BQ73" s="46"/>
      <c r="BT73" s="43">
        <v>0</v>
      </c>
      <c r="BU73" s="46"/>
      <c r="BV73" s="45">
        <v>71</v>
      </c>
      <c r="BW73">
        <v>67</v>
      </c>
      <c r="BX73">
        <v>50</v>
      </c>
      <c r="BY73">
        <v>43</v>
      </c>
      <c r="BZ73" s="43">
        <v>11</v>
      </c>
      <c r="CA73" s="46"/>
      <c r="CD73">
        <v>62</v>
      </c>
      <c r="CE73">
        <v>58</v>
      </c>
      <c r="CF73" s="43">
        <v>4</v>
      </c>
      <c r="CG73" s="46"/>
      <c r="CH73">
        <v>43</v>
      </c>
      <c r="CI73">
        <v>40</v>
      </c>
      <c r="CJ73">
        <v>78</v>
      </c>
      <c r="CK73">
        <v>73</v>
      </c>
      <c r="CL73" s="43">
        <v>8</v>
      </c>
      <c r="CM73" s="46"/>
      <c r="CN73" s="47"/>
      <c r="CP73">
        <v>90</v>
      </c>
      <c r="CQ73">
        <v>85</v>
      </c>
      <c r="CR73" s="43">
        <v>5</v>
      </c>
      <c r="CS73" s="46"/>
      <c r="CV73">
        <v>25</v>
      </c>
      <c r="CW73">
        <v>22</v>
      </c>
      <c r="CX73" s="43">
        <v>3</v>
      </c>
      <c r="CY73" s="46"/>
      <c r="CZ73" s="47"/>
      <c r="DB73">
        <v>132</v>
      </c>
      <c r="DC73">
        <v>126</v>
      </c>
      <c r="DD73" s="43">
        <v>6</v>
      </c>
      <c r="DE73" s="46"/>
      <c r="DF73" s="47"/>
      <c r="DJ73">
        <v>44</v>
      </c>
      <c r="DK73">
        <v>40</v>
      </c>
      <c r="DL73" s="43">
        <v>4</v>
      </c>
      <c r="DM73" s="46"/>
      <c r="DN73" s="47"/>
      <c r="DP73">
        <v>13</v>
      </c>
      <c r="DQ73">
        <v>10</v>
      </c>
      <c r="DR73" s="43">
        <v>3</v>
      </c>
      <c r="DS73" s="46"/>
      <c r="DV73">
        <v>106</v>
      </c>
      <c r="DW73">
        <v>100</v>
      </c>
      <c r="DX73">
        <v>106</v>
      </c>
      <c r="DY73">
        <v>100</v>
      </c>
      <c r="DZ73" s="43">
        <v>12</v>
      </c>
      <c r="EA73" s="46"/>
      <c r="EB73" s="47"/>
      <c r="EF73" s="43">
        <v>0</v>
      </c>
      <c r="EG73" s="46"/>
      <c r="EH73" s="47"/>
      <c r="EJ73">
        <v>25</v>
      </c>
      <c r="EK73">
        <v>24</v>
      </c>
      <c r="EL73" s="43">
        <v>1</v>
      </c>
      <c r="EM73" s="46"/>
      <c r="EN73" s="45">
        <v>106</v>
      </c>
      <c r="EO73">
        <v>100</v>
      </c>
      <c r="EP73">
        <v>93</v>
      </c>
      <c r="EQ73">
        <v>90</v>
      </c>
      <c r="ER73" s="43">
        <v>9</v>
      </c>
      <c r="ES73" s="46"/>
      <c r="EV73">
        <v>31</v>
      </c>
      <c r="EW73">
        <v>30</v>
      </c>
      <c r="EX73">
        <v>43</v>
      </c>
      <c r="EY73">
        <v>40</v>
      </c>
      <c r="EZ73" s="43">
        <v>4</v>
      </c>
      <c r="FA73" s="46"/>
      <c r="FG73" s="43">
        <v>0</v>
      </c>
      <c r="FH73" s="46"/>
      <c r="FI73" s="47"/>
      <c r="FL73" s="43">
        <v>0</v>
      </c>
      <c r="FM73" s="46"/>
      <c r="FN73" s="45">
        <v>131</v>
      </c>
      <c r="FP73">
        <v>125</v>
      </c>
      <c r="FQ73" s="43">
        <v>6</v>
      </c>
      <c r="FR73" s="46"/>
      <c r="FS73">
        <v>93</v>
      </c>
      <c r="FV73">
        <v>90</v>
      </c>
      <c r="FW73" s="43">
        <v>3</v>
      </c>
      <c r="FX73" s="46"/>
      <c r="FY73" s="47"/>
      <c r="GB73">
        <v>22</v>
      </c>
      <c r="GC73">
        <v>20</v>
      </c>
      <c r="GD73" s="43">
        <v>2</v>
      </c>
      <c r="GE73" s="46"/>
      <c r="GJ73" s="43">
        <v>0</v>
      </c>
      <c r="GK73" s="46"/>
      <c r="GL73" s="47"/>
      <c r="GN73">
        <v>169</v>
      </c>
      <c r="GO73">
        <v>160</v>
      </c>
      <c r="GP73" s="43">
        <v>9</v>
      </c>
      <c r="GQ73" s="46"/>
      <c r="GT73">
        <v>105</v>
      </c>
      <c r="GU73">
        <v>100</v>
      </c>
      <c r="GV73" s="43">
        <v>5</v>
      </c>
      <c r="GW73" s="46"/>
      <c r="GX73" s="45">
        <v>84</v>
      </c>
      <c r="GY73" s="48">
        <v>79.895399999999995</v>
      </c>
      <c r="GZ73" s="43">
        <v>4.1046000000000049</v>
      </c>
      <c r="HA73" s="46"/>
      <c r="HB73" s="47"/>
      <c r="HD73">
        <v>187</v>
      </c>
      <c r="HE73">
        <v>180</v>
      </c>
      <c r="HF73" s="43">
        <v>7</v>
      </c>
      <c r="HG73" s="46"/>
      <c r="HH73" s="47"/>
      <c r="HJ73" s="43">
        <v>0</v>
      </c>
      <c r="HK73" s="46"/>
      <c r="HL73" s="47"/>
      <c r="HN73">
        <v>114</v>
      </c>
      <c r="HO73">
        <v>110</v>
      </c>
      <c r="HP73" s="43">
        <v>4</v>
      </c>
      <c r="HQ73" s="46"/>
      <c r="HV73">
        <v>176</v>
      </c>
      <c r="HW73">
        <v>180</v>
      </c>
      <c r="HX73" s="43">
        <v>-4</v>
      </c>
      <c r="HY73" s="46"/>
      <c r="HZ73" s="47"/>
      <c r="IB73">
        <v>41</v>
      </c>
      <c r="IC73">
        <v>40</v>
      </c>
      <c r="ID73" s="43">
        <v>1</v>
      </c>
      <c r="IE73" s="46"/>
      <c r="IF73">
        <v>101</v>
      </c>
      <c r="IG73">
        <v>100</v>
      </c>
      <c r="IH73">
        <v>99</v>
      </c>
      <c r="II73">
        <v>100</v>
      </c>
      <c r="IJ73" s="43">
        <v>0</v>
      </c>
      <c r="IK73" s="49"/>
      <c r="IL73">
        <v>50</v>
      </c>
      <c r="IM73">
        <v>50</v>
      </c>
      <c r="IN73">
        <v>90</v>
      </c>
      <c r="IO73">
        <v>90</v>
      </c>
      <c r="IP73" s="43">
        <v>0</v>
      </c>
      <c r="IQ73" s="49"/>
      <c r="IV73" s="43">
        <v>0</v>
      </c>
      <c r="IW73" s="49"/>
      <c r="IX73">
        <v>131</v>
      </c>
      <c r="IY73">
        <v>130</v>
      </c>
      <c r="IZ73">
        <v>101</v>
      </c>
      <c r="JA73">
        <v>100</v>
      </c>
      <c r="JB73" s="43">
        <v>2</v>
      </c>
      <c r="JC73" s="46"/>
      <c r="JD73">
        <v>21</v>
      </c>
      <c r="JE73">
        <v>20</v>
      </c>
      <c r="JF73" s="43">
        <v>1</v>
      </c>
      <c r="JG73" s="49"/>
      <c r="JJ73">
        <v>74</v>
      </c>
      <c r="JK73">
        <v>75</v>
      </c>
      <c r="JL73" s="43">
        <v>-1</v>
      </c>
      <c r="JM73" s="46"/>
      <c r="JN73" s="45">
        <v>90</v>
      </c>
      <c r="JO73" s="48">
        <v>90</v>
      </c>
      <c r="JP73" s="43">
        <v>0</v>
      </c>
      <c r="JQ73" s="49"/>
      <c r="JT73">
        <v>69</v>
      </c>
      <c r="JU73">
        <v>69</v>
      </c>
      <c r="JV73" s="43">
        <v>0</v>
      </c>
      <c r="JW73" s="49"/>
      <c r="KB73" s="43">
        <v>0</v>
      </c>
      <c r="KC73" s="49"/>
      <c r="KF73">
        <v>12</v>
      </c>
      <c r="KG73">
        <v>10</v>
      </c>
      <c r="KH73" s="43">
        <v>2</v>
      </c>
      <c r="KI73" s="49"/>
      <c r="KJ73">
        <v>51</v>
      </c>
      <c r="KK73">
        <v>50</v>
      </c>
      <c r="KL73">
        <v>200</v>
      </c>
      <c r="KM73">
        <v>200</v>
      </c>
      <c r="KN73" s="43">
        <v>1</v>
      </c>
      <c r="KO73" s="49"/>
      <c r="KP73" s="50"/>
      <c r="KT73">
        <v>21</v>
      </c>
      <c r="KU73">
        <v>20</v>
      </c>
      <c r="KV73" s="43">
        <v>1</v>
      </c>
      <c r="KW73" s="49"/>
      <c r="KX73" s="48">
        <v>0</v>
      </c>
      <c r="KY73" s="48">
        <v>0</v>
      </c>
      <c r="KZ73" s="48">
        <v>162.15199999999999</v>
      </c>
      <c r="LA73" s="48">
        <v>160</v>
      </c>
      <c r="LB73" s="43">
        <v>2.1519999999999868</v>
      </c>
      <c r="LC73" s="49"/>
      <c r="LD73" s="48">
        <v>0</v>
      </c>
      <c r="LE73" s="48">
        <v>0</v>
      </c>
      <c r="LF73" s="48">
        <v>50.744</v>
      </c>
      <c r="LG73" s="48">
        <v>50</v>
      </c>
      <c r="LH73" s="43">
        <v>0.74399999999999977</v>
      </c>
      <c r="LI73" s="49"/>
      <c r="LJ73" s="50">
        <v>0</v>
      </c>
      <c r="LK73" s="48">
        <v>0</v>
      </c>
      <c r="LL73" s="43">
        <v>0</v>
      </c>
      <c r="LM73" s="49"/>
      <c r="LN73" s="50">
        <v>59.787999999999997</v>
      </c>
      <c r="LO73" s="48">
        <v>60</v>
      </c>
      <c r="LP73" s="48">
        <v>51.795000000000002</v>
      </c>
      <c r="LQ73" s="48">
        <v>0</v>
      </c>
      <c r="LR73" s="48">
        <v>50</v>
      </c>
      <c r="LS73" s="43">
        <v>1.582999999999998</v>
      </c>
      <c r="LT73" s="49"/>
      <c r="LU73" s="50">
        <v>80.233000000000004</v>
      </c>
      <c r="LV73" s="48">
        <v>80</v>
      </c>
      <c r="LW73" s="48">
        <v>102.286</v>
      </c>
      <c r="LX73" s="48">
        <v>100</v>
      </c>
      <c r="LY73" s="43">
        <v>2.519000000000005</v>
      </c>
      <c r="LZ73" s="49"/>
      <c r="MA73" s="50">
        <v>51.118000000000002</v>
      </c>
      <c r="MB73" s="48">
        <v>50</v>
      </c>
      <c r="MC73" s="43">
        <v>1.1180000000000021</v>
      </c>
      <c r="MD73" s="49"/>
      <c r="ME73" s="50">
        <v>0</v>
      </c>
      <c r="MF73" s="48">
        <v>0</v>
      </c>
      <c r="MG73" s="48">
        <v>50.24</v>
      </c>
      <c r="MH73" s="48">
        <v>50</v>
      </c>
      <c r="MI73" s="43">
        <v>0.24000000000000199</v>
      </c>
      <c r="MJ73" s="49"/>
      <c r="MK73" s="50">
        <v>201.97200000000001</v>
      </c>
      <c r="ML73" s="48">
        <v>200</v>
      </c>
      <c r="MM73" s="43">
        <v>1.972000000000008</v>
      </c>
      <c r="MN73" s="49"/>
      <c r="MO73" s="50">
        <v>0</v>
      </c>
      <c r="MP73" s="48">
        <v>0</v>
      </c>
      <c r="MQ73" s="48">
        <v>122.66500000000001</v>
      </c>
      <c r="MR73" s="48">
        <v>122</v>
      </c>
      <c r="MS73" s="43">
        <v>0.66500000000000625</v>
      </c>
      <c r="MT73" s="49"/>
      <c r="MU73" s="48">
        <v>0</v>
      </c>
      <c r="MV73" s="46"/>
      <c r="MW73" s="48">
        <v>45.119</v>
      </c>
      <c r="MX73" s="48">
        <v>45</v>
      </c>
      <c r="MY73" s="43">
        <v>0.1189999999999998</v>
      </c>
      <c r="MZ73" s="49"/>
      <c r="NA73" s="50">
        <v>0</v>
      </c>
      <c r="NB73" s="48">
        <v>0</v>
      </c>
      <c r="NC73" s="48">
        <v>119.65600000000001</v>
      </c>
      <c r="ND73" s="48">
        <v>120</v>
      </c>
      <c r="NE73" s="43">
        <v>-0.34399999999999409</v>
      </c>
      <c r="NF73" s="49"/>
      <c r="NG73" s="25">
        <v>50.600999999999999</v>
      </c>
      <c r="NH73" s="48">
        <v>0</v>
      </c>
      <c r="NI73" s="48">
        <v>42.173000000000002</v>
      </c>
      <c r="NJ73" s="48">
        <v>40</v>
      </c>
      <c r="NK73" s="43">
        <v>52.774000000000001</v>
      </c>
      <c r="NL73" s="49"/>
      <c r="NM73" s="50">
        <v>0</v>
      </c>
      <c r="NN73" s="48">
        <v>0</v>
      </c>
      <c r="NO73" s="48">
        <v>72.813999999999993</v>
      </c>
      <c r="NP73" s="48">
        <v>70</v>
      </c>
      <c r="NQ73" s="43">
        <v>2.813999999999993</v>
      </c>
      <c r="NR73" s="49"/>
      <c r="NS73" s="50">
        <v>0</v>
      </c>
      <c r="NT73" s="48">
        <v>0</v>
      </c>
      <c r="NU73" s="48">
        <v>139.863</v>
      </c>
      <c r="NV73" s="48">
        <v>143</v>
      </c>
      <c r="NW73" s="43">
        <v>-3.137</v>
      </c>
      <c r="NX73" s="49"/>
      <c r="NY73" s="50">
        <v>0</v>
      </c>
      <c r="NZ73" s="48">
        <v>0</v>
      </c>
      <c r="OA73" s="48">
        <v>26.385000000000002</v>
      </c>
      <c r="OB73" s="48">
        <v>25</v>
      </c>
      <c r="OC73" s="43">
        <v>1.385000000000002</v>
      </c>
      <c r="OD73" s="49"/>
      <c r="OE73" s="50">
        <v>50.670999999999999</v>
      </c>
      <c r="OF73" s="48">
        <v>50</v>
      </c>
      <c r="OG73" s="43">
        <v>0.67099999999999937</v>
      </c>
      <c r="OH73" s="49"/>
      <c r="OI73" s="50">
        <v>149.251</v>
      </c>
      <c r="OJ73" s="48">
        <v>150</v>
      </c>
      <c r="OK73" s="43">
        <v>-0.74899999999999523</v>
      </c>
      <c r="OL73" s="49"/>
      <c r="OM73" s="50">
        <v>0</v>
      </c>
      <c r="ON73" s="48">
        <v>0</v>
      </c>
      <c r="OO73" s="48">
        <v>56.779000000000003</v>
      </c>
      <c r="OP73" s="48">
        <v>56.695400000000006</v>
      </c>
      <c r="OQ73" s="43">
        <v>8.359999999999701E-2</v>
      </c>
      <c r="OR73" s="49"/>
      <c r="OS73" s="50">
        <v>0</v>
      </c>
      <c r="OT73" s="48">
        <v>0</v>
      </c>
      <c r="OU73" s="43">
        <v>0</v>
      </c>
      <c r="OV73" s="49"/>
      <c r="OW73" s="50">
        <v>80.67</v>
      </c>
      <c r="OX73" s="48">
        <v>80</v>
      </c>
      <c r="OY73" s="48">
        <v>71.738</v>
      </c>
      <c r="OZ73" s="48">
        <v>70</v>
      </c>
      <c r="PA73" s="43">
        <v>2.408000000000015</v>
      </c>
      <c r="PB73" s="49"/>
      <c r="PC73" s="50">
        <v>60.744999999999997</v>
      </c>
      <c r="PD73" s="48">
        <v>0</v>
      </c>
      <c r="PE73" s="43">
        <v>60.744999999999997</v>
      </c>
      <c r="PF73" s="49"/>
      <c r="PG73" s="50">
        <v>0</v>
      </c>
      <c r="PH73" s="48">
        <v>0</v>
      </c>
      <c r="PI73" s="48">
        <v>0</v>
      </c>
      <c r="PJ73" s="48">
        <v>0</v>
      </c>
      <c r="PK73" s="43">
        <v>0</v>
      </c>
      <c r="PL73" s="49"/>
      <c r="PM73" s="47">
        <v>0</v>
      </c>
      <c r="PN73" s="48">
        <v>0</v>
      </c>
      <c r="PO73" s="48">
        <v>0</v>
      </c>
      <c r="PP73" s="48">
        <v>0</v>
      </c>
      <c r="PQ73" s="43">
        <v>0</v>
      </c>
      <c r="PR73" s="49"/>
      <c r="PS73" s="47">
        <v>50.67</v>
      </c>
      <c r="PT73" s="43">
        <v>50</v>
      </c>
      <c r="PU73" s="43">
        <v>59.954999999999998</v>
      </c>
      <c r="PV73" s="43">
        <v>60</v>
      </c>
      <c r="PW73" s="43">
        <v>0.625</v>
      </c>
      <c r="PX73" s="46"/>
      <c r="PY73" s="47">
        <v>141.11600000000001</v>
      </c>
      <c r="PZ73" s="43">
        <v>140</v>
      </c>
      <c r="QA73" s="43">
        <v>1.1160000000000141</v>
      </c>
      <c r="QB73" s="46"/>
      <c r="QC73" s="47">
        <v>0</v>
      </c>
      <c r="QD73" s="43">
        <v>0</v>
      </c>
      <c r="QE73" s="43">
        <v>0</v>
      </c>
      <c r="QF73" s="43">
        <v>0</v>
      </c>
      <c r="QG73" s="43">
        <v>0</v>
      </c>
      <c r="QH73" s="46"/>
      <c r="QI73" s="47">
        <v>0</v>
      </c>
      <c r="QJ73" s="43">
        <v>0</v>
      </c>
      <c r="QK73" s="43">
        <v>0</v>
      </c>
      <c r="QL73" s="43">
        <v>0</v>
      </c>
      <c r="QM73" s="43">
        <v>0</v>
      </c>
      <c r="QN73" s="46"/>
      <c r="QO73" s="47">
        <v>50.906999999999996</v>
      </c>
      <c r="QP73" s="43">
        <v>50</v>
      </c>
      <c r="QQ73" s="43">
        <v>101.43300000000001</v>
      </c>
      <c r="QR73" s="43">
        <v>0</v>
      </c>
      <c r="QS73" s="43">
        <v>102.34</v>
      </c>
      <c r="QT73" s="46"/>
      <c r="QU73" s="47">
        <v>149.072</v>
      </c>
      <c r="QV73" s="43">
        <v>150</v>
      </c>
      <c r="QW73" s="43">
        <v>-0.92799999999999727</v>
      </c>
      <c r="QX73" s="46"/>
      <c r="QY73" s="47">
        <v>0</v>
      </c>
      <c r="QZ73" s="43">
        <v>0</v>
      </c>
      <c r="RA73" s="43">
        <v>0</v>
      </c>
      <c r="RB73" s="43">
        <v>0</v>
      </c>
      <c r="RC73" s="43">
        <v>0</v>
      </c>
      <c r="RD73" s="46"/>
    </row>
    <row r="74" spans="1:472" x14ac:dyDescent="0.25">
      <c r="A74" s="43" t="s">
        <v>362</v>
      </c>
      <c r="B74" s="44">
        <v>1</v>
      </c>
      <c r="E74">
        <v>90</v>
      </c>
      <c r="F74">
        <v>93</v>
      </c>
      <c r="I74" s="47"/>
      <c r="J74" s="51"/>
      <c r="K74" s="51"/>
      <c r="L74" s="51"/>
      <c r="M74" s="51">
        <f t="shared" si="12"/>
        <v>0</v>
      </c>
      <c r="N74" s="46"/>
      <c r="O74" s="45">
        <v>53</v>
      </c>
      <c r="P74" s="52">
        <v>50</v>
      </c>
      <c r="Q74" s="52">
        <v>62</v>
      </c>
      <c r="R74" s="52">
        <v>60</v>
      </c>
      <c r="S74" s="51">
        <f t="shared" si="13"/>
        <v>5</v>
      </c>
      <c r="T74" s="46"/>
      <c r="U74" s="45">
        <v>6</v>
      </c>
      <c r="V74" s="52">
        <v>5</v>
      </c>
      <c r="W74" s="51"/>
      <c r="X74" s="51"/>
      <c r="Y74" s="51">
        <f t="shared" si="14"/>
        <v>1</v>
      </c>
      <c r="Z74" s="46"/>
      <c r="AA74" s="51"/>
      <c r="AE74" s="43">
        <v>0</v>
      </c>
      <c r="AF74" s="46"/>
      <c r="AG74" s="45">
        <v>107</v>
      </c>
      <c r="AH74">
        <v>100</v>
      </c>
      <c r="AI74">
        <v>182</v>
      </c>
      <c r="AJ74">
        <v>176</v>
      </c>
      <c r="AK74" s="43">
        <v>13</v>
      </c>
      <c r="AL74" s="46"/>
      <c r="AM74">
        <v>63</v>
      </c>
      <c r="AN74">
        <v>60</v>
      </c>
      <c r="AO74">
        <v>82</v>
      </c>
      <c r="AP74">
        <v>78</v>
      </c>
      <c r="AQ74" s="43">
        <v>7</v>
      </c>
      <c r="AR74" s="46"/>
      <c r="AS74">
        <v>28</v>
      </c>
      <c r="AT74">
        <v>27</v>
      </c>
      <c r="AW74" s="43">
        <v>1</v>
      </c>
      <c r="AX74" s="46"/>
      <c r="AY74" s="45">
        <v>61</v>
      </c>
      <c r="AZ74">
        <v>60</v>
      </c>
      <c r="BA74">
        <v>106</v>
      </c>
      <c r="BB74">
        <v>100</v>
      </c>
      <c r="BC74" s="43">
        <v>7</v>
      </c>
      <c r="BD74" s="46"/>
      <c r="BE74" s="45">
        <v>31</v>
      </c>
      <c r="BF74">
        <v>30</v>
      </c>
      <c r="BG74">
        <v>68</v>
      </c>
      <c r="BH74">
        <v>64</v>
      </c>
      <c r="BI74" s="43">
        <v>5</v>
      </c>
      <c r="BJ74" s="46"/>
      <c r="BN74">
        <v>56</v>
      </c>
      <c r="BO74">
        <v>52</v>
      </c>
      <c r="BP74" s="43">
        <v>4</v>
      </c>
      <c r="BQ74" s="46"/>
      <c r="BT74" s="43">
        <v>0</v>
      </c>
      <c r="BU74" s="46"/>
      <c r="BV74" s="45">
        <v>94</v>
      </c>
      <c r="BW74">
        <v>90</v>
      </c>
      <c r="BX74">
        <v>255</v>
      </c>
      <c r="BY74">
        <v>241</v>
      </c>
      <c r="BZ74" s="43">
        <v>18</v>
      </c>
      <c r="CA74" s="46"/>
      <c r="CD74">
        <v>18</v>
      </c>
      <c r="CE74">
        <v>18</v>
      </c>
      <c r="CF74" s="43">
        <v>0</v>
      </c>
      <c r="CG74" s="46"/>
      <c r="CH74">
        <v>53</v>
      </c>
      <c r="CI74">
        <v>50</v>
      </c>
      <c r="CJ74">
        <v>132</v>
      </c>
      <c r="CK74">
        <v>128</v>
      </c>
      <c r="CL74" s="43">
        <v>7</v>
      </c>
      <c r="CM74" s="46"/>
      <c r="CN74" s="47"/>
      <c r="CP74">
        <v>18</v>
      </c>
      <c r="CQ74">
        <v>17</v>
      </c>
      <c r="CR74" s="43">
        <v>1</v>
      </c>
      <c r="CS74" s="46"/>
      <c r="CV74">
        <v>56</v>
      </c>
      <c r="CW74">
        <v>53</v>
      </c>
      <c r="CX74" s="43">
        <v>3</v>
      </c>
      <c r="CY74" s="46"/>
      <c r="CZ74" s="47"/>
      <c r="DD74" s="43">
        <v>0</v>
      </c>
      <c r="DE74" s="46"/>
      <c r="DF74" s="47"/>
      <c r="DJ74">
        <v>238</v>
      </c>
      <c r="DK74">
        <v>230</v>
      </c>
      <c r="DL74" s="43">
        <v>8</v>
      </c>
      <c r="DM74" s="46"/>
      <c r="DN74" s="45">
        <v>62</v>
      </c>
      <c r="DO74">
        <v>60</v>
      </c>
      <c r="DP74">
        <v>53</v>
      </c>
      <c r="DQ74">
        <v>50</v>
      </c>
      <c r="DR74" s="43">
        <v>5</v>
      </c>
      <c r="DS74" s="46"/>
      <c r="DV74">
        <v>216</v>
      </c>
      <c r="DW74">
        <v>210</v>
      </c>
      <c r="DX74">
        <v>107</v>
      </c>
      <c r="DY74">
        <v>100</v>
      </c>
      <c r="DZ74" s="43">
        <v>13</v>
      </c>
      <c r="EA74" s="46"/>
      <c r="EB74" s="47"/>
      <c r="ED74">
        <v>100</v>
      </c>
      <c r="EE74">
        <v>96</v>
      </c>
      <c r="EF74" s="43">
        <v>4</v>
      </c>
      <c r="EG74" s="46"/>
      <c r="EH74" s="47"/>
      <c r="EJ74">
        <v>147</v>
      </c>
      <c r="EK74">
        <v>140</v>
      </c>
      <c r="EL74" s="43">
        <v>7</v>
      </c>
      <c r="EM74" s="46"/>
      <c r="EN74" s="47"/>
      <c r="ER74" s="43">
        <v>0</v>
      </c>
      <c r="ES74" s="46"/>
      <c r="ET74">
        <v>125</v>
      </c>
      <c r="EU74">
        <v>120</v>
      </c>
      <c r="EV74">
        <v>156</v>
      </c>
      <c r="EW74">
        <v>150</v>
      </c>
      <c r="EX74">
        <v>154</v>
      </c>
      <c r="EY74">
        <v>150</v>
      </c>
      <c r="EZ74" s="43">
        <v>15</v>
      </c>
      <c r="FA74" s="46"/>
      <c r="FG74" s="43">
        <v>0</v>
      </c>
      <c r="FH74" s="46"/>
      <c r="FI74" s="45">
        <v>97</v>
      </c>
      <c r="FK74" s="48">
        <v>92.220399999999984</v>
      </c>
      <c r="FL74" s="43">
        <v>4.7796000000000163</v>
      </c>
      <c r="FM74" s="46"/>
      <c r="FN74" s="45">
        <v>56</v>
      </c>
      <c r="FP74">
        <v>52</v>
      </c>
      <c r="FQ74" s="43">
        <v>4</v>
      </c>
      <c r="FR74" s="46"/>
      <c r="FS74">
        <v>163</v>
      </c>
      <c r="FV74">
        <v>160</v>
      </c>
      <c r="FW74" s="43">
        <v>3</v>
      </c>
      <c r="FX74" s="46"/>
      <c r="FY74" s="45">
        <v>53</v>
      </c>
      <c r="GA74">
        <v>50</v>
      </c>
      <c r="GB74">
        <v>53</v>
      </c>
      <c r="GC74">
        <v>50</v>
      </c>
      <c r="GD74" s="43">
        <v>6</v>
      </c>
      <c r="GE74" s="46"/>
      <c r="GH74">
        <v>62</v>
      </c>
      <c r="GI74">
        <v>60</v>
      </c>
      <c r="GJ74" s="43">
        <v>2</v>
      </c>
      <c r="GK74" s="46"/>
      <c r="GL74" s="45">
        <v>156</v>
      </c>
      <c r="GM74">
        <v>150</v>
      </c>
      <c r="GN74">
        <v>187</v>
      </c>
      <c r="GO74">
        <v>180</v>
      </c>
      <c r="GP74" s="43">
        <v>13</v>
      </c>
      <c r="GQ74" s="46"/>
      <c r="GT74">
        <v>21</v>
      </c>
      <c r="GU74">
        <v>20</v>
      </c>
      <c r="GV74" s="43">
        <v>1</v>
      </c>
      <c r="GW74" s="46"/>
      <c r="GX74" s="45">
        <v>244</v>
      </c>
      <c r="GY74" s="48">
        <v>235.75620000000001</v>
      </c>
      <c r="GZ74" s="43">
        <v>8.2437999999999931</v>
      </c>
      <c r="HA74" s="46"/>
      <c r="HB74" s="45">
        <v>108</v>
      </c>
      <c r="HC74">
        <v>100</v>
      </c>
      <c r="HD74">
        <v>207</v>
      </c>
      <c r="HE74">
        <v>200</v>
      </c>
      <c r="HF74" s="43">
        <v>15</v>
      </c>
      <c r="HG74" s="46"/>
      <c r="HH74" s="47"/>
      <c r="HJ74" s="43">
        <v>0</v>
      </c>
      <c r="HK74" s="46"/>
      <c r="HL74" s="47"/>
      <c r="HN74">
        <v>146</v>
      </c>
      <c r="HO74">
        <v>140</v>
      </c>
      <c r="HP74" s="43">
        <v>6</v>
      </c>
      <c r="HQ74" s="46"/>
      <c r="HV74">
        <v>219</v>
      </c>
      <c r="HW74">
        <v>220</v>
      </c>
      <c r="HX74" s="43">
        <v>-1</v>
      </c>
      <c r="HY74" s="46"/>
      <c r="HZ74" s="47"/>
      <c r="IB74">
        <v>88</v>
      </c>
      <c r="IC74">
        <v>90</v>
      </c>
      <c r="ID74" s="43">
        <v>-2</v>
      </c>
      <c r="IE74" s="46"/>
      <c r="IH74">
        <v>21</v>
      </c>
      <c r="II74">
        <v>20</v>
      </c>
      <c r="IJ74" s="43">
        <v>1</v>
      </c>
      <c r="IK74" s="49"/>
      <c r="IL74">
        <v>199</v>
      </c>
      <c r="IM74">
        <v>200</v>
      </c>
      <c r="IN74">
        <v>249</v>
      </c>
      <c r="IO74">
        <v>250</v>
      </c>
      <c r="IP74" s="43">
        <v>-2</v>
      </c>
      <c r="IQ74" s="49"/>
      <c r="IR74">
        <v>148</v>
      </c>
      <c r="IS74">
        <v>150</v>
      </c>
      <c r="IV74" s="43">
        <v>-2</v>
      </c>
      <c r="IW74" s="49"/>
      <c r="IX74">
        <v>133</v>
      </c>
      <c r="IY74">
        <v>130</v>
      </c>
      <c r="IZ74">
        <v>118</v>
      </c>
      <c r="JA74">
        <v>120</v>
      </c>
      <c r="JB74" s="43">
        <v>1</v>
      </c>
      <c r="JC74" s="46"/>
      <c r="JD74">
        <v>41</v>
      </c>
      <c r="JE74">
        <v>40</v>
      </c>
      <c r="JF74" s="43">
        <v>1</v>
      </c>
      <c r="JG74" s="49"/>
      <c r="JH74">
        <v>149</v>
      </c>
      <c r="JI74">
        <v>150</v>
      </c>
      <c r="JJ74">
        <v>125</v>
      </c>
      <c r="JK74">
        <v>126</v>
      </c>
      <c r="JL74" s="43">
        <v>-2</v>
      </c>
      <c r="JM74" s="46"/>
      <c r="JN74" s="45">
        <v>197</v>
      </c>
      <c r="JO74" s="48">
        <v>200</v>
      </c>
      <c r="JP74" s="43">
        <v>-3</v>
      </c>
      <c r="JQ74" s="49"/>
      <c r="JT74">
        <v>129</v>
      </c>
      <c r="JU74">
        <v>130</v>
      </c>
      <c r="JV74" s="43">
        <v>-1</v>
      </c>
      <c r="JW74" s="49"/>
      <c r="JX74">
        <v>101</v>
      </c>
      <c r="JY74">
        <v>100</v>
      </c>
      <c r="JZ74">
        <v>102</v>
      </c>
      <c r="KA74">
        <v>100</v>
      </c>
      <c r="KB74" s="43">
        <v>3</v>
      </c>
      <c r="KC74" s="49"/>
      <c r="KF74">
        <v>60</v>
      </c>
      <c r="KG74">
        <v>60</v>
      </c>
      <c r="KH74" s="43">
        <v>0</v>
      </c>
      <c r="KI74" s="49"/>
      <c r="KJ74">
        <v>148</v>
      </c>
      <c r="KK74">
        <v>150</v>
      </c>
      <c r="KL74">
        <v>188</v>
      </c>
      <c r="KM74">
        <v>190</v>
      </c>
      <c r="KN74" s="43">
        <v>-4</v>
      </c>
      <c r="KO74" s="49"/>
      <c r="KP74" s="45">
        <v>30</v>
      </c>
      <c r="KQ74">
        <v>30</v>
      </c>
      <c r="KR74">
        <v>42</v>
      </c>
      <c r="KS74">
        <v>40</v>
      </c>
      <c r="KT74">
        <v>42</v>
      </c>
      <c r="KU74">
        <v>40</v>
      </c>
      <c r="KV74" s="43">
        <v>4</v>
      </c>
      <c r="KW74" s="49"/>
      <c r="KX74" s="48">
        <v>101.16500000000001</v>
      </c>
      <c r="KY74" s="48">
        <v>100</v>
      </c>
      <c r="KZ74" s="48">
        <v>151.715</v>
      </c>
      <c r="LA74" s="48">
        <v>150</v>
      </c>
      <c r="LB74" s="43">
        <v>2.879999999999995</v>
      </c>
      <c r="LC74" s="49"/>
      <c r="LD74" s="48">
        <v>0</v>
      </c>
      <c r="LE74" s="48">
        <v>0</v>
      </c>
      <c r="LF74" s="48">
        <v>0</v>
      </c>
      <c r="LG74" s="48">
        <v>0</v>
      </c>
      <c r="LH74" s="43">
        <v>0</v>
      </c>
      <c r="LI74" s="49"/>
      <c r="LJ74" s="50">
        <v>119.40600000000001</v>
      </c>
      <c r="LK74" s="48">
        <v>120</v>
      </c>
      <c r="LL74" s="43">
        <v>-0.59399999999999409</v>
      </c>
      <c r="LM74" s="49"/>
      <c r="LN74" s="50">
        <v>121.908</v>
      </c>
      <c r="LO74" s="48">
        <v>120</v>
      </c>
      <c r="LP74" s="48">
        <v>132.333</v>
      </c>
      <c r="LQ74" s="48">
        <v>0</v>
      </c>
      <c r="LR74" s="48">
        <v>130</v>
      </c>
      <c r="LS74" s="43">
        <v>4.2409999999999846</v>
      </c>
      <c r="LT74" s="49"/>
      <c r="LU74" s="50">
        <v>20.815000000000001</v>
      </c>
      <c r="LV74" s="48">
        <v>20</v>
      </c>
      <c r="LW74" s="48">
        <v>29.776</v>
      </c>
      <c r="LX74" s="48">
        <v>30</v>
      </c>
      <c r="LY74" s="43">
        <v>0.59100000000000108</v>
      </c>
      <c r="LZ74" s="49"/>
      <c r="MA74" s="50">
        <v>122.53700000000001</v>
      </c>
      <c r="MB74" s="48">
        <v>120</v>
      </c>
      <c r="MC74" s="43">
        <v>2.5370000000000061</v>
      </c>
      <c r="MD74" s="49"/>
      <c r="ME74" s="50">
        <v>142.62899999999999</v>
      </c>
      <c r="MF74" s="48">
        <v>140</v>
      </c>
      <c r="MG74" s="48">
        <v>302.31700000000001</v>
      </c>
      <c r="MH74" s="48">
        <v>300</v>
      </c>
      <c r="MI74" s="43">
        <v>4.9460000000000264</v>
      </c>
      <c r="MJ74" s="49"/>
      <c r="MK74" s="50">
        <v>59.725000000000001</v>
      </c>
      <c r="ML74" s="48">
        <v>60</v>
      </c>
      <c r="MM74" s="43">
        <v>-0.27499999999999858</v>
      </c>
      <c r="MN74" s="49"/>
      <c r="MO74" s="50">
        <v>72.388999999999996</v>
      </c>
      <c r="MP74" s="48">
        <v>70</v>
      </c>
      <c r="MQ74" s="48">
        <v>292.49299999999999</v>
      </c>
      <c r="MR74" s="48">
        <v>290</v>
      </c>
      <c r="MS74" s="43">
        <v>4.882000000000005</v>
      </c>
      <c r="MT74" s="49"/>
      <c r="MU74" s="48">
        <v>0</v>
      </c>
      <c r="MV74" s="46"/>
      <c r="MW74" s="48">
        <v>91.444000000000003</v>
      </c>
      <c r="MX74" s="48">
        <v>90</v>
      </c>
      <c r="MY74" s="43">
        <v>1.4440000000000031</v>
      </c>
      <c r="MZ74" s="49"/>
      <c r="NA74" s="50">
        <v>50.338999999999999</v>
      </c>
      <c r="NB74" s="48">
        <v>50</v>
      </c>
      <c r="NC74" s="48">
        <v>101.428</v>
      </c>
      <c r="ND74" s="48">
        <v>100</v>
      </c>
      <c r="NE74" s="43">
        <v>1.7669999999999959</v>
      </c>
      <c r="NF74" s="49"/>
      <c r="NG74" s="50">
        <v>0</v>
      </c>
      <c r="NH74" s="33">
        <v>30</v>
      </c>
      <c r="NI74" s="48">
        <v>72.173000000000002</v>
      </c>
      <c r="NJ74" s="48">
        <v>72</v>
      </c>
      <c r="NK74" s="42">
        <v>-29.827000000000002</v>
      </c>
      <c r="NL74" s="49">
        <v>29.827000000000002</v>
      </c>
      <c r="NM74" s="50">
        <v>81.272999999999996</v>
      </c>
      <c r="NN74" s="48">
        <v>80</v>
      </c>
      <c r="NO74" s="48">
        <v>62.179000000000002</v>
      </c>
      <c r="NP74" s="48">
        <v>120</v>
      </c>
      <c r="NQ74" s="42">
        <v>-56.548000000000002</v>
      </c>
      <c r="NR74" s="49">
        <v>56.548000000000002</v>
      </c>
      <c r="NS74" s="50">
        <v>0</v>
      </c>
      <c r="NT74" s="48">
        <v>0</v>
      </c>
      <c r="NU74" s="48">
        <v>151.22900000000001</v>
      </c>
      <c r="NV74" s="48">
        <v>150</v>
      </c>
      <c r="NW74" s="43">
        <v>1.229000000000013</v>
      </c>
      <c r="NX74" s="49"/>
      <c r="NY74" s="50">
        <v>0</v>
      </c>
      <c r="NZ74" s="48">
        <v>0</v>
      </c>
      <c r="OA74" s="48">
        <v>79.944999999999993</v>
      </c>
      <c r="OB74" s="48">
        <v>80</v>
      </c>
      <c r="OC74" s="43">
        <v>-5.5000000000006821E-2</v>
      </c>
      <c r="OD74" s="49"/>
      <c r="OE74" s="50">
        <v>50.7</v>
      </c>
      <c r="OF74" s="48">
        <v>50</v>
      </c>
      <c r="OG74" s="43">
        <v>0.70000000000000284</v>
      </c>
      <c r="OH74" s="49"/>
      <c r="OI74" s="50">
        <v>281.28500000000003</v>
      </c>
      <c r="OJ74" s="48">
        <v>281</v>
      </c>
      <c r="OK74" s="43">
        <v>0.28500000000002501</v>
      </c>
      <c r="OL74" s="49"/>
      <c r="OM74" s="50">
        <v>0</v>
      </c>
      <c r="ON74" s="48">
        <v>0</v>
      </c>
      <c r="OO74" s="48">
        <v>149.33699999999999</v>
      </c>
      <c r="OP74" s="48">
        <v>150</v>
      </c>
      <c r="OQ74" s="43">
        <v>-0.66300000000001091</v>
      </c>
      <c r="OR74" s="49"/>
      <c r="OS74" s="50">
        <v>41.936</v>
      </c>
      <c r="OT74" s="48">
        <v>40</v>
      </c>
      <c r="OU74" s="43">
        <v>1.9359999999999999</v>
      </c>
      <c r="OV74" s="49"/>
      <c r="OW74" s="50">
        <v>130.85499999999999</v>
      </c>
      <c r="OX74" s="48">
        <v>130</v>
      </c>
      <c r="OY74" s="48">
        <v>110.497</v>
      </c>
      <c r="OZ74" s="48">
        <v>110</v>
      </c>
      <c r="PA74" s="43">
        <v>1.351999999999975</v>
      </c>
      <c r="PB74" s="49"/>
      <c r="PC74" s="50">
        <v>0</v>
      </c>
      <c r="PD74" s="48">
        <v>0</v>
      </c>
      <c r="PE74" s="43">
        <v>0</v>
      </c>
      <c r="PF74" s="49"/>
      <c r="PG74" s="50">
        <v>0</v>
      </c>
      <c r="PH74" s="48">
        <v>0</v>
      </c>
      <c r="PI74" s="48">
        <v>0</v>
      </c>
      <c r="PJ74" s="48">
        <v>0</v>
      </c>
      <c r="PK74" s="43">
        <v>0</v>
      </c>
      <c r="PL74" s="49"/>
      <c r="PM74" s="47">
        <v>0</v>
      </c>
      <c r="PN74" s="48">
        <v>0</v>
      </c>
      <c r="PO74" s="48">
        <v>0</v>
      </c>
      <c r="PP74" s="48">
        <v>0</v>
      </c>
      <c r="PQ74" s="43">
        <v>0</v>
      </c>
      <c r="PR74" s="49"/>
      <c r="PS74" s="47">
        <v>132.52199999999999</v>
      </c>
      <c r="PT74" s="43">
        <v>130</v>
      </c>
      <c r="PU74" s="43">
        <v>101.83499999999999</v>
      </c>
      <c r="PV74" s="43">
        <v>100</v>
      </c>
      <c r="PW74" s="43">
        <v>4.3569999999999709</v>
      </c>
      <c r="PX74" s="46"/>
      <c r="PY74" s="47">
        <v>191.678</v>
      </c>
      <c r="PZ74" s="43">
        <v>190</v>
      </c>
      <c r="QA74" s="43">
        <v>1.677999999999997</v>
      </c>
      <c r="QB74" s="46"/>
      <c r="QC74" s="47">
        <v>51.127000000000002</v>
      </c>
      <c r="QD74" s="43">
        <v>50</v>
      </c>
      <c r="QE74" s="43">
        <v>51.298999999999999</v>
      </c>
      <c r="QF74" s="43">
        <v>50</v>
      </c>
      <c r="QG74" s="43">
        <v>2.4260000000000019</v>
      </c>
      <c r="QH74" s="46"/>
      <c r="QI74" s="47">
        <v>71.664000000000001</v>
      </c>
      <c r="QJ74" s="43">
        <v>70</v>
      </c>
      <c r="QK74" s="43">
        <v>80.296999999999997</v>
      </c>
      <c r="QL74" s="43">
        <v>80</v>
      </c>
      <c r="QM74" s="43">
        <v>1.961000000000013</v>
      </c>
      <c r="QN74" s="46"/>
      <c r="QO74" s="47">
        <v>48.773000000000003</v>
      </c>
      <c r="QP74" s="43">
        <v>48</v>
      </c>
      <c r="QQ74" s="43">
        <v>0</v>
      </c>
      <c r="QR74" s="43">
        <v>50</v>
      </c>
      <c r="QS74" s="42">
        <v>-49.226999999999997</v>
      </c>
      <c r="QT74" s="46">
        <v>49.226999999999997</v>
      </c>
      <c r="QU74" s="47">
        <v>0</v>
      </c>
      <c r="QV74" s="43">
        <v>0</v>
      </c>
      <c r="QW74" s="43">
        <v>0</v>
      </c>
      <c r="QX74" s="46"/>
      <c r="QY74" s="47">
        <v>0</v>
      </c>
      <c r="QZ74" s="43">
        <v>0</v>
      </c>
      <c r="RA74" s="43">
        <v>0</v>
      </c>
      <c r="RB74" s="43">
        <v>0</v>
      </c>
      <c r="RC74" s="43">
        <v>0</v>
      </c>
      <c r="RD74" s="46"/>
    </row>
    <row r="75" spans="1:472" x14ac:dyDescent="0.25">
      <c r="A75" s="43" t="s">
        <v>363</v>
      </c>
      <c r="B75" s="44">
        <v>0.1</v>
      </c>
      <c r="I75" s="47"/>
      <c r="J75" s="51"/>
      <c r="K75" s="51"/>
      <c r="L75" s="51"/>
      <c r="M75" s="51">
        <f t="shared" si="12"/>
        <v>0</v>
      </c>
      <c r="N75" s="46"/>
      <c r="O75" s="47"/>
      <c r="P75" s="51"/>
      <c r="Q75" s="51"/>
      <c r="R75" s="51"/>
      <c r="S75" s="51">
        <f t="shared" si="13"/>
        <v>0</v>
      </c>
      <c r="T75" s="46"/>
      <c r="U75" s="47"/>
      <c r="V75" s="51"/>
      <c r="W75" s="51"/>
      <c r="X75" s="51"/>
      <c r="Y75" s="51">
        <f t="shared" si="14"/>
        <v>0</v>
      </c>
      <c r="Z75" s="46"/>
      <c r="AA75" s="51"/>
      <c r="AE75" s="43">
        <v>0</v>
      </c>
      <c r="AF75" s="46"/>
      <c r="AG75" s="47"/>
      <c r="AK75" s="43">
        <v>0</v>
      </c>
      <c r="AL75" s="46"/>
      <c r="AQ75" s="43">
        <v>0</v>
      </c>
      <c r="AR75" s="46"/>
      <c r="AW75" s="43">
        <v>0</v>
      </c>
      <c r="AX75" s="46"/>
      <c r="AY75" s="47"/>
      <c r="BC75" s="43">
        <v>0</v>
      </c>
      <c r="BD75" s="46"/>
      <c r="BE75" s="47"/>
      <c r="BI75" s="43">
        <v>0</v>
      </c>
      <c r="BJ75" s="46"/>
      <c r="BP75" s="43">
        <v>0</v>
      </c>
      <c r="BQ75" s="46"/>
      <c r="BT75" s="43">
        <v>0</v>
      </c>
      <c r="BU75" s="46"/>
      <c r="BV75" s="47"/>
      <c r="BZ75" s="43">
        <v>0</v>
      </c>
      <c r="CA75" s="46"/>
      <c r="CF75" s="43">
        <v>0</v>
      </c>
      <c r="CG75" s="46"/>
      <c r="CL75" s="43">
        <v>0</v>
      </c>
      <c r="CM75" s="46"/>
      <c r="CN75" s="47"/>
      <c r="CR75" s="43">
        <v>0</v>
      </c>
      <c r="CS75" s="46"/>
      <c r="CX75" s="43">
        <v>0</v>
      </c>
      <c r="CY75" s="46"/>
      <c r="CZ75" s="47"/>
      <c r="DD75" s="43">
        <v>0</v>
      </c>
      <c r="DE75" s="46"/>
      <c r="DF75" s="47"/>
      <c r="DL75" s="43">
        <v>0</v>
      </c>
      <c r="DM75" s="46"/>
      <c r="DN75" s="47"/>
      <c r="DR75" s="43">
        <v>0</v>
      </c>
      <c r="DS75" s="46"/>
      <c r="DZ75" s="43">
        <v>0</v>
      </c>
      <c r="EA75" s="46"/>
      <c r="EB75" s="47"/>
      <c r="EF75" s="43">
        <v>0</v>
      </c>
      <c r="EG75" s="46"/>
      <c r="EH75" s="47"/>
      <c r="EL75" s="43">
        <v>0</v>
      </c>
      <c r="EM75" s="46"/>
      <c r="EN75" s="47"/>
      <c r="ER75" s="43">
        <v>0</v>
      </c>
      <c r="ES75" s="46"/>
      <c r="EZ75" s="43">
        <v>0</v>
      </c>
      <c r="FA75" s="46"/>
      <c r="FG75" s="43">
        <v>0</v>
      </c>
      <c r="FH75" s="46"/>
      <c r="FI75" s="47"/>
      <c r="FL75" s="43">
        <v>0</v>
      </c>
      <c r="FM75" s="46"/>
      <c r="FN75" s="47"/>
      <c r="FQ75" s="43">
        <v>0</v>
      </c>
      <c r="FR75" s="46"/>
      <c r="FW75" s="43">
        <v>0</v>
      </c>
      <c r="FX75" s="46"/>
      <c r="FY75" s="47"/>
      <c r="GD75" s="43">
        <v>0</v>
      </c>
      <c r="GE75" s="46"/>
      <c r="GJ75" s="43">
        <v>0</v>
      </c>
      <c r="GK75" s="46"/>
      <c r="GL75" s="47"/>
      <c r="GP75" s="43">
        <v>0</v>
      </c>
      <c r="GQ75" s="46"/>
      <c r="GV75" s="43">
        <v>0</v>
      </c>
      <c r="GW75" s="46"/>
      <c r="GX75" s="47"/>
      <c r="GZ75" s="43">
        <v>0</v>
      </c>
      <c r="HA75" s="46"/>
      <c r="HB75" s="47"/>
      <c r="HF75" s="43">
        <v>0</v>
      </c>
      <c r="HG75" s="46"/>
      <c r="HH75" s="47"/>
      <c r="HJ75" s="43">
        <v>0</v>
      </c>
      <c r="HK75" s="46"/>
      <c r="HL75" s="47"/>
      <c r="HP75" s="43">
        <v>0</v>
      </c>
      <c r="HQ75" s="46"/>
      <c r="HX75" s="43">
        <v>0</v>
      </c>
      <c r="HY75" s="46"/>
      <c r="HZ75" s="47"/>
      <c r="ID75" s="43">
        <v>0</v>
      </c>
      <c r="IE75" s="46"/>
      <c r="IJ75" s="43">
        <v>0</v>
      </c>
      <c r="IK75" s="49"/>
      <c r="IP75" s="43">
        <v>0</v>
      </c>
      <c r="IQ75" s="49"/>
      <c r="IV75" s="43">
        <v>0</v>
      </c>
      <c r="IW75" s="49"/>
      <c r="JB75" s="43">
        <v>0</v>
      </c>
      <c r="JC75" s="46"/>
      <c r="JF75" s="43">
        <v>0</v>
      </c>
      <c r="JG75" s="49"/>
      <c r="JL75" s="43">
        <v>0</v>
      </c>
      <c r="JM75" s="46"/>
      <c r="JN75" s="50"/>
      <c r="JP75" s="43">
        <v>0</v>
      </c>
      <c r="JQ75" s="49"/>
      <c r="JV75" s="43">
        <v>0</v>
      </c>
      <c r="JW75" s="49"/>
      <c r="KB75" s="43">
        <v>0</v>
      </c>
      <c r="KC75" s="49"/>
      <c r="KH75" s="43">
        <v>0</v>
      </c>
      <c r="KI75" s="49"/>
      <c r="KN75" s="43">
        <v>0</v>
      </c>
      <c r="KO75" s="49"/>
      <c r="KP75" s="50"/>
      <c r="KV75" s="43">
        <v>0</v>
      </c>
      <c r="KW75" s="49"/>
      <c r="KX75" s="48">
        <v>0</v>
      </c>
      <c r="KY75" s="48">
        <v>0</v>
      </c>
      <c r="KZ75" s="48">
        <v>0</v>
      </c>
      <c r="LA75" s="48">
        <v>0</v>
      </c>
      <c r="LB75" s="43">
        <v>0</v>
      </c>
      <c r="LC75" s="49"/>
      <c r="LD75" s="48">
        <v>0</v>
      </c>
      <c r="LE75" s="48">
        <v>0</v>
      </c>
      <c r="LF75" s="48">
        <v>0</v>
      </c>
      <c r="LG75" s="48">
        <v>0</v>
      </c>
      <c r="LH75" s="43">
        <v>0</v>
      </c>
      <c r="LI75" s="49"/>
      <c r="LJ75" s="50">
        <v>0</v>
      </c>
      <c r="LK75" s="48">
        <v>0</v>
      </c>
      <c r="LL75" s="43">
        <v>0</v>
      </c>
      <c r="LM75" s="49"/>
      <c r="LN75" s="50">
        <v>0</v>
      </c>
      <c r="LO75" s="48">
        <v>0</v>
      </c>
      <c r="LP75" s="48">
        <v>0</v>
      </c>
      <c r="LQ75" s="48">
        <v>0</v>
      </c>
      <c r="LR75" s="48">
        <v>0</v>
      </c>
      <c r="LS75" s="43">
        <v>0</v>
      </c>
      <c r="LT75" s="49"/>
      <c r="LU75" s="50">
        <v>0</v>
      </c>
      <c r="LV75" s="48">
        <v>0</v>
      </c>
      <c r="LW75" s="48">
        <v>0</v>
      </c>
      <c r="LX75" s="48">
        <v>0</v>
      </c>
      <c r="LY75" s="43">
        <v>0</v>
      </c>
      <c r="LZ75" s="49"/>
      <c r="MA75" s="50">
        <v>0</v>
      </c>
      <c r="MB75" s="48">
        <v>0</v>
      </c>
      <c r="MC75" s="43">
        <v>0</v>
      </c>
      <c r="MD75" s="49"/>
      <c r="ME75" s="50">
        <v>0</v>
      </c>
      <c r="MF75" s="48">
        <v>0</v>
      </c>
      <c r="MG75" s="48">
        <v>0</v>
      </c>
      <c r="MH75" s="48">
        <v>0</v>
      </c>
      <c r="MI75" s="43">
        <v>0</v>
      </c>
      <c r="MJ75" s="49"/>
      <c r="MK75" s="50">
        <v>0</v>
      </c>
      <c r="ML75" s="48">
        <v>0</v>
      </c>
      <c r="MM75" s="43">
        <v>0</v>
      </c>
      <c r="MN75" s="49"/>
      <c r="MO75" s="50">
        <v>0</v>
      </c>
      <c r="MP75" s="48">
        <v>0</v>
      </c>
      <c r="MQ75" s="48">
        <v>0</v>
      </c>
      <c r="MR75" s="48">
        <v>0</v>
      </c>
      <c r="MS75" s="43">
        <v>0</v>
      </c>
      <c r="MT75" s="49"/>
      <c r="MU75" s="48">
        <v>0</v>
      </c>
      <c r="MV75" s="46"/>
      <c r="MW75" s="48">
        <v>0</v>
      </c>
      <c r="MX75" s="48">
        <v>0</v>
      </c>
      <c r="MY75" s="43">
        <v>0</v>
      </c>
      <c r="MZ75" s="49"/>
      <c r="NA75" s="50">
        <v>0</v>
      </c>
      <c r="NB75" s="48">
        <v>0</v>
      </c>
      <c r="NC75" s="48">
        <v>0</v>
      </c>
      <c r="ND75" s="48">
        <v>0</v>
      </c>
      <c r="NE75" s="43">
        <v>0</v>
      </c>
      <c r="NF75" s="49"/>
      <c r="NG75" s="50">
        <v>0</v>
      </c>
      <c r="NH75" s="48">
        <v>0</v>
      </c>
      <c r="NI75" s="48">
        <v>0</v>
      </c>
      <c r="NJ75" s="48">
        <v>0</v>
      </c>
      <c r="NK75" s="43">
        <v>0</v>
      </c>
      <c r="NL75" s="49"/>
      <c r="NM75" s="50">
        <v>0</v>
      </c>
      <c r="NN75" s="48">
        <v>0</v>
      </c>
      <c r="NO75" s="48">
        <v>0</v>
      </c>
      <c r="NP75" s="48">
        <v>0</v>
      </c>
      <c r="NQ75" s="43">
        <v>0</v>
      </c>
      <c r="NR75" s="49"/>
      <c r="NS75" s="50">
        <v>0</v>
      </c>
      <c r="NT75" s="48">
        <v>0</v>
      </c>
      <c r="NU75" s="48">
        <v>0</v>
      </c>
      <c r="NV75" s="48">
        <v>0</v>
      </c>
      <c r="NW75" s="43">
        <v>0</v>
      </c>
      <c r="NX75" s="49"/>
      <c r="NY75" s="50">
        <v>0</v>
      </c>
      <c r="NZ75" s="48">
        <v>0</v>
      </c>
      <c r="OA75" s="48">
        <v>0</v>
      </c>
      <c r="OB75" s="48">
        <v>0</v>
      </c>
      <c r="OC75" s="43">
        <v>0</v>
      </c>
      <c r="OD75" s="49"/>
      <c r="OE75" s="50">
        <v>0</v>
      </c>
      <c r="OF75" s="48">
        <v>0</v>
      </c>
      <c r="OG75" s="43">
        <v>0</v>
      </c>
      <c r="OH75" s="49"/>
      <c r="OI75" s="50">
        <v>0</v>
      </c>
      <c r="OJ75" s="48">
        <v>0</v>
      </c>
      <c r="OK75" s="43">
        <v>0</v>
      </c>
      <c r="OL75" s="49"/>
      <c r="OM75" s="50">
        <v>0</v>
      </c>
      <c r="ON75" s="48">
        <v>0</v>
      </c>
      <c r="OO75" s="48">
        <v>0</v>
      </c>
      <c r="OP75" s="48">
        <v>0</v>
      </c>
      <c r="OQ75" s="43">
        <v>0</v>
      </c>
      <c r="OR75" s="49"/>
      <c r="OS75" s="50">
        <v>0</v>
      </c>
      <c r="OT75" s="48">
        <v>0</v>
      </c>
      <c r="OU75" s="43">
        <v>0</v>
      </c>
      <c r="OV75" s="49"/>
      <c r="OW75" s="50">
        <v>0</v>
      </c>
      <c r="OX75" s="48">
        <v>0</v>
      </c>
      <c r="OY75" s="48">
        <v>0</v>
      </c>
      <c r="OZ75" s="48">
        <v>0</v>
      </c>
      <c r="PA75" s="43">
        <v>0</v>
      </c>
      <c r="PB75" s="49"/>
      <c r="PC75" s="50">
        <v>0</v>
      </c>
      <c r="PD75" s="48">
        <v>0</v>
      </c>
      <c r="PE75" s="43">
        <v>0</v>
      </c>
      <c r="PF75" s="49"/>
      <c r="PG75" s="50">
        <v>0</v>
      </c>
      <c r="PH75" s="48">
        <v>0</v>
      </c>
      <c r="PI75" s="48">
        <v>30</v>
      </c>
      <c r="PJ75" s="48">
        <v>30</v>
      </c>
      <c r="PK75" s="43">
        <v>0</v>
      </c>
      <c r="PL75" s="49"/>
      <c r="PM75" s="47">
        <v>0</v>
      </c>
      <c r="PN75" s="48">
        <v>0</v>
      </c>
      <c r="PO75" s="48">
        <v>50</v>
      </c>
      <c r="PP75" s="48">
        <v>54</v>
      </c>
      <c r="PQ75" s="43">
        <v>-4</v>
      </c>
      <c r="PR75" s="49"/>
      <c r="PS75" s="47">
        <v>60</v>
      </c>
      <c r="PT75" s="43">
        <v>62</v>
      </c>
      <c r="PU75" s="43">
        <v>0</v>
      </c>
      <c r="PV75" s="43">
        <v>0</v>
      </c>
      <c r="PW75" s="43">
        <v>-2</v>
      </c>
      <c r="PX75" s="46"/>
      <c r="PY75" s="47">
        <v>0</v>
      </c>
      <c r="PZ75" s="43">
        <v>0</v>
      </c>
      <c r="QA75" s="43">
        <v>0</v>
      </c>
      <c r="QB75" s="46"/>
      <c r="QC75" s="47">
        <v>0</v>
      </c>
      <c r="QD75" s="43">
        <v>0</v>
      </c>
      <c r="QE75" s="43">
        <v>0</v>
      </c>
      <c r="QF75" s="43">
        <v>0</v>
      </c>
      <c r="QG75" s="43">
        <v>0</v>
      </c>
      <c r="QH75" s="46"/>
      <c r="QI75" s="47">
        <v>70</v>
      </c>
      <c r="QJ75" s="43">
        <v>70</v>
      </c>
      <c r="QK75" s="43">
        <v>0</v>
      </c>
      <c r="QL75" s="43">
        <v>0</v>
      </c>
      <c r="QM75" s="43">
        <v>0</v>
      </c>
      <c r="QN75" s="46"/>
      <c r="QO75" s="47">
        <v>0</v>
      </c>
      <c r="QP75" s="43">
        <v>0</v>
      </c>
      <c r="QQ75" s="43">
        <v>60</v>
      </c>
      <c r="QR75" s="43">
        <v>0</v>
      </c>
      <c r="QS75" s="43">
        <v>60</v>
      </c>
      <c r="QT75" s="46"/>
      <c r="QU75" s="47">
        <v>60</v>
      </c>
      <c r="QV75" s="43">
        <v>60</v>
      </c>
      <c r="QW75" s="43">
        <v>0</v>
      </c>
      <c r="QX75" s="46"/>
      <c r="QY75" s="47">
        <v>0</v>
      </c>
      <c r="QZ75" s="43">
        <v>0</v>
      </c>
      <c r="RA75" s="43">
        <v>90</v>
      </c>
      <c r="RB75" s="43">
        <v>92</v>
      </c>
      <c r="RC75" s="43">
        <v>-2</v>
      </c>
      <c r="RD75" s="46"/>
    </row>
    <row r="76" spans="1:472" x14ac:dyDescent="0.25">
      <c r="A76" s="43" t="s">
        <v>364</v>
      </c>
      <c r="B76" s="44">
        <v>1</v>
      </c>
      <c r="I76" s="47"/>
      <c r="J76" s="51"/>
      <c r="K76" s="51"/>
      <c r="L76" s="51"/>
      <c r="M76" s="51">
        <f t="shared" si="12"/>
        <v>0</v>
      </c>
      <c r="N76" s="46"/>
      <c r="O76" s="47"/>
      <c r="P76" s="51"/>
      <c r="Q76" s="51"/>
      <c r="R76" s="51"/>
      <c r="S76" s="51">
        <f t="shared" si="13"/>
        <v>0</v>
      </c>
      <c r="T76" s="46"/>
      <c r="U76" s="47"/>
      <c r="V76" s="51"/>
      <c r="W76" s="51"/>
      <c r="X76" s="51"/>
      <c r="Y76" s="51">
        <f t="shared" si="14"/>
        <v>0</v>
      </c>
      <c r="Z76" s="46"/>
      <c r="AA76" s="51"/>
      <c r="AE76" s="43">
        <v>0</v>
      </c>
      <c r="AF76" s="46"/>
      <c r="AG76" s="47"/>
      <c r="AK76" s="43">
        <v>0</v>
      </c>
      <c r="AL76" s="46"/>
      <c r="AQ76" s="43">
        <v>0</v>
      </c>
      <c r="AR76" s="46"/>
      <c r="AW76" s="43">
        <v>0</v>
      </c>
      <c r="AX76" s="46"/>
      <c r="AY76" s="47"/>
      <c r="BC76" s="43">
        <v>0</v>
      </c>
      <c r="BD76" s="46"/>
      <c r="BE76" s="47"/>
      <c r="BI76" s="43">
        <v>0</v>
      </c>
      <c r="BJ76" s="46"/>
      <c r="BP76" s="43">
        <v>0</v>
      </c>
      <c r="BQ76" s="46"/>
      <c r="BT76" s="43">
        <v>0</v>
      </c>
      <c r="BU76" s="46"/>
      <c r="BV76" s="47"/>
      <c r="BZ76" s="43">
        <v>0</v>
      </c>
      <c r="CA76" s="46"/>
      <c r="CF76" s="43">
        <v>0</v>
      </c>
      <c r="CG76" s="46"/>
      <c r="CL76" s="43">
        <v>0</v>
      </c>
      <c r="CM76" s="46"/>
      <c r="CN76" s="47"/>
      <c r="CR76" s="43">
        <v>0</v>
      </c>
      <c r="CS76" s="46"/>
      <c r="CX76" s="43">
        <v>0</v>
      </c>
      <c r="CY76" s="46"/>
      <c r="CZ76" s="47"/>
      <c r="DD76" s="43">
        <v>0</v>
      </c>
      <c r="DE76" s="46"/>
      <c r="DF76" s="47"/>
      <c r="DL76" s="43">
        <v>0</v>
      </c>
      <c r="DM76" s="46"/>
      <c r="DN76" s="47"/>
      <c r="DR76" s="43">
        <v>0</v>
      </c>
      <c r="DS76" s="46"/>
      <c r="DZ76" s="43">
        <v>0</v>
      </c>
      <c r="EA76" s="46"/>
      <c r="EB76" s="47"/>
      <c r="EF76" s="43">
        <v>0</v>
      </c>
      <c r="EG76" s="46"/>
      <c r="EH76" s="47"/>
      <c r="EL76" s="43">
        <v>0</v>
      </c>
      <c r="EM76" s="46"/>
      <c r="EN76" s="47"/>
      <c r="ER76" s="43">
        <v>0</v>
      </c>
      <c r="ES76" s="46"/>
      <c r="EZ76" s="43">
        <v>0</v>
      </c>
      <c r="FA76" s="46"/>
      <c r="FG76" s="43">
        <v>0</v>
      </c>
      <c r="FH76" s="46"/>
      <c r="FI76" s="47"/>
      <c r="FL76" s="43">
        <v>0</v>
      </c>
      <c r="FM76" s="46"/>
      <c r="FN76" s="47"/>
      <c r="FQ76" s="43">
        <v>0</v>
      </c>
      <c r="FR76" s="46"/>
      <c r="FW76" s="43">
        <v>0</v>
      </c>
      <c r="FX76" s="46"/>
      <c r="FY76" s="47"/>
      <c r="GD76" s="43">
        <v>0</v>
      </c>
      <c r="GE76" s="46"/>
      <c r="GJ76" s="43">
        <v>0</v>
      </c>
      <c r="GK76" s="46"/>
      <c r="GL76" s="47"/>
      <c r="GP76" s="43">
        <v>0</v>
      </c>
      <c r="GQ76" s="46"/>
      <c r="GV76" s="43">
        <v>0</v>
      </c>
      <c r="GW76" s="46"/>
      <c r="GX76" s="47"/>
      <c r="GZ76" s="43">
        <v>0</v>
      </c>
      <c r="HA76" s="46"/>
      <c r="HB76" s="47"/>
      <c r="HF76" s="43">
        <v>0</v>
      </c>
      <c r="HG76" s="46"/>
      <c r="HH76" s="47"/>
      <c r="HJ76" s="43">
        <v>0</v>
      </c>
      <c r="HK76" s="46"/>
      <c r="HL76" s="47"/>
      <c r="HP76" s="43">
        <v>0</v>
      </c>
      <c r="HQ76" s="46"/>
      <c r="HX76" s="43">
        <v>0</v>
      </c>
      <c r="HY76" s="46"/>
      <c r="HZ76" s="47"/>
      <c r="ID76" s="43">
        <v>0</v>
      </c>
      <c r="IE76" s="46"/>
      <c r="IJ76" s="43">
        <v>0</v>
      </c>
      <c r="IK76" s="49"/>
      <c r="IP76" s="43">
        <v>0</v>
      </c>
      <c r="IQ76" s="49"/>
      <c r="IV76" s="43">
        <v>0</v>
      </c>
      <c r="IW76" s="49"/>
      <c r="JB76" s="43">
        <v>0</v>
      </c>
      <c r="JC76" s="46"/>
      <c r="JF76" s="43">
        <v>0</v>
      </c>
      <c r="JG76" s="49"/>
      <c r="JL76" s="43">
        <v>0</v>
      </c>
      <c r="JM76" s="46"/>
      <c r="JN76" s="50"/>
      <c r="JP76" s="43">
        <v>0</v>
      </c>
      <c r="JQ76" s="49"/>
      <c r="JV76" s="43">
        <v>0</v>
      </c>
      <c r="JW76" s="49"/>
      <c r="KB76" s="43">
        <v>0</v>
      </c>
      <c r="KC76" s="49"/>
      <c r="KH76" s="43">
        <v>0</v>
      </c>
      <c r="KI76" s="49"/>
      <c r="KN76" s="43">
        <v>0</v>
      </c>
      <c r="KO76" s="49"/>
      <c r="KP76" s="50"/>
      <c r="KV76" s="43">
        <v>0</v>
      </c>
      <c r="KW76" s="49"/>
      <c r="KX76" s="48">
        <v>0</v>
      </c>
      <c r="KY76" s="48">
        <v>0</v>
      </c>
      <c r="KZ76" s="48">
        <v>0</v>
      </c>
      <c r="LA76" s="48">
        <v>0</v>
      </c>
      <c r="LB76" s="43">
        <v>0</v>
      </c>
      <c r="LC76" s="49"/>
      <c r="LD76" s="48">
        <v>0</v>
      </c>
      <c r="LE76" s="48">
        <v>0</v>
      </c>
      <c r="LF76" s="48">
        <v>0</v>
      </c>
      <c r="LG76" s="48">
        <v>0</v>
      </c>
      <c r="LH76" s="43">
        <v>0</v>
      </c>
      <c r="LI76" s="49"/>
      <c r="LJ76" s="50">
        <v>0</v>
      </c>
      <c r="LK76" s="48">
        <v>0</v>
      </c>
      <c r="LL76" s="43">
        <v>0</v>
      </c>
      <c r="LM76" s="49"/>
      <c r="LN76" s="50">
        <v>0</v>
      </c>
      <c r="LO76" s="48">
        <v>0</v>
      </c>
      <c r="LP76" s="48">
        <v>0</v>
      </c>
      <c r="LQ76" s="48">
        <v>0</v>
      </c>
      <c r="LR76" s="48">
        <v>0</v>
      </c>
      <c r="LS76" s="43">
        <v>0</v>
      </c>
      <c r="LT76" s="49"/>
      <c r="LU76" s="50">
        <v>0</v>
      </c>
      <c r="LV76" s="48">
        <v>0</v>
      </c>
      <c r="LW76" s="48">
        <v>0</v>
      </c>
      <c r="LX76" s="48">
        <v>0</v>
      </c>
      <c r="LY76" s="43">
        <v>0</v>
      </c>
      <c r="LZ76" s="49"/>
      <c r="MA76" s="50">
        <v>0</v>
      </c>
      <c r="MB76" s="48">
        <v>0</v>
      </c>
      <c r="MC76" s="43">
        <v>0</v>
      </c>
      <c r="MD76" s="49"/>
      <c r="ME76" s="50">
        <v>0</v>
      </c>
      <c r="MF76" s="48">
        <v>0</v>
      </c>
      <c r="MG76" s="48">
        <v>0</v>
      </c>
      <c r="MH76" s="48">
        <v>0</v>
      </c>
      <c r="MI76" s="43">
        <v>0</v>
      </c>
      <c r="MJ76" s="49"/>
      <c r="MK76" s="50">
        <v>0</v>
      </c>
      <c r="ML76" s="48">
        <v>0</v>
      </c>
      <c r="MM76" s="43">
        <v>0</v>
      </c>
      <c r="MN76" s="49"/>
      <c r="MO76" s="50">
        <v>0</v>
      </c>
      <c r="MP76" s="48">
        <v>0</v>
      </c>
      <c r="MQ76" s="48">
        <v>0</v>
      </c>
      <c r="MR76" s="48">
        <v>0</v>
      </c>
      <c r="MS76" s="43">
        <v>0</v>
      </c>
      <c r="MT76" s="49"/>
      <c r="MU76" s="48">
        <v>0</v>
      </c>
      <c r="MV76" s="46"/>
      <c r="MW76" s="48">
        <v>0</v>
      </c>
      <c r="MX76" s="48">
        <v>0</v>
      </c>
      <c r="MY76" s="43">
        <v>0</v>
      </c>
      <c r="MZ76" s="49"/>
      <c r="NA76" s="50">
        <v>0</v>
      </c>
      <c r="NB76" s="48">
        <v>0</v>
      </c>
      <c r="NC76" s="48">
        <v>0</v>
      </c>
      <c r="ND76" s="48">
        <v>0</v>
      </c>
      <c r="NE76" s="43">
        <v>0</v>
      </c>
      <c r="NF76" s="49"/>
      <c r="NG76" s="50">
        <v>0</v>
      </c>
      <c r="NH76" s="48">
        <v>0</v>
      </c>
      <c r="NI76" s="48">
        <v>0</v>
      </c>
      <c r="NJ76" s="48">
        <v>0</v>
      </c>
      <c r="NK76" s="43">
        <v>0</v>
      </c>
      <c r="NL76" s="49"/>
      <c r="NM76" s="50">
        <v>0</v>
      </c>
      <c r="NN76" s="48">
        <v>0</v>
      </c>
      <c r="NO76" s="48">
        <v>0</v>
      </c>
      <c r="NP76" s="48">
        <v>0</v>
      </c>
      <c r="NQ76" s="43">
        <v>0</v>
      </c>
      <c r="NR76" s="49"/>
      <c r="NS76" s="50">
        <v>0</v>
      </c>
      <c r="NT76" s="48">
        <v>0</v>
      </c>
      <c r="NU76" s="48">
        <v>0</v>
      </c>
      <c r="NV76" s="48">
        <v>0</v>
      </c>
      <c r="NW76" s="43">
        <v>0</v>
      </c>
      <c r="NX76" s="49"/>
      <c r="NY76" s="50">
        <v>0</v>
      </c>
      <c r="NZ76" s="48">
        <v>0</v>
      </c>
      <c r="OA76" s="48">
        <v>0</v>
      </c>
      <c r="OB76" s="48">
        <v>0</v>
      </c>
      <c r="OC76" s="43">
        <v>0</v>
      </c>
      <c r="OD76" s="49"/>
      <c r="OE76" s="50">
        <v>0</v>
      </c>
      <c r="OF76" s="48">
        <v>0</v>
      </c>
      <c r="OG76" s="43">
        <v>0</v>
      </c>
      <c r="OH76" s="49"/>
      <c r="OI76" s="50">
        <v>0</v>
      </c>
      <c r="OJ76" s="48">
        <v>0</v>
      </c>
      <c r="OK76" s="43">
        <v>0</v>
      </c>
      <c r="OL76" s="49"/>
      <c r="OM76" s="50">
        <v>0</v>
      </c>
      <c r="ON76" s="48">
        <v>0</v>
      </c>
      <c r="OO76" s="48">
        <v>0</v>
      </c>
      <c r="OP76" s="48">
        <v>0</v>
      </c>
      <c r="OQ76" s="43">
        <v>0</v>
      </c>
      <c r="OR76" s="49"/>
      <c r="OS76" s="50">
        <v>0</v>
      </c>
      <c r="OT76" s="48">
        <v>0</v>
      </c>
      <c r="OU76" s="43">
        <v>0</v>
      </c>
      <c r="OV76" s="49"/>
      <c r="OW76" s="50">
        <v>0</v>
      </c>
      <c r="OX76" s="48">
        <v>0</v>
      </c>
      <c r="OY76" s="48">
        <v>0</v>
      </c>
      <c r="OZ76" s="48">
        <v>0</v>
      </c>
      <c r="PA76" s="43">
        <v>0</v>
      </c>
      <c r="PB76" s="49"/>
      <c r="PC76" s="50">
        <v>0</v>
      </c>
      <c r="PD76" s="48">
        <v>0</v>
      </c>
      <c r="PE76" s="43">
        <v>0</v>
      </c>
      <c r="PF76" s="49"/>
      <c r="PG76" s="50">
        <v>0</v>
      </c>
      <c r="PH76" s="48">
        <v>0</v>
      </c>
      <c r="PI76" s="48">
        <v>0</v>
      </c>
      <c r="PJ76" s="48">
        <v>0</v>
      </c>
      <c r="PK76" s="43">
        <v>0</v>
      </c>
      <c r="PL76" s="49"/>
      <c r="PM76" s="47">
        <v>0</v>
      </c>
      <c r="PN76" s="48">
        <v>0</v>
      </c>
      <c r="PO76" s="48">
        <v>0</v>
      </c>
      <c r="PP76" s="48">
        <v>0</v>
      </c>
      <c r="PQ76" s="43">
        <v>0</v>
      </c>
      <c r="PR76" s="49"/>
      <c r="PS76" s="47">
        <v>0</v>
      </c>
      <c r="PT76" s="43">
        <v>0</v>
      </c>
      <c r="PU76" s="43">
        <v>0</v>
      </c>
      <c r="PV76" s="43">
        <v>0</v>
      </c>
      <c r="PW76" s="43">
        <v>0</v>
      </c>
      <c r="PX76" s="46"/>
      <c r="PY76" s="47">
        <v>0</v>
      </c>
      <c r="PZ76" s="43">
        <v>0</v>
      </c>
      <c r="QA76" s="43">
        <v>0</v>
      </c>
      <c r="QB76" s="46"/>
      <c r="QC76" s="47">
        <v>0</v>
      </c>
      <c r="QD76" s="43">
        <v>0</v>
      </c>
      <c r="QE76" s="43">
        <v>0</v>
      </c>
      <c r="QF76" s="43">
        <v>0</v>
      </c>
      <c r="QG76" s="43">
        <v>0</v>
      </c>
      <c r="QH76" s="46"/>
      <c r="QI76" s="47">
        <v>38.463000000000001</v>
      </c>
      <c r="QJ76" s="43">
        <v>35</v>
      </c>
      <c r="QK76" s="43">
        <v>0</v>
      </c>
      <c r="QL76" s="43">
        <v>0</v>
      </c>
      <c r="QM76" s="43">
        <v>3.463000000000001</v>
      </c>
      <c r="QN76" s="46"/>
      <c r="QO76" s="47">
        <v>0</v>
      </c>
      <c r="QP76" s="43">
        <v>0</v>
      </c>
      <c r="QQ76" s="43">
        <v>0</v>
      </c>
      <c r="QR76" s="43">
        <v>0</v>
      </c>
      <c r="QS76" s="43">
        <v>0</v>
      </c>
      <c r="QT76" s="46"/>
      <c r="QU76" s="47">
        <v>275.10399999999998</v>
      </c>
      <c r="QV76" s="43">
        <v>280</v>
      </c>
      <c r="QW76" s="43">
        <v>-4.896000000000015</v>
      </c>
      <c r="QX76" s="46"/>
      <c r="QY76" s="47">
        <v>0</v>
      </c>
      <c r="QZ76" s="43">
        <v>0</v>
      </c>
      <c r="RA76" s="43">
        <v>81.358000000000004</v>
      </c>
      <c r="RB76" s="43">
        <v>82</v>
      </c>
      <c r="RC76" s="43">
        <v>-0.64199999999999591</v>
      </c>
      <c r="RD76" s="46"/>
    </row>
    <row r="77" spans="1:472" x14ac:dyDescent="0.25">
      <c r="A77" s="43" t="s">
        <v>365</v>
      </c>
      <c r="B77" s="44">
        <v>0.09</v>
      </c>
      <c r="I77" s="47"/>
      <c r="J77" s="51"/>
      <c r="K77" s="51"/>
      <c r="L77" s="51"/>
      <c r="M77" s="51">
        <f t="shared" si="12"/>
        <v>0</v>
      </c>
      <c r="N77" s="46"/>
      <c r="O77" s="47"/>
      <c r="P77" s="51"/>
      <c r="Q77" s="51"/>
      <c r="R77" s="51"/>
      <c r="S77" s="51">
        <f t="shared" si="13"/>
        <v>0</v>
      </c>
      <c r="T77" s="46"/>
      <c r="U77" s="47"/>
      <c r="V77" s="51"/>
      <c r="W77" s="51"/>
      <c r="X77" s="51"/>
      <c r="Y77" s="51">
        <f t="shared" si="14"/>
        <v>0</v>
      </c>
      <c r="Z77" s="46"/>
      <c r="AA77" s="51"/>
      <c r="AE77" s="43">
        <v>0</v>
      </c>
      <c r="AF77" s="46"/>
      <c r="AG77" s="47"/>
      <c r="AK77" s="43">
        <v>0</v>
      </c>
      <c r="AL77" s="46"/>
      <c r="AN77">
        <v>10</v>
      </c>
      <c r="AQ77" s="42">
        <v>-10</v>
      </c>
      <c r="AR77" s="46">
        <v>0.89999999999999991</v>
      </c>
      <c r="AT77">
        <v>10</v>
      </c>
      <c r="AW77" s="42">
        <v>-10</v>
      </c>
      <c r="AX77" s="46">
        <v>0.89999999999999991</v>
      </c>
      <c r="AY77" s="47"/>
      <c r="BB77">
        <v>10</v>
      </c>
      <c r="BC77" s="42">
        <v>-10</v>
      </c>
      <c r="BD77" s="46">
        <v>0.89999999999999991</v>
      </c>
      <c r="BE77" s="47"/>
      <c r="BH77">
        <v>10</v>
      </c>
      <c r="BI77" s="42">
        <v>-10</v>
      </c>
      <c r="BJ77" s="46">
        <v>0.89999999999999991</v>
      </c>
      <c r="BO77">
        <v>20</v>
      </c>
      <c r="BP77" s="42">
        <v>-20</v>
      </c>
      <c r="BQ77" s="46">
        <v>1.8</v>
      </c>
      <c r="BT77" s="43">
        <v>0</v>
      </c>
      <c r="BU77" s="46"/>
      <c r="BV77" s="47"/>
      <c r="BY77">
        <v>20</v>
      </c>
      <c r="BZ77" s="42">
        <v>-20</v>
      </c>
      <c r="CA77" s="46">
        <v>1.8</v>
      </c>
      <c r="CE77">
        <v>14</v>
      </c>
      <c r="CF77" s="42">
        <v>-14</v>
      </c>
      <c r="CG77" s="46">
        <v>1.26</v>
      </c>
      <c r="CL77" s="43">
        <v>0</v>
      </c>
      <c r="CM77" s="46"/>
      <c r="CN77" s="47"/>
      <c r="CP77">
        <v>10</v>
      </c>
      <c r="CQ77">
        <v>6</v>
      </c>
      <c r="CR77" s="43">
        <v>4</v>
      </c>
      <c r="CS77" s="46"/>
      <c r="CV77">
        <v>20</v>
      </c>
      <c r="CW77">
        <v>20</v>
      </c>
      <c r="CX77" s="43">
        <v>0</v>
      </c>
      <c r="CY77" s="46"/>
      <c r="CZ77" s="47"/>
      <c r="DD77" s="43">
        <v>0</v>
      </c>
      <c r="DE77" s="46"/>
      <c r="DF77" s="47"/>
      <c r="DL77" s="43">
        <v>0</v>
      </c>
      <c r="DM77" s="46"/>
      <c r="DN77" s="47"/>
      <c r="DR77" s="43">
        <v>0</v>
      </c>
      <c r="DS77" s="46"/>
      <c r="DV77">
        <v>60</v>
      </c>
      <c r="DW77">
        <v>60</v>
      </c>
      <c r="DZ77" s="43">
        <v>0</v>
      </c>
      <c r="EA77" s="46"/>
      <c r="EB77" s="47"/>
      <c r="EF77" s="43">
        <v>0</v>
      </c>
      <c r="EG77" s="46"/>
      <c r="EH77" s="47"/>
      <c r="EJ77">
        <v>30</v>
      </c>
      <c r="EK77">
        <v>36</v>
      </c>
      <c r="EL77" s="43">
        <v>-6</v>
      </c>
      <c r="EM77" s="46"/>
      <c r="EN77" s="47"/>
      <c r="ER77" s="43">
        <v>0</v>
      </c>
      <c r="ES77" s="46"/>
      <c r="EV77">
        <v>10</v>
      </c>
      <c r="EW77">
        <v>8</v>
      </c>
      <c r="EZ77" s="43">
        <v>2</v>
      </c>
      <c r="FA77" s="46"/>
      <c r="FD77">
        <v>50</v>
      </c>
      <c r="FF77">
        <v>50</v>
      </c>
      <c r="FG77" s="43">
        <v>0</v>
      </c>
      <c r="FH77" s="46"/>
      <c r="FI77" s="47"/>
      <c r="FL77" s="43">
        <v>0</v>
      </c>
      <c r="FM77" s="46"/>
      <c r="FN77" s="47"/>
      <c r="FQ77" s="43">
        <v>0</v>
      </c>
      <c r="FR77" s="46"/>
      <c r="FS77">
        <v>50</v>
      </c>
      <c r="FV77">
        <v>50</v>
      </c>
      <c r="FW77" s="43">
        <v>0</v>
      </c>
      <c r="FX77" s="46"/>
      <c r="FY77" s="47"/>
      <c r="GD77" s="43">
        <v>0</v>
      </c>
      <c r="GE77" s="46"/>
      <c r="GH77">
        <v>30</v>
      </c>
      <c r="GI77">
        <v>30</v>
      </c>
      <c r="GJ77" s="43">
        <v>0</v>
      </c>
      <c r="GK77" s="46"/>
      <c r="GL77" s="47"/>
      <c r="GP77" s="43">
        <v>0</v>
      </c>
      <c r="GQ77" s="46"/>
      <c r="GT77">
        <v>10</v>
      </c>
      <c r="GU77">
        <v>10</v>
      </c>
      <c r="GV77" s="43">
        <v>0</v>
      </c>
      <c r="GW77" s="46"/>
      <c r="GX77" s="45">
        <v>20</v>
      </c>
      <c r="GY77" s="48">
        <v>27</v>
      </c>
      <c r="GZ77" s="43">
        <v>-7</v>
      </c>
      <c r="HA77" s="46"/>
      <c r="HB77" s="47"/>
      <c r="HF77" s="43">
        <v>0</v>
      </c>
      <c r="HG77" s="46"/>
      <c r="HH77" s="45">
        <v>40</v>
      </c>
      <c r="HI77">
        <v>40</v>
      </c>
      <c r="HJ77" s="43">
        <v>0</v>
      </c>
      <c r="HK77" s="46"/>
      <c r="HL77" s="47"/>
      <c r="HP77" s="43">
        <v>0</v>
      </c>
      <c r="HQ77" s="46"/>
      <c r="HW77">
        <v>40</v>
      </c>
      <c r="HX77" s="42">
        <v>-40</v>
      </c>
      <c r="HY77" s="46">
        <v>3.6</v>
      </c>
      <c r="HZ77" s="47"/>
      <c r="ID77" s="43">
        <v>0</v>
      </c>
      <c r="IE77" s="46"/>
      <c r="IH77">
        <v>30</v>
      </c>
      <c r="II77">
        <v>31</v>
      </c>
      <c r="IJ77" s="43">
        <v>-1</v>
      </c>
      <c r="IK77" s="49"/>
      <c r="IP77" s="43">
        <v>0</v>
      </c>
      <c r="IQ77" s="49"/>
      <c r="IT77">
        <v>20</v>
      </c>
      <c r="IU77">
        <v>20</v>
      </c>
      <c r="IV77" s="43">
        <v>0</v>
      </c>
      <c r="IW77" s="49"/>
      <c r="JA77">
        <v>10</v>
      </c>
      <c r="JB77" s="42">
        <v>-10</v>
      </c>
      <c r="JC77" s="46">
        <v>0.89999999999999991</v>
      </c>
      <c r="JD77">
        <v>10</v>
      </c>
      <c r="JE77">
        <v>10</v>
      </c>
      <c r="JF77" s="43">
        <v>0</v>
      </c>
      <c r="JG77" s="49"/>
      <c r="JL77" s="43">
        <v>0</v>
      </c>
      <c r="JM77" s="46"/>
      <c r="JN77" s="50"/>
      <c r="JP77" s="43">
        <v>0</v>
      </c>
      <c r="JQ77" s="49"/>
      <c r="JT77">
        <v>40</v>
      </c>
      <c r="JU77">
        <v>40</v>
      </c>
      <c r="JV77" s="43">
        <v>0</v>
      </c>
      <c r="JW77" s="49"/>
      <c r="KB77" s="43">
        <v>0</v>
      </c>
      <c r="KC77" s="49"/>
      <c r="KF77">
        <v>10</v>
      </c>
      <c r="KG77">
        <v>10</v>
      </c>
      <c r="KH77" s="43">
        <v>0</v>
      </c>
      <c r="KI77" s="49"/>
      <c r="KM77">
        <v>7</v>
      </c>
      <c r="KN77" s="42">
        <v>-7</v>
      </c>
      <c r="KO77" s="49">
        <v>0.63</v>
      </c>
      <c r="KP77" s="50"/>
      <c r="KV77" s="43">
        <v>0</v>
      </c>
      <c r="KW77" s="49"/>
      <c r="KX77" s="48">
        <v>0</v>
      </c>
      <c r="KY77" s="48">
        <v>0</v>
      </c>
      <c r="KZ77" s="48">
        <v>0</v>
      </c>
      <c r="LA77" s="48">
        <v>0</v>
      </c>
      <c r="LB77" s="43">
        <v>0</v>
      </c>
      <c r="LC77" s="49"/>
      <c r="LD77" s="48">
        <v>0</v>
      </c>
      <c r="LE77" s="48">
        <v>0</v>
      </c>
      <c r="LF77" s="48">
        <v>0</v>
      </c>
      <c r="LG77" s="48">
        <v>0</v>
      </c>
      <c r="LH77" s="43">
        <v>0</v>
      </c>
      <c r="LI77" s="49"/>
      <c r="LJ77" s="50">
        <v>0</v>
      </c>
      <c r="LK77" s="48">
        <v>0</v>
      </c>
      <c r="LL77" s="43">
        <v>0</v>
      </c>
      <c r="LM77" s="49"/>
      <c r="LN77" s="50">
        <v>0</v>
      </c>
      <c r="LO77" s="48">
        <v>0</v>
      </c>
      <c r="LP77" s="48">
        <v>10</v>
      </c>
      <c r="LQ77" s="48">
        <v>0</v>
      </c>
      <c r="LR77" s="48">
        <v>10</v>
      </c>
      <c r="LS77" s="43">
        <v>0</v>
      </c>
      <c r="LT77" s="49"/>
      <c r="LU77" s="50">
        <v>10</v>
      </c>
      <c r="LV77" s="48">
        <v>10</v>
      </c>
      <c r="LW77" s="48">
        <v>10</v>
      </c>
      <c r="LX77" s="48">
        <v>10</v>
      </c>
      <c r="LY77" s="43">
        <v>0</v>
      </c>
      <c r="LZ77" s="49"/>
      <c r="MA77" s="50">
        <v>0</v>
      </c>
      <c r="MB77" s="48">
        <v>0</v>
      </c>
      <c r="MC77" s="43">
        <v>0</v>
      </c>
      <c r="MD77" s="49"/>
      <c r="ME77" s="50">
        <v>0</v>
      </c>
      <c r="MF77" s="48">
        <v>0</v>
      </c>
      <c r="MG77" s="48">
        <v>0</v>
      </c>
      <c r="MH77" s="48">
        <v>0</v>
      </c>
      <c r="MI77" s="43">
        <v>0</v>
      </c>
      <c r="MJ77" s="49"/>
      <c r="MK77" s="50">
        <v>0</v>
      </c>
      <c r="ML77" s="48">
        <v>0</v>
      </c>
      <c r="MM77" s="43">
        <v>0</v>
      </c>
      <c r="MN77" s="49"/>
      <c r="MO77" s="50">
        <v>0</v>
      </c>
      <c r="MP77" s="48">
        <v>0</v>
      </c>
      <c r="MQ77" s="48">
        <v>0</v>
      </c>
      <c r="MR77" s="48">
        <v>0</v>
      </c>
      <c r="MS77" s="43">
        <v>0</v>
      </c>
      <c r="MT77" s="49"/>
      <c r="MU77" s="48">
        <v>0</v>
      </c>
      <c r="MV77" s="46"/>
      <c r="MW77" s="48">
        <v>0</v>
      </c>
      <c r="MX77" s="48">
        <v>0</v>
      </c>
      <c r="MY77" s="43">
        <v>0</v>
      </c>
      <c r="MZ77" s="49"/>
      <c r="NA77" s="50">
        <v>0</v>
      </c>
      <c r="NB77" s="48">
        <v>0</v>
      </c>
      <c r="NC77" s="48">
        <v>0</v>
      </c>
      <c r="ND77" s="48">
        <v>0</v>
      </c>
      <c r="NE77" s="43">
        <v>0</v>
      </c>
      <c r="NF77" s="49"/>
      <c r="NG77" s="50">
        <v>0</v>
      </c>
      <c r="NH77" s="48">
        <v>0</v>
      </c>
      <c r="NI77" s="48">
        <v>0</v>
      </c>
      <c r="NJ77" s="48">
        <v>0</v>
      </c>
      <c r="NK77" s="43">
        <v>0</v>
      </c>
      <c r="NL77" s="49"/>
      <c r="NM77" s="50">
        <v>0</v>
      </c>
      <c r="NN77" s="48">
        <v>0</v>
      </c>
      <c r="NO77" s="48">
        <v>80</v>
      </c>
      <c r="NP77" s="48">
        <v>80</v>
      </c>
      <c r="NQ77" s="43">
        <v>0</v>
      </c>
      <c r="NR77" s="49"/>
      <c r="NS77" s="50">
        <v>0</v>
      </c>
      <c r="NT77" s="48">
        <v>0</v>
      </c>
      <c r="NU77" s="48">
        <v>80</v>
      </c>
      <c r="NV77" s="48">
        <v>80</v>
      </c>
      <c r="NW77" s="43">
        <v>0</v>
      </c>
      <c r="NX77" s="49"/>
      <c r="NY77" s="50">
        <v>0</v>
      </c>
      <c r="NZ77" s="48">
        <v>0</v>
      </c>
      <c r="OA77" s="48">
        <v>0</v>
      </c>
      <c r="OB77" s="48">
        <v>0</v>
      </c>
      <c r="OC77" s="43">
        <v>0</v>
      </c>
      <c r="OD77" s="49"/>
      <c r="OE77" s="50">
        <v>0</v>
      </c>
      <c r="OF77" s="48">
        <v>0</v>
      </c>
      <c r="OG77" s="43">
        <v>0</v>
      </c>
      <c r="OH77" s="49"/>
      <c r="OI77" s="50">
        <v>0</v>
      </c>
      <c r="OJ77" s="48">
        <v>0</v>
      </c>
      <c r="OK77" s="43">
        <v>0</v>
      </c>
      <c r="OL77" s="49"/>
      <c r="OM77" s="50">
        <v>0</v>
      </c>
      <c r="ON77" s="48">
        <v>0</v>
      </c>
      <c r="OO77" s="48">
        <v>0</v>
      </c>
      <c r="OP77" s="48">
        <v>0</v>
      </c>
      <c r="OQ77" s="43">
        <v>0</v>
      </c>
      <c r="OR77" s="49"/>
      <c r="OS77" s="50">
        <v>0</v>
      </c>
      <c r="OT77" s="48">
        <v>0</v>
      </c>
      <c r="OU77" s="43">
        <v>0</v>
      </c>
      <c r="OV77" s="49"/>
      <c r="OW77" s="50">
        <v>0</v>
      </c>
      <c r="OX77" s="48">
        <v>0</v>
      </c>
      <c r="OY77" s="48">
        <v>0</v>
      </c>
      <c r="OZ77" s="48">
        <v>0</v>
      </c>
      <c r="PA77" s="43">
        <v>0</v>
      </c>
      <c r="PB77" s="49"/>
      <c r="PC77" s="50">
        <v>0</v>
      </c>
      <c r="PD77" s="48">
        <v>0</v>
      </c>
      <c r="PE77" s="43">
        <v>0</v>
      </c>
      <c r="PF77" s="49"/>
      <c r="PG77" s="50">
        <v>0</v>
      </c>
      <c r="PH77" s="48">
        <v>0</v>
      </c>
      <c r="PI77" s="48">
        <v>0</v>
      </c>
      <c r="PJ77" s="48">
        <v>0</v>
      </c>
      <c r="PK77" s="43">
        <v>0</v>
      </c>
      <c r="PL77" s="49"/>
      <c r="PM77" s="47">
        <v>0</v>
      </c>
      <c r="PN77" s="48">
        <v>0</v>
      </c>
      <c r="PO77" s="48">
        <v>0</v>
      </c>
      <c r="PP77" s="48">
        <v>0</v>
      </c>
      <c r="PQ77" s="43">
        <v>0</v>
      </c>
      <c r="PR77" s="49"/>
      <c r="PS77" s="47">
        <v>0</v>
      </c>
      <c r="PT77" s="43">
        <v>0</v>
      </c>
      <c r="PU77" s="43">
        <v>0</v>
      </c>
      <c r="PV77" s="43">
        <v>0</v>
      </c>
      <c r="PW77" s="43">
        <v>0</v>
      </c>
      <c r="PX77" s="46"/>
      <c r="PY77" s="47">
        <v>0</v>
      </c>
      <c r="PZ77" s="43">
        <v>0</v>
      </c>
      <c r="QA77" s="43">
        <v>0</v>
      </c>
      <c r="QB77" s="46"/>
      <c r="QC77" s="47">
        <v>0</v>
      </c>
      <c r="QD77" s="43">
        <v>0</v>
      </c>
      <c r="QE77" s="43">
        <v>0</v>
      </c>
      <c r="QF77" s="43">
        <v>0</v>
      </c>
      <c r="QG77" s="43">
        <v>0</v>
      </c>
      <c r="QH77" s="46"/>
      <c r="QI77" s="47">
        <v>0</v>
      </c>
      <c r="QJ77" s="43">
        <v>0</v>
      </c>
      <c r="QK77" s="43">
        <v>0</v>
      </c>
      <c r="QL77" s="43">
        <v>0</v>
      </c>
      <c r="QM77" s="43">
        <v>0</v>
      </c>
      <c r="QN77" s="46"/>
      <c r="QO77" s="47">
        <v>0</v>
      </c>
      <c r="QP77" s="43">
        <v>0</v>
      </c>
      <c r="QQ77" s="43">
        <v>150</v>
      </c>
      <c r="QR77" s="43">
        <v>0</v>
      </c>
      <c r="QS77" s="43">
        <v>150</v>
      </c>
      <c r="QT77" s="46"/>
      <c r="QU77" s="47">
        <v>0</v>
      </c>
      <c r="QV77" s="43">
        <v>0</v>
      </c>
      <c r="QW77" s="43">
        <v>0</v>
      </c>
      <c r="QX77" s="46"/>
      <c r="QY77" s="47">
        <v>0</v>
      </c>
      <c r="QZ77" s="43">
        <v>0</v>
      </c>
      <c r="RA77" s="43">
        <v>0</v>
      </c>
      <c r="RB77" s="43">
        <v>0</v>
      </c>
      <c r="RC77" s="43">
        <v>0</v>
      </c>
      <c r="RD77" s="46"/>
    </row>
    <row r="78" spans="1:472" x14ac:dyDescent="0.25">
      <c r="A78" s="43" t="s">
        <v>366</v>
      </c>
      <c r="B78" s="44">
        <v>1</v>
      </c>
      <c r="I78" s="47"/>
      <c r="J78" s="51"/>
      <c r="K78" s="51"/>
      <c r="L78" s="51"/>
      <c r="M78" s="51">
        <f t="shared" si="12"/>
        <v>0</v>
      </c>
      <c r="N78" s="46"/>
      <c r="O78" s="47"/>
      <c r="P78" s="51"/>
      <c r="Q78" s="51"/>
      <c r="R78" s="51"/>
      <c r="S78" s="51">
        <f t="shared" si="13"/>
        <v>0</v>
      </c>
      <c r="T78" s="46"/>
      <c r="U78" s="47"/>
      <c r="V78" s="51"/>
      <c r="W78" s="51"/>
      <c r="X78" s="51"/>
      <c r="Y78" s="51">
        <f t="shared" si="14"/>
        <v>0</v>
      </c>
      <c r="Z78" s="46"/>
      <c r="AA78" s="51"/>
      <c r="AE78" s="43">
        <v>0</v>
      </c>
      <c r="AF78" s="46"/>
      <c r="AG78" s="47"/>
      <c r="AK78" s="43">
        <v>0</v>
      </c>
      <c r="AL78" s="46"/>
      <c r="AQ78" s="43">
        <v>0</v>
      </c>
      <c r="AR78" s="46"/>
      <c r="AW78" s="43">
        <v>0</v>
      </c>
      <c r="AX78" s="46"/>
      <c r="AY78" s="47"/>
      <c r="BC78" s="43">
        <v>0</v>
      </c>
      <c r="BD78" s="46"/>
      <c r="BE78" s="47"/>
      <c r="BI78" s="43">
        <v>0</v>
      </c>
      <c r="BJ78" s="46"/>
      <c r="BP78" s="43">
        <v>0</v>
      </c>
      <c r="BQ78" s="46"/>
      <c r="BT78" s="43">
        <v>0</v>
      </c>
      <c r="BU78" s="46"/>
      <c r="BV78" s="47"/>
      <c r="BZ78" s="43">
        <v>0</v>
      </c>
      <c r="CA78" s="46"/>
      <c r="CF78" s="43">
        <v>0</v>
      </c>
      <c r="CG78" s="46"/>
      <c r="CL78" s="43">
        <v>0</v>
      </c>
      <c r="CM78" s="46"/>
      <c r="CN78" s="47"/>
      <c r="CR78" s="43">
        <v>0</v>
      </c>
      <c r="CS78" s="46"/>
      <c r="CX78" s="43">
        <v>0</v>
      </c>
      <c r="CY78" s="46"/>
      <c r="CZ78" s="47"/>
      <c r="DD78" s="43">
        <v>0</v>
      </c>
      <c r="DE78" s="46"/>
      <c r="DF78" s="47"/>
      <c r="DL78" s="43">
        <v>0</v>
      </c>
      <c r="DM78" s="46"/>
      <c r="DN78" s="47"/>
      <c r="DR78" s="43">
        <v>0</v>
      </c>
      <c r="DS78" s="46"/>
      <c r="DZ78" s="43">
        <v>0</v>
      </c>
      <c r="EA78" s="46"/>
      <c r="EB78" s="47"/>
      <c r="EF78" s="43">
        <v>0</v>
      </c>
      <c r="EG78" s="46"/>
      <c r="EH78" s="47"/>
      <c r="EL78" s="43">
        <v>0</v>
      </c>
      <c r="EM78" s="46"/>
      <c r="EN78" s="47"/>
      <c r="ER78" s="43">
        <v>0</v>
      </c>
      <c r="ES78" s="46"/>
      <c r="EZ78" s="43">
        <v>0</v>
      </c>
      <c r="FA78" s="46"/>
      <c r="FG78" s="43">
        <v>0</v>
      </c>
      <c r="FH78" s="46"/>
      <c r="FI78" s="47"/>
      <c r="FL78" s="43">
        <v>0</v>
      </c>
      <c r="FM78" s="46"/>
      <c r="FN78" s="47"/>
      <c r="FQ78" s="43">
        <v>0</v>
      </c>
      <c r="FR78" s="46"/>
      <c r="FW78" s="43">
        <v>0</v>
      </c>
      <c r="FX78" s="46"/>
      <c r="FY78" s="47"/>
      <c r="GD78" s="43">
        <v>0</v>
      </c>
      <c r="GE78" s="46"/>
      <c r="GJ78" s="43">
        <v>0</v>
      </c>
      <c r="GK78" s="46"/>
      <c r="GL78" s="47"/>
      <c r="GP78" s="43">
        <v>0</v>
      </c>
      <c r="GQ78" s="46"/>
      <c r="GV78" s="43">
        <v>0</v>
      </c>
      <c r="GW78" s="46"/>
      <c r="GX78" s="47"/>
      <c r="GZ78" s="43">
        <v>0</v>
      </c>
      <c r="HA78" s="46"/>
      <c r="HB78" s="47"/>
      <c r="HF78" s="43">
        <v>0</v>
      </c>
      <c r="HG78" s="46"/>
      <c r="HH78" s="47"/>
      <c r="HJ78" s="43">
        <v>0</v>
      </c>
      <c r="HK78" s="46"/>
      <c r="HL78" s="47"/>
      <c r="HP78" s="43">
        <v>0</v>
      </c>
      <c r="HQ78" s="46"/>
      <c r="HX78" s="43">
        <v>0</v>
      </c>
      <c r="HY78" s="46"/>
      <c r="HZ78" s="47"/>
      <c r="ID78" s="43">
        <v>0</v>
      </c>
      <c r="IE78" s="46"/>
      <c r="IJ78" s="43">
        <v>0</v>
      </c>
      <c r="IK78" s="49"/>
      <c r="IP78" s="43">
        <v>0</v>
      </c>
      <c r="IQ78" s="49"/>
      <c r="IV78" s="43">
        <v>0</v>
      </c>
      <c r="IW78" s="49"/>
      <c r="JB78" s="43">
        <v>0</v>
      </c>
      <c r="JC78" s="46"/>
      <c r="JF78" s="43">
        <v>0</v>
      </c>
      <c r="JG78" s="49"/>
      <c r="JL78" s="43">
        <v>0</v>
      </c>
      <c r="JM78" s="46"/>
      <c r="JN78" s="50"/>
      <c r="JP78" s="43">
        <v>0</v>
      </c>
      <c r="JQ78" s="49"/>
      <c r="JV78" s="43">
        <v>0</v>
      </c>
      <c r="JW78" s="49"/>
      <c r="KB78" s="43">
        <v>0</v>
      </c>
      <c r="KC78" s="49"/>
      <c r="KH78" s="43">
        <v>0</v>
      </c>
      <c r="KI78" s="49"/>
      <c r="KN78" s="43">
        <v>0</v>
      </c>
      <c r="KO78" s="49"/>
      <c r="KP78" s="50"/>
      <c r="KV78" s="43">
        <v>0</v>
      </c>
      <c r="KW78" s="49"/>
      <c r="KX78" s="48">
        <v>0</v>
      </c>
      <c r="KY78" s="48">
        <v>0</v>
      </c>
      <c r="KZ78" s="48">
        <v>0</v>
      </c>
      <c r="LA78" s="48">
        <v>0</v>
      </c>
      <c r="LB78" s="43">
        <v>0</v>
      </c>
      <c r="LC78" s="49"/>
      <c r="LD78" s="48">
        <v>0</v>
      </c>
      <c r="LE78" s="48">
        <v>0</v>
      </c>
      <c r="LF78" s="48">
        <v>0</v>
      </c>
      <c r="LG78" s="48">
        <v>0</v>
      </c>
      <c r="LH78" s="43">
        <v>0</v>
      </c>
      <c r="LI78" s="49"/>
      <c r="LJ78" s="50">
        <v>0</v>
      </c>
      <c r="LK78" s="48">
        <v>0</v>
      </c>
      <c r="LL78" s="43">
        <v>0</v>
      </c>
      <c r="LM78" s="49"/>
      <c r="LN78" s="50">
        <v>0</v>
      </c>
      <c r="LO78" s="48">
        <v>0</v>
      </c>
      <c r="LP78" s="48">
        <v>0</v>
      </c>
      <c r="LQ78" s="48">
        <v>0</v>
      </c>
      <c r="LR78" s="48">
        <v>0</v>
      </c>
      <c r="LS78" s="43">
        <v>0</v>
      </c>
      <c r="LT78" s="49"/>
      <c r="LU78" s="50">
        <v>0</v>
      </c>
      <c r="LV78" s="48">
        <v>0</v>
      </c>
      <c r="LW78" s="48">
        <v>0</v>
      </c>
      <c r="LX78" s="48">
        <v>0</v>
      </c>
      <c r="LY78" s="43">
        <v>0</v>
      </c>
      <c r="LZ78" s="49"/>
      <c r="MA78" s="50">
        <v>0</v>
      </c>
      <c r="MB78" s="48">
        <v>0</v>
      </c>
      <c r="MC78" s="43">
        <v>0</v>
      </c>
      <c r="MD78" s="49"/>
      <c r="ME78" s="50">
        <v>0</v>
      </c>
      <c r="MF78" s="48">
        <v>0</v>
      </c>
      <c r="MG78" s="48">
        <v>0</v>
      </c>
      <c r="MH78" s="48">
        <v>0</v>
      </c>
      <c r="MI78" s="43">
        <v>0</v>
      </c>
      <c r="MJ78" s="49"/>
      <c r="MK78" s="50">
        <v>0</v>
      </c>
      <c r="ML78" s="48">
        <v>0</v>
      </c>
      <c r="MM78" s="43">
        <v>0</v>
      </c>
      <c r="MN78" s="49"/>
      <c r="MO78" s="50">
        <v>0</v>
      </c>
      <c r="MP78" s="48">
        <v>0</v>
      </c>
      <c r="MQ78" s="48">
        <v>0</v>
      </c>
      <c r="MR78" s="48">
        <v>0</v>
      </c>
      <c r="MS78" s="43">
        <v>0</v>
      </c>
      <c r="MT78" s="49"/>
      <c r="MU78" s="48">
        <v>0</v>
      </c>
      <c r="MV78" s="46"/>
      <c r="MW78" s="48">
        <v>0</v>
      </c>
      <c r="MX78" s="48">
        <v>0</v>
      </c>
      <c r="MY78" s="43">
        <v>0</v>
      </c>
      <c r="MZ78" s="49"/>
      <c r="NA78" s="50">
        <v>0</v>
      </c>
      <c r="NB78" s="48">
        <v>0</v>
      </c>
      <c r="NC78" s="48">
        <v>0</v>
      </c>
      <c r="ND78" s="48">
        <v>0</v>
      </c>
      <c r="NE78" s="43">
        <v>0</v>
      </c>
      <c r="NF78" s="49"/>
      <c r="NG78" s="50">
        <v>0</v>
      </c>
      <c r="NH78" s="48">
        <v>0</v>
      </c>
      <c r="NI78" s="48">
        <v>0</v>
      </c>
      <c r="NJ78" s="48">
        <v>0</v>
      </c>
      <c r="NK78" s="43">
        <v>0</v>
      </c>
      <c r="NL78" s="49"/>
      <c r="NM78" s="50">
        <v>0</v>
      </c>
      <c r="NN78" s="48">
        <v>0</v>
      </c>
      <c r="NO78" s="48">
        <v>0</v>
      </c>
      <c r="NP78" s="48">
        <v>0</v>
      </c>
      <c r="NQ78" s="43">
        <v>0</v>
      </c>
      <c r="NR78" s="49"/>
      <c r="NS78" s="50">
        <v>0</v>
      </c>
      <c r="NT78" s="48">
        <v>0</v>
      </c>
      <c r="NU78" s="48">
        <v>0</v>
      </c>
      <c r="NV78" s="48">
        <v>0</v>
      </c>
      <c r="NW78" s="43">
        <v>0</v>
      </c>
      <c r="NX78" s="49"/>
      <c r="NY78" s="50">
        <v>0</v>
      </c>
      <c r="NZ78" s="48">
        <v>0</v>
      </c>
      <c r="OA78" s="48">
        <v>0</v>
      </c>
      <c r="OB78" s="48">
        <v>0</v>
      </c>
      <c r="OC78" s="43">
        <v>0</v>
      </c>
      <c r="OD78" s="49"/>
      <c r="OE78" s="50">
        <v>0</v>
      </c>
      <c r="OF78" s="48">
        <v>0</v>
      </c>
      <c r="OG78" s="43">
        <v>0</v>
      </c>
      <c r="OH78" s="49"/>
      <c r="OI78" s="50">
        <v>0</v>
      </c>
      <c r="OJ78" s="48">
        <v>0</v>
      </c>
      <c r="OK78" s="43">
        <v>0</v>
      </c>
      <c r="OL78" s="49"/>
      <c r="OM78" s="50">
        <v>0</v>
      </c>
      <c r="ON78" s="48">
        <v>0</v>
      </c>
      <c r="OO78" s="48">
        <v>0</v>
      </c>
      <c r="OP78" s="48">
        <v>0</v>
      </c>
      <c r="OQ78" s="43">
        <v>0</v>
      </c>
      <c r="OR78" s="49"/>
      <c r="OS78" s="50">
        <v>0</v>
      </c>
      <c r="OT78" s="48">
        <v>0</v>
      </c>
      <c r="OU78" s="43">
        <v>0</v>
      </c>
      <c r="OV78" s="49"/>
      <c r="OW78" s="50">
        <v>0</v>
      </c>
      <c r="OX78" s="48">
        <v>0</v>
      </c>
      <c r="OY78" s="48">
        <v>0</v>
      </c>
      <c r="OZ78" s="48">
        <v>0</v>
      </c>
      <c r="PA78" s="43">
        <v>0</v>
      </c>
      <c r="PB78" s="49"/>
      <c r="PC78" s="50">
        <v>0</v>
      </c>
      <c r="PD78" s="48">
        <v>0</v>
      </c>
      <c r="PE78" s="43">
        <v>0</v>
      </c>
      <c r="PF78" s="49"/>
      <c r="PG78" s="50">
        <v>0</v>
      </c>
      <c r="PH78" s="48">
        <v>0</v>
      </c>
      <c r="PI78" s="48">
        <v>0</v>
      </c>
      <c r="PJ78" s="48">
        <v>0</v>
      </c>
      <c r="PK78" s="43">
        <v>0</v>
      </c>
      <c r="PL78" s="49"/>
      <c r="PM78" s="47">
        <v>0</v>
      </c>
      <c r="PN78" s="48">
        <v>0</v>
      </c>
      <c r="PO78" s="48">
        <v>0</v>
      </c>
      <c r="PP78" s="48">
        <v>0</v>
      </c>
      <c r="PQ78" s="43">
        <v>0</v>
      </c>
      <c r="PR78" s="49"/>
      <c r="PS78" s="47">
        <v>0</v>
      </c>
      <c r="PT78" s="43">
        <v>0</v>
      </c>
      <c r="PU78" s="43">
        <v>0</v>
      </c>
      <c r="PV78" s="43">
        <v>0</v>
      </c>
      <c r="PW78" s="43">
        <v>0</v>
      </c>
      <c r="PX78" s="46"/>
      <c r="PY78" s="47">
        <v>0</v>
      </c>
      <c r="PZ78" s="43">
        <v>0</v>
      </c>
      <c r="QA78" s="43">
        <v>0</v>
      </c>
      <c r="QB78" s="46"/>
      <c r="QC78" s="47">
        <v>0</v>
      </c>
      <c r="QD78" s="43">
        <v>0</v>
      </c>
      <c r="QE78" s="43">
        <v>0</v>
      </c>
      <c r="QF78" s="43">
        <v>0</v>
      </c>
      <c r="QG78" s="43">
        <v>0</v>
      </c>
      <c r="QH78" s="46"/>
      <c r="QI78" s="47">
        <v>0</v>
      </c>
      <c r="QJ78" s="43">
        <v>0</v>
      </c>
      <c r="QK78" s="43">
        <v>0</v>
      </c>
      <c r="QL78" s="43">
        <v>0</v>
      </c>
      <c r="QM78" s="43">
        <v>0</v>
      </c>
      <c r="QN78" s="46"/>
      <c r="QO78" s="47">
        <v>0</v>
      </c>
      <c r="QP78" s="43">
        <v>0</v>
      </c>
      <c r="QQ78" s="43">
        <v>0</v>
      </c>
      <c r="QR78" s="43">
        <v>0</v>
      </c>
      <c r="QS78" s="43">
        <v>0</v>
      </c>
      <c r="QT78" s="46"/>
      <c r="QU78" s="47">
        <v>56.698</v>
      </c>
      <c r="QV78" s="43">
        <v>55</v>
      </c>
      <c r="QW78" s="43">
        <v>1.698</v>
      </c>
      <c r="QX78" s="46"/>
      <c r="QY78" s="47">
        <v>0</v>
      </c>
      <c r="QZ78" s="43">
        <v>0</v>
      </c>
      <c r="RA78" s="43">
        <v>0</v>
      </c>
      <c r="RB78" s="43">
        <v>12</v>
      </c>
      <c r="RC78" s="42">
        <v>-12</v>
      </c>
      <c r="RD78" s="46">
        <v>12</v>
      </c>
    </row>
    <row r="79" spans="1:472" x14ac:dyDescent="0.25">
      <c r="A79" s="43" t="s">
        <v>367</v>
      </c>
      <c r="B79" s="44">
        <v>1</v>
      </c>
      <c r="I79" s="47"/>
      <c r="J79" s="51"/>
      <c r="K79" s="51"/>
      <c r="L79" s="51"/>
      <c r="M79" s="51">
        <f t="shared" si="12"/>
        <v>0</v>
      </c>
      <c r="N79" s="46"/>
      <c r="O79" s="47"/>
      <c r="P79" s="51"/>
      <c r="Q79" s="51"/>
      <c r="R79" s="51"/>
      <c r="S79" s="51">
        <f t="shared" si="13"/>
        <v>0</v>
      </c>
      <c r="T79" s="46"/>
      <c r="U79" s="47"/>
      <c r="V79" s="51"/>
      <c r="W79" s="51"/>
      <c r="X79" s="51"/>
      <c r="Y79" s="51">
        <f t="shared" si="14"/>
        <v>0</v>
      </c>
      <c r="Z79" s="46"/>
      <c r="AA79" s="51"/>
      <c r="AE79" s="43">
        <v>0</v>
      </c>
      <c r="AF79" s="46"/>
      <c r="AG79" s="47"/>
      <c r="AK79" s="43">
        <v>0</v>
      </c>
      <c r="AL79" s="46"/>
      <c r="AQ79" s="43">
        <v>0</v>
      </c>
      <c r="AR79" s="46"/>
      <c r="AW79" s="43">
        <v>0</v>
      </c>
      <c r="AX79" s="46"/>
      <c r="AY79" s="47"/>
      <c r="BC79" s="43">
        <v>0</v>
      </c>
      <c r="BD79" s="46"/>
      <c r="BE79" s="47"/>
      <c r="BI79" s="43">
        <v>0</v>
      </c>
      <c r="BJ79" s="46"/>
      <c r="BP79" s="43">
        <v>0</v>
      </c>
      <c r="BQ79" s="46"/>
      <c r="BT79" s="43">
        <v>0</v>
      </c>
      <c r="BU79" s="46"/>
      <c r="BV79" s="47"/>
      <c r="BZ79" s="43">
        <v>0</v>
      </c>
      <c r="CA79" s="46"/>
      <c r="CF79" s="43">
        <v>0</v>
      </c>
      <c r="CG79" s="46"/>
      <c r="CL79" s="43">
        <v>0</v>
      </c>
      <c r="CM79" s="46"/>
      <c r="CN79" s="47"/>
      <c r="CR79" s="43">
        <v>0</v>
      </c>
      <c r="CS79" s="46"/>
      <c r="CX79" s="43">
        <v>0</v>
      </c>
      <c r="CY79" s="46"/>
      <c r="CZ79" s="47"/>
      <c r="DD79" s="43">
        <v>0</v>
      </c>
      <c r="DE79" s="46"/>
      <c r="DF79" s="47"/>
      <c r="DL79" s="43">
        <v>0</v>
      </c>
      <c r="DM79" s="46"/>
      <c r="DN79" s="47"/>
      <c r="DR79" s="43">
        <v>0</v>
      </c>
      <c r="DS79" s="46"/>
      <c r="DZ79" s="43">
        <v>0</v>
      </c>
      <c r="EA79" s="46"/>
      <c r="EB79" s="47"/>
      <c r="EF79" s="43">
        <v>0</v>
      </c>
      <c r="EG79" s="46"/>
      <c r="EH79" s="47"/>
      <c r="EL79" s="43">
        <v>0</v>
      </c>
      <c r="EM79" s="46"/>
      <c r="EN79" s="47"/>
      <c r="ER79" s="43">
        <v>0</v>
      </c>
      <c r="ES79" s="46"/>
      <c r="EZ79" s="43">
        <v>0</v>
      </c>
      <c r="FA79" s="46"/>
      <c r="FG79" s="43">
        <v>0</v>
      </c>
      <c r="FH79" s="46"/>
      <c r="FI79" s="47"/>
      <c r="FL79" s="43">
        <v>0</v>
      </c>
      <c r="FM79" s="46"/>
      <c r="FN79" s="47"/>
      <c r="FQ79" s="43">
        <v>0</v>
      </c>
      <c r="FR79" s="46"/>
      <c r="FW79" s="43">
        <v>0</v>
      </c>
      <c r="FX79" s="46"/>
      <c r="FY79" s="47"/>
      <c r="GD79" s="43">
        <v>0</v>
      </c>
      <c r="GE79" s="46"/>
      <c r="GJ79" s="43">
        <v>0</v>
      </c>
      <c r="GK79" s="46"/>
      <c r="GL79" s="47"/>
      <c r="GP79" s="43">
        <v>0</v>
      </c>
      <c r="GQ79" s="46"/>
      <c r="GV79" s="43">
        <v>0</v>
      </c>
      <c r="GW79" s="46"/>
      <c r="GX79" s="47"/>
      <c r="GZ79" s="43">
        <v>0</v>
      </c>
      <c r="HA79" s="46"/>
      <c r="HB79" s="47"/>
      <c r="HF79" s="43">
        <v>0</v>
      </c>
      <c r="HG79" s="46"/>
      <c r="HH79" s="47"/>
      <c r="HJ79" s="43">
        <v>0</v>
      </c>
      <c r="HK79" s="46"/>
      <c r="HL79" s="47"/>
      <c r="HP79" s="43">
        <v>0</v>
      </c>
      <c r="HQ79" s="46"/>
      <c r="HX79" s="43">
        <v>0</v>
      </c>
      <c r="HY79" s="46"/>
      <c r="HZ79" s="47"/>
      <c r="ID79" s="43">
        <v>0</v>
      </c>
      <c r="IE79" s="46"/>
      <c r="IJ79" s="43">
        <v>0</v>
      </c>
      <c r="IK79" s="49"/>
      <c r="IP79" s="43">
        <v>0</v>
      </c>
      <c r="IQ79" s="49"/>
      <c r="IV79" s="43">
        <v>0</v>
      </c>
      <c r="IW79" s="49"/>
      <c r="JB79" s="43">
        <v>0</v>
      </c>
      <c r="JC79" s="46"/>
      <c r="JF79" s="43">
        <v>0</v>
      </c>
      <c r="JG79" s="49"/>
      <c r="JL79" s="43">
        <v>0</v>
      </c>
      <c r="JM79" s="46"/>
      <c r="JN79" s="50"/>
      <c r="JP79" s="43">
        <v>0</v>
      </c>
      <c r="JQ79" s="49"/>
      <c r="JV79" s="43">
        <v>0</v>
      </c>
      <c r="JW79" s="49"/>
      <c r="KB79" s="43">
        <v>0</v>
      </c>
      <c r="KC79" s="49"/>
      <c r="KH79" s="43">
        <v>0</v>
      </c>
      <c r="KI79" s="49"/>
      <c r="KN79" s="43">
        <v>0</v>
      </c>
      <c r="KO79" s="49"/>
      <c r="KP79" s="50"/>
      <c r="KV79" s="43">
        <v>0</v>
      </c>
      <c r="KW79" s="49"/>
      <c r="KX79" s="48">
        <v>0</v>
      </c>
      <c r="KY79" s="48">
        <v>0</v>
      </c>
      <c r="KZ79" s="48">
        <v>0</v>
      </c>
      <c r="LA79" s="48">
        <v>0</v>
      </c>
      <c r="LB79" s="43">
        <v>0</v>
      </c>
      <c r="LC79" s="49"/>
      <c r="LD79" s="48">
        <v>0</v>
      </c>
      <c r="LE79" s="48">
        <v>0</v>
      </c>
      <c r="LF79" s="48">
        <v>0</v>
      </c>
      <c r="LG79" s="48">
        <v>0</v>
      </c>
      <c r="LH79" s="43">
        <v>0</v>
      </c>
      <c r="LI79" s="49"/>
      <c r="LJ79" s="50">
        <v>0</v>
      </c>
      <c r="LK79" s="48">
        <v>0</v>
      </c>
      <c r="LL79" s="43">
        <v>0</v>
      </c>
      <c r="LM79" s="49"/>
      <c r="LN79" s="50">
        <v>0</v>
      </c>
      <c r="LO79" s="48">
        <v>0</v>
      </c>
      <c r="LP79" s="48">
        <v>0</v>
      </c>
      <c r="LQ79" s="48">
        <v>0</v>
      </c>
      <c r="LR79" s="48">
        <v>0</v>
      </c>
      <c r="LS79" s="43">
        <v>0</v>
      </c>
      <c r="LT79" s="49"/>
      <c r="LU79" s="50">
        <v>0</v>
      </c>
      <c r="LV79" s="48">
        <v>0</v>
      </c>
      <c r="LW79" s="48">
        <v>0</v>
      </c>
      <c r="LX79" s="48">
        <v>0</v>
      </c>
      <c r="LY79" s="43">
        <v>0</v>
      </c>
      <c r="LZ79" s="49"/>
      <c r="MA79" s="50">
        <v>0</v>
      </c>
      <c r="MB79" s="48">
        <v>0</v>
      </c>
      <c r="MC79" s="43">
        <v>0</v>
      </c>
      <c r="MD79" s="49"/>
      <c r="ME79" s="50">
        <v>0</v>
      </c>
      <c r="MF79" s="48">
        <v>0</v>
      </c>
      <c r="MG79" s="48">
        <v>0</v>
      </c>
      <c r="MH79" s="48">
        <v>0</v>
      </c>
      <c r="MI79" s="43">
        <v>0</v>
      </c>
      <c r="MJ79" s="49"/>
      <c r="MK79" s="50">
        <v>0</v>
      </c>
      <c r="ML79" s="48">
        <v>0</v>
      </c>
      <c r="MM79" s="43">
        <v>0</v>
      </c>
      <c r="MN79" s="49"/>
      <c r="MO79" s="50">
        <v>0</v>
      </c>
      <c r="MP79" s="48">
        <v>0</v>
      </c>
      <c r="MQ79" s="48">
        <v>0</v>
      </c>
      <c r="MR79" s="48">
        <v>0</v>
      </c>
      <c r="MS79" s="43">
        <v>0</v>
      </c>
      <c r="MT79" s="49"/>
      <c r="MU79" s="48">
        <v>0</v>
      </c>
      <c r="MV79" s="46"/>
      <c r="MW79" s="48">
        <v>0</v>
      </c>
      <c r="MX79" s="48">
        <v>0</v>
      </c>
      <c r="MY79" s="43">
        <v>0</v>
      </c>
      <c r="MZ79" s="49"/>
      <c r="NA79" s="50">
        <v>0</v>
      </c>
      <c r="NB79" s="48">
        <v>0</v>
      </c>
      <c r="NC79" s="48">
        <v>0</v>
      </c>
      <c r="ND79" s="48">
        <v>0</v>
      </c>
      <c r="NE79" s="43">
        <v>0</v>
      </c>
      <c r="NF79" s="49"/>
      <c r="NG79" s="50">
        <v>0</v>
      </c>
      <c r="NH79" s="48">
        <v>0</v>
      </c>
      <c r="NI79" s="48">
        <v>0</v>
      </c>
      <c r="NJ79" s="48">
        <v>0</v>
      </c>
      <c r="NK79" s="43">
        <v>0</v>
      </c>
      <c r="NL79" s="49"/>
      <c r="NM79" s="50">
        <v>0</v>
      </c>
      <c r="NN79" s="48">
        <v>0</v>
      </c>
      <c r="NO79" s="48">
        <v>0</v>
      </c>
      <c r="NP79" s="48">
        <v>0</v>
      </c>
      <c r="NQ79" s="43">
        <v>0</v>
      </c>
      <c r="NR79" s="49"/>
      <c r="NS79" s="50">
        <v>0</v>
      </c>
      <c r="NT79" s="48">
        <v>0</v>
      </c>
      <c r="NU79" s="48">
        <v>0</v>
      </c>
      <c r="NV79" s="48">
        <v>0</v>
      </c>
      <c r="NW79" s="43">
        <v>0</v>
      </c>
      <c r="NX79" s="49"/>
      <c r="NY79" s="50">
        <v>0</v>
      </c>
      <c r="NZ79" s="48">
        <v>0</v>
      </c>
      <c r="OA79" s="48">
        <v>0</v>
      </c>
      <c r="OB79" s="48">
        <v>0</v>
      </c>
      <c r="OC79" s="43">
        <v>0</v>
      </c>
      <c r="OD79" s="49"/>
      <c r="OE79" s="50">
        <v>0</v>
      </c>
      <c r="OF79" s="48">
        <v>0</v>
      </c>
      <c r="OG79" s="43">
        <v>0</v>
      </c>
      <c r="OH79" s="49"/>
      <c r="OI79" s="50">
        <v>0</v>
      </c>
      <c r="OJ79" s="48">
        <v>0</v>
      </c>
      <c r="OK79" s="43">
        <v>0</v>
      </c>
      <c r="OL79" s="49"/>
      <c r="OM79" s="50">
        <v>0</v>
      </c>
      <c r="ON79" s="48">
        <v>0</v>
      </c>
      <c r="OO79" s="48">
        <v>0</v>
      </c>
      <c r="OP79" s="48">
        <v>0</v>
      </c>
      <c r="OQ79" s="43">
        <v>0</v>
      </c>
      <c r="OR79" s="49"/>
      <c r="OS79" s="50">
        <v>0</v>
      </c>
      <c r="OT79" s="48">
        <v>0</v>
      </c>
      <c r="OU79" s="43">
        <v>0</v>
      </c>
      <c r="OV79" s="49"/>
      <c r="OW79" s="50">
        <v>0</v>
      </c>
      <c r="OX79" s="48">
        <v>0</v>
      </c>
      <c r="OY79" s="48">
        <v>0</v>
      </c>
      <c r="OZ79" s="48">
        <v>0</v>
      </c>
      <c r="PA79" s="43">
        <v>0</v>
      </c>
      <c r="PB79" s="49"/>
      <c r="PC79" s="50">
        <v>0</v>
      </c>
      <c r="PD79" s="48">
        <v>0</v>
      </c>
      <c r="PE79" s="43">
        <v>0</v>
      </c>
      <c r="PF79" s="49"/>
      <c r="PG79" s="50">
        <v>0</v>
      </c>
      <c r="PH79" s="48">
        <v>0</v>
      </c>
      <c r="PI79" s="48">
        <v>0</v>
      </c>
      <c r="PJ79" s="48">
        <v>0</v>
      </c>
      <c r="PK79" s="43">
        <v>0</v>
      </c>
      <c r="PL79" s="49"/>
      <c r="PM79" s="47">
        <v>0</v>
      </c>
      <c r="PN79" s="48">
        <v>0</v>
      </c>
      <c r="PO79" s="48">
        <v>0</v>
      </c>
      <c r="PP79" s="48">
        <v>0</v>
      </c>
      <c r="PQ79" s="43">
        <v>0</v>
      </c>
      <c r="PR79" s="49"/>
      <c r="PS79" s="47">
        <v>0</v>
      </c>
      <c r="PT79" s="43">
        <v>0</v>
      </c>
      <c r="PU79" s="43">
        <v>0</v>
      </c>
      <c r="PV79" s="43">
        <v>0</v>
      </c>
      <c r="PW79" s="43">
        <v>0</v>
      </c>
      <c r="PX79" s="46"/>
      <c r="PY79" s="47">
        <v>0</v>
      </c>
      <c r="PZ79" s="43">
        <v>0</v>
      </c>
      <c r="QA79" s="43">
        <v>0</v>
      </c>
      <c r="QB79" s="46"/>
      <c r="QC79" s="47">
        <v>0</v>
      </c>
      <c r="QD79" s="43">
        <v>0</v>
      </c>
      <c r="QE79" s="43">
        <v>0</v>
      </c>
      <c r="QF79" s="43">
        <v>0</v>
      </c>
      <c r="QG79" s="43">
        <v>0</v>
      </c>
      <c r="QH79" s="46"/>
      <c r="QI79" s="47">
        <v>0</v>
      </c>
      <c r="QJ79" s="43">
        <v>0</v>
      </c>
      <c r="QK79" s="43">
        <v>0</v>
      </c>
      <c r="QL79" s="43">
        <v>0</v>
      </c>
      <c r="QM79" s="43">
        <v>0</v>
      </c>
      <c r="QN79" s="46"/>
      <c r="QO79" s="47">
        <v>88.95</v>
      </c>
      <c r="QP79" s="43">
        <v>88</v>
      </c>
      <c r="QQ79" s="43">
        <v>0</v>
      </c>
      <c r="QR79" s="43">
        <v>0</v>
      </c>
      <c r="QS79" s="43">
        <v>0.95000000000000284</v>
      </c>
      <c r="QT79" s="46"/>
      <c r="QU79" s="47">
        <v>40.651000000000003</v>
      </c>
      <c r="QV79" s="43">
        <v>40</v>
      </c>
      <c r="QW79" s="43">
        <v>0.65100000000000335</v>
      </c>
      <c r="QX79" s="46"/>
      <c r="QY79" s="47">
        <v>0</v>
      </c>
      <c r="QZ79" s="43">
        <v>0</v>
      </c>
      <c r="RA79" s="43">
        <v>0</v>
      </c>
      <c r="RB79" s="43">
        <v>0</v>
      </c>
      <c r="RC79" s="43">
        <v>0</v>
      </c>
      <c r="RD79" s="46"/>
    </row>
    <row r="80" spans="1:472" x14ac:dyDescent="0.25">
      <c r="A80" s="43" t="s">
        <v>368</v>
      </c>
      <c r="B80" s="44">
        <v>0.35</v>
      </c>
      <c r="E80">
        <v>16</v>
      </c>
      <c r="I80" s="45">
        <v>80</v>
      </c>
      <c r="J80" s="52">
        <v>80</v>
      </c>
      <c r="K80" s="52">
        <v>104</v>
      </c>
      <c r="L80" s="52">
        <v>106</v>
      </c>
      <c r="M80" s="51">
        <f t="shared" si="12"/>
        <v>-2</v>
      </c>
      <c r="N80" s="46"/>
      <c r="O80" s="47"/>
      <c r="P80" s="51"/>
      <c r="Q80" s="52">
        <v>32</v>
      </c>
      <c r="R80" s="52">
        <v>33</v>
      </c>
      <c r="S80" s="51">
        <f t="shared" si="13"/>
        <v>-1</v>
      </c>
      <c r="T80" s="46"/>
      <c r="U80" s="45">
        <v>32</v>
      </c>
      <c r="V80" s="52">
        <v>30</v>
      </c>
      <c r="W80" s="51"/>
      <c r="X80" s="51"/>
      <c r="Y80" s="51">
        <f t="shared" si="14"/>
        <v>2</v>
      </c>
      <c r="Z80" s="46"/>
      <c r="AA80" s="51"/>
      <c r="AE80" s="43">
        <v>0</v>
      </c>
      <c r="AF80" s="46"/>
      <c r="AG80" s="45">
        <v>32</v>
      </c>
      <c r="AH80">
        <v>35</v>
      </c>
      <c r="AK80" s="43">
        <v>-3</v>
      </c>
      <c r="AL80" s="46"/>
      <c r="AQ80" s="43">
        <v>0</v>
      </c>
      <c r="AR80" s="46"/>
      <c r="AS80">
        <v>96</v>
      </c>
      <c r="AT80">
        <v>96</v>
      </c>
      <c r="AU80">
        <v>96</v>
      </c>
      <c r="AV80">
        <v>96</v>
      </c>
      <c r="AW80" s="43">
        <v>0</v>
      </c>
      <c r="AX80" s="46"/>
      <c r="AY80" s="47"/>
      <c r="BA80">
        <v>96</v>
      </c>
      <c r="BB80">
        <v>95</v>
      </c>
      <c r="BC80" s="43">
        <v>1</v>
      </c>
      <c r="BD80" s="46"/>
      <c r="BE80" s="47"/>
      <c r="BI80" s="43">
        <v>0</v>
      </c>
      <c r="BJ80" s="46"/>
      <c r="BK80">
        <v>120</v>
      </c>
      <c r="BL80">
        <v>120</v>
      </c>
      <c r="BN80">
        <v>120</v>
      </c>
      <c r="BO80">
        <v>124</v>
      </c>
      <c r="BP80" s="43">
        <v>-4</v>
      </c>
      <c r="BQ80" s="46"/>
      <c r="BT80" s="43">
        <v>0</v>
      </c>
      <c r="BU80" s="46"/>
      <c r="BV80" s="47"/>
      <c r="BZ80" s="43">
        <v>0</v>
      </c>
      <c r="CA80" s="46"/>
      <c r="CF80" s="43">
        <v>0</v>
      </c>
      <c r="CG80" s="46"/>
      <c r="CL80" s="43">
        <v>0</v>
      </c>
      <c r="CM80" s="46"/>
      <c r="CN80" s="47"/>
      <c r="CP80">
        <v>464</v>
      </c>
      <c r="CQ80">
        <v>469</v>
      </c>
      <c r="CR80" s="43">
        <v>-5</v>
      </c>
      <c r="CS80" s="46"/>
      <c r="CX80" s="43">
        <v>0</v>
      </c>
      <c r="CY80" s="46"/>
      <c r="CZ80" s="47"/>
      <c r="DB80">
        <v>136</v>
      </c>
      <c r="DC80">
        <v>136</v>
      </c>
      <c r="DD80" s="43">
        <v>0</v>
      </c>
      <c r="DE80" s="46"/>
      <c r="DF80" s="47"/>
      <c r="DJ80">
        <v>152</v>
      </c>
      <c r="DK80">
        <v>150</v>
      </c>
      <c r="DL80" s="43">
        <v>2</v>
      </c>
      <c r="DM80" s="46"/>
      <c r="DN80" s="45">
        <v>160</v>
      </c>
      <c r="DO80">
        <v>160</v>
      </c>
      <c r="DP80">
        <v>160</v>
      </c>
      <c r="DQ80">
        <v>160</v>
      </c>
      <c r="DR80" s="43">
        <v>0</v>
      </c>
      <c r="DS80" s="46"/>
      <c r="DZ80" s="43">
        <v>0</v>
      </c>
      <c r="EA80" s="46"/>
      <c r="EB80" s="47"/>
      <c r="ED80">
        <v>480</v>
      </c>
      <c r="EE80">
        <v>480</v>
      </c>
      <c r="EF80" s="43">
        <v>0</v>
      </c>
      <c r="EG80" s="46"/>
      <c r="EH80" s="47"/>
      <c r="EL80" s="43">
        <v>0</v>
      </c>
      <c r="EM80" s="46"/>
      <c r="EN80" s="45">
        <v>216</v>
      </c>
      <c r="EO80">
        <v>220</v>
      </c>
      <c r="EP80">
        <v>200</v>
      </c>
      <c r="EQ80">
        <v>200</v>
      </c>
      <c r="ER80" s="43">
        <v>-4</v>
      </c>
      <c r="ES80" s="46"/>
      <c r="EZ80" s="43">
        <v>0</v>
      </c>
      <c r="FA80" s="46"/>
      <c r="FD80">
        <v>136</v>
      </c>
      <c r="FF80">
        <v>140</v>
      </c>
      <c r="FG80" s="43">
        <v>-4</v>
      </c>
      <c r="FH80" s="46"/>
      <c r="FI80" s="47"/>
      <c r="FL80" s="43">
        <v>0</v>
      </c>
      <c r="FM80" s="46"/>
      <c r="FN80" s="45">
        <v>376</v>
      </c>
      <c r="FP80">
        <v>376</v>
      </c>
      <c r="FQ80" s="43">
        <v>0</v>
      </c>
      <c r="FR80" s="46"/>
      <c r="FW80" s="43">
        <v>0</v>
      </c>
      <c r="FX80" s="46"/>
      <c r="FY80" s="47"/>
      <c r="GD80" s="43">
        <v>0</v>
      </c>
      <c r="GE80" s="46"/>
      <c r="GF80">
        <v>72</v>
      </c>
      <c r="GG80">
        <v>70</v>
      </c>
      <c r="GH80">
        <v>96</v>
      </c>
      <c r="GI80">
        <v>100</v>
      </c>
      <c r="GJ80" s="43">
        <v>-2</v>
      </c>
      <c r="GK80" s="46"/>
      <c r="GL80" s="45">
        <v>152</v>
      </c>
      <c r="GM80">
        <v>150</v>
      </c>
      <c r="GN80">
        <v>232</v>
      </c>
      <c r="GO80">
        <v>236</v>
      </c>
      <c r="GP80" s="43">
        <v>-2</v>
      </c>
      <c r="GQ80" s="46"/>
      <c r="GT80">
        <v>80</v>
      </c>
      <c r="GU80">
        <v>80</v>
      </c>
      <c r="GV80" s="43">
        <v>0</v>
      </c>
      <c r="GW80" s="46"/>
      <c r="GX80" s="47"/>
      <c r="GZ80" s="43">
        <v>0</v>
      </c>
      <c r="HA80" s="46"/>
      <c r="HB80" s="45">
        <v>96</v>
      </c>
      <c r="HC80">
        <v>100</v>
      </c>
      <c r="HD80">
        <v>208</v>
      </c>
      <c r="HE80">
        <v>210</v>
      </c>
      <c r="HF80" s="43">
        <v>-6</v>
      </c>
      <c r="HG80" s="46"/>
      <c r="HH80" s="47"/>
      <c r="HJ80" s="43">
        <v>0</v>
      </c>
      <c r="HK80" s="46"/>
      <c r="HL80" s="47"/>
      <c r="HP80" s="43">
        <v>0</v>
      </c>
      <c r="HQ80" s="46"/>
      <c r="HT80">
        <v>536</v>
      </c>
      <c r="HU80">
        <v>540</v>
      </c>
      <c r="HX80" s="43">
        <v>-4</v>
      </c>
      <c r="HY80" s="46"/>
      <c r="HZ80" s="45">
        <v>64</v>
      </c>
      <c r="IA80">
        <v>64</v>
      </c>
      <c r="IB80">
        <v>64</v>
      </c>
      <c r="IC80">
        <v>66</v>
      </c>
      <c r="ID80" s="43">
        <v>-2</v>
      </c>
      <c r="IE80" s="46"/>
      <c r="IF80">
        <v>200</v>
      </c>
      <c r="IG80">
        <v>200</v>
      </c>
      <c r="IH80">
        <v>304</v>
      </c>
      <c r="II80">
        <v>305</v>
      </c>
      <c r="IJ80" s="43">
        <v>-1</v>
      </c>
      <c r="IK80" s="49"/>
      <c r="IL80">
        <v>48</v>
      </c>
      <c r="IM80">
        <v>50</v>
      </c>
      <c r="IN80">
        <v>112</v>
      </c>
      <c r="IO80">
        <v>110</v>
      </c>
      <c r="IP80" s="43">
        <v>0</v>
      </c>
      <c r="IQ80" s="49"/>
      <c r="IR80">
        <v>216</v>
      </c>
      <c r="IS80">
        <v>220</v>
      </c>
      <c r="IT80">
        <v>176</v>
      </c>
      <c r="IU80">
        <v>179</v>
      </c>
      <c r="IV80" s="43">
        <v>-7</v>
      </c>
      <c r="IW80" s="49"/>
      <c r="IX80">
        <v>96</v>
      </c>
      <c r="IY80">
        <v>100</v>
      </c>
      <c r="JA80">
        <v>50</v>
      </c>
      <c r="JB80" s="42">
        <v>-54</v>
      </c>
      <c r="JC80" s="46">
        <v>18.899999999999999</v>
      </c>
      <c r="JD80">
        <v>88</v>
      </c>
      <c r="JE80">
        <v>90</v>
      </c>
      <c r="JF80" s="43">
        <v>-2</v>
      </c>
      <c r="JG80" s="49"/>
      <c r="JH80">
        <v>96</v>
      </c>
      <c r="JI80">
        <v>100</v>
      </c>
      <c r="JJ80">
        <v>80</v>
      </c>
      <c r="JK80">
        <v>80</v>
      </c>
      <c r="JL80" s="43">
        <v>-4</v>
      </c>
      <c r="JM80" s="46"/>
      <c r="JN80" s="45">
        <v>288</v>
      </c>
      <c r="JO80" s="48">
        <v>290</v>
      </c>
      <c r="JP80" s="43">
        <v>-2</v>
      </c>
      <c r="JQ80" s="49"/>
      <c r="JT80">
        <v>112</v>
      </c>
      <c r="JU80">
        <v>110</v>
      </c>
      <c r="JV80" s="43">
        <v>2</v>
      </c>
      <c r="JW80" s="49"/>
      <c r="JX80">
        <v>152</v>
      </c>
      <c r="JY80">
        <v>150</v>
      </c>
      <c r="JZ80">
        <v>160</v>
      </c>
      <c r="KA80">
        <v>160</v>
      </c>
      <c r="KB80" s="43">
        <v>2</v>
      </c>
      <c r="KC80" s="49"/>
      <c r="KH80" s="43">
        <v>0</v>
      </c>
      <c r="KI80" s="49"/>
      <c r="KJ80">
        <v>152</v>
      </c>
      <c r="KK80">
        <v>150</v>
      </c>
      <c r="KL80">
        <v>192</v>
      </c>
      <c r="KM80">
        <v>190</v>
      </c>
      <c r="KN80" s="43">
        <v>4</v>
      </c>
      <c r="KO80" s="49"/>
      <c r="KP80" s="45">
        <v>56</v>
      </c>
      <c r="KQ80">
        <v>60</v>
      </c>
      <c r="KR80">
        <v>80</v>
      </c>
      <c r="KS80">
        <v>80</v>
      </c>
      <c r="KT80">
        <v>40</v>
      </c>
      <c r="KU80">
        <v>60</v>
      </c>
      <c r="KV80" s="42">
        <v>-24</v>
      </c>
      <c r="KW80" s="49">
        <v>8.3999999999999986</v>
      </c>
      <c r="KX80" s="48">
        <v>0</v>
      </c>
      <c r="KY80" s="48">
        <v>0</v>
      </c>
      <c r="KZ80" s="48">
        <v>152</v>
      </c>
      <c r="LA80" s="48">
        <v>150</v>
      </c>
      <c r="LB80" s="43">
        <v>2</v>
      </c>
      <c r="LC80" s="49"/>
      <c r="LD80" s="48">
        <v>0</v>
      </c>
      <c r="LE80" s="48">
        <v>0</v>
      </c>
      <c r="LF80" s="48">
        <v>120</v>
      </c>
      <c r="LG80" s="48">
        <v>120</v>
      </c>
      <c r="LH80" s="43">
        <v>0</v>
      </c>
      <c r="LI80" s="49"/>
      <c r="LJ80" s="50">
        <v>168</v>
      </c>
      <c r="LK80" s="48">
        <v>170</v>
      </c>
      <c r="LL80" s="43">
        <v>-2</v>
      </c>
      <c r="LM80" s="49"/>
      <c r="LN80" s="50">
        <v>272</v>
      </c>
      <c r="LO80" s="48">
        <v>270</v>
      </c>
      <c r="LP80" s="48">
        <v>248</v>
      </c>
      <c r="LQ80" s="48">
        <v>0</v>
      </c>
      <c r="LR80" s="48">
        <v>253</v>
      </c>
      <c r="LS80" s="43">
        <v>-3</v>
      </c>
      <c r="LT80" s="49"/>
      <c r="LU80" s="50">
        <v>248</v>
      </c>
      <c r="LV80" s="48">
        <v>250</v>
      </c>
      <c r="LW80" s="48">
        <v>96</v>
      </c>
      <c r="LX80" s="48">
        <v>100</v>
      </c>
      <c r="LY80" s="43">
        <v>-6</v>
      </c>
      <c r="LZ80" s="49"/>
      <c r="MA80" s="50">
        <v>352</v>
      </c>
      <c r="MB80" s="48">
        <v>350</v>
      </c>
      <c r="MC80" s="43">
        <v>2</v>
      </c>
      <c r="MD80" s="49"/>
      <c r="ME80" s="50">
        <v>0</v>
      </c>
      <c r="MF80" s="48">
        <v>0</v>
      </c>
      <c r="MG80" s="48">
        <v>0</v>
      </c>
      <c r="MH80" s="48">
        <v>0</v>
      </c>
      <c r="MI80" s="43">
        <v>0</v>
      </c>
      <c r="MJ80" s="49"/>
      <c r="MK80" s="50">
        <v>0</v>
      </c>
      <c r="ML80" s="48">
        <v>0</v>
      </c>
      <c r="MM80" s="43">
        <v>0</v>
      </c>
      <c r="MN80" s="49"/>
      <c r="MO80" s="50">
        <v>0</v>
      </c>
      <c r="MP80" s="48">
        <v>0</v>
      </c>
      <c r="MQ80" s="48">
        <v>0</v>
      </c>
      <c r="MR80" s="48">
        <v>0</v>
      </c>
      <c r="MS80" s="43">
        <v>0</v>
      </c>
      <c r="MT80" s="49"/>
      <c r="MU80" s="48">
        <v>0</v>
      </c>
      <c r="MV80" s="46"/>
      <c r="MW80" s="48">
        <v>216</v>
      </c>
      <c r="MX80" s="48">
        <v>220</v>
      </c>
      <c r="MY80" s="43">
        <v>-4</v>
      </c>
      <c r="MZ80" s="49"/>
      <c r="NA80" s="50">
        <v>48</v>
      </c>
      <c r="NB80" s="48">
        <v>50</v>
      </c>
      <c r="NC80" s="48">
        <v>96</v>
      </c>
      <c r="ND80" s="48">
        <v>100</v>
      </c>
      <c r="NE80" s="43">
        <v>-6</v>
      </c>
      <c r="NF80" s="49"/>
      <c r="NG80" s="50">
        <v>0</v>
      </c>
      <c r="NH80" s="48">
        <v>0</v>
      </c>
      <c r="NI80" s="48">
        <v>40</v>
      </c>
      <c r="NJ80" s="48">
        <v>40</v>
      </c>
      <c r="NK80" s="43">
        <v>0</v>
      </c>
      <c r="NL80" s="49"/>
      <c r="NM80" s="50">
        <v>72</v>
      </c>
      <c r="NN80" s="48">
        <v>70</v>
      </c>
      <c r="NO80" s="48">
        <v>120</v>
      </c>
      <c r="NP80" s="48">
        <v>120</v>
      </c>
      <c r="NQ80" s="43">
        <v>2</v>
      </c>
      <c r="NR80" s="49"/>
      <c r="NS80" s="50">
        <v>0</v>
      </c>
      <c r="NT80" s="33">
        <v>80</v>
      </c>
      <c r="NU80" s="48">
        <v>152</v>
      </c>
      <c r="NV80" s="48">
        <v>150</v>
      </c>
      <c r="NW80" s="42">
        <v>-78</v>
      </c>
      <c r="NX80" s="49">
        <v>27.3</v>
      </c>
      <c r="NY80" s="50">
        <v>0</v>
      </c>
      <c r="NZ80" s="48">
        <v>0</v>
      </c>
      <c r="OA80" s="48">
        <v>96</v>
      </c>
      <c r="OB80" s="48">
        <v>100</v>
      </c>
      <c r="OC80" s="43">
        <v>-4</v>
      </c>
      <c r="OD80" s="49"/>
      <c r="OE80" s="50">
        <v>200</v>
      </c>
      <c r="OF80" s="48">
        <v>200</v>
      </c>
      <c r="OG80" s="43">
        <v>0</v>
      </c>
      <c r="OH80" s="49"/>
      <c r="OI80" s="50">
        <v>0</v>
      </c>
      <c r="OJ80" s="48">
        <v>0</v>
      </c>
      <c r="OK80" s="43">
        <v>0</v>
      </c>
      <c r="OL80" s="49"/>
      <c r="OM80" s="50">
        <v>0</v>
      </c>
      <c r="ON80" s="48">
        <v>0</v>
      </c>
      <c r="OO80" s="48">
        <v>48</v>
      </c>
      <c r="OP80" s="48">
        <v>50</v>
      </c>
      <c r="OQ80" s="43">
        <v>-2</v>
      </c>
      <c r="OR80" s="49"/>
      <c r="OS80" s="50">
        <v>0</v>
      </c>
      <c r="OT80" s="48">
        <v>0</v>
      </c>
      <c r="OU80" s="43">
        <v>0</v>
      </c>
      <c r="OV80" s="49"/>
      <c r="OW80" s="50">
        <v>0</v>
      </c>
      <c r="OX80" s="48">
        <v>0</v>
      </c>
      <c r="OY80" s="48">
        <v>0</v>
      </c>
      <c r="OZ80" s="48">
        <v>0</v>
      </c>
      <c r="PA80" s="43">
        <v>0</v>
      </c>
      <c r="PB80" s="49"/>
      <c r="PC80" s="50">
        <v>0</v>
      </c>
      <c r="PD80" s="48">
        <v>0</v>
      </c>
      <c r="PE80" s="43">
        <v>0</v>
      </c>
      <c r="PF80" s="49"/>
      <c r="PG80" s="50">
        <v>0</v>
      </c>
      <c r="PH80" s="48">
        <v>0</v>
      </c>
      <c r="PI80" s="48">
        <v>40</v>
      </c>
      <c r="PJ80" s="48">
        <v>40</v>
      </c>
      <c r="PK80" s="43">
        <v>0</v>
      </c>
      <c r="PL80" s="49"/>
      <c r="PM80" s="47">
        <v>0</v>
      </c>
      <c r="PN80" s="48">
        <v>0</v>
      </c>
      <c r="PO80" s="48">
        <v>80</v>
      </c>
      <c r="PP80" s="48">
        <v>81</v>
      </c>
      <c r="PQ80" s="43">
        <v>-1</v>
      </c>
      <c r="PR80" s="49"/>
      <c r="PS80" s="47">
        <v>48</v>
      </c>
      <c r="PT80" s="43">
        <v>50</v>
      </c>
      <c r="PU80" s="43">
        <v>0</v>
      </c>
      <c r="PV80" s="43">
        <v>0</v>
      </c>
      <c r="PW80" s="43">
        <v>-2</v>
      </c>
      <c r="PX80" s="46"/>
      <c r="PY80" s="47">
        <v>48</v>
      </c>
      <c r="PZ80" s="43">
        <v>50</v>
      </c>
      <c r="QA80" s="43">
        <v>-2</v>
      </c>
      <c r="QB80" s="46"/>
      <c r="QC80" s="47">
        <v>56</v>
      </c>
      <c r="QD80" s="43">
        <v>60</v>
      </c>
      <c r="QE80" s="43">
        <v>72</v>
      </c>
      <c r="QF80" s="43">
        <v>70</v>
      </c>
      <c r="QG80" s="43">
        <v>-2</v>
      </c>
      <c r="QH80" s="46"/>
      <c r="QI80" s="47">
        <v>32</v>
      </c>
      <c r="QJ80" s="43">
        <v>30</v>
      </c>
      <c r="QK80" s="43">
        <v>0</v>
      </c>
      <c r="QL80" s="43">
        <v>0</v>
      </c>
      <c r="QM80" s="43">
        <v>2</v>
      </c>
      <c r="QN80" s="46"/>
      <c r="QO80" s="47">
        <v>56</v>
      </c>
      <c r="QP80" s="43">
        <v>60</v>
      </c>
      <c r="QQ80" s="43">
        <v>0</v>
      </c>
      <c r="QR80" s="43">
        <v>100</v>
      </c>
      <c r="QS80" s="42">
        <v>-104</v>
      </c>
      <c r="QT80" s="46">
        <v>36.4</v>
      </c>
      <c r="QU80" s="47">
        <v>0</v>
      </c>
      <c r="QV80" s="43">
        <v>0</v>
      </c>
      <c r="QW80" s="43">
        <v>0</v>
      </c>
      <c r="QX80" s="46"/>
      <c r="QY80" s="47">
        <v>0</v>
      </c>
      <c r="QZ80" s="43">
        <v>0</v>
      </c>
      <c r="RA80" s="43">
        <v>96</v>
      </c>
      <c r="RB80" s="43">
        <v>99</v>
      </c>
      <c r="RC80" s="43">
        <v>-3</v>
      </c>
      <c r="RD80" s="46"/>
    </row>
    <row r="81" spans="1:472" x14ac:dyDescent="0.25">
      <c r="A81" s="43" t="s">
        <v>369</v>
      </c>
      <c r="B81" s="44">
        <v>1</v>
      </c>
      <c r="I81" s="47"/>
      <c r="J81" s="51"/>
      <c r="K81" s="51"/>
      <c r="L81" s="51"/>
      <c r="M81" s="51">
        <f t="shared" si="12"/>
        <v>0</v>
      </c>
      <c r="N81" s="46"/>
      <c r="O81" s="47"/>
      <c r="P81" s="51"/>
      <c r="Q81" s="51"/>
      <c r="R81" s="51"/>
      <c r="S81" s="51">
        <f t="shared" si="13"/>
        <v>0</v>
      </c>
      <c r="T81" s="46"/>
      <c r="U81" s="47"/>
      <c r="V81" s="51"/>
      <c r="W81" s="51"/>
      <c r="X81" s="51"/>
      <c r="Y81" s="51">
        <f t="shared" si="14"/>
        <v>0</v>
      </c>
      <c r="Z81" s="46"/>
      <c r="AA81" s="51"/>
      <c r="AE81" s="43">
        <v>0</v>
      </c>
      <c r="AF81" s="46"/>
      <c r="AG81" s="47"/>
      <c r="AK81" s="43">
        <v>0</v>
      </c>
      <c r="AL81" s="46"/>
      <c r="AQ81" s="43">
        <v>0</v>
      </c>
      <c r="AR81" s="46"/>
      <c r="AW81" s="43">
        <v>0</v>
      </c>
      <c r="AX81" s="46"/>
      <c r="AY81" s="47"/>
      <c r="BC81" s="43">
        <v>0</v>
      </c>
      <c r="BD81" s="46"/>
      <c r="BE81" s="47"/>
      <c r="BI81" s="43">
        <v>0</v>
      </c>
      <c r="BJ81" s="46"/>
      <c r="BP81" s="43">
        <v>0</v>
      </c>
      <c r="BQ81" s="46"/>
      <c r="BT81" s="43">
        <v>0</v>
      </c>
      <c r="BU81" s="46"/>
      <c r="BV81" s="47"/>
      <c r="BZ81" s="43">
        <v>0</v>
      </c>
      <c r="CA81" s="46"/>
      <c r="CF81" s="43">
        <v>0</v>
      </c>
      <c r="CG81" s="46"/>
      <c r="CL81" s="43">
        <v>0</v>
      </c>
      <c r="CM81" s="46"/>
      <c r="CN81" s="47"/>
      <c r="CR81" s="43">
        <v>0</v>
      </c>
      <c r="CS81" s="46"/>
      <c r="CX81" s="43">
        <v>0</v>
      </c>
      <c r="CY81" s="46"/>
      <c r="CZ81" s="47"/>
      <c r="DD81" s="43">
        <v>0</v>
      </c>
      <c r="DE81" s="46"/>
      <c r="DF81" s="47"/>
      <c r="DL81" s="43">
        <v>0</v>
      </c>
      <c r="DM81" s="46"/>
      <c r="DN81" s="47"/>
      <c r="DR81" s="43">
        <v>0</v>
      </c>
      <c r="DS81" s="46"/>
      <c r="DZ81" s="43">
        <v>0</v>
      </c>
      <c r="EA81" s="46"/>
      <c r="EB81" s="47"/>
      <c r="EF81" s="43">
        <v>0</v>
      </c>
      <c r="EG81" s="46"/>
      <c r="EH81" s="47"/>
      <c r="EL81" s="43">
        <v>0</v>
      </c>
      <c r="EM81" s="46"/>
      <c r="EN81" s="47"/>
      <c r="ER81" s="43">
        <v>0</v>
      </c>
      <c r="ES81" s="46"/>
      <c r="EZ81" s="43">
        <v>0</v>
      </c>
      <c r="FA81" s="46"/>
      <c r="FG81" s="43">
        <v>0</v>
      </c>
      <c r="FH81" s="46"/>
      <c r="FI81" s="47"/>
      <c r="FL81" s="43">
        <v>0</v>
      </c>
      <c r="FM81" s="46"/>
      <c r="FN81" s="47"/>
      <c r="FQ81" s="43">
        <v>0</v>
      </c>
      <c r="FR81" s="46"/>
      <c r="FW81" s="43">
        <v>0</v>
      </c>
      <c r="FX81" s="46"/>
      <c r="FY81" s="47"/>
      <c r="GD81" s="43">
        <v>0</v>
      </c>
      <c r="GE81" s="46"/>
      <c r="GJ81" s="43">
        <v>0</v>
      </c>
      <c r="GK81" s="46"/>
      <c r="GL81" s="47"/>
      <c r="GP81" s="43">
        <v>0</v>
      </c>
      <c r="GQ81" s="46"/>
      <c r="GV81" s="43">
        <v>0</v>
      </c>
      <c r="GW81" s="46"/>
      <c r="GX81" s="47"/>
      <c r="GZ81" s="43">
        <v>0</v>
      </c>
      <c r="HA81" s="46"/>
      <c r="HB81" s="47"/>
      <c r="HF81" s="43">
        <v>0</v>
      </c>
      <c r="HG81" s="46"/>
      <c r="HH81" s="47"/>
      <c r="HJ81" s="43">
        <v>0</v>
      </c>
      <c r="HK81" s="46"/>
      <c r="HL81" s="47"/>
      <c r="HP81" s="43">
        <v>0</v>
      </c>
      <c r="HQ81" s="46"/>
      <c r="HX81" s="43">
        <v>0</v>
      </c>
      <c r="HY81" s="46"/>
      <c r="HZ81" s="47"/>
      <c r="ID81" s="43">
        <v>0</v>
      </c>
      <c r="IE81" s="46"/>
      <c r="IJ81" s="43">
        <v>0</v>
      </c>
      <c r="IK81" s="49"/>
      <c r="IP81" s="43">
        <v>0</v>
      </c>
      <c r="IQ81" s="49"/>
      <c r="IV81" s="43">
        <v>0</v>
      </c>
      <c r="IW81" s="49"/>
      <c r="JB81" s="43">
        <v>0</v>
      </c>
      <c r="JC81" s="46"/>
      <c r="JF81" s="43">
        <v>0</v>
      </c>
      <c r="JG81" s="49"/>
      <c r="JL81" s="43">
        <v>0</v>
      </c>
      <c r="JM81" s="46"/>
      <c r="JN81" s="50"/>
      <c r="JP81" s="43">
        <v>0</v>
      </c>
      <c r="JQ81" s="49"/>
      <c r="JV81" s="43">
        <v>0</v>
      </c>
      <c r="JW81" s="49"/>
      <c r="KB81" s="43">
        <v>0</v>
      </c>
      <c r="KC81" s="49"/>
      <c r="KH81" s="43">
        <v>0</v>
      </c>
      <c r="KI81" s="49"/>
      <c r="KN81" s="43">
        <v>0</v>
      </c>
      <c r="KO81" s="49"/>
      <c r="KP81" s="50"/>
      <c r="KV81" s="43">
        <v>0</v>
      </c>
      <c r="KW81" s="49"/>
      <c r="KX81" s="48">
        <v>0</v>
      </c>
      <c r="KY81" s="48">
        <v>0</v>
      </c>
      <c r="KZ81" s="48">
        <v>0</v>
      </c>
      <c r="LA81" s="48">
        <v>0</v>
      </c>
      <c r="LB81" s="43">
        <v>0</v>
      </c>
      <c r="LC81" s="49"/>
      <c r="LD81" s="48">
        <v>0</v>
      </c>
      <c r="LE81" s="48">
        <v>0</v>
      </c>
      <c r="LF81" s="48">
        <v>102.563</v>
      </c>
      <c r="LG81" s="48">
        <v>100</v>
      </c>
      <c r="LH81" s="43">
        <v>2.5630000000000019</v>
      </c>
      <c r="LI81" s="49"/>
      <c r="LJ81" s="50">
        <v>254.92699999999999</v>
      </c>
      <c r="LK81" s="48">
        <v>250</v>
      </c>
      <c r="LL81" s="43">
        <v>4.9269999999999916</v>
      </c>
      <c r="LM81" s="49"/>
      <c r="LN81" s="50">
        <v>102.624</v>
      </c>
      <c r="LO81" s="48">
        <v>100</v>
      </c>
      <c r="LP81" s="48">
        <v>102.825</v>
      </c>
      <c r="LQ81" s="48">
        <v>0</v>
      </c>
      <c r="LR81" s="48">
        <v>100</v>
      </c>
      <c r="LS81" s="43">
        <v>5.4490000000000123</v>
      </c>
      <c r="LT81" s="49"/>
      <c r="LU81" s="50">
        <v>154.69300000000001</v>
      </c>
      <c r="LV81" s="48">
        <v>150</v>
      </c>
      <c r="LW81" s="48">
        <v>196.119</v>
      </c>
      <c r="LX81" s="48">
        <v>200</v>
      </c>
      <c r="LY81" s="43">
        <v>0.81200000000001182</v>
      </c>
      <c r="LZ81" s="49"/>
      <c r="MA81" s="50">
        <v>0</v>
      </c>
      <c r="MB81" s="48">
        <v>0</v>
      </c>
      <c r="MC81" s="43">
        <v>0</v>
      </c>
      <c r="MD81" s="49"/>
      <c r="ME81" s="50">
        <v>90.8</v>
      </c>
      <c r="MF81" s="48">
        <v>90</v>
      </c>
      <c r="MG81" s="48">
        <v>171.89699999999999</v>
      </c>
      <c r="MH81" s="48">
        <v>170</v>
      </c>
      <c r="MI81" s="43">
        <v>2.6970000000000032</v>
      </c>
      <c r="MJ81" s="49"/>
      <c r="MK81" s="50">
        <v>450.35899999999998</v>
      </c>
      <c r="ML81" s="48">
        <v>450</v>
      </c>
      <c r="MM81" s="43">
        <v>0.35899999999998039</v>
      </c>
      <c r="MN81" s="49"/>
      <c r="MO81" s="50">
        <v>50.524999999999999</v>
      </c>
      <c r="MP81" s="48">
        <v>50</v>
      </c>
      <c r="MQ81" s="48">
        <v>162.524</v>
      </c>
      <c r="MR81" s="48">
        <v>162</v>
      </c>
      <c r="MS81" s="43">
        <v>1.049000000000007</v>
      </c>
      <c r="MT81" s="49"/>
      <c r="MU81" s="48">
        <v>18.074000000000002</v>
      </c>
      <c r="MV81" s="46">
        <v>-18.074000000000002</v>
      </c>
      <c r="MW81" s="48">
        <v>385.58600000000001</v>
      </c>
      <c r="MX81" s="48">
        <v>400</v>
      </c>
      <c r="MY81" s="42">
        <v>-14.413999999999991</v>
      </c>
      <c r="MZ81" s="49">
        <v>14.413999999999991</v>
      </c>
      <c r="NA81" s="50">
        <v>0</v>
      </c>
      <c r="NB81" s="48">
        <v>0</v>
      </c>
      <c r="NC81" s="48">
        <v>133.261</v>
      </c>
      <c r="ND81" s="48">
        <v>130</v>
      </c>
      <c r="NE81" s="43">
        <v>3.2609999999999961</v>
      </c>
      <c r="NF81" s="49"/>
      <c r="NG81" s="50">
        <v>0</v>
      </c>
      <c r="NH81" s="33">
        <v>100</v>
      </c>
      <c r="NI81" s="48">
        <v>102.142</v>
      </c>
      <c r="NJ81" s="48">
        <v>100</v>
      </c>
      <c r="NK81" s="42">
        <v>-97.858000000000004</v>
      </c>
      <c r="NL81" s="49">
        <v>97.858000000000004</v>
      </c>
      <c r="NM81" s="50">
        <v>149.971</v>
      </c>
      <c r="NN81" s="48">
        <v>150</v>
      </c>
      <c r="NO81" s="48">
        <v>199.57</v>
      </c>
      <c r="NP81" s="48">
        <v>200</v>
      </c>
      <c r="NQ81" s="43">
        <v>-0.45900000000000318</v>
      </c>
      <c r="NR81" s="49"/>
      <c r="NS81" s="50">
        <v>0</v>
      </c>
      <c r="NT81" s="33">
        <v>80</v>
      </c>
      <c r="NU81" s="48">
        <v>150.05199999999999</v>
      </c>
      <c r="NV81" s="48">
        <v>150</v>
      </c>
      <c r="NW81" s="42">
        <v>-79.948000000000008</v>
      </c>
      <c r="NX81" s="49">
        <v>79.948000000000008</v>
      </c>
      <c r="NY81" s="50">
        <v>102.221</v>
      </c>
      <c r="NZ81" s="48">
        <v>100</v>
      </c>
      <c r="OA81" s="48">
        <v>102.22799999999999</v>
      </c>
      <c r="OB81" s="48">
        <v>100</v>
      </c>
      <c r="OC81" s="43">
        <v>4.4490000000000123</v>
      </c>
      <c r="OD81" s="49"/>
      <c r="OE81" s="50">
        <v>171.28200000000001</v>
      </c>
      <c r="OF81" s="48">
        <v>170</v>
      </c>
      <c r="OG81" s="43">
        <v>1.2820000000000109</v>
      </c>
      <c r="OH81" s="49"/>
      <c r="OI81" s="50">
        <v>179.08099999999999</v>
      </c>
      <c r="OJ81" s="48">
        <v>178</v>
      </c>
      <c r="OK81" s="43">
        <v>1.0809999999999891</v>
      </c>
      <c r="OL81" s="49"/>
      <c r="OM81" s="50">
        <v>0</v>
      </c>
      <c r="ON81" s="48">
        <v>0</v>
      </c>
      <c r="OO81" s="48">
        <v>181.67699999999999</v>
      </c>
      <c r="OP81" s="48">
        <v>180</v>
      </c>
      <c r="OQ81" s="43">
        <v>1.6769999999999921</v>
      </c>
      <c r="OR81" s="49"/>
      <c r="OS81" s="50">
        <v>29.88</v>
      </c>
      <c r="OT81" s="48">
        <v>30</v>
      </c>
      <c r="OU81" s="43">
        <v>-0.12000000000000099</v>
      </c>
      <c r="OV81" s="49"/>
      <c r="OW81" s="50">
        <v>210.76499999999999</v>
      </c>
      <c r="OX81" s="48">
        <v>210</v>
      </c>
      <c r="OY81" s="48">
        <v>180.41499999999999</v>
      </c>
      <c r="OZ81" s="48">
        <v>180</v>
      </c>
      <c r="PA81" s="43">
        <v>1.17999999999995</v>
      </c>
      <c r="PB81" s="49"/>
      <c r="PC81" s="50">
        <v>0</v>
      </c>
      <c r="PD81" s="48">
        <v>0</v>
      </c>
      <c r="PE81" s="43">
        <v>0</v>
      </c>
      <c r="PF81" s="49"/>
      <c r="PG81" s="50">
        <v>0</v>
      </c>
      <c r="PH81" s="48">
        <v>0</v>
      </c>
      <c r="PI81" s="48">
        <v>69.287000000000006</v>
      </c>
      <c r="PJ81" s="48">
        <v>69</v>
      </c>
      <c r="PK81" s="43">
        <v>0.28700000000000608</v>
      </c>
      <c r="PL81" s="49"/>
      <c r="PM81" s="47">
        <v>0</v>
      </c>
      <c r="PN81" s="48">
        <v>0</v>
      </c>
      <c r="PO81" s="48">
        <v>0</v>
      </c>
      <c r="PP81" s="48">
        <v>0</v>
      </c>
      <c r="PQ81" s="43">
        <v>0</v>
      </c>
      <c r="PR81" s="49"/>
      <c r="PS81" s="47">
        <v>102.441</v>
      </c>
      <c r="PT81" s="43">
        <v>100</v>
      </c>
      <c r="PU81" s="43">
        <v>103.313</v>
      </c>
      <c r="PV81" s="43">
        <v>100</v>
      </c>
      <c r="PW81" s="43">
        <v>5.7540000000000191</v>
      </c>
      <c r="PX81" s="46"/>
      <c r="PY81" s="47">
        <v>299.67</v>
      </c>
      <c r="PZ81" s="43">
        <v>300</v>
      </c>
      <c r="QA81" s="43">
        <v>-0.32999999999998408</v>
      </c>
      <c r="QB81" s="46"/>
      <c r="QC81" s="47">
        <v>99.474999999999994</v>
      </c>
      <c r="QD81" s="43">
        <v>98</v>
      </c>
      <c r="QE81" s="43">
        <v>118.321</v>
      </c>
      <c r="QF81" s="43">
        <v>120</v>
      </c>
      <c r="QG81" s="43">
        <v>-0.2040000000000077</v>
      </c>
      <c r="QH81" s="46"/>
      <c r="QI81" s="47">
        <v>0</v>
      </c>
      <c r="QJ81" s="43">
        <v>0</v>
      </c>
      <c r="QK81" s="43">
        <v>0</v>
      </c>
      <c r="QL81" s="43">
        <v>0</v>
      </c>
      <c r="QM81" s="43">
        <v>0</v>
      </c>
      <c r="QN81" s="46"/>
      <c r="QO81" s="47">
        <v>102.59</v>
      </c>
      <c r="QP81" s="43">
        <v>100</v>
      </c>
      <c r="QQ81" s="43">
        <v>0</v>
      </c>
      <c r="QR81" s="43">
        <v>100</v>
      </c>
      <c r="QS81" s="42">
        <v>-97.41</v>
      </c>
      <c r="QT81" s="46">
        <v>97.41</v>
      </c>
      <c r="QU81" s="47">
        <v>230.565</v>
      </c>
      <c r="QV81" s="43">
        <v>230</v>
      </c>
      <c r="QW81" s="43">
        <v>0.56499999999999773</v>
      </c>
      <c r="QX81" s="46"/>
      <c r="QY81" s="47">
        <v>0</v>
      </c>
      <c r="QZ81" s="43">
        <v>0</v>
      </c>
      <c r="RA81" s="43">
        <v>0</v>
      </c>
      <c r="RB81" s="43">
        <v>0</v>
      </c>
      <c r="RC81" s="43">
        <v>0</v>
      </c>
      <c r="RD81" s="46"/>
    </row>
    <row r="82" spans="1:472" x14ac:dyDescent="0.25">
      <c r="A82" s="43" t="s">
        <v>370</v>
      </c>
      <c r="B82" s="44">
        <v>1</v>
      </c>
      <c r="E82">
        <v>80</v>
      </c>
      <c r="F82">
        <v>32</v>
      </c>
      <c r="I82" s="45">
        <v>158</v>
      </c>
      <c r="J82" s="52">
        <v>150</v>
      </c>
      <c r="K82" s="52">
        <v>173</v>
      </c>
      <c r="L82" s="52">
        <v>164</v>
      </c>
      <c r="M82" s="51">
        <f t="shared" si="12"/>
        <v>17</v>
      </c>
      <c r="N82" s="46"/>
      <c r="O82" s="45">
        <v>93</v>
      </c>
      <c r="P82" s="52">
        <v>90</v>
      </c>
      <c r="Q82" s="52">
        <v>108</v>
      </c>
      <c r="R82" s="52">
        <v>104</v>
      </c>
      <c r="S82" s="51">
        <f t="shared" si="13"/>
        <v>7</v>
      </c>
      <c r="T82" s="46"/>
      <c r="U82" s="45">
        <v>75</v>
      </c>
      <c r="V82" s="52">
        <v>70</v>
      </c>
      <c r="W82" s="52">
        <v>85</v>
      </c>
      <c r="X82" s="52">
        <v>80</v>
      </c>
      <c r="Y82" s="51">
        <f t="shared" si="14"/>
        <v>10</v>
      </c>
      <c r="Z82" s="46"/>
      <c r="AA82" s="51"/>
      <c r="AE82" s="43">
        <v>0</v>
      </c>
      <c r="AF82" s="46"/>
      <c r="AG82" s="45">
        <v>124</v>
      </c>
      <c r="AH82">
        <v>120</v>
      </c>
      <c r="AI82">
        <v>201</v>
      </c>
      <c r="AJ82">
        <v>193</v>
      </c>
      <c r="AK82" s="43">
        <v>12</v>
      </c>
      <c r="AL82" s="46"/>
      <c r="AM82">
        <v>93</v>
      </c>
      <c r="AN82">
        <v>90</v>
      </c>
      <c r="AO82">
        <v>97</v>
      </c>
      <c r="AP82">
        <v>92</v>
      </c>
      <c r="AQ82" s="43">
        <v>8</v>
      </c>
      <c r="AR82" s="46"/>
      <c r="AS82">
        <v>31</v>
      </c>
      <c r="AT82">
        <v>30</v>
      </c>
      <c r="AW82" s="43">
        <v>1</v>
      </c>
      <c r="AX82" s="46"/>
      <c r="AY82" s="45">
        <v>62</v>
      </c>
      <c r="AZ82">
        <v>60</v>
      </c>
      <c r="BA82">
        <v>106</v>
      </c>
      <c r="BB82">
        <v>100</v>
      </c>
      <c r="BC82" s="43">
        <v>8</v>
      </c>
      <c r="BD82" s="46"/>
      <c r="BE82" s="45">
        <v>53</v>
      </c>
      <c r="BF82">
        <v>50</v>
      </c>
      <c r="BG82">
        <v>64</v>
      </c>
      <c r="BH82">
        <v>63</v>
      </c>
      <c r="BI82" s="43">
        <v>4</v>
      </c>
      <c r="BJ82" s="46"/>
      <c r="BK82">
        <v>186</v>
      </c>
      <c r="BL82">
        <v>180</v>
      </c>
      <c r="BN82">
        <v>199</v>
      </c>
      <c r="BO82">
        <v>190</v>
      </c>
      <c r="BP82" s="43">
        <v>15</v>
      </c>
      <c r="BQ82" s="46"/>
      <c r="BT82" s="43">
        <v>0</v>
      </c>
      <c r="BU82" s="46"/>
      <c r="BV82" s="45">
        <v>139</v>
      </c>
      <c r="BW82">
        <v>135</v>
      </c>
      <c r="BX82">
        <v>210</v>
      </c>
      <c r="BY82">
        <v>204</v>
      </c>
      <c r="BZ82" s="43">
        <v>10</v>
      </c>
      <c r="CA82" s="46"/>
      <c r="CD82">
        <v>117</v>
      </c>
      <c r="CE82">
        <v>112</v>
      </c>
      <c r="CF82" s="43">
        <v>5</v>
      </c>
      <c r="CG82" s="46"/>
      <c r="CH82">
        <v>52</v>
      </c>
      <c r="CI82">
        <v>50</v>
      </c>
      <c r="CJ82">
        <v>182</v>
      </c>
      <c r="CK82">
        <v>176</v>
      </c>
      <c r="CL82" s="43">
        <v>8</v>
      </c>
      <c r="CM82" s="46"/>
      <c r="CN82" s="47"/>
      <c r="CP82">
        <v>138</v>
      </c>
      <c r="CQ82">
        <v>130</v>
      </c>
      <c r="CR82" s="43">
        <v>8</v>
      </c>
      <c r="CS82" s="46"/>
      <c r="CV82">
        <v>279</v>
      </c>
      <c r="CW82">
        <v>269</v>
      </c>
      <c r="CX82" s="43">
        <v>10</v>
      </c>
      <c r="CY82" s="46"/>
      <c r="CZ82" s="47"/>
      <c r="DB82">
        <v>97</v>
      </c>
      <c r="DC82">
        <v>91</v>
      </c>
      <c r="DD82" s="43">
        <v>6</v>
      </c>
      <c r="DE82" s="46"/>
      <c r="DF82" s="47"/>
      <c r="DJ82">
        <v>115</v>
      </c>
      <c r="DK82">
        <v>110</v>
      </c>
      <c r="DL82" s="43">
        <v>5</v>
      </c>
      <c r="DM82" s="46"/>
      <c r="DN82" s="45">
        <v>170</v>
      </c>
      <c r="DO82">
        <v>160</v>
      </c>
      <c r="DP82">
        <v>125</v>
      </c>
      <c r="DQ82">
        <v>120</v>
      </c>
      <c r="DR82" s="43">
        <v>15</v>
      </c>
      <c r="DS82" s="46"/>
      <c r="DT82">
        <v>106</v>
      </c>
      <c r="DU82">
        <v>100</v>
      </c>
      <c r="DV82">
        <v>261</v>
      </c>
      <c r="DW82">
        <v>250</v>
      </c>
      <c r="DZ82" s="43">
        <v>17</v>
      </c>
      <c r="EA82" s="46"/>
      <c r="EB82" s="47"/>
      <c r="ED82">
        <v>241</v>
      </c>
      <c r="EE82">
        <v>230</v>
      </c>
      <c r="EF82" s="43">
        <v>11</v>
      </c>
      <c r="EG82" s="46"/>
      <c r="EH82" s="47"/>
      <c r="EJ82">
        <v>31</v>
      </c>
      <c r="EK82">
        <v>30</v>
      </c>
      <c r="EL82" s="43">
        <v>1</v>
      </c>
      <c r="EM82" s="46"/>
      <c r="EN82" s="45">
        <v>170</v>
      </c>
      <c r="EO82">
        <v>160</v>
      </c>
      <c r="EP82">
        <v>177</v>
      </c>
      <c r="EQ82">
        <v>170</v>
      </c>
      <c r="ER82" s="43">
        <v>17</v>
      </c>
      <c r="ES82" s="46"/>
      <c r="ET82">
        <v>106</v>
      </c>
      <c r="EU82">
        <v>100</v>
      </c>
      <c r="EV82">
        <v>106</v>
      </c>
      <c r="EW82">
        <v>100</v>
      </c>
      <c r="EX82">
        <v>155</v>
      </c>
      <c r="EY82">
        <v>150</v>
      </c>
      <c r="EZ82" s="43">
        <v>17</v>
      </c>
      <c r="FA82" s="46"/>
      <c r="FD82">
        <v>242</v>
      </c>
      <c r="FF82">
        <v>220</v>
      </c>
      <c r="FG82" s="43">
        <v>22</v>
      </c>
      <c r="FH82" s="46"/>
      <c r="FI82" s="45">
        <v>88</v>
      </c>
      <c r="FK82" s="48">
        <v>83.617999999999938</v>
      </c>
      <c r="FL82" s="43">
        <v>4.3820000000000618</v>
      </c>
      <c r="FM82" s="46"/>
      <c r="FN82" s="47"/>
      <c r="FQ82" s="43">
        <v>0</v>
      </c>
      <c r="FR82" s="46"/>
      <c r="FS82">
        <v>261</v>
      </c>
      <c r="FV82">
        <v>250</v>
      </c>
      <c r="FW82" s="43">
        <v>11</v>
      </c>
      <c r="FX82" s="46"/>
      <c r="FY82" s="45">
        <v>115</v>
      </c>
      <c r="GA82">
        <v>110</v>
      </c>
      <c r="GB82">
        <v>114</v>
      </c>
      <c r="GC82">
        <v>110</v>
      </c>
      <c r="GD82" s="43">
        <v>9</v>
      </c>
      <c r="GE82" s="46"/>
      <c r="GH82">
        <v>21</v>
      </c>
      <c r="GI82">
        <v>20</v>
      </c>
      <c r="GJ82" s="43">
        <v>1</v>
      </c>
      <c r="GK82" s="46"/>
      <c r="GL82" s="45">
        <v>155</v>
      </c>
      <c r="GM82">
        <v>150</v>
      </c>
      <c r="GN82">
        <v>189</v>
      </c>
      <c r="GO82">
        <v>180</v>
      </c>
      <c r="GP82" s="43">
        <v>14</v>
      </c>
      <c r="GQ82" s="46"/>
      <c r="GR82">
        <v>153</v>
      </c>
      <c r="GS82">
        <v>150</v>
      </c>
      <c r="GT82">
        <v>176</v>
      </c>
      <c r="GU82">
        <v>170</v>
      </c>
      <c r="GV82" s="43">
        <v>9</v>
      </c>
      <c r="GW82" s="46"/>
      <c r="GX82" s="45">
        <v>37</v>
      </c>
      <c r="GY82" s="48">
        <v>36.031799999999997</v>
      </c>
      <c r="GZ82" s="43">
        <v>0.96820000000000306</v>
      </c>
      <c r="HA82" s="46"/>
      <c r="HB82" s="45">
        <v>209</v>
      </c>
      <c r="HC82">
        <v>200</v>
      </c>
      <c r="HD82">
        <v>241</v>
      </c>
      <c r="HE82">
        <v>230</v>
      </c>
      <c r="HF82" s="43">
        <v>20</v>
      </c>
      <c r="HG82" s="46"/>
      <c r="HH82" s="47"/>
      <c r="HJ82" s="43">
        <v>0</v>
      </c>
      <c r="HK82" s="46"/>
      <c r="HL82" s="45">
        <v>106</v>
      </c>
      <c r="HM82">
        <v>100</v>
      </c>
      <c r="HN82">
        <v>105</v>
      </c>
      <c r="HO82">
        <v>100</v>
      </c>
      <c r="HP82" s="43">
        <v>11</v>
      </c>
      <c r="HQ82" s="46"/>
      <c r="HV82">
        <v>315</v>
      </c>
      <c r="HW82">
        <v>320</v>
      </c>
      <c r="HX82" s="42">
        <v>-5</v>
      </c>
      <c r="HY82" s="46">
        <v>5</v>
      </c>
      <c r="HZ82" s="45">
        <v>112</v>
      </c>
      <c r="IA82">
        <v>110</v>
      </c>
      <c r="IB82">
        <v>79</v>
      </c>
      <c r="IC82">
        <v>80</v>
      </c>
      <c r="ID82" s="43">
        <v>1</v>
      </c>
      <c r="IE82" s="46"/>
      <c r="IH82">
        <v>149</v>
      </c>
      <c r="II82">
        <v>150</v>
      </c>
      <c r="IJ82" s="43">
        <v>-1</v>
      </c>
      <c r="IK82" s="49"/>
      <c r="IL82">
        <v>101</v>
      </c>
      <c r="IM82">
        <v>100</v>
      </c>
      <c r="IN82">
        <v>189</v>
      </c>
      <c r="IO82">
        <v>190</v>
      </c>
      <c r="IP82" s="43">
        <v>0</v>
      </c>
      <c r="IQ82" s="49"/>
      <c r="IR82">
        <v>101</v>
      </c>
      <c r="IS82">
        <v>100</v>
      </c>
      <c r="IT82">
        <v>73</v>
      </c>
      <c r="IU82">
        <v>70</v>
      </c>
      <c r="IV82" s="43">
        <v>4</v>
      </c>
      <c r="IW82" s="49"/>
      <c r="IX82">
        <v>258</v>
      </c>
      <c r="IY82">
        <v>260</v>
      </c>
      <c r="IZ82">
        <v>231</v>
      </c>
      <c r="JA82">
        <v>230</v>
      </c>
      <c r="JB82" s="43">
        <v>-1</v>
      </c>
      <c r="JC82" s="46"/>
      <c r="JF82" s="43">
        <v>0</v>
      </c>
      <c r="JG82" s="49"/>
      <c r="JH82">
        <v>130</v>
      </c>
      <c r="JI82">
        <v>130</v>
      </c>
      <c r="JJ82">
        <v>103</v>
      </c>
      <c r="JK82">
        <v>104</v>
      </c>
      <c r="JL82" s="43">
        <v>-1</v>
      </c>
      <c r="JM82" s="46"/>
      <c r="JN82" s="50"/>
      <c r="JP82" s="43">
        <v>0</v>
      </c>
      <c r="JQ82" s="49"/>
      <c r="JV82" s="43">
        <v>0</v>
      </c>
      <c r="JW82" s="49"/>
      <c r="JX82">
        <v>199</v>
      </c>
      <c r="JY82">
        <v>200</v>
      </c>
      <c r="JZ82">
        <v>291</v>
      </c>
      <c r="KA82">
        <v>300</v>
      </c>
      <c r="KB82" s="42">
        <v>-10</v>
      </c>
      <c r="KC82" s="49">
        <v>10</v>
      </c>
      <c r="KH82" s="43">
        <v>0</v>
      </c>
      <c r="KI82" s="49"/>
      <c r="KN82" s="43">
        <v>0</v>
      </c>
      <c r="KO82" s="49"/>
      <c r="KP82" s="45">
        <v>82</v>
      </c>
      <c r="KQ82">
        <v>80</v>
      </c>
      <c r="KR82">
        <v>102</v>
      </c>
      <c r="KS82">
        <v>100</v>
      </c>
      <c r="KT82">
        <v>85</v>
      </c>
      <c r="KU82">
        <v>82</v>
      </c>
      <c r="KV82" s="43">
        <v>7</v>
      </c>
      <c r="KW82" s="49"/>
      <c r="KX82" s="48">
        <v>0</v>
      </c>
      <c r="KY82" s="48">
        <v>0</v>
      </c>
      <c r="KZ82" s="48">
        <v>94.778000000000006</v>
      </c>
      <c r="LA82" s="48">
        <v>94</v>
      </c>
      <c r="LB82" s="43">
        <v>0.7780000000000058</v>
      </c>
      <c r="LC82" s="49"/>
      <c r="LI82" s="49"/>
      <c r="LJ82" s="50"/>
      <c r="LM82" s="49"/>
      <c r="LN82" s="50"/>
      <c r="LT82" s="49"/>
      <c r="LU82" s="50"/>
      <c r="LZ82" s="49"/>
      <c r="MA82" s="50"/>
      <c r="MD82" s="49"/>
      <c r="ME82" s="50"/>
      <c r="MJ82" s="49"/>
      <c r="MK82" s="50"/>
      <c r="MN82" s="49"/>
      <c r="MO82" s="50"/>
      <c r="MT82" s="49"/>
      <c r="MV82" s="46"/>
      <c r="MZ82" s="49"/>
      <c r="NA82" s="50"/>
      <c r="NF82" s="49"/>
      <c r="NG82" s="50"/>
      <c r="NL82" s="49"/>
      <c r="NM82" s="50"/>
      <c r="NR82" s="49"/>
      <c r="NS82" s="50"/>
      <c r="NX82" s="49"/>
      <c r="NY82" s="50"/>
      <c r="OD82" s="49"/>
      <c r="OE82" s="50"/>
      <c r="OH82" s="49"/>
      <c r="OI82" s="50"/>
      <c r="OL82" s="49"/>
      <c r="OM82" s="50"/>
      <c r="OR82" s="49"/>
      <c r="OS82" s="50"/>
      <c r="OV82" s="49"/>
      <c r="OW82" s="50"/>
      <c r="PB82" s="49"/>
      <c r="PC82" s="50"/>
      <c r="PF82" s="49"/>
      <c r="PG82" s="50"/>
      <c r="PL82" s="49"/>
      <c r="PM82" s="47"/>
      <c r="PN82" s="48"/>
      <c r="PP82" s="48"/>
      <c r="PR82" s="49"/>
      <c r="PS82" s="47"/>
      <c r="PX82" s="46"/>
      <c r="PY82" s="47"/>
      <c r="QB82" s="46"/>
      <c r="QC82" s="47"/>
      <c r="QH82" s="46"/>
      <c r="QI82" s="47"/>
      <c r="QN82" s="46"/>
      <c r="QO82" s="47"/>
      <c r="QT82" s="46"/>
      <c r="QU82" s="47"/>
      <c r="QX82" s="46"/>
      <c r="QY82" s="47"/>
      <c r="RD82" s="46"/>
    </row>
    <row r="83" spans="1:472" x14ac:dyDescent="0.25">
      <c r="A83" s="43" t="s">
        <v>371</v>
      </c>
      <c r="B83" s="44">
        <v>0.4</v>
      </c>
      <c r="I83" s="47"/>
      <c r="J83" s="51"/>
      <c r="K83" s="51"/>
      <c r="L83" s="51"/>
      <c r="M83" s="51">
        <f t="shared" si="12"/>
        <v>0</v>
      </c>
      <c r="N83" s="46"/>
      <c r="O83" s="47"/>
      <c r="P83" s="51"/>
      <c r="Q83" s="52">
        <v>42</v>
      </c>
      <c r="R83" s="52">
        <v>45</v>
      </c>
      <c r="S83" s="51">
        <f t="shared" si="13"/>
        <v>-3</v>
      </c>
      <c r="T83" s="46"/>
      <c r="U83" s="47"/>
      <c r="V83" s="51"/>
      <c r="W83" s="51"/>
      <c r="X83" s="52">
        <v>30</v>
      </c>
      <c r="Y83" s="56">
        <f t="shared" si="14"/>
        <v>-30</v>
      </c>
      <c r="Z83" s="46">
        <f>-1*Y83*B83</f>
        <v>12</v>
      </c>
      <c r="AA83" s="51"/>
      <c r="AE83" s="43">
        <v>0</v>
      </c>
      <c r="AF83" s="46"/>
      <c r="AG83" s="47"/>
      <c r="AI83">
        <v>48</v>
      </c>
      <c r="AJ83">
        <v>49</v>
      </c>
      <c r="AK83" s="43">
        <v>-1</v>
      </c>
      <c r="AL83" s="46"/>
      <c r="AQ83" s="43">
        <v>0</v>
      </c>
      <c r="AR83" s="46"/>
      <c r="AW83" s="43">
        <v>0</v>
      </c>
      <c r="AX83" s="46"/>
      <c r="AY83" s="47"/>
      <c r="BC83" s="43">
        <v>0</v>
      </c>
      <c r="BD83" s="46"/>
      <c r="BE83" s="47"/>
      <c r="BI83" s="43">
        <v>0</v>
      </c>
      <c r="BJ83" s="46"/>
      <c r="BN83">
        <v>24</v>
      </c>
      <c r="BO83">
        <v>23</v>
      </c>
      <c r="BP83" s="43">
        <v>1</v>
      </c>
      <c r="BQ83" s="46"/>
      <c r="BT83" s="43">
        <v>0</v>
      </c>
      <c r="BU83" s="46"/>
      <c r="BV83" s="47"/>
      <c r="BX83">
        <v>84</v>
      </c>
      <c r="BY83">
        <v>87</v>
      </c>
      <c r="BZ83" s="43">
        <v>-3</v>
      </c>
      <c r="CA83" s="46"/>
      <c r="CD83">
        <v>66</v>
      </c>
      <c r="CE83">
        <v>65</v>
      </c>
      <c r="CF83" s="43">
        <v>1</v>
      </c>
      <c r="CG83" s="46"/>
      <c r="CL83" s="43">
        <v>0</v>
      </c>
      <c r="CM83" s="46"/>
      <c r="CN83" s="47"/>
      <c r="CP83" s="43">
        <v>150</v>
      </c>
      <c r="CQ83" s="43">
        <v>150</v>
      </c>
      <c r="CR83" s="43">
        <v>0</v>
      </c>
      <c r="CS83" s="46"/>
      <c r="CX83" s="43">
        <v>0</v>
      </c>
      <c r="CY83" s="46"/>
      <c r="CZ83" s="47"/>
      <c r="DD83" s="43">
        <v>0</v>
      </c>
      <c r="DE83" s="46"/>
      <c r="DF83" s="47"/>
      <c r="DL83" s="43">
        <v>0</v>
      </c>
      <c r="DM83" s="46"/>
      <c r="DN83" s="47"/>
      <c r="DR83" s="43">
        <v>0</v>
      </c>
      <c r="DS83" s="46"/>
      <c r="DZ83" s="43">
        <v>0</v>
      </c>
      <c r="EA83" s="46"/>
      <c r="EB83" s="47"/>
      <c r="EF83" s="43">
        <v>0</v>
      </c>
      <c r="EG83" s="46"/>
      <c r="EH83" s="47"/>
      <c r="EL83" s="43">
        <v>0</v>
      </c>
      <c r="EM83" s="46"/>
      <c r="EN83" s="47"/>
      <c r="ER83" s="43">
        <v>0</v>
      </c>
      <c r="ES83" s="46"/>
      <c r="EZ83" s="43">
        <v>0</v>
      </c>
      <c r="FA83" s="46"/>
      <c r="FG83" s="43">
        <v>0</v>
      </c>
      <c r="FH83" s="46"/>
      <c r="FI83" s="47"/>
      <c r="FL83" s="43">
        <v>0</v>
      </c>
      <c r="FM83" s="46"/>
      <c r="FN83" s="47"/>
      <c r="FQ83" s="43">
        <v>0</v>
      </c>
      <c r="FR83" s="46"/>
      <c r="FW83" s="43">
        <v>0</v>
      </c>
      <c r="FX83" s="46"/>
      <c r="FY83" s="47"/>
      <c r="GD83" s="43">
        <v>0</v>
      </c>
      <c r="GE83" s="46"/>
      <c r="GJ83" s="43">
        <v>0</v>
      </c>
      <c r="GK83" s="46"/>
      <c r="GL83" s="47"/>
      <c r="GP83" s="43">
        <v>0</v>
      </c>
      <c r="GQ83" s="46"/>
      <c r="GV83" s="43">
        <v>0</v>
      </c>
      <c r="GW83" s="46"/>
      <c r="GX83" s="47"/>
      <c r="GZ83" s="43">
        <v>0</v>
      </c>
      <c r="HA83" s="46"/>
      <c r="HB83" s="47"/>
      <c r="HF83" s="43">
        <v>0</v>
      </c>
      <c r="HG83" s="46"/>
      <c r="HH83" s="47"/>
      <c r="HJ83" s="43">
        <v>0</v>
      </c>
      <c r="HK83" s="46"/>
      <c r="HL83" s="47"/>
      <c r="HP83" s="43">
        <v>0</v>
      </c>
      <c r="HQ83" s="46"/>
      <c r="HX83" s="43">
        <v>0</v>
      </c>
      <c r="HY83" s="46"/>
      <c r="HZ83" s="47"/>
      <c r="ID83" s="43">
        <v>0</v>
      </c>
      <c r="IE83" s="46"/>
      <c r="IJ83" s="43">
        <v>0</v>
      </c>
      <c r="IK83" s="49"/>
      <c r="IP83" s="43">
        <v>0</v>
      </c>
      <c r="IQ83" s="49"/>
      <c r="IV83" s="43">
        <v>0</v>
      </c>
      <c r="IW83" s="49"/>
      <c r="JB83" s="43">
        <v>0</v>
      </c>
      <c r="JC83" s="46"/>
      <c r="JF83" s="43">
        <v>0</v>
      </c>
      <c r="JG83" s="49"/>
      <c r="JL83" s="43">
        <v>0</v>
      </c>
      <c r="JM83" s="46"/>
      <c r="JN83" s="50"/>
      <c r="JP83" s="43">
        <v>0</v>
      </c>
      <c r="JQ83" s="49"/>
      <c r="JV83" s="43">
        <v>0</v>
      </c>
      <c r="JW83" s="49"/>
      <c r="KB83" s="43">
        <v>0</v>
      </c>
      <c r="KC83" s="49"/>
      <c r="KH83" s="43">
        <v>0</v>
      </c>
      <c r="KI83" s="49"/>
      <c r="KN83" s="43">
        <v>0</v>
      </c>
      <c r="KO83" s="49"/>
      <c r="KP83" s="50"/>
      <c r="KV83" s="43">
        <v>0</v>
      </c>
      <c r="KW83" s="49"/>
      <c r="KX83" s="48">
        <v>0</v>
      </c>
      <c r="KY83" s="48">
        <v>0</v>
      </c>
      <c r="KZ83" s="48">
        <v>0</v>
      </c>
      <c r="LA83" s="48">
        <v>0</v>
      </c>
      <c r="LB83" s="43">
        <v>0</v>
      </c>
      <c r="LC83" s="49"/>
      <c r="LD83" s="48">
        <v>0</v>
      </c>
      <c r="LE83" s="48">
        <v>0</v>
      </c>
      <c r="LF83" s="48">
        <v>0</v>
      </c>
      <c r="LG83" s="48">
        <v>0</v>
      </c>
      <c r="LH83" s="43">
        <v>0</v>
      </c>
      <c r="LI83" s="49"/>
      <c r="LJ83" s="50">
        <v>0</v>
      </c>
      <c r="LK83" s="48">
        <v>0</v>
      </c>
      <c r="LL83" s="43">
        <v>0</v>
      </c>
      <c r="LM83" s="49"/>
      <c r="LN83" s="50">
        <v>0</v>
      </c>
      <c r="LO83" s="48">
        <v>0</v>
      </c>
      <c r="LP83" s="48">
        <v>0</v>
      </c>
      <c r="LQ83" s="48">
        <v>0</v>
      </c>
      <c r="LR83" s="48">
        <v>0</v>
      </c>
      <c r="LS83" s="43">
        <v>0</v>
      </c>
      <c r="LT83" s="49"/>
      <c r="LU83" s="50">
        <v>0</v>
      </c>
      <c r="LV83" s="48">
        <v>0</v>
      </c>
      <c r="LW83" s="48">
        <v>0</v>
      </c>
      <c r="LX83" s="48">
        <v>0</v>
      </c>
      <c r="LY83" s="43">
        <v>0</v>
      </c>
      <c r="LZ83" s="49"/>
      <c r="MA83" s="50">
        <v>0</v>
      </c>
      <c r="MB83" s="48">
        <v>0</v>
      </c>
      <c r="MC83" s="43">
        <v>0</v>
      </c>
      <c r="MD83" s="49"/>
      <c r="ME83" s="50">
        <v>0</v>
      </c>
      <c r="MF83" s="48">
        <v>0</v>
      </c>
      <c r="MG83" s="48">
        <v>0</v>
      </c>
      <c r="MH83" s="48">
        <v>0</v>
      </c>
      <c r="MI83" s="43">
        <v>0</v>
      </c>
      <c r="MJ83" s="49"/>
      <c r="MK83" s="50">
        <v>0</v>
      </c>
      <c r="ML83" s="48">
        <v>0</v>
      </c>
      <c r="MM83" s="43">
        <v>0</v>
      </c>
      <c r="MN83" s="49"/>
      <c r="MO83" s="50">
        <v>0</v>
      </c>
      <c r="MP83" s="48">
        <v>0</v>
      </c>
      <c r="MQ83" s="48">
        <v>0</v>
      </c>
      <c r="MR83" s="48">
        <v>0</v>
      </c>
      <c r="MS83" s="43">
        <v>0</v>
      </c>
      <c r="MT83" s="49"/>
      <c r="MU83" s="48">
        <v>0</v>
      </c>
      <c r="MV83" s="46"/>
      <c r="MW83" s="48">
        <v>0</v>
      </c>
      <c r="MX83" s="48">
        <v>0</v>
      </c>
      <c r="MY83" s="43">
        <v>0</v>
      </c>
      <c r="MZ83" s="49"/>
      <c r="NA83" s="50">
        <v>0</v>
      </c>
      <c r="NB83" s="48">
        <v>0</v>
      </c>
      <c r="NC83" s="48">
        <v>0</v>
      </c>
      <c r="ND83" s="48">
        <v>0</v>
      </c>
      <c r="NE83" s="43">
        <v>0</v>
      </c>
      <c r="NF83" s="49"/>
      <c r="NG83" s="50">
        <v>0</v>
      </c>
      <c r="NH83" s="48">
        <v>0</v>
      </c>
      <c r="NI83" s="48">
        <v>0</v>
      </c>
      <c r="NJ83" s="48">
        <v>0</v>
      </c>
      <c r="NK83" s="43">
        <v>0</v>
      </c>
      <c r="NL83" s="49"/>
      <c r="NM83" s="50">
        <v>0</v>
      </c>
      <c r="NN83" s="48">
        <v>0</v>
      </c>
      <c r="NO83" s="48">
        <v>0</v>
      </c>
      <c r="NP83" s="48">
        <v>0</v>
      </c>
      <c r="NQ83" s="43">
        <v>0</v>
      </c>
      <c r="NR83" s="49"/>
      <c r="NS83" s="50">
        <v>0</v>
      </c>
      <c r="NT83" s="48">
        <v>0</v>
      </c>
      <c r="NU83" s="48">
        <v>0</v>
      </c>
      <c r="NV83" s="48">
        <v>0</v>
      </c>
      <c r="NW83" s="43">
        <v>0</v>
      </c>
      <c r="NX83" s="49"/>
      <c r="NY83" s="50">
        <v>0</v>
      </c>
      <c r="NZ83" s="48">
        <v>0</v>
      </c>
      <c r="OA83" s="48">
        <v>0</v>
      </c>
      <c r="OB83" s="48">
        <v>0</v>
      </c>
      <c r="OC83" s="43">
        <v>0</v>
      </c>
      <c r="OD83" s="49"/>
      <c r="OE83" s="50">
        <v>0</v>
      </c>
      <c r="OF83" s="48">
        <v>0</v>
      </c>
      <c r="OG83" s="43">
        <v>0</v>
      </c>
      <c r="OH83" s="49"/>
      <c r="OI83" s="50">
        <v>0</v>
      </c>
      <c r="OJ83" s="48">
        <v>0</v>
      </c>
      <c r="OK83" s="43">
        <v>0</v>
      </c>
      <c r="OL83" s="49"/>
      <c r="OM83" s="50">
        <v>0</v>
      </c>
      <c r="ON83" s="48">
        <v>0</v>
      </c>
      <c r="OO83" s="48">
        <v>0</v>
      </c>
      <c r="OP83" s="48">
        <v>0</v>
      </c>
      <c r="OQ83" s="43">
        <v>0</v>
      </c>
      <c r="OR83" s="49"/>
      <c r="OS83" s="50">
        <v>0</v>
      </c>
      <c r="OT83" s="48">
        <v>0</v>
      </c>
      <c r="OU83" s="43">
        <v>0</v>
      </c>
      <c r="OV83" s="49"/>
      <c r="OW83" s="50">
        <v>0</v>
      </c>
      <c r="OX83" s="48">
        <v>0</v>
      </c>
      <c r="OY83" s="48">
        <v>0</v>
      </c>
      <c r="OZ83" s="48">
        <v>0</v>
      </c>
      <c r="PA83" s="43">
        <v>0</v>
      </c>
      <c r="PB83" s="49"/>
      <c r="PC83" s="50">
        <v>0</v>
      </c>
      <c r="PD83" s="48">
        <v>0</v>
      </c>
      <c r="PE83" s="43">
        <v>0</v>
      </c>
      <c r="PF83" s="49"/>
      <c r="PG83" s="50">
        <v>0</v>
      </c>
      <c r="PH83" s="48">
        <v>0</v>
      </c>
      <c r="PI83" s="48">
        <v>0</v>
      </c>
      <c r="PJ83" s="48">
        <v>0</v>
      </c>
      <c r="PK83" s="43">
        <v>0</v>
      </c>
      <c r="PL83" s="49"/>
      <c r="PM83" s="47">
        <v>0</v>
      </c>
      <c r="PN83" s="48">
        <v>0</v>
      </c>
      <c r="PO83" s="48">
        <v>0</v>
      </c>
      <c r="PP83" s="48">
        <v>0</v>
      </c>
      <c r="PQ83" s="43">
        <v>0</v>
      </c>
      <c r="PR83" s="49"/>
      <c r="PS83" s="47">
        <v>0</v>
      </c>
      <c r="PT83" s="43">
        <v>0</v>
      </c>
      <c r="PU83" s="43">
        <v>0</v>
      </c>
      <c r="PV83" s="43">
        <v>0</v>
      </c>
      <c r="PW83" s="43">
        <v>0</v>
      </c>
      <c r="PX83" s="46"/>
      <c r="PY83" s="47">
        <v>0</v>
      </c>
      <c r="PZ83" s="43">
        <v>0</v>
      </c>
      <c r="QA83" s="43">
        <v>0</v>
      </c>
      <c r="QB83" s="46"/>
      <c r="QC83" s="47">
        <v>0</v>
      </c>
      <c r="QD83" s="43">
        <v>0</v>
      </c>
      <c r="QE83" s="43">
        <v>0</v>
      </c>
      <c r="QF83" s="43">
        <v>0</v>
      </c>
      <c r="QG83" s="43">
        <v>0</v>
      </c>
      <c r="QH83" s="46"/>
      <c r="QI83" s="47">
        <v>0</v>
      </c>
      <c r="QJ83" s="43">
        <v>0</v>
      </c>
      <c r="QK83" s="43">
        <v>0</v>
      </c>
      <c r="QL83" s="43">
        <v>0</v>
      </c>
      <c r="QM83" s="43">
        <v>0</v>
      </c>
      <c r="QN83" s="46"/>
      <c r="QO83" s="47">
        <v>12</v>
      </c>
      <c r="QP83" s="43">
        <v>15</v>
      </c>
      <c r="QQ83" s="43">
        <v>0</v>
      </c>
      <c r="QR83" s="43">
        <v>0</v>
      </c>
      <c r="QS83" s="43">
        <v>-3</v>
      </c>
      <c r="QT83" s="46"/>
      <c r="QU83" s="47">
        <v>24</v>
      </c>
      <c r="QV83" s="43">
        <v>23</v>
      </c>
      <c r="QW83" s="43">
        <v>1</v>
      </c>
      <c r="QX83" s="46"/>
      <c r="QY83" s="47">
        <v>0</v>
      </c>
      <c r="QZ83" s="43">
        <v>0</v>
      </c>
      <c r="RA83" s="43">
        <v>18</v>
      </c>
      <c r="RB83" s="43">
        <v>17</v>
      </c>
      <c r="RC83" s="43">
        <v>1</v>
      </c>
      <c r="RD83" s="46"/>
    </row>
    <row r="84" spans="1:472" x14ac:dyDescent="0.25">
      <c r="A84" s="43" t="s">
        <v>372</v>
      </c>
      <c r="B84" s="44">
        <v>0.3</v>
      </c>
      <c r="E84">
        <v>124</v>
      </c>
      <c r="I84" s="45">
        <v>240</v>
      </c>
      <c r="J84" s="52">
        <v>240</v>
      </c>
      <c r="K84" s="52">
        <v>272</v>
      </c>
      <c r="L84" s="52">
        <v>275</v>
      </c>
      <c r="M84" s="51">
        <f t="shared" si="12"/>
        <v>-3</v>
      </c>
      <c r="N84" s="46"/>
      <c r="O84" s="45">
        <v>152</v>
      </c>
      <c r="P84" s="52">
        <v>150</v>
      </c>
      <c r="Q84" s="52">
        <v>160</v>
      </c>
      <c r="R84" s="52">
        <v>163</v>
      </c>
      <c r="S84" s="51">
        <f t="shared" si="13"/>
        <v>-1</v>
      </c>
      <c r="T84" s="46"/>
      <c r="U84" s="47"/>
      <c r="V84" s="51"/>
      <c r="W84" s="51"/>
      <c r="X84" s="51"/>
      <c r="Y84" s="51">
        <f t="shared" si="14"/>
        <v>0</v>
      </c>
      <c r="Z84" s="46"/>
      <c r="AA84" s="52">
        <v>352</v>
      </c>
      <c r="AB84">
        <v>350</v>
      </c>
      <c r="AC84">
        <v>400</v>
      </c>
      <c r="AD84">
        <v>403</v>
      </c>
      <c r="AE84" s="43">
        <v>-1</v>
      </c>
      <c r="AF84" s="46"/>
      <c r="AG84" s="45">
        <v>280</v>
      </c>
      <c r="AH84">
        <v>280</v>
      </c>
      <c r="AI84">
        <v>336</v>
      </c>
      <c r="AJ84">
        <v>334</v>
      </c>
      <c r="AK84" s="43">
        <v>2</v>
      </c>
      <c r="AL84" s="46"/>
      <c r="AQ84" s="43">
        <v>0</v>
      </c>
      <c r="AR84" s="46"/>
      <c r="AS84">
        <v>176</v>
      </c>
      <c r="AT84">
        <v>180</v>
      </c>
      <c r="AU84">
        <v>176</v>
      </c>
      <c r="AV84">
        <v>174</v>
      </c>
      <c r="AW84" s="43">
        <v>-2</v>
      </c>
      <c r="AX84" s="46"/>
      <c r="AY84" s="45">
        <v>296</v>
      </c>
      <c r="AZ84">
        <v>300</v>
      </c>
      <c r="BA84">
        <v>328</v>
      </c>
      <c r="BB84">
        <v>326</v>
      </c>
      <c r="BC84" s="43">
        <v>-2</v>
      </c>
      <c r="BD84" s="46"/>
      <c r="BE84" s="45">
        <v>32</v>
      </c>
      <c r="BF84">
        <v>30</v>
      </c>
      <c r="BG84">
        <v>56</v>
      </c>
      <c r="BH84">
        <v>60</v>
      </c>
      <c r="BI84" s="43">
        <v>-2</v>
      </c>
      <c r="BJ84" s="46"/>
      <c r="BK84">
        <v>296</v>
      </c>
      <c r="BL84">
        <v>300</v>
      </c>
      <c r="BN84">
        <v>304</v>
      </c>
      <c r="BO84">
        <v>303</v>
      </c>
      <c r="BP84" s="43">
        <v>-3</v>
      </c>
      <c r="BQ84" s="46"/>
      <c r="BT84" s="43">
        <v>0</v>
      </c>
      <c r="BU84" s="46"/>
      <c r="BV84" s="45">
        <v>112</v>
      </c>
      <c r="BW84">
        <v>110</v>
      </c>
      <c r="BZ84" s="43">
        <v>2</v>
      </c>
      <c r="CA84" s="46"/>
      <c r="CB84">
        <v>296</v>
      </c>
      <c r="CC84">
        <v>300</v>
      </c>
      <c r="CD84">
        <v>440</v>
      </c>
      <c r="CE84">
        <v>439</v>
      </c>
      <c r="CF84" s="43">
        <v>-3</v>
      </c>
      <c r="CG84" s="46"/>
      <c r="CL84" s="43">
        <v>0</v>
      </c>
      <c r="CM84" s="46"/>
      <c r="CN84" s="47"/>
      <c r="CP84">
        <v>120</v>
      </c>
      <c r="CQ84">
        <v>120</v>
      </c>
      <c r="CR84" s="43">
        <v>0</v>
      </c>
      <c r="CS84" s="46"/>
      <c r="CV84">
        <v>640</v>
      </c>
      <c r="CW84">
        <v>638</v>
      </c>
      <c r="CX84" s="43">
        <v>2</v>
      </c>
      <c r="CY84" s="46"/>
      <c r="CZ84" s="47"/>
      <c r="DB84">
        <v>232</v>
      </c>
      <c r="DC84">
        <v>233</v>
      </c>
      <c r="DD84" s="43">
        <v>-1</v>
      </c>
      <c r="DE84" s="46"/>
      <c r="DF84" s="47"/>
      <c r="DH84">
        <v>296</v>
      </c>
      <c r="DI84">
        <v>300</v>
      </c>
      <c r="DK84">
        <v>246</v>
      </c>
      <c r="DL84" s="42">
        <v>-250</v>
      </c>
      <c r="DM84" s="46">
        <v>75</v>
      </c>
      <c r="DN84" s="45">
        <v>32</v>
      </c>
      <c r="DO84">
        <v>30</v>
      </c>
      <c r="DR84" s="43">
        <v>2</v>
      </c>
      <c r="DS84" s="46"/>
      <c r="DT84">
        <v>200</v>
      </c>
      <c r="DU84">
        <v>200</v>
      </c>
      <c r="DV84">
        <v>280</v>
      </c>
      <c r="DW84">
        <v>280</v>
      </c>
      <c r="DX84">
        <v>200</v>
      </c>
      <c r="DY84">
        <v>200</v>
      </c>
      <c r="DZ84" s="43">
        <v>0</v>
      </c>
      <c r="EA84" s="46"/>
      <c r="EB84" s="47"/>
      <c r="EF84" s="43">
        <v>0</v>
      </c>
      <c r="EG84" s="46"/>
      <c r="EH84" s="45">
        <v>200</v>
      </c>
      <c r="EI84">
        <v>200</v>
      </c>
      <c r="EJ84">
        <v>248</v>
      </c>
      <c r="EK84">
        <v>250</v>
      </c>
      <c r="EL84" s="43">
        <v>-2</v>
      </c>
      <c r="EM84" s="46"/>
      <c r="EN84" s="45">
        <v>96</v>
      </c>
      <c r="EO84">
        <v>100</v>
      </c>
      <c r="EP84">
        <v>96</v>
      </c>
      <c r="EQ84">
        <v>100</v>
      </c>
      <c r="ER84" s="43">
        <v>-8</v>
      </c>
      <c r="ES84" s="46"/>
      <c r="EV84">
        <v>32</v>
      </c>
      <c r="EW84">
        <v>30</v>
      </c>
      <c r="EX84">
        <v>56</v>
      </c>
      <c r="EY84">
        <v>60</v>
      </c>
      <c r="EZ84" s="43">
        <v>-2</v>
      </c>
      <c r="FA84" s="46"/>
      <c r="FD84">
        <v>296</v>
      </c>
      <c r="FF84">
        <v>300</v>
      </c>
      <c r="FG84" s="43">
        <v>-4</v>
      </c>
      <c r="FH84" s="46"/>
      <c r="FI84" s="47"/>
      <c r="FL84" s="43">
        <v>0</v>
      </c>
      <c r="FM84" s="46"/>
      <c r="FN84" s="45">
        <v>296</v>
      </c>
      <c r="FP84">
        <v>300</v>
      </c>
      <c r="FQ84" s="43">
        <v>-4</v>
      </c>
      <c r="FR84" s="46"/>
      <c r="FS84">
        <v>40</v>
      </c>
      <c r="FV84">
        <v>40</v>
      </c>
      <c r="FW84" s="43">
        <v>0</v>
      </c>
      <c r="FX84" s="46"/>
      <c r="FY84" s="47"/>
      <c r="GB84">
        <v>48</v>
      </c>
      <c r="GC84" s="43">
        <v>50</v>
      </c>
      <c r="GD84" s="43">
        <v>-2</v>
      </c>
      <c r="GE84" s="46"/>
      <c r="GJ84" s="43">
        <v>0</v>
      </c>
      <c r="GK84" s="46"/>
      <c r="GL84" s="47"/>
      <c r="GP84" s="43">
        <v>0</v>
      </c>
      <c r="GQ84" s="46"/>
      <c r="GT84" s="48">
        <v>96</v>
      </c>
      <c r="GU84" s="43">
        <v>100</v>
      </c>
      <c r="GV84" s="43">
        <v>-4</v>
      </c>
      <c r="GW84" s="46"/>
      <c r="GX84" s="47"/>
      <c r="GZ84" s="43">
        <v>0</v>
      </c>
      <c r="HA84" s="46"/>
      <c r="HB84" s="47"/>
      <c r="HF84" s="43">
        <v>0</v>
      </c>
      <c r="HG84" s="46"/>
      <c r="HH84" s="47"/>
      <c r="HJ84" s="43">
        <v>0</v>
      </c>
      <c r="HK84" s="46"/>
      <c r="HL84" s="47"/>
      <c r="HP84" s="43">
        <v>0</v>
      </c>
      <c r="HQ84" s="46"/>
      <c r="HY84" s="46"/>
      <c r="HZ84" s="47"/>
      <c r="IE84" s="46"/>
      <c r="IK84" s="49"/>
      <c r="IQ84" s="49"/>
      <c r="IW84" s="49"/>
      <c r="JC84" s="46"/>
      <c r="JG84" s="49"/>
      <c r="JM84" s="46"/>
      <c r="JN84" s="50"/>
      <c r="JQ84" s="49"/>
      <c r="JW84" s="49"/>
      <c r="KC84" s="49"/>
      <c r="KI84" s="49"/>
      <c r="KO84" s="49"/>
      <c r="KP84" s="50"/>
      <c r="KW84" s="49"/>
      <c r="LC84" s="49"/>
      <c r="LI84" s="49"/>
      <c r="LJ84" s="50"/>
      <c r="LM84" s="49"/>
      <c r="LN84" s="50"/>
      <c r="LT84" s="49"/>
      <c r="LU84" s="50"/>
      <c r="LZ84" s="49"/>
      <c r="MA84" s="50"/>
      <c r="MD84" s="49"/>
      <c r="ME84" s="50"/>
      <c r="MJ84" s="49"/>
      <c r="MK84" s="50"/>
      <c r="MN84" s="49"/>
      <c r="MO84" s="50"/>
      <c r="MT84" s="49"/>
      <c r="MV84" s="46"/>
      <c r="MZ84" s="49"/>
      <c r="NA84" s="50"/>
      <c r="NC84" s="48"/>
      <c r="ND84" s="48"/>
      <c r="NF84" s="49"/>
      <c r="NG84" s="50"/>
      <c r="NH84" s="48"/>
      <c r="NI84" s="48"/>
      <c r="NJ84" s="48"/>
      <c r="NL84" s="49"/>
      <c r="NM84" s="50"/>
      <c r="NN84" s="48"/>
      <c r="NO84" s="48"/>
      <c r="NP84" s="48"/>
      <c r="NR84" s="49"/>
      <c r="NS84" s="50"/>
      <c r="NT84" s="48"/>
      <c r="NU84" s="48"/>
      <c r="NV84" s="48"/>
      <c r="NX84" s="49"/>
      <c r="NY84" s="50"/>
      <c r="NZ84" s="48"/>
      <c r="OA84" s="48"/>
      <c r="OB84" s="48"/>
      <c r="OD84" s="49"/>
      <c r="OE84" s="50"/>
      <c r="OF84" s="48"/>
      <c r="OH84" s="49"/>
      <c r="OI84" s="50"/>
      <c r="OJ84" s="48"/>
      <c r="OL84" s="49"/>
      <c r="OM84" s="50"/>
      <c r="ON84" s="48"/>
      <c r="OO84" s="48"/>
      <c r="OP84" s="48"/>
      <c r="OR84" s="49"/>
      <c r="OS84" s="50"/>
      <c r="OT84" s="48"/>
      <c r="OV84" s="49"/>
      <c r="OW84" s="50"/>
      <c r="OX84" s="48"/>
      <c r="OY84" s="48"/>
      <c r="OZ84" s="48"/>
      <c r="PB84" s="49"/>
      <c r="PC84" s="50"/>
      <c r="PD84" s="48"/>
      <c r="PF84" s="49"/>
      <c r="PG84" s="50"/>
      <c r="PH84" s="48"/>
      <c r="PI84" s="48"/>
      <c r="PJ84" s="48"/>
      <c r="PL84" s="49"/>
      <c r="PM84" s="47"/>
      <c r="PN84" s="48"/>
      <c r="PO84" s="48"/>
      <c r="PP84" s="48"/>
      <c r="PR84" s="49"/>
      <c r="PS84" s="47"/>
      <c r="PX84" s="46"/>
      <c r="PY84" s="47"/>
      <c r="QB84" s="46"/>
      <c r="QC84" s="47"/>
      <c r="QH84" s="46"/>
      <c r="QI84" s="47"/>
      <c r="QN84" s="46"/>
      <c r="QO84" s="47"/>
      <c r="QT84" s="46"/>
      <c r="QU84" s="47"/>
      <c r="QX84" s="46"/>
      <c r="QY84" s="47"/>
      <c r="RD84" s="46"/>
    </row>
    <row r="85" spans="1:472" x14ac:dyDescent="0.25">
      <c r="A85" s="43" t="s">
        <v>373</v>
      </c>
      <c r="B85" s="44">
        <v>1</v>
      </c>
      <c r="I85" s="47"/>
      <c r="J85" s="51"/>
      <c r="K85" s="51"/>
      <c r="L85" s="51"/>
      <c r="M85" s="51">
        <f t="shared" si="12"/>
        <v>0</v>
      </c>
      <c r="N85" s="46"/>
      <c r="O85" s="47"/>
      <c r="P85" s="51"/>
      <c r="Q85" s="51"/>
      <c r="R85" s="51"/>
      <c r="S85" s="51">
        <f t="shared" si="13"/>
        <v>0</v>
      </c>
      <c r="T85" s="46"/>
      <c r="U85" s="47"/>
      <c r="V85" s="51"/>
      <c r="W85" s="51"/>
      <c r="X85" s="51"/>
      <c r="Y85" s="51">
        <f t="shared" si="14"/>
        <v>0</v>
      </c>
      <c r="Z85" s="46"/>
      <c r="AA85" s="51"/>
      <c r="AE85" s="43">
        <v>0</v>
      </c>
      <c r="AF85" s="46"/>
      <c r="AG85" s="47"/>
      <c r="AK85" s="43">
        <v>0</v>
      </c>
      <c r="AL85" s="46"/>
      <c r="AQ85" s="43">
        <v>0</v>
      </c>
      <c r="AR85" s="46"/>
      <c r="AW85" s="43">
        <v>0</v>
      </c>
      <c r="AX85" s="46"/>
      <c r="AY85" s="47"/>
      <c r="BC85" s="43">
        <v>0</v>
      </c>
      <c r="BD85" s="46"/>
      <c r="BE85" s="47"/>
      <c r="BI85" s="43">
        <v>0</v>
      </c>
      <c r="BJ85" s="46"/>
      <c r="BP85" s="43">
        <v>0</v>
      </c>
      <c r="BQ85" s="46"/>
      <c r="BT85" s="43">
        <v>0</v>
      </c>
      <c r="BU85" s="46"/>
      <c r="BV85" s="47"/>
      <c r="BZ85" s="43">
        <v>0</v>
      </c>
      <c r="CA85" s="46"/>
      <c r="CF85" s="43">
        <v>0</v>
      </c>
      <c r="CG85" s="46"/>
      <c r="CL85" s="43">
        <v>0</v>
      </c>
      <c r="CM85" s="46"/>
      <c r="CN85" s="47"/>
      <c r="CR85" s="43">
        <v>0</v>
      </c>
      <c r="CS85" s="46"/>
      <c r="CX85" s="43">
        <v>0</v>
      </c>
      <c r="CY85" s="46"/>
      <c r="CZ85" s="47"/>
      <c r="DB85">
        <v>7</v>
      </c>
      <c r="DC85">
        <v>4</v>
      </c>
      <c r="DD85" s="43">
        <v>3</v>
      </c>
      <c r="DE85" s="46"/>
      <c r="DF85" s="47"/>
      <c r="DJ85">
        <v>7</v>
      </c>
      <c r="DK85">
        <v>4</v>
      </c>
      <c r="DL85" s="43">
        <v>3</v>
      </c>
      <c r="DM85" s="46"/>
      <c r="DN85" s="47"/>
      <c r="DR85" s="43">
        <v>0</v>
      </c>
      <c r="DS85" s="46"/>
      <c r="DV85">
        <v>7</v>
      </c>
      <c r="DW85">
        <v>4</v>
      </c>
      <c r="DZ85" s="43">
        <v>3</v>
      </c>
      <c r="EA85" s="46"/>
      <c r="EB85" s="47"/>
      <c r="EF85" s="43">
        <v>0</v>
      </c>
      <c r="EG85" s="46"/>
      <c r="EH85" s="47"/>
      <c r="EL85" s="43">
        <v>0</v>
      </c>
      <c r="EM85" s="46"/>
      <c r="EN85" s="47"/>
      <c r="ER85" s="43">
        <v>0</v>
      </c>
      <c r="ES85" s="46"/>
      <c r="EZ85" s="43">
        <v>0</v>
      </c>
      <c r="FA85" s="46"/>
      <c r="FD85">
        <v>24</v>
      </c>
      <c r="FF85">
        <v>20</v>
      </c>
      <c r="FG85" s="43">
        <v>4</v>
      </c>
      <c r="FH85" s="46"/>
      <c r="FI85" s="45">
        <v>83</v>
      </c>
      <c r="FK85" s="48">
        <v>75</v>
      </c>
      <c r="FL85" s="43">
        <v>8</v>
      </c>
      <c r="FM85" s="46"/>
      <c r="FN85" s="45">
        <v>38</v>
      </c>
      <c r="FP85" s="43">
        <v>35</v>
      </c>
      <c r="FQ85" s="43">
        <v>3</v>
      </c>
      <c r="FR85" s="46"/>
      <c r="FW85" s="43">
        <v>0</v>
      </c>
      <c r="FX85" s="46"/>
      <c r="FY85" s="45">
        <v>35</v>
      </c>
      <c r="GA85" s="43">
        <v>30</v>
      </c>
      <c r="GD85" s="43">
        <v>5</v>
      </c>
      <c r="GE85" s="46"/>
      <c r="GJ85" s="43">
        <v>0</v>
      </c>
      <c r="GK85" s="46"/>
      <c r="GL85" s="47"/>
      <c r="GQ85" s="46"/>
      <c r="GW85" s="46"/>
      <c r="GX85" s="47"/>
      <c r="HA85" s="46"/>
      <c r="HB85" s="47"/>
      <c r="HG85" s="46"/>
      <c r="HH85" s="47"/>
      <c r="HK85" s="46"/>
      <c r="HL85" s="47"/>
      <c r="HQ85" s="46"/>
      <c r="HY85" s="46"/>
      <c r="HZ85" s="47"/>
      <c r="IE85" s="46"/>
      <c r="IK85" s="49"/>
      <c r="IQ85" s="49"/>
      <c r="IW85" s="49"/>
      <c r="JC85" s="46"/>
      <c r="JG85" s="49"/>
      <c r="JM85" s="46"/>
      <c r="JN85" s="50"/>
      <c r="JQ85" s="49"/>
      <c r="JW85" s="49"/>
      <c r="KC85" s="49"/>
      <c r="KI85" s="49"/>
      <c r="KO85" s="49"/>
      <c r="KP85" s="50"/>
      <c r="KW85" s="49"/>
      <c r="LC85" s="49"/>
      <c r="LI85" s="49"/>
      <c r="LJ85" s="50"/>
      <c r="LM85" s="49"/>
      <c r="LN85" s="50"/>
      <c r="LT85" s="49"/>
      <c r="LU85" s="50"/>
      <c r="LZ85" s="49"/>
      <c r="MA85" s="50"/>
      <c r="MD85" s="49"/>
      <c r="ME85" s="50"/>
      <c r="MJ85" s="49"/>
      <c r="MK85" s="50"/>
      <c r="MN85" s="49"/>
      <c r="MO85" s="50"/>
      <c r="MT85" s="49"/>
      <c r="MV85" s="46"/>
      <c r="MZ85" s="49"/>
      <c r="NA85" s="50"/>
      <c r="NC85" s="48"/>
      <c r="ND85" s="48"/>
      <c r="NF85" s="49"/>
      <c r="NG85" s="50"/>
      <c r="NH85" s="48"/>
      <c r="NI85" s="48"/>
      <c r="NJ85" s="48"/>
      <c r="NL85" s="49"/>
      <c r="NM85" s="50"/>
      <c r="NN85" s="48"/>
      <c r="NO85" s="48"/>
      <c r="NP85" s="48"/>
      <c r="NR85" s="49"/>
      <c r="NS85" s="50"/>
      <c r="NT85" s="48"/>
      <c r="NU85" s="48"/>
      <c r="NV85" s="48"/>
      <c r="NX85" s="49"/>
      <c r="NY85" s="50"/>
      <c r="NZ85" s="48"/>
      <c r="OA85" s="48"/>
      <c r="OB85" s="48"/>
      <c r="OD85" s="49"/>
      <c r="OE85" s="50"/>
      <c r="OF85" s="48"/>
      <c r="OH85" s="49"/>
      <c r="OI85" s="50"/>
      <c r="OJ85" s="48"/>
      <c r="OL85" s="49"/>
      <c r="OM85" s="50"/>
      <c r="ON85" s="48"/>
      <c r="OO85" s="48"/>
      <c r="OP85" s="48"/>
      <c r="OR85" s="49"/>
      <c r="OS85" s="50"/>
      <c r="OT85" s="48"/>
      <c r="OV85" s="49"/>
      <c r="OW85" s="50"/>
      <c r="OX85" s="48"/>
      <c r="OY85" s="48"/>
      <c r="OZ85" s="48"/>
      <c r="PB85" s="49"/>
      <c r="PC85" s="50"/>
      <c r="PD85" s="48"/>
      <c r="PF85" s="49"/>
      <c r="PG85" s="50"/>
      <c r="PH85" s="48"/>
      <c r="PI85" s="48"/>
      <c r="PJ85" s="48"/>
      <c r="PL85" s="49"/>
      <c r="PM85" s="47"/>
      <c r="PN85" s="48"/>
      <c r="PO85" s="48"/>
      <c r="PP85" s="48"/>
      <c r="PR85" s="49"/>
      <c r="PS85" s="47"/>
      <c r="PX85" s="46"/>
      <c r="PY85" s="47"/>
      <c r="QB85" s="46"/>
      <c r="QC85" s="47"/>
      <c r="QH85" s="46"/>
      <c r="QI85" s="47"/>
      <c r="QN85" s="46"/>
      <c r="QO85" s="47"/>
      <c r="QT85" s="46"/>
      <c r="QU85" s="47"/>
      <c r="QX85" s="46"/>
      <c r="QY85" s="47"/>
      <c r="RD85" s="46"/>
    </row>
    <row r="86" spans="1:472" x14ac:dyDescent="0.25">
      <c r="A86" s="43" t="s">
        <v>374</v>
      </c>
      <c r="B86" s="44">
        <v>1</v>
      </c>
      <c r="I86" s="47"/>
      <c r="J86" s="51"/>
      <c r="K86" s="51"/>
      <c r="L86" s="51"/>
      <c r="M86" s="51">
        <f t="shared" si="12"/>
        <v>0</v>
      </c>
      <c r="N86" s="46"/>
      <c r="O86" s="47"/>
      <c r="P86" s="51"/>
      <c r="Q86" s="51"/>
      <c r="R86" s="51"/>
      <c r="S86" s="51">
        <f t="shared" si="13"/>
        <v>0</v>
      </c>
      <c r="T86" s="46"/>
      <c r="U86" s="47"/>
      <c r="V86" s="51"/>
      <c r="W86" s="51"/>
      <c r="X86" s="51"/>
      <c r="Y86" s="51">
        <f t="shared" si="14"/>
        <v>0</v>
      </c>
      <c r="Z86" s="46"/>
      <c r="AA86" s="51"/>
      <c r="AE86" s="43">
        <v>0</v>
      </c>
      <c r="AF86" s="46"/>
      <c r="AG86" s="47"/>
      <c r="AK86" s="43">
        <v>0</v>
      </c>
      <c r="AL86" s="46"/>
      <c r="AQ86" s="43">
        <v>0</v>
      </c>
      <c r="AR86" s="46"/>
      <c r="AW86" s="43">
        <v>0</v>
      </c>
      <c r="AX86" s="46"/>
      <c r="AY86" s="47"/>
      <c r="BC86" s="43">
        <v>0</v>
      </c>
      <c r="BD86" s="46"/>
      <c r="BE86" s="47"/>
      <c r="BI86" s="43">
        <v>0</v>
      </c>
      <c r="BJ86" s="46"/>
      <c r="BP86" s="43">
        <v>0</v>
      </c>
      <c r="BQ86" s="46"/>
      <c r="BT86" s="43">
        <v>0</v>
      </c>
      <c r="BU86" s="46"/>
      <c r="BV86" s="47"/>
      <c r="BZ86" s="43">
        <v>0</v>
      </c>
      <c r="CA86" s="46"/>
      <c r="CF86" s="43">
        <v>0</v>
      </c>
      <c r="CG86" s="46"/>
      <c r="CL86" s="43">
        <v>0</v>
      </c>
      <c r="CM86" s="46"/>
      <c r="CN86" s="47"/>
      <c r="CR86" s="43">
        <v>0</v>
      </c>
      <c r="CS86" s="46"/>
      <c r="CX86" s="43">
        <v>0</v>
      </c>
      <c r="CY86" s="46"/>
      <c r="CZ86" s="47"/>
      <c r="DD86" s="43">
        <v>0</v>
      </c>
      <c r="DE86" s="46"/>
      <c r="DF86" s="47"/>
      <c r="DL86" s="43">
        <v>0</v>
      </c>
      <c r="DM86" s="46"/>
      <c r="DN86" s="47"/>
      <c r="DR86" s="43">
        <v>0</v>
      </c>
      <c r="DS86" s="46"/>
      <c r="DZ86" s="43">
        <v>0</v>
      </c>
      <c r="EA86" s="46"/>
      <c r="EB86" s="47"/>
      <c r="EF86" s="43">
        <v>0</v>
      </c>
      <c r="EG86" s="46"/>
      <c r="EH86" s="47"/>
      <c r="EL86" s="43">
        <v>0</v>
      </c>
      <c r="EM86" s="46"/>
      <c r="EN86" s="47"/>
      <c r="ER86" s="43">
        <v>0</v>
      </c>
      <c r="ES86" s="46"/>
      <c r="EZ86" s="43">
        <v>0</v>
      </c>
      <c r="FA86" s="46"/>
      <c r="FG86" s="43">
        <v>0</v>
      </c>
      <c r="FH86" s="46"/>
      <c r="FI86" s="47"/>
      <c r="FL86" s="43">
        <v>0</v>
      </c>
      <c r="FM86" s="46"/>
      <c r="FN86" s="47"/>
      <c r="FQ86" s="43">
        <v>0</v>
      </c>
      <c r="FR86" s="46"/>
      <c r="FW86" s="43">
        <v>0</v>
      </c>
      <c r="FX86" s="46"/>
      <c r="FY86" s="47"/>
      <c r="GD86" s="43">
        <v>0</v>
      </c>
      <c r="GE86" s="46"/>
      <c r="GJ86" s="43">
        <v>0</v>
      </c>
      <c r="GK86" s="46"/>
      <c r="GL86" s="47"/>
      <c r="GP86" s="43">
        <v>0</v>
      </c>
      <c r="GQ86" s="46"/>
      <c r="GV86" s="43">
        <v>0</v>
      </c>
      <c r="GW86" s="46"/>
      <c r="GX86" s="47"/>
      <c r="GZ86" s="43">
        <v>0</v>
      </c>
      <c r="HA86" s="46"/>
      <c r="HB86" s="47"/>
      <c r="HF86" s="43">
        <v>0</v>
      </c>
      <c r="HG86" s="46"/>
      <c r="HH86" s="47"/>
      <c r="HJ86" s="43">
        <v>0</v>
      </c>
      <c r="HK86" s="46"/>
      <c r="HL86" s="47"/>
      <c r="HP86" s="43">
        <v>0</v>
      </c>
      <c r="HQ86" s="46"/>
      <c r="HX86" s="43">
        <v>0</v>
      </c>
      <c r="HY86" s="46"/>
      <c r="HZ86" s="47"/>
      <c r="ID86" s="43">
        <v>0</v>
      </c>
      <c r="IE86" s="46"/>
      <c r="IJ86" s="43">
        <v>0</v>
      </c>
      <c r="IK86" s="49"/>
      <c r="IP86" s="43">
        <v>0</v>
      </c>
      <c r="IQ86" s="49"/>
      <c r="IV86" s="43">
        <v>0</v>
      </c>
      <c r="IW86" s="49"/>
      <c r="JB86" s="43">
        <v>0</v>
      </c>
      <c r="JC86" s="46"/>
      <c r="JF86" s="43">
        <v>0</v>
      </c>
      <c r="JG86" s="49"/>
      <c r="JL86" s="43">
        <v>0</v>
      </c>
      <c r="JM86" s="46"/>
      <c r="JN86" s="50"/>
      <c r="JP86" s="43">
        <v>0</v>
      </c>
      <c r="JQ86" s="49"/>
      <c r="JV86" s="43">
        <v>0</v>
      </c>
      <c r="JW86" s="49"/>
      <c r="KB86" s="43">
        <v>0</v>
      </c>
      <c r="KC86" s="49"/>
      <c r="KH86" s="43">
        <v>0</v>
      </c>
      <c r="KI86" s="49"/>
      <c r="KN86" s="43">
        <v>0</v>
      </c>
      <c r="KO86" s="49"/>
      <c r="KP86" s="50"/>
      <c r="KV86" s="43">
        <v>0</v>
      </c>
      <c r="KW86" s="49"/>
      <c r="KX86" s="48">
        <v>0</v>
      </c>
      <c r="KY86" s="48">
        <v>0</v>
      </c>
      <c r="KZ86" s="48">
        <v>0</v>
      </c>
      <c r="LA86" s="48">
        <v>0</v>
      </c>
      <c r="LB86" s="43">
        <v>0</v>
      </c>
      <c r="LC86" s="49"/>
      <c r="LD86" s="48">
        <v>0</v>
      </c>
      <c r="LE86" s="48">
        <v>0</v>
      </c>
      <c r="LF86" s="48">
        <v>0</v>
      </c>
      <c r="LG86" s="48">
        <v>0</v>
      </c>
      <c r="LH86" s="43">
        <v>0</v>
      </c>
      <c r="LI86" s="49"/>
      <c r="LJ86" s="50">
        <v>0</v>
      </c>
      <c r="LK86" s="48">
        <v>0</v>
      </c>
      <c r="LL86" s="43">
        <v>0</v>
      </c>
      <c r="LM86" s="49"/>
      <c r="LN86" s="50">
        <v>0</v>
      </c>
      <c r="LO86" s="48">
        <v>0</v>
      </c>
      <c r="LP86" s="48">
        <v>0</v>
      </c>
      <c r="LQ86" s="48">
        <v>0</v>
      </c>
      <c r="LR86" s="48">
        <v>0</v>
      </c>
      <c r="LS86" s="43">
        <v>0</v>
      </c>
      <c r="LT86" s="49"/>
      <c r="LU86" s="50">
        <v>0</v>
      </c>
      <c r="LV86" s="48">
        <v>0</v>
      </c>
      <c r="LW86" s="48">
        <v>0</v>
      </c>
      <c r="LX86" s="48">
        <v>0</v>
      </c>
      <c r="LY86" s="43">
        <v>0</v>
      </c>
      <c r="LZ86" s="49"/>
      <c r="MA86" s="50">
        <v>0</v>
      </c>
      <c r="MB86" s="48">
        <v>0</v>
      </c>
      <c r="MC86" s="43">
        <v>0</v>
      </c>
      <c r="MD86" s="49"/>
      <c r="ME86" s="50">
        <v>0</v>
      </c>
      <c r="MF86" s="48">
        <v>0</v>
      </c>
      <c r="MG86" s="48">
        <v>0</v>
      </c>
      <c r="MH86" s="48">
        <v>0</v>
      </c>
      <c r="MI86" s="43">
        <v>0</v>
      </c>
      <c r="MJ86" s="49"/>
      <c r="MK86" s="50">
        <v>0</v>
      </c>
      <c r="ML86" s="48">
        <v>0</v>
      </c>
      <c r="MM86" s="43">
        <v>0</v>
      </c>
      <c r="MN86" s="49"/>
      <c r="MO86" s="50">
        <v>0</v>
      </c>
      <c r="MP86" s="48">
        <v>0</v>
      </c>
      <c r="MQ86" s="48">
        <v>0</v>
      </c>
      <c r="MR86" s="48">
        <v>0</v>
      </c>
      <c r="MS86" s="43">
        <v>0</v>
      </c>
      <c r="MT86" s="49"/>
      <c r="MU86" s="48">
        <v>0</v>
      </c>
      <c r="MV86" s="46"/>
      <c r="MW86" s="48">
        <v>0</v>
      </c>
      <c r="MX86" s="48">
        <v>0</v>
      </c>
      <c r="MY86" s="43">
        <v>0</v>
      </c>
      <c r="MZ86" s="49"/>
      <c r="NA86" s="50">
        <v>0</v>
      </c>
      <c r="NB86" s="48">
        <v>0</v>
      </c>
      <c r="NC86" s="48">
        <v>0</v>
      </c>
      <c r="ND86" s="48">
        <v>0</v>
      </c>
      <c r="NE86" s="43">
        <v>0</v>
      </c>
      <c r="NF86" s="49"/>
      <c r="NG86" s="50">
        <v>0</v>
      </c>
      <c r="NH86" s="48">
        <v>0</v>
      </c>
      <c r="NI86" s="48">
        <v>0</v>
      </c>
      <c r="NJ86" s="48">
        <v>0</v>
      </c>
      <c r="NK86" s="43">
        <v>0</v>
      </c>
      <c r="NL86" s="49"/>
      <c r="NM86" s="50">
        <v>0</v>
      </c>
      <c r="NN86" s="48">
        <v>0</v>
      </c>
      <c r="NO86" s="48">
        <v>0</v>
      </c>
      <c r="NP86" s="48">
        <v>0</v>
      </c>
      <c r="NQ86" s="43">
        <v>0</v>
      </c>
      <c r="NR86" s="49"/>
      <c r="NS86" s="50">
        <v>0</v>
      </c>
      <c r="NT86" s="48">
        <v>0</v>
      </c>
      <c r="NU86" s="48">
        <v>0</v>
      </c>
      <c r="NV86" s="48">
        <v>0</v>
      </c>
      <c r="NW86" s="43">
        <v>0</v>
      </c>
      <c r="NX86" s="49"/>
      <c r="NY86" s="50">
        <v>0</v>
      </c>
      <c r="NZ86" s="48">
        <v>0</v>
      </c>
      <c r="OA86" s="48">
        <v>0</v>
      </c>
      <c r="OB86" s="48">
        <v>0</v>
      </c>
      <c r="OC86" s="43">
        <v>0</v>
      </c>
      <c r="OD86" s="49"/>
      <c r="OE86" s="50">
        <v>0</v>
      </c>
      <c r="OF86" s="48">
        <v>0</v>
      </c>
      <c r="OG86" s="43">
        <v>0</v>
      </c>
      <c r="OH86" s="49"/>
      <c r="OI86" s="50">
        <v>0</v>
      </c>
      <c r="OJ86" s="48">
        <v>0</v>
      </c>
      <c r="OK86" s="43">
        <v>0</v>
      </c>
      <c r="OL86" s="49"/>
      <c r="OM86" s="50">
        <v>0</v>
      </c>
      <c r="ON86" s="48">
        <v>0</v>
      </c>
      <c r="OO86" s="48">
        <v>0</v>
      </c>
      <c r="OP86" s="48">
        <v>0</v>
      </c>
      <c r="OQ86" s="43">
        <v>0</v>
      </c>
      <c r="OR86" s="49"/>
      <c r="OS86" s="50">
        <v>0</v>
      </c>
      <c r="OT86" s="48">
        <v>0</v>
      </c>
      <c r="OU86" s="43">
        <v>0</v>
      </c>
      <c r="OV86" s="49"/>
      <c r="OW86" s="50">
        <v>0</v>
      </c>
      <c r="OX86" s="48">
        <v>0</v>
      </c>
      <c r="OY86" s="48">
        <v>0</v>
      </c>
      <c r="OZ86" s="48">
        <v>0</v>
      </c>
      <c r="PA86" s="43">
        <v>0</v>
      </c>
      <c r="PB86" s="49"/>
      <c r="PC86" s="50">
        <v>0</v>
      </c>
      <c r="PD86" s="48">
        <v>0</v>
      </c>
      <c r="PE86" s="43">
        <v>0</v>
      </c>
      <c r="PF86" s="49"/>
      <c r="PG86" s="50">
        <v>0</v>
      </c>
      <c r="PH86" s="48">
        <v>0</v>
      </c>
      <c r="PI86" s="48">
        <v>0</v>
      </c>
      <c r="PJ86" s="48">
        <v>0</v>
      </c>
      <c r="PK86" s="43">
        <v>0</v>
      </c>
      <c r="PL86" s="49"/>
      <c r="PM86" s="47">
        <v>0</v>
      </c>
      <c r="PN86" s="48">
        <v>0</v>
      </c>
      <c r="PO86" s="48">
        <v>0</v>
      </c>
      <c r="PP86" s="48">
        <v>0</v>
      </c>
      <c r="PQ86" s="43">
        <v>0</v>
      </c>
      <c r="PR86" s="49"/>
      <c r="PS86" s="47">
        <v>0</v>
      </c>
      <c r="PT86" s="43">
        <v>0</v>
      </c>
      <c r="PU86" s="43">
        <v>0</v>
      </c>
      <c r="PV86" s="43">
        <v>0</v>
      </c>
      <c r="PW86" s="43">
        <v>0</v>
      </c>
      <c r="PX86" s="46"/>
      <c r="PY86" s="47">
        <v>0</v>
      </c>
      <c r="PZ86" s="43">
        <v>0</v>
      </c>
      <c r="QA86" s="43">
        <v>0</v>
      </c>
      <c r="QB86" s="46"/>
      <c r="QC86" s="47">
        <v>0</v>
      </c>
      <c r="QD86" s="43">
        <v>0</v>
      </c>
      <c r="QE86" s="43">
        <v>0</v>
      </c>
      <c r="QF86" s="43">
        <v>0</v>
      </c>
      <c r="QG86" s="43">
        <v>0</v>
      </c>
      <c r="QH86" s="46"/>
      <c r="QI86" s="47">
        <v>0</v>
      </c>
      <c r="QJ86" s="43">
        <v>0</v>
      </c>
      <c r="QK86" s="43">
        <v>0</v>
      </c>
      <c r="QL86" s="43">
        <v>0</v>
      </c>
      <c r="QM86" s="43">
        <v>0</v>
      </c>
      <c r="QN86" s="46"/>
      <c r="QO86" s="47">
        <v>0</v>
      </c>
      <c r="QP86" s="43">
        <v>0</v>
      </c>
      <c r="QQ86" s="43">
        <v>0</v>
      </c>
      <c r="QR86" s="43">
        <v>0</v>
      </c>
      <c r="QS86" s="43">
        <v>0</v>
      </c>
      <c r="QT86" s="46"/>
      <c r="QU86" s="47">
        <v>0</v>
      </c>
      <c r="QV86" s="43">
        <v>0</v>
      </c>
      <c r="QW86" s="43">
        <v>0</v>
      </c>
      <c r="QX86" s="46"/>
      <c r="QY86" s="47">
        <v>0</v>
      </c>
      <c r="QZ86" s="43">
        <v>0</v>
      </c>
      <c r="RA86" s="43">
        <v>0</v>
      </c>
      <c r="RB86" s="43">
        <v>0</v>
      </c>
      <c r="RC86" s="43">
        <v>0</v>
      </c>
      <c r="RD86" s="46"/>
    </row>
    <row r="87" spans="1:472" x14ac:dyDescent="0.25">
      <c r="A87" s="43" t="s">
        <v>375</v>
      </c>
      <c r="B87" s="44">
        <v>1</v>
      </c>
      <c r="F87">
        <v>15</v>
      </c>
      <c r="I87" s="47"/>
      <c r="J87" s="51"/>
      <c r="K87" s="52">
        <v>19</v>
      </c>
      <c r="L87" s="52">
        <v>21</v>
      </c>
      <c r="M87" s="51">
        <f t="shared" si="12"/>
        <v>-2</v>
      </c>
      <c r="N87" s="46"/>
      <c r="O87" s="47"/>
      <c r="P87" s="51"/>
      <c r="Q87" s="52">
        <v>12</v>
      </c>
      <c r="R87" s="52">
        <v>10</v>
      </c>
      <c r="S87" s="51">
        <f t="shared" si="13"/>
        <v>2</v>
      </c>
      <c r="T87" s="46"/>
      <c r="U87" s="47"/>
      <c r="V87" s="51"/>
      <c r="W87" s="52">
        <v>6</v>
      </c>
      <c r="X87" s="52">
        <v>4</v>
      </c>
      <c r="Y87" s="51">
        <f t="shared" si="14"/>
        <v>2</v>
      </c>
      <c r="Z87" s="46"/>
      <c r="AA87" s="51"/>
      <c r="AE87" s="43">
        <v>0</v>
      </c>
      <c r="AF87" s="46"/>
      <c r="AG87" s="47"/>
      <c r="AK87" s="43">
        <v>0</v>
      </c>
      <c r="AL87" s="46"/>
      <c r="AO87">
        <v>13</v>
      </c>
      <c r="AP87">
        <v>11</v>
      </c>
      <c r="AQ87" s="43">
        <v>2</v>
      </c>
      <c r="AR87" s="46"/>
      <c r="AW87" s="43">
        <v>0</v>
      </c>
      <c r="AX87" s="46"/>
      <c r="AY87" s="47"/>
      <c r="BA87">
        <v>6</v>
      </c>
      <c r="BB87">
        <v>4</v>
      </c>
      <c r="BC87" s="43">
        <v>2</v>
      </c>
      <c r="BD87" s="46"/>
      <c r="BE87" s="47"/>
      <c r="BG87">
        <v>6</v>
      </c>
      <c r="BH87">
        <v>4</v>
      </c>
      <c r="BI87" s="43">
        <v>2</v>
      </c>
      <c r="BJ87" s="46"/>
      <c r="BN87">
        <v>6</v>
      </c>
      <c r="BO87">
        <v>8</v>
      </c>
      <c r="BP87" s="43">
        <v>-2</v>
      </c>
      <c r="BQ87" s="46"/>
      <c r="BT87" s="43">
        <v>0</v>
      </c>
      <c r="BU87" s="46"/>
      <c r="BV87" s="47"/>
      <c r="BX87">
        <v>12</v>
      </c>
      <c r="BY87">
        <v>10</v>
      </c>
      <c r="BZ87" s="43">
        <v>2</v>
      </c>
      <c r="CA87" s="46"/>
      <c r="CE87">
        <v>8</v>
      </c>
      <c r="CF87" s="42">
        <v>-8</v>
      </c>
      <c r="CG87" s="46">
        <v>8</v>
      </c>
      <c r="CL87" s="43">
        <v>0</v>
      </c>
      <c r="CM87" s="46"/>
      <c r="CN87" s="47"/>
      <c r="CR87" s="43">
        <v>0</v>
      </c>
      <c r="CS87" s="46"/>
      <c r="CX87" s="43">
        <v>0</v>
      </c>
      <c r="CY87" s="46"/>
      <c r="CZ87" s="47"/>
      <c r="DD87" s="43">
        <v>0</v>
      </c>
      <c r="DE87" s="46"/>
      <c r="DF87" s="47"/>
      <c r="DL87" s="43">
        <v>0</v>
      </c>
      <c r="DM87" s="46"/>
      <c r="DN87" s="45">
        <v>25</v>
      </c>
      <c r="DO87">
        <v>24</v>
      </c>
      <c r="DP87">
        <v>25</v>
      </c>
      <c r="DQ87">
        <v>26</v>
      </c>
      <c r="DR87" s="43">
        <v>0</v>
      </c>
      <c r="DS87" s="46"/>
      <c r="DZ87" s="43">
        <v>0</v>
      </c>
      <c r="EA87" s="46"/>
      <c r="EB87" s="47"/>
      <c r="EF87" s="43">
        <v>0</v>
      </c>
      <c r="EG87" s="46"/>
      <c r="EH87" s="47"/>
      <c r="EJ87">
        <v>24</v>
      </c>
      <c r="EK87">
        <v>24</v>
      </c>
      <c r="EL87" s="43">
        <v>0</v>
      </c>
      <c r="EM87" s="46"/>
      <c r="EN87" s="47"/>
      <c r="EP87">
        <v>6</v>
      </c>
      <c r="EQ87">
        <v>9</v>
      </c>
      <c r="ER87" s="43">
        <v>-3</v>
      </c>
      <c r="ES87" s="46"/>
      <c r="EX87">
        <v>6</v>
      </c>
      <c r="EY87">
        <v>8</v>
      </c>
      <c r="EZ87" s="43">
        <v>-2</v>
      </c>
      <c r="FA87" s="46"/>
      <c r="FD87">
        <v>19</v>
      </c>
      <c r="FF87">
        <v>20</v>
      </c>
      <c r="FG87" s="43">
        <v>-1</v>
      </c>
      <c r="FH87" s="46"/>
      <c r="FI87" s="47"/>
      <c r="FL87" s="43">
        <v>0</v>
      </c>
      <c r="FM87" s="46"/>
      <c r="FN87" s="45">
        <v>6</v>
      </c>
      <c r="FP87">
        <v>8</v>
      </c>
      <c r="FQ87" s="43">
        <v>-2</v>
      </c>
      <c r="FR87" s="46"/>
      <c r="FW87" s="43">
        <v>0</v>
      </c>
      <c r="FX87" s="46"/>
      <c r="FY87" s="47"/>
      <c r="GD87" s="43">
        <v>0</v>
      </c>
      <c r="GE87" s="46"/>
      <c r="GJ87" s="43">
        <v>0</v>
      </c>
      <c r="GK87" s="46"/>
      <c r="GL87" s="47"/>
      <c r="GP87" s="43">
        <v>0</v>
      </c>
      <c r="GQ87" s="46"/>
      <c r="GT87">
        <v>6</v>
      </c>
      <c r="GU87">
        <v>8</v>
      </c>
      <c r="GV87" s="43">
        <v>-2</v>
      </c>
      <c r="GW87" s="46"/>
      <c r="GX87" s="47"/>
      <c r="GZ87" s="43">
        <v>0</v>
      </c>
      <c r="HA87" s="46"/>
      <c r="HB87" s="47"/>
      <c r="HD87">
        <v>49</v>
      </c>
      <c r="HE87">
        <v>50</v>
      </c>
      <c r="HF87" s="43">
        <v>-1</v>
      </c>
      <c r="HG87" s="46"/>
      <c r="HH87" s="47"/>
      <c r="HJ87" s="43">
        <v>0</v>
      </c>
      <c r="HK87" s="46"/>
      <c r="HL87" s="47"/>
      <c r="HP87" s="43">
        <v>0</v>
      </c>
      <c r="HQ87" s="46"/>
      <c r="HX87" s="43">
        <v>0</v>
      </c>
      <c r="HY87" s="46"/>
      <c r="HZ87" s="47"/>
      <c r="IB87">
        <v>62</v>
      </c>
      <c r="IC87">
        <v>65</v>
      </c>
      <c r="ID87" s="43">
        <v>-3</v>
      </c>
      <c r="IE87" s="46"/>
      <c r="IJ87" s="43">
        <v>0</v>
      </c>
      <c r="IK87" s="49"/>
      <c r="IN87">
        <v>69</v>
      </c>
      <c r="IO87">
        <v>70</v>
      </c>
      <c r="IP87" s="43">
        <v>-1</v>
      </c>
      <c r="IQ87" s="49"/>
      <c r="IV87" s="43">
        <v>0</v>
      </c>
      <c r="IW87" s="49"/>
      <c r="IZ87">
        <v>37</v>
      </c>
      <c r="JA87">
        <v>36</v>
      </c>
      <c r="JB87" s="43">
        <v>1</v>
      </c>
      <c r="JC87" s="46"/>
      <c r="JF87" s="43">
        <v>0</v>
      </c>
      <c r="JG87" s="49"/>
      <c r="JJ87">
        <v>49</v>
      </c>
      <c r="JK87">
        <v>49</v>
      </c>
      <c r="JL87" s="43">
        <v>0</v>
      </c>
      <c r="JM87" s="46"/>
      <c r="JN87" s="45">
        <v>6</v>
      </c>
      <c r="JO87" s="48">
        <v>8</v>
      </c>
      <c r="JP87" s="43">
        <v>-2</v>
      </c>
      <c r="JQ87" s="49"/>
      <c r="JV87" s="43">
        <v>0</v>
      </c>
      <c r="JW87" s="49"/>
      <c r="KB87" s="43">
        <v>0</v>
      </c>
      <c r="KC87" s="49"/>
      <c r="KF87">
        <v>80</v>
      </c>
      <c r="KG87">
        <v>80</v>
      </c>
      <c r="KH87" s="43">
        <v>0</v>
      </c>
      <c r="KI87" s="49"/>
      <c r="KL87">
        <v>25</v>
      </c>
      <c r="KM87">
        <v>28</v>
      </c>
      <c r="KN87" s="43">
        <v>-3</v>
      </c>
      <c r="KO87" s="49"/>
      <c r="KP87" s="50"/>
      <c r="KV87" s="43">
        <v>0</v>
      </c>
      <c r="KW87" s="49"/>
      <c r="KX87" s="48">
        <v>0</v>
      </c>
      <c r="KY87" s="48">
        <v>0</v>
      </c>
      <c r="KZ87" s="48">
        <v>0</v>
      </c>
      <c r="LA87" s="48">
        <v>0</v>
      </c>
      <c r="LB87" s="43">
        <v>0</v>
      </c>
      <c r="LC87" s="49"/>
      <c r="LD87" s="48">
        <v>0</v>
      </c>
      <c r="LE87" s="48">
        <v>0</v>
      </c>
      <c r="LF87" s="48">
        <v>0</v>
      </c>
      <c r="LG87" s="48">
        <v>0</v>
      </c>
      <c r="LH87" s="43">
        <v>0</v>
      </c>
      <c r="LI87" s="49"/>
      <c r="LJ87" s="50">
        <v>0</v>
      </c>
      <c r="LK87" s="48">
        <v>0</v>
      </c>
      <c r="LL87" s="43">
        <v>0</v>
      </c>
      <c r="LM87" s="49"/>
      <c r="LN87" s="50">
        <v>49.057000000000002</v>
      </c>
      <c r="LO87" s="48">
        <v>50</v>
      </c>
      <c r="LP87" s="48">
        <v>61.423000000000002</v>
      </c>
      <c r="LQ87" s="48">
        <v>0</v>
      </c>
      <c r="LR87" s="48">
        <v>60</v>
      </c>
      <c r="LS87" s="43">
        <v>0.48000000000000398</v>
      </c>
      <c r="LT87" s="49"/>
      <c r="LU87" s="50">
        <v>37.448999999999998</v>
      </c>
      <c r="LV87" s="48">
        <v>40</v>
      </c>
      <c r="LW87" s="48">
        <v>66.703000000000003</v>
      </c>
      <c r="LX87" s="48">
        <v>70</v>
      </c>
      <c r="LY87" s="43">
        <v>-5.847999999999999</v>
      </c>
      <c r="LZ87" s="49"/>
      <c r="MA87" s="50">
        <v>12.569000000000001</v>
      </c>
      <c r="MB87" s="48">
        <v>10</v>
      </c>
      <c r="MC87" s="43">
        <v>2.5690000000000008</v>
      </c>
      <c r="MD87" s="49"/>
      <c r="ME87" s="50">
        <v>18.474</v>
      </c>
      <c r="MF87" s="48">
        <v>20</v>
      </c>
      <c r="MG87" s="48">
        <v>98.418999999999997</v>
      </c>
      <c r="MH87" s="48">
        <v>100</v>
      </c>
      <c r="MI87" s="43">
        <v>-3.1069999999999989</v>
      </c>
      <c r="MJ87" s="49"/>
      <c r="MK87" s="50">
        <v>49.466000000000001</v>
      </c>
      <c r="ML87" s="48">
        <v>50</v>
      </c>
      <c r="MM87" s="43">
        <v>-0.53399999999999892</v>
      </c>
      <c r="MN87" s="49"/>
      <c r="MO87" s="50">
        <v>0</v>
      </c>
      <c r="MP87" s="48">
        <v>0</v>
      </c>
      <c r="MQ87" s="48">
        <v>43.351999999999997</v>
      </c>
      <c r="MR87" s="48">
        <v>42</v>
      </c>
      <c r="MS87" s="43">
        <v>1.351999999999997</v>
      </c>
      <c r="MT87" s="49"/>
      <c r="MU87" s="48">
        <v>18.288</v>
      </c>
      <c r="MV87" s="46">
        <v>-18.288</v>
      </c>
      <c r="MW87" s="48">
        <v>0</v>
      </c>
      <c r="MX87" s="48">
        <v>20</v>
      </c>
      <c r="MY87" s="42">
        <v>-20</v>
      </c>
      <c r="MZ87" s="49">
        <v>20</v>
      </c>
      <c r="NA87" s="50">
        <v>0</v>
      </c>
      <c r="NB87" s="48">
        <v>0</v>
      </c>
      <c r="NC87" s="48">
        <v>149.262</v>
      </c>
      <c r="ND87" s="48">
        <v>150</v>
      </c>
      <c r="NE87" s="43">
        <v>-0.73799999999999955</v>
      </c>
      <c r="NF87" s="49"/>
      <c r="NG87" s="50">
        <v>0</v>
      </c>
      <c r="NH87" s="48">
        <v>0</v>
      </c>
      <c r="NI87" s="48">
        <v>50.267000000000003</v>
      </c>
      <c r="NJ87" s="48">
        <v>50</v>
      </c>
      <c r="NK87" s="43">
        <v>0.26700000000000301</v>
      </c>
      <c r="NL87" s="49"/>
      <c r="NM87" s="50">
        <v>0</v>
      </c>
      <c r="NN87" s="48">
        <v>0</v>
      </c>
      <c r="NO87" s="48">
        <v>30.831</v>
      </c>
      <c r="NP87" s="48">
        <v>30</v>
      </c>
      <c r="NQ87" s="43">
        <v>0.83099999999999952</v>
      </c>
      <c r="NR87" s="49"/>
      <c r="NS87" s="50">
        <v>0</v>
      </c>
      <c r="NT87" s="48">
        <v>0</v>
      </c>
      <c r="NU87" s="48">
        <v>37.286999999999999</v>
      </c>
      <c r="NV87" s="48">
        <v>40</v>
      </c>
      <c r="NW87" s="43">
        <v>-2.713000000000001</v>
      </c>
      <c r="NX87" s="49"/>
      <c r="NY87" s="50">
        <v>0</v>
      </c>
      <c r="NZ87" s="48">
        <v>0</v>
      </c>
      <c r="OA87" s="48">
        <v>49.295000000000002</v>
      </c>
      <c r="OB87" s="48">
        <v>50</v>
      </c>
      <c r="OC87" s="43">
        <v>-0.70499999999999829</v>
      </c>
      <c r="OD87" s="49"/>
      <c r="OE87" s="50">
        <v>80.869</v>
      </c>
      <c r="OF87" s="48">
        <v>80</v>
      </c>
      <c r="OG87" s="43">
        <v>0.86899999999999977</v>
      </c>
      <c r="OH87" s="49"/>
      <c r="OI87" s="50">
        <v>0</v>
      </c>
      <c r="OJ87" s="48">
        <v>0</v>
      </c>
      <c r="OK87" s="43">
        <v>0</v>
      </c>
      <c r="OL87" s="49"/>
      <c r="OM87" s="50">
        <v>0</v>
      </c>
      <c r="ON87" s="48">
        <v>0</v>
      </c>
      <c r="OO87" s="48">
        <v>99.076999999999998</v>
      </c>
      <c r="OP87" s="48">
        <v>100</v>
      </c>
      <c r="OQ87" s="43">
        <v>-0.92300000000000182</v>
      </c>
      <c r="OR87" s="49"/>
      <c r="OS87" s="50">
        <v>80.346999999999994</v>
      </c>
      <c r="OT87" s="48">
        <v>80</v>
      </c>
      <c r="OU87" s="43">
        <v>0.3469999999999942</v>
      </c>
      <c r="OV87" s="49"/>
      <c r="OW87" s="50">
        <v>0</v>
      </c>
      <c r="OX87" s="48">
        <v>0</v>
      </c>
      <c r="OY87" s="48">
        <v>80.863</v>
      </c>
      <c r="OZ87" s="48">
        <v>80</v>
      </c>
      <c r="PA87" s="43">
        <v>0.86299999999999955</v>
      </c>
      <c r="PB87" s="49"/>
      <c r="PC87" s="50">
        <v>79.966999999999999</v>
      </c>
      <c r="PD87" s="48">
        <v>82</v>
      </c>
      <c r="PE87" s="43">
        <v>-2.0330000000000008</v>
      </c>
      <c r="PF87" s="49"/>
      <c r="PG87" s="50">
        <v>0</v>
      </c>
      <c r="PH87" s="48">
        <v>0</v>
      </c>
      <c r="PI87" s="48">
        <v>67.852000000000004</v>
      </c>
      <c r="PJ87" s="48">
        <v>69</v>
      </c>
      <c r="PK87" s="43">
        <v>-1.1479999999999959</v>
      </c>
      <c r="PL87" s="49"/>
      <c r="PM87" s="47">
        <v>0</v>
      </c>
      <c r="PN87" s="48">
        <v>0</v>
      </c>
      <c r="PO87" s="48">
        <v>18.184999999999999</v>
      </c>
      <c r="PP87" s="48">
        <v>20</v>
      </c>
      <c r="PQ87" s="43">
        <v>-1.8150000000000011</v>
      </c>
      <c r="PR87" s="49"/>
      <c r="PS87" s="47">
        <v>0</v>
      </c>
      <c r="PT87" s="43">
        <v>0</v>
      </c>
      <c r="PU87" s="43">
        <v>0</v>
      </c>
      <c r="PV87" s="43">
        <v>0</v>
      </c>
      <c r="PW87" s="43">
        <v>0</v>
      </c>
      <c r="PX87" s="46"/>
      <c r="PY87" s="47">
        <v>110.72799999999999</v>
      </c>
      <c r="PZ87" s="43">
        <v>110</v>
      </c>
      <c r="QA87" s="43">
        <v>0.72799999999999443</v>
      </c>
      <c r="QB87" s="46"/>
      <c r="QC87" s="47">
        <v>0</v>
      </c>
      <c r="QD87" s="43">
        <v>0</v>
      </c>
      <c r="QE87" s="43">
        <v>0</v>
      </c>
      <c r="QF87" s="43">
        <v>0</v>
      </c>
      <c r="QG87" s="43">
        <v>0</v>
      </c>
      <c r="QH87" s="46"/>
      <c r="QI87" s="47">
        <v>0</v>
      </c>
      <c r="QJ87" s="43">
        <v>0</v>
      </c>
      <c r="QK87" s="43">
        <v>0</v>
      </c>
      <c r="QL87" s="43">
        <v>0</v>
      </c>
      <c r="QM87" s="43">
        <v>0</v>
      </c>
      <c r="QN87" s="46"/>
      <c r="QO87" s="47">
        <v>0</v>
      </c>
      <c r="QP87" s="43">
        <v>0</v>
      </c>
      <c r="QQ87" s="43">
        <v>81.483000000000004</v>
      </c>
      <c r="QR87" s="43">
        <v>0</v>
      </c>
      <c r="QS87" s="43">
        <v>81.483000000000004</v>
      </c>
      <c r="QT87" s="46"/>
      <c r="QU87" s="47">
        <v>0</v>
      </c>
      <c r="QV87" s="43">
        <v>0</v>
      </c>
      <c r="QW87" s="43">
        <v>0</v>
      </c>
      <c r="QX87" s="46"/>
      <c r="QY87" s="47">
        <v>0</v>
      </c>
      <c r="QZ87" s="43">
        <v>0</v>
      </c>
      <c r="RA87" s="43">
        <v>0</v>
      </c>
      <c r="RB87" s="43">
        <v>0</v>
      </c>
      <c r="RC87" s="43">
        <v>0</v>
      </c>
      <c r="RD87" s="46"/>
    </row>
    <row r="88" spans="1:472" x14ac:dyDescent="0.25">
      <c r="A88" s="43" t="s">
        <v>376</v>
      </c>
      <c r="B88" s="44">
        <v>0.28000000000000003</v>
      </c>
      <c r="I88" s="47"/>
      <c r="J88" s="51"/>
      <c r="K88" s="51"/>
      <c r="L88" s="51"/>
      <c r="M88" s="51">
        <f t="shared" si="12"/>
        <v>0</v>
      </c>
      <c r="N88" s="46"/>
      <c r="O88" s="47"/>
      <c r="P88" s="51"/>
      <c r="Q88" s="51"/>
      <c r="R88" s="51"/>
      <c r="S88" s="51">
        <f t="shared" si="13"/>
        <v>0</v>
      </c>
      <c r="T88" s="46"/>
      <c r="U88" s="47"/>
      <c r="V88" s="51"/>
      <c r="W88" s="51"/>
      <c r="X88" s="51"/>
      <c r="Y88" s="51">
        <f t="shared" si="14"/>
        <v>0</v>
      </c>
      <c r="Z88" s="46"/>
      <c r="AA88" s="51"/>
      <c r="AE88" s="43">
        <v>0</v>
      </c>
      <c r="AF88" s="46"/>
      <c r="AG88" s="47"/>
      <c r="AK88" s="43">
        <v>0</v>
      </c>
      <c r="AL88" s="46"/>
      <c r="AQ88" s="43">
        <v>0</v>
      </c>
      <c r="AR88" s="46"/>
      <c r="AW88" s="43">
        <v>0</v>
      </c>
      <c r="AX88" s="46"/>
      <c r="AY88" s="47"/>
      <c r="BC88" s="43">
        <v>0</v>
      </c>
      <c r="BD88" s="46"/>
      <c r="BE88" s="47"/>
      <c r="BI88" s="43">
        <v>0</v>
      </c>
      <c r="BJ88" s="46"/>
      <c r="BP88" s="43">
        <v>0</v>
      </c>
      <c r="BQ88" s="46"/>
      <c r="BT88" s="43">
        <v>0</v>
      </c>
      <c r="BU88" s="46"/>
      <c r="BV88" s="47"/>
      <c r="BZ88" s="43">
        <v>0</v>
      </c>
      <c r="CA88" s="46"/>
      <c r="CF88" s="43">
        <v>0</v>
      </c>
      <c r="CG88" s="46"/>
      <c r="CL88" s="43">
        <v>0</v>
      </c>
      <c r="CM88" s="46"/>
      <c r="CN88" s="47"/>
      <c r="CR88" s="43">
        <v>0</v>
      </c>
      <c r="CS88" s="46"/>
      <c r="CX88" s="43">
        <v>0</v>
      </c>
      <c r="CY88" s="46"/>
      <c r="CZ88" s="47"/>
      <c r="DD88" s="43">
        <v>0</v>
      </c>
      <c r="DE88" s="46"/>
      <c r="DF88" s="47"/>
      <c r="DL88" s="43">
        <v>0</v>
      </c>
      <c r="DM88" s="46"/>
      <c r="DN88" s="47"/>
      <c r="DR88" s="43">
        <v>0</v>
      </c>
      <c r="DS88" s="46"/>
      <c r="DZ88" s="43">
        <v>0</v>
      </c>
      <c r="EA88" s="46"/>
      <c r="EB88" s="47"/>
      <c r="EF88" s="43">
        <v>0</v>
      </c>
      <c r="EG88" s="46"/>
      <c r="EH88" s="47"/>
      <c r="EL88" s="43">
        <v>0</v>
      </c>
      <c r="EM88" s="46"/>
      <c r="EN88" s="47"/>
      <c r="ER88" s="43">
        <v>0</v>
      </c>
      <c r="ES88" s="46"/>
      <c r="EZ88" s="43">
        <v>0</v>
      </c>
      <c r="FA88" s="46"/>
      <c r="FG88" s="43">
        <v>0</v>
      </c>
      <c r="FH88" s="46"/>
      <c r="FI88" s="47"/>
      <c r="FL88" s="43">
        <v>0</v>
      </c>
      <c r="FM88" s="46"/>
      <c r="FN88" s="47"/>
      <c r="FQ88" s="43">
        <v>0</v>
      </c>
      <c r="FR88" s="46"/>
      <c r="FW88" s="43">
        <v>0</v>
      </c>
      <c r="FX88" s="46"/>
      <c r="FY88" s="47"/>
      <c r="GD88" s="43">
        <v>0</v>
      </c>
      <c r="GE88" s="46"/>
      <c r="GJ88" s="43">
        <v>0</v>
      </c>
      <c r="GK88" s="46"/>
      <c r="GL88" s="47"/>
      <c r="GP88" s="43">
        <v>0</v>
      </c>
      <c r="GQ88" s="46"/>
      <c r="GV88" s="43">
        <v>0</v>
      </c>
      <c r="GW88" s="46"/>
      <c r="GX88" s="47"/>
      <c r="GZ88" s="43">
        <v>0</v>
      </c>
      <c r="HA88" s="46"/>
      <c r="HB88" s="47"/>
      <c r="HF88" s="43">
        <v>0</v>
      </c>
      <c r="HG88" s="46"/>
      <c r="HH88" s="47"/>
      <c r="HJ88" s="43">
        <v>0</v>
      </c>
      <c r="HK88" s="46"/>
      <c r="HL88" s="47"/>
      <c r="HP88" s="43">
        <v>0</v>
      </c>
      <c r="HQ88" s="46"/>
      <c r="HV88">
        <v>176</v>
      </c>
      <c r="HW88">
        <v>180</v>
      </c>
      <c r="HX88" s="43">
        <v>-4</v>
      </c>
      <c r="HY88" s="46"/>
      <c r="HZ88" s="45">
        <v>40</v>
      </c>
      <c r="IA88">
        <v>40</v>
      </c>
      <c r="IB88">
        <v>40</v>
      </c>
      <c r="IC88">
        <v>40</v>
      </c>
      <c r="ID88" s="43">
        <v>0</v>
      </c>
      <c r="IE88" s="46"/>
      <c r="IJ88" s="43">
        <v>0</v>
      </c>
      <c r="IK88" s="49"/>
      <c r="IL88">
        <v>96</v>
      </c>
      <c r="IM88">
        <v>100</v>
      </c>
      <c r="IN88">
        <v>136</v>
      </c>
      <c r="IO88">
        <v>140</v>
      </c>
      <c r="IP88" s="43">
        <v>-8</v>
      </c>
      <c r="IQ88" s="49"/>
      <c r="IR88">
        <v>16</v>
      </c>
      <c r="IS88">
        <v>16</v>
      </c>
      <c r="IV88" s="43">
        <v>0</v>
      </c>
      <c r="IW88" s="49"/>
      <c r="IZ88">
        <v>48</v>
      </c>
      <c r="JA88">
        <v>50</v>
      </c>
      <c r="JB88" s="43">
        <v>-2</v>
      </c>
      <c r="JC88" s="46"/>
      <c r="JD88">
        <v>96</v>
      </c>
      <c r="JE88">
        <v>100</v>
      </c>
      <c r="JF88" s="43">
        <v>-4</v>
      </c>
      <c r="JG88" s="49"/>
      <c r="JJ88">
        <v>24</v>
      </c>
      <c r="JK88">
        <v>27</v>
      </c>
      <c r="JL88" s="43">
        <v>-3</v>
      </c>
      <c r="JM88" s="46"/>
      <c r="JN88" s="50"/>
      <c r="JP88" s="43">
        <v>0</v>
      </c>
      <c r="JQ88" s="49"/>
      <c r="JT88">
        <v>120</v>
      </c>
      <c r="JU88">
        <v>120</v>
      </c>
      <c r="JV88" s="43">
        <v>0</v>
      </c>
      <c r="JW88" s="49"/>
      <c r="JX88">
        <v>56</v>
      </c>
      <c r="JY88">
        <v>60</v>
      </c>
      <c r="KB88" s="43">
        <v>-4</v>
      </c>
      <c r="KC88" s="49"/>
      <c r="KG88">
        <v>80</v>
      </c>
      <c r="KH88" s="42">
        <v>-80</v>
      </c>
      <c r="KI88" s="49">
        <v>22.4</v>
      </c>
      <c r="KJ88">
        <v>48</v>
      </c>
      <c r="KK88">
        <v>50</v>
      </c>
      <c r="KL88">
        <v>136</v>
      </c>
      <c r="KM88">
        <v>140</v>
      </c>
      <c r="KN88" s="43">
        <v>-6</v>
      </c>
      <c r="KO88" s="49"/>
      <c r="KP88" s="45">
        <v>16</v>
      </c>
      <c r="KQ88">
        <v>16</v>
      </c>
      <c r="KV88" s="43">
        <v>0</v>
      </c>
      <c r="KW88" s="49"/>
      <c r="KX88" s="48">
        <v>0</v>
      </c>
      <c r="KY88" s="48">
        <v>0</v>
      </c>
      <c r="KZ88" s="48">
        <v>0</v>
      </c>
      <c r="LA88" s="48">
        <v>0</v>
      </c>
      <c r="LB88" s="43">
        <v>0</v>
      </c>
      <c r="LC88" s="49"/>
      <c r="LD88" s="48">
        <v>96</v>
      </c>
      <c r="LE88" s="48">
        <v>100</v>
      </c>
      <c r="LF88" s="48">
        <v>96</v>
      </c>
      <c r="LG88" s="48">
        <v>100</v>
      </c>
      <c r="LH88" s="43">
        <v>-8</v>
      </c>
      <c r="LI88" s="49"/>
      <c r="LJ88" s="50">
        <v>40</v>
      </c>
      <c r="LK88" s="48">
        <v>40</v>
      </c>
      <c r="LL88" s="43">
        <v>0</v>
      </c>
      <c r="LM88" s="49"/>
      <c r="LN88" s="50">
        <v>0</v>
      </c>
      <c r="LO88" s="48">
        <v>0</v>
      </c>
      <c r="LP88" s="48">
        <v>0</v>
      </c>
      <c r="LQ88" s="48">
        <v>0</v>
      </c>
      <c r="LR88" s="48">
        <v>0</v>
      </c>
      <c r="LS88" s="43">
        <v>0</v>
      </c>
      <c r="LT88" s="49"/>
      <c r="LU88" s="50">
        <v>80</v>
      </c>
      <c r="LV88" s="48">
        <v>80</v>
      </c>
      <c r="LW88" s="48">
        <v>192</v>
      </c>
      <c r="LX88" s="48">
        <v>190</v>
      </c>
      <c r="LY88" s="43">
        <v>2</v>
      </c>
      <c r="LZ88" s="49"/>
      <c r="MA88" s="50">
        <v>24</v>
      </c>
      <c r="MB88" s="48">
        <v>24</v>
      </c>
      <c r="MC88" s="43">
        <v>0</v>
      </c>
      <c r="MD88" s="49"/>
      <c r="ME88" s="50">
        <v>0</v>
      </c>
      <c r="MF88" s="48">
        <v>0</v>
      </c>
      <c r="MG88" s="48">
        <v>0</v>
      </c>
      <c r="MH88" s="48">
        <v>0</v>
      </c>
      <c r="MI88" s="43">
        <v>0</v>
      </c>
      <c r="MJ88" s="49"/>
      <c r="MK88" s="50">
        <v>192</v>
      </c>
      <c r="ML88" s="48">
        <v>190</v>
      </c>
      <c r="MM88" s="43">
        <v>2</v>
      </c>
      <c r="MN88" s="49"/>
      <c r="MO88" s="50">
        <v>0</v>
      </c>
      <c r="MP88" s="48">
        <v>0</v>
      </c>
      <c r="MQ88" s="48">
        <v>24</v>
      </c>
      <c r="MR88" s="48">
        <v>23</v>
      </c>
      <c r="MS88" s="43">
        <v>1</v>
      </c>
      <c r="MT88" s="49"/>
      <c r="MU88" s="48">
        <v>0</v>
      </c>
      <c r="MV88" s="46"/>
      <c r="MW88" s="48">
        <v>0</v>
      </c>
      <c r="MX88" s="48">
        <v>0</v>
      </c>
      <c r="MY88" s="43">
        <v>0</v>
      </c>
      <c r="MZ88" s="49"/>
      <c r="NA88" s="50">
        <v>0</v>
      </c>
      <c r="NB88" s="48">
        <v>0</v>
      </c>
      <c r="NC88" s="48">
        <v>16</v>
      </c>
      <c r="ND88" s="48">
        <v>20</v>
      </c>
      <c r="NE88" s="43">
        <v>-4</v>
      </c>
      <c r="NF88" s="49"/>
      <c r="NG88" s="25">
        <v>96</v>
      </c>
      <c r="NH88" s="48">
        <v>0</v>
      </c>
      <c r="NI88" s="48">
        <v>56</v>
      </c>
      <c r="NJ88" s="48">
        <v>60</v>
      </c>
      <c r="NK88" s="43">
        <v>92</v>
      </c>
      <c r="NL88" s="49"/>
      <c r="NM88" s="50">
        <v>80</v>
      </c>
      <c r="NN88" s="48">
        <v>80</v>
      </c>
      <c r="NO88" s="48">
        <v>136</v>
      </c>
      <c r="NP88" s="48">
        <v>140</v>
      </c>
      <c r="NQ88" s="43">
        <v>-4</v>
      </c>
      <c r="NR88" s="49"/>
      <c r="NS88" s="50">
        <v>0</v>
      </c>
      <c r="NT88" s="48">
        <v>0</v>
      </c>
      <c r="NU88" s="48">
        <v>0</v>
      </c>
      <c r="NV88" s="48">
        <v>0</v>
      </c>
      <c r="NW88" s="43">
        <v>0</v>
      </c>
      <c r="NX88" s="49"/>
      <c r="NY88" s="50">
        <v>0</v>
      </c>
      <c r="NZ88" s="48">
        <v>0</v>
      </c>
      <c r="OA88" s="48">
        <v>48</v>
      </c>
      <c r="OB88" s="48">
        <v>50</v>
      </c>
      <c r="OC88" s="43">
        <v>-2</v>
      </c>
      <c r="OD88" s="49"/>
      <c r="OE88" s="50">
        <v>152</v>
      </c>
      <c r="OF88" s="48">
        <v>150</v>
      </c>
      <c r="OG88" s="43">
        <v>2</v>
      </c>
      <c r="OH88" s="49"/>
      <c r="OI88" s="50">
        <v>0</v>
      </c>
      <c r="OJ88" s="48">
        <v>0</v>
      </c>
      <c r="OK88" s="43">
        <v>0</v>
      </c>
      <c r="OL88" s="49"/>
      <c r="OM88" s="50">
        <v>0</v>
      </c>
      <c r="ON88" s="48">
        <v>0</v>
      </c>
      <c r="OO88" s="48">
        <v>48</v>
      </c>
      <c r="OP88" s="48">
        <v>50</v>
      </c>
      <c r="OQ88" s="43">
        <v>-2</v>
      </c>
      <c r="OR88" s="49"/>
      <c r="OS88" s="50">
        <v>0</v>
      </c>
      <c r="OT88" s="48">
        <v>0</v>
      </c>
      <c r="OU88" s="43">
        <v>0</v>
      </c>
      <c r="OV88" s="49"/>
      <c r="OW88" s="50">
        <v>0</v>
      </c>
      <c r="OX88" s="48">
        <v>0</v>
      </c>
      <c r="OY88" s="48">
        <v>0</v>
      </c>
      <c r="OZ88" s="48">
        <v>0</v>
      </c>
      <c r="PA88" s="43">
        <v>0</v>
      </c>
      <c r="PB88" s="49"/>
      <c r="PC88" s="50">
        <v>0</v>
      </c>
      <c r="PD88" s="48">
        <v>0</v>
      </c>
      <c r="PE88" s="43">
        <v>0</v>
      </c>
      <c r="PF88" s="49"/>
      <c r="PG88" s="50">
        <v>0</v>
      </c>
      <c r="PH88" s="48">
        <v>0</v>
      </c>
      <c r="PI88" s="48">
        <v>40</v>
      </c>
      <c r="PJ88" s="48">
        <v>38</v>
      </c>
      <c r="PK88" s="43">
        <v>2</v>
      </c>
      <c r="PL88" s="49"/>
      <c r="PM88" s="47">
        <v>0</v>
      </c>
      <c r="PN88" s="48">
        <v>0</v>
      </c>
      <c r="PO88" s="48">
        <v>48</v>
      </c>
      <c r="PP88" s="48">
        <v>49</v>
      </c>
      <c r="PQ88" s="43">
        <v>-1</v>
      </c>
      <c r="PR88" s="49"/>
      <c r="PS88" s="47">
        <v>0</v>
      </c>
      <c r="PT88" s="43">
        <v>0</v>
      </c>
      <c r="PU88" s="43">
        <v>0</v>
      </c>
      <c r="PV88" s="43">
        <v>0</v>
      </c>
      <c r="PW88" s="43">
        <v>0</v>
      </c>
      <c r="PX88" s="46"/>
      <c r="PY88" s="47">
        <v>0</v>
      </c>
      <c r="PZ88" s="43">
        <v>0</v>
      </c>
      <c r="QA88" s="43">
        <v>0</v>
      </c>
      <c r="QB88" s="46"/>
      <c r="QC88" s="47">
        <v>0</v>
      </c>
      <c r="QD88" s="43">
        <v>0</v>
      </c>
      <c r="QE88" s="43">
        <v>0</v>
      </c>
      <c r="QF88" s="43">
        <v>0</v>
      </c>
      <c r="QG88" s="43">
        <v>0</v>
      </c>
      <c r="QH88" s="46"/>
      <c r="QI88" s="47">
        <v>40</v>
      </c>
      <c r="QJ88" s="43">
        <v>40</v>
      </c>
      <c r="QK88" s="43">
        <v>0</v>
      </c>
      <c r="QL88" s="43">
        <v>0</v>
      </c>
      <c r="QM88" s="43">
        <v>0</v>
      </c>
      <c r="QN88" s="46"/>
      <c r="QO88" s="47">
        <v>264</v>
      </c>
      <c r="QP88" s="43">
        <v>269</v>
      </c>
      <c r="QQ88" s="43">
        <v>496</v>
      </c>
      <c r="QR88" s="43">
        <v>0</v>
      </c>
      <c r="QS88" s="43">
        <v>491</v>
      </c>
      <c r="QT88" s="46"/>
      <c r="QU88" s="47">
        <v>136</v>
      </c>
      <c r="QV88" s="43">
        <v>134</v>
      </c>
      <c r="QW88" s="43">
        <v>2</v>
      </c>
      <c r="QX88" s="46"/>
      <c r="QY88" s="47">
        <v>0</v>
      </c>
      <c r="QZ88" s="43">
        <v>0</v>
      </c>
      <c r="RA88" s="43">
        <v>0</v>
      </c>
      <c r="RB88" s="43">
        <v>0</v>
      </c>
      <c r="RC88" s="43">
        <v>0</v>
      </c>
      <c r="RD88" s="46"/>
    </row>
    <row r="89" spans="1:472" x14ac:dyDescent="0.25">
      <c r="A89" s="43" t="s">
        <v>377</v>
      </c>
      <c r="B89" s="44">
        <v>0.28000000000000003</v>
      </c>
      <c r="I89" s="47"/>
      <c r="J89" s="51"/>
      <c r="K89" s="51"/>
      <c r="L89" s="51"/>
      <c r="M89" s="51">
        <f t="shared" si="12"/>
        <v>0</v>
      </c>
      <c r="N89" s="46"/>
      <c r="O89" s="47"/>
      <c r="P89" s="51"/>
      <c r="Q89" s="51"/>
      <c r="R89" s="51"/>
      <c r="S89" s="51">
        <f t="shared" si="13"/>
        <v>0</v>
      </c>
      <c r="T89" s="46"/>
      <c r="U89" s="47"/>
      <c r="V89" s="51"/>
      <c r="W89" s="51"/>
      <c r="X89" s="51"/>
      <c r="Y89" s="51">
        <f t="shared" si="14"/>
        <v>0</v>
      </c>
      <c r="Z89" s="46"/>
      <c r="AA89" s="51"/>
      <c r="AE89" s="43">
        <v>0</v>
      </c>
      <c r="AF89" s="46"/>
      <c r="AG89" s="47"/>
      <c r="AK89" s="43">
        <v>0</v>
      </c>
      <c r="AL89" s="46"/>
      <c r="AQ89" s="43">
        <v>0</v>
      </c>
      <c r="AR89" s="46"/>
      <c r="AW89" s="43">
        <v>0</v>
      </c>
      <c r="AX89" s="46"/>
      <c r="AY89" s="47"/>
      <c r="BC89" s="43">
        <v>0</v>
      </c>
      <c r="BD89" s="46"/>
      <c r="BE89" s="47"/>
      <c r="BI89" s="43">
        <v>0</v>
      </c>
      <c r="BJ89" s="46"/>
      <c r="BP89" s="43">
        <v>0</v>
      </c>
      <c r="BQ89" s="46"/>
      <c r="BT89" s="43">
        <v>0</v>
      </c>
      <c r="BU89" s="46"/>
      <c r="BV89" s="47"/>
      <c r="BZ89" s="43">
        <v>0</v>
      </c>
      <c r="CA89" s="46"/>
      <c r="CF89" s="43">
        <v>0</v>
      </c>
      <c r="CG89" s="46"/>
      <c r="CL89" s="43">
        <v>0</v>
      </c>
      <c r="CM89" s="46"/>
      <c r="CN89" s="47"/>
      <c r="CR89" s="43">
        <v>0</v>
      </c>
      <c r="CS89" s="46"/>
      <c r="CX89" s="43">
        <v>0</v>
      </c>
      <c r="CY89" s="46"/>
      <c r="CZ89" s="47"/>
      <c r="DD89" s="43">
        <v>0</v>
      </c>
      <c r="DE89" s="46"/>
      <c r="DF89" s="47"/>
      <c r="DL89" s="43">
        <v>0</v>
      </c>
      <c r="DM89" s="46"/>
      <c r="DN89" s="47"/>
      <c r="DR89" s="43">
        <v>0</v>
      </c>
      <c r="DS89" s="46"/>
      <c r="DZ89" s="43">
        <v>0</v>
      </c>
      <c r="EA89" s="46"/>
      <c r="EB89" s="47"/>
      <c r="EF89" s="43">
        <v>0</v>
      </c>
      <c r="EG89" s="46"/>
      <c r="EH89" s="47"/>
      <c r="EL89" s="43">
        <v>0</v>
      </c>
      <c r="EM89" s="46"/>
      <c r="EN89" s="47"/>
      <c r="ER89" s="43">
        <v>0</v>
      </c>
      <c r="ES89" s="46"/>
      <c r="EZ89" s="43">
        <v>0</v>
      </c>
      <c r="FA89" s="46"/>
      <c r="FG89" s="43">
        <v>0</v>
      </c>
      <c r="FH89" s="46"/>
      <c r="FI89" s="47"/>
      <c r="FL89" s="43">
        <v>0</v>
      </c>
      <c r="FM89" s="46"/>
      <c r="FN89" s="47"/>
      <c r="FQ89" s="43">
        <v>0</v>
      </c>
      <c r="FR89" s="46"/>
      <c r="FW89" s="43">
        <v>0</v>
      </c>
      <c r="FX89" s="46"/>
      <c r="FY89" s="47"/>
      <c r="GD89" s="43">
        <v>0</v>
      </c>
      <c r="GE89" s="46"/>
      <c r="GJ89" s="43">
        <v>0</v>
      </c>
      <c r="GK89" s="46"/>
      <c r="GL89" s="47"/>
      <c r="GP89" s="43">
        <v>0</v>
      </c>
      <c r="GQ89" s="46"/>
      <c r="GV89" s="43">
        <v>0</v>
      </c>
      <c r="GW89" s="46"/>
      <c r="GX89" s="47"/>
      <c r="GZ89" s="43">
        <v>0</v>
      </c>
      <c r="HA89" s="46"/>
      <c r="HB89" s="47"/>
      <c r="HF89" s="43">
        <v>0</v>
      </c>
      <c r="HG89" s="46"/>
      <c r="HH89" s="47"/>
      <c r="HJ89" s="43">
        <v>0</v>
      </c>
      <c r="HK89" s="46"/>
      <c r="HL89" s="47"/>
      <c r="HP89" s="43">
        <v>0</v>
      </c>
      <c r="HQ89" s="46"/>
      <c r="HX89" s="43">
        <v>0</v>
      </c>
      <c r="HY89" s="46"/>
      <c r="HZ89" s="47"/>
      <c r="ID89" s="43">
        <v>0</v>
      </c>
      <c r="IE89" s="46"/>
      <c r="IJ89" s="43">
        <v>0</v>
      </c>
      <c r="IK89" s="49"/>
      <c r="IP89" s="43">
        <v>0</v>
      </c>
      <c r="IQ89" s="49"/>
      <c r="IV89" s="43">
        <v>0</v>
      </c>
      <c r="IW89" s="49"/>
      <c r="JB89" s="43">
        <v>0</v>
      </c>
      <c r="JC89" s="46"/>
      <c r="JF89" s="43">
        <v>0</v>
      </c>
      <c r="JG89" s="49"/>
      <c r="JL89" s="43">
        <v>0</v>
      </c>
      <c r="JM89" s="46"/>
      <c r="JN89" s="50"/>
      <c r="JP89" s="43">
        <v>0</v>
      </c>
      <c r="JQ89" s="49"/>
      <c r="JV89" s="43">
        <v>0</v>
      </c>
      <c r="JW89" s="49"/>
      <c r="KB89" s="43">
        <v>0</v>
      </c>
      <c r="KC89" s="49"/>
      <c r="KH89" s="43">
        <v>0</v>
      </c>
      <c r="KI89" s="49"/>
      <c r="KN89" s="43">
        <v>0</v>
      </c>
      <c r="KO89" s="49"/>
      <c r="KP89" s="50"/>
      <c r="KV89" s="43">
        <v>0</v>
      </c>
      <c r="KW89" s="49"/>
      <c r="KX89" s="48">
        <v>0</v>
      </c>
      <c r="KY89" s="48">
        <v>0</v>
      </c>
      <c r="KZ89" s="48">
        <v>0</v>
      </c>
      <c r="LA89" s="48">
        <v>0</v>
      </c>
      <c r="LB89" s="43">
        <v>0</v>
      </c>
      <c r="LC89" s="49"/>
      <c r="LD89" s="48">
        <v>0</v>
      </c>
      <c r="LE89" s="48">
        <v>0</v>
      </c>
      <c r="LF89" s="48">
        <v>0</v>
      </c>
      <c r="LG89" s="48">
        <v>0</v>
      </c>
      <c r="LH89" s="43">
        <v>0</v>
      </c>
      <c r="LI89" s="49"/>
      <c r="LJ89" s="50">
        <v>0</v>
      </c>
      <c r="LK89" s="48">
        <v>0</v>
      </c>
      <c r="LL89" s="43">
        <v>0</v>
      </c>
      <c r="LM89" s="49"/>
      <c r="LN89" s="50">
        <v>0</v>
      </c>
      <c r="LO89" s="48">
        <v>0</v>
      </c>
      <c r="LP89" s="48">
        <v>0</v>
      </c>
      <c r="LQ89" s="48">
        <v>0</v>
      </c>
      <c r="LR89" s="48">
        <v>0</v>
      </c>
      <c r="LS89" s="43">
        <v>0</v>
      </c>
      <c r="LT89" s="49"/>
      <c r="LU89" s="50">
        <v>0</v>
      </c>
      <c r="LV89" s="48">
        <v>0</v>
      </c>
      <c r="LW89" s="48">
        <v>0</v>
      </c>
      <c r="LX89" s="48">
        <v>0</v>
      </c>
      <c r="LY89" s="43">
        <v>0</v>
      </c>
      <c r="LZ89" s="49"/>
      <c r="MA89" s="50">
        <v>0</v>
      </c>
      <c r="MB89" s="48">
        <v>0</v>
      </c>
      <c r="MC89" s="43">
        <v>0</v>
      </c>
      <c r="MD89" s="49"/>
      <c r="ME89" s="50">
        <v>0</v>
      </c>
      <c r="MF89" s="48">
        <v>0</v>
      </c>
      <c r="MG89" s="48">
        <v>0</v>
      </c>
      <c r="MH89" s="48">
        <v>0</v>
      </c>
      <c r="MI89" s="43">
        <v>0</v>
      </c>
      <c r="MJ89" s="49"/>
      <c r="MK89" s="50">
        <v>0</v>
      </c>
      <c r="ML89" s="48">
        <v>0</v>
      </c>
      <c r="MM89" s="43">
        <v>0</v>
      </c>
      <c r="MN89" s="49"/>
      <c r="MO89" s="50">
        <v>0</v>
      </c>
      <c r="MP89" s="48">
        <v>0</v>
      </c>
      <c r="MQ89" s="48">
        <v>0</v>
      </c>
      <c r="MR89" s="48">
        <v>0</v>
      </c>
      <c r="MS89" s="43">
        <v>0</v>
      </c>
      <c r="MT89" s="49"/>
      <c r="MU89" s="48">
        <v>0</v>
      </c>
      <c r="MV89" s="46"/>
      <c r="MW89" s="48">
        <v>0</v>
      </c>
      <c r="MX89" s="48">
        <v>0</v>
      </c>
      <c r="MY89" s="43">
        <v>0</v>
      </c>
      <c r="MZ89" s="49"/>
      <c r="NA89" s="50">
        <v>0</v>
      </c>
      <c r="NB89" s="48">
        <v>0</v>
      </c>
      <c r="NC89" s="48">
        <v>0</v>
      </c>
      <c r="ND89" s="48">
        <v>0</v>
      </c>
      <c r="NE89" s="43">
        <v>0</v>
      </c>
      <c r="NF89" s="49"/>
      <c r="NG89" s="50">
        <v>0</v>
      </c>
      <c r="NH89" s="48">
        <v>0</v>
      </c>
      <c r="NI89" s="48">
        <v>0</v>
      </c>
      <c r="NJ89" s="48">
        <v>0</v>
      </c>
      <c r="NK89" s="43">
        <v>0</v>
      </c>
      <c r="NL89" s="49"/>
      <c r="NM89" s="50">
        <v>0</v>
      </c>
      <c r="NN89" s="48">
        <v>0</v>
      </c>
      <c r="NO89" s="48">
        <v>0</v>
      </c>
      <c r="NP89" s="48">
        <v>0</v>
      </c>
      <c r="NQ89" s="43">
        <v>0</v>
      </c>
      <c r="NR89" s="49"/>
      <c r="NS89" s="50">
        <v>0</v>
      </c>
      <c r="NT89" s="48">
        <v>0</v>
      </c>
      <c r="NU89" s="48">
        <v>0</v>
      </c>
      <c r="NV89" s="48">
        <v>0</v>
      </c>
      <c r="NW89" s="43">
        <v>0</v>
      </c>
      <c r="NX89" s="49"/>
      <c r="NY89" s="50">
        <v>0</v>
      </c>
      <c r="NZ89" s="48">
        <v>0</v>
      </c>
      <c r="OA89" s="48">
        <v>0</v>
      </c>
      <c r="OB89" s="48">
        <v>0</v>
      </c>
      <c r="OC89" s="43">
        <v>0</v>
      </c>
      <c r="OD89" s="49"/>
      <c r="OE89" s="50">
        <v>0</v>
      </c>
      <c r="OF89" s="48">
        <v>0</v>
      </c>
      <c r="OG89" s="43">
        <v>0</v>
      </c>
      <c r="OH89" s="49"/>
      <c r="OI89" s="50">
        <v>0</v>
      </c>
      <c r="OJ89" s="48">
        <v>0</v>
      </c>
      <c r="OK89" s="43">
        <v>0</v>
      </c>
      <c r="OL89" s="49"/>
      <c r="OM89" s="50">
        <v>0</v>
      </c>
      <c r="ON89" s="48">
        <v>0</v>
      </c>
      <c r="OO89" s="48">
        <v>0</v>
      </c>
      <c r="OP89" s="48">
        <v>0</v>
      </c>
      <c r="OQ89" s="43">
        <v>0</v>
      </c>
      <c r="OR89" s="49"/>
      <c r="OS89" s="50">
        <v>0</v>
      </c>
      <c r="OT89" s="48">
        <v>0</v>
      </c>
      <c r="OU89" s="43">
        <v>0</v>
      </c>
      <c r="OV89" s="49"/>
      <c r="OW89" s="50">
        <v>0</v>
      </c>
      <c r="OX89" s="48">
        <v>0</v>
      </c>
      <c r="OY89" s="48">
        <v>0</v>
      </c>
      <c r="OZ89" s="48">
        <v>0</v>
      </c>
      <c r="PA89" s="43">
        <v>0</v>
      </c>
      <c r="PB89" s="49"/>
      <c r="PC89" s="50">
        <v>0</v>
      </c>
      <c r="PD89" s="48">
        <v>0</v>
      </c>
      <c r="PE89" s="43">
        <v>0</v>
      </c>
      <c r="PF89" s="49"/>
      <c r="PG89" s="50">
        <v>0</v>
      </c>
      <c r="PH89" s="48">
        <v>0</v>
      </c>
      <c r="PI89" s="48">
        <v>0</v>
      </c>
      <c r="PJ89" s="48">
        <v>0</v>
      </c>
      <c r="PK89" s="43">
        <v>0</v>
      </c>
      <c r="PL89" s="49"/>
      <c r="PM89" s="47">
        <v>0</v>
      </c>
      <c r="PN89" s="48">
        <v>0</v>
      </c>
      <c r="PO89" s="48">
        <v>0</v>
      </c>
      <c r="PP89" s="48">
        <v>0</v>
      </c>
      <c r="PQ89" s="43">
        <v>0</v>
      </c>
      <c r="PR89" s="49"/>
      <c r="PS89" s="47">
        <v>0</v>
      </c>
      <c r="PT89" s="43">
        <v>0</v>
      </c>
      <c r="PU89" s="43">
        <v>0</v>
      </c>
      <c r="PV89" s="43">
        <v>0</v>
      </c>
      <c r="PW89" s="43">
        <v>0</v>
      </c>
      <c r="PX89" s="46"/>
      <c r="PY89" s="47">
        <v>0</v>
      </c>
      <c r="PZ89" s="43">
        <v>0</v>
      </c>
      <c r="QA89" s="43">
        <v>0</v>
      </c>
      <c r="QB89" s="46"/>
      <c r="QC89" s="47">
        <v>0</v>
      </c>
      <c r="QD89" s="43">
        <v>0</v>
      </c>
      <c r="QE89" s="43">
        <v>0</v>
      </c>
      <c r="QF89" s="43">
        <v>0</v>
      </c>
      <c r="QG89" s="43">
        <v>0</v>
      </c>
      <c r="QH89" s="46"/>
      <c r="QI89" s="47">
        <v>0</v>
      </c>
      <c r="QJ89" s="43">
        <v>0</v>
      </c>
      <c r="QK89" s="43">
        <v>0</v>
      </c>
      <c r="QL89" s="43">
        <v>0</v>
      </c>
      <c r="QM89" s="43">
        <v>0</v>
      </c>
      <c r="QN89" s="46"/>
      <c r="QO89" s="47">
        <v>0</v>
      </c>
      <c r="QP89" s="43">
        <v>0</v>
      </c>
      <c r="QQ89" s="43">
        <v>0</v>
      </c>
      <c r="QR89" s="43">
        <v>0</v>
      </c>
      <c r="QS89" s="43">
        <v>0</v>
      </c>
      <c r="QT89" s="46"/>
      <c r="QU89" s="47">
        <v>0</v>
      </c>
      <c r="QV89" s="7">
        <v>76</v>
      </c>
      <c r="QW89" s="43">
        <v>-4</v>
      </c>
      <c r="QX89" s="46"/>
      <c r="QY89" s="47">
        <v>0</v>
      </c>
      <c r="QZ89" s="43">
        <v>0</v>
      </c>
      <c r="RA89" s="43">
        <v>192</v>
      </c>
      <c r="RB89" s="43">
        <v>191</v>
      </c>
      <c r="RC89" s="43">
        <v>1</v>
      </c>
      <c r="RD89" s="46"/>
    </row>
    <row r="90" spans="1:472" x14ac:dyDescent="0.25">
      <c r="A90" s="43" t="s">
        <v>378</v>
      </c>
      <c r="B90" s="44">
        <v>0.35</v>
      </c>
      <c r="I90" s="47"/>
      <c r="J90" s="51"/>
      <c r="K90" s="51"/>
      <c r="L90" s="51"/>
      <c r="M90" s="51">
        <f t="shared" si="12"/>
        <v>0</v>
      </c>
      <c r="N90" s="46"/>
      <c r="O90" s="47"/>
      <c r="P90" s="51"/>
      <c r="Q90" s="51"/>
      <c r="R90" s="51"/>
      <c r="S90" s="51">
        <f t="shared" si="13"/>
        <v>0</v>
      </c>
      <c r="T90" s="46"/>
      <c r="U90" s="47"/>
      <c r="V90" s="51"/>
      <c r="W90" s="51"/>
      <c r="X90" s="51"/>
      <c r="Y90" s="51">
        <f t="shared" si="14"/>
        <v>0</v>
      </c>
      <c r="Z90" s="46"/>
      <c r="AA90" s="51"/>
      <c r="AE90" s="43">
        <v>0</v>
      </c>
      <c r="AF90" s="46"/>
      <c r="AG90" s="47"/>
      <c r="AK90" s="43">
        <v>0</v>
      </c>
      <c r="AL90" s="46"/>
      <c r="AQ90" s="43">
        <v>0</v>
      </c>
      <c r="AR90" s="46"/>
      <c r="AW90" s="43">
        <v>0</v>
      </c>
      <c r="AX90" s="46"/>
      <c r="AY90" s="47"/>
      <c r="BC90" s="43">
        <v>0</v>
      </c>
      <c r="BD90" s="46"/>
      <c r="BE90" s="47"/>
      <c r="BI90" s="43">
        <v>0</v>
      </c>
      <c r="BJ90" s="46"/>
      <c r="BP90" s="43">
        <v>0</v>
      </c>
      <c r="BQ90" s="46"/>
      <c r="BT90" s="43">
        <v>0</v>
      </c>
      <c r="BU90" s="46"/>
      <c r="BV90" s="47"/>
      <c r="BZ90" s="43">
        <v>0</v>
      </c>
      <c r="CA90" s="46"/>
      <c r="CF90" s="43">
        <v>0</v>
      </c>
      <c r="CG90" s="46"/>
      <c r="CL90" s="43">
        <v>0</v>
      </c>
      <c r="CM90" s="46"/>
      <c r="CN90" s="47"/>
      <c r="CR90" s="43">
        <v>0</v>
      </c>
      <c r="CS90" s="46"/>
      <c r="CX90" s="43">
        <v>0</v>
      </c>
      <c r="CY90" s="46"/>
      <c r="CZ90" s="47"/>
      <c r="DD90" s="43">
        <v>0</v>
      </c>
      <c r="DE90" s="46"/>
      <c r="DF90" s="47"/>
      <c r="DL90" s="43">
        <v>0</v>
      </c>
      <c r="DM90" s="46"/>
      <c r="DN90" s="47"/>
      <c r="DR90" s="43">
        <v>0</v>
      </c>
      <c r="DS90" s="46"/>
      <c r="DZ90" s="43">
        <v>0</v>
      </c>
      <c r="EA90" s="46"/>
      <c r="EB90" s="47"/>
      <c r="EF90" s="43">
        <v>0</v>
      </c>
      <c r="EG90" s="46"/>
      <c r="EH90" s="47"/>
      <c r="EL90" s="43">
        <v>0</v>
      </c>
      <c r="EM90" s="46"/>
      <c r="EN90" s="47"/>
      <c r="ER90" s="43">
        <v>0</v>
      </c>
      <c r="ES90" s="46"/>
      <c r="EZ90" s="43">
        <v>0</v>
      </c>
      <c r="FA90" s="46"/>
      <c r="FG90" s="43">
        <v>0</v>
      </c>
      <c r="FH90" s="46"/>
      <c r="FI90" s="47"/>
      <c r="FL90" s="43">
        <v>0</v>
      </c>
      <c r="FM90" s="46"/>
      <c r="FN90" s="47"/>
      <c r="FQ90" s="43">
        <v>0</v>
      </c>
      <c r="FR90" s="46"/>
      <c r="FW90" s="43">
        <v>0</v>
      </c>
      <c r="FX90" s="46"/>
      <c r="FY90" s="47"/>
      <c r="GD90" s="43">
        <v>0</v>
      </c>
      <c r="GE90" s="46"/>
      <c r="GJ90" s="43">
        <v>0</v>
      </c>
      <c r="GK90" s="46"/>
      <c r="GL90" s="47"/>
      <c r="GP90" s="43">
        <v>0</v>
      </c>
      <c r="GQ90" s="46"/>
      <c r="GV90" s="43">
        <v>0</v>
      </c>
      <c r="GW90" s="46"/>
      <c r="GX90" s="47"/>
      <c r="GZ90" s="43">
        <v>0</v>
      </c>
      <c r="HA90" s="46"/>
      <c r="HB90" s="47"/>
      <c r="HF90" s="43">
        <v>0</v>
      </c>
      <c r="HG90" s="46"/>
      <c r="HH90" s="47"/>
      <c r="HJ90" s="43">
        <v>0</v>
      </c>
      <c r="HK90" s="46"/>
      <c r="HL90" s="47"/>
      <c r="HP90" s="43">
        <v>0</v>
      </c>
      <c r="HQ90" s="46"/>
      <c r="HV90">
        <v>480</v>
      </c>
      <c r="HW90">
        <v>480</v>
      </c>
      <c r="HX90" s="43">
        <v>0</v>
      </c>
      <c r="HY90" s="46"/>
      <c r="HZ90" s="45">
        <v>248</v>
      </c>
      <c r="IA90">
        <v>250</v>
      </c>
      <c r="IB90">
        <v>200</v>
      </c>
      <c r="IC90">
        <v>200</v>
      </c>
      <c r="ID90" s="43">
        <v>-2</v>
      </c>
      <c r="IE90" s="46"/>
      <c r="IF90">
        <v>96</v>
      </c>
      <c r="IG90">
        <v>100</v>
      </c>
      <c r="IH90">
        <v>152</v>
      </c>
      <c r="II90">
        <v>150</v>
      </c>
      <c r="IJ90" s="43">
        <v>-2</v>
      </c>
      <c r="IK90" s="49"/>
      <c r="IL90">
        <v>248</v>
      </c>
      <c r="IM90">
        <v>250</v>
      </c>
      <c r="IN90">
        <v>352</v>
      </c>
      <c r="IO90">
        <v>350</v>
      </c>
      <c r="IP90" s="43">
        <v>0</v>
      </c>
      <c r="IQ90" s="49"/>
      <c r="IR90">
        <v>296</v>
      </c>
      <c r="IS90">
        <v>300</v>
      </c>
      <c r="IT90">
        <v>256</v>
      </c>
      <c r="IU90">
        <v>260</v>
      </c>
      <c r="IV90" s="43">
        <v>-8</v>
      </c>
      <c r="IW90" s="49"/>
      <c r="IX90">
        <v>168</v>
      </c>
      <c r="IY90">
        <v>170</v>
      </c>
      <c r="IZ90">
        <v>96</v>
      </c>
      <c r="JA90">
        <v>100</v>
      </c>
      <c r="JB90" s="43">
        <v>-6</v>
      </c>
      <c r="JC90" s="46"/>
      <c r="JF90" s="43">
        <v>0</v>
      </c>
      <c r="JG90" s="49"/>
      <c r="JH90">
        <v>352</v>
      </c>
      <c r="JI90">
        <v>350</v>
      </c>
      <c r="JJ90">
        <v>312</v>
      </c>
      <c r="JK90">
        <v>311</v>
      </c>
      <c r="JL90" s="43">
        <v>3</v>
      </c>
      <c r="JM90" s="46"/>
      <c r="JN90" s="45">
        <v>320</v>
      </c>
      <c r="JO90" s="48">
        <v>320</v>
      </c>
      <c r="JP90" s="43">
        <v>0</v>
      </c>
      <c r="JQ90" s="49"/>
      <c r="JT90">
        <v>320</v>
      </c>
      <c r="JU90">
        <v>320</v>
      </c>
      <c r="JV90" s="43">
        <v>0</v>
      </c>
      <c r="JW90" s="49"/>
      <c r="JX90">
        <v>120</v>
      </c>
      <c r="JY90">
        <v>120</v>
      </c>
      <c r="JZ90">
        <v>48</v>
      </c>
      <c r="KA90">
        <v>50</v>
      </c>
      <c r="KB90" s="43">
        <v>-2</v>
      </c>
      <c r="KC90" s="49"/>
      <c r="KD90">
        <v>152</v>
      </c>
      <c r="KE90">
        <v>150</v>
      </c>
      <c r="KF90">
        <v>272</v>
      </c>
      <c r="KG90">
        <v>270</v>
      </c>
      <c r="KH90" s="43">
        <v>4</v>
      </c>
      <c r="KI90" s="49"/>
      <c r="KJ90">
        <v>80</v>
      </c>
      <c r="KK90">
        <v>80</v>
      </c>
      <c r="KL90">
        <v>40</v>
      </c>
      <c r="KM90">
        <v>40</v>
      </c>
      <c r="KN90" s="43">
        <v>0</v>
      </c>
      <c r="KO90" s="49"/>
      <c r="KP90" s="45">
        <v>96</v>
      </c>
      <c r="KQ90">
        <v>100</v>
      </c>
      <c r="KR90">
        <v>96</v>
      </c>
      <c r="KS90">
        <v>100</v>
      </c>
      <c r="KT90">
        <v>96</v>
      </c>
      <c r="KU90">
        <v>100</v>
      </c>
      <c r="KV90" s="43">
        <v>-12</v>
      </c>
      <c r="KW90" s="49"/>
      <c r="KX90" s="48">
        <v>200</v>
      </c>
      <c r="KY90" s="48">
        <v>200</v>
      </c>
      <c r="KZ90" s="48">
        <v>216</v>
      </c>
      <c r="LA90" s="48">
        <v>218</v>
      </c>
      <c r="LB90" s="43">
        <v>-2</v>
      </c>
      <c r="LC90" s="49"/>
      <c r="LD90" s="48">
        <v>0</v>
      </c>
      <c r="LE90" s="48">
        <v>0</v>
      </c>
      <c r="LF90" s="48">
        <v>0</v>
      </c>
      <c r="LG90" s="48">
        <v>0</v>
      </c>
      <c r="LH90" s="43">
        <v>0</v>
      </c>
      <c r="LI90" s="49"/>
      <c r="LJ90" s="50">
        <v>0</v>
      </c>
      <c r="LK90" s="48">
        <v>0</v>
      </c>
      <c r="LL90" s="43">
        <v>0</v>
      </c>
      <c r="LM90" s="49"/>
      <c r="LN90" s="50">
        <v>600</v>
      </c>
      <c r="LO90" s="48">
        <v>600</v>
      </c>
      <c r="LP90" s="48">
        <v>528</v>
      </c>
      <c r="LQ90" s="48">
        <v>0</v>
      </c>
      <c r="LR90" s="48">
        <v>526</v>
      </c>
      <c r="LS90" s="43">
        <v>2</v>
      </c>
      <c r="LT90" s="49"/>
      <c r="LU90" s="50">
        <v>896</v>
      </c>
      <c r="LV90" s="48">
        <v>900</v>
      </c>
      <c r="LW90" s="48">
        <v>600</v>
      </c>
      <c r="LX90" s="48">
        <v>600</v>
      </c>
      <c r="LY90" s="43">
        <v>-4</v>
      </c>
      <c r="LZ90" s="49"/>
      <c r="MA90" s="50">
        <v>1000</v>
      </c>
      <c r="MB90" s="48">
        <v>1000</v>
      </c>
      <c r="MC90" s="43">
        <v>0</v>
      </c>
      <c r="MD90" s="49"/>
      <c r="ME90" s="50">
        <v>0</v>
      </c>
      <c r="MF90" s="48">
        <v>0</v>
      </c>
      <c r="MG90" s="48">
        <v>432</v>
      </c>
      <c r="MH90" s="48">
        <v>431</v>
      </c>
      <c r="MI90" s="43">
        <v>1</v>
      </c>
      <c r="MJ90" s="49"/>
      <c r="MK90" s="50">
        <v>456</v>
      </c>
      <c r="ML90" s="48">
        <v>460</v>
      </c>
      <c r="MM90" s="43">
        <v>-4</v>
      </c>
      <c r="MN90" s="49"/>
      <c r="MO90" s="50">
        <v>0</v>
      </c>
      <c r="MP90" s="48">
        <v>0</v>
      </c>
      <c r="MQ90" s="48">
        <v>72</v>
      </c>
      <c r="MR90" s="48">
        <v>77</v>
      </c>
      <c r="MS90" s="43">
        <v>-5</v>
      </c>
      <c r="MT90" s="49"/>
      <c r="MU90" s="48">
        <v>0</v>
      </c>
      <c r="MV90" s="46"/>
      <c r="MW90" s="48">
        <v>0</v>
      </c>
      <c r="MX90" s="48">
        <v>0</v>
      </c>
      <c r="MY90" s="43">
        <v>0</v>
      </c>
      <c r="MZ90" s="49"/>
      <c r="NA90" s="50">
        <v>0</v>
      </c>
      <c r="NB90" s="48">
        <v>0</v>
      </c>
      <c r="NC90" s="48">
        <v>0</v>
      </c>
      <c r="ND90" s="48">
        <v>0</v>
      </c>
      <c r="NE90" s="43">
        <v>0</v>
      </c>
      <c r="NF90" s="49"/>
      <c r="NG90" s="50">
        <v>0</v>
      </c>
      <c r="NH90" s="48">
        <v>0</v>
      </c>
      <c r="NI90" s="48">
        <v>0</v>
      </c>
      <c r="NJ90" s="48">
        <v>0</v>
      </c>
      <c r="NK90" s="43">
        <v>0</v>
      </c>
      <c r="NL90" s="49"/>
      <c r="NM90" s="50">
        <v>400</v>
      </c>
      <c r="NN90" s="48">
        <v>400</v>
      </c>
      <c r="NO90" s="48">
        <v>448</v>
      </c>
      <c r="NP90" s="48">
        <v>450</v>
      </c>
      <c r="NQ90" s="43">
        <v>-2</v>
      </c>
      <c r="NR90" s="49"/>
      <c r="NS90" s="25">
        <v>448</v>
      </c>
      <c r="NT90" s="48">
        <v>0</v>
      </c>
      <c r="NU90" s="48">
        <v>0</v>
      </c>
      <c r="NV90" s="48">
        <v>0</v>
      </c>
      <c r="NW90" s="43">
        <v>448</v>
      </c>
      <c r="NX90" s="49"/>
      <c r="NY90" s="50">
        <v>200</v>
      </c>
      <c r="NZ90" s="48">
        <v>200</v>
      </c>
      <c r="OA90" s="48">
        <v>248</v>
      </c>
      <c r="OB90" s="48">
        <v>250</v>
      </c>
      <c r="OC90" s="43">
        <v>-2</v>
      </c>
      <c r="OD90" s="49"/>
      <c r="OE90" s="50">
        <v>448</v>
      </c>
      <c r="OF90" s="48">
        <v>450</v>
      </c>
      <c r="OG90" s="43">
        <v>-2</v>
      </c>
      <c r="OH90" s="49"/>
      <c r="OI90" s="50">
        <v>248</v>
      </c>
      <c r="OJ90" s="48">
        <v>255</v>
      </c>
      <c r="OK90" s="43">
        <v>-7</v>
      </c>
      <c r="OL90" s="49"/>
      <c r="OM90" s="50">
        <v>0</v>
      </c>
      <c r="ON90" s="48">
        <v>0</v>
      </c>
      <c r="OO90" s="48">
        <v>96</v>
      </c>
      <c r="OP90" s="48">
        <v>100</v>
      </c>
      <c r="OQ90" s="43">
        <v>-4</v>
      </c>
      <c r="OR90" s="49"/>
      <c r="OS90" s="50">
        <v>0</v>
      </c>
      <c r="OT90" s="48">
        <v>0</v>
      </c>
      <c r="OU90" s="43">
        <v>0</v>
      </c>
      <c r="OV90" s="49"/>
      <c r="OW90" s="50">
        <v>200</v>
      </c>
      <c r="OX90" s="48">
        <v>200</v>
      </c>
      <c r="OY90" s="48">
        <v>152</v>
      </c>
      <c r="OZ90" s="48">
        <v>150</v>
      </c>
      <c r="PA90" s="43">
        <v>2</v>
      </c>
      <c r="PB90" s="49"/>
      <c r="PC90" s="50">
        <v>0</v>
      </c>
      <c r="PD90" s="48">
        <v>0</v>
      </c>
      <c r="PE90" s="43">
        <v>0</v>
      </c>
      <c r="PF90" s="49"/>
      <c r="PG90" s="50">
        <v>0</v>
      </c>
      <c r="PH90" s="48">
        <v>0</v>
      </c>
      <c r="PI90" s="48">
        <v>104</v>
      </c>
      <c r="PJ90" s="48">
        <v>102</v>
      </c>
      <c r="PK90" s="43">
        <v>2</v>
      </c>
      <c r="PL90" s="49"/>
      <c r="PM90" s="47">
        <v>0</v>
      </c>
      <c r="PN90" s="48">
        <v>0</v>
      </c>
      <c r="PO90" s="48">
        <v>144</v>
      </c>
      <c r="PP90" s="48">
        <v>147</v>
      </c>
      <c r="PQ90" s="43">
        <v>-3</v>
      </c>
      <c r="PR90" s="49"/>
      <c r="PS90" s="47">
        <v>88</v>
      </c>
      <c r="PT90" s="43">
        <v>90</v>
      </c>
      <c r="PU90" s="43">
        <v>0</v>
      </c>
      <c r="PV90" s="43">
        <v>0</v>
      </c>
      <c r="PW90" s="43">
        <v>-2</v>
      </c>
      <c r="PX90" s="46"/>
      <c r="PY90" s="47">
        <v>208</v>
      </c>
      <c r="PZ90" s="43">
        <v>209</v>
      </c>
      <c r="QA90" s="43">
        <v>-1</v>
      </c>
      <c r="QB90" s="46"/>
      <c r="QC90" s="47">
        <v>80</v>
      </c>
      <c r="QD90" s="43">
        <v>83</v>
      </c>
      <c r="QE90" s="43">
        <v>80</v>
      </c>
      <c r="QF90" s="43">
        <v>80</v>
      </c>
      <c r="QG90" s="43">
        <v>-3</v>
      </c>
      <c r="QH90" s="46"/>
      <c r="QI90" s="47">
        <v>0</v>
      </c>
      <c r="QJ90" s="43">
        <v>0</v>
      </c>
      <c r="QK90" s="43">
        <v>0</v>
      </c>
      <c r="QL90" s="43">
        <v>0</v>
      </c>
      <c r="QM90" s="43">
        <v>0</v>
      </c>
      <c r="QN90" s="46"/>
      <c r="QO90" s="47">
        <v>160</v>
      </c>
      <c r="QP90" s="43">
        <v>160</v>
      </c>
      <c r="QQ90" s="43">
        <v>200</v>
      </c>
      <c r="QR90" s="43">
        <v>300</v>
      </c>
      <c r="QS90" s="42">
        <v>-100</v>
      </c>
      <c r="QT90" s="46">
        <v>35</v>
      </c>
      <c r="QU90" s="47">
        <v>112</v>
      </c>
      <c r="QV90" s="43">
        <v>114</v>
      </c>
      <c r="QW90" s="43">
        <v>-2</v>
      </c>
      <c r="QX90" s="46"/>
      <c r="QY90" s="47">
        <v>0</v>
      </c>
      <c r="QZ90" s="43">
        <v>0</v>
      </c>
      <c r="RA90" s="43">
        <v>0</v>
      </c>
      <c r="RB90" s="43">
        <v>0</v>
      </c>
      <c r="RC90" s="43">
        <v>0</v>
      </c>
      <c r="RD90" s="46"/>
    </row>
    <row r="91" spans="1:472" x14ac:dyDescent="0.25">
      <c r="A91" s="43" t="s">
        <v>379</v>
      </c>
      <c r="B91" s="44">
        <v>0.28000000000000003</v>
      </c>
      <c r="I91" s="47"/>
      <c r="J91" s="51"/>
      <c r="K91" s="51"/>
      <c r="L91" s="51"/>
      <c r="M91" s="51">
        <f t="shared" si="12"/>
        <v>0</v>
      </c>
      <c r="N91" s="46"/>
      <c r="O91" s="47"/>
      <c r="P91" s="51"/>
      <c r="Q91" s="51"/>
      <c r="R91" s="51"/>
      <c r="S91" s="51">
        <f t="shared" si="13"/>
        <v>0</v>
      </c>
      <c r="T91" s="46"/>
      <c r="U91" s="47"/>
      <c r="V91" s="51"/>
      <c r="W91" s="51"/>
      <c r="X91" s="51"/>
      <c r="Y91" s="51">
        <f t="shared" si="14"/>
        <v>0</v>
      </c>
      <c r="Z91" s="46"/>
      <c r="AA91" s="51"/>
      <c r="AE91" s="43">
        <v>0</v>
      </c>
      <c r="AF91" s="46"/>
      <c r="AG91" s="47"/>
      <c r="AK91" s="43">
        <v>0</v>
      </c>
      <c r="AL91" s="46"/>
      <c r="AQ91" s="43">
        <v>0</v>
      </c>
      <c r="AR91" s="46"/>
      <c r="AW91" s="43">
        <v>0</v>
      </c>
      <c r="AX91" s="46"/>
      <c r="AY91" s="47"/>
      <c r="BC91" s="43">
        <v>0</v>
      </c>
      <c r="BD91" s="46"/>
      <c r="BE91" s="47"/>
      <c r="BI91" s="43">
        <v>0</v>
      </c>
      <c r="BJ91" s="46"/>
      <c r="BP91" s="43">
        <v>0</v>
      </c>
      <c r="BQ91" s="46"/>
      <c r="BT91" s="43">
        <v>0</v>
      </c>
      <c r="BU91" s="46"/>
      <c r="BV91" s="47"/>
      <c r="BZ91" s="43">
        <v>0</v>
      </c>
      <c r="CA91" s="46"/>
      <c r="CF91" s="43">
        <v>0</v>
      </c>
      <c r="CG91" s="46"/>
      <c r="CL91" s="43">
        <v>0</v>
      </c>
      <c r="CM91" s="46"/>
      <c r="CN91" s="47"/>
      <c r="CR91" s="43">
        <v>0</v>
      </c>
      <c r="CS91" s="46"/>
      <c r="CX91" s="43">
        <v>0</v>
      </c>
      <c r="CY91" s="46"/>
      <c r="CZ91" s="47"/>
      <c r="DD91" s="43">
        <v>0</v>
      </c>
      <c r="DE91" s="46"/>
      <c r="DF91" s="47"/>
      <c r="DL91" s="43">
        <v>0</v>
      </c>
      <c r="DM91" s="46"/>
      <c r="DN91" s="47"/>
      <c r="DR91" s="43">
        <v>0</v>
      </c>
      <c r="DS91" s="46"/>
      <c r="DZ91" s="43">
        <v>0</v>
      </c>
      <c r="EA91" s="46"/>
      <c r="EB91" s="47"/>
      <c r="EF91" s="43">
        <v>0</v>
      </c>
      <c r="EG91" s="46"/>
      <c r="EH91" s="47"/>
      <c r="EL91" s="43">
        <v>0</v>
      </c>
      <c r="EM91" s="46"/>
      <c r="EN91" s="47"/>
      <c r="ER91" s="43">
        <v>0</v>
      </c>
      <c r="ES91" s="46"/>
      <c r="EZ91" s="43">
        <v>0</v>
      </c>
      <c r="FA91" s="46"/>
      <c r="FG91" s="43">
        <v>0</v>
      </c>
      <c r="FH91" s="46"/>
      <c r="FI91" s="47"/>
      <c r="FL91" s="43">
        <v>0</v>
      </c>
      <c r="FM91" s="46"/>
      <c r="FN91" s="47"/>
      <c r="FP91">
        <v>290</v>
      </c>
      <c r="FQ91" s="43">
        <v>-2</v>
      </c>
      <c r="FR91" s="46"/>
      <c r="FV91">
        <v>230</v>
      </c>
      <c r="FW91" s="43">
        <v>2</v>
      </c>
      <c r="FX91" s="46"/>
      <c r="FY91" s="47"/>
      <c r="GC91">
        <v>80</v>
      </c>
      <c r="GD91" s="43">
        <v>0</v>
      </c>
      <c r="GE91" s="46"/>
      <c r="GF91">
        <v>56</v>
      </c>
      <c r="GG91">
        <v>60</v>
      </c>
      <c r="GH91">
        <v>80</v>
      </c>
      <c r="GI91">
        <v>80</v>
      </c>
      <c r="GJ91" s="43">
        <v>-4</v>
      </c>
      <c r="GK91" s="46"/>
      <c r="GL91" s="47"/>
      <c r="GN91">
        <v>120</v>
      </c>
      <c r="GO91">
        <v>120</v>
      </c>
      <c r="GP91" s="43">
        <v>0</v>
      </c>
      <c r="GQ91" s="46"/>
      <c r="GR91">
        <v>96</v>
      </c>
      <c r="GS91">
        <v>100</v>
      </c>
      <c r="GT91">
        <v>96</v>
      </c>
      <c r="GU91">
        <v>100</v>
      </c>
      <c r="GV91" s="43">
        <v>-8</v>
      </c>
      <c r="GW91" s="46"/>
      <c r="GX91" s="45">
        <v>32</v>
      </c>
      <c r="GY91" s="48">
        <v>37</v>
      </c>
      <c r="GZ91" s="43">
        <v>-5</v>
      </c>
      <c r="HA91" s="46"/>
      <c r="HB91" s="45">
        <v>96</v>
      </c>
      <c r="HC91">
        <v>100</v>
      </c>
      <c r="HD91">
        <v>120</v>
      </c>
      <c r="HE91">
        <v>120</v>
      </c>
      <c r="HF91" s="43">
        <v>-4</v>
      </c>
      <c r="HG91" s="46"/>
      <c r="HH91" s="47"/>
      <c r="HJ91" s="43">
        <v>0</v>
      </c>
      <c r="HK91" s="46"/>
      <c r="HL91" s="45">
        <v>136</v>
      </c>
      <c r="HM91">
        <v>140</v>
      </c>
      <c r="HN91">
        <v>96</v>
      </c>
      <c r="HO91">
        <v>100</v>
      </c>
      <c r="HP91" s="43">
        <v>-8</v>
      </c>
      <c r="HQ91" s="46"/>
      <c r="HV91">
        <v>120</v>
      </c>
      <c r="HW91">
        <v>120</v>
      </c>
      <c r="HX91" s="43">
        <v>0</v>
      </c>
      <c r="HY91" s="46"/>
      <c r="HZ91" s="45">
        <v>152</v>
      </c>
      <c r="IA91">
        <v>150</v>
      </c>
      <c r="IB91">
        <v>112</v>
      </c>
      <c r="IC91">
        <v>110</v>
      </c>
      <c r="ID91" s="43">
        <v>4</v>
      </c>
      <c r="IE91" s="46"/>
      <c r="IH91">
        <v>96</v>
      </c>
      <c r="II91">
        <v>100</v>
      </c>
      <c r="IJ91" s="43">
        <v>-4</v>
      </c>
      <c r="IK91" s="49"/>
      <c r="IL91">
        <v>152</v>
      </c>
      <c r="IM91">
        <v>150</v>
      </c>
      <c r="IN91">
        <v>168</v>
      </c>
      <c r="IO91">
        <v>170</v>
      </c>
      <c r="IP91" s="43">
        <v>0</v>
      </c>
      <c r="IQ91" s="49"/>
      <c r="IR91">
        <v>96</v>
      </c>
      <c r="IS91">
        <v>100</v>
      </c>
      <c r="IT91">
        <v>88</v>
      </c>
      <c r="IU91">
        <v>90</v>
      </c>
      <c r="IV91" s="43">
        <v>-6</v>
      </c>
      <c r="IW91" s="49"/>
      <c r="IX91">
        <v>80</v>
      </c>
      <c r="IY91">
        <v>80</v>
      </c>
      <c r="IZ91">
        <v>56</v>
      </c>
      <c r="JA91">
        <v>60</v>
      </c>
      <c r="JB91" s="43">
        <v>-4</v>
      </c>
      <c r="JC91" s="46"/>
      <c r="JD91">
        <v>200</v>
      </c>
      <c r="JE91">
        <v>200</v>
      </c>
      <c r="JF91" s="43">
        <v>0</v>
      </c>
      <c r="JG91" s="49"/>
      <c r="JJ91">
        <v>64</v>
      </c>
      <c r="JK91">
        <v>62</v>
      </c>
      <c r="JL91" s="43">
        <v>2</v>
      </c>
      <c r="JM91" s="46"/>
      <c r="JN91" s="45">
        <v>32</v>
      </c>
      <c r="JO91" s="48">
        <v>30</v>
      </c>
      <c r="JP91" s="43">
        <v>2</v>
      </c>
      <c r="JQ91" s="49"/>
      <c r="JT91">
        <v>248</v>
      </c>
      <c r="JU91">
        <v>250</v>
      </c>
      <c r="JV91" s="43">
        <v>-2</v>
      </c>
      <c r="JW91" s="49"/>
      <c r="JY91">
        <v>30</v>
      </c>
      <c r="KB91" s="42">
        <v>-30</v>
      </c>
      <c r="KC91" s="49">
        <v>8.4</v>
      </c>
      <c r="KD91">
        <v>72</v>
      </c>
      <c r="KE91">
        <v>70</v>
      </c>
      <c r="KF91">
        <v>200</v>
      </c>
      <c r="KG91">
        <v>200</v>
      </c>
      <c r="KH91" s="43">
        <v>2</v>
      </c>
      <c r="KI91" s="49"/>
      <c r="KN91" s="43">
        <v>0</v>
      </c>
      <c r="KO91" s="49"/>
      <c r="KP91" s="45">
        <v>72</v>
      </c>
      <c r="KQ91">
        <v>70</v>
      </c>
      <c r="KR91">
        <v>96</v>
      </c>
      <c r="KS91">
        <v>100</v>
      </c>
      <c r="KT91">
        <v>72</v>
      </c>
      <c r="KU91">
        <v>80</v>
      </c>
      <c r="KV91" s="42">
        <v>-10</v>
      </c>
      <c r="KW91" s="49">
        <v>2.8</v>
      </c>
      <c r="KX91" s="48">
        <v>0</v>
      </c>
      <c r="KY91" s="48">
        <v>0</v>
      </c>
      <c r="KZ91" s="48">
        <v>128</v>
      </c>
      <c r="LA91" s="48">
        <v>130</v>
      </c>
      <c r="LB91" s="43">
        <v>-2</v>
      </c>
      <c r="LC91" s="49"/>
      <c r="LD91" s="48">
        <v>0</v>
      </c>
      <c r="LE91" s="48">
        <v>0</v>
      </c>
      <c r="LF91" s="48">
        <v>80</v>
      </c>
      <c r="LG91" s="48">
        <v>80</v>
      </c>
      <c r="LH91" s="43">
        <v>0</v>
      </c>
      <c r="LI91" s="49"/>
      <c r="LJ91" s="50">
        <v>56</v>
      </c>
      <c r="LK91" s="48">
        <v>60</v>
      </c>
      <c r="LL91" s="43">
        <v>-4</v>
      </c>
      <c r="LM91" s="49"/>
      <c r="LN91" s="50">
        <v>136</v>
      </c>
      <c r="LO91" s="48">
        <v>140</v>
      </c>
      <c r="LP91" s="48">
        <v>112</v>
      </c>
      <c r="LQ91" s="48">
        <v>0</v>
      </c>
      <c r="LR91" s="48">
        <v>110</v>
      </c>
      <c r="LS91" s="43">
        <v>-2</v>
      </c>
      <c r="LT91" s="49"/>
      <c r="LU91" s="50">
        <v>0</v>
      </c>
      <c r="LV91" s="48">
        <v>0</v>
      </c>
      <c r="LW91" s="48">
        <v>48</v>
      </c>
      <c r="LX91" s="48">
        <v>50</v>
      </c>
      <c r="LY91" s="43">
        <v>-2</v>
      </c>
      <c r="LZ91" s="49"/>
      <c r="MA91" s="50">
        <v>376</v>
      </c>
      <c r="MB91" s="48">
        <v>380</v>
      </c>
      <c r="MC91" s="43">
        <v>-4</v>
      </c>
      <c r="MD91" s="49"/>
      <c r="ME91" s="50">
        <v>0</v>
      </c>
      <c r="MF91" s="48">
        <v>0</v>
      </c>
      <c r="MG91" s="48">
        <v>0</v>
      </c>
      <c r="MH91" s="48">
        <v>0</v>
      </c>
      <c r="MI91" s="43">
        <v>0</v>
      </c>
      <c r="MJ91" s="49"/>
      <c r="MK91" s="50">
        <v>392</v>
      </c>
      <c r="ML91" s="48">
        <v>390</v>
      </c>
      <c r="MM91" s="43">
        <v>2</v>
      </c>
      <c r="MN91" s="49"/>
      <c r="MO91" s="50">
        <v>0</v>
      </c>
      <c r="MP91" s="48">
        <v>0</v>
      </c>
      <c r="MQ91" s="48">
        <v>0</v>
      </c>
      <c r="MR91" s="48">
        <v>0</v>
      </c>
      <c r="MS91" s="43">
        <v>0</v>
      </c>
      <c r="MT91" s="49"/>
      <c r="MU91" s="48">
        <v>192</v>
      </c>
      <c r="MV91" s="46">
        <v>-53.760000000000012</v>
      </c>
      <c r="MW91" s="48">
        <v>0</v>
      </c>
      <c r="MX91" s="48">
        <v>190</v>
      </c>
      <c r="MY91" s="42">
        <v>-190</v>
      </c>
      <c r="MZ91" s="49">
        <v>53.2</v>
      </c>
      <c r="NA91" s="50">
        <v>0</v>
      </c>
      <c r="NB91" s="48">
        <v>0</v>
      </c>
      <c r="NC91" s="48">
        <v>72</v>
      </c>
      <c r="ND91" s="48">
        <v>70</v>
      </c>
      <c r="NE91" s="43">
        <v>2</v>
      </c>
      <c r="NF91" s="49"/>
      <c r="NG91" s="50">
        <v>128</v>
      </c>
      <c r="NH91" s="48">
        <v>50</v>
      </c>
      <c r="NI91" s="48">
        <v>112</v>
      </c>
      <c r="NJ91" s="48">
        <v>112</v>
      </c>
      <c r="NK91" s="43">
        <v>78</v>
      </c>
      <c r="NL91" s="49"/>
      <c r="NM91" s="50">
        <v>96</v>
      </c>
      <c r="NN91" s="48">
        <v>100</v>
      </c>
      <c r="NO91" s="48">
        <v>152</v>
      </c>
      <c r="NP91" s="48">
        <v>150</v>
      </c>
      <c r="NQ91" s="43">
        <v>-2</v>
      </c>
      <c r="NR91" s="49"/>
      <c r="NS91" s="50">
        <v>96</v>
      </c>
      <c r="NT91" s="48">
        <v>100</v>
      </c>
      <c r="NU91" s="48">
        <v>200</v>
      </c>
      <c r="NV91" s="48">
        <v>200</v>
      </c>
      <c r="NW91" s="43">
        <v>-4</v>
      </c>
      <c r="NX91" s="49"/>
      <c r="NY91" s="50">
        <v>152</v>
      </c>
      <c r="NZ91" s="48">
        <v>150</v>
      </c>
      <c r="OA91" s="48">
        <v>152</v>
      </c>
      <c r="OB91" s="48">
        <v>150</v>
      </c>
      <c r="OC91" s="43">
        <v>4</v>
      </c>
      <c r="OD91" s="49"/>
      <c r="OE91" s="50">
        <v>168</v>
      </c>
      <c r="OF91" s="48">
        <v>170</v>
      </c>
      <c r="OG91" s="43">
        <v>-2</v>
      </c>
      <c r="OH91" s="49"/>
      <c r="OI91" s="50">
        <v>280</v>
      </c>
      <c r="OJ91" s="48">
        <v>282</v>
      </c>
      <c r="OK91" s="43">
        <v>-2</v>
      </c>
      <c r="OL91" s="49"/>
      <c r="OM91" s="50">
        <v>0</v>
      </c>
      <c r="ON91" s="48">
        <v>0</v>
      </c>
      <c r="OO91" s="48">
        <v>152</v>
      </c>
      <c r="OP91" s="48">
        <v>150</v>
      </c>
      <c r="OQ91" s="43">
        <v>2</v>
      </c>
      <c r="OR91" s="49"/>
      <c r="OS91" s="50">
        <v>0</v>
      </c>
      <c r="OT91" s="48">
        <v>0</v>
      </c>
      <c r="OU91" s="43">
        <v>0</v>
      </c>
      <c r="OV91" s="49"/>
      <c r="OW91" s="50">
        <v>152</v>
      </c>
      <c r="OX91" s="48">
        <v>150</v>
      </c>
      <c r="OY91" s="48">
        <v>136</v>
      </c>
      <c r="OZ91" s="48">
        <v>140</v>
      </c>
      <c r="PA91" s="43">
        <v>-2</v>
      </c>
      <c r="PB91" s="49"/>
      <c r="PC91" s="50">
        <v>0</v>
      </c>
      <c r="PD91" s="48">
        <v>0</v>
      </c>
      <c r="PE91" s="43">
        <v>0</v>
      </c>
      <c r="PF91" s="49"/>
      <c r="PG91" s="50">
        <v>0</v>
      </c>
      <c r="PH91" s="48">
        <v>0</v>
      </c>
      <c r="PI91" s="48">
        <v>16</v>
      </c>
      <c r="PJ91" s="48">
        <v>19</v>
      </c>
      <c r="PK91" s="43">
        <v>-3</v>
      </c>
      <c r="PL91" s="49"/>
      <c r="PM91" s="47">
        <v>0</v>
      </c>
      <c r="PN91" s="48">
        <v>0</v>
      </c>
      <c r="PO91" s="48">
        <v>64</v>
      </c>
      <c r="PP91" s="48">
        <v>141</v>
      </c>
      <c r="PQ91" s="42">
        <v>-77</v>
      </c>
      <c r="PR91" s="49">
        <v>21.56</v>
      </c>
      <c r="PS91" s="47">
        <v>96</v>
      </c>
      <c r="PT91" s="43">
        <v>100</v>
      </c>
      <c r="PU91" s="43">
        <v>96</v>
      </c>
      <c r="PV91" s="43">
        <v>100</v>
      </c>
      <c r="PW91" s="43">
        <v>-8</v>
      </c>
      <c r="PX91" s="46"/>
      <c r="PY91" s="47">
        <v>112</v>
      </c>
      <c r="PZ91" s="43">
        <v>111</v>
      </c>
      <c r="QA91" s="43">
        <v>1</v>
      </c>
      <c r="QB91" s="46"/>
      <c r="QC91" s="47">
        <v>0</v>
      </c>
      <c r="QD91" s="43">
        <v>0</v>
      </c>
      <c r="QE91" s="43">
        <v>0</v>
      </c>
      <c r="QF91" s="43">
        <v>0</v>
      </c>
      <c r="QG91" s="43">
        <v>0</v>
      </c>
      <c r="QH91" s="46"/>
      <c r="QI91" s="47">
        <v>80</v>
      </c>
      <c r="QJ91" s="43">
        <v>80</v>
      </c>
      <c r="QK91" s="43">
        <v>152</v>
      </c>
      <c r="QL91" s="43">
        <v>150</v>
      </c>
      <c r="QM91" s="43">
        <v>2</v>
      </c>
      <c r="QN91" s="46"/>
      <c r="QO91" s="47">
        <v>104</v>
      </c>
      <c r="QP91" s="43">
        <v>106</v>
      </c>
      <c r="QQ91" s="43">
        <v>448</v>
      </c>
      <c r="QR91" s="43">
        <v>130</v>
      </c>
      <c r="QS91" s="43">
        <v>316</v>
      </c>
      <c r="QT91" s="46"/>
      <c r="QU91" s="47">
        <v>0</v>
      </c>
      <c r="QV91" s="43">
        <v>0</v>
      </c>
      <c r="QW91" s="43">
        <v>0</v>
      </c>
      <c r="QX91" s="46"/>
      <c r="QY91" s="47">
        <v>0</v>
      </c>
      <c r="QZ91" s="43">
        <v>0</v>
      </c>
      <c r="RA91" s="43">
        <v>392</v>
      </c>
      <c r="RB91" s="43">
        <v>392</v>
      </c>
      <c r="RC91" s="43">
        <v>0</v>
      </c>
      <c r="RD91" s="46"/>
    </row>
    <row r="92" spans="1:472" x14ac:dyDescent="0.25">
      <c r="A92" s="43" t="s">
        <v>380</v>
      </c>
      <c r="B92" s="44">
        <v>0.35</v>
      </c>
      <c r="I92" s="47"/>
      <c r="J92" s="51"/>
      <c r="K92" s="51"/>
      <c r="L92" s="51"/>
      <c r="M92" s="51">
        <f t="shared" si="12"/>
        <v>0</v>
      </c>
      <c r="N92" s="46"/>
      <c r="O92" s="47"/>
      <c r="P92" s="51"/>
      <c r="Q92" s="51"/>
      <c r="R92" s="51"/>
      <c r="S92" s="51">
        <f t="shared" si="13"/>
        <v>0</v>
      </c>
      <c r="T92" s="46"/>
      <c r="U92" s="47"/>
      <c r="V92" s="51"/>
      <c r="W92" s="51"/>
      <c r="X92" s="51"/>
      <c r="Y92" s="51">
        <f t="shared" si="14"/>
        <v>0</v>
      </c>
      <c r="Z92" s="46"/>
      <c r="AA92" s="51"/>
      <c r="AE92" s="43">
        <v>0</v>
      </c>
      <c r="AF92" s="46"/>
      <c r="AG92" s="47"/>
      <c r="AK92" s="43">
        <v>0</v>
      </c>
      <c r="AL92" s="46"/>
      <c r="AQ92" s="43">
        <v>0</v>
      </c>
      <c r="AR92" s="46"/>
      <c r="AW92" s="43">
        <v>0</v>
      </c>
      <c r="AX92" s="46"/>
      <c r="AY92" s="47"/>
      <c r="BC92" s="43">
        <v>0</v>
      </c>
      <c r="BD92" s="46"/>
      <c r="BE92" s="47"/>
      <c r="BI92" s="43">
        <v>0</v>
      </c>
      <c r="BJ92" s="46"/>
      <c r="BP92" s="43">
        <v>0</v>
      </c>
      <c r="BQ92" s="46"/>
      <c r="BT92" s="43">
        <v>0</v>
      </c>
      <c r="BU92" s="46"/>
      <c r="BV92" s="47"/>
      <c r="BZ92" s="43">
        <v>0</v>
      </c>
      <c r="CA92" s="46"/>
      <c r="CF92" s="43">
        <v>0</v>
      </c>
      <c r="CG92" s="46"/>
      <c r="CL92" s="43">
        <v>0</v>
      </c>
      <c r="CM92" s="46"/>
      <c r="CN92" s="47"/>
      <c r="CR92" s="43">
        <v>0</v>
      </c>
      <c r="CS92" s="46"/>
      <c r="CX92" s="43">
        <v>0</v>
      </c>
      <c r="CY92" s="46"/>
      <c r="CZ92" s="47"/>
      <c r="DD92" s="43">
        <v>0</v>
      </c>
      <c r="DE92" s="46"/>
      <c r="DF92" s="47"/>
      <c r="DL92" s="43">
        <v>0</v>
      </c>
      <c r="DM92" s="46"/>
      <c r="DN92" s="47"/>
      <c r="DR92" s="43">
        <v>0</v>
      </c>
      <c r="DS92" s="46"/>
      <c r="DZ92" s="43">
        <v>0</v>
      </c>
      <c r="EA92" s="46"/>
      <c r="EB92" s="47"/>
      <c r="EF92" s="43">
        <v>0</v>
      </c>
      <c r="EG92" s="46"/>
      <c r="EH92" s="47"/>
      <c r="EL92" s="43">
        <v>0</v>
      </c>
      <c r="EM92" s="46"/>
      <c r="EN92" s="47"/>
      <c r="ER92" s="43">
        <v>0</v>
      </c>
      <c r="ES92" s="46"/>
      <c r="EZ92" s="43">
        <v>0</v>
      </c>
      <c r="FA92" s="46"/>
      <c r="FG92" s="43">
        <v>0</v>
      </c>
      <c r="FH92" s="46"/>
      <c r="FI92" s="47"/>
      <c r="FL92" s="43">
        <v>0</v>
      </c>
      <c r="FM92" s="46"/>
      <c r="FN92" s="47"/>
      <c r="FQ92" s="43">
        <v>0</v>
      </c>
      <c r="FR92" s="46"/>
      <c r="FW92" s="43">
        <v>0</v>
      </c>
      <c r="FX92" s="46"/>
      <c r="FY92" s="47"/>
      <c r="GD92" s="43">
        <v>0</v>
      </c>
      <c r="GE92" s="46"/>
      <c r="GJ92" s="43">
        <v>0</v>
      </c>
      <c r="GK92" s="46"/>
      <c r="GL92" s="47"/>
      <c r="GP92" s="43">
        <v>0</v>
      </c>
      <c r="GQ92" s="46"/>
      <c r="GV92" s="43">
        <v>0</v>
      </c>
      <c r="GW92" s="46"/>
      <c r="GX92" s="47"/>
      <c r="GZ92" s="43">
        <v>0</v>
      </c>
      <c r="HA92" s="46"/>
      <c r="HB92" s="47"/>
      <c r="HF92" s="43">
        <v>0</v>
      </c>
      <c r="HG92" s="46"/>
      <c r="HH92" s="47"/>
      <c r="HJ92" s="43">
        <v>0</v>
      </c>
      <c r="HK92" s="46"/>
      <c r="HL92" s="47"/>
      <c r="HP92" s="43">
        <v>0</v>
      </c>
      <c r="HQ92" s="46"/>
      <c r="HR92">
        <v>208</v>
      </c>
      <c r="HS92">
        <v>220</v>
      </c>
      <c r="HT92">
        <v>856</v>
      </c>
      <c r="HU92">
        <v>860</v>
      </c>
      <c r="HX92" s="42">
        <v>-16</v>
      </c>
      <c r="HY92" s="46">
        <v>5.6</v>
      </c>
      <c r="HZ92" s="45">
        <v>160</v>
      </c>
      <c r="IA92">
        <v>160</v>
      </c>
      <c r="IB92">
        <v>152</v>
      </c>
      <c r="IC92">
        <v>150</v>
      </c>
      <c r="ID92" s="43">
        <v>2</v>
      </c>
      <c r="IE92" s="46"/>
      <c r="IF92">
        <v>296</v>
      </c>
      <c r="IG92">
        <v>300</v>
      </c>
      <c r="IH92">
        <v>576</v>
      </c>
      <c r="II92">
        <v>580</v>
      </c>
      <c r="IJ92" s="43">
        <v>-8</v>
      </c>
      <c r="IK92" s="49"/>
      <c r="IM92">
        <v>250</v>
      </c>
      <c r="IN92">
        <v>368</v>
      </c>
      <c r="IO92">
        <v>370</v>
      </c>
      <c r="IP92" s="42">
        <v>-252</v>
      </c>
      <c r="IQ92" s="49">
        <v>88.199999999999989</v>
      </c>
      <c r="IS92">
        <v>370</v>
      </c>
      <c r="IT92">
        <v>296</v>
      </c>
      <c r="IU92">
        <v>300</v>
      </c>
      <c r="IV92" s="42">
        <v>-374</v>
      </c>
      <c r="IW92" s="49">
        <v>130.9</v>
      </c>
      <c r="IX92">
        <v>352</v>
      </c>
      <c r="IY92">
        <v>350</v>
      </c>
      <c r="IZ92">
        <v>296</v>
      </c>
      <c r="JA92">
        <v>300</v>
      </c>
      <c r="JB92" s="43">
        <v>-2</v>
      </c>
      <c r="JC92" s="46"/>
      <c r="JD92">
        <v>176</v>
      </c>
      <c r="JE92">
        <v>180</v>
      </c>
      <c r="JF92" s="43">
        <v>-4</v>
      </c>
      <c r="JG92" s="49"/>
      <c r="JH92">
        <v>352</v>
      </c>
      <c r="JI92">
        <v>350</v>
      </c>
      <c r="JJ92">
        <v>288</v>
      </c>
      <c r="JK92">
        <v>290</v>
      </c>
      <c r="JL92" s="43">
        <v>0</v>
      </c>
      <c r="JM92" s="46"/>
      <c r="JN92" s="45">
        <v>48</v>
      </c>
      <c r="JO92" s="48">
        <v>50</v>
      </c>
      <c r="JP92" s="43">
        <v>-2</v>
      </c>
      <c r="JQ92" s="49"/>
      <c r="JT92">
        <v>488</v>
      </c>
      <c r="JU92">
        <v>490</v>
      </c>
      <c r="JV92" s="43">
        <v>-2</v>
      </c>
      <c r="JW92" s="49"/>
      <c r="JX92">
        <v>200</v>
      </c>
      <c r="JY92">
        <v>200</v>
      </c>
      <c r="JZ92">
        <v>296</v>
      </c>
      <c r="KA92">
        <v>300</v>
      </c>
      <c r="KB92" s="43">
        <v>-4</v>
      </c>
      <c r="KC92" s="49"/>
      <c r="KD92">
        <v>176</v>
      </c>
      <c r="KE92">
        <v>180</v>
      </c>
      <c r="KF92">
        <v>288</v>
      </c>
      <c r="KG92">
        <v>290</v>
      </c>
      <c r="KH92" s="43">
        <v>-6</v>
      </c>
      <c r="KI92" s="49"/>
      <c r="KJ92">
        <v>144</v>
      </c>
      <c r="KK92">
        <v>150</v>
      </c>
      <c r="KL92">
        <v>96</v>
      </c>
      <c r="KM92">
        <v>100</v>
      </c>
      <c r="KN92" s="43">
        <v>-10</v>
      </c>
      <c r="KO92" s="49"/>
      <c r="KP92" s="45">
        <v>248</v>
      </c>
      <c r="KQ92">
        <v>250</v>
      </c>
      <c r="KR92">
        <v>296</v>
      </c>
      <c r="KS92">
        <v>300</v>
      </c>
      <c r="KT92">
        <v>248</v>
      </c>
      <c r="KU92">
        <v>250</v>
      </c>
      <c r="KV92" s="43">
        <v>-8</v>
      </c>
      <c r="KW92" s="49"/>
      <c r="KX92" s="48">
        <v>0</v>
      </c>
      <c r="KY92" s="48">
        <v>0</v>
      </c>
      <c r="KZ92" s="48">
        <v>0</v>
      </c>
      <c r="LA92" s="48">
        <v>0</v>
      </c>
      <c r="LB92" s="43">
        <v>0</v>
      </c>
      <c r="LC92" s="49"/>
      <c r="LD92" s="48">
        <v>296</v>
      </c>
      <c r="LE92" s="48">
        <v>300</v>
      </c>
      <c r="LF92" s="48">
        <v>328</v>
      </c>
      <c r="LG92" s="48">
        <v>330</v>
      </c>
      <c r="LH92" s="43">
        <v>-6</v>
      </c>
      <c r="LI92" s="49"/>
      <c r="LJ92" s="50">
        <v>400</v>
      </c>
      <c r="LK92" s="48">
        <v>400</v>
      </c>
      <c r="LL92" s="43">
        <v>0</v>
      </c>
      <c r="LM92" s="49"/>
      <c r="LN92" s="50">
        <v>408</v>
      </c>
      <c r="LO92" s="48">
        <v>400</v>
      </c>
      <c r="LP92" s="48">
        <v>400</v>
      </c>
      <c r="LQ92" s="48">
        <v>0</v>
      </c>
      <c r="LR92" s="48">
        <v>400</v>
      </c>
      <c r="LS92" s="43">
        <v>8</v>
      </c>
      <c r="LT92" s="49"/>
      <c r="LU92" s="50">
        <v>200</v>
      </c>
      <c r="LV92" s="48">
        <v>200</v>
      </c>
      <c r="LW92" s="48">
        <v>152</v>
      </c>
      <c r="LX92" s="48">
        <v>150</v>
      </c>
      <c r="LY92" s="43">
        <v>2</v>
      </c>
      <c r="LZ92" s="49"/>
      <c r="MA92" s="50">
        <v>0</v>
      </c>
      <c r="MB92" s="48">
        <v>0</v>
      </c>
      <c r="MC92" s="43">
        <v>0</v>
      </c>
      <c r="MD92" s="49"/>
      <c r="ME92" s="50">
        <v>0</v>
      </c>
      <c r="MF92" s="48">
        <v>0</v>
      </c>
      <c r="MG92" s="48">
        <v>320</v>
      </c>
      <c r="MH92" s="48">
        <v>318</v>
      </c>
      <c r="MI92" s="43">
        <v>2</v>
      </c>
      <c r="MJ92" s="49"/>
      <c r="MK92" s="50">
        <v>1000</v>
      </c>
      <c r="ML92" s="48">
        <v>1000</v>
      </c>
      <c r="MM92" s="43">
        <v>0</v>
      </c>
      <c r="MN92" s="49"/>
      <c r="MO92" s="50">
        <v>56</v>
      </c>
      <c r="MP92" s="48">
        <v>56</v>
      </c>
      <c r="MQ92" s="48">
        <v>48</v>
      </c>
      <c r="MR92" s="48">
        <v>47</v>
      </c>
      <c r="MS92" s="43">
        <v>1</v>
      </c>
      <c r="MT92" s="49"/>
      <c r="MU92" s="48">
        <v>0</v>
      </c>
      <c r="MV92" s="46"/>
      <c r="MW92" s="48">
        <v>648</v>
      </c>
      <c r="MX92" s="48">
        <v>650</v>
      </c>
      <c r="MY92" s="43">
        <v>-2</v>
      </c>
      <c r="MZ92" s="49"/>
      <c r="NA92" s="50">
        <v>48</v>
      </c>
      <c r="NB92" s="48">
        <v>50</v>
      </c>
      <c r="NC92" s="48">
        <v>112</v>
      </c>
      <c r="ND92" s="48">
        <v>110</v>
      </c>
      <c r="NE92" s="43">
        <v>0</v>
      </c>
      <c r="NF92" s="49"/>
      <c r="NG92" s="50">
        <v>296</v>
      </c>
      <c r="NH92" s="48">
        <v>160</v>
      </c>
      <c r="NI92" s="48">
        <v>296</v>
      </c>
      <c r="NJ92" s="48">
        <v>294</v>
      </c>
      <c r="NK92" s="43">
        <v>138</v>
      </c>
      <c r="NL92" s="49"/>
      <c r="NM92" s="50">
        <v>80</v>
      </c>
      <c r="NN92" s="48">
        <v>80</v>
      </c>
      <c r="NO92" s="48">
        <v>120</v>
      </c>
      <c r="NP92" s="48">
        <v>120</v>
      </c>
      <c r="NQ92" s="43">
        <v>0</v>
      </c>
      <c r="NR92" s="49"/>
      <c r="NS92" s="25">
        <v>304</v>
      </c>
      <c r="NT92" s="48">
        <v>0</v>
      </c>
      <c r="NU92" s="48">
        <v>40</v>
      </c>
      <c r="NV92" s="48">
        <v>40</v>
      </c>
      <c r="NW92" s="43">
        <v>304</v>
      </c>
      <c r="NX92" s="49"/>
      <c r="NY92" s="50">
        <v>200</v>
      </c>
      <c r="NZ92" s="48">
        <v>200</v>
      </c>
      <c r="OA92" s="48">
        <v>264</v>
      </c>
      <c r="OB92" s="48">
        <v>268</v>
      </c>
      <c r="OC92" s="43">
        <v>-4</v>
      </c>
      <c r="OD92" s="49"/>
      <c r="OE92" s="50">
        <v>488</v>
      </c>
      <c r="OF92" s="48">
        <v>490</v>
      </c>
      <c r="OG92" s="43">
        <v>-2</v>
      </c>
      <c r="OH92" s="49"/>
      <c r="OI92" s="50">
        <v>376</v>
      </c>
      <c r="OJ92" s="48">
        <v>381</v>
      </c>
      <c r="OK92" s="43">
        <v>-5</v>
      </c>
      <c r="OL92" s="49"/>
      <c r="OM92" s="50">
        <v>0</v>
      </c>
      <c r="ON92" s="48">
        <v>0</v>
      </c>
      <c r="OO92" s="48">
        <v>0</v>
      </c>
      <c r="OP92" s="48">
        <v>0</v>
      </c>
      <c r="OQ92" s="43">
        <v>0</v>
      </c>
      <c r="OR92" s="49"/>
      <c r="OS92" s="50">
        <v>0</v>
      </c>
      <c r="OT92" s="48">
        <v>0</v>
      </c>
      <c r="OU92" s="43">
        <v>0</v>
      </c>
      <c r="OV92" s="49"/>
      <c r="OW92" s="50">
        <v>560</v>
      </c>
      <c r="OX92" s="48">
        <v>550</v>
      </c>
      <c r="OY92" s="48">
        <v>480</v>
      </c>
      <c r="OZ92" s="48">
        <v>492</v>
      </c>
      <c r="PA92" s="43">
        <v>-2</v>
      </c>
      <c r="PB92" s="49"/>
      <c r="PC92" s="50">
        <v>48</v>
      </c>
      <c r="PD92" s="48">
        <v>46</v>
      </c>
      <c r="PE92" s="43">
        <v>2</v>
      </c>
      <c r="PF92" s="49"/>
      <c r="PG92" s="50">
        <v>0</v>
      </c>
      <c r="PH92" s="48">
        <v>0</v>
      </c>
      <c r="PI92" s="48">
        <v>80</v>
      </c>
      <c r="PJ92" s="48">
        <v>92</v>
      </c>
      <c r="PK92" s="42">
        <v>-12</v>
      </c>
      <c r="PL92" s="49">
        <v>4.1999999999999993</v>
      </c>
      <c r="PM92" s="47">
        <v>0</v>
      </c>
      <c r="PN92" s="48">
        <v>0</v>
      </c>
      <c r="PO92" s="48">
        <v>392</v>
      </c>
      <c r="PP92" s="48">
        <v>394</v>
      </c>
      <c r="PQ92" s="43">
        <v>-2</v>
      </c>
      <c r="PR92" s="49"/>
      <c r="PS92" s="47">
        <v>200</v>
      </c>
      <c r="PT92" s="43">
        <v>200</v>
      </c>
      <c r="PU92" s="43">
        <v>200</v>
      </c>
      <c r="PV92" s="43">
        <v>200</v>
      </c>
      <c r="PW92" s="43">
        <v>0</v>
      </c>
      <c r="PX92" s="46"/>
      <c r="PY92" s="47">
        <v>400</v>
      </c>
      <c r="PZ92" s="43">
        <v>400</v>
      </c>
      <c r="QA92" s="43">
        <v>0</v>
      </c>
      <c r="QB92" s="46"/>
      <c r="QC92" s="47">
        <v>208</v>
      </c>
      <c r="QD92" s="43">
        <v>211</v>
      </c>
      <c r="QE92" s="43">
        <v>296</v>
      </c>
      <c r="QF92" s="43">
        <v>300</v>
      </c>
      <c r="QG92" s="43">
        <v>-7</v>
      </c>
      <c r="QH92" s="46"/>
      <c r="QI92" s="47">
        <v>96</v>
      </c>
      <c r="QJ92" s="43">
        <v>100</v>
      </c>
      <c r="QK92" s="43">
        <v>96</v>
      </c>
      <c r="QL92" s="43">
        <v>100</v>
      </c>
      <c r="QM92" s="43">
        <v>-8</v>
      </c>
      <c r="QN92" s="46"/>
      <c r="QO92" s="47">
        <v>264</v>
      </c>
      <c r="QP92" s="43">
        <v>265</v>
      </c>
      <c r="QQ92" s="43">
        <v>600</v>
      </c>
      <c r="QR92" s="43">
        <v>350</v>
      </c>
      <c r="QS92" s="43">
        <v>249</v>
      </c>
      <c r="QT92" s="46"/>
      <c r="QU92" s="47">
        <v>0</v>
      </c>
      <c r="QV92" s="43">
        <v>0</v>
      </c>
      <c r="QW92" s="43">
        <v>0</v>
      </c>
      <c r="QX92" s="46"/>
      <c r="QY92" s="47">
        <v>120</v>
      </c>
      <c r="QZ92" s="43">
        <v>400</v>
      </c>
      <c r="RA92" s="43">
        <v>696</v>
      </c>
      <c r="RB92" s="43">
        <v>600</v>
      </c>
      <c r="RC92" s="42">
        <v>-184</v>
      </c>
      <c r="RD92" s="46">
        <v>64.399999999999991</v>
      </c>
    </row>
    <row r="93" spans="1:472" x14ac:dyDescent="0.25">
      <c r="A93" s="43" t="s">
        <v>381</v>
      </c>
      <c r="B93" s="44">
        <v>0.28000000000000003</v>
      </c>
      <c r="I93" s="47"/>
      <c r="J93" s="51"/>
      <c r="K93" s="51"/>
      <c r="L93" s="51"/>
      <c r="M93" s="51">
        <f t="shared" si="12"/>
        <v>0</v>
      </c>
      <c r="N93" s="46"/>
      <c r="O93" s="47"/>
      <c r="P93" s="51"/>
      <c r="Q93" s="51"/>
      <c r="R93" s="51"/>
      <c r="S93" s="51">
        <f t="shared" si="13"/>
        <v>0</v>
      </c>
      <c r="T93" s="46"/>
      <c r="U93" s="47"/>
      <c r="V93" s="51"/>
      <c r="W93" s="51"/>
      <c r="X93" s="51"/>
      <c r="Y93" s="51">
        <f t="shared" si="14"/>
        <v>0</v>
      </c>
      <c r="Z93" s="46"/>
      <c r="AA93" s="51"/>
      <c r="AE93" s="43">
        <v>0</v>
      </c>
      <c r="AF93" s="46"/>
      <c r="AG93" s="47"/>
      <c r="AK93" s="43">
        <v>0</v>
      </c>
      <c r="AL93" s="46"/>
      <c r="AQ93" s="43">
        <v>0</v>
      </c>
      <c r="AR93" s="46"/>
      <c r="AW93" s="43">
        <v>0</v>
      </c>
      <c r="AX93" s="46"/>
      <c r="AY93" s="47"/>
      <c r="BC93" s="43">
        <v>0</v>
      </c>
      <c r="BD93" s="46"/>
      <c r="BE93" s="47"/>
      <c r="BI93" s="43">
        <v>0</v>
      </c>
      <c r="BJ93" s="46"/>
      <c r="BP93" s="43">
        <v>0</v>
      </c>
      <c r="BQ93" s="46"/>
      <c r="BT93" s="43">
        <v>0</v>
      </c>
      <c r="BU93" s="46"/>
      <c r="BV93" s="47"/>
      <c r="BZ93" s="43">
        <v>0</v>
      </c>
      <c r="CA93" s="46"/>
      <c r="CF93" s="43">
        <v>0</v>
      </c>
      <c r="CG93" s="46"/>
      <c r="CL93" s="43">
        <v>0</v>
      </c>
      <c r="CM93" s="46"/>
      <c r="CN93" s="47"/>
      <c r="CR93" s="43">
        <v>0</v>
      </c>
      <c r="CS93" s="46"/>
      <c r="CX93" s="43">
        <v>0</v>
      </c>
      <c r="CY93" s="46"/>
      <c r="CZ93" s="47"/>
      <c r="DD93" s="43">
        <v>0</v>
      </c>
      <c r="DE93" s="46"/>
      <c r="DF93" s="47"/>
      <c r="DL93" s="43">
        <v>0</v>
      </c>
      <c r="DM93" s="46"/>
      <c r="DN93" s="47"/>
      <c r="DR93" s="43">
        <v>0</v>
      </c>
      <c r="DS93" s="46"/>
      <c r="DZ93" s="43">
        <v>0</v>
      </c>
      <c r="EA93" s="46"/>
      <c r="EB93" s="47"/>
      <c r="EF93" s="43">
        <v>0</v>
      </c>
      <c r="EG93" s="46"/>
      <c r="EH93" s="47"/>
      <c r="EL93" s="43">
        <v>0</v>
      </c>
      <c r="EM93" s="46"/>
      <c r="EN93" s="47"/>
      <c r="ER93" s="43">
        <v>0</v>
      </c>
      <c r="ES93" s="46"/>
      <c r="EZ93" s="43">
        <v>0</v>
      </c>
      <c r="FA93" s="46"/>
      <c r="FG93" s="43">
        <v>0</v>
      </c>
      <c r="FH93" s="46"/>
      <c r="FI93" s="47"/>
      <c r="FL93" s="43">
        <v>0</v>
      </c>
      <c r="FM93" s="46"/>
      <c r="FN93" s="47"/>
      <c r="FQ93" s="43">
        <v>0</v>
      </c>
      <c r="FR93" s="46"/>
      <c r="FW93" s="43">
        <v>0</v>
      </c>
      <c r="FX93" s="46"/>
      <c r="FY93" s="47"/>
      <c r="GD93" s="43">
        <v>0</v>
      </c>
      <c r="GE93" s="46"/>
      <c r="GJ93" s="43">
        <v>0</v>
      </c>
      <c r="GK93" s="46"/>
      <c r="GL93" s="47"/>
      <c r="GP93" s="43">
        <v>0</v>
      </c>
      <c r="GQ93" s="46"/>
      <c r="GV93" s="43">
        <v>0</v>
      </c>
      <c r="GW93" s="46"/>
      <c r="GX93" s="47"/>
      <c r="GZ93" s="43">
        <v>0</v>
      </c>
      <c r="HA93" s="46"/>
      <c r="HB93" s="47"/>
      <c r="HF93" s="43">
        <v>0</v>
      </c>
      <c r="HG93" s="46"/>
      <c r="HH93" s="47"/>
      <c r="HJ93" s="43">
        <v>0</v>
      </c>
      <c r="HK93" s="46"/>
      <c r="HL93" s="47"/>
      <c r="HP93" s="43">
        <v>0</v>
      </c>
      <c r="HQ93" s="46"/>
      <c r="HX93" s="43">
        <v>0</v>
      </c>
      <c r="HY93" s="46"/>
      <c r="HZ93" s="47"/>
      <c r="ID93" s="43">
        <v>0</v>
      </c>
      <c r="IE93" s="46"/>
      <c r="IJ93" s="43">
        <v>0</v>
      </c>
      <c r="IK93" s="49"/>
      <c r="IP93" s="43">
        <v>0</v>
      </c>
      <c r="IQ93" s="49"/>
      <c r="IV93" s="43">
        <v>0</v>
      </c>
      <c r="IW93" s="49"/>
      <c r="JB93" s="43">
        <v>0</v>
      </c>
      <c r="JC93" s="46"/>
      <c r="JF93" s="43">
        <v>0</v>
      </c>
      <c r="JG93" s="49"/>
      <c r="JL93" s="43">
        <v>0</v>
      </c>
      <c r="JM93" s="46"/>
      <c r="JN93" s="50"/>
      <c r="JP93" s="43">
        <v>0</v>
      </c>
      <c r="JQ93" s="49"/>
      <c r="JV93" s="43">
        <v>0</v>
      </c>
      <c r="JW93" s="49"/>
      <c r="KB93" s="43">
        <v>0</v>
      </c>
      <c r="KC93" s="49"/>
      <c r="KH93" s="43">
        <v>0</v>
      </c>
      <c r="KI93" s="49"/>
      <c r="KN93" s="43">
        <v>0</v>
      </c>
      <c r="KO93" s="49"/>
      <c r="KP93" s="50"/>
      <c r="KV93" s="43">
        <v>0</v>
      </c>
      <c r="KW93" s="49"/>
      <c r="KX93" s="48">
        <v>0</v>
      </c>
      <c r="KY93" s="48">
        <v>0</v>
      </c>
      <c r="KZ93" s="48">
        <v>0</v>
      </c>
      <c r="LA93" s="48">
        <v>0</v>
      </c>
      <c r="LB93" s="43">
        <v>0</v>
      </c>
      <c r="LC93" s="49"/>
      <c r="LD93" s="48">
        <v>0</v>
      </c>
      <c r="LE93" s="48">
        <v>0</v>
      </c>
      <c r="LF93" s="48">
        <v>0</v>
      </c>
      <c r="LG93" s="48">
        <v>0</v>
      </c>
      <c r="LH93" s="43">
        <v>0</v>
      </c>
      <c r="LI93" s="49"/>
      <c r="LJ93" s="50">
        <v>0</v>
      </c>
      <c r="LK93" s="48">
        <v>0</v>
      </c>
      <c r="LL93" s="43">
        <v>0</v>
      </c>
      <c r="LM93" s="49"/>
      <c r="LN93" s="50">
        <v>0</v>
      </c>
      <c r="LO93" s="48">
        <v>0</v>
      </c>
      <c r="LP93" s="48">
        <v>0</v>
      </c>
      <c r="LQ93" s="48">
        <v>0</v>
      </c>
      <c r="LR93" s="48">
        <v>0</v>
      </c>
      <c r="LS93" s="43">
        <v>0</v>
      </c>
      <c r="LT93" s="49"/>
      <c r="LU93" s="50">
        <v>0</v>
      </c>
      <c r="LV93" s="48">
        <v>0</v>
      </c>
      <c r="LW93" s="48">
        <v>0</v>
      </c>
      <c r="LX93" s="48">
        <v>0</v>
      </c>
      <c r="LY93" s="43">
        <v>0</v>
      </c>
      <c r="LZ93" s="49"/>
      <c r="MA93" s="50">
        <v>0</v>
      </c>
      <c r="MB93" s="48">
        <v>0</v>
      </c>
      <c r="MC93" s="43">
        <v>0</v>
      </c>
      <c r="MD93" s="49"/>
      <c r="ME93" s="50">
        <v>0</v>
      </c>
      <c r="MF93" s="48">
        <v>0</v>
      </c>
      <c r="MG93" s="48">
        <v>0</v>
      </c>
      <c r="MH93" s="48">
        <v>0</v>
      </c>
      <c r="MI93" s="43">
        <v>0</v>
      </c>
      <c r="MJ93" s="49"/>
      <c r="MK93" s="50">
        <v>0</v>
      </c>
      <c r="ML93" s="48">
        <v>0</v>
      </c>
      <c r="MM93" s="43">
        <v>0</v>
      </c>
      <c r="MN93" s="49"/>
      <c r="MO93" s="50">
        <v>0</v>
      </c>
      <c r="MP93" s="48">
        <v>0</v>
      </c>
      <c r="MQ93" s="48">
        <v>0</v>
      </c>
      <c r="MR93" s="48">
        <v>0</v>
      </c>
      <c r="MS93" s="43">
        <v>0</v>
      </c>
      <c r="MT93" s="49"/>
      <c r="MU93" s="48">
        <v>0</v>
      </c>
      <c r="MV93" s="46"/>
      <c r="MW93" s="48">
        <v>0</v>
      </c>
      <c r="MX93" s="48">
        <v>0</v>
      </c>
      <c r="MY93" s="43">
        <v>0</v>
      </c>
      <c r="MZ93" s="49"/>
      <c r="NA93" s="50">
        <v>0</v>
      </c>
      <c r="NB93" s="48">
        <v>0</v>
      </c>
      <c r="NC93" s="48">
        <v>0</v>
      </c>
      <c r="ND93" s="48">
        <v>0</v>
      </c>
      <c r="NE93" s="43">
        <v>0</v>
      </c>
      <c r="NF93" s="49"/>
      <c r="NG93" s="50">
        <v>0</v>
      </c>
      <c r="NH93" s="48">
        <v>0</v>
      </c>
      <c r="NI93" s="48">
        <v>0</v>
      </c>
      <c r="NJ93" s="48">
        <v>0</v>
      </c>
      <c r="NK93" s="43">
        <v>0</v>
      </c>
      <c r="NL93" s="49"/>
      <c r="NM93" s="50">
        <v>0</v>
      </c>
      <c r="NN93" s="48">
        <v>0</v>
      </c>
      <c r="NO93" s="48">
        <v>0</v>
      </c>
      <c r="NP93" s="48">
        <v>0</v>
      </c>
      <c r="NQ93" s="43">
        <v>0</v>
      </c>
      <c r="NR93" s="49"/>
      <c r="NS93" s="50">
        <v>0</v>
      </c>
      <c r="NT93" s="48">
        <v>0</v>
      </c>
      <c r="NU93" s="48">
        <v>0</v>
      </c>
      <c r="NV93" s="48">
        <v>0</v>
      </c>
      <c r="NW93" s="43">
        <v>0</v>
      </c>
      <c r="NX93" s="49"/>
      <c r="NY93" s="50">
        <v>0</v>
      </c>
      <c r="NZ93" s="48">
        <v>0</v>
      </c>
      <c r="OA93" s="48">
        <v>0</v>
      </c>
      <c r="OB93" s="48">
        <v>0</v>
      </c>
      <c r="OC93" s="43">
        <v>0</v>
      </c>
      <c r="OD93" s="49"/>
      <c r="OE93" s="50">
        <v>0</v>
      </c>
      <c r="OF93" s="48">
        <v>0</v>
      </c>
      <c r="OG93" s="43">
        <v>0</v>
      </c>
      <c r="OH93" s="49"/>
      <c r="OI93" s="50">
        <v>0</v>
      </c>
      <c r="OJ93" s="48">
        <v>0</v>
      </c>
      <c r="OK93" s="43">
        <v>0</v>
      </c>
      <c r="OL93" s="49"/>
      <c r="OM93" s="50">
        <v>0</v>
      </c>
      <c r="ON93" s="48">
        <v>0</v>
      </c>
      <c r="OO93" s="48">
        <v>0</v>
      </c>
      <c r="OP93" s="48">
        <v>0</v>
      </c>
      <c r="OQ93" s="43">
        <v>0</v>
      </c>
      <c r="OR93" s="49"/>
      <c r="OS93" s="50">
        <v>0</v>
      </c>
      <c r="OT93" s="48">
        <v>0</v>
      </c>
      <c r="OU93" s="43">
        <v>0</v>
      </c>
      <c r="OV93" s="49"/>
      <c r="OW93" s="50">
        <v>0</v>
      </c>
      <c r="OX93" s="48">
        <v>0</v>
      </c>
      <c r="OY93" s="48">
        <v>0</v>
      </c>
      <c r="OZ93" s="33">
        <v>110</v>
      </c>
      <c r="PA93" s="42">
        <v>-110</v>
      </c>
      <c r="PB93" s="49">
        <v>30.8</v>
      </c>
      <c r="PC93" s="50">
        <v>0</v>
      </c>
      <c r="PD93" s="48">
        <v>0</v>
      </c>
      <c r="PE93" s="43">
        <v>0</v>
      </c>
      <c r="PF93" s="49"/>
      <c r="PG93" s="50">
        <v>0</v>
      </c>
      <c r="PH93" s="48">
        <v>0</v>
      </c>
      <c r="PI93" s="48">
        <v>16</v>
      </c>
      <c r="PJ93" s="48">
        <v>20</v>
      </c>
      <c r="PK93" s="43">
        <v>-4</v>
      </c>
      <c r="PL93" s="49"/>
      <c r="PM93" s="47">
        <v>0</v>
      </c>
      <c r="PN93" s="48">
        <v>0</v>
      </c>
      <c r="PO93" s="48">
        <v>104</v>
      </c>
      <c r="PP93" s="48">
        <v>103</v>
      </c>
      <c r="PQ93" s="43">
        <v>1</v>
      </c>
      <c r="PR93" s="49"/>
      <c r="PS93" s="47">
        <v>128</v>
      </c>
      <c r="PT93" s="43">
        <v>130</v>
      </c>
      <c r="PU93" s="43">
        <v>0</v>
      </c>
      <c r="PV93" s="43">
        <v>0</v>
      </c>
      <c r="PW93" s="43">
        <v>-2</v>
      </c>
      <c r="PX93" s="46"/>
      <c r="PY93" s="47">
        <v>0</v>
      </c>
      <c r="PZ93" s="43">
        <v>0</v>
      </c>
      <c r="QA93" s="43">
        <v>0</v>
      </c>
      <c r="QB93" s="46"/>
      <c r="QC93" s="47">
        <v>0</v>
      </c>
      <c r="QD93" s="43">
        <v>0</v>
      </c>
      <c r="QE93" s="43">
        <v>0</v>
      </c>
      <c r="QF93" s="43">
        <v>0</v>
      </c>
      <c r="QG93" s="43">
        <v>0</v>
      </c>
      <c r="QH93" s="46"/>
      <c r="QI93" s="47">
        <v>0</v>
      </c>
      <c r="QJ93" s="43">
        <v>0</v>
      </c>
      <c r="QK93" s="43">
        <v>0</v>
      </c>
      <c r="QL93" s="43">
        <v>0</v>
      </c>
      <c r="QM93" s="43">
        <v>0</v>
      </c>
      <c r="QN93" s="46"/>
      <c r="QO93" s="47">
        <v>120</v>
      </c>
      <c r="QP93" s="43">
        <v>121</v>
      </c>
      <c r="QQ93" s="43">
        <v>400</v>
      </c>
      <c r="QR93" s="43">
        <v>150</v>
      </c>
      <c r="QS93" s="43">
        <v>249</v>
      </c>
      <c r="QT93" s="46"/>
      <c r="QU93" s="47">
        <v>24</v>
      </c>
      <c r="QV93" s="43">
        <v>29</v>
      </c>
      <c r="QW93" s="43">
        <v>-5</v>
      </c>
      <c r="QX93" s="46"/>
      <c r="QY93" s="47">
        <v>0</v>
      </c>
      <c r="QZ93" s="43">
        <v>0</v>
      </c>
      <c r="RA93" s="43">
        <v>120</v>
      </c>
      <c r="RB93" s="43">
        <v>180</v>
      </c>
      <c r="RC93" s="42">
        <v>-60</v>
      </c>
      <c r="RD93" s="46">
        <v>16.8</v>
      </c>
    </row>
    <row r="94" spans="1:472" x14ac:dyDescent="0.25">
      <c r="A94" s="43" t="s">
        <v>382</v>
      </c>
      <c r="B94" s="44">
        <v>0.35</v>
      </c>
      <c r="F94">
        <v>1500</v>
      </c>
      <c r="I94" s="47"/>
      <c r="J94" s="51"/>
      <c r="K94" s="51"/>
      <c r="L94" s="51"/>
      <c r="M94" s="51">
        <f t="shared" si="12"/>
        <v>0</v>
      </c>
      <c r="N94" s="46"/>
      <c r="O94" s="47"/>
      <c r="P94" s="51"/>
      <c r="Q94" s="52">
        <v>1096</v>
      </c>
      <c r="R94" s="52">
        <v>1100</v>
      </c>
      <c r="S94" s="51">
        <f t="shared" si="13"/>
        <v>-4</v>
      </c>
      <c r="T94" s="46"/>
      <c r="U94" s="47"/>
      <c r="V94" s="51"/>
      <c r="W94" s="52">
        <v>1600</v>
      </c>
      <c r="X94" s="52">
        <v>1600</v>
      </c>
      <c r="Y94" s="51">
        <f t="shared" si="14"/>
        <v>0</v>
      </c>
      <c r="Z94" s="46"/>
      <c r="AA94" s="52">
        <v>448</v>
      </c>
      <c r="AB94">
        <v>450</v>
      </c>
      <c r="AC94">
        <v>504</v>
      </c>
      <c r="AD94">
        <v>506</v>
      </c>
      <c r="AE94" s="43">
        <v>-4</v>
      </c>
      <c r="AF94" s="46"/>
      <c r="AG94" s="45">
        <v>360</v>
      </c>
      <c r="AH94">
        <v>360</v>
      </c>
      <c r="AI94">
        <v>376</v>
      </c>
      <c r="AJ94">
        <v>375</v>
      </c>
      <c r="AK94" s="43">
        <v>1</v>
      </c>
      <c r="AL94" s="46"/>
      <c r="AM94">
        <v>600</v>
      </c>
      <c r="AN94">
        <v>600</v>
      </c>
      <c r="AO94">
        <v>616</v>
      </c>
      <c r="AP94">
        <v>615</v>
      </c>
      <c r="AQ94" s="43">
        <v>1</v>
      </c>
      <c r="AR94" s="46"/>
      <c r="AS94">
        <v>112</v>
      </c>
      <c r="AT94">
        <v>110</v>
      </c>
      <c r="AU94">
        <v>120</v>
      </c>
      <c r="AV94">
        <v>118</v>
      </c>
      <c r="AW94" s="43">
        <v>4</v>
      </c>
      <c r="AX94" s="46"/>
      <c r="AY94" s="45">
        <v>400</v>
      </c>
      <c r="AZ94">
        <v>400</v>
      </c>
      <c r="BA94">
        <v>472</v>
      </c>
      <c r="BB94">
        <v>477</v>
      </c>
      <c r="BC94" s="43">
        <v>-5</v>
      </c>
      <c r="BD94" s="46"/>
      <c r="BE94" s="45">
        <v>400</v>
      </c>
      <c r="BF94">
        <v>400</v>
      </c>
      <c r="BG94">
        <v>400</v>
      </c>
      <c r="BH94">
        <v>400</v>
      </c>
      <c r="BI94" s="43">
        <v>0</v>
      </c>
      <c r="BJ94" s="46"/>
      <c r="BK94">
        <v>280</v>
      </c>
      <c r="BL94">
        <v>280</v>
      </c>
      <c r="BN94">
        <v>296</v>
      </c>
      <c r="BO94">
        <v>299</v>
      </c>
      <c r="BP94" s="43">
        <v>-3</v>
      </c>
      <c r="BQ94" s="46"/>
      <c r="BR94">
        <v>200</v>
      </c>
      <c r="BS94">
        <v>200</v>
      </c>
      <c r="BT94" s="43">
        <v>0</v>
      </c>
      <c r="BU94" s="46"/>
      <c r="BV94" s="45">
        <v>384</v>
      </c>
      <c r="BW94">
        <v>388</v>
      </c>
      <c r="BX94">
        <v>1296</v>
      </c>
      <c r="BY94">
        <v>1300</v>
      </c>
      <c r="BZ94" s="43">
        <v>-8</v>
      </c>
      <c r="CA94" s="46"/>
      <c r="CD94">
        <v>24</v>
      </c>
      <c r="CE94">
        <v>25</v>
      </c>
      <c r="CF94" s="43">
        <v>-1</v>
      </c>
      <c r="CG94" s="46"/>
      <c r="CH94">
        <v>96</v>
      </c>
      <c r="CI94">
        <v>100</v>
      </c>
      <c r="CJ94">
        <v>840</v>
      </c>
      <c r="CK94">
        <v>839</v>
      </c>
      <c r="CL94" s="43">
        <v>-3</v>
      </c>
      <c r="CM94" s="46"/>
      <c r="CN94" s="45">
        <v>288</v>
      </c>
      <c r="CO94">
        <v>290</v>
      </c>
      <c r="CP94">
        <v>712</v>
      </c>
      <c r="CQ94">
        <v>714</v>
      </c>
      <c r="CR94" s="43">
        <v>-4</v>
      </c>
      <c r="CS94" s="46"/>
      <c r="CV94">
        <v>352</v>
      </c>
      <c r="CW94">
        <v>357</v>
      </c>
      <c r="CX94" s="43">
        <v>-5</v>
      </c>
      <c r="CY94" s="46"/>
      <c r="CZ94" s="47"/>
      <c r="DD94" s="43">
        <v>0</v>
      </c>
      <c r="DE94" s="46"/>
      <c r="DF94" s="47"/>
      <c r="DH94">
        <v>800</v>
      </c>
      <c r="DI94">
        <v>800</v>
      </c>
      <c r="DJ94">
        <v>496</v>
      </c>
      <c r="DK94">
        <v>500</v>
      </c>
      <c r="DL94" s="43">
        <v>-4</v>
      </c>
      <c r="DM94" s="46"/>
      <c r="DN94" s="45">
        <v>400</v>
      </c>
      <c r="DO94">
        <v>400</v>
      </c>
      <c r="DP94">
        <v>296</v>
      </c>
      <c r="DQ94">
        <v>300</v>
      </c>
      <c r="DR94" s="43">
        <v>-4</v>
      </c>
      <c r="DS94" s="46"/>
      <c r="DV94">
        <v>696</v>
      </c>
      <c r="DW94">
        <v>700</v>
      </c>
      <c r="DZ94" s="43">
        <v>-4</v>
      </c>
      <c r="EA94" s="46"/>
      <c r="EB94" s="45">
        <v>496</v>
      </c>
      <c r="EC94">
        <v>500</v>
      </c>
      <c r="ED94">
        <v>1096</v>
      </c>
      <c r="EE94">
        <v>1100</v>
      </c>
      <c r="EF94" s="43">
        <v>-8</v>
      </c>
      <c r="EG94" s="46"/>
      <c r="EH94" s="47"/>
      <c r="EJ94">
        <v>112</v>
      </c>
      <c r="EK94">
        <v>114</v>
      </c>
      <c r="EL94" s="43">
        <v>-2</v>
      </c>
      <c r="EM94" s="46"/>
      <c r="EN94" s="45">
        <v>600</v>
      </c>
      <c r="EO94">
        <v>600</v>
      </c>
      <c r="EP94">
        <v>312</v>
      </c>
      <c r="EQ94">
        <v>310</v>
      </c>
      <c r="ER94" s="43">
        <v>2</v>
      </c>
      <c r="ES94" s="46"/>
      <c r="ET94">
        <v>320</v>
      </c>
      <c r="EU94">
        <v>320</v>
      </c>
      <c r="EV94">
        <v>320</v>
      </c>
      <c r="EW94">
        <v>320</v>
      </c>
      <c r="EX94">
        <v>504</v>
      </c>
      <c r="EY94">
        <v>507</v>
      </c>
      <c r="EZ94" s="43">
        <v>-3</v>
      </c>
      <c r="FA94" s="46"/>
      <c r="FB94">
        <v>400</v>
      </c>
      <c r="FC94">
        <v>400</v>
      </c>
      <c r="FD94">
        <v>320</v>
      </c>
      <c r="FF94">
        <v>320</v>
      </c>
      <c r="FG94" s="43">
        <v>0</v>
      </c>
      <c r="FH94" s="46"/>
      <c r="FI94" s="47"/>
      <c r="FL94" s="43">
        <v>0</v>
      </c>
      <c r="FM94" s="46"/>
      <c r="FN94" s="45">
        <v>1336</v>
      </c>
      <c r="FP94">
        <v>1339</v>
      </c>
      <c r="FQ94" s="43">
        <v>-3</v>
      </c>
      <c r="FR94" s="46"/>
      <c r="FS94">
        <v>736</v>
      </c>
      <c r="FV94">
        <v>740</v>
      </c>
      <c r="FW94" s="43">
        <v>-4</v>
      </c>
      <c r="FX94" s="46"/>
      <c r="FY94" s="45">
        <v>40</v>
      </c>
      <c r="GA94">
        <v>40</v>
      </c>
      <c r="GB94">
        <v>80</v>
      </c>
      <c r="GC94">
        <v>80</v>
      </c>
      <c r="GD94" s="43">
        <v>0</v>
      </c>
      <c r="GE94" s="46"/>
      <c r="GF94">
        <v>296</v>
      </c>
      <c r="GG94">
        <v>300</v>
      </c>
      <c r="GH94">
        <v>312</v>
      </c>
      <c r="GI94">
        <v>310</v>
      </c>
      <c r="GJ94" s="43">
        <v>-2</v>
      </c>
      <c r="GK94" s="46"/>
      <c r="GL94" s="45">
        <v>456</v>
      </c>
      <c r="GM94">
        <v>460</v>
      </c>
      <c r="GN94">
        <v>488</v>
      </c>
      <c r="GO94">
        <v>490</v>
      </c>
      <c r="GP94" s="43">
        <v>-6</v>
      </c>
      <c r="GQ94" s="46"/>
      <c r="GR94">
        <v>96</v>
      </c>
      <c r="GS94">
        <v>100</v>
      </c>
      <c r="GT94">
        <v>120</v>
      </c>
      <c r="GU94">
        <v>120</v>
      </c>
      <c r="GV94" s="43">
        <v>-4</v>
      </c>
      <c r="GW94" s="46"/>
      <c r="GX94" s="45">
        <v>1040</v>
      </c>
      <c r="GY94" s="48">
        <v>1040</v>
      </c>
      <c r="GZ94" s="43">
        <v>0</v>
      </c>
      <c r="HA94" s="46"/>
      <c r="HB94" s="47"/>
      <c r="HD94">
        <v>296</v>
      </c>
      <c r="HE94">
        <v>300</v>
      </c>
      <c r="HF94" s="43">
        <v>-4</v>
      </c>
      <c r="HG94" s="46"/>
      <c r="HH94" s="47"/>
      <c r="HJ94" s="43">
        <v>0</v>
      </c>
      <c r="HK94" s="46"/>
      <c r="HL94" s="47"/>
      <c r="HN94">
        <v>3000</v>
      </c>
      <c r="HO94">
        <v>3000</v>
      </c>
      <c r="HP94" s="43">
        <v>0</v>
      </c>
      <c r="HQ94" s="46"/>
      <c r="HT94">
        <v>680</v>
      </c>
      <c r="HU94">
        <v>680</v>
      </c>
      <c r="HX94" s="43">
        <v>0</v>
      </c>
      <c r="HY94" s="46"/>
      <c r="HZ94" s="45">
        <v>496</v>
      </c>
      <c r="IA94">
        <v>500</v>
      </c>
      <c r="IB94">
        <v>488</v>
      </c>
      <c r="IC94">
        <v>490</v>
      </c>
      <c r="ID94" s="43">
        <v>-6</v>
      </c>
      <c r="IE94" s="46"/>
      <c r="IF94">
        <v>200</v>
      </c>
      <c r="IG94">
        <v>200</v>
      </c>
      <c r="IH94">
        <v>232</v>
      </c>
      <c r="II94">
        <v>230</v>
      </c>
      <c r="IJ94" s="43">
        <v>2</v>
      </c>
      <c r="IK94" s="49"/>
      <c r="IL94">
        <v>352</v>
      </c>
      <c r="IM94">
        <v>350</v>
      </c>
      <c r="IN94">
        <v>480</v>
      </c>
      <c r="IO94">
        <v>480</v>
      </c>
      <c r="IP94" s="43">
        <v>2</v>
      </c>
      <c r="IQ94" s="49"/>
      <c r="IR94">
        <v>400</v>
      </c>
      <c r="IS94">
        <v>400</v>
      </c>
      <c r="IT94">
        <v>360</v>
      </c>
      <c r="IU94">
        <v>360</v>
      </c>
      <c r="IV94" s="43">
        <v>0</v>
      </c>
      <c r="IW94" s="49"/>
      <c r="IX94">
        <v>432</v>
      </c>
      <c r="IY94">
        <v>430</v>
      </c>
      <c r="IZ94">
        <v>368</v>
      </c>
      <c r="JA94">
        <v>370</v>
      </c>
      <c r="JB94" s="43">
        <v>0</v>
      </c>
      <c r="JC94" s="46"/>
      <c r="JD94">
        <v>96</v>
      </c>
      <c r="JE94">
        <v>100</v>
      </c>
      <c r="JF94" s="43">
        <v>-4</v>
      </c>
      <c r="JG94" s="49"/>
      <c r="JH94">
        <v>496</v>
      </c>
      <c r="JI94">
        <v>500</v>
      </c>
      <c r="JJ94">
        <v>400</v>
      </c>
      <c r="JK94">
        <v>400</v>
      </c>
      <c r="JL94" s="43">
        <v>-4</v>
      </c>
      <c r="JM94" s="46"/>
      <c r="JN94" s="45">
        <v>448</v>
      </c>
      <c r="JO94" s="48">
        <v>450</v>
      </c>
      <c r="JP94" s="43">
        <v>-2</v>
      </c>
      <c r="JQ94" s="49"/>
      <c r="JT94">
        <v>392</v>
      </c>
      <c r="JU94">
        <v>390</v>
      </c>
      <c r="JV94" s="43">
        <v>2</v>
      </c>
      <c r="JW94" s="49"/>
      <c r="JX94">
        <v>400</v>
      </c>
      <c r="JY94">
        <v>400</v>
      </c>
      <c r="JZ94">
        <v>96</v>
      </c>
      <c r="KA94">
        <v>100</v>
      </c>
      <c r="KB94" s="43">
        <v>-4</v>
      </c>
      <c r="KC94" s="49"/>
      <c r="KH94" s="43">
        <v>0</v>
      </c>
      <c r="KI94" s="49"/>
      <c r="KJ94">
        <v>600</v>
      </c>
      <c r="KK94">
        <v>600</v>
      </c>
      <c r="KL94">
        <v>952</v>
      </c>
      <c r="KM94">
        <v>950</v>
      </c>
      <c r="KN94" s="43">
        <v>2</v>
      </c>
      <c r="KO94" s="49"/>
      <c r="KP94" s="45">
        <v>96</v>
      </c>
      <c r="KQ94">
        <v>100</v>
      </c>
      <c r="KR94">
        <v>200</v>
      </c>
      <c r="KS94">
        <v>200</v>
      </c>
      <c r="KT94">
        <v>136</v>
      </c>
      <c r="KU94">
        <v>140</v>
      </c>
      <c r="KV94" s="43">
        <v>-8</v>
      </c>
      <c r="KW94" s="49"/>
      <c r="KX94" s="48">
        <v>0</v>
      </c>
      <c r="KY94" s="48">
        <v>0</v>
      </c>
      <c r="KZ94" s="48">
        <v>0</v>
      </c>
      <c r="LA94" s="48">
        <v>0</v>
      </c>
      <c r="LB94" s="43">
        <v>0</v>
      </c>
      <c r="LC94" s="49"/>
      <c r="LD94" s="48">
        <v>456</v>
      </c>
      <c r="LE94" s="48">
        <v>460</v>
      </c>
      <c r="LF94" s="48">
        <v>528</v>
      </c>
      <c r="LG94" s="48">
        <v>530</v>
      </c>
      <c r="LH94" s="43">
        <v>-6</v>
      </c>
      <c r="LI94" s="49"/>
      <c r="LJ94" s="50">
        <v>96</v>
      </c>
      <c r="LK94" s="48">
        <v>96</v>
      </c>
      <c r="LL94" s="43">
        <v>0</v>
      </c>
      <c r="LM94" s="49"/>
      <c r="LN94" s="50">
        <v>600</v>
      </c>
      <c r="LO94" s="48">
        <v>600</v>
      </c>
      <c r="LP94" s="48">
        <v>616</v>
      </c>
      <c r="LQ94" s="48">
        <v>0</v>
      </c>
      <c r="LR94" s="48">
        <v>610</v>
      </c>
      <c r="LS94" s="43">
        <v>6</v>
      </c>
      <c r="LT94" s="49"/>
      <c r="LU94" s="50">
        <v>248</v>
      </c>
      <c r="LV94" s="48">
        <v>250</v>
      </c>
      <c r="LW94" s="48">
        <v>256</v>
      </c>
      <c r="LX94" s="48">
        <v>260</v>
      </c>
      <c r="LY94" s="43">
        <v>-6</v>
      </c>
      <c r="LZ94" s="49"/>
      <c r="MA94" s="50">
        <v>448</v>
      </c>
      <c r="MB94" s="48">
        <v>450</v>
      </c>
      <c r="MC94" s="43">
        <v>-2</v>
      </c>
      <c r="MD94" s="49"/>
      <c r="ME94" s="50">
        <v>0</v>
      </c>
      <c r="MF94" s="48">
        <v>0</v>
      </c>
      <c r="MG94" s="48">
        <v>0</v>
      </c>
      <c r="MH94" s="48">
        <v>0</v>
      </c>
      <c r="MI94" s="43">
        <v>0</v>
      </c>
      <c r="MJ94" s="49"/>
      <c r="MK94" s="50">
        <v>1352</v>
      </c>
      <c r="ML94" s="48">
        <v>1350</v>
      </c>
      <c r="MM94" s="43">
        <v>2</v>
      </c>
      <c r="MN94" s="49"/>
      <c r="MO94" s="50">
        <v>0</v>
      </c>
      <c r="MP94" s="48">
        <v>0</v>
      </c>
      <c r="MQ94" s="48">
        <v>0</v>
      </c>
      <c r="MR94" s="48">
        <v>0</v>
      </c>
      <c r="MS94" s="43">
        <v>0</v>
      </c>
      <c r="MT94" s="49"/>
      <c r="MU94" s="48">
        <v>0</v>
      </c>
      <c r="MV94" s="46"/>
      <c r="MW94" s="48">
        <v>0</v>
      </c>
      <c r="MX94" s="48">
        <v>0</v>
      </c>
      <c r="MY94" s="43">
        <v>0</v>
      </c>
      <c r="MZ94" s="49"/>
      <c r="NA94" s="50">
        <v>0</v>
      </c>
      <c r="NB94" s="48">
        <v>0</v>
      </c>
      <c r="NC94" s="48">
        <v>0</v>
      </c>
      <c r="ND94" s="48">
        <v>0</v>
      </c>
      <c r="NE94" s="43">
        <v>0</v>
      </c>
      <c r="NF94" s="49"/>
      <c r="NG94" s="25">
        <v>152</v>
      </c>
      <c r="NH94" s="48">
        <v>0</v>
      </c>
      <c r="NI94" s="48">
        <v>0</v>
      </c>
      <c r="NJ94" s="48">
        <v>0</v>
      </c>
      <c r="NK94" s="43">
        <v>152</v>
      </c>
      <c r="NL94" s="49"/>
      <c r="NM94" s="50">
        <v>1496</v>
      </c>
      <c r="NN94" s="48">
        <v>1500</v>
      </c>
      <c r="NO94" s="48">
        <v>1496</v>
      </c>
      <c r="NP94" s="48">
        <v>1500</v>
      </c>
      <c r="NQ94" s="43">
        <v>-8</v>
      </c>
      <c r="NR94" s="49"/>
      <c r="NS94" s="50">
        <v>248</v>
      </c>
      <c r="NT94" s="48">
        <v>800</v>
      </c>
      <c r="NU94" s="48">
        <v>696</v>
      </c>
      <c r="NV94" s="48">
        <v>700</v>
      </c>
      <c r="NW94" s="42">
        <v>-556</v>
      </c>
      <c r="NX94" s="49">
        <v>194.6</v>
      </c>
      <c r="NY94" s="50">
        <v>352</v>
      </c>
      <c r="NZ94" s="48">
        <v>350</v>
      </c>
      <c r="OA94" s="48">
        <v>352</v>
      </c>
      <c r="OB94" s="48">
        <v>350</v>
      </c>
      <c r="OC94" s="43">
        <v>4</v>
      </c>
      <c r="OD94" s="49"/>
      <c r="OE94" s="50">
        <v>1200</v>
      </c>
      <c r="OF94" s="48">
        <v>1200</v>
      </c>
      <c r="OG94" s="43">
        <v>0</v>
      </c>
      <c r="OH94" s="49"/>
      <c r="OI94" s="50">
        <v>312</v>
      </c>
      <c r="OJ94" s="48">
        <v>311</v>
      </c>
      <c r="OK94" s="43">
        <v>1</v>
      </c>
      <c r="OL94" s="49"/>
      <c r="OM94" s="50">
        <v>0</v>
      </c>
      <c r="ON94" s="48">
        <v>0</v>
      </c>
      <c r="OO94" s="48">
        <v>72</v>
      </c>
      <c r="OP94" s="48">
        <v>71</v>
      </c>
      <c r="OQ94" s="43">
        <v>1</v>
      </c>
      <c r="OR94" s="49"/>
      <c r="OS94" s="50">
        <v>0</v>
      </c>
      <c r="OT94" s="48">
        <v>0</v>
      </c>
      <c r="OU94" s="43">
        <v>0</v>
      </c>
      <c r="OV94" s="49"/>
      <c r="OW94" s="50">
        <v>600</v>
      </c>
      <c r="OX94" s="48">
        <v>600</v>
      </c>
      <c r="OY94" s="48">
        <v>520</v>
      </c>
      <c r="OZ94" s="48">
        <v>520</v>
      </c>
      <c r="PA94" s="43">
        <v>0</v>
      </c>
      <c r="PB94" s="49"/>
      <c r="PC94" s="50">
        <v>80</v>
      </c>
      <c r="PD94" s="48">
        <v>85</v>
      </c>
      <c r="PE94" s="43">
        <v>-5</v>
      </c>
      <c r="PF94" s="49"/>
      <c r="PG94" s="50">
        <v>0</v>
      </c>
      <c r="PH94" s="48">
        <v>0</v>
      </c>
      <c r="PI94" s="48">
        <v>96</v>
      </c>
      <c r="PJ94" s="48">
        <v>100</v>
      </c>
      <c r="PK94" s="43">
        <v>-4</v>
      </c>
      <c r="PL94" s="49"/>
      <c r="PM94" s="47">
        <v>296</v>
      </c>
      <c r="PN94" s="48">
        <v>300</v>
      </c>
      <c r="PO94" s="48">
        <v>360</v>
      </c>
      <c r="PP94" s="48">
        <v>362</v>
      </c>
      <c r="PQ94" s="43">
        <v>-6</v>
      </c>
      <c r="PR94" s="49"/>
      <c r="PS94" s="47">
        <v>152</v>
      </c>
      <c r="PT94" s="43">
        <v>150</v>
      </c>
      <c r="PU94" s="43">
        <v>152</v>
      </c>
      <c r="PV94" s="43">
        <v>150</v>
      </c>
      <c r="PW94" s="43">
        <v>4</v>
      </c>
      <c r="PX94" s="46"/>
      <c r="PY94" s="47">
        <v>544</v>
      </c>
      <c r="PZ94" s="43">
        <v>544</v>
      </c>
      <c r="QA94" s="43">
        <v>0</v>
      </c>
      <c r="QB94" s="46"/>
      <c r="QC94" s="47">
        <v>232</v>
      </c>
      <c r="QD94" s="43">
        <v>236</v>
      </c>
      <c r="QE94" s="43">
        <v>352</v>
      </c>
      <c r="QF94" s="43">
        <v>350</v>
      </c>
      <c r="QG94" s="43">
        <v>-2</v>
      </c>
      <c r="QH94" s="46"/>
      <c r="QI94" s="47">
        <v>96</v>
      </c>
      <c r="QJ94" s="43">
        <v>100</v>
      </c>
      <c r="QK94" s="43">
        <v>0</v>
      </c>
      <c r="QL94" s="43">
        <v>0</v>
      </c>
      <c r="QM94" s="43">
        <v>-4</v>
      </c>
      <c r="QN94" s="46"/>
      <c r="QO94" s="47">
        <v>304</v>
      </c>
      <c r="QP94" s="43">
        <v>305</v>
      </c>
      <c r="QQ94" s="43">
        <v>696</v>
      </c>
      <c r="QR94" s="43">
        <v>500</v>
      </c>
      <c r="QS94" s="43">
        <v>195</v>
      </c>
      <c r="QT94" s="46"/>
      <c r="QU94" s="47">
        <v>192</v>
      </c>
      <c r="QV94" s="43">
        <v>192</v>
      </c>
      <c r="QW94" s="43">
        <v>0</v>
      </c>
      <c r="QX94" s="46"/>
      <c r="QY94" s="47">
        <v>0</v>
      </c>
      <c r="QZ94" s="43">
        <v>0</v>
      </c>
      <c r="RA94" s="43">
        <v>0</v>
      </c>
      <c r="RB94" s="43">
        <v>0</v>
      </c>
      <c r="RC94" s="43">
        <v>0</v>
      </c>
      <c r="RD94" s="46"/>
    </row>
    <row r="95" spans="1:472" x14ac:dyDescent="0.25">
      <c r="A95" s="43" t="s">
        <v>383</v>
      </c>
      <c r="B95" s="44">
        <v>0.28000000000000003</v>
      </c>
      <c r="I95" s="47"/>
      <c r="J95" s="51"/>
      <c r="K95" s="51"/>
      <c r="L95" s="51"/>
      <c r="M95" s="51">
        <f t="shared" si="12"/>
        <v>0</v>
      </c>
      <c r="N95" s="46"/>
      <c r="O95" s="47"/>
      <c r="P95" s="51"/>
      <c r="Q95" s="51"/>
      <c r="R95" s="51"/>
      <c r="S95" s="51">
        <f t="shared" si="13"/>
        <v>0</v>
      </c>
      <c r="T95" s="46"/>
      <c r="U95" s="47"/>
      <c r="V95" s="51"/>
      <c r="W95" s="51"/>
      <c r="X95" s="51"/>
      <c r="Y95" s="51">
        <f t="shared" si="14"/>
        <v>0</v>
      </c>
      <c r="Z95" s="46"/>
      <c r="AA95" s="51"/>
      <c r="AE95" s="43">
        <v>0</v>
      </c>
      <c r="AF95" s="46"/>
      <c r="AG95" s="47"/>
      <c r="AK95" s="43">
        <v>0</v>
      </c>
      <c r="AL95" s="46"/>
      <c r="AQ95" s="43">
        <v>0</v>
      </c>
      <c r="AR95" s="46"/>
      <c r="AW95" s="43">
        <v>0</v>
      </c>
      <c r="AX95" s="46"/>
      <c r="AY95" s="47"/>
      <c r="BC95" s="43">
        <v>0</v>
      </c>
      <c r="BD95" s="46"/>
      <c r="BE95" s="47"/>
      <c r="BI95" s="43">
        <v>0</v>
      </c>
      <c r="BJ95" s="46"/>
      <c r="BP95" s="43">
        <v>0</v>
      </c>
      <c r="BQ95" s="46"/>
      <c r="BT95" s="43">
        <v>0</v>
      </c>
      <c r="BU95" s="46"/>
      <c r="BV95" s="47"/>
      <c r="BZ95" s="43">
        <v>0</v>
      </c>
      <c r="CA95" s="46"/>
      <c r="CF95" s="43">
        <v>0</v>
      </c>
      <c r="CG95" s="46"/>
      <c r="CL95" s="43">
        <v>0</v>
      </c>
      <c r="CM95" s="46"/>
      <c r="CN95" s="47"/>
      <c r="CR95" s="43">
        <v>0</v>
      </c>
      <c r="CS95" s="46"/>
      <c r="CX95" s="43">
        <v>0</v>
      </c>
      <c r="CY95" s="46"/>
      <c r="CZ95" s="47"/>
      <c r="DD95" s="43">
        <v>0</v>
      </c>
      <c r="DE95" s="46"/>
      <c r="DF95" s="47"/>
      <c r="DL95" s="43">
        <v>0</v>
      </c>
      <c r="DM95" s="46"/>
      <c r="DN95" s="47"/>
      <c r="DR95" s="43">
        <v>0</v>
      </c>
      <c r="DS95" s="46"/>
      <c r="DZ95" s="43">
        <v>0</v>
      </c>
      <c r="EA95" s="46"/>
      <c r="EB95" s="47"/>
      <c r="EF95" s="43">
        <v>0</v>
      </c>
      <c r="EG95" s="46"/>
      <c r="EH95" s="47"/>
      <c r="EL95" s="43">
        <v>0</v>
      </c>
      <c r="EM95" s="46"/>
      <c r="EN95" s="47"/>
      <c r="ER95" s="43">
        <v>0</v>
      </c>
      <c r="ES95" s="46"/>
      <c r="EZ95" s="43">
        <v>0</v>
      </c>
      <c r="FA95" s="46"/>
      <c r="FG95" s="43">
        <v>0</v>
      </c>
      <c r="FH95" s="46"/>
      <c r="FI95" s="47"/>
      <c r="FL95" s="43">
        <v>0</v>
      </c>
      <c r="FM95" s="46"/>
      <c r="FN95" s="47"/>
      <c r="FQ95" s="43">
        <v>0</v>
      </c>
      <c r="FR95" s="46"/>
      <c r="FW95" s="43">
        <v>0</v>
      </c>
      <c r="FX95" s="46"/>
      <c r="FY95" s="47"/>
      <c r="GD95" s="43">
        <v>0</v>
      </c>
      <c r="GE95" s="46"/>
      <c r="GG95" s="38">
        <v>130</v>
      </c>
      <c r="GI95" s="38">
        <v>130</v>
      </c>
      <c r="GJ95" s="43">
        <v>-4</v>
      </c>
      <c r="GK95" s="46"/>
      <c r="GL95" s="47"/>
      <c r="GP95" s="43">
        <v>0</v>
      </c>
      <c r="GQ95" s="46"/>
      <c r="GT95">
        <v>72</v>
      </c>
      <c r="GU95">
        <v>70</v>
      </c>
      <c r="GV95" s="43">
        <v>2</v>
      </c>
      <c r="GW95" s="46"/>
      <c r="GX95" s="45">
        <v>176</v>
      </c>
      <c r="GY95" s="48">
        <v>180</v>
      </c>
      <c r="GZ95" s="43">
        <v>-4</v>
      </c>
      <c r="HA95" s="46"/>
      <c r="HB95" s="47"/>
      <c r="HD95">
        <v>8</v>
      </c>
      <c r="HE95">
        <v>10</v>
      </c>
      <c r="HF95" s="43">
        <v>-2</v>
      </c>
      <c r="HG95" s="46"/>
      <c r="HH95" s="45">
        <v>32</v>
      </c>
      <c r="HI95">
        <v>30</v>
      </c>
      <c r="HJ95" s="43">
        <v>2</v>
      </c>
      <c r="HK95" s="46"/>
      <c r="HL95" s="45">
        <v>96</v>
      </c>
      <c r="HM95">
        <v>100</v>
      </c>
      <c r="HN95">
        <v>96</v>
      </c>
      <c r="HO95">
        <v>100</v>
      </c>
      <c r="HP95" s="43">
        <v>-8</v>
      </c>
      <c r="HQ95" s="46"/>
      <c r="HX95" s="43">
        <v>0</v>
      </c>
      <c r="HY95" s="46"/>
      <c r="HZ95" s="47"/>
      <c r="IC95">
        <v>8</v>
      </c>
      <c r="ID95" s="42">
        <v>-8</v>
      </c>
      <c r="IE95" s="49">
        <v>2.2400000000000002</v>
      </c>
      <c r="IF95">
        <v>96</v>
      </c>
      <c r="IG95">
        <v>100</v>
      </c>
      <c r="IH95">
        <v>176</v>
      </c>
      <c r="II95">
        <v>180</v>
      </c>
      <c r="IJ95" s="43">
        <v>-8</v>
      </c>
      <c r="IK95" s="49"/>
      <c r="IN95">
        <v>56</v>
      </c>
      <c r="IO95">
        <v>60</v>
      </c>
      <c r="IP95" s="43">
        <v>-4</v>
      </c>
      <c r="IQ95" s="49"/>
      <c r="IR95">
        <v>96</v>
      </c>
      <c r="IS95">
        <v>100</v>
      </c>
      <c r="IT95">
        <v>64</v>
      </c>
      <c r="IU95">
        <v>80</v>
      </c>
      <c r="IV95" s="42">
        <v>-20</v>
      </c>
      <c r="IW95" s="49">
        <v>5.6000000000000014</v>
      </c>
      <c r="IX95">
        <v>40</v>
      </c>
      <c r="IY95">
        <v>40</v>
      </c>
      <c r="JB95" s="43">
        <v>0</v>
      </c>
      <c r="JC95" s="46"/>
      <c r="JD95">
        <v>72</v>
      </c>
      <c r="JE95">
        <v>70</v>
      </c>
      <c r="JF95" s="43">
        <v>2</v>
      </c>
      <c r="JG95" s="49"/>
      <c r="JJ95">
        <v>96</v>
      </c>
      <c r="JK95">
        <v>94</v>
      </c>
      <c r="JL95" s="43">
        <v>2</v>
      </c>
      <c r="JM95" s="46"/>
      <c r="JN95" s="50"/>
      <c r="JP95" s="43">
        <v>0</v>
      </c>
      <c r="JQ95" s="49"/>
      <c r="JT95">
        <v>96</v>
      </c>
      <c r="JU95">
        <v>100</v>
      </c>
      <c r="JV95" s="43">
        <v>-4</v>
      </c>
      <c r="JW95" s="49"/>
      <c r="KB95" s="43">
        <v>0</v>
      </c>
      <c r="KC95" s="49"/>
      <c r="KF95">
        <v>48</v>
      </c>
      <c r="KG95">
        <v>50</v>
      </c>
      <c r="KH95" s="43">
        <v>-2</v>
      </c>
      <c r="KI95" s="49"/>
      <c r="KN95" s="43">
        <v>0</v>
      </c>
      <c r="KO95" s="49"/>
      <c r="KP95" s="45">
        <v>72</v>
      </c>
      <c r="KQ95">
        <v>70</v>
      </c>
      <c r="KR95">
        <v>80</v>
      </c>
      <c r="KS95">
        <v>80</v>
      </c>
      <c r="KT95">
        <v>80</v>
      </c>
      <c r="KU95">
        <v>80</v>
      </c>
      <c r="KV95" s="43">
        <v>2</v>
      </c>
      <c r="KW95" s="49"/>
      <c r="KX95" s="48">
        <v>0</v>
      </c>
      <c r="KY95" s="48">
        <v>0</v>
      </c>
      <c r="KZ95" s="48">
        <v>24</v>
      </c>
      <c r="LA95" s="48">
        <v>24</v>
      </c>
      <c r="LB95" s="43">
        <v>0</v>
      </c>
      <c r="LC95" s="49"/>
      <c r="LD95" s="48">
        <v>0</v>
      </c>
      <c r="LE95" s="48">
        <v>0</v>
      </c>
      <c r="LF95" s="48">
        <v>0</v>
      </c>
      <c r="LG95" s="48">
        <v>0</v>
      </c>
      <c r="LH95" s="43">
        <v>0</v>
      </c>
      <c r="LI95" s="49"/>
      <c r="LJ95" s="50">
        <v>128</v>
      </c>
      <c r="LK95" s="48">
        <v>130</v>
      </c>
      <c r="LL95" s="43">
        <v>-2</v>
      </c>
      <c r="LM95" s="49"/>
      <c r="LN95" s="50">
        <v>48</v>
      </c>
      <c r="LO95" s="48">
        <v>50</v>
      </c>
      <c r="LP95" s="48">
        <v>72</v>
      </c>
      <c r="LQ95" s="48">
        <v>0</v>
      </c>
      <c r="LR95" s="48">
        <v>70</v>
      </c>
      <c r="LS95" s="43">
        <v>0</v>
      </c>
      <c r="LT95" s="49"/>
      <c r="LU95" s="50">
        <v>32</v>
      </c>
      <c r="LV95" s="48">
        <v>32</v>
      </c>
      <c r="LW95" s="48">
        <v>0</v>
      </c>
      <c r="LX95" s="48">
        <v>0</v>
      </c>
      <c r="LY95" s="43">
        <v>0</v>
      </c>
      <c r="LZ95" s="49"/>
      <c r="MA95" s="50">
        <v>176</v>
      </c>
      <c r="MB95" s="48">
        <v>180</v>
      </c>
      <c r="MC95" s="43">
        <v>-4</v>
      </c>
      <c r="MD95" s="49"/>
      <c r="ME95" s="50">
        <v>0</v>
      </c>
      <c r="MF95" s="48">
        <v>0</v>
      </c>
      <c r="MG95" s="48">
        <v>48</v>
      </c>
      <c r="MH95" s="48">
        <v>47</v>
      </c>
      <c r="MI95" s="43">
        <v>1</v>
      </c>
      <c r="MJ95" s="49"/>
      <c r="MK95" s="50">
        <v>128</v>
      </c>
      <c r="ML95" s="48">
        <v>130</v>
      </c>
      <c r="MM95" s="43">
        <v>-2</v>
      </c>
      <c r="MN95" s="49"/>
      <c r="MO95" s="50">
        <v>0</v>
      </c>
      <c r="MP95" s="48">
        <v>0</v>
      </c>
      <c r="MQ95" s="48">
        <v>0</v>
      </c>
      <c r="MR95" s="48">
        <v>0</v>
      </c>
      <c r="MS95" s="43">
        <v>0</v>
      </c>
      <c r="MT95" s="49"/>
      <c r="MU95" s="48">
        <v>0</v>
      </c>
      <c r="MV95" s="46"/>
      <c r="MW95" s="48">
        <v>152</v>
      </c>
      <c r="MX95" s="48">
        <v>150</v>
      </c>
      <c r="MY95" s="43">
        <v>2</v>
      </c>
      <c r="MZ95" s="49"/>
      <c r="NA95" s="50">
        <v>0</v>
      </c>
      <c r="NB95" s="48">
        <v>0</v>
      </c>
      <c r="NC95" s="48">
        <v>32</v>
      </c>
      <c r="ND95" s="48">
        <v>30</v>
      </c>
      <c r="NE95" s="43">
        <v>2</v>
      </c>
      <c r="NF95" s="49"/>
      <c r="NG95" s="50">
        <v>0</v>
      </c>
      <c r="NH95" s="48">
        <v>0</v>
      </c>
      <c r="NI95" s="48">
        <v>0</v>
      </c>
      <c r="NJ95" s="48">
        <v>0</v>
      </c>
      <c r="NK95" s="43">
        <v>0</v>
      </c>
      <c r="NL95" s="49"/>
      <c r="NM95" s="50">
        <v>120</v>
      </c>
      <c r="NN95" s="48">
        <v>120</v>
      </c>
      <c r="NO95" s="48">
        <v>160</v>
      </c>
      <c r="NP95" s="48">
        <v>160</v>
      </c>
      <c r="NQ95" s="43">
        <v>0</v>
      </c>
      <c r="NR95" s="49"/>
      <c r="NS95" s="50">
        <v>0</v>
      </c>
      <c r="NT95" s="48">
        <v>0</v>
      </c>
      <c r="NU95" s="48">
        <v>16</v>
      </c>
      <c r="NV95" s="48">
        <v>16</v>
      </c>
      <c r="NW95" s="43">
        <v>0</v>
      </c>
      <c r="NX95" s="49"/>
      <c r="NY95" s="50">
        <v>0</v>
      </c>
      <c r="NZ95" s="48">
        <v>0</v>
      </c>
      <c r="OA95" s="48">
        <v>56</v>
      </c>
      <c r="OB95" s="48">
        <v>60</v>
      </c>
      <c r="OC95" s="43">
        <v>-4</v>
      </c>
      <c r="OD95" s="49"/>
      <c r="OE95" s="50">
        <v>184</v>
      </c>
      <c r="OF95" s="48">
        <v>184</v>
      </c>
      <c r="OG95" s="43">
        <v>0</v>
      </c>
      <c r="OH95" s="49"/>
      <c r="OI95" s="50">
        <v>0</v>
      </c>
      <c r="OJ95" s="48">
        <v>0</v>
      </c>
      <c r="OK95" s="43">
        <v>0</v>
      </c>
      <c r="OL95" s="49"/>
      <c r="OM95" s="50">
        <v>0</v>
      </c>
      <c r="ON95" s="48">
        <v>0</v>
      </c>
      <c r="OO95" s="48">
        <v>136</v>
      </c>
      <c r="OP95" s="48">
        <v>140</v>
      </c>
      <c r="OQ95" s="43">
        <v>-4</v>
      </c>
      <c r="OR95" s="49"/>
      <c r="OS95" s="50">
        <v>0</v>
      </c>
      <c r="OT95" s="33">
        <v>150</v>
      </c>
      <c r="OU95" s="42">
        <v>-150</v>
      </c>
      <c r="OV95" s="49">
        <v>42.000000000000007</v>
      </c>
      <c r="OW95" s="50">
        <v>0</v>
      </c>
      <c r="OX95" s="48">
        <v>0</v>
      </c>
      <c r="OY95" s="48">
        <v>112</v>
      </c>
      <c r="OZ95" s="48">
        <v>110</v>
      </c>
      <c r="PA95" s="43">
        <v>2</v>
      </c>
      <c r="PB95" s="49"/>
      <c r="PC95" s="50">
        <v>0</v>
      </c>
      <c r="PD95" s="48">
        <v>0</v>
      </c>
      <c r="PE95" s="43">
        <v>0</v>
      </c>
      <c r="PF95" s="49"/>
      <c r="PG95" s="50">
        <v>0</v>
      </c>
      <c r="PH95" s="48">
        <v>0</v>
      </c>
      <c r="PI95" s="48">
        <v>40</v>
      </c>
      <c r="PJ95" s="48">
        <v>40</v>
      </c>
      <c r="PK95" s="43">
        <v>0</v>
      </c>
      <c r="PL95" s="49"/>
      <c r="PM95" s="47">
        <v>0</v>
      </c>
      <c r="PN95" s="48">
        <v>0</v>
      </c>
      <c r="PO95" s="48">
        <v>48</v>
      </c>
      <c r="PP95" s="48">
        <v>50</v>
      </c>
      <c r="PQ95" s="43">
        <v>-2</v>
      </c>
      <c r="PR95" s="49"/>
      <c r="PS95" s="47">
        <v>56</v>
      </c>
      <c r="PT95" s="43">
        <v>60</v>
      </c>
      <c r="PU95" s="43">
        <v>0</v>
      </c>
      <c r="PV95" s="43">
        <v>0</v>
      </c>
      <c r="PW95" s="43">
        <v>-4</v>
      </c>
      <c r="PX95" s="46"/>
      <c r="PY95" s="47">
        <v>152</v>
      </c>
      <c r="PZ95" s="43">
        <v>150</v>
      </c>
      <c r="QA95" s="43">
        <v>2</v>
      </c>
      <c r="QB95" s="46"/>
      <c r="QC95" s="47">
        <v>0</v>
      </c>
      <c r="QD95" s="43">
        <v>0</v>
      </c>
      <c r="QE95" s="43">
        <v>0</v>
      </c>
      <c r="QF95" s="43">
        <v>0</v>
      </c>
      <c r="QG95" s="43">
        <v>0</v>
      </c>
      <c r="QH95" s="46"/>
      <c r="QI95" s="47">
        <v>0</v>
      </c>
      <c r="QJ95" s="43">
        <v>0</v>
      </c>
      <c r="QK95" s="43">
        <v>0</v>
      </c>
      <c r="QL95" s="43">
        <v>0</v>
      </c>
      <c r="QM95" s="43">
        <v>0</v>
      </c>
      <c r="QN95" s="46"/>
      <c r="QO95" s="47">
        <v>0</v>
      </c>
      <c r="QP95" s="43">
        <v>0</v>
      </c>
      <c r="QQ95" s="43">
        <v>152</v>
      </c>
      <c r="QR95" s="43">
        <v>0</v>
      </c>
      <c r="QS95" s="43">
        <v>152</v>
      </c>
      <c r="QT95" s="46"/>
      <c r="QU95" s="47">
        <v>0</v>
      </c>
      <c r="QV95" s="43">
        <v>0</v>
      </c>
      <c r="QW95" s="43">
        <v>0</v>
      </c>
      <c r="QX95" s="46"/>
      <c r="QY95" s="47">
        <v>0</v>
      </c>
      <c r="QZ95" s="43">
        <v>0</v>
      </c>
      <c r="RA95" s="43">
        <v>0</v>
      </c>
      <c r="RB95" s="43">
        <v>0</v>
      </c>
      <c r="RC95" s="43">
        <v>0</v>
      </c>
      <c r="RD95" s="46"/>
    </row>
    <row r="96" spans="1:472" x14ac:dyDescent="0.25">
      <c r="A96" s="43" t="s">
        <v>384</v>
      </c>
      <c r="B96" s="44">
        <v>0.41</v>
      </c>
      <c r="I96" s="45">
        <v>360</v>
      </c>
      <c r="J96" s="52">
        <v>360</v>
      </c>
      <c r="K96" s="52">
        <v>376</v>
      </c>
      <c r="L96" s="52">
        <v>378</v>
      </c>
      <c r="M96" s="51">
        <f t="shared" si="12"/>
        <v>-2</v>
      </c>
      <c r="N96" s="46"/>
      <c r="O96" s="45">
        <v>256</v>
      </c>
      <c r="P96" s="52">
        <v>260</v>
      </c>
      <c r="Q96" s="52">
        <v>320</v>
      </c>
      <c r="R96" s="52">
        <v>319</v>
      </c>
      <c r="S96" s="51">
        <f t="shared" si="13"/>
        <v>-3</v>
      </c>
      <c r="T96" s="46"/>
      <c r="U96" s="47"/>
      <c r="V96" s="51"/>
      <c r="W96" s="51"/>
      <c r="X96" s="51"/>
      <c r="Y96" s="51">
        <f t="shared" si="14"/>
        <v>0</v>
      </c>
      <c r="Z96" s="46"/>
      <c r="AA96" s="52">
        <v>216</v>
      </c>
      <c r="AB96">
        <v>220</v>
      </c>
      <c r="AC96">
        <v>272</v>
      </c>
      <c r="AD96">
        <v>270</v>
      </c>
      <c r="AE96" s="43">
        <v>-2</v>
      </c>
      <c r="AF96" s="46"/>
      <c r="AG96" s="45">
        <v>96</v>
      </c>
      <c r="AH96">
        <v>100</v>
      </c>
      <c r="AI96">
        <v>40</v>
      </c>
      <c r="AJ96">
        <v>44</v>
      </c>
      <c r="AK96" s="43">
        <v>-8</v>
      </c>
      <c r="AL96" s="46"/>
      <c r="AM96">
        <v>352</v>
      </c>
      <c r="AN96">
        <v>350</v>
      </c>
      <c r="AO96">
        <v>376</v>
      </c>
      <c r="AP96">
        <v>374</v>
      </c>
      <c r="AQ96" s="43">
        <v>4</v>
      </c>
      <c r="AR96" s="46"/>
      <c r="AS96">
        <v>168</v>
      </c>
      <c r="AT96">
        <v>170</v>
      </c>
      <c r="AU96">
        <v>168</v>
      </c>
      <c r="AV96">
        <v>169</v>
      </c>
      <c r="AW96" s="43">
        <v>-3</v>
      </c>
      <c r="AX96" s="46"/>
      <c r="AY96" s="45">
        <v>72</v>
      </c>
      <c r="AZ96">
        <v>72</v>
      </c>
      <c r="BA96">
        <v>136</v>
      </c>
      <c r="BB96">
        <v>138</v>
      </c>
      <c r="BC96" s="43">
        <v>-2</v>
      </c>
      <c r="BD96" s="46"/>
      <c r="BE96" s="45">
        <v>152</v>
      </c>
      <c r="BF96">
        <v>150</v>
      </c>
      <c r="BG96">
        <v>160</v>
      </c>
      <c r="BH96">
        <v>160</v>
      </c>
      <c r="BI96" s="43">
        <v>2</v>
      </c>
      <c r="BJ96" s="46"/>
      <c r="BK96">
        <v>352</v>
      </c>
      <c r="BL96">
        <v>350</v>
      </c>
      <c r="BN96">
        <v>376</v>
      </c>
      <c r="BO96">
        <v>375</v>
      </c>
      <c r="BP96" s="43">
        <v>3</v>
      </c>
      <c r="BQ96" s="46"/>
      <c r="BR96">
        <v>96</v>
      </c>
      <c r="BS96">
        <v>100</v>
      </c>
      <c r="BT96" s="43">
        <v>-4</v>
      </c>
      <c r="BU96" s="46"/>
      <c r="BV96" s="45">
        <v>272</v>
      </c>
      <c r="BW96">
        <v>274</v>
      </c>
      <c r="BX96">
        <v>216</v>
      </c>
      <c r="BY96">
        <v>214</v>
      </c>
      <c r="BZ96" s="43">
        <v>0</v>
      </c>
      <c r="CA96" s="46"/>
      <c r="CB96">
        <v>200</v>
      </c>
      <c r="CC96">
        <v>200</v>
      </c>
      <c r="CD96">
        <v>328</v>
      </c>
      <c r="CE96">
        <v>329</v>
      </c>
      <c r="CF96" s="43">
        <v>-1</v>
      </c>
      <c r="CG96" s="46"/>
      <c r="CJ96">
        <v>88</v>
      </c>
      <c r="CK96">
        <v>88</v>
      </c>
      <c r="CL96" s="43">
        <v>0</v>
      </c>
      <c r="CM96" s="46"/>
      <c r="CN96" s="47"/>
      <c r="CP96">
        <v>552</v>
      </c>
      <c r="CQ96">
        <v>556</v>
      </c>
      <c r="CR96" s="43">
        <v>-4</v>
      </c>
      <c r="CS96" s="46"/>
      <c r="CX96" s="43">
        <v>0</v>
      </c>
      <c r="CY96" s="46"/>
      <c r="CZ96" s="47"/>
      <c r="DB96">
        <v>192</v>
      </c>
      <c r="DC96">
        <v>196</v>
      </c>
      <c r="DD96" s="43">
        <v>-4</v>
      </c>
      <c r="DE96" s="46"/>
      <c r="DF96" s="47"/>
      <c r="DH96">
        <v>200</v>
      </c>
      <c r="DI96">
        <v>200</v>
      </c>
      <c r="DJ96">
        <v>208</v>
      </c>
      <c r="DK96">
        <v>210</v>
      </c>
      <c r="DL96" s="43">
        <v>-2</v>
      </c>
      <c r="DM96" s="46"/>
      <c r="DN96" s="45">
        <v>200</v>
      </c>
      <c r="DO96">
        <v>200</v>
      </c>
      <c r="DP96">
        <v>152</v>
      </c>
      <c r="DQ96">
        <v>150</v>
      </c>
      <c r="DR96" s="43">
        <v>2</v>
      </c>
      <c r="DS96" s="46"/>
      <c r="DT96">
        <v>96</v>
      </c>
      <c r="DU96">
        <v>100</v>
      </c>
      <c r="DV96">
        <v>240</v>
      </c>
      <c r="DW96">
        <v>240</v>
      </c>
      <c r="DX96">
        <v>96</v>
      </c>
      <c r="DY96">
        <v>100</v>
      </c>
      <c r="DZ96" s="43">
        <v>-8</v>
      </c>
      <c r="EA96" s="46"/>
      <c r="EB96" s="47"/>
      <c r="ED96">
        <v>96</v>
      </c>
      <c r="EE96">
        <v>100</v>
      </c>
      <c r="EF96" s="43">
        <v>-4</v>
      </c>
      <c r="EG96" s="46"/>
      <c r="EH96" s="47"/>
      <c r="EJ96">
        <v>392</v>
      </c>
      <c r="EK96">
        <v>390</v>
      </c>
      <c r="EL96" s="43">
        <v>2</v>
      </c>
      <c r="EM96" s="46"/>
      <c r="EN96" s="45">
        <v>120</v>
      </c>
      <c r="EO96">
        <v>120</v>
      </c>
      <c r="EP96">
        <v>112</v>
      </c>
      <c r="EQ96">
        <v>110</v>
      </c>
      <c r="ER96" s="43">
        <v>2</v>
      </c>
      <c r="ES96" s="46"/>
      <c r="ET96">
        <v>120</v>
      </c>
      <c r="EU96">
        <v>120</v>
      </c>
      <c r="EV96">
        <v>120</v>
      </c>
      <c r="EW96">
        <v>120</v>
      </c>
      <c r="EX96">
        <v>160</v>
      </c>
      <c r="EY96">
        <v>160</v>
      </c>
      <c r="EZ96" s="43">
        <v>0</v>
      </c>
      <c r="FA96" s="46"/>
      <c r="FD96">
        <v>56</v>
      </c>
      <c r="FF96">
        <v>60</v>
      </c>
      <c r="FG96" s="43">
        <v>-4</v>
      </c>
      <c r="FH96" s="46"/>
      <c r="FI96" s="47"/>
      <c r="FL96" s="43">
        <v>0</v>
      </c>
      <c r="FM96" s="46"/>
      <c r="FN96" s="45">
        <v>184</v>
      </c>
      <c r="FP96">
        <v>187</v>
      </c>
      <c r="FQ96" s="43">
        <v>-3</v>
      </c>
      <c r="FR96" s="46"/>
      <c r="FS96">
        <v>160</v>
      </c>
      <c r="FV96">
        <v>160</v>
      </c>
      <c r="FW96" s="43">
        <v>0</v>
      </c>
      <c r="FX96" s="46"/>
      <c r="FY96" s="45">
        <v>152</v>
      </c>
      <c r="GA96">
        <v>150</v>
      </c>
      <c r="GB96">
        <v>176</v>
      </c>
      <c r="GC96">
        <v>180</v>
      </c>
      <c r="GD96" s="43">
        <v>-2</v>
      </c>
      <c r="GE96" s="46"/>
      <c r="GJ96" s="43">
        <v>0</v>
      </c>
      <c r="GK96" s="46"/>
      <c r="GL96" s="47"/>
      <c r="GN96">
        <v>616</v>
      </c>
      <c r="GO96">
        <v>620</v>
      </c>
      <c r="GP96" s="43">
        <v>-4</v>
      </c>
      <c r="GQ96" s="46"/>
      <c r="GR96">
        <v>152</v>
      </c>
      <c r="GS96">
        <v>150</v>
      </c>
      <c r="GT96">
        <v>152</v>
      </c>
      <c r="GU96">
        <v>150</v>
      </c>
      <c r="GV96" s="43">
        <v>4</v>
      </c>
      <c r="GW96" s="46"/>
      <c r="GX96" s="47"/>
      <c r="GZ96" s="43">
        <v>0</v>
      </c>
      <c r="HA96" s="46"/>
      <c r="HB96" s="45">
        <v>96</v>
      </c>
      <c r="HC96">
        <v>100</v>
      </c>
      <c r="HD96">
        <v>160</v>
      </c>
      <c r="HE96">
        <v>160</v>
      </c>
      <c r="HF96" s="43">
        <v>-4</v>
      </c>
      <c r="HG96" s="46"/>
      <c r="HH96" s="45">
        <v>200</v>
      </c>
      <c r="HI96">
        <v>200</v>
      </c>
      <c r="HJ96" s="43">
        <v>0</v>
      </c>
      <c r="HK96" s="46"/>
      <c r="HL96" s="45">
        <v>200</v>
      </c>
      <c r="HM96">
        <v>200</v>
      </c>
      <c r="HN96">
        <v>200</v>
      </c>
      <c r="HO96">
        <v>200</v>
      </c>
      <c r="HP96" s="43">
        <v>0</v>
      </c>
      <c r="HQ96" s="46"/>
      <c r="HV96">
        <v>192</v>
      </c>
      <c r="HW96">
        <v>190</v>
      </c>
      <c r="HX96" s="43">
        <v>2</v>
      </c>
      <c r="HY96" s="46"/>
      <c r="HZ96" s="45">
        <v>152</v>
      </c>
      <c r="IA96">
        <v>150</v>
      </c>
      <c r="IB96">
        <v>120</v>
      </c>
      <c r="IC96">
        <v>120</v>
      </c>
      <c r="ID96" s="43">
        <v>2</v>
      </c>
      <c r="IE96" s="46"/>
      <c r="IF96">
        <v>200</v>
      </c>
      <c r="IG96">
        <v>200</v>
      </c>
      <c r="IH96">
        <v>240</v>
      </c>
      <c r="II96">
        <v>240</v>
      </c>
      <c r="IJ96" s="43">
        <v>0</v>
      </c>
      <c r="IK96" s="49"/>
      <c r="IL96">
        <v>152</v>
      </c>
      <c r="IM96">
        <v>150</v>
      </c>
      <c r="IN96">
        <v>232</v>
      </c>
      <c r="IO96">
        <v>230</v>
      </c>
      <c r="IP96" s="43">
        <v>4</v>
      </c>
      <c r="IQ96" s="49"/>
      <c r="IV96" s="43">
        <v>0</v>
      </c>
      <c r="IW96" s="49"/>
      <c r="IX96">
        <v>352</v>
      </c>
      <c r="IY96">
        <v>350</v>
      </c>
      <c r="IZ96">
        <v>296</v>
      </c>
      <c r="JA96">
        <v>300</v>
      </c>
      <c r="JB96" s="43">
        <v>-2</v>
      </c>
      <c r="JC96" s="46"/>
      <c r="JD96">
        <v>152</v>
      </c>
      <c r="JE96">
        <v>156</v>
      </c>
      <c r="JF96" s="43">
        <v>-4</v>
      </c>
      <c r="JG96" s="49"/>
      <c r="JJ96">
        <v>128</v>
      </c>
      <c r="JK96">
        <v>128</v>
      </c>
      <c r="JL96" s="43">
        <v>0</v>
      </c>
      <c r="JM96" s="46"/>
      <c r="JN96" s="45">
        <v>200</v>
      </c>
      <c r="JO96" s="48">
        <v>200</v>
      </c>
      <c r="JP96" s="43">
        <v>0</v>
      </c>
      <c r="JQ96" s="49"/>
      <c r="JT96">
        <v>72</v>
      </c>
      <c r="JU96">
        <v>76</v>
      </c>
      <c r="JV96" s="43">
        <v>-4</v>
      </c>
      <c r="JW96" s="49"/>
      <c r="JX96">
        <v>88</v>
      </c>
      <c r="JY96">
        <v>90</v>
      </c>
      <c r="KB96" s="43">
        <v>-2</v>
      </c>
      <c r="KC96" s="49"/>
      <c r="KD96">
        <v>96</v>
      </c>
      <c r="KE96">
        <v>100</v>
      </c>
      <c r="KF96">
        <v>136</v>
      </c>
      <c r="KG96">
        <v>140</v>
      </c>
      <c r="KH96" s="43">
        <v>-8</v>
      </c>
      <c r="KI96" s="49"/>
      <c r="KJ96">
        <v>96</v>
      </c>
      <c r="KK96">
        <v>100</v>
      </c>
      <c r="KL96">
        <v>256</v>
      </c>
      <c r="KM96">
        <v>260</v>
      </c>
      <c r="KN96" s="43">
        <v>-8</v>
      </c>
      <c r="KO96" s="49"/>
      <c r="KP96" s="45">
        <v>48</v>
      </c>
      <c r="KQ96">
        <v>50</v>
      </c>
      <c r="KR96">
        <v>48</v>
      </c>
      <c r="KS96">
        <v>50</v>
      </c>
      <c r="KT96">
        <v>48</v>
      </c>
      <c r="KU96">
        <v>50</v>
      </c>
      <c r="KV96" s="43">
        <v>-6</v>
      </c>
      <c r="KW96" s="49"/>
      <c r="KX96" s="48">
        <v>208</v>
      </c>
      <c r="KY96" s="48">
        <v>210</v>
      </c>
      <c r="KZ96" s="48">
        <v>296</v>
      </c>
      <c r="LA96" s="48">
        <v>300</v>
      </c>
      <c r="LB96" s="43">
        <v>-6</v>
      </c>
      <c r="LC96" s="49"/>
      <c r="LD96" s="48">
        <v>96</v>
      </c>
      <c r="LE96" s="48">
        <v>100</v>
      </c>
      <c r="LF96" s="48">
        <v>96</v>
      </c>
      <c r="LG96" s="48">
        <v>100</v>
      </c>
      <c r="LH96" s="43">
        <v>-8</v>
      </c>
      <c r="LI96" s="49"/>
      <c r="LJ96" s="50">
        <v>0</v>
      </c>
      <c r="LK96" s="48">
        <v>0</v>
      </c>
      <c r="LL96" s="43">
        <v>0</v>
      </c>
      <c r="LM96" s="49"/>
      <c r="LN96" s="50">
        <v>248</v>
      </c>
      <c r="LO96" s="48">
        <v>250</v>
      </c>
      <c r="LP96" s="48">
        <v>232</v>
      </c>
      <c r="LQ96" s="48">
        <v>0</v>
      </c>
      <c r="LR96" s="48">
        <v>230</v>
      </c>
      <c r="LS96" s="43">
        <v>0</v>
      </c>
      <c r="LT96" s="49"/>
      <c r="LU96" s="50">
        <v>120</v>
      </c>
      <c r="LV96" s="48">
        <v>120</v>
      </c>
      <c r="LW96" s="48">
        <v>152</v>
      </c>
      <c r="LX96" s="48">
        <v>150</v>
      </c>
      <c r="LY96" s="43">
        <v>2</v>
      </c>
      <c r="LZ96" s="49"/>
      <c r="MA96" s="50">
        <v>176</v>
      </c>
      <c r="MB96" s="48">
        <v>180</v>
      </c>
      <c r="MC96" s="43">
        <v>-4</v>
      </c>
      <c r="MD96" s="49"/>
      <c r="ME96" s="50">
        <v>0</v>
      </c>
      <c r="MF96" s="48">
        <v>0</v>
      </c>
      <c r="MG96" s="48">
        <v>296</v>
      </c>
      <c r="MH96" s="48">
        <v>300</v>
      </c>
      <c r="MI96" s="43">
        <v>-4</v>
      </c>
      <c r="MJ96" s="49"/>
      <c r="MK96" s="50">
        <v>352</v>
      </c>
      <c r="ML96" s="48">
        <v>350</v>
      </c>
      <c r="MM96" s="43">
        <v>2</v>
      </c>
      <c r="MN96" s="49"/>
      <c r="MO96" s="50">
        <v>40</v>
      </c>
      <c r="MP96" s="48">
        <v>40</v>
      </c>
      <c r="MQ96" s="48">
        <v>120</v>
      </c>
      <c r="MR96" s="48">
        <v>124</v>
      </c>
      <c r="MS96" s="43">
        <v>-4</v>
      </c>
      <c r="MT96" s="49"/>
      <c r="MU96" s="48">
        <v>0</v>
      </c>
      <c r="MV96" s="46"/>
      <c r="MW96" s="48">
        <v>320</v>
      </c>
      <c r="MX96" s="48">
        <v>320</v>
      </c>
      <c r="MY96" s="43">
        <v>0</v>
      </c>
      <c r="MZ96" s="49"/>
      <c r="NA96" s="50">
        <v>0</v>
      </c>
      <c r="NB96" s="48">
        <v>0</v>
      </c>
      <c r="NC96" s="48">
        <v>48</v>
      </c>
      <c r="ND96" s="48">
        <v>50</v>
      </c>
      <c r="NE96" s="43">
        <v>-2</v>
      </c>
      <c r="NF96" s="49"/>
      <c r="NG96" s="50">
        <v>0</v>
      </c>
      <c r="NH96" s="33">
        <v>150</v>
      </c>
      <c r="NI96" s="48">
        <v>448</v>
      </c>
      <c r="NJ96" s="48">
        <v>450</v>
      </c>
      <c r="NK96" s="42">
        <v>-152</v>
      </c>
      <c r="NL96" s="49">
        <v>62.319999999999993</v>
      </c>
      <c r="NM96" s="50">
        <v>0</v>
      </c>
      <c r="NN96" s="48">
        <v>0</v>
      </c>
      <c r="NO96" s="48">
        <v>0</v>
      </c>
      <c r="NP96" s="48">
        <v>0</v>
      </c>
      <c r="NQ96" s="43">
        <v>0</v>
      </c>
      <c r="NR96" s="49"/>
      <c r="NS96" s="50">
        <v>0</v>
      </c>
      <c r="NT96" s="33">
        <v>200</v>
      </c>
      <c r="NU96" s="48">
        <v>400</v>
      </c>
      <c r="NV96" s="48">
        <v>400</v>
      </c>
      <c r="NW96" s="42">
        <v>-200</v>
      </c>
      <c r="NX96" s="49">
        <v>82</v>
      </c>
      <c r="NY96" s="50">
        <v>0</v>
      </c>
      <c r="NZ96" s="48">
        <v>0</v>
      </c>
      <c r="OA96" s="32">
        <v>424</v>
      </c>
      <c r="OB96" s="48">
        <v>140</v>
      </c>
      <c r="OC96" s="43">
        <v>284</v>
      </c>
      <c r="OD96" s="49"/>
      <c r="OE96" s="50">
        <v>48</v>
      </c>
      <c r="OF96" s="48">
        <v>50</v>
      </c>
      <c r="OG96" s="43">
        <v>-2</v>
      </c>
      <c r="OH96" s="49"/>
      <c r="OI96" s="50">
        <v>368</v>
      </c>
      <c r="OJ96" s="48">
        <v>370</v>
      </c>
      <c r="OK96" s="43">
        <v>-2</v>
      </c>
      <c r="OL96" s="49"/>
      <c r="OM96" s="50">
        <v>0</v>
      </c>
      <c r="ON96" s="48">
        <v>0</v>
      </c>
      <c r="OO96" s="48">
        <v>48</v>
      </c>
      <c r="OP96" s="48">
        <v>50</v>
      </c>
      <c r="OQ96" s="43">
        <v>-2</v>
      </c>
      <c r="OR96" s="49"/>
      <c r="OS96" s="50">
        <v>200</v>
      </c>
      <c r="OT96" s="48">
        <v>200</v>
      </c>
      <c r="OU96" s="43">
        <v>0</v>
      </c>
      <c r="OV96" s="49"/>
      <c r="OW96" s="50">
        <v>0</v>
      </c>
      <c r="OX96" s="48">
        <v>0</v>
      </c>
      <c r="OY96" s="48">
        <v>0</v>
      </c>
      <c r="OZ96" s="48">
        <v>0</v>
      </c>
      <c r="PA96" s="43">
        <v>0</v>
      </c>
      <c r="PB96" s="49"/>
      <c r="PC96" s="50">
        <v>88</v>
      </c>
      <c r="PD96" s="48">
        <v>90</v>
      </c>
      <c r="PE96" s="43">
        <v>-2</v>
      </c>
      <c r="PF96" s="49"/>
      <c r="PG96" s="50">
        <v>0</v>
      </c>
      <c r="PH96" s="48">
        <v>0</v>
      </c>
      <c r="PI96" s="48">
        <v>152</v>
      </c>
      <c r="PJ96" s="48">
        <v>156</v>
      </c>
      <c r="PK96" s="43">
        <v>-4</v>
      </c>
      <c r="PL96" s="49"/>
      <c r="PM96" s="47">
        <v>0</v>
      </c>
      <c r="PN96" s="48">
        <v>0</v>
      </c>
      <c r="PO96" s="48">
        <v>0</v>
      </c>
      <c r="PP96" s="48">
        <v>0</v>
      </c>
      <c r="PQ96" s="43">
        <v>0</v>
      </c>
      <c r="PR96" s="49"/>
      <c r="PS96" s="47">
        <v>176</v>
      </c>
      <c r="PT96" s="43">
        <v>180</v>
      </c>
      <c r="PU96" s="43">
        <v>216</v>
      </c>
      <c r="PV96" s="43">
        <v>220</v>
      </c>
      <c r="PW96" s="43">
        <v>-8</v>
      </c>
      <c r="PX96" s="46"/>
      <c r="PY96" s="47">
        <v>248</v>
      </c>
      <c r="PZ96" s="43">
        <v>250</v>
      </c>
      <c r="QA96" s="43">
        <v>-2</v>
      </c>
      <c r="QB96" s="46"/>
      <c r="QC96" s="47">
        <v>0</v>
      </c>
      <c r="QD96" s="43">
        <v>0</v>
      </c>
      <c r="QE96" s="43">
        <v>0</v>
      </c>
      <c r="QF96" s="43">
        <v>0</v>
      </c>
      <c r="QG96" s="43">
        <v>0</v>
      </c>
      <c r="QH96" s="46"/>
      <c r="QI96" s="47">
        <v>152</v>
      </c>
      <c r="QJ96" s="43">
        <v>150</v>
      </c>
      <c r="QK96" s="43">
        <v>248</v>
      </c>
      <c r="QL96" s="43">
        <v>250</v>
      </c>
      <c r="QM96" s="43">
        <v>0</v>
      </c>
      <c r="QN96" s="46"/>
      <c r="QO96" s="47">
        <v>80</v>
      </c>
      <c r="QP96" s="43">
        <v>81</v>
      </c>
      <c r="QQ96" s="43">
        <v>0</v>
      </c>
      <c r="QR96" s="43">
        <v>90</v>
      </c>
      <c r="QS96" s="42">
        <v>-91</v>
      </c>
      <c r="QT96" s="46">
        <v>37.31</v>
      </c>
      <c r="QU96" s="47">
        <v>64</v>
      </c>
      <c r="QV96" s="43">
        <v>64</v>
      </c>
      <c r="QW96" s="43">
        <v>0</v>
      </c>
      <c r="QX96" s="46"/>
      <c r="QY96" s="47">
        <v>0</v>
      </c>
      <c r="QZ96" s="43">
        <v>0</v>
      </c>
      <c r="RA96" s="43">
        <v>392</v>
      </c>
      <c r="RB96" s="43">
        <v>394</v>
      </c>
      <c r="RC96" s="43">
        <v>-2</v>
      </c>
      <c r="RD96" s="46"/>
    </row>
    <row r="97" spans="1:472" x14ac:dyDescent="0.25">
      <c r="A97" s="43" t="s">
        <v>385</v>
      </c>
      <c r="B97" s="44">
        <v>0.5</v>
      </c>
      <c r="I97" s="47"/>
      <c r="J97" s="51"/>
      <c r="K97" s="51"/>
      <c r="L97" s="51"/>
      <c r="M97" s="51">
        <f t="shared" si="12"/>
        <v>0</v>
      </c>
      <c r="N97" s="46"/>
      <c r="O97" s="47"/>
      <c r="P97" s="51"/>
      <c r="Q97" s="51"/>
      <c r="R97" s="51"/>
      <c r="S97" s="51">
        <f t="shared" si="13"/>
        <v>0</v>
      </c>
      <c r="T97" s="46"/>
      <c r="U97" s="47"/>
      <c r="V97" s="51"/>
      <c r="W97" s="51"/>
      <c r="X97" s="51"/>
      <c r="Y97" s="51">
        <f t="shared" si="14"/>
        <v>0</v>
      </c>
      <c r="Z97" s="46"/>
      <c r="AA97" s="51"/>
      <c r="AE97" s="43">
        <v>0</v>
      </c>
      <c r="AF97" s="46"/>
      <c r="AG97" s="47"/>
      <c r="AK97" s="43">
        <v>0</v>
      </c>
      <c r="AL97" s="46"/>
      <c r="AQ97" s="43">
        <v>0</v>
      </c>
      <c r="AR97" s="46"/>
      <c r="AW97" s="43">
        <v>0</v>
      </c>
      <c r="AX97" s="46"/>
      <c r="AY97" s="47"/>
      <c r="BC97" s="43">
        <v>0</v>
      </c>
      <c r="BD97" s="46"/>
      <c r="BE97" s="47"/>
      <c r="BI97" s="43">
        <v>0</v>
      </c>
      <c r="BJ97" s="46"/>
      <c r="BP97" s="43">
        <v>0</v>
      </c>
      <c r="BQ97" s="46"/>
      <c r="BT97" s="43">
        <v>0</v>
      </c>
      <c r="BU97" s="46"/>
      <c r="BV97" s="47"/>
      <c r="BZ97" s="43">
        <v>0</v>
      </c>
      <c r="CA97" s="46"/>
      <c r="CF97" s="43">
        <v>0</v>
      </c>
      <c r="CG97" s="46"/>
      <c r="CL97" s="43">
        <v>0</v>
      </c>
      <c r="CM97" s="46"/>
      <c r="CN97" s="47"/>
      <c r="CR97" s="43">
        <v>0</v>
      </c>
      <c r="CS97" s="46"/>
      <c r="CX97" s="43">
        <v>0</v>
      </c>
      <c r="CY97" s="46"/>
      <c r="CZ97" s="47"/>
      <c r="DD97" s="43">
        <v>0</v>
      </c>
      <c r="DE97" s="46"/>
      <c r="DF97" s="47"/>
      <c r="DL97" s="43">
        <v>0</v>
      </c>
      <c r="DM97" s="46"/>
      <c r="DN97" s="47"/>
      <c r="DR97" s="43">
        <v>0</v>
      </c>
      <c r="DS97" s="46"/>
      <c r="DZ97" s="43">
        <v>0</v>
      </c>
      <c r="EA97" s="46"/>
      <c r="EB97" s="47"/>
      <c r="EF97" s="43">
        <v>0</v>
      </c>
      <c r="EG97" s="46"/>
      <c r="EH97" s="47"/>
      <c r="EL97" s="43">
        <v>0</v>
      </c>
      <c r="EM97" s="46"/>
      <c r="EN97" s="47"/>
      <c r="ER97" s="43">
        <v>0</v>
      </c>
      <c r="ES97" s="46"/>
      <c r="EZ97" s="43">
        <v>0</v>
      </c>
      <c r="FA97" s="46"/>
      <c r="FG97" s="43">
        <v>0</v>
      </c>
      <c r="FH97" s="46"/>
      <c r="FI97" s="47"/>
      <c r="FL97" s="43">
        <v>0</v>
      </c>
      <c r="FM97" s="46"/>
      <c r="FN97" s="47"/>
      <c r="FQ97" s="43">
        <v>0</v>
      </c>
      <c r="FR97" s="46"/>
      <c r="FW97" s="43">
        <v>0</v>
      </c>
      <c r="FX97" s="46"/>
      <c r="FY97" s="47"/>
      <c r="GD97" s="43">
        <v>0</v>
      </c>
      <c r="GE97" s="46"/>
      <c r="GJ97" s="43">
        <v>0</v>
      </c>
      <c r="GK97" s="46"/>
      <c r="GL97" s="47"/>
      <c r="GP97" s="43">
        <v>0</v>
      </c>
      <c r="GQ97" s="46"/>
      <c r="GV97" s="43">
        <v>0</v>
      </c>
      <c r="GW97" s="46"/>
      <c r="GX97" s="47"/>
      <c r="GZ97" s="43">
        <v>0</v>
      </c>
      <c r="HA97" s="46"/>
      <c r="HB97" s="47"/>
      <c r="HF97" s="43">
        <v>0</v>
      </c>
      <c r="HG97" s="46"/>
      <c r="HH97" s="47"/>
      <c r="HJ97" s="43">
        <v>0</v>
      </c>
      <c r="HK97" s="46"/>
      <c r="HL97" s="47"/>
      <c r="HP97" s="43">
        <v>0</v>
      </c>
      <c r="HQ97" s="46"/>
      <c r="HX97" s="43">
        <v>0</v>
      </c>
      <c r="HY97" s="46"/>
      <c r="HZ97" s="47"/>
      <c r="ID97" s="43">
        <v>0</v>
      </c>
      <c r="IE97" s="46"/>
      <c r="IJ97" s="43">
        <v>0</v>
      </c>
      <c r="IK97" s="49"/>
      <c r="IP97" s="43">
        <v>0</v>
      </c>
      <c r="IQ97" s="49"/>
      <c r="IV97" s="43">
        <v>0</v>
      </c>
      <c r="IW97" s="49"/>
      <c r="JB97" s="43">
        <v>0</v>
      </c>
      <c r="JC97" s="46"/>
      <c r="JF97" s="43">
        <v>0</v>
      </c>
      <c r="JG97" s="49"/>
      <c r="JL97" s="43">
        <v>0</v>
      </c>
      <c r="JM97" s="46"/>
      <c r="JN97" s="50"/>
      <c r="JP97" s="43">
        <v>0</v>
      </c>
      <c r="JQ97" s="49"/>
      <c r="JV97" s="43">
        <v>0</v>
      </c>
      <c r="JW97" s="49"/>
      <c r="KB97" s="43">
        <v>0</v>
      </c>
      <c r="KC97" s="49"/>
      <c r="KH97" s="43">
        <v>0</v>
      </c>
      <c r="KI97" s="49"/>
      <c r="KN97" s="43">
        <v>0</v>
      </c>
      <c r="KO97" s="49"/>
      <c r="KP97" s="50"/>
      <c r="KV97" s="43">
        <v>0</v>
      </c>
      <c r="KW97" s="49"/>
      <c r="KX97" s="48">
        <v>0</v>
      </c>
      <c r="KY97" s="48">
        <v>0</v>
      </c>
      <c r="KZ97" s="48">
        <v>0</v>
      </c>
      <c r="LA97" s="48">
        <v>0</v>
      </c>
      <c r="LB97" s="43">
        <v>0</v>
      </c>
      <c r="LC97" s="49"/>
      <c r="LD97" s="48">
        <v>0</v>
      </c>
      <c r="LE97" s="48">
        <v>0</v>
      </c>
      <c r="LF97" s="48">
        <v>0</v>
      </c>
      <c r="LG97" s="48">
        <v>0</v>
      </c>
      <c r="LH97" s="43">
        <v>0</v>
      </c>
      <c r="LI97" s="49"/>
      <c r="LJ97" s="50">
        <v>0</v>
      </c>
      <c r="LK97" s="48">
        <v>0</v>
      </c>
      <c r="LL97" s="43">
        <v>0</v>
      </c>
      <c r="LM97" s="49"/>
      <c r="LN97" s="50">
        <v>0</v>
      </c>
      <c r="LO97" s="48">
        <v>0</v>
      </c>
      <c r="LP97" s="48">
        <v>0</v>
      </c>
      <c r="LQ97" s="48">
        <v>0</v>
      </c>
      <c r="LR97" s="48">
        <v>0</v>
      </c>
      <c r="LS97" s="43">
        <v>0</v>
      </c>
      <c r="LT97" s="49"/>
      <c r="LU97" s="50">
        <v>0</v>
      </c>
      <c r="LV97" s="48">
        <v>0</v>
      </c>
      <c r="LW97" s="48">
        <v>0</v>
      </c>
      <c r="LX97" s="48">
        <v>0</v>
      </c>
      <c r="LY97" s="43">
        <v>0</v>
      </c>
      <c r="LZ97" s="49"/>
      <c r="MA97" s="50">
        <v>0</v>
      </c>
      <c r="MB97" s="48">
        <v>0</v>
      </c>
      <c r="MC97" s="43">
        <v>0</v>
      </c>
      <c r="MD97" s="49"/>
      <c r="ME97" s="50">
        <v>0</v>
      </c>
      <c r="MF97" s="48">
        <v>0</v>
      </c>
      <c r="MG97" s="48">
        <v>0</v>
      </c>
      <c r="MH97" s="48">
        <v>0</v>
      </c>
      <c r="MI97" s="43">
        <v>0</v>
      </c>
      <c r="MJ97" s="49"/>
      <c r="MK97" s="50">
        <v>0</v>
      </c>
      <c r="ML97" s="48">
        <v>0</v>
      </c>
      <c r="MM97" s="43">
        <v>0</v>
      </c>
      <c r="MN97" s="49"/>
      <c r="MO97" s="50">
        <v>0</v>
      </c>
      <c r="MP97" s="48">
        <v>0</v>
      </c>
      <c r="MQ97" s="48">
        <v>0</v>
      </c>
      <c r="MR97" s="48">
        <v>0</v>
      </c>
      <c r="MS97" s="43">
        <v>0</v>
      </c>
      <c r="MT97" s="49"/>
      <c r="MU97" s="48">
        <v>0</v>
      </c>
      <c r="MV97" s="46"/>
      <c r="MW97" s="48">
        <v>0</v>
      </c>
      <c r="MX97" s="48">
        <v>0</v>
      </c>
      <c r="MY97" s="43">
        <v>0</v>
      </c>
      <c r="MZ97" s="49"/>
      <c r="NA97" s="50">
        <v>0</v>
      </c>
      <c r="NB97" s="48">
        <v>0</v>
      </c>
      <c r="NC97" s="48">
        <v>0</v>
      </c>
      <c r="ND97" s="48">
        <v>0</v>
      </c>
      <c r="NE97" s="43">
        <v>0</v>
      </c>
      <c r="NF97" s="49"/>
      <c r="NG97" s="50">
        <v>0</v>
      </c>
      <c r="NH97" s="48">
        <v>0</v>
      </c>
      <c r="NI97" s="48">
        <v>0</v>
      </c>
      <c r="NJ97" s="48">
        <v>0</v>
      </c>
      <c r="NK97" s="43">
        <v>0</v>
      </c>
      <c r="NL97" s="49"/>
      <c r="NM97" s="50">
        <v>0</v>
      </c>
      <c r="NN97" s="48">
        <v>0</v>
      </c>
      <c r="NO97" s="48">
        <v>0</v>
      </c>
      <c r="NP97" s="48">
        <v>0</v>
      </c>
      <c r="NQ97" s="43">
        <v>0</v>
      </c>
      <c r="NR97" s="49"/>
      <c r="NS97" s="50">
        <v>0</v>
      </c>
      <c r="NT97" s="48">
        <v>0</v>
      </c>
      <c r="NU97" s="48">
        <v>0</v>
      </c>
      <c r="NV97" s="48">
        <v>0</v>
      </c>
      <c r="NW97" s="43">
        <v>0</v>
      </c>
      <c r="NX97" s="49"/>
      <c r="NY97" s="50">
        <v>0</v>
      </c>
      <c r="NZ97" s="48">
        <v>0</v>
      </c>
      <c r="OA97" s="48">
        <v>0</v>
      </c>
      <c r="OB97" s="48">
        <v>0</v>
      </c>
      <c r="OC97" s="43">
        <v>0</v>
      </c>
      <c r="OD97" s="49"/>
      <c r="OE97" s="50">
        <v>0</v>
      </c>
      <c r="OF97" s="48">
        <v>0</v>
      </c>
      <c r="OG97" s="43">
        <v>0</v>
      </c>
      <c r="OH97" s="49"/>
      <c r="OI97" s="50">
        <v>0</v>
      </c>
      <c r="OJ97" s="48">
        <v>0</v>
      </c>
      <c r="OK97" s="43">
        <v>0</v>
      </c>
      <c r="OL97" s="49"/>
      <c r="OM97" s="50">
        <v>0</v>
      </c>
      <c r="ON97" s="48">
        <v>0</v>
      </c>
      <c r="OO97" s="48">
        <v>0</v>
      </c>
      <c r="OP97" s="48">
        <v>0</v>
      </c>
      <c r="OQ97" s="43">
        <v>0</v>
      </c>
      <c r="OR97" s="49"/>
      <c r="OS97" s="50">
        <v>0</v>
      </c>
      <c r="OT97" s="17">
        <v>100</v>
      </c>
      <c r="OU97" s="43">
        <v>-4</v>
      </c>
      <c r="OV97" s="49"/>
      <c r="OW97" s="50">
        <v>0</v>
      </c>
      <c r="OX97" s="48">
        <v>0</v>
      </c>
      <c r="OY97" s="48">
        <v>0</v>
      </c>
      <c r="OZ97" s="17">
        <v>46</v>
      </c>
      <c r="PA97" s="43">
        <v>2</v>
      </c>
      <c r="PB97" s="49"/>
      <c r="PC97" s="50">
        <v>0</v>
      </c>
      <c r="PD97" s="48">
        <v>0</v>
      </c>
      <c r="PE97" s="43">
        <v>0</v>
      </c>
      <c r="PF97" s="49"/>
      <c r="PG97" s="50">
        <v>0</v>
      </c>
      <c r="PH97" s="48">
        <v>0</v>
      </c>
      <c r="PI97" s="48">
        <v>64</v>
      </c>
      <c r="PJ97" s="48">
        <v>62</v>
      </c>
      <c r="PK97" s="43">
        <v>2</v>
      </c>
      <c r="PL97" s="49"/>
      <c r="PM97" s="47">
        <v>0</v>
      </c>
      <c r="PN97" s="48">
        <v>0</v>
      </c>
      <c r="PO97" s="48">
        <v>0</v>
      </c>
      <c r="PP97" s="48">
        <v>0</v>
      </c>
      <c r="PQ97" s="43">
        <v>0</v>
      </c>
      <c r="PR97" s="49"/>
      <c r="PS97" s="47">
        <v>112</v>
      </c>
      <c r="PT97" s="43">
        <v>185</v>
      </c>
      <c r="PU97" s="43">
        <v>0</v>
      </c>
      <c r="PV97" s="43">
        <v>0</v>
      </c>
      <c r="PW97" s="42">
        <v>-73</v>
      </c>
      <c r="PX97" s="46">
        <v>36.5</v>
      </c>
      <c r="PY97" s="47">
        <v>8</v>
      </c>
      <c r="PZ97" s="43">
        <v>8</v>
      </c>
      <c r="QA97" s="43">
        <v>0</v>
      </c>
      <c r="QB97" s="46"/>
      <c r="QC97" s="47">
        <v>72</v>
      </c>
      <c r="QD97" s="43">
        <v>70</v>
      </c>
      <c r="QE97" s="43">
        <v>0</v>
      </c>
      <c r="QF97" s="43">
        <v>0</v>
      </c>
      <c r="QG97" s="43">
        <v>2</v>
      </c>
      <c r="QH97" s="46"/>
      <c r="QI97" s="47">
        <v>32</v>
      </c>
      <c r="QJ97" s="43">
        <v>50</v>
      </c>
      <c r="QK97" s="43">
        <v>64</v>
      </c>
      <c r="QL97" s="43">
        <v>100</v>
      </c>
      <c r="QM97" s="42">
        <v>-54</v>
      </c>
      <c r="QN97" s="46">
        <v>27</v>
      </c>
      <c r="QO97" s="47">
        <v>8</v>
      </c>
      <c r="QP97" s="43">
        <v>11</v>
      </c>
      <c r="QQ97" s="43">
        <v>0</v>
      </c>
      <c r="QR97" s="43">
        <v>0</v>
      </c>
      <c r="QS97" s="43">
        <v>-3</v>
      </c>
      <c r="QT97" s="46"/>
      <c r="QU97" s="47">
        <v>112</v>
      </c>
      <c r="QV97" s="43">
        <v>115</v>
      </c>
      <c r="QW97" s="43">
        <v>-3</v>
      </c>
      <c r="QX97" s="46"/>
      <c r="QY97" s="47">
        <v>0</v>
      </c>
      <c r="QZ97" s="43">
        <v>0</v>
      </c>
      <c r="RA97" s="43">
        <v>152</v>
      </c>
      <c r="RB97" s="43">
        <v>150</v>
      </c>
      <c r="RC97" s="43">
        <v>2</v>
      </c>
      <c r="RD97" s="46"/>
    </row>
    <row r="98" spans="1:472" x14ac:dyDescent="0.25">
      <c r="A98" s="43" t="s">
        <v>386</v>
      </c>
      <c r="B98" s="44">
        <v>0.41</v>
      </c>
      <c r="I98" s="47"/>
      <c r="J98" s="51"/>
      <c r="K98" s="51"/>
      <c r="L98" s="51"/>
      <c r="M98" s="51">
        <f t="shared" si="12"/>
        <v>0</v>
      </c>
      <c r="N98" s="46"/>
      <c r="O98" s="47"/>
      <c r="P98" s="51"/>
      <c r="Q98" s="51"/>
      <c r="R98" s="51"/>
      <c r="S98" s="51">
        <f t="shared" si="13"/>
        <v>0</v>
      </c>
      <c r="T98" s="46"/>
      <c r="U98" s="47"/>
      <c r="V98" s="51"/>
      <c r="W98" s="51"/>
      <c r="X98" s="51"/>
      <c r="Y98" s="51">
        <f t="shared" si="14"/>
        <v>0</v>
      </c>
      <c r="Z98" s="46"/>
      <c r="AA98" s="51"/>
      <c r="AE98" s="43">
        <v>0</v>
      </c>
      <c r="AF98" s="46"/>
      <c r="AG98" s="47"/>
      <c r="AK98" s="43">
        <v>0</v>
      </c>
      <c r="AL98" s="46"/>
      <c r="AQ98" s="43">
        <v>0</v>
      </c>
      <c r="AR98" s="46"/>
      <c r="AW98" s="43">
        <v>0</v>
      </c>
      <c r="AX98" s="46"/>
      <c r="AY98" s="47"/>
      <c r="BC98" s="43">
        <v>0</v>
      </c>
      <c r="BD98" s="46"/>
      <c r="BE98" s="47"/>
      <c r="BI98" s="43">
        <v>0</v>
      </c>
      <c r="BJ98" s="46"/>
      <c r="BP98" s="43">
        <v>0</v>
      </c>
      <c r="BQ98" s="46"/>
      <c r="BT98" s="43">
        <v>0</v>
      </c>
      <c r="BU98" s="46"/>
      <c r="BV98" s="47"/>
      <c r="BZ98" s="43">
        <v>0</v>
      </c>
      <c r="CA98" s="46"/>
      <c r="CF98" s="43">
        <v>0</v>
      </c>
      <c r="CG98" s="46"/>
      <c r="CL98" s="43">
        <v>0</v>
      </c>
      <c r="CM98" s="46"/>
      <c r="CN98" s="47"/>
      <c r="CR98" s="43">
        <v>0</v>
      </c>
      <c r="CS98" s="46"/>
      <c r="CX98" s="43">
        <v>0</v>
      </c>
      <c r="CY98" s="46"/>
      <c r="CZ98" s="47"/>
      <c r="DD98" s="43">
        <v>0</v>
      </c>
      <c r="DE98" s="46"/>
      <c r="DF98" s="47"/>
      <c r="DL98" s="43">
        <v>0</v>
      </c>
      <c r="DM98" s="46"/>
      <c r="DN98" s="47"/>
      <c r="DR98" s="43">
        <v>0</v>
      </c>
      <c r="DS98" s="46"/>
      <c r="DZ98" s="43">
        <v>0</v>
      </c>
      <c r="EA98" s="46"/>
      <c r="EB98" s="47"/>
      <c r="EF98" s="43">
        <v>0</v>
      </c>
      <c r="EG98" s="46"/>
      <c r="EH98" s="47"/>
      <c r="EL98" s="43">
        <v>0</v>
      </c>
      <c r="EM98" s="46"/>
      <c r="EN98" s="47"/>
      <c r="ER98" s="43">
        <v>0</v>
      </c>
      <c r="ES98" s="46"/>
      <c r="EZ98" s="43">
        <v>0</v>
      </c>
      <c r="FA98" s="46"/>
      <c r="FG98" s="43">
        <v>0</v>
      </c>
      <c r="FH98" s="46"/>
      <c r="FI98" s="47"/>
      <c r="FL98" s="43">
        <v>0</v>
      </c>
      <c r="FM98" s="46"/>
      <c r="FN98" s="47"/>
      <c r="FQ98" s="43">
        <v>0</v>
      </c>
      <c r="FR98" s="46"/>
      <c r="FW98" s="43">
        <v>0</v>
      </c>
      <c r="FX98" s="46"/>
      <c r="FY98" s="47"/>
      <c r="GD98" s="43">
        <v>0</v>
      </c>
      <c r="GE98" s="46"/>
      <c r="GJ98" s="43">
        <v>0</v>
      </c>
      <c r="GK98" s="46"/>
      <c r="GL98" s="47"/>
      <c r="GP98" s="43">
        <v>0</v>
      </c>
      <c r="GQ98" s="46"/>
      <c r="GV98" s="43">
        <v>0</v>
      </c>
      <c r="GW98" s="46"/>
      <c r="GX98" s="47"/>
      <c r="GZ98" s="43">
        <v>0</v>
      </c>
      <c r="HA98" s="46"/>
      <c r="HB98" s="47"/>
      <c r="HF98" s="43">
        <v>0</v>
      </c>
      <c r="HG98" s="46"/>
      <c r="HH98" s="47"/>
      <c r="HJ98" s="43">
        <v>0</v>
      </c>
      <c r="HK98" s="46"/>
      <c r="HL98" s="47"/>
      <c r="HP98" s="43">
        <v>0</v>
      </c>
      <c r="HQ98" s="46"/>
      <c r="HX98" s="43">
        <v>0</v>
      </c>
      <c r="HY98" s="46"/>
      <c r="HZ98" s="47"/>
      <c r="ID98" s="43">
        <v>0</v>
      </c>
      <c r="IE98" s="46"/>
      <c r="IJ98" s="43">
        <v>0</v>
      </c>
      <c r="IK98" s="49"/>
      <c r="IP98" s="43">
        <v>0</v>
      </c>
      <c r="IQ98" s="49"/>
      <c r="IR98">
        <v>500</v>
      </c>
      <c r="IS98">
        <v>500</v>
      </c>
      <c r="IT98">
        <v>440</v>
      </c>
      <c r="IU98">
        <v>446</v>
      </c>
      <c r="IV98" s="43">
        <v>-6</v>
      </c>
      <c r="IW98" s="49"/>
      <c r="IX98">
        <v>500</v>
      </c>
      <c r="IY98">
        <v>500</v>
      </c>
      <c r="IZ98">
        <v>450</v>
      </c>
      <c r="JA98">
        <v>450</v>
      </c>
      <c r="JB98" s="43">
        <v>0</v>
      </c>
      <c r="JC98" s="46"/>
      <c r="JD98">
        <v>100</v>
      </c>
      <c r="JE98">
        <v>100</v>
      </c>
      <c r="JF98" s="43">
        <v>0</v>
      </c>
      <c r="JG98" s="49"/>
      <c r="JH98">
        <v>350</v>
      </c>
      <c r="JI98">
        <v>350</v>
      </c>
      <c r="JJ98">
        <v>260</v>
      </c>
      <c r="JK98">
        <v>260</v>
      </c>
      <c r="JL98" s="43">
        <v>0</v>
      </c>
      <c r="JM98" s="46"/>
      <c r="JN98" s="45">
        <v>450</v>
      </c>
      <c r="JO98" s="48">
        <v>450</v>
      </c>
      <c r="JP98" s="43">
        <v>0</v>
      </c>
      <c r="JQ98" s="49"/>
      <c r="JV98" s="43">
        <v>0</v>
      </c>
      <c r="JW98" s="49"/>
      <c r="JX98">
        <v>600</v>
      </c>
      <c r="JY98">
        <v>600</v>
      </c>
      <c r="JZ98">
        <v>650</v>
      </c>
      <c r="KA98">
        <v>651</v>
      </c>
      <c r="KB98" s="43">
        <v>-1</v>
      </c>
      <c r="KC98" s="49"/>
      <c r="KH98" s="43">
        <v>0</v>
      </c>
      <c r="KI98" s="49"/>
      <c r="KN98" s="43">
        <v>0</v>
      </c>
      <c r="KO98" s="49"/>
      <c r="KP98" s="45">
        <v>500</v>
      </c>
      <c r="KQ98">
        <v>500</v>
      </c>
      <c r="KR98">
        <v>600</v>
      </c>
      <c r="KS98">
        <v>600</v>
      </c>
      <c r="KT98">
        <v>10</v>
      </c>
      <c r="KU98">
        <v>440</v>
      </c>
      <c r="KV98" s="42">
        <v>-430</v>
      </c>
      <c r="KW98" s="49">
        <v>176.3</v>
      </c>
      <c r="KX98" s="48">
        <v>0</v>
      </c>
      <c r="KY98" s="48">
        <v>0</v>
      </c>
      <c r="KZ98" s="48">
        <v>50</v>
      </c>
      <c r="LA98" s="48">
        <v>50</v>
      </c>
      <c r="LB98" s="43">
        <v>0</v>
      </c>
      <c r="LC98" s="49"/>
      <c r="LD98" s="48">
        <v>100</v>
      </c>
      <c r="LE98" s="48">
        <v>100</v>
      </c>
      <c r="LF98" s="48">
        <v>130</v>
      </c>
      <c r="LG98" s="48">
        <v>136</v>
      </c>
      <c r="LH98" s="43">
        <v>-6</v>
      </c>
      <c r="LI98" s="49"/>
      <c r="LJ98" s="50">
        <v>840</v>
      </c>
      <c r="LK98" s="48">
        <v>839</v>
      </c>
      <c r="LL98" s="43">
        <v>1</v>
      </c>
      <c r="LM98" s="49"/>
      <c r="LN98" s="50">
        <v>400</v>
      </c>
      <c r="LO98" s="48">
        <v>400</v>
      </c>
      <c r="LP98" s="48">
        <v>350</v>
      </c>
      <c r="LQ98" s="48">
        <v>0</v>
      </c>
      <c r="LR98" s="48">
        <v>350</v>
      </c>
      <c r="LS98" s="43">
        <v>0</v>
      </c>
      <c r="LT98" s="49"/>
      <c r="LU98" s="50">
        <v>190</v>
      </c>
      <c r="LV98" s="48">
        <v>190</v>
      </c>
      <c r="LW98" s="48">
        <v>200</v>
      </c>
      <c r="LX98" s="48">
        <v>200</v>
      </c>
      <c r="LY98" s="43">
        <v>0</v>
      </c>
      <c r="LZ98" s="49"/>
      <c r="MA98" s="50">
        <v>700</v>
      </c>
      <c r="MB98" s="48">
        <v>700</v>
      </c>
      <c r="MC98" s="43">
        <v>0</v>
      </c>
      <c r="MD98" s="49"/>
      <c r="ME98" s="50">
        <v>0</v>
      </c>
      <c r="MF98" s="48">
        <v>0</v>
      </c>
      <c r="MG98" s="48">
        <v>10</v>
      </c>
      <c r="MH98" s="48">
        <v>10</v>
      </c>
      <c r="MI98" s="43">
        <v>0</v>
      </c>
      <c r="MJ98" s="49"/>
      <c r="MK98" s="50">
        <v>720</v>
      </c>
      <c r="ML98" s="48">
        <v>720</v>
      </c>
      <c r="MM98" s="43">
        <v>0</v>
      </c>
      <c r="MN98" s="49"/>
      <c r="MO98" s="50">
        <v>100</v>
      </c>
      <c r="MP98" s="48">
        <v>100</v>
      </c>
      <c r="MQ98" s="48">
        <v>90</v>
      </c>
      <c r="MR98" s="48">
        <v>89</v>
      </c>
      <c r="MS98" s="43">
        <v>1</v>
      </c>
      <c r="MT98" s="49"/>
      <c r="MU98" s="48">
        <v>0</v>
      </c>
      <c r="MV98" s="46"/>
      <c r="MW98" s="48">
        <v>0</v>
      </c>
      <c r="MX98" s="48">
        <v>0</v>
      </c>
      <c r="MY98" s="43">
        <v>0</v>
      </c>
      <c r="MZ98" s="49"/>
      <c r="NA98" s="50">
        <v>0</v>
      </c>
      <c r="NB98" s="48">
        <v>0</v>
      </c>
      <c r="NC98" s="48">
        <v>0</v>
      </c>
      <c r="ND98" s="48">
        <v>0</v>
      </c>
      <c r="NE98" s="43">
        <v>0</v>
      </c>
      <c r="NF98" s="49"/>
      <c r="NG98" s="25">
        <v>350</v>
      </c>
      <c r="NH98" s="48">
        <v>0</v>
      </c>
      <c r="NI98" s="48">
        <v>0</v>
      </c>
      <c r="NJ98" s="48">
        <v>0</v>
      </c>
      <c r="NK98" s="43">
        <v>350</v>
      </c>
      <c r="NL98" s="49"/>
      <c r="NM98" s="50">
        <v>1050</v>
      </c>
      <c r="NN98" s="48">
        <v>1050</v>
      </c>
      <c r="NO98" s="27">
        <v>530</v>
      </c>
      <c r="NP98" s="27">
        <v>1050</v>
      </c>
      <c r="NQ98" s="42">
        <v>-520</v>
      </c>
      <c r="NR98" s="49">
        <v>213.2</v>
      </c>
      <c r="NS98" s="50">
        <v>0</v>
      </c>
      <c r="NT98" s="33">
        <v>300</v>
      </c>
      <c r="NU98" s="48">
        <v>620</v>
      </c>
      <c r="NV98" s="48">
        <v>623</v>
      </c>
      <c r="NW98" s="42">
        <v>-303</v>
      </c>
      <c r="NX98" s="49">
        <v>124.23</v>
      </c>
      <c r="NY98" s="50">
        <v>500</v>
      </c>
      <c r="NZ98" s="48">
        <v>500</v>
      </c>
      <c r="OA98" s="48">
        <v>490</v>
      </c>
      <c r="OB98" s="48">
        <v>500</v>
      </c>
      <c r="OC98" s="43">
        <v>-10</v>
      </c>
      <c r="OD98" s="49"/>
      <c r="OE98" s="50">
        <v>500</v>
      </c>
      <c r="OF98" s="48">
        <v>500</v>
      </c>
      <c r="OG98" s="43">
        <v>0</v>
      </c>
      <c r="OH98" s="49"/>
      <c r="OI98" s="50">
        <v>2600</v>
      </c>
      <c r="OJ98" s="48">
        <v>2600</v>
      </c>
      <c r="OK98" s="43">
        <v>0</v>
      </c>
      <c r="OL98" s="49"/>
      <c r="OM98" s="50">
        <v>0</v>
      </c>
      <c r="ON98" s="48">
        <v>0</v>
      </c>
      <c r="OO98" s="48">
        <v>0</v>
      </c>
      <c r="OP98" s="48">
        <v>0</v>
      </c>
      <c r="OQ98" s="43">
        <v>0</v>
      </c>
      <c r="OR98" s="49"/>
      <c r="OS98" s="50">
        <v>70</v>
      </c>
      <c r="OT98" s="48">
        <v>77</v>
      </c>
      <c r="OU98" s="43">
        <v>-7</v>
      </c>
      <c r="OV98" s="49"/>
      <c r="OW98" s="50">
        <v>0</v>
      </c>
      <c r="OX98" s="17">
        <v>500</v>
      </c>
      <c r="OY98" s="48">
        <v>0</v>
      </c>
      <c r="OZ98" s="17">
        <v>479</v>
      </c>
      <c r="PA98" s="43">
        <v>11</v>
      </c>
      <c r="PB98" s="49"/>
      <c r="PC98" s="50">
        <v>0</v>
      </c>
      <c r="PD98" s="48">
        <v>0</v>
      </c>
      <c r="PE98" s="43">
        <v>0</v>
      </c>
      <c r="PF98" s="49"/>
      <c r="PG98" s="50">
        <v>0</v>
      </c>
      <c r="PH98" s="48">
        <v>0</v>
      </c>
      <c r="PI98" s="48">
        <v>600</v>
      </c>
      <c r="PJ98" s="48">
        <v>600</v>
      </c>
      <c r="PK98" s="43">
        <v>0</v>
      </c>
      <c r="PL98" s="49"/>
      <c r="PM98" s="47">
        <v>0</v>
      </c>
      <c r="PN98" s="48">
        <v>0</v>
      </c>
      <c r="PO98" s="48">
        <v>0</v>
      </c>
      <c r="PP98" s="17">
        <v>50</v>
      </c>
      <c r="PQ98" s="43">
        <v>0</v>
      </c>
      <c r="PR98" s="49"/>
      <c r="PS98" s="47">
        <v>350</v>
      </c>
      <c r="PT98" s="43">
        <v>350</v>
      </c>
      <c r="PU98" s="43">
        <v>500</v>
      </c>
      <c r="PV98" s="43">
        <v>500</v>
      </c>
      <c r="PW98" s="43">
        <v>0</v>
      </c>
      <c r="PX98" s="46"/>
      <c r="PY98" s="47">
        <v>360</v>
      </c>
      <c r="PZ98" s="43">
        <v>360</v>
      </c>
      <c r="QA98" s="43">
        <v>0</v>
      </c>
      <c r="QB98" s="46"/>
      <c r="QC98" s="47">
        <v>190</v>
      </c>
      <c r="QD98" s="43">
        <v>197</v>
      </c>
      <c r="QE98" s="43">
        <v>250</v>
      </c>
      <c r="QF98" s="43">
        <v>250</v>
      </c>
      <c r="QG98" s="43">
        <v>-7</v>
      </c>
      <c r="QH98" s="46"/>
      <c r="QI98" s="47">
        <v>100</v>
      </c>
      <c r="QJ98" s="43">
        <v>100</v>
      </c>
      <c r="QK98" s="43">
        <v>150</v>
      </c>
      <c r="QL98" s="43">
        <v>150</v>
      </c>
      <c r="QM98" s="43">
        <v>0</v>
      </c>
      <c r="QN98" s="46"/>
      <c r="QO98" s="47">
        <v>160</v>
      </c>
      <c r="QP98" s="43">
        <v>159</v>
      </c>
      <c r="QQ98" s="43">
        <v>120</v>
      </c>
      <c r="QR98" s="43">
        <v>200</v>
      </c>
      <c r="QS98" s="42">
        <v>-79</v>
      </c>
      <c r="QT98" s="46">
        <v>32.39</v>
      </c>
      <c r="QU98" s="47">
        <v>50</v>
      </c>
      <c r="QV98" s="43">
        <v>50</v>
      </c>
      <c r="QW98" s="43">
        <v>0</v>
      </c>
      <c r="QX98" s="46"/>
      <c r="QY98" s="47">
        <v>0</v>
      </c>
      <c r="QZ98" s="43">
        <v>0</v>
      </c>
      <c r="RA98" s="43">
        <v>560</v>
      </c>
      <c r="RB98" s="43">
        <v>583</v>
      </c>
      <c r="RC98" s="42">
        <v>-23</v>
      </c>
      <c r="RD98" s="46">
        <v>9.43</v>
      </c>
    </row>
    <row r="99" spans="1:472" x14ac:dyDescent="0.25">
      <c r="A99" s="43" t="s">
        <v>387</v>
      </c>
      <c r="B99" s="44">
        <v>0.41</v>
      </c>
      <c r="F99">
        <v>30</v>
      </c>
      <c r="I99" s="47"/>
      <c r="J99" s="51"/>
      <c r="K99" s="52">
        <v>40</v>
      </c>
      <c r="L99" s="52">
        <v>45</v>
      </c>
      <c r="M99" s="51">
        <f t="shared" si="12"/>
        <v>-5</v>
      </c>
      <c r="N99" s="46"/>
      <c r="O99" s="47"/>
      <c r="P99" s="51"/>
      <c r="Q99" s="51"/>
      <c r="R99" s="51"/>
      <c r="S99" s="51">
        <f t="shared" si="13"/>
        <v>0</v>
      </c>
      <c r="T99" s="46"/>
      <c r="U99" s="45">
        <v>20</v>
      </c>
      <c r="V99" s="52">
        <v>20</v>
      </c>
      <c r="W99" s="52">
        <v>30</v>
      </c>
      <c r="X99" s="52">
        <v>34</v>
      </c>
      <c r="Y99" s="51">
        <f t="shared" si="14"/>
        <v>-4</v>
      </c>
      <c r="Z99" s="46"/>
      <c r="AA99" s="51"/>
      <c r="AE99" s="43">
        <v>0</v>
      </c>
      <c r="AF99" s="46"/>
      <c r="AG99" s="45">
        <v>10</v>
      </c>
      <c r="AH99">
        <v>10</v>
      </c>
      <c r="AI99">
        <v>20</v>
      </c>
      <c r="AJ99">
        <v>20</v>
      </c>
      <c r="AK99" s="43">
        <v>0</v>
      </c>
      <c r="AL99" s="46"/>
      <c r="AQ99" s="43">
        <v>0</v>
      </c>
      <c r="AR99" s="46"/>
      <c r="AW99" s="43">
        <v>0</v>
      </c>
      <c r="AX99" s="46"/>
      <c r="AY99" s="47"/>
      <c r="BA99">
        <v>50</v>
      </c>
      <c r="BB99">
        <v>57</v>
      </c>
      <c r="BC99" s="43">
        <v>-7</v>
      </c>
      <c r="BD99" s="46"/>
      <c r="BE99" s="47"/>
      <c r="BI99" s="43">
        <v>0</v>
      </c>
      <c r="BJ99" s="46"/>
      <c r="BP99" s="43">
        <v>0</v>
      </c>
      <c r="BQ99" s="46"/>
      <c r="BT99" s="43">
        <v>0</v>
      </c>
      <c r="BU99" s="46"/>
      <c r="BV99" s="45">
        <v>40</v>
      </c>
      <c r="BW99">
        <v>38</v>
      </c>
      <c r="BX99">
        <v>10</v>
      </c>
      <c r="BY99">
        <v>17</v>
      </c>
      <c r="BZ99" s="43">
        <v>-5</v>
      </c>
      <c r="CA99" s="46"/>
      <c r="CF99" s="43">
        <v>0</v>
      </c>
      <c r="CG99" s="46"/>
      <c r="CL99" s="43">
        <v>0</v>
      </c>
      <c r="CM99" s="46"/>
      <c r="CN99" s="47"/>
      <c r="CP99" s="43">
        <v>50</v>
      </c>
      <c r="CQ99" s="43">
        <v>50</v>
      </c>
      <c r="CR99" s="43">
        <v>0</v>
      </c>
      <c r="CS99" s="46"/>
      <c r="CX99" s="43">
        <v>0</v>
      </c>
      <c r="CY99" s="46"/>
      <c r="CZ99" s="47"/>
      <c r="DD99" s="43">
        <v>0</v>
      </c>
      <c r="DE99" s="46"/>
      <c r="DF99" s="47"/>
      <c r="DL99" s="43">
        <v>0</v>
      </c>
      <c r="DM99" s="46"/>
      <c r="DN99" s="47"/>
      <c r="DR99" s="43">
        <v>0</v>
      </c>
      <c r="DS99" s="46"/>
      <c r="EA99" s="46"/>
      <c r="EB99" s="47"/>
      <c r="EG99" s="46"/>
      <c r="EH99" s="47"/>
      <c r="EM99" s="46"/>
      <c r="EN99" s="47"/>
      <c r="ES99" s="46"/>
      <c r="FA99" s="46"/>
      <c r="FH99" s="46"/>
      <c r="FI99" s="47"/>
      <c r="FM99" s="46"/>
      <c r="FN99" s="47"/>
      <c r="FR99" s="46"/>
      <c r="FX99" s="46"/>
      <c r="FY99" s="47"/>
      <c r="GE99" s="46"/>
      <c r="GK99" s="46"/>
      <c r="GL99" s="47"/>
      <c r="GQ99" s="46"/>
      <c r="GW99" s="46"/>
      <c r="GX99" s="47"/>
      <c r="HA99" s="46"/>
      <c r="HB99" s="47"/>
      <c r="HG99" s="46"/>
      <c r="HH99" s="47"/>
      <c r="HK99" s="46"/>
      <c r="HL99" s="47"/>
      <c r="HQ99" s="46"/>
      <c r="HY99" s="46"/>
      <c r="HZ99" s="47"/>
      <c r="IE99" s="46"/>
      <c r="IK99" s="49"/>
      <c r="IQ99" s="49"/>
      <c r="IW99" s="49"/>
      <c r="JC99" s="46"/>
      <c r="JG99" s="49"/>
      <c r="JM99" s="46"/>
      <c r="JN99" s="45"/>
      <c r="JQ99" s="49"/>
      <c r="JW99" s="49"/>
      <c r="KC99" s="49"/>
      <c r="KD99" s="48"/>
      <c r="KF99" s="48"/>
      <c r="KG99" s="48"/>
      <c r="KI99" s="49"/>
      <c r="KJ99" s="48"/>
      <c r="KO99" s="49"/>
      <c r="KP99" s="45"/>
      <c r="KW99" s="49"/>
      <c r="KX99" s="48"/>
      <c r="KY99" s="48"/>
      <c r="KZ99" s="48"/>
      <c r="LA99" s="48"/>
      <c r="LC99" s="49"/>
      <c r="LD99" s="48"/>
      <c r="LE99" s="48"/>
      <c r="LF99" s="48"/>
      <c r="LG99" s="48"/>
      <c r="LI99" s="49"/>
      <c r="LJ99" s="50"/>
      <c r="LK99" s="48"/>
      <c r="LM99" s="49"/>
      <c r="LN99" s="50"/>
      <c r="LO99" s="48"/>
      <c r="LP99" s="48"/>
      <c r="LQ99" s="48"/>
      <c r="LR99" s="48"/>
      <c r="LT99" s="49"/>
      <c r="LU99" s="50"/>
      <c r="LV99" s="48"/>
      <c r="LW99" s="48"/>
      <c r="LX99" s="48"/>
      <c r="LZ99" s="49"/>
      <c r="MA99" s="50"/>
      <c r="MB99" s="48"/>
      <c r="MD99" s="49"/>
      <c r="ME99" s="50"/>
      <c r="MF99" s="48"/>
      <c r="MG99" s="48"/>
      <c r="MH99" s="48"/>
      <c r="MJ99" s="49"/>
      <c r="MK99" s="50"/>
      <c r="ML99" s="48"/>
      <c r="MN99" s="49"/>
      <c r="MO99" s="50"/>
      <c r="MP99" s="48"/>
      <c r="MQ99" s="48"/>
      <c r="MR99" s="48"/>
      <c r="MT99" s="49"/>
      <c r="MU99" s="48"/>
      <c r="MV99" s="46"/>
      <c r="MW99" s="48"/>
      <c r="MX99" s="48"/>
      <c r="MZ99" s="49"/>
      <c r="NA99" s="50"/>
      <c r="NB99" s="48"/>
      <c r="NC99" s="48"/>
      <c r="ND99" s="48"/>
      <c r="NF99" s="49"/>
      <c r="NG99" s="50"/>
      <c r="NH99" s="48"/>
      <c r="NI99" s="48"/>
      <c r="NJ99" s="48"/>
      <c r="NL99" s="49"/>
      <c r="NM99" s="50"/>
      <c r="NN99" s="48"/>
      <c r="NO99" s="48"/>
      <c r="NP99" s="48"/>
      <c r="NR99" s="49"/>
      <c r="NS99" s="50"/>
      <c r="NT99" s="48"/>
      <c r="NU99" s="48"/>
      <c r="NV99" s="48"/>
      <c r="NX99" s="49"/>
      <c r="NY99" s="50"/>
      <c r="NZ99" s="48"/>
      <c r="OA99" s="48"/>
      <c r="OB99" s="48"/>
      <c r="OD99" s="49"/>
      <c r="OE99" s="50"/>
      <c r="OF99" s="48"/>
      <c r="OH99" s="49"/>
      <c r="OI99" s="50"/>
      <c r="OJ99" s="48"/>
      <c r="OL99" s="49"/>
      <c r="OM99" s="50"/>
      <c r="ON99" s="48"/>
      <c r="OO99" s="48"/>
      <c r="OP99" s="48"/>
      <c r="OR99" s="49"/>
      <c r="OS99" s="50"/>
      <c r="OT99" s="48"/>
      <c r="OV99" s="49"/>
      <c r="OW99" s="50"/>
      <c r="OX99" s="48"/>
      <c r="OY99" s="48"/>
      <c r="OZ99" s="48"/>
      <c r="PB99" s="49"/>
      <c r="PC99" s="50"/>
      <c r="PD99" s="48"/>
      <c r="PF99" s="49"/>
      <c r="PG99" s="50"/>
      <c r="PH99" s="48"/>
      <c r="PI99" s="48"/>
      <c r="PJ99" s="48"/>
      <c r="PL99" s="49"/>
      <c r="PM99" s="47"/>
      <c r="PN99" s="48"/>
      <c r="PO99" s="48"/>
      <c r="PP99" s="48"/>
      <c r="PR99" s="49"/>
      <c r="PS99" s="47"/>
      <c r="PX99" s="46"/>
      <c r="PY99" s="47"/>
      <c r="QB99" s="46"/>
      <c r="QC99" s="47"/>
      <c r="QH99" s="46"/>
      <c r="QI99" s="47"/>
      <c r="QN99" s="46"/>
      <c r="QO99" s="47"/>
      <c r="QT99" s="46"/>
      <c r="QU99" s="47"/>
      <c r="QX99" s="46"/>
      <c r="QY99" s="47"/>
      <c r="RD99" s="46"/>
    </row>
    <row r="100" spans="1:472" x14ac:dyDescent="0.25">
      <c r="A100" s="43" t="s">
        <v>388</v>
      </c>
      <c r="B100" s="44">
        <v>0.41</v>
      </c>
      <c r="I100" s="47"/>
      <c r="J100" s="51"/>
      <c r="K100" s="51"/>
      <c r="L100" s="51"/>
      <c r="M100" s="51">
        <f t="shared" si="12"/>
        <v>0</v>
      </c>
      <c r="N100" s="46"/>
      <c r="O100" s="47"/>
      <c r="P100" s="51"/>
      <c r="Q100" s="51"/>
      <c r="R100" s="51"/>
      <c r="S100" s="51">
        <f t="shared" si="13"/>
        <v>0</v>
      </c>
      <c r="T100" s="46"/>
      <c r="U100" s="47"/>
      <c r="V100" s="51"/>
      <c r="W100" s="51"/>
      <c r="X100" s="51"/>
      <c r="Y100" s="51">
        <f t="shared" si="14"/>
        <v>0</v>
      </c>
      <c r="Z100" s="46"/>
      <c r="AA100" s="51"/>
      <c r="AE100" s="43">
        <v>0</v>
      </c>
      <c r="AF100" s="46"/>
      <c r="AG100" s="47"/>
      <c r="AK100" s="43">
        <v>0</v>
      </c>
      <c r="AL100" s="46"/>
      <c r="AQ100" s="43">
        <v>0</v>
      </c>
      <c r="AR100" s="46"/>
      <c r="AW100" s="43">
        <v>0</v>
      </c>
      <c r="AX100" s="46"/>
      <c r="AY100" s="47"/>
      <c r="BC100" s="43">
        <v>0</v>
      </c>
      <c r="BD100" s="46"/>
      <c r="BE100" s="47"/>
      <c r="BI100" s="43">
        <v>0</v>
      </c>
      <c r="BJ100" s="46"/>
      <c r="BP100" s="43">
        <v>0</v>
      </c>
      <c r="BQ100" s="46"/>
      <c r="BT100" s="43">
        <v>0</v>
      </c>
      <c r="BU100" s="46"/>
      <c r="BV100" s="47"/>
      <c r="BZ100" s="43">
        <v>0</v>
      </c>
      <c r="CA100" s="46"/>
      <c r="CF100" s="43">
        <v>0</v>
      </c>
      <c r="CG100" s="46"/>
      <c r="CL100" s="43">
        <v>0</v>
      </c>
      <c r="CM100" s="46"/>
      <c r="CN100" s="47"/>
      <c r="CR100" s="43">
        <v>0</v>
      </c>
      <c r="CS100" s="46"/>
      <c r="CX100" s="43">
        <v>0</v>
      </c>
      <c r="CY100" s="46"/>
      <c r="CZ100" s="47"/>
      <c r="DD100" s="43">
        <v>0</v>
      </c>
      <c r="DE100" s="46"/>
      <c r="DF100" s="47"/>
      <c r="DL100" s="43">
        <v>0</v>
      </c>
      <c r="DM100" s="46"/>
      <c r="DN100" s="47"/>
      <c r="DR100" s="43">
        <v>0</v>
      </c>
      <c r="DS100" s="46"/>
      <c r="DZ100" s="43">
        <v>0</v>
      </c>
      <c r="EA100" s="46"/>
      <c r="EB100" s="47"/>
      <c r="EF100" s="43">
        <v>0</v>
      </c>
      <c r="EG100" s="46"/>
      <c r="EH100" s="47"/>
      <c r="EL100" s="43">
        <v>0</v>
      </c>
      <c r="EM100" s="46"/>
      <c r="EN100" s="47"/>
      <c r="ER100" s="43">
        <v>0</v>
      </c>
      <c r="ES100" s="46"/>
      <c r="EZ100" s="43">
        <v>0</v>
      </c>
      <c r="FA100" s="46"/>
      <c r="FG100" s="43">
        <v>0</v>
      </c>
      <c r="FH100" s="46"/>
      <c r="FI100" s="47"/>
      <c r="FL100" s="43">
        <v>0</v>
      </c>
      <c r="FM100" s="46"/>
      <c r="FN100" s="47"/>
      <c r="FQ100" s="43">
        <v>0</v>
      </c>
      <c r="FR100" s="46"/>
      <c r="FW100" s="43">
        <v>0</v>
      </c>
      <c r="FX100" s="46"/>
      <c r="FY100" s="47"/>
      <c r="GD100" s="43">
        <v>0</v>
      </c>
      <c r="GE100" s="46"/>
      <c r="GJ100" s="43">
        <v>0</v>
      </c>
      <c r="GK100" s="46"/>
      <c r="GL100" s="47"/>
      <c r="GP100" s="43">
        <v>0</v>
      </c>
      <c r="GQ100" s="46"/>
      <c r="GV100" s="43">
        <v>0</v>
      </c>
      <c r="GW100" s="46"/>
      <c r="GX100" s="47"/>
      <c r="GZ100" s="43">
        <v>0</v>
      </c>
      <c r="HA100" s="46"/>
      <c r="HB100" s="47"/>
      <c r="HF100" s="43">
        <v>0</v>
      </c>
      <c r="HG100" s="46"/>
      <c r="HH100" s="47"/>
      <c r="HJ100" s="43">
        <v>0</v>
      </c>
      <c r="HK100" s="46"/>
      <c r="HL100" s="47"/>
      <c r="HP100" s="43">
        <v>0</v>
      </c>
      <c r="HQ100" s="46"/>
      <c r="HX100" s="43">
        <v>0</v>
      </c>
      <c r="HY100" s="46"/>
      <c r="HZ100" s="47"/>
      <c r="ID100" s="43">
        <v>0</v>
      </c>
      <c r="IE100" s="46"/>
      <c r="IJ100" s="43">
        <v>0</v>
      </c>
      <c r="IK100" s="49"/>
      <c r="IP100" s="43">
        <v>0</v>
      </c>
      <c r="IQ100" s="49"/>
      <c r="IR100">
        <v>450</v>
      </c>
      <c r="IS100">
        <v>450</v>
      </c>
      <c r="IT100">
        <v>400</v>
      </c>
      <c r="IU100">
        <v>400</v>
      </c>
      <c r="IV100" s="43">
        <v>0</v>
      </c>
      <c r="IW100" s="49"/>
      <c r="IX100">
        <v>280</v>
      </c>
      <c r="IY100">
        <v>280</v>
      </c>
      <c r="IZ100">
        <v>220</v>
      </c>
      <c r="JA100">
        <v>220</v>
      </c>
      <c r="JB100" s="43">
        <v>0</v>
      </c>
      <c r="JC100" s="46"/>
      <c r="JD100">
        <v>130</v>
      </c>
      <c r="JE100">
        <v>135</v>
      </c>
      <c r="JF100" s="43">
        <v>-5</v>
      </c>
      <c r="JG100" s="49"/>
      <c r="JH100">
        <v>100</v>
      </c>
      <c r="JI100">
        <v>100</v>
      </c>
      <c r="JJ100">
        <v>100</v>
      </c>
      <c r="JK100">
        <v>106</v>
      </c>
      <c r="JL100" s="43">
        <v>-6</v>
      </c>
      <c r="JM100" s="46"/>
      <c r="JN100" s="45">
        <v>650</v>
      </c>
      <c r="JO100" s="48">
        <v>650</v>
      </c>
      <c r="JP100" s="43">
        <v>0</v>
      </c>
      <c r="JQ100" s="49"/>
      <c r="JT100">
        <v>100</v>
      </c>
      <c r="JU100">
        <v>100</v>
      </c>
      <c r="JV100" s="43">
        <v>0</v>
      </c>
      <c r="JW100" s="49"/>
      <c r="JZ100">
        <v>500</v>
      </c>
      <c r="KA100">
        <v>500</v>
      </c>
      <c r="KB100" s="43">
        <v>0</v>
      </c>
      <c r="KC100" s="49"/>
      <c r="KH100" s="43">
        <v>0</v>
      </c>
      <c r="KI100" s="49"/>
      <c r="KJ100">
        <v>300</v>
      </c>
      <c r="KK100">
        <v>300</v>
      </c>
      <c r="KL100">
        <v>400</v>
      </c>
      <c r="KM100">
        <v>400</v>
      </c>
      <c r="KN100" s="43">
        <v>0</v>
      </c>
      <c r="KO100" s="49"/>
      <c r="KP100" s="45">
        <v>180</v>
      </c>
      <c r="KQ100">
        <v>180</v>
      </c>
      <c r="KR100">
        <v>200</v>
      </c>
      <c r="KS100">
        <v>200</v>
      </c>
      <c r="KT100">
        <v>150</v>
      </c>
      <c r="KU100">
        <v>150</v>
      </c>
      <c r="KV100" s="43">
        <v>0</v>
      </c>
      <c r="KW100" s="49"/>
      <c r="KX100" s="48">
        <v>0</v>
      </c>
      <c r="KY100" s="48">
        <v>0</v>
      </c>
      <c r="KZ100" s="48">
        <v>90</v>
      </c>
      <c r="LA100" s="48">
        <v>92</v>
      </c>
      <c r="LB100" s="43">
        <v>-2</v>
      </c>
      <c r="LC100" s="49"/>
      <c r="LD100" s="48">
        <v>200</v>
      </c>
      <c r="LE100" s="48">
        <v>200</v>
      </c>
      <c r="LF100" s="48">
        <v>250</v>
      </c>
      <c r="LG100" s="48">
        <v>250</v>
      </c>
      <c r="LH100" s="43">
        <v>0</v>
      </c>
      <c r="LI100" s="49"/>
      <c r="LJ100" s="50">
        <v>240</v>
      </c>
      <c r="LK100" s="48">
        <v>240</v>
      </c>
      <c r="LL100" s="43">
        <v>0</v>
      </c>
      <c r="LM100" s="49"/>
      <c r="LN100" s="50">
        <v>350</v>
      </c>
      <c r="LO100" s="48">
        <v>350</v>
      </c>
      <c r="LP100" s="48">
        <v>270</v>
      </c>
      <c r="LQ100" s="48">
        <v>0</v>
      </c>
      <c r="LR100" s="48">
        <v>270</v>
      </c>
      <c r="LS100" s="43">
        <v>0</v>
      </c>
      <c r="LT100" s="49"/>
      <c r="LU100" s="50">
        <v>0</v>
      </c>
      <c r="LV100" s="48">
        <v>0</v>
      </c>
      <c r="LW100" s="48">
        <v>0</v>
      </c>
      <c r="LX100" s="48">
        <v>0</v>
      </c>
      <c r="LY100" s="43">
        <v>0</v>
      </c>
      <c r="LZ100" s="49"/>
      <c r="MA100" s="50">
        <v>670</v>
      </c>
      <c r="MB100" s="48">
        <v>680</v>
      </c>
      <c r="MC100" s="42">
        <v>-10</v>
      </c>
      <c r="MD100" s="49">
        <v>4.0999999999999996</v>
      </c>
      <c r="ME100" s="50">
        <v>0</v>
      </c>
      <c r="MF100" s="48">
        <v>0</v>
      </c>
      <c r="MG100" s="48">
        <v>40</v>
      </c>
      <c r="MH100" s="48">
        <v>40</v>
      </c>
      <c r="MI100" s="43">
        <v>0</v>
      </c>
      <c r="MJ100" s="49"/>
      <c r="MK100" s="50">
        <v>330</v>
      </c>
      <c r="ML100" s="48">
        <v>330</v>
      </c>
      <c r="MM100" s="43">
        <v>0</v>
      </c>
      <c r="MN100" s="49"/>
      <c r="MO100" s="50">
        <v>50</v>
      </c>
      <c r="MP100" s="48">
        <v>50</v>
      </c>
      <c r="MQ100" s="48">
        <v>150</v>
      </c>
      <c r="MR100" s="48">
        <v>148</v>
      </c>
      <c r="MS100" s="43">
        <v>2</v>
      </c>
      <c r="MT100" s="49"/>
      <c r="MU100" s="48">
        <v>50</v>
      </c>
      <c r="MV100" s="46">
        <v>-20.5</v>
      </c>
      <c r="MW100" s="48">
        <v>0</v>
      </c>
      <c r="MX100" s="48">
        <v>50</v>
      </c>
      <c r="MY100" s="42">
        <v>-50</v>
      </c>
      <c r="MZ100" s="49">
        <v>20.5</v>
      </c>
      <c r="NA100" s="50">
        <v>0</v>
      </c>
      <c r="NB100" s="48">
        <v>0</v>
      </c>
      <c r="NC100" s="48">
        <v>0</v>
      </c>
      <c r="ND100" s="48">
        <v>0</v>
      </c>
      <c r="NE100" s="43">
        <v>0</v>
      </c>
      <c r="NF100" s="49"/>
      <c r="NG100" s="25">
        <v>100</v>
      </c>
      <c r="NH100" s="48">
        <v>0</v>
      </c>
      <c r="NI100" s="48">
        <v>0</v>
      </c>
      <c r="NJ100" s="48">
        <v>0</v>
      </c>
      <c r="NK100" s="43">
        <v>100</v>
      </c>
      <c r="NL100" s="49"/>
      <c r="NM100" s="50">
        <v>300</v>
      </c>
      <c r="NN100" s="48">
        <v>300</v>
      </c>
      <c r="NO100" s="48">
        <v>350</v>
      </c>
      <c r="NP100" s="48">
        <v>350</v>
      </c>
      <c r="NQ100" s="43">
        <v>0</v>
      </c>
      <c r="NR100" s="49"/>
      <c r="NS100" s="50">
        <v>100</v>
      </c>
      <c r="NT100" s="48">
        <v>200</v>
      </c>
      <c r="NU100" s="48">
        <v>400</v>
      </c>
      <c r="NV100" s="48">
        <v>400</v>
      </c>
      <c r="NW100" s="42">
        <v>-100</v>
      </c>
      <c r="NX100" s="49">
        <v>41</v>
      </c>
      <c r="NY100" s="50">
        <v>0</v>
      </c>
      <c r="NZ100" s="48">
        <v>0</v>
      </c>
      <c r="OA100" s="32">
        <v>470</v>
      </c>
      <c r="OB100" s="48">
        <v>70</v>
      </c>
      <c r="OC100" s="43">
        <v>400</v>
      </c>
      <c r="OD100" s="49"/>
      <c r="OE100" s="50">
        <v>500</v>
      </c>
      <c r="OF100" s="48">
        <v>500</v>
      </c>
      <c r="OG100" s="43">
        <v>0</v>
      </c>
      <c r="OH100" s="49"/>
      <c r="OI100" s="50">
        <v>150</v>
      </c>
      <c r="OJ100" s="48">
        <v>148</v>
      </c>
      <c r="OK100" s="43">
        <v>2</v>
      </c>
      <c r="OL100" s="49"/>
      <c r="OM100" s="50">
        <v>0</v>
      </c>
      <c r="ON100" s="48">
        <v>0</v>
      </c>
      <c r="OO100" s="48">
        <v>70</v>
      </c>
      <c r="OP100" s="48">
        <v>70</v>
      </c>
      <c r="OQ100" s="43">
        <v>0</v>
      </c>
      <c r="OR100" s="49"/>
      <c r="OS100" s="50">
        <v>100</v>
      </c>
      <c r="OT100" s="48">
        <v>100</v>
      </c>
      <c r="OU100" s="43">
        <v>0</v>
      </c>
      <c r="OV100" s="49"/>
      <c r="OW100" s="50">
        <v>180</v>
      </c>
      <c r="OX100" s="48">
        <v>180</v>
      </c>
      <c r="OY100" s="48">
        <v>140</v>
      </c>
      <c r="OZ100" s="48">
        <v>140</v>
      </c>
      <c r="PA100" s="43">
        <v>0</v>
      </c>
      <c r="PB100" s="49"/>
      <c r="PC100" s="50">
        <v>150</v>
      </c>
      <c r="PD100" s="48">
        <v>98</v>
      </c>
      <c r="PE100" s="43">
        <v>52</v>
      </c>
      <c r="PF100" s="49"/>
      <c r="PG100" s="50">
        <v>0</v>
      </c>
      <c r="PH100" s="48">
        <v>0</v>
      </c>
      <c r="PI100" s="48">
        <v>0</v>
      </c>
      <c r="PJ100" s="48">
        <v>0</v>
      </c>
      <c r="PK100" s="43">
        <v>0</v>
      </c>
      <c r="PL100" s="49"/>
      <c r="PM100" s="47">
        <v>0</v>
      </c>
      <c r="PN100" s="48">
        <v>0</v>
      </c>
      <c r="PO100" s="48">
        <v>120</v>
      </c>
      <c r="PP100" s="48">
        <v>127</v>
      </c>
      <c r="PQ100" s="43">
        <v>-7</v>
      </c>
      <c r="PR100" s="49"/>
      <c r="PS100" s="47">
        <v>80</v>
      </c>
      <c r="PT100" s="43">
        <v>110</v>
      </c>
      <c r="PU100" s="43">
        <v>100</v>
      </c>
      <c r="PV100" s="43">
        <v>100</v>
      </c>
      <c r="PW100" s="42">
        <v>-30</v>
      </c>
      <c r="PX100" s="46">
        <v>12.3</v>
      </c>
      <c r="PY100" s="47">
        <v>70</v>
      </c>
      <c r="PZ100" s="43">
        <v>70</v>
      </c>
      <c r="QA100" s="43">
        <v>0</v>
      </c>
      <c r="QB100" s="46"/>
      <c r="QC100" s="47">
        <v>0</v>
      </c>
      <c r="QD100" s="43">
        <v>0</v>
      </c>
      <c r="QE100" s="43">
        <v>0</v>
      </c>
      <c r="QF100" s="43">
        <v>0</v>
      </c>
      <c r="QG100" s="43">
        <v>0</v>
      </c>
      <c r="QH100" s="46"/>
      <c r="QI100" s="47">
        <v>40</v>
      </c>
      <c r="QJ100" s="43">
        <v>40</v>
      </c>
      <c r="QK100" s="43">
        <v>0</v>
      </c>
      <c r="QL100" s="43">
        <v>0</v>
      </c>
      <c r="QM100" s="43">
        <v>0</v>
      </c>
      <c r="QN100" s="46"/>
      <c r="QO100" s="47">
        <v>60</v>
      </c>
      <c r="QP100" s="43">
        <v>60</v>
      </c>
      <c r="QQ100" s="43">
        <v>200</v>
      </c>
      <c r="QR100" s="43">
        <v>70</v>
      </c>
      <c r="QS100" s="43">
        <v>130</v>
      </c>
      <c r="QT100" s="46"/>
      <c r="QU100" s="47">
        <v>100</v>
      </c>
      <c r="QV100" s="43">
        <v>100</v>
      </c>
      <c r="QW100" s="43">
        <v>0</v>
      </c>
      <c r="QX100" s="46"/>
      <c r="QY100" s="47">
        <v>0</v>
      </c>
      <c r="QZ100" s="43">
        <v>0</v>
      </c>
      <c r="RA100" s="43">
        <v>90</v>
      </c>
      <c r="RB100" s="43">
        <v>93</v>
      </c>
      <c r="RC100" s="43">
        <v>-3</v>
      </c>
      <c r="RD100" s="46"/>
    </row>
    <row r="101" spans="1:472" x14ac:dyDescent="0.25">
      <c r="A101" s="43" t="s">
        <v>389</v>
      </c>
      <c r="B101" s="44">
        <v>0.5</v>
      </c>
      <c r="I101" s="47"/>
      <c r="J101" s="51"/>
      <c r="K101" s="51"/>
      <c r="L101" s="51"/>
      <c r="M101" s="51">
        <f t="shared" si="12"/>
        <v>0</v>
      </c>
      <c r="N101" s="46"/>
      <c r="O101" s="47"/>
      <c r="P101" s="51"/>
      <c r="Q101" s="51"/>
      <c r="R101" s="51"/>
      <c r="S101" s="51">
        <f t="shared" si="13"/>
        <v>0</v>
      </c>
      <c r="T101" s="46"/>
      <c r="U101" s="47"/>
      <c r="V101" s="51"/>
      <c r="W101" s="51"/>
      <c r="X101" s="51"/>
      <c r="Y101" s="51">
        <f t="shared" si="14"/>
        <v>0</v>
      </c>
      <c r="Z101" s="46"/>
      <c r="AA101" s="51"/>
      <c r="AE101" s="43">
        <v>0</v>
      </c>
      <c r="AF101" s="46"/>
      <c r="AG101" s="47"/>
      <c r="AK101" s="43">
        <v>0</v>
      </c>
      <c r="AL101" s="46"/>
      <c r="AQ101" s="43">
        <v>0</v>
      </c>
      <c r="AR101" s="46"/>
      <c r="AW101" s="43">
        <v>0</v>
      </c>
      <c r="AX101" s="46"/>
      <c r="AY101" s="47"/>
      <c r="BC101" s="43">
        <v>0</v>
      </c>
      <c r="BD101" s="46"/>
      <c r="BE101" s="47"/>
      <c r="BI101" s="43">
        <v>0</v>
      </c>
      <c r="BJ101" s="46"/>
      <c r="BP101" s="43">
        <v>0</v>
      </c>
      <c r="BQ101" s="46"/>
      <c r="BT101" s="43">
        <v>0</v>
      </c>
      <c r="BU101" s="46"/>
      <c r="BV101" s="47"/>
      <c r="BZ101" s="43">
        <v>0</v>
      </c>
      <c r="CA101" s="46"/>
      <c r="CF101" s="43">
        <v>0</v>
      </c>
      <c r="CG101" s="46"/>
      <c r="CL101" s="43">
        <v>0</v>
      </c>
      <c r="CM101" s="46"/>
      <c r="CN101" s="47"/>
      <c r="CR101" s="43">
        <v>0</v>
      </c>
      <c r="CS101" s="46"/>
      <c r="CX101" s="43">
        <v>0</v>
      </c>
      <c r="CY101" s="46"/>
      <c r="CZ101" s="47"/>
      <c r="DD101" s="43">
        <v>0</v>
      </c>
      <c r="DE101" s="46"/>
      <c r="DF101" s="47"/>
      <c r="DL101" s="43">
        <v>0</v>
      </c>
      <c r="DM101" s="46"/>
      <c r="DN101" s="47"/>
      <c r="DR101" s="43">
        <v>0</v>
      </c>
      <c r="DS101" s="46"/>
      <c r="DZ101" s="43">
        <v>0</v>
      </c>
      <c r="EA101" s="46"/>
      <c r="EB101" s="47"/>
      <c r="EF101" s="43">
        <v>0</v>
      </c>
      <c r="EG101" s="46"/>
      <c r="EH101" s="47"/>
      <c r="EL101" s="43">
        <v>0</v>
      </c>
      <c r="EM101" s="46"/>
      <c r="EN101" s="47"/>
      <c r="ER101" s="43">
        <v>0</v>
      </c>
      <c r="ES101" s="46"/>
      <c r="EZ101" s="43">
        <v>0</v>
      </c>
      <c r="FA101" s="46"/>
      <c r="FG101" s="43">
        <v>0</v>
      </c>
      <c r="FH101" s="46"/>
      <c r="FI101" s="47"/>
      <c r="FL101" s="43">
        <v>0</v>
      </c>
      <c r="FM101" s="46"/>
      <c r="FN101" s="47"/>
      <c r="FQ101" s="43">
        <v>0</v>
      </c>
      <c r="FR101" s="46"/>
      <c r="FW101" s="43">
        <v>0</v>
      </c>
      <c r="FX101" s="46"/>
      <c r="FY101" s="47"/>
      <c r="GD101" s="43">
        <v>0</v>
      </c>
      <c r="GE101" s="46"/>
      <c r="GJ101" s="43">
        <v>0</v>
      </c>
      <c r="GK101" s="46"/>
      <c r="GL101" s="47"/>
      <c r="GP101" s="43">
        <v>0</v>
      </c>
      <c r="GQ101" s="46"/>
      <c r="GV101" s="43">
        <v>0</v>
      </c>
      <c r="GW101" s="46"/>
      <c r="GX101" s="47"/>
      <c r="GZ101" s="43">
        <v>0</v>
      </c>
      <c r="HA101" s="46"/>
      <c r="HB101" s="47"/>
      <c r="HF101" s="43">
        <v>0</v>
      </c>
      <c r="HG101" s="46"/>
      <c r="HH101" s="47"/>
      <c r="HJ101" s="43">
        <v>0</v>
      </c>
      <c r="HK101" s="46"/>
      <c r="HL101" s="47"/>
      <c r="HP101" s="43">
        <v>0</v>
      </c>
      <c r="HQ101" s="46"/>
      <c r="HX101" s="43">
        <v>0</v>
      </c>
      <c r="HY101" s="46"/>
      <c r="HZ101" s="47"/>
      <c r="ID101" s="43">
        <v>0</v>
      </c>
      <c r="IE101" s="46"/>
      <c r="IJ101" s="43">
        <v>0</v>
      </c>
      <c r="IK101" s="49"/>
      <c r="IP101" s="43">
        <v>0</v>
      </c>
      <c r="IQ101" s="49"/>
      <c r="IV101" s="43">
        <v>0</v>
      </c>
      <c r="IW101" s="49"/>
      <c r="JB101" s="43">
        <v>0</v>
      </c>
      <c r="JC101" s="46"/>
      <c r="JF101" s="43">
        <v>0</v>
      </c>
      <c r="JG101" s="49"/>
      <c r="JL101" s="43">
        <v>0</v>
      </c>
      <c r="JM101" s="46"/>
      <c r="JN101" s="50"/>
      <c r="JP101" s="43">
        <v>0</v>
      </c>
      <c r="JQ101" s="49"/>
      <c r="JV101" s="43">
        <v>0</v>
      </c>
      <c r="JW101" s="49"/>
      <c r="KB101" s="43">
        <v>0</v>
      </c>
      <c r="KC101" s="49"/>
      <c r="KH101" s="43">
        <v>0</v>
      </c>
      <c r="KI101" s="49"/>
      <c r="KN101" s="43">
        <v>0</v>
      </c>
      <c r="KO101" s="49"/>
      <c r="KP101" s="50"/>
      <c r="KV101" s="43">
        <v>0</v>
      </c>
      <c r="KW101" s="49"/>
      <c r="KX101" s="48">
        <v>0</v>
      </c>
      <c r="KY101" s="48">
        <v>0</v>
      </c>
      <c r="KZ101" s="48">
        <v>0</v>
      </c>
      <c r="LA101" s="48">
        <v>0</v>
      </c>
      <c r="LB101" s="43">
        <v>0</v>
      </c>
      <c r="LC101" s="49"/>
      <c r="LD101" s="48">
        <v>0</v>
      </c>
      <c r="LE101" s="48">
        <v>0</v>
      </c>
      <c r="LF101" s="48">
        <v>0</v>
      </c>
      <c r="LG101" s="48">
        <v>0</v>
      </c>
      <c r="LH101" s="43">
        <v>0</v>
      </c>
      <c r="LI101" s="49"/>
      <c r="LJ101" s="50">
        <v>0</v>
      </c>
      <c r="LK101" s="48">
        <v>0</v>
      </c>
      <c r="LL101" s="43">
        <v>0</v>
      </c>
      <c r="LM101" s="49"/>
      <c r="LN101" s="50">
        <v>0</v>
      </c>
      <c r="LO101" s="48">
        <v>0</v>
      </c>
      <c r="LP101" s="48">
        <v>0</v>
      </c>
      <c r="LQ101" s="48">
        <v>0</v>
      </c>
      <c r="LR101" s="48">
        <v>0</v>
      </c>
      <c r="LS101" s="43">
        <v>0</v>
      </c>
      <c r="LT101" s="49"/>
      <c r="LU101" s="50">
        <v>0</v>
      </c>
      <c r="LV101" s="48">
        <v>0</v>
      </c>
      <c r="LW101" s="48">
        <v>0</v>
      </c>
      <c r="LX101" s="48">
        <v>0</v>
      </c>
      <c r="LY101" s="43">
        <v>0</v>
      </c>
      <c r="LZ101" s="49"/>
      <c r="MA101" s="50">
        <v>0</v>
      </c>
      <c r="MB101" s="48">
        <v>0</v>
      </c>
      <c r="MC101" s="43">
        <v>0</v>
      </c>
      <c r="MD101" s="49"/>
      <c r="ME101" s="50">
        <v>0</v>
      </c>
      <c r="MF101" s="48">
        <v>0</v>
      </c>
      <c r="MG101" s="48">
        <v>0</v>
      </c>
      <c r="MH101" s="48">
        <v>0</v>
      </c>
      <c r="MI101" s="43">
        <v>0</v>
      </c>
      <c r="MJ101" s="49"/>
      <c r="MK101" s="50">
        <v>0</v>
      </c>
      <c r="ML101" s="48">
        <v>0</v>
      </c>
      <c r="MM101" s="43">
        <v>0</v>
      </c>
      <c r="MN101" s="49"/>
      <c r="MO101" s="50">
        <v>0</v>
      </c>
      <c r="MP101" s="48">
        <v>0</v>
      </c>
      <c r="MQ101" s="48">
        <v>0</v>
      </c>
      <c r="MR101" s="48">
        <v>0</v>
      </c>
      <c r="MS101" s="43">
        <v>0</v>
      </c>
      <c r="MT101" s="49"/>
      <c r="MU101" s="48">
        <v>0</v>
      </c>
      <c r="MV101" s="46"/>
      <c r="MW101" s="26">
        <v>80</v>
      </c>
      <c r="MX101" s="48">
        <v>0</v>
      </c>
      <c r="MY101" s="29">
        <v>80</v>
      </c>
      <c r="MZ101" s="49"/>
      <c r="NA101" s="50">
        <v>0</v>
      </c>
      <c r="NB101" s="48">
        <v>0</v>
      </c>
      <c r="NC101" s="48">
        <v>0</v>
      </c>
      <c r="ND101" s="48">
        <v>0</v>
      </c>
      <c r="NE101" s="43">
        <v>0</v>
      </c>
      <c r="NF101" s="49"/>
      <c r="NG101" s="50">
        <v>0</v>
      </c>
      <c r="NH101" s="48">
        <v>0</v>
      </c>
      <c r="NI101" s="48">
        <v>0</v>
      </c>
      <c r="NJ101" s="48">
        <v>0</v>
      </c>
      <c r="NK101" s="43">
        <v>0</v>
      </c>
      <c r="NL101" s="49"/>
      <c r="NM101" s="50">
        <v>0</v>
      </c>
      <c r="NN101" s="48">
        <v>0</v>
      </c>
      <c r="NO101" s="48">
        <v>0</v>
      </c>
      <c r="NP101" s="48">
        <v>0</v>
      </c>
      <c r="NQ101" s="43">
        <v>0</v>
      </c>
      <c r="NR101" s="49"/>
      <c r="NS101" s="50">
        <v>0</v>
      </c>
      <c r="NT101" s="48">
        <v>0</v>
      </c>
      <c r="NU101" s="48">
        <v>0</v>
      </c>
      <c r="NV101" s="48">
        <v>0</v>
      </c>
      <c r="NW101" s="43">
        <v>0</v>
      </c>
      <c r="NX101" s="49"/>
      <c r="NY101" s="50">
        <v>0</v>
      </c>
      <c r="NZ101" s="48">
        <v>0</v>
      </c>
      <c r="OA101" s="48">
        <v>0</v>
      </c>
      <c r="OB101" s="48">
        <v>0</v>
      </c>
      <c r="OC101" s="43">
        <v>0</v>
      </c>
      <c r="OD101" s="49"/>
      <c r="OE101" s="50">
        <v>0</v>
      </c>
      <c r="OF101" s="48">
        <v>0</v>
      </c>
      <c r="OG101" s="43">
        <v>0</v>
      </c>
      <c r="OH101" s="49"/>
      <c r="OI101" s="50">
        <v>0</v>
      </c>
      <c r="OJ101" s="17">
        <v>10</v>
      </c>
      <c r="OK101" s="43">
        <v>-2</v>
      </c>
      <c r="OL101" s="49"/>
      <c r="OM101" s="50">
        <v>0</v>
      </c>
      <c r="ON101" s="48">
        <v>0</v>
      </c>
      <c r="OO101" s="48">
        <v>0</v>
      </c>
      <c r="OP101" s="48">
        <v>0</v>
      </c>
      <c r="OQ101" s="43">
        <v>0</v>
      </c>
      <c r="OR101" s="49"/>
      <c r="OS101" s="50">
        <v>0</v>
      </c>
      <c r="OT101" s="48">
        <v>0</v>
      </c>
      <c r="OU101" s="43">
        <v>0</v>
      </c>
      <c r="OV101" s="49"/>
      <c r="OW101" s="50">
        <v>0</v>
      </c>
      <c r="OX101" s="48">
        <v>0</v>
      </c>
      <c r="OY101" s="48">
        <v>0</v>
      </c>
      <c r="OZ101" s="48">
        <v>0</v>
      </c>
      <c r="PA101" s="43">
        <v>0</v>
      </c>
      <c r="PB101" s="49"/>
      <c r="PC101" s="50">
        <v>0</v>
      </c>
      <c r="PD101" s="48">
        <v>0</v>
      </c>
      <c r="PE101" s="43">
        <v>0</v>
      </c>
      <c r="PF101" s="49"/>
      <c r="PG101" s="50">
        <v>0</v>
      </c>
      <c r="PH101" s="48">
        <v>0</v>
      </c>
      <c r="PI101" s="48">
        <v>8</v>
      </c>
      <c r="PJ101" s="48">
        <v>10</v>
      </c>
      <c r="PK101" s="43">
        <v>-2</v>
      </c>
      <c r="PL101" s="49"/>
      <c r="PM101" s="47">
        <v>0</v>
      </c>
      <c r="PN101" s="48">
        <v>0</v>
      </c>
      <c r="PO101" s="48">
        <v>72</v>
      </c>
      <c r="PP101" s="48">
        <v>72</v>
      </c>
      <c r="PQ101" s="43">
        <v>0</v>
      </c>
      <c r="PR101" s="49"/>
      <c r="PS101" s="47">
        <v>8</v>
      </c>
      <c r="PT101" s="43">
        <v>8</v>
      </c>
      <c r="PU101" s="43">
        <v>0</v>
      </c>
      <c r="PV101" s="43">
        <v>0</v>
      </c>
      <c r="PW101" s="43">
        <v>0</v>
      </c>
      <c r="PX101" s="46"/>
      <c r="PY101" s="47">
        <v>0</v>
      </c>
      <c r="PZ101" s="43">
        <v>0</v>
      </c>
      <c r="QA101" s="43">
        <v>0</v>
      </c>
      <c r="QB101" s="46"/>
      <c r="QC101" s="47">
        <v>48</v>
      </c>
      <c r="QD101" s="43">
        <v>50</v>
      </c>
      <c r="QE101" s="43">
        <v>0</v>
      </c>
      <c r="QF101" s="43">
        <v>0</v>
      </c>
      <c r="QG101" s="43">
        <v>-2</v>
      </c>
      <c r="QH101" s="46"/>
      <c r="QI101" s="47">
        <v>0</v>
      </c>
      <c r="QJ101" s="43">
        <v>0</v>
      </c>
      <c r="QK101" s="43">
        <v>0</v>
      </c>
      <c r="QL101" s="43">
        <v>0</v>
      </c>
      <c r="QM101" s="43">
        <v>0</v>
      </c>
      <c r="QN101" s="46"/>
      <c r="QO101" s="47">
        <v>32</v>
      </c>
      <c r="QP101" s="43">
        <v>30</v>
      </c>
      <c r="QQ101" s="43">
        <v>0</v>
      </c>
      <c r="QR101" s="43">
        <v>0</v>
      </c>
      <c r="QS101" s="43">
        <v>2</v>
      </c>
      <c r="QT101" s="46"/>
      <c r="QU101" s="47">
        <v>64</v>
      </c>
      <c r="QV101" s="43">
        <v>68</v>
      </c>
      <c r="QW101" s="43">
        <v>-4</v>
      </c>
      <c r="QX101" s="46"/>
      <c r="QY101" s="47">
        <v>0</v>
      </c>
      <c r="QZ101" s="43">
        <v>0</v>
      </c>
      <c r="RA101" s="43">
        <v>0</v>
      </c>
      <c r="RB101" s="43">
        <v>0</v>
      </c>
      <c r="RC101" s="43">
        <v>0</v>
      </c>
      <c r="RD101" s="46"/>
    </row>
    <row r="102" spans="1:472" x14ac:dyDescent="0.25">
      <c r="A102" s="43" t="s">
        <v>390</v>
      </c>
      <c r="B102" s="44">
        <v>0.41</v>
      </c>
      <c r="I102" s="47"/>
      <c r="J102" s="51"/>
      <c r="K102" s="51"/>
      <c r="L102" s="51"/>
      <c r="M102" s="51">
        <f t="shared" si="12"/>
        <v>0</v>
      </c>
      <c r="N102" s="46"/>
      <c r="O102" s="47"/>
      <c r="P102" s="51"/>
      <c r="Q102" s="51"/>
      <c r="R102" s="51"/>
      <c r="S102" s="51">
        <f t="shared" si="13"/>
        <v>0</v>
      </c>
      <c r="T102" s="46"/>
      <c r="U102" s="47"/>
      <c r="V102" s="51"/>
      <c r="W102" s="51"/>
      <c r="X102" s="51"/>
      <c r="Y102" s="51">
        <f t="shared" si="14"/>
        <v>0</v>
      </c>
      <c r="Z102" s="46"/>
      <c r="AA102" s="51"/>
      <c r="AE102" s="43">
        <v>0</v>
      </c>
      <c r="AF102" s="46"/>
      <c r="AG102" s="47"/>
      <c r="AK102" s="43">
        <v>0</v>
      </c>
      <c r="AL102" s="46"/>
      <c r="AQ102" s="43">
        <v>0</v>
      </c>
      <c r="AR102" s="46"/>
      <c r="AW102" s="43">
        <v>0</v>
      </c>
      <c r="AX102" s="46"/>
      <c r="AY102" s="47"/>
      <c r="BC102" s="43">
        <v>0</v>
      </c>
      <c r="BD102" s="46"/>
      <c r="BE102" s="47"/>
      <c r="BI102" s="43">
        <v>0</v>
      </c>
      <c r="BJ102" s="46"/>
      <c r="BP102" s="43">
        <v>0</v>
      </c>
      <c r="BQ102" s="46"/>
      <c r="BT102" s="43">
        <v>0</v>
      </c>
      <c r="BU102" s="46"/>
      <c r="BV102" s="47"/>
      <c r="BZ102" s="43">
        <v>0</v>
      </c>
      <c r="CA102" s="46"/>
      <c r="CF102" s="43">
        <v>0</v>
      </c>
      <c r="CG102" s="46"/>
      <c r="CL102" s="43">
        <v>0</v>
      </c>
      <c r="CM102" s="46"/>
      <c r="CN102" s="47"/>
      <c r="CR102" s="43">
        <v>0</v>
      </c>
      <c r="CS102" s="46"/>
      <c r="CX102" s="43">
        <v>0</v>
      </c>
      <c r="CY102" s="46"/>
      <c r="CZ102" s="47"/>
      <c r="DD102" s="43">
        <v>0</v>
      </c>
      <c r="DE102" s="46"/>
      <c r="DF102" s="47"/>
      <c r="DL102" s="43">
        <v>0</v>
      </c>
      <c r="DM102" s="46"/>
      <c r="DN102" s="47"/>
      <c r="DR102" s="43">
        <v>0</v>
      </c>
      <c r="DS102" s="46"/>
      <c r="DZ102" s="43">
        <v>0</v>
      </c>
      <c r="EA102" s="46"/>
      <c r="EB102" s="47"/>
      <c r="EF102" s="43">
        <v>0</v>
      </c>
      <c r="EG102" s="46"/>
      <c r="EH102" s="47"/>
      <c r="EL102" s="43">
        <v>0</v>
      </c>
      <c r="EM102" s="46"/>
      <c r="EN102" s="47"/>
      <c r="ER102" s="43">
        <v>0</v>
      </c>
      <c r="ES102" s="46"/>
      <c r="EZ102" s="43">
        <v>0</v>
      </c>
      <c r="FA102" s="46"/>
      <c r="FG102" s="43">
        <v>0</v>
      </c>
      <c r="FH102" s="46"/>
      <c r="FI102" s="47"/>
      <c r="FL102" s="43">
        <v>0</v>
      </c>
      <c r="FM102" s="46"/>
      <c r="FN102" s="47"/>
      <c r="FQ102" s="43">
        <v>0</v>
      </c>
      <c r="FR102" s="46"/>
      <c r="FW102" s="43">
        <v>0</v>
      </c>
      <c r="FX102" s="46"/>
      <c r="FY102" s="47"/>
      <c r="GD102" s="43">
        <v>0</v>
      </c>
      <c r="GE102" s="46"/>
      <c r="GJ102" s="43">
        <v>0</v>
      </c>
      <c r="GK102" s="46"/>
      <c r="GL102" s="47"/>
      <c r="GP102" s="43">
        <v>0</v>
      </c>
      <c r="GQ102" s="46"/>
      <c r="GV102" s="43">
        <v>0</v>
      </c>
      <c r="GW102" s="46"/>
      <c r="GX102" s="47"/>
      <c r="GZ102" s="43">
        <v>0</v>
      </c>
      <c r="HA102" s="46"/>
      <c r="HB102" s="47"/>
      <c r="HF102" s="43">
        <v>0</v>
      </c>
      <c r="HG102" s="46"/>
      <c r="HH102" s="47"/>
      <c r="HJ102" s="43">
        <v>0</v>
      </c>
      <c r="HK102" s="46"/>
      <c r="HL102" s="47"/>
      <c r="HP102" s="43">
        <v>0</v>
      </c>
      <c r="HQ102" s="46"/>
      <c r="HX102" s="43">
        <v>0</v>
      </c>
      <c r="HY102" s="46"/>
      <c r="HZ102" s="47"/>
      <c r="ID102" s="43">
        <v>0</v>
      </c>
      <c r="IE102" s="46"/>
      <c r="IJ102" s="43">
        <v>0</v>
      </c>
      <c r="IK102" s="49"/>
      <c r="IP102" s="43">
        <v>0</v>
      </c>
      <c r="IQ102" s="49"/>
      <c r="IV102" s="43">
        <v>0</v>
      </c>
      <c r="IW102" s="49"/>
      <c r="JB102" s="43">
        <v>0</v>
      </c>
      <c r="JC102" s="46"/>
      <c r="JF102" s="43">
        <v>0</v>
      </c>
      <c r="JG102" s="49"/>
      <c r="JL102" s="43">
        <v>0</v>
      </c>
      <c r="JM102" s="46"/>
      <c r="JN102" s="50"/>
      <c r="JP102" s="43">
        <v>0</v>
      </c>
      <c r="JQ102" s="49"/>
      <c r="JV102" s="43">
        <v>0</v>
      </c>
      <c r="JW102" s="49"/>
      <c r="KB102" s="43">
        <v>0</v>
      </c>
      <c r="KC102" s="49"/>
      <c r="KH102" s="43">
        <v>0</v>
      </c>
      <c r="KI102" s="49"/>
      <c r="KN102" s="43">
        <v>0</v>
      </c>
      <c r="KO102" s="49"/>
      <c r="KP102" s="50"/>
      <c r="KV102" s="43">
        <v>0</v>
      </c>
      <c r="KW102" s="49"/>
      <c r="KX102" s="48">
        <v>0</v>
      </c>
      <c r="KY102" s="48">
        <v>0</v>
      </c>
      <c r="KZ102" s="48">
        <v>0</v>
      </c>
      <c r="LA102" s="48">
        <v>0</v>
      </c>
      <c r="LB102" s="43">
        <v>0</v>
      </c>
      <c r="LC102" s="49"/>
      <c r="LD102" s="48">
        <v>0</v>
      </c>
      <c r="LE102" s="48">
        <v>0</v>
      </c>
      <c r="LF102" s="48">
        <v>0</v>
      </c>
      <c r="LG102" s="48">
        <v>0</v>
      </c>
      <c r="LH102" s="43">
        <v>0</v>
      </c>
      <c r="LI102" s="49"/>
      <c r="LJ102" s="50">
        <v>0</v>
      </c>
      <c r="LK102" s="48">
        <v>0</v>
      </c>
      <c r="LL102" s="43">
        <v>0</v>
      </c>
      <c r="LM102" s="49"/>
      <c r="LN102" s="50">
        <v>0</v>
      </c>
      <c r="LO102" s="48">
        <v>0</v>
      </c>
      <c r="LP102" s="48">
        <v>0</v>
      </c>
      <c r="LQ102" s="48">
        <v>0</v>
      </c>
      <c r="LR102" s="48">
        <v>0</v>
      </c>
      <c r="LS102" s="43">
        <v>0</v>
      </c>
      <c r="LT102" s="49"/>
      <c r="LU102" s="50">
        <v>0</v>
      </c>
      <c r="LV102" s="48">
        <v>0</v>
      </c>
      <c r="LW102" s="48">
        <v>0</v>
      </c>
      <c r="LX102" s="48">
        <v>0</v>
      </c>
      <c r="LY102" s="43">
        <v>0</v>
      </c>
      <c r="LZ102" s="49"/>
      <c r="MA102" s="50">
        <v>0</v>
      </c>
      <c r="MB102" s="48">
        <v>0</v>
      </c>
      <c r="MC102" s="43">
        <v>0</v>
      </c>
      <c r="MD102" s="49"/>
      <c r="ME102" s="50">
        <v>0</v>
      </c>
      <c r="MF102" s="48">
        <v>0</v>
      </c>
      <c r="MG102" s="48">
        <v>0</v>
      </c>
      <c r="MH102" s="48">
        <v>0</v>
      </c>
      <c r="MI102" s="43">
        <v>0</v>
      </c>
      <c r="MJ102" s="49"/>
      <c r="MK102" s="50">
        <v>0</v>
      </c>
      <c r="ML102" s="48">
        <v>0</v>
      </c>
      <c r="MM102" s="43">
        <v>0</v>
      </c>
      <c r="MN102" s="49"/>
      <c r="MO102" s="50">
        <v>0</v>
      </c>
      <c r="MP102" s="48">
        <v>0</v>
      </c>
      <c r="MQ102" s="48">
        <v>0</v>
      </c>
      <c r="MR102" s="48">
        <v>0</v>
      </c>
      <c r="MS102" s="43">
        <v>0</v>
      </c>
      <c r="MT102" s="49"/>
      <c r="MU102" s="48">
        <v>0</v>
      </c>
      <c r="MV102" s="46"/>
      <c r="MW102" s="48">
        <v>0</v>
      </c>
      <c r="MX102" s="48">
        <v>0</v>
      </c>
      <c r="MY102" s="43">
        <v>0</v>
      </c>
      <c r="MZ102" s="49"/>
      <c r="NA102" s="50">
        <v>0</v>
      </c>
      <c r="NB102" s="48">
        <v>0</v>
      </c>
      <c r="NC102" s="48">
        <v>0</v>
      </c>
      <c r="ND102" s="48">
        <v>0</v>
      </c>
      <c r="NE102" s="43">
        <v>0</v>
      </c>
      <c r="NF102" s="49"/>
      <c r="NG102" s="50">
        <v>0</v>
      </c>
      <c r="NH102" s="48">
        <v>0</v>
      </c>
      <c r="NI102" s="48">
        <v>0</v>
      </c>
      <c r="NJ102" s="48">
        <v>0</v>
      </c>
      <c r="NK102" s="43">
        <v>0</v>
      </c>
      <c r="NL102" s="49"/>
      <c r="NM102" s="50">
        <v>0</v>
      </c>
      <c r="NN102" s="48">
        <v>0</v>
      </c>
      <c r="NO102" s="48">
        <v>0</v>
      </c>
      <c r="NP102" s="48">
        <v>0</v>
      </c>
      <c r="NQ102" s="43">
        <v>0</v>
      </c>
      <c r="NR102" s="49"/>
      <c r="NS102" s="50">
        <v>0</v>
      </c>
      <c r="NT102" s="48">
        <v>0</v>
      </c>
      <c r="NU102" s="48">
        <v>0</v>
      </c>
      <c r="NV102" s="48">
        <v>0</v>
      </c>
      <c r="NW102" s="43">
        <v>0</v>
      </c>
      <c r="NX102" s="49"/>
      <c r="NY102" s="50">
        <v>0</v>
      </c>
      <c r="NZ102" s="48">
        <v>0</v>
      </c>
      <c r="OA102" s="48">
        <v>0</v>
      </c>
      <c r="OB102" s="48">
        <v>0</v>
      </c>
      <c r="OC102" s="43">
        <v>0</v>
      </c>
      <c r="OD102" s="49"/>
      <c r="OE102" s="50">
        <v>0</v>
      </c>
      <c r="OF102" s="48">
        <v>0</v>
      </c>
      <c r="OG102" s="43">
        <v>0</v>
      </c>
      <c r="OH102" s="49"/>
      <c r="OI102" s="50">
        <v>0</v>
      </c>
      <c r="OJ102" s="48">
        <v>0</v>
      </c>
      <c r="OK102" s="43">
        <v>0</v>
      </c>
      <c r="OL102" s="49"/>
      <c r="OM102" s="50">
        <v>0</v>
      </c>
      <c r="ON102" s="48">
        <v>0</v>
      </c>
      <c r="OO102" s="48">
        <v>0</v>
      </c>
      <c r="OP102" s="48">
        <v>0</v>
      </c>
      <c r="OQ102" s="43">
        <v>0</v>
      </c>
      <c r="OR102" s="49"/>
      <c r="OS102" s="50">
        <v>0</v>
      </c>
      <c r="OT102" s="48">
        <v>0</v>
      </c>
      <c r="OU102" s="43">
        <v>0</v>
      </c>
      <c r="OV102" s="49"/>
      <c r="OW102" s="50">
        <v>0</v>
      </c>
      <c r="OX102" s="48">
        <v>0</v>
      </c>
      <c r="OY102" s="48">
        <v>0</v>
      </c>
      <c r="OZ102" s="48">
        <v>0</v>
      </c>
      <c r="PA102" s="43">
        <v>0</v>
      </c>
      <c r="PB102" s="49"/>
      <c r="PC102" s="50">
        <v>0</v>
      </c>
      <c r="PD102" s="48">
        <v>0</v>
      </c>
      <c r="PE102" s="43">
        <v>0</v>
      </c>
      <c r="PF102" s="49"/>
      <c r="PG102" s="50">
        <v>0</v>
      </c>
      <c r="PH102" s="48">
        <v>0</v>
      </c>
      <c r="PI102" s="48">
        <v>0</v>
      </c>
      <c r="PJ102" s="48">
        <v>0</v>
      </c>
      <c r="PK102" s="43">
        <v>0</v>
      </c>
      <c r="PL102" s="49"/>
      <c r="PM102" s="47">
        <v>0</v>
      </c>
      <c r="PN102" s="48">
        <v>0</v>
      </c>
      <c r="PO102" s="48">
        <v>0</v>
      </c>
      <c r="PP102" s="48">
        <v>0</v>
      </c>
      <c r="PQ102" s="43">
        <v>0</v>
      </c>
      <c r="PR102" s="49"/>
      <c r="PS102" s="47">
        <v>0</v>
      </c>
      <c r="PT102" s="43">
        <v>0</v>
      </c>
      <c r="PU102" s="43">
        <v>0</v>
      </c>
      <c r="PV102" s="43">
        <v>0</v>
      </c>
      <c r="PW102" s="43">
        <v>0</v>
      </c>
      <c r="PX102" s="46"/>
      <c r="PY102" s="47">
        <v>0</v>
      </c>
      <c r="PZ102" s="43">
        <v>0</v>
      </c>
      <c r="QA102" s="43">
        <v>0</v>
      </c>
      <c r="QB102" s="46"/>
      <c r="QC102" s="47">
        <v>0</v>
      </c>
      <c r="QD102" s="43">
        <v>0</v>
      </c>
      <c r="QE102" s="43">
        <v>0</v>
      </c>
      <c r="QF102" s="43">
        <v>0</v>
      </c>
      <c r="QG102" s="43">
        <v>0</v>
      </c>
      <c r="QH102" s="46"/>
      <c r="QI102" s="47">
        <v>0</v>
      </c>
      <c r="QJ102" s="43">
        <v>0</v>
      </c>
      <c r="QK102" s="43">
        <v>0</v>
      </c>
      <c r="QL102" s="43">
        <v>0</v>
      </c>
      <c r="QM102" s="43">
        <v>0</v>
      </c>
      <c r="QN102" s="46"/>
      <c r="QO102" s="47">
        <v>0</v>
      </c>
      <c r="QP102" s="43">
        <v>0</v>
      </c>
      <c r="QQ102" s="43">
        <v>0</v>
      </c>
      <c r="QR102" s="43">
        <v>0</v>
      </c>
      <c r="QS102" s="43">
        <v>0</v>
      </c>
      <c r="QT102" s="46"/>
      <c r="QU102" s="47">
        <v>0</v>
      </c>
      <c r="QV102" s="43">
        <v>0</v>
      </c>
      <c r="QW102" s="43">
        <v>0</v>
      </c>
      <c r="QX102" s="46"/>
      <c r="QY102" s="47">
        <v>0</v>
      </c>
      <c r="QZ102" s="43">
        <v>0</v>
      </c>
      <c r="RA102" s="43">
        <v>0</v>
      </c>
      <c r="RB102" s="43">
        <v>0</v>
      </c>
      <c r="RC102" s="43">
        <v>0</v>
      </c>
      <c r="RD102" s="46"/>
    </row>
    <row r="103" spans="1:472" x14ac:dyDescent="0.25">
      <c r="A103" s="43" t="s">
        <v>391</v>
      </c>
      <c r="B103" s="44">
        <v>0.4</v>
      </c>
      <c r="I103" s="47"/>
      <c r="J103" s="51"/>
      <c r="K103" s="51"/>
      <c r="L103" s="51"/>
      <c r="M103" s="51">
        <f t="shared" si="12"/>
        <v>0</v>
      </c>
      <c r="N103" s="46"/>
      <c r="O103" s="47"/>
      <c r="P103" s="51"/>
      <c r="Q103" s="51"/>
      <c r="R103" s="51"/>
      <c r="S103" s="51">
        <f t="shared" si="13"/>
        <v>0</v>
      </c>
      <c r="T103" s="46"/>
      <c r="U103" s="47"/>
      <c r="V103" s="51"/>
      <c r="W103" s="51"/>
      <c r="X103" s="51"/>
      <c r="Y103" s="51">
        <f t="shared" si="14"/>
        <v>0</v>
      </c>
      <c r="Z103" s="46"/>
      <c r="AA103" s="51"/>
      <c r="AE103" s="43">
        <v>0</v>
      </c>
      <c r="AF103" s="46"/>
      <c r="AG103" s="47"/>
      <c r="AK103" s="43">
        <v>0</v>
      </c>
      <c r="AL103" s="46"/>
      <c r="AQ103" s="43">
        <v>0</v>
      </c>
      <c r="AR103" s="46"/>
      <c r="AW103" s="43">
        <v>0</v>
      </c>
      <c r="AX103" s="46"/>
      <c r="AY103" s="47"/>
      <c r="BC103" s="43">
        <v>0</v>
      </c>
      <c r="BD103" s="46"/>
      <c r="BE103" s="47"/>
      <c r="BI103" s="43">
        <v>0</v>
      </c>
      <c r="BJ103" s="46"/>
      <c r="BP103" s="43">
        <v>0</v>
      </c>
      <c r="BQ103" s="46"/>
      <c r="BT103" s="43">
        <v>0</v>
      </c>
      <c r="BU103" s="46"/>
      <c r="BV103" s="47"/>
      <c r="BZ103" s="43">
        <v>0</v>
      </c>
      <c r="CA103" s="46"/>
      <c r="CF103" s="43">
        <v>0</v>
      </c>
      <c r="CG103" s="46"/>
      <c r="CL103" s="43">
        <v>0</v>
      </c>
      <c r="CM103" s="46"/>
      <c r="CN103" s="47"/>
      <c r="CR103" s="43">
        <v>0</v>
      </c>
      <c r="CS103" s="46"/>
      <c r="CX103" s="43">
        <v>0</v>
      </c>
      <c r="CY103" s="46"/>
      <c r="CZ103" s="47"/>
      <c r="DD103" s="43">
        <v>0</v>
      </c>
      <c r="DE103" s="46"/>
      <c r="DF103" s="47"/>
      <c r="DL103" s="43">
        <v>0</v>
      </c>
      <c r="DM103" s="46"/>
      <c r="DN103" s="47"/>
      <c r="DR103" s="43">
        <v>0</v>
      </c>
      <c r="DS103" s="46"/>
      <c r="DZ103" s="43">
        <v>0</v>
      </c>
      <c r="EA103" s="46"/>
      <c r="EB103" s="47"/>
      <c r="EF103" s="43">
        <v>0</v>
      </c>
      <c r="EG103" s="46"/>
      <c r="EH103" s="47"/>
      <c r="EL103" s="43">
        <v>0</v>
      </c>
      <c r="EM103" s="46"/>
      <c r="EN103" s="47"/>
      <c r="ER103" s="43">
        <v>0</v>
      </c>
      <c r="ES103" s="46"/>
      <c r="EZ103" s="43">
        <v>0</v>
      </c>
      <c r="FA103" s="46"/>
      <c r="FG103" s="43">
        <v>0</v>
      </c>
      <c r="FH103" s="46"/>
      <c r="FI103" s="47"/>
      <c r="FL103" s="43">
        <v>0</v>
      </c>
      <c r="FM103" s="46"/>
      <c r="FN103" s="47"/>
      <c r="FQ103" s="43">
        <v>0</v>
      </c>
      <c r="FR103" s="46"/>
      <c r="FW103" s="43">
        <v>0</v>
      </c>
      <c r="FX103" s="46"/>
      <c r="FY103" s="47"/>
      <c r="GD103" s="43">
        <v>0</v>
      </c>
      <c r="GE103" s="46"/>
      <c r="GJ103" s="43">
        <v>0</v>
      </c>
      <c r="GK103" s="46"/>
      <c r="GL103" s="47"/>
      <c r="GP103" s="43">
        <v>0</v>
      </c>
      <c r="GQ103" s="46"/>
      <c r="GV103" s="43">
        <v>0</v>
      </c>
      <c r="GW103" s="46"/>
      <c r="GX103" s="47"/>
      <c r="GZ103" s="43">
        <v>0</v>
      </c>
      <c r="HA103" s="46"/>
      <c r="HB103" s="47"/>
      <c r="HF103" s="43">
        <v>0</v>
      </c>
      <c r="HG103" s="46"/>
      <c r="HH103" s="47"/>
      <c r="HJ103" s="43">
        <v>0</v>
      </c>
      <c r="HK103" s="46"/>
      <c r="HL103" s="47"/>
      <c r="HP103" s="43">
        <v>0</v>
      </c>
      <c r="HQ103" s="46"/>
      <c r="HX103" s="43">
        <v>0</v>
      </c>
      <c r="HY103" s="46"/>
      <c r="HZ103" s="47"/>
      <c r="ID103" s="43">
        <v>0</v>
      </c>
      <c r="IE103" s="46"/>
      <c r="IJ103" s="43">
        <v>0</v>
      </c>
      <c r="IK103" s="49"/>
      <c r="IP103" s="43">
        <v>0</v>
      </c>
      <c r="IQ103" s="49"/>
      <c r="IV103" s="43">
        <v>0</v>
      </c>
      <c r="IW103" s="49"/>
      <c r="JB103" s="43">
        <v>0</v>
      </c>
      <c r="JC103" s="46"/>
      <c r="JF103" s="43">
        <v>0</v>
      </c>
      <c r="JG103" s="49"/>
      <c r="JL103" s="43">
        <v>0</v>
      </c>
      <c r="JM103" s="46"/>
      <c r="JN103" s="50"/>
      <c r="JP103" s="43">
        <v>0</v>
      </c>
      <c r="JQ103" s="49"/>
      <c r="JV103" s="43">
        <v>0</v>
      </c>
      <c r="JW103" s="49"/>
      <c r="KB103" s="43">
        <v>0</v>
      </c>
      <c r="KC103" s="49"/>
      <c r="KH103" s="43">
        <v>0</v>
      </c>
      <c r="KI103" s="49"/>
      <c r="KN103" s="43">
        <v>0</v>
      </c>
      <c r="KO103" s="49"/>
      <c r="KP103" s="50"/>
      <c r="KV103" s="43">
        <v>0</v>
      </c>
      <c r="KW103" s="49"/>
      <c r="KX103" s="48">
        <v>0</v>
      </c>
      <c r="KY103" s="48">
        <v>0</v>
      </c>
      <c r="KZ103" s="48">
        <v>0</v>
      </c>
      <c r="LA103" s="48">
        <v>0</v>
      </c>
      <c r="LB103" s="43">
        <v>0</v>
      </c>
      <c r="LC103" s="49"/>
      <c r="LD103" s="48">
        <v>0</v>
      </c>
      <c r="LE103" s="48">
        <v>0</v>
      </c>
      <c r="LF103" s="48">
        <v>0</v>
      </c>
      <c r="LG103" s="48">
        <v>0</v>
      </c>
      <c r="LH103" s="43">
        <v>0</v>
      </c>
      <c r="LI103" s="49"/>
      <c r="LJ103" s="50">
        <v>0</v>
      </c>
      <c r="LK103" s="48">
        <v>0</v>
      </c>
      <c r="LL103" s="43">
        <v>0</v>
      </c>
      <c r="LM103" s="49"/>
      <c r="LN103" s="50">
        <v>0</v>
      </c>
      <c r="LO103" s="48">
        <v>0</v>
      </c>
      <c r="LP103" s="48">
        <v>0</v>
      </c>
      <c r="LQ103" s="48">
        <v>0</v>
      </c>
      <c r="LR103" s="48">
        <v>0</v>
      </c>
      <c r="LS103" s="43">
        <v>0</v>
      </c>
      <c r="LT103" s="49"/>
      <c r="LU103" s="50">
        <v>0</v>
      </c>
      <c r="LV103" s="48">
        <v>0</v>
      </c>
      <c r="LW103" s="48">
        <v>0</v>
      </c>
      <c r="LX103" s="48">
        <v>0</v>
      </c>
      <c r="LY103" s="43">
        <v>0</v>
      </c>
      <c r="LZ103" s="49"/>
      <c r="MA103" s="50">
        <v>0</v>
      </c>
      <c r="MB103" s="48">
        <v>0</v>
      </c>
      <c r="MC103" s="43">
        <v>0</v>
      </c>
      <c r="MD103" s="49"/>
      <c r="ME103" s="50">
        <v>0</v>
      </c>
      <c r="MF103" s="48">
        <v>0</v>
      </c>
      <c r="MG103" s="48">
        <v>0</v>
      </c>
      <c r="MH103" s="48">
        <v>0</v>
      </c>
      <c r="MI103" s="43">
        <v>0</v>
      </c>
      <c r="MJ103" s="49"/>
      <c r="MK103" s="50">
        <v>0</v>
      </c>
      <c r="ML103" s="48">
        <v>0</v>
      </c>
      <c r="MM103" s="43">
        <v>0</v>
      </c>
      <c r="MN103" s="49"/>
      <c r="MO103" s="50">
        <v>0</v>
      </c>
      <c r="MP103" s="48">
        <v>0</v>
      </c>
      <c r="MQ103" s="48">
        <v>0</v>
      </c>
      <c r="MR103" s="48">
        <v>0</v>
      </c>
      <c r="MS103" s="43">
        <v>0</v>
      </c>
      <c r="MT103" s="49"/>
      <c r="MU103" s="48">
        <v>0</v>
      </c>
      <c r="MV103" s="46"/>
      <c r="MW103" s="48">
        <v>0</v>
      </c>
      <c r="MX103" s="48">
        <v>0</v>
      </c>
      <c r="MY103" s="43">
        <v>0</v>
      </c>
      <c r="MZ103" s="49"/>
      <c r="NA103" s="50">
        <v>0</v>
      </c>
      <c r="NB103" s="48">
        <v>0</v>
      </c>
      <c r="NC103" s="48">
        <v>0</v>
      </c>
      <c r="ND103" s="48">
        <v>0</v>
      </c>
      <c r="NE103" s="43">
        <v>0</v>
      </c>
      <c r="NF103" s="49"/>
      <c r="NG103" s="50">
        <v>0</v>
      </c>
      <c r="NH103" s="48">
        <v>0</v>
      </c>
      <c r="NI103" s="48">
        <v>0</v>
      </c>
      <c r="NJ103" s="48">
        <v>0</v>
      </c>
      <c r="NK103" s="43">
        <v>0</v>
      </c>
      <c r="NL103" s="49"/>
      <c r="NM103" s="50">
        <v>0</v>
      </c>
      <c r="NN103" s="48">
        <v>0</v>
      </c>
      <c r="NO103" s="48">
        <v>0</v>
      </c>
      <c r="NP103" s="48">
        <v>0</v>
      </c>
      <c r="NQ103" s="43">
        <v>0</v>
      </c>
      <c r="NR103" s="49"/>
      <c r="NS103" s="50">
        <v>0</v>
      </c>
      <c r="NT103" s="48">
        <v>0</v>
      </c>
      <c r="NU103" s="48">
        <v>0</v>
      </c>
      <c r="NV103" s="48">
        <v>0</v>
      </c>
      <c r="NW103" s="43">
        <v>0</v>
      </c>
      <c r="NX103" s="49"/>
      <c r="NY103" s="50">
        <v>0</v>
      </c>
      <c r="NZ103" s="48">
        <v>0</v>
      </c>
      <c r="OA103" s="48">
        <v>0</v>
      </c>
      <c r="OB103" s="48">
        <v>0</v>
      </c>
      <c r="OC103" s="43">
        <v>0</v>
      </c>
      <c r="OD103" s="49"/>
      <c r="OE103" s="50">
        <v>0</v>
      </c>
      <c r="OF103" s="48">
        <v>0</v>
      </c>
      <c r="OG103" s="43">
        <v>0</v>
      </c>
      <c r="OH103" s="49"/>
      <c r="OI103" s="50">
        <v>0</v>
      </c>
      <c r="OJ103" s="48">
        <v>0</v>
      </c>
      <c r="OK103" s="43">
        <v>0</v>
      </c>
      <c r="OL103" s="49"/>
      <c r="OM103" s="50">
        <v>0</v>
      </c>
      <c r="ON103" s="48">
        <v>0</v>
      </c>
      <c r="OO103" s="48">
        <v>0</v>
      </c>
      <c r="OP103" s="48">
        <v>0</v>
      </c>
      <c r="OQ103" s="43">
        <v>0</v>
      </c>
      <c r="OR103" s="49"/>
      <c r="OS103" s="50">
        <v>0</v>
      </c>
      <c r="OT103" s="48">
        <v>0</v>
      </c>
      <c r="OU103" s="43">
        <v>0</v>
      </c>
      <c r="OV103" s="49"/>
      <c r="OW103" s="50">
        <v>0</v>
      </c>
      <c r="OX103" s="48">
        <v>0</v>
      </c>
      <c r="OY103" s="48">
        <v>0</v>
      </c>
      <c r="OZ103" s="48">
        <v>0</v>
      </c>
      <c r="PA103" s="43">
        <v>0</v>
      </c>
      <c r="PB103" s="49"/>
      <c r="PC103" s="50">
        <v>0</v>
      </c>
      <c r="PD103" s="48">
        <v>0</v>
      </c>
      <c r="PE103" s="43">
        <v>0</v>
      </c>
      <c r="PF103" s="49"/>
      <c r="PG103" s="50">
        <v>0</v>
      </c>
      <c r="PH103" s="48">
        <v>0</v>
      </c>
      <c r="PI103" s="48">
        <v>0</v>
      </c>
      <c r="PJ103" s="17">
        <v>34</v>
      </c>
      <c r="PK103" s="43">
        <v>2</v>
      </c>
      <c r="PL103" s="49"/>
      <c r="PM103" s="47">
        <v>0</v>
      </c>
      <c r="PN103" s="48">
        <v>0</v>
      </c>
      <c r="PO103" s="48">
        <v>0</v>
      </c>
      <c r="PP103" s="48">
        <v>0</v>
      </c>
      <c r="PQ103" s="43">
        <v>0</v>
      </c>
      <c r="PR103" s="49"/>
      <c r="PS103" s="47">
        <v>0</v>
      </c>
      <c r="PT103" s="43">
        <v>0</v>
      </c>
      <c r="PU103" s="43">
        <v>0</v>
      </c>
      <c r="PV103" s="43">
        <v>0</v>
      </c>
      <c r="PW103" s="43">
        <v>0</v>
      </c>
      <c r="PX103" s="46"/>
      <c r="PY103" s="47">
        <v>0</v>
      </c>
      <c r="PZ103" s="43">
        <v>0</v>
      </c>
      <c r="QA103" s="43">
        <v>0</v>
      </c>
      <c r="QB103" s="46"/>
      <c r="QC103" s="47">
        <v>0</v>
      </c>
      <c r="QD103" s="43">
        <v>0</v>
      </c>
      <c r="QE103" s="43">
        <v>0</v>
      </c>
      <c r="QF103" s="43">
        <v>0</v>
      </c>
      <c r="QG103" s="43">
        <v>0</v>
      </c>
      <c r="QH103" s="46"/>
      <c r="QI103" s="47">
        <v>0</v>
      </c>
      <c r="QJ103" s="43">
        <v>0</v>
      </c>
      <c r="QK103" s="43">
        <v>0</v>
      </c>
      <c r="QL103" s="43">
        <v>0</v>
      </c>
      <c r="QM103" s="43">
        <v>0</v>
      </c>
      <c r="QN103" s="46"/>
      <c r="QO103" s="47">
        <v>30</v>
      </c>
      <c r="QP103" s="43">
        <v>34</v>
      </c>
      <c r="QQ103" s="43">
        <v>200</v>
      </c>
      <c r="QR103" s="43">
        <v>0</v>
      </c>
      <c r="QS103" s="43">
        <v>196</v>
      </c>
      <c r="QT103" s="46"/>
      <c r="QU103" s="47">
        <v>60</v>
      </c>
      <c r="QV103" s="43">
        <v>63</v>
      </c>
      <c r="QW103" s="43">
        <v>-3</v>
      </c>
      <c r="QX103" s="46"/>
      <c r="QY103" s="47">
        <v>0</v>
      </c>
      <c r="QZ103" s="43">
        <v>0</v>
      </c>
      <c r="RA103" s="43">
        <v>170</v>
      </c>
      <c r="RB103" s="43">
        <v>174</v>
      </c>
      <c r="RC103" s="43">
        <v>-4</v>
      </c>
      <c r="RD103" s="46"/>
    </row>
    <row r="104" spans="1:472" x14ac:dyDescent="0.25">
      <c r="A104" s="43" t="s">
        <v>392</v>
      </c>
      <c r="B104" s="44">
        <v>1</v>
      </c>
      <c r="I104" s="47"/>
      <c r="J104" s="51"/>
      <c r="K104" s="51"/>
      <c r="L104" s="51"/>
      <c r="M104" s="51">
        <f t="shared" si="12"/>
        <v>0</v>
      </c>
      <c r="N104" s="46"/>
      <c r="O104" s="47"/>
      <c r="P104" s="51"/>
      <c r="Q104" s="51"/>
      <c r="R104" s="51"/>
      <c r="S104" s="51">
        <f t="shared" si="13"/>
        <v>0</v>
      </c>
      <c r="T104" s="46"/>
      <c r="U104" s="47"/>
      <c r="V104" s="51"/>
      <c r="W104" s="51"/>
      <c r="X104" s="51"/>
      <c r="Y104" s="51">
        <f t="shared" si="14"/>
        <v>0</v>
      </c>
      <c r="Z104" s="46"/>
      <c r="AA104" s="51"/>
      <c r="AE104" s="43">
        <v>0</v>
      </c>
      <c r="AF104" s="46"/>
      <c r="AG104" s="47"/>
      <c r="AK104" s="43">
        <v>0</v>
      </c>
      <c r="AL104" s="46"/>
      <c r="AQ104" s="43">
        <v>0</v>
      </c>
      <c r="AR104" s="46"/>
      <c r="AW104" s="43">
        <v>0</v>
      </c>
      <c r="AX104" s="46"/>
      <c r="AY104" s="47"/>
      <c r="BC104" s="43">
        <v>0</v>
      </c>
      <c r="BD104" s="46"/>
      <c r="BE104" s="47"/>
      <c r="BI104" s="43">
        <v>0</v>
      </c>
      <c r="BJ104" s="46"/>
      <c r="BP104" s="43">
        <v>0</v>
      </c>
      <c r="BQ104" s="46"/>
      <c r="BT104" s="43">
        <v>0</v>
      </c>
      <c r="BU104" s="46"/>
      <c r="BV104" s="47"/>
      <c r="BZ104" s="43">
        <v>0</v>
      </c>
      <c r="CA104" s="46"/>
      <c r="CF104" s="43">
        <v>0</v>
      </c>
      <c r="CG104" s="46"/>
      <c r="CL104" s="43">
        <v>0</v>
      </c>
      <c r="CM104" s="46"/>
      <c r="CN104" s="47"/>
      <c r="CR104" s="43">
        <v>0</v>
      </c>
      <c r="CS104" s="46"/>
      <c r="CX104" s="43">
        <v>0</v>
      </c>
      <c r="CY104" s="46"/>
      <c r="CZ104" s="47"/>
      <c r="DD104" s="43">
        <v>0</v>
      </c>
      <c r="DE104" s="46"/>
      <c r="DF104" s="47"/>
      <c r="DL104" s="43">
        <v>0</v>
      </c>
      <c r="DM104" s="46"/>
      <c r="DN104" s="47"/>
      <c r="DR104" s="43">
        <v>0</v>
      </c>
      <c r="DS104" s="46"/>
      <c r="DZ104" s="43">
        <v>0</v>
      </c>
      <c r="EA104" s="46"/>
      <c r="EB104" s="47"/>
      <c r="EF104" s="43">
        <v>0</v>
      </c>
      <c r="EG104" s="46"/>
      <c r="EH104" s="47"/>
      <c r="EL104" s="43">
        <v>0</v>
      </c>
      <c r="EM104" s="46"/>
      <c r="EN104" s="47"/>
      <c r="ER104" s="43">
        <v>0</v>
      </c>
      <c r="ES104" s="46"/>
      <c r="EZ104" s="43">
        <v>0</v>
      </c>
      <c r="FA104" s="46"/>
      <c r="FG104" s="43">
        <v>0</v>
      </c>
      <c r="FH104" s="46"/>
      <c r="FI104" s="47"/>
      <c r="FL104" s="43">
        <v>0</v>
      </c>
      <c r="FM104" s="46"/>
      <c r="FN104" s="47"/>
      <c r="FQ104" s="43">
        <v>0</v>
      </c>
      <c r="FR104" s="46"/>
      <c r="FW104" s="43">
        <v>0</v>
      </c>
      <c r="FX104" s="46"/>
      <c r="FY104" s="47"/>
      <c r="GD104" s="43">
        <v>0</v>
      </c>
      <c r="GE104" s="46"/>
      <c r="GJ104" s="43">
        <v>0</v>
      </c>
      <c r="GK104" s="46"/>
      <c r="GL104" s="47"/>
      <c r="GP104" s="43">
        <v>0</v>
      </c>
      <c r="GQ104" s="46"/>
      <c r="GV104" s="43">
        <v>0</v>
      </c>
      <c r="GW104" s="46"/>
      <c r="GX104" s="47"/>
      <c r="GZ104" s="43">
        <v>0</v>
      </c>
      <c r="HA104" s="46"/>
      <c r="HB104" s="47"/>
      <c r="HF104" s="43">
        <v>0</v>
      </c>
      <c r="HG104" s="46"/>
      <c r="HH104" s="47"/>
      <c r="HJ104" s="43">
        <v>0</v>
      </c>
      <c r="HK104" s="46"/>
      <c r="HL104" s="47"/>
      <c r="HP104" s="43">
        <v>0</v>
      </c>
      <c r="HQ104" s="46"/>
      <c r="HX104" s="43">
        <v>0</v>
      </c>
      <c r="HY104" s="46"/>
      <c r="HZ104" s="47"/>
      <c r="ID104" s="43">
        <v>0</v>
      </c>
      <c r="IE104" s="46"/>
      <c r="IJ104" s="43">
        <v>0</v>
      </c>
      <c r="IK104" s="49"/>
      <c r="IP104" s="43">
        <v>0</v>
      </c>
      <c r="IQ104" s="49"/>
      <c r="IV104" s="43">
        <v>0</v>
      </c>
      <c r="IW104" s="49"/>
      <c r="JB104" s="43">
        <v>0</v>
      </c>
      <c r="JC104" s="46"/>
      <c r="JF104" s="43">
        <v>0</v>
      </c>
      <c r="JG104" s="49"/>
      <c r="JL104" s="43">
        <v>0</v>
      </c>
      <c r="JM104" s="46"/>
      <c r="JN104" s="50"/>
      <c r="JP104" s="43">
        <v>0</v>
      </c>
      <c r="JQ104" s="49"/>
      <c r="JV104" s="43">
        <v>0</v>
      </c>
      <c r="JW104" s="49"/>
      <c r="KB104" s="43">
        <v>0</v>
      </c>
      <c r="KC104" s="49"/>
      <c r="KH104" s="43">
        <v>0</v>
      </c>
      <c r="KI104" s="49"/>
      <c r="KN104" s="43">
        <v>0</v>
      </c>
      <c r="KO104" s="49"/>
      <c r="KP104" s="50"/>
      <c r="KV104" s="43">
        <v>0</v>
      </c>
      <c r="KW104" s="49"/>
      <c r="KX104" s="48">
        <v>0</v>
      </c>
      <c r="KY104" s="48">
        <v>0</v>
      </c>
      <c r="KZ104" s="48">
        <v>0</v>
      </c>
      <c r="LA104" s="48">
        <v>0</v>
      </c>
      <c r="LB104" s="43">
        <v>0</v>
      </c>
      <c r="LC104" s="49"/>
      <c r="LD104" s="48">
        <v>0</v>
      </c>
      <c r="LE104" s="48">
        <v>0</v>
      </c>
      <c r="LF104" s="48">
        <v>0</v>
      </c>
      <c r="LG104" s="48">
        <v>0</v>
      </c>
      <c r="LH104" s="43">
        <v>0</v>
      </c>
      <c r="LI104" s="49"/>
      <c r="LJ104" s="50">
        <v>0</v>
      </c>
      <c r="LK104" s="48">
        <v>0</v>
      </c>
      <c r="LL104" s="43">
        <v>0</v>
      </c>
      <c r="LM104" s="49"/>
      <c r="LN104" s="50">
        <v>0</v>
      </c>
      <c r="LO104" s="48">
        <v>0</v>
      </c>
      <c r="LP104" s="48">
        <v>0</v>
      </c>
      <c r="LQ104" s="48">
        <v>0</v>
      </c>
      <c r="LR104" s="48">
        <v>0</v>
      </c>
      <c r="LS104" s="43">
        <v>0</v>
      </c>
      <c r="LT104" s="49"/>
      <c r="LU104" s="50">
        <v>0</v>
      </c>
      <c r="LV104" s="48">
        <v>0</v>
      </c>
      <c r="LW104" s="48">
        <v>0</v>
      </c>
      <c r="LX104" s="48">
        <v>0</v>
      </c>
      <c r="LY104" s="43">
        <v>0</v>
      </c>
      <c r="LZ104" s="49"/>
      <c r="MA104" s="50">
        <v>0</v>
      </c>
      <c r="MB104" s="48">
        <v>0</v>
      </c>
      <c r="MC104" s="43">
        <v>0</v>
      </c>
      <c r="MD104" s="49"/>
      <c r="ME104" s="50">
        <v>0</v>
      </c>
      <c r="MF104" s="48">
        <v>0</v>
      </c>
      <c r="MG104" s="48">
        <v>0</v>
      </c>
      <c r="MH104" s="48">
        <v>0</v>
      </c>
      <c r="MI104" s="43">
        <v>0</v>
      </c>
      <c r="MJ104" s="49"/>
      <c r="MK104" s="50">
        <v>0</v>
      </c>
      <c r="ML104" s="48">
        <v>0</v>
      </c>
      <c r="MM104" s="43">
        <v>0</v>
      </c>
      <c r="MN104" s="49"/>
      <c r="MO104" s="50">
        <v>0</v>
      </c>
      <c r="MP104" s="48">
        <v>0</v>
      </c>
      <c r="MQ104" s="48">
        <v>0</v>
      </c>
      <c r="MR104" s="48">
        <v>0</v>
      </c>
      <c r="MS104" s="43">
        <v>0</v>
      </c>
      <c r="MT104" s="49"/>
      <c r="MU104" s="48">
        <v>0</v>
      </c>
      <c r="MV104" s="46"/>
      <c r="MW104" s="48">
        <v>0</v>
      </c>
      <c r="MX104" s="48">
        <v>0</v>
      </c>
      <c r="MY104" s="43">
        <v>0</v>
      </c>
      <c r="MZ104" s="49"/>
      <c r="NA104" s="50">
        <v>0</v>
      </c>
      <c r="NB104" s="48">
        <v>0</v>
      </c>
      <c r="NC104" s="48">
        <v>0</v>
      </c>
      <c r="ND104" s="48">
        <v>0</v>
      </c>
      <c r="NE104" s="43">
        <v>0</v>
      </c>
      <c r="NF104" s="49"/>
      <c r="NG104" s="50">
        <v>0</v>
      </c>
      <c r="NH104" s="48">
        <v>0</v>
      </c>
      <c r="NI104" s="48">
        <v>0</v>
      </c>
      <c r="NJ104" s="48">
        <v>0</v>
      </c>
      <c r="NK104" s="43">
        <v>0</v>
      </c>
      <c r="NL104" s="49"/>
      <c r="NM104" s="50">
        <v>0</v>
      </c>
      <c r="NN104" s="48">
        <v>0</v>
      </c>
      <c r="NO104" s="48">
        <v>0</v>
      </c>
      <c r="NP104" s="48">
        <v>0</v>
      </c>
      <c r="NQ104" s="43">
        <v>0</v>
      </c>
      <c r="NR104" s="49"/>
      <c r="NS104" s="50">
        <v>0</v>
      </c>
      <c r="NT104" s="48">
        <v>0</v>
      </c>
      <c r="NU104" s="48">
        <v>0</v>
      </c>
      <c r="NV104" s="48">
        <v>0</v>
      </c>
      <c r="NW104" s="43">
        <v>0</v>
      </c>
      <c r="NX104" s="49"/>
      <c r="NY104" s="50">
        <v>0</v>
      </c>
      <c r="NZ104" s="48">
        <v>0</v>
      </c>
      <c r="OA104" s="48">
        <v>0</v>
      </c>
      <c r="OB104" s="48">
        <v>0</v>
      </c>
      <c r="OC104" s="43">
        <v>0</v>
      </c>
      <c r="OD104" s="49"/>
      <c r="OE104" s="50">
        <v>0</v>
      </c>
      <c r="OF104" s="48">
        <v>0</v>
      </c>
      <c r="OG104" s="43">
        <v>0</v>
      </c>
      <c r="OH104" s="49"/>
      <c r="OI104" s="50">
        <v>0</v>
      </c>
      <c r="OJ104" s="48">
        <v>0</v>
      </c>
      <c r="OK104" s="43">
        <v>0</v>
      </c>
      <c r="OL104" s="49"/>
      <c r="OM104" s="50">
        <v>0</v>
      </c>
      <c r="ON104" s="48">
        <v>0</v>
      </c>
      <c r="OO104" s="48">
        <v>0</v>
      </c>
      <c r="OP104" s="48">
        <v>0</v>
      </c>
      <c r="OQ104" s="43">
        <v>0</v>
      </c>
      <c r="OR104" s="49"/>
      <c r="OS104" s="50">
        <v>0</v>
      </c>
      <c r="OT104" s="48">
        <v>0</v>
      </c>
      <c r="OU104" s="43">
        <v>0</v>
      </c>
      <c r="OV104" s="49"/>
      <c r="OW104" s="50">
        <v>0</v>
      </c>
      <c r="OX104" s="48">
        <v>0</v>
      </c>
      <c r="OY104" s="48">
        <v>0</v>
      </c>
      <c r="OZ104" s="48">
        <v>0</v>
      </c>
      <c r="PA104" s="43">
        <v>0</v>
      </c>
      <c r="PB104" s="49"/>
      <c r="PC104" s="50">
        <v>0</v>
      </c>
      <c r="PD104" s="48">
        <v>0</v>
      </c>
      <c r="PE104" s="43">
        <v>0</v>
      </c>
      <c r="PF104" s="49"/>
      <c r="PG104" s="50">
        <v>0</v>
      </c>
      <c r="PH104" s="48">
        <v>0</v>
      </c>
      <c r="PI104" s="48">
        <v>0</v>
      </c>
      <c r="PJ104" s="48">
        <v>0</v>
      </c>
      <c r="PK104" s="43">
        <v>0</v>
      </c>
      <c r="PL104" s="49"/>
      <c r="PM104" s="47">
        <v>0</v>
      </c>
      <c r="PN104" s="48">
        <v>0</v>
      </c>
      <c r="PO104" s="48">
        <v>0</v>
      </c>
      <c r="PP104" s="17">
        <v>242</v>
      </c>
      <c r="PQ104" s="43">
        <v>-2.8149999999999982</v>
      </c>
      <c r="PR104" s="49"/>
      <c r="PS104" s="47">
        <v>0</v>
      </c>
      <c r="PT104" s="43">
        <v>0</v>
      </c>
      <c r="PU104" s="43">
        <v>0</v>
      </c>
      <c r="PV104" s="43">
        <v>0</v>
      </c>
      <c r="PW104" s="43">
        <v>0</v>
      </c>
      <c r="PX104" s="46"/>
      <c r="PY104" s="47">
        <v>150.095</v>
      </c>
      <c r="PZ104" s="43">
        <v>150</v>
      </c>
      <c r="QA104" s="43">
        <v>9.4999999999998863E-2</v>
      </c>
      <c r="QB104" s="46"/>
      <c r="QC104" s="47">
        <v>0</v>
      </c>
      <c r="QD104" s="43">
        <v>0</v>
      </c>
      <c r="QE104" s="43">
        <v>0</v>
      </c>
      <c r="QF104" s="43">
        <v>0</v>
      </c>
      <c r="QG104" s="43">
        <v>0</v>
      </c>
      <c r="QH104" s="46"/>
      <c r="QI104" s="47">
        <v>100.95</v>
      </c>
      <c r="QJ104" s="43">
        <v>100</v>
      </c>
      <c r="QK104" s="43">
        <v>142.80000000000001</v>
      </c>
      <c r="QL104" s="43">
        <v>150</v>
      </c>
      <c r="QM104" s="43">
        <v>-6.25</v>
      </c>
      <c r="QN104" s="46"/>
      <c r="QO104" s="47">
        <v>41.945</v>
      </c>
      <c r="QP104" s="43">
        <v>44</v>
      </c>
      <c r="QQ104" s="43">
        <v>149.62</v>
      </c>
      <c r="QR104" s="43">
        <v>50</v>
      </c>
      <c r="QS104" s="43">
        <v>97.564999999999998</v>
      </c>
      <c r="QT104" s="46"/>
      <c r="QU104" s="47">
        <v>47.655000000000001</v>
      </c>
      <c r="QV104" s="43">
        <v>50</v>
      </c>
      <c r="QW104" s="43">
        <v>-2.3449999999999989</v>
      </c>
      <c r="QX104" s="46"/>
      <c r="QY104" s="47">
        <v>47.755000000000003</v>
      </c>
      <c r="QZ104" s="43">
        <v>100</v>
      </c>
      <c r="RA104" s="43">
        <v>193.672</v>
      </c>
      <c r="RB104" s="43">
        <v>193</v>
      </c>
      <c r="RC104" s="42">
        <v>-51.573000000000008</v>
      </c>
      <c r="RD104" s="46">
        <v>51.573000000000008</v>
      </c>
    </row>
    <row r="105" spans="1:472" x14ac:dyDescent="0.25">
      <c r="A105" s="43" t="s">
        <v>393</v>
      </c>
      <c r="B105" s="44">
        <v>0.4</v>
      </c>
      <c r="I105" s="47"/>
      <c r="J105" s="51"/>
      <c r="K105" s="51"/>
      <c r="L105" s="51"/>
      <c r="M105" s="51">
        <f t="shared" si="12"/>
        <v>0</v>
      </c>
      <c r="N105" s="46"/>
      <c r="O105" s="47"/>
      <c r="P105" s="51"/>
      <c r="Q105" s="51"/>
      <c r="R105" s="51"/>
      <c r="S105" s="51">
        <f t="shared" si="13"/>
        <v>0</v>
      </c>
      <c r="T105" s="46"/>
      <c r="U105" s="47"/>
      <c r="V105" s="51"/>
      <c r="W105" s="51"/>
      <c r="X105" s="51"/>
      <c r="Y105" s="51">
        <f t="shared" si="14"/>
        <v>0</v>
      </c>
      <c r="Z105" s="46"/>
      <c r="AA105" s="51"/>
      <c r="AE105" s="43">
        <v>0</v>
      </c>
      <c r="AF105" s="46"/>
      <c r="AG105" s="47"/>
      <c r="AK105" s="43">
        <v>0</v>
      </c>
      <c r="AL105" s="46"/>
      <c r="AQ105" s="43">
        <v>0</v>
      </c>
      <c r="AR105" s="46"/>
      <c r="AW105" s="43">
        <v>0</v>
      </c>
      <c r="AX105" s="46"/>
      <c r="AY105" s="47"/>
      <c r="BC105" s="43">
        <v>0</v>
      </c>
      <c r="BD105" s="46"/>
      <c r="BE105" s="47"/>
      <c r="BI105" s="43">
        <v>0</v>
      </c>
      <c r="BJ105" s="46"/>
      <c r="BP105" s="43">
        <v>0</v>
      </c>
      <c r="BQ105" s="46"/>
      <c r="BT105" s="43">
        <v>0</v>
      </c>
      <c r="BU105" s="46"/>
      <c r="BV105" s="47"/>
      <c r="BZ105" s="43">
        <v>0</v>
      </c>
      <c r="CA105" s="46"/>
      <c r="CF105" s="43">
        <v>0</v>
      </c>
      <c r="CG105" s="46"/>
      <c r="CL105" s="43">
        <v>0</v>
      </c>
      <c r="CM105" s="46"/>
      <c r="CN105" s="47"/>
      <c r="CR105" s="43">
        <v>0</v>
      </c>
      <c r="CS105" s="46"/>
      <c r="CX105" s="43">
        <v>0</v>
      </c>
      <c r="CY105" s="46"/>
      <c r="CZ105" s="47"/>
      <c r="DD105" s="43">
        <v>0</v>
      </c>
      <c r="DE105" s="46"/>
      <c r="DF105" s="47"/>
      <c r="DJ105">
        <v>56</v>
      </c>
      <c r="DK105">
        <v>56</v>
      </c>
      <c r="DL105" s="43">
        <v>0</v>
      </c>
      <c r="DM105" s="46"/>
      <c r="DN105" s="47"/>
      <c r="DP105">
        <v>98</v>
      </c>
      <c r="DQ105">
        <v>100</v>
      </c>
      <c r="DR105" s="43">
        <v>-2</v>
      </c>
      <c r="DS105" s="46"/>
      <c r="DV105">
        <v>63</v>
      </c>
      <c r="DW105">
        <v>63</v>
      </c>
      <c r="DZ105" s="43">
        <v>0</v>
      </c>
      <c r="EA105" s="46"/>
      <c r="EB105" s="47"/>
      <c r="EF105" s="43">
        <v>0</v>
      </c>
      <c r="EG105" s="46"/>
      <c r="EH105" s="47"/>
      <c r="EJ105">
        <v>147</v>
      </c>
      <c r="EK105">
        <v>150</v>
      </c>
      <c r="EL105" s="43">
        <v>-3</v>
      </c>
      <c r="EM105" s="46"/>
      <c r="EN105" s="47"/>
      <c r="EP105">
        <v>7</v>
      </c>
      <c r="EQ105">
        <v>7</v>
      </c>
      <c r="ER105" s="43">
        <v>0</v>
      </c>
      <c r="ES105" s="46"/>
      <c r="EV105">
        <v>35</v>
      </c>
      <c r="EW105">
        <v>35</v>
      </c>
      <c r="EX105">
        <v>42</v>
      </c>
      <c r="EY105">
        <v>45</v>
      </c>
      <c r="EZ105" s="43">
        <v>-3</v>
      </c>
      <c r="FA105" s="46"/>
      <c r="FD105">
        <v>28</v>
      </c>
      <c r="FF105">
        <v>28</v>
      </c>
      <c r="FG105" s="43">
        <v>0</v>
      </c>
      <c r="FH105" s="46"/>
      <c r="FI105" s="45">
        <v>35</v>
      </c>
      <c r="FK105" s="48">
        <v>37.200000000000003</v>
      </c>
      <c r="FL105" s="43">
        <v>-2.2000000000000028</v>
      </c>
      <c r="FM105" s="46"/>
      <c r="FN105" s="45">
        <v>63</v>
      </c>
      <c r="FP105">
        <v>62</v>
      </c>
      <c r="FQ105" s="43">
        <v>1</v>
      </c>
      <c r="FR105" s="46"/>
      <c r="FW105" s="43">
        <v>0</v>
      </c>
      <c r="FX105" s="46"/>
      <c r="FY105" s="47"/>
      <c r="GB105">
        <v>49</v>
      </c>
      <c r="GC105">
        <v>49</v>
      </c>
      <c r="GD105" s="43">
        <v>0</v>
      </c>
      <c r="GE105" s="46"/>
      <c r="GJ105" s="43">
        <v>0</v>
      </c>
      <c r="GK105" s="46"/>
      <c r="GL105" s="47"/>
      <c r="GN105">
        <v>49</v>
      </c>
      <c r="GO105">
        <v>49</v>
      </c>
      <c r="GP105" s="43">
        <v>0</v>
      </c>
      <c r="GQ105" s="46"/>
      <c r="GT105">
        <v>49</v>
      </c>
      <c r="GU105">
        <v>50</v>
      </c>
      <c r="GV105" s="43">
        <v>-1</v>
      </c>
      <c r="GW105" s="46"/>
      <c r="GX105" s="45">
        <v>21</v>
      </c>
      <c r="GY105" s="48">
        <v>22</v>
      </c>
      <c r="GZ105" s="43">
        <v>-1</v>
      </c>
      <c r="HA105" s="46"/>
      <c r="HB105" s="47"/>
      <c r="HF105" s="43">
        <v>0</v>
      </c>
      <c r="HG105" s="46"/>
      <c r="HH105" s="45">
        <v>77</v>
      </c>
      <c r="HI105">
        <v>80</v>
      </c>
      <c r="HJ105" s="43">
        <v>-3</v>
      </c>
      <c r="HK105" s="46"/>
      <c r="HL105" s="47"/>
      <c r="HP105" s="43">
        <v>0</v>
      </c>
      <c r="HQ105" s="46"/>
      <c r="HV105">
        <v>70</v>
      </c>
      <c r="HW105">
        <v>70</v>
      </c>
      <c r="HX105" s="43">
        <v>0</v>
      </c>
      <c r="HY105" s="46"/>
      <c r="HZ105" s="47"/>
      <c r="IB105">
        <v>77</v>
      </c>
      <c r="IC105">
        <v>77</v>
      </c>
      <c r="ID105" s="43">
        <v>0</v>
      </c>
      <c r="IE105" s="46"/>
      <c r="IJ105" s="43">
        <v>0</v>
      </c>
      <c r="IK105" s="49"/>
      <c r="IN105">
        <v>119</v>
      </c>
      <c r="IO105">
        <v>120</v>
      </c>
      <c r="IP105" s="43">
        <v>-1</v>
      </c>
      <c r="IQ105" s="49"/>
      <c r="IR105">
        <v>49</v>
      </c>
      <c r="IS105">
        <v>50</v>
      </c>
      <c r="IV105" s="43">
        <v>-1</v>
      </c>
      <c r="IW105" s="49"/>
      <c r="IX105">
        <v>49</v>
      </c>
      <c r="IY105">
        <v>49</v>
      </c>
      <c r="IZ105">
        <v>42</v>
      </c>
      <c r="JA105">
        <v>42</v>
      </c>
      <c r="JB105" s="43">
        <v>0</v>
      </c>
      <c r="JC105" s="46"/>
      <c r="JD105">
        <v>77</v>
      </c>
      <c r="JE105">
        <v>79</v>
      </c>
      <c r="JF105" s="43">
        <v>-2</v>
      </c>
      <c r="JG105" s="49"/>
      <c r="JJ105">
        <v>63</v>
      </c>
      <c r="JK105">
        <v>64</v>
      </c>
      <c r="JL105" s="43">
        <v>-1</v>
      </c>
      <c r="JM105" s="46"/>
      <c r="JN105" s="50"/>
      <c r="JP105" s="43">
        <v>0</v>
      </c>
      <c r="JQ105" s="49"/>
      <c r="JT105">
        <v>56</v>
      </c>
      <c r="JU105">
        <v>56</v>
      </c>
      <c r="JV105" s="43">
        <v>0</v>
      </c>
      <c r="JW105" s="49"/>
      <c r="JX105">
        <v>28</v>
      </c>
      <c r="JY105">
        <v>28</v>
      </c>
      <c r="KB105" s="43">
        <v>0</v>
      </c>
      <c r="KC105" s="49"/>
      <c r="KF105">
        <v>56</v>
      </c>
      <c r="KG105">
        <v>60</v>
      </c>
      <c r="KH105" s="43">
        <v>-4</v>
      </c>
      <c r="KI105" s="49"/>
      <c r="KL105">
        <v>56</v>
      </c>
      <c r="KM105">
        <v>60</v>
      </c>
      <c r="KN105" s="43">
        <v>-4</v>
      </c>
      <c r="KO105" s="49"/>
      <c r="KP105" s="50"/>
      <c r="KR105">
        <v>63</v>
      </c>
      <c r="KS105">
        <v>65</v>
      </c>
      <c r="KT105">
        <v>49</v>
      </c>
      <c r="KU105">
        <v>50</v>
      </c>
      <c r="KV105" s="43">
        <v>-3</v>
      </c>
      <c r="KW105" s="49"/>
      <c r="KX105" s="48">
        <v>0</v>
      </c>
      <c r="KY105" s="48">
        <v>0</v>
      </c>
      <c r="KZ105" s="48">
        <v>0</v>
      </c>
      <c r="LA105" s="48">
        <v>0</v>
      </c>
      <c r="LB105" s="43">
        <v>0</v>
      </c>
      <c r="LC105" s="49"/>
      <c r="LD105" s="48">
        <v>0</v>
      </c>
      <c r="LE105" s="48">
        <v>0</v>
      </c>
      <c r="LF105" s="48">
        <v>63</v>
      </c>
      <c r="LG105" s="48">
        <v>65</v>
      </c>
      <c r="LH105" s="43">
        <v>-2</v>
      </c>
      <c r="LI105" s="49"/>
      <c r="LJ105" s="50">
        <v>70</v>
      </c>
      <c r="LK105" s="48">
        <v>70</v>
      </c>
      <c r="LL105" s="43">
        <v>0</v>
      </c>
      <c r="LM105" s="49"/>
      <c r="LN105" s="50">
        <v>0</v>
      </c>
      <c r="LO105" s="48">
        <v>0</v>
      </c>
      <c r="LP105" s="48">
        <v>56</v>
      </c>
      <c r="LQ105" s="48">
        <v>0</v>
      </c>
      <c r="LR105" s="48">
        <v>60</v>
      </c>
      <c r="LS105" s="43">
        <v>-4</v>
      </c>
      <c r="LT105" s="49"/>
      <c r="LU105" s="50">
        <v>49</v>
      </c>
      <c r="LV105" s="48">
        <v>50</v>
      </c>
      <c r="LW105" s="48">
        <v>70</v>
      </c>
      <c r="LX105" s="48">
        <v>70</v>
      </c>
      <c r="LY105" s="43">
        <v>-1</v>
      </c>
      <c r="LZ105" s="49"/>
      <c r="MA105" s="50">
        <v>49</v>
      </c>
      <c r="MB105" s="48">
        <v>50</v>
      </c>
      <c r="MC105" s="43">
        <v>-1</v>
      </c>
      <c r="MD105" s="49"/>
      <c r="ME105" s="50">
        <v>0</v>
      </c>
      <c r="MF105" s="48">
        <v>0</v>
      </c>
      <c r="MG105" s="48">
        <v>84</v>
      </c>
      <c r="MH105" s="48">
        <v>85</v>
      </c>
      <c r="MI105" s="43">
        <v>-1</v>
      </c>
      <c r="MJ105" s="49"/>
      <c r="MK105" s="50">
        <v>42</v>
      </c>
      <c r="ML105" s="48">
        <v>40</v>
      </c>
      <c r="MM105" s="43">
        <v>2</v>
      </c>
      <c r="MN105" s="49"/>
      <c r="MO105" s="50">
        <v>0</v>
      </c>
      <c r="MP105" s="48">
        <v>0</v>
      </c>
      <c r="MQ105" s="48">
        <v>105</v>
      </c>
      <c r="MR105" s="48">
        <v>104</v>
      </c>
      <c r="MS105" s="43">
        <v>1</v>
      </c>
      <c r="MT105" s="49"/>
      <c r="MU105" s="48">
        <v>28</v>
      </c>
      <c r="MV105" s="46">
        <v>-11.2</v>
      </c>
      <c r="MW105" s="48">
        <v>0</v>
      </c>
      <c r="MX105" s="48">
        <v>30</v>
      </c>
      <c r="MY105" s="42">
        <v>-30</v>
      </c>
      <c r="MZ105" s="49">
        <v>12</v>
      </c>
      <c r="NA105" s="50">
        <v>0</v>
      </c>
      <c r="NB105" s="48">
        <v>0</v>
      </c>
      <c r="NC105" s="48">
        <v>70</v>
      </c>
      <c r="ND105" s="48">
        <v>70</v>
      </c>
      <c r="NE105" s="43">
        <v>0</v>
      </c>
      <c r="NF105" s="49"/>
      <c r="NG105" s="50">
        <v>0</v>
      </c>
      <c r="NH105" s="48">
        <v>0</v>
      </c>
      <c r="NI105" s="48">
        <v>91</v>
      </c>
      <c r="NJ105" s="48">
        <v>90</v>
      </c>
      <c r="NK105" s="43">
        <v>1</v>
      </c>
      <c r="NL105" s="49"/>
      <c r="NM105" s="50">
        <v>0</v>
      </c>
      <c r="NN105" s="48">
        <v>0</v>
      </c>
      <c r="NO105" s="48">
        <v>42</v>
      </c>
      <c r="NP105" s="48">
        <v>40</v>
      </c>
      <c r="NQ105" s="43">
        <v>2</v>
      </c>
      <c r="NR105" s="49"/>
      <c r="NS105" s="50">
        <v>0</v>
      </c>
      <c r="NT105" s="48">
        <v>0</v>
      </c>
      <c r="NU105" s="48">
        <v>28</v>
      </c>
      <c r="NV105" s="48">
        <v>30</v>
      </c>
      <c r="NW105" s="43">
        <v>-2</v>
      </c>
      <c r="NX105" s="49"/>
      <c r="NY105" s="50">
        <v>0</v>
      </c>
      <c r="NZ105" s="48">
        <v>0</v>
      </c>
      <c r="OA105" s="48">
        <v>56</v>
      </c>
      <c r="OB105" s="48">
        <v>60</v>
      </c>
      <c r="OC105" s="43">
        <v>-4</v>
      </c>
      <c r="OD105" s="49"/>
      <c r="OE105" s="50">
        <v>119</v>
      </c>
      <c r="OF105" s="48">
        <v>120</v>
      </c>
      <c r="OG105" s="43">
        <v>-1</v>
      </c>
      <c r="OH105" s="49"/>
      <c r="OI105" s="50">
        <v>0</v>
      </c>
      <c r="OJ105" s="48">
        <v>0</v>
      </c>
      <c r="OK105" s="43">
        <v>0</v>
      </c>
      <c r="OL105" s="49"/>
      <c r="OM105" s="50">
        <v>0</v>
      </c>
      <c r="ON105" s="48">
        <v>0</v>
      </c>
      <c r="OO105" s="48">
        <v>28</v>
      </c>
      <c r="OP105" s="48">
        <v>30</v>
      </c>
      <c r="OQ105" s="43">
        <v>-2</v>
      </c>
      <c r="OR105" s="49"/>
      <c r="OS105" s="50">
        <v>140</v>
      </c>
      <c r="OT105" s="48">
        <v>140</v>
      </c>
      <c r="OU105" s="43">
        <v>0</v>
      </c>
      <c r="OV105" s="49"/>
      <c r="OW105" s="50">
        <v>0</v>
      </c>
      <c r="OX105" s="48">
        <v>0</v>
      </c>
      <c r="OY105" s="48">
        <v>0</v>
      </c>
      <c r="OZ105" s="48">
        <v>0</v>
      </c>
      <c r="PA105" s="43">
        <v>0</v>
      </c>
      <c r="PB105" s="49"/>
      <c r="PC105" s="50">
        <v>42</v>
      </c>
      <c r="PD105" s="48">
        <v>40</v>
      </c>
      <c r="PE105" s="43">
        <v>2</v>
      </c>
      <c r="PF105" s="49"/>
      <c r="PG105" s="50"/>
      <c r="PL105" s="49"/>
      <c r="PM105" s="47"/>
      <c r="PN105" s="48"/>
      <c r="PP105" s="48"/>
      <c r="PR105" s="49"/>
      <c r="PS105" s="47"/>
      <c r="PX105" s="46"/>
      <c r="PY105" s="47"/>
      <c r="QB105" s="46"/>
      <c r="QC105" s="47"/>
      <c r="QH105" s="46"/>
      <c r="QI105" s="47"/>
      <c r="QN105" s="46"/>
      <c r="QO105" s="47"/>
      <c r="QT105" s="46"/>
      <c r="QU105" s="47"/>
      <c r="QX105" s="46"/>
      <c r="QY105" s="47"/>
      <c r="RD105" s="46"/>
    </row>
    <row r="106" spans="1:472" x14ac:dyDescent="0.25">
      <c r="A106" s="43" t="s">
        <v>394</v>
      </c>
      <c r="B106" s="44">
        <v>1</v>
      </c>
      <c r="I106" s="47"/>
      <c r="J106" s="51"/>
      <c r="K106" s="51"/>
      <c r="L106" s="51"/>
      <c r="M106" s="51">
        <f t="shared" si="12"/>
        <v>0</v>
      </c>
      <c r="N106" s="46"/>
      <c r="O106" s="47"/>
      <c r="P106" s="51"/>
      <c r="Q106" s="51"/>
      <c r="R106" s="51"/>
      <c r="S106" s="51">
        <f t="shared" si="13"/>
        <v>0</v>
      </c>
      <c r="T106" s="46"/>
      <c r="U106" s="47"/>
      <c r="V106" s="51"/>
      <c r="W106" s="51"/>
      <c r="X106" s="51"/>
      <c r="Y106" s="51">
        <f t="shared" si="14"/>
        <v>0</v>
      </c>
      <c r="Z106" s="46"/>
      <c r="AA106" s="51"/>
      <c r="AE106" s="43">
        <v>0</v>
      </c>
      <c r="AF106" s="46"/>
      <c r="AG106" s="47"/>
      <c r="AK106" s="43">
        <v>0</v>
      </c>
      <c r="AL106" s="46"/>
      <c r="AQ106" s="43">
        <v>0</v>
      </c>
      <c r="AR106" s="46"/>
      <c r="AW106" s="43">
        <v>0</v>
      </c>
      <c r="AX106" s="46"/>
      <c r="AY106" s="47"/>
      <c r="BC106" s="43">
        <v>0</v>
      </c>
      <c r="BD106" s="46"/>
      <c r="BE106" s="47"/>
      <c r="BI106" s="43">
        <v>0</v>
      </c>
      <c r="BJ106" s="46"/>
      <c r="BP106" s="43">
        <v>0</v>
      </c>
      <c r="BQ106" s="46"/>
      <c r="BT106" s="43">
        <v>0</v>
      </c>
      <c r="BU106" s="46"/>
      <c r="BV106" s="47"/>
      <c r="BZ106" s="43">
        <v>0</v>
      </c>
      <c r="CA106" s="46"/>
      <c r="CF106" s="43">
        <v>0</v>
      </c>
      <c r="CG106" s="46"/>
      <c r="CL106" s="43">
        <v>0</v>
      </c>
      <c r="CM106" s="46"/>
      <c r="CN106" s="47"/>
      <c r="CR106" s="43">
        <v>0</v>
      </c>
      <c r="CS106" s="46"/>
      <c r="CX106" s="43">
        <v>0</v>
      </c>
      <c r="CY106" s="46"/>
      <c r="CZ106" s="47"/>
      <c r="DD106" s="43">
        <v>0</v>
      </c>
      <c r="DE106" s="46"/>
      <c r="DF106" s="47"/>
      <c r="DL106" s="43">
        <v>0</v>
      </c>
      <c r="DM106" s="46"/>
      <c r="DN106" s="47"/>
      <c r="DR106" s="43">
        <v>0</v>
      </c>
      <c r="DS106" s="46"/>
      <c r="DZ106" s="43">
        <v>0</v>
      </c>
      <c r="EA106" s="46"/>
      <c r="EB106" s="47"/>
      <c r="EF106" s="43">
        <v>0</v>
      </c>
      <c r="EG106" s="46"/>
      <c r="EH106" s="47"/>
      <c r="EL106" s="43">
        <v>0</v>
      </c>
      <c r="EM106" s="46"/>
      <c r="EN106" s="47"/>
      <c r="ER106" s="43">
        <v>0</v>
      </c>
      <c r="ES106" s="46"/>
      <c r="EZ106" s="43">
        <v>0</v>
      </c>
      <c r="FA106" s="46"/>
      <c r="FG106" s="43">
        <v>0</v>
      </c>
      <c r="FH106" s="46"/>
      <c r="FI106" s="47"/>
      <c r="FL106" s="43">
        <v>0</v>
      </c>
      <c r="FM106" s="46"/>
      <c r="FN106" s="45">
        <v>9</v>
      </c>
      <c r="FP106">
        <v>8</v>
      </c>
      <c r="FQ106" s="43">
        <v>1</v>
      </c>
      <c r="FR106" s="46"/>
      <c r="FW106" s="43">
        <v>0</v>
      </c>
      <c r="FX106" s="46"/>
      <c r="FY106" s="47"/>
      <c r="GD106" s="43">
        <v>0</v>
      </c>
      <c r="GE106" s="46"/>
      <c r="GH106">
        <v>8</v>
      </c>
      <c r="GI106">
        <v>8</v>
      </c>
      <c r="GJ106" s="43">
        <v>0</v>
      </c>
      <c r="GK106" s="46"/>
      <c r="GL106" s="47"/>
      <c r="GP106" s="43">
        <v>0</v>
      </c>
      <c r="GQ106" s="46"/>
      <c r="GV106" s="43">
        <v>0</v>
      </c>
      <c r="GW106" s="46"/>
      <c r="GX106" s="47"/>
      <c r="GZ106" s="43">
        <v>0</v>
      </c>
      <c r="HA106" s="46"/>
      <c r="HB106" s="47"/>
      <c r="HF106" s="43">
        <v>0</v>
      </c>
      <c r="HG106" s="46"/>
      <c r="HH106" s="45">
        <v>4</v>
      </c>
      <c r="HI106">
        <v>4</v>
      </c>
      <c r="HJ106" s="43">
        <v>0</v>
      </c>
      <c r="HK106" s="46"/>
      <c r="HL106" s="47"/>
      <c r="HN106">
        <v>8</v>
      </c>
      <c r="HO106">
        <v>8</v>
      </c>
      <c r="HP106" s="43">
        <v>0</v>
      </c>
      <c r="HQ106" s="46"/>
      <c r="HX106" s="43">
        <v>0</v>
      </c>
      <c r="HY106" s="46"/>
      <c r="HZ106" s="47"/>
      <c r="IB106">
        <v>8</v>
      </c>
      <c r="IC106">
        <v>9</v>
      </c>
      <c r="ID106" s="43">
        <v>-1</v>
      </c>
      <c r="IE106" s="46"/>
      <c r="IJ106" s="43">
        <v>0</v>
      </c>
      <c r="IK106" s="49"/>
      <c r="IN106">
        <v>4</v>
      </c>
      <c r="IO106">
        <v>4</v>
      </c>
      <c r="IP106" s="43">
        <v>0</v>
      </c>
      <c r="IQ106" s="49"/>
      <c r="IV106" s="43">
        <v>0</v>
      </c>
      <c r="IW106" s="49"/>
      <c r="IY106">
        <v>4</v>
      </c>
      <c r="JB106" s="43">
        <v>-4</v>
      </c>
      <c r="JC106" s="46"/>
      <c r="JD106">
        <v>8</v>
      </c>
      <c r="JE106">
        <v>8</v>
      </c>
      <c r="JF106" s="43">
        <v>0</v>
      </c>
      <c r="JG106" s="49"/>
      <c r="JJ106">
        <v>4</v>
      </c>
      <c r="JK106">
        <v>4</v>
      </c>
      <c r="JL106" s="43">
        <v>0</v>
      </c>
      <c r="JM106" s="46"/>
      <c r="JN106" s="50"/>
      <c r="JP106" s="43">
        <v>0</v>
      </c>
      <c r="JQ106" s="49"/>
      <c r="JV106" s="43">
        <v>0</v>
      </c>
      <c r="JW106" s="49"/>
      <c r="KB106" s="43">
        <v>0</v>
      </c>
      <c r="KC106" s="49"/>
      <c r="KF106">
        <v>13</v>
      </c>
      <c r="KG106">
        <v>12</v>
      </c>
      <c r="KH106" s="43">
        <v>1</v>
      </c>
      <c r="KI106" s="49"/>
      <c r="KN106" s="43">
        <v>0</v>
      </c>
      <c r="KO106" s="49"/>
      <c r="KP106" s="50"/>
      <c r="KU106">
        <v>10</v>
      </c>
      <c r="KV106" s="42">
        <v>-10</v>
      </c>
      <c r="KW106" s="49">
        <v>10</v>
      </c>
      <c r="KX106" s="48">
        <v>0</v>
      </c>
      <c r="KY106" s="48">
        <v>0</v>
      </c>
      <c r="KZ106" s="48">
        <v>0</v>
      </c>
      <c r="LA106" s="48">
        <v>0</v>
      </c>
      <c r="LB106" s="43">
        <v>0</v>
      </c>
      <c r="LC106" s="49"/>
      <c r="LD106" s="48">
        <v>0</v>
      </c>
      <c r="LE106" s="48">
        <v>0</v>
      </c>
      <c r="LF106" s="48">
        <v>0</v>
      </c>
      <c r="LG106" s="48">
        <v>0</v>
      </c>
      <c r="LH106" s="43">
        <v>0</v>
      </c>
      <c r="LI106" s="49"/>
      <c r="LJ106" s="50">
        <v>0</v>
      </c>
      <c r="LK106" s="48">
        <v>0</v>
      </c>
      <c r="LL106" s="43">
        <v>0</v>
      </c>
      <c r="LM106" s="49"/>
      <c r="LN106" s="50">
        <v>0</v>
      </c>
      <c r="LO106" s="48">
        <v>0</v>
      </c>
      <c r="LP106" s="48">
        <v>0</v>
      </c>
      <c r="LQ106" s="48">
        <v>0</v>
      </c>
      <c r="LR106" s="48">
        <v>0</v>
      </c>
      <c r="LS106" s="43">
        <v>0</v>
      </c>
      <c r="LT106" s="49"/>
      <c r="LU106" s="50">
        <v>8.1690000000000005</v>
      </c>
      <c r="LV106" s="48">
        <v>8</v>
      </c>
      <c r="LW106" s="48">
        <v>0</v>
      </c>
      <c r="LX106" s="48">
        <v>0</v>
      </c>
      <c r="LY106" s="43">
        <v>0.16900000000000051</v>
      </c>
      <c r="LZ106" s="49"/>
      <c r="MA106" s="50">
        <v>42.999000000000002</v>
      </c>
      <c r="MB106" s="48">
        <v>40</v>
      </c>
      <c r="MC106" s="43">
        <v>2.9990000000000019</v>
      </c>
      <c r="MD106" s="49"/>
      <c r="ME106" s="50">
        <v>0</v>
      </c>
      <c r="MF106" s="48">
        <v>0</v>
      </c>
      <c r="MG106" s="48">
        <v>0</v>
      </c>
      <c r="MH106" s="33">
        <v>4</v>
      </c>
      <c r="MI106" s="43">
        <v>-4</v>
      </c>
      <c r="MJ106" s="49"/>
      <c r="MK106" s="50">
        <v>0</v>
      </c>
      <c r="ML106" s="48">
        <v>0</v>
      </c>
      <c r="MM106" s="43">
        <v>0</v>
      </c>
      <c r="MN106" s="49"/>
      <c r="MO106" s="50">
        <v>0</v>
      </c>
      <c r="MP106" s="48">
        <v>0</v>
      </c>
      <c r="MQ106" s="48">
        <v>0</v>
      </c>
      <c r="MR106" s="48">
        <v>0</v>
      </c>
      <c r="MS106" s="43">
        <v>0</v>
      </c>
      <c r="MT106" s="49"/>
      <c r="MU106" s="48">
        <v>0</v>
      </c>
      <c r="MV106" s="46"/>
      <c r="MW106" s="48">
        <v>0</v>
      </c>
      <c r="MX106" s="48">
        <v>0</v>
      </c>
      <c r="MY106" s="43">
        <v>0</v>
      </c>
      <c r="MZ106" s="49"/>
      <c r="NA106" s="50">
        <v>0</v>
      </c>
      <c r="NB106" s="48">
        <v>0</v>
      </c>
      <c r="NC106" s="48">
        <v>0</v>
      </c>
      <c r="ND106" s="48">
        <v>0</v>
      </c>
      <c r="NE106" s="43">
        <v>0</v>
      </c>
      <c r="NF106" s="49"/>
      <c r="NG106" s="50">
        <v>0</v>
      </c>
      <c r="NH106" s="48">
        <v>0</v>
      </c>
      <c r="NI106" s="48">
        <v>74.995000000000005</v>
      </c>
      <c r="NJ106" s="48">
        <v>75</v>
      </c>
      <c r="NK106" s="43">
        <v>-4.9999999999954534E-3</v>
      </c>
      <c r="NL106" s="49"/>
      <c r="NM106" s="50">
        <v>0</v>
      </c>
      <c r="NN106" s="48">
        <v>0</v>
      </c>
      <c r="NO106" s="48">
        <v>20.327999999999999</v>
      </c>
      <c r="NP106" s="48">
        <v>20</v>
      </c>
      <c r="NQ106" s="43">
        <v>0.3279999999999994</v>
      </c>
      <c r="NR106" s="49"/>
      <c r="NS106" s="50">
        <v>0</v>
      </c>
      <c r="NT106" s="48">
        <v>0</v>
      </c>
      <c r="NU106" s="48">
        <v>12.938000000000001</v>
      </c>
      <c r="NV106" s="48">
        <v>10</v>
      </c>
      <c r="NW106" s="43">
        <v>2.9380000000000011</v>
      </c>
      <c r="NX106" s="49"/>
      <c r="NY106" s="50">
        <v>0</v>
      </c>
      <c r="NZ106" s="48">
        <v>0</v>
      </c>
      <c r="OA106" s="48">
        <v>41.036999999999999</v>
      </c>
      <c r="OB106" s="48">
        <v>40</v>
      </c>
      <c r="OC106" s="43">
        <v>1.036999999999999</v>
      </c>
      <c r="OD106" s="49"/>
      <c r="OE106" s="50">
        <v>34.07</v>
      </c>
      <c r="OF106" s="48">
        <v>35</v>
      </c>
      <c r="OG106" s="43">
        <v>-0.92999999999999972</v>
      </c>
      <c r="OH106" s="49"/>
      <c r="OI106" s="50">
        <v>0</v>
      </c>
      <c r="OJ106" s="48">
        <v>0</v>
      </c>
      <c r="OK106" s="43">
        <v>0</v>
      </c>
      <c r="OL106" s="49"/>
      <c r="OM106" s="50">
        <v>0</v>
      </c>
      <c r="ON106" s="48">
        <v>0</v>
      </c>
      <c r="OO106" s="48">
        <v>62.451999999999998</v>
      </c>
      <c r="OP106" s="48">
        <v>62.307000000000002</v>
      </c>
      <c r="OQ106" s="43">
        <v>0.14499999999999599</v>
      </c>
      <c r="OR106" s="49"/>
      <c r="OS106" s="50">
        <v>8.2070000000000007</v>
      </c>
      <c r="OT106" s="48">
        <v>10</v>
      </c>
      <c r="OU106" s="43">
        <v>-1.792999999999999</v>
      </c>
      <c r="OV106" s="49"/>
      <c r="OW106" s="50">
        <v>0</v>
      </c>
      <c r="OX106" s="48">
        <v>0</v>
      </c>
      <c r="OY106" s="48">
        <v>0</v>
      </c>
      <c r="OZ106" s="48">
        <v>0</v>
      </c>
      <c r="PA106" s="43">
        <v>0</v>
      </c>
      <c r="PB106" s="49"/>
      <c r="PC106" s="50">
        <v>0</v>
      </c>
      <c r="PD106" s="48">
        <v>0</v>
      </c>
      <c r="PE106" s="43">
        <v>0</v>
      </c>
      <c r="PF106" s="49"/>
      <c r="PG106" s="50">
        <v>0</v>
      </c>
      <c r="PH106" s="48">
        <v>0</v>
      </c>
      <c r="PI106" s="48">
        <v>64.593000000000004</v>
      </c>
      <c r="PJ106" s="48">
        <v>65</v>
      </c>
      <c r="PK106" s="43">
        <v>-0.40699999999999648</v>
      </c>
      <c r="PL106" s="49"/>
      <c r="PM106" s="47">
        <v>0</v>
      </c>
      <c r="PN106" s="48">
        <v>0</v>
      </c>
      <c r="PO106" s="48">
        <v>0</v>
      </c>
      <c r="PP106" s="48">
        <v>0</v>
      </c>
      <c r="PQ106" s="43">
        <v>0</v>
      </c>
      <c r="PR106" s="49"/>
      <c r="PS106" s="47">
        <v>0</v>
      </c>
      <c r="PT106" s="43">
        <v>0</v>
      </c>
      <c r="PU106" s="43">
        <v>20.751999999999999</v>
      </c>
      <c r="PV106" s="43">
        <v>20</v>
      </c>
      <c r="PW106" s="43">
        <v>0.75199999999999889</v>
      </c>
      <c r="PX106" s="46"/>
      <c r="PY106" s="47">
        <v>36.78</v>
      </c>
      <c r="PZ106" s="43">
        <v>40</v>
      </c>
      <c r="QA106" s="43">
        <v>-3.2199999999999989</v>
      </c>
      <c r="QB106" s="46"/>
      <c r="QC106" s="47">
        <v>0</v>
      </c>
      <c r="QD106" s="43">
        <v>0</v>
      </c>
      <c r="QE106" s="43">
        <v>0</v>
      </c>
      <c r="QF106" s="43">
        <v>0</v>
      </c>
      <c r="QG106" s="43">
        <v>0</v>
      </c>
      <c r="QH106" s="46"/>
      <c r="QI106" s="47">
        <v>0</v>
      </c>
      <c r="QJ106" s="43">
        <v>0</v>
      </c>
      <c r="QK106" s="43">
        <v>0</v>
      </c>
      <c r="QL106" s="43">
        <v>0</v>
      </c>
      <c r="QM106" s="43">
        <v>0</v>
      </c>
      <c r="QN106" s="46"/>
      <c r="QO106" s="47">
        <v>0</v>
      </c>
      <c r="QP106" s="43">
        <v>0</v>
      </c>
      <c r="QQ106" s="43">
        <v>0</v>
      </c>
      <c r="QR106" s="43">
        <v>0</v>
      </c>
      <c r="QS106" s="43">
        <v>0</v>
      </c>
      <c r="QT106" s="46"/>
      <c r="QU106" s="47">
        <v>0</v>
      </c>
      <c r="QV106" s="43">
        <v>0</v>
      </c>
      <c r="QW106" s="43">
        <v>0</v>
      </c>
      <c r="QX106" s="46"/>
      <c r="QY106" s="47">
        <v>0</v>
      </c>
      <c r="QZ106" s="43">
        <v>0</v>
      </c>
      <c r="RA106" s="43">
        <v>0</v>
      </c>
      <c r="RB106" s="43">
        <v>0</v>
      </c>
      <c r="RC106" s="43">
        <v>0</v>
      </c>
      <c r="RD106" s="46"/>
    </row>
    <row r="107" spans="1:472" x14ac:dyDescent="0.25">
      <c r="A107" s="43" t="s">
        <v>395</v>
      </c>
      <c r="B107" s="44">
        <v>0.41</v>
      </c>
      <c r="I107" s="47"/>
      <c r="J107" s="51"/>
      <c r="K107" s="51"/>
      <c r="L107" s="51"/>
      <c r="M107" s="51">
        <f t="shared" si="12"/>
        <v>0</v>
      </c>
      <c r="N107" s="46"/>
      <c r="O107" s="47"/>
      <c r="P107" s="51"/>
      <c r="Q107" s="51"/>
      <c r="R107" s="51"/>
      <c r="S107" s="51">
        <f t="shared" si="13"/>
        <v>0</v>
      </c>
      <c r="T107" s="46"/>
      <c r="U107" s="47"/>
      <c r="V107" s="51"/>
      <c r="W107" s="51"/>
      <c r="X107" s="51"/>
      <c r="Y107" s="51">
        <f t="shared" si="14"/>
        <v>0</v>
      </c>
      <c r="Z107" s="46"/>
      <c r="AA107" s="51"/>
      <c r="AE107" s="43">
        <v>0</v>
      </c>
      <c r="AF107" s="46"/>
      <c r="AG107" s="47"/>
      <c r="AK107" s="43">
        <v>0</v>
      </c>
      <c r="AL107" s="46"/>
      <c r="AQ107" s="43">
        <v>0</v>
      </c>
      <c r="AR107" s="46"/>
      <c r="AW107" s="43">
        <v>0</v>
      </c>
      <c r="AX107" s="46"/>
      <c r="AY107" s="47"/>
      <c r="BC107" s="43">
        <v>0</v>
      </c>
      <c r="BD107" s="46"/>
      <c r="BE107" s="47"/>
      <c r="BI107" s="43">
        <v>0</v>
      </c>
      <c r="BJ107" s="46"/>
      <c r="BP107" s="43">
        <v>0</v>
      </c>
      <c r="BQ107" s="46"/>
      <c r="BT107" s="43">
        <v>0</v>
      </c>
      <c r="BU107" s="46"/>
      <c r="BV107" s="47"/>
      <c r="BZ107" s="43">
        <v>0</v>
      </c>
      <c r="CA107" s="46"/>
      <c r="CF107" s="43">
        <v>0</v>
      </c>
      <c r="CG107" s="46"/>
      <c r="CL107" s="43">
        <v>0</v>
      </c>
      <c r="CM107" s="46"/>
      <c r="CN107" s="47"/>
      <c r="CR107" s="43">
        <v>0</v>
      </c>
      <c r="CS107" s="46"/>
      <c r="CX107" s="43">
        <v>0</v>
      </c>
      <c r="CY107" s="46"/>
      <c r="CZ107" s="47"/>
      <c r="DD107" s="43">
        <v>0</v>
      </c>
      <c r="DE107" s="46"/>
      <c r="DF107" s="47"/>
      <c r="DJ107">
        <v>16</v>
      </c>
      <c r="DK107">
        <v>16</v>
      </c>
      <c r="DL107" s="43">
        <v>0</v>
      </c>
      <c r="DM107" s="46"/>
      <c r="DN107" s="47"/>
      <c r="DP107">
        <v>40</v>
      </c>
      <c r="DQ107">
        <v>40</v>
      </c>
      <c r="DR107" s="43">
        <v>0</v>
      </c>
      <c r="DS107" s="46"/>
      <c r="DZ107" s="43">
        <v>0</v>
      </c>
      <c r="EA107" s="46"/>
      <c r="EB107" s="47"/>
      <c r="ED107">
        <v>56</v>
      </c>
      <c r="EE107">
        <v>60</v>
      </c>
      <c r="EF107" s="43">
        <v>-4</v>
      </c>
      <c r="EG107" s="46"/>
      <c r="EH107" s="47"/>
      <c r="EJ107">
        <v>168</v>
      </c>
      <c r="EK107">
        <v>170</v>
      </c>
      <c r="EL107" s="43">
        <v>-2</v>
      </c>
      <c r="EM107" s="46"/>
      <c r="EN107" s="47"/>
      <c r="ER107" s="43">
        <v>0</v>
      </c>
      <c r="ES107" s="46"/>
      <c r="ET107">
        <v>48</v>
      </c>
      <c r="EU107">
        <v>48</v>
      </c>
      <c r="EV107">
        <v>48</v>
      </c>
      <c r="EW107">
        <v>48</v>
      </c>
      <c r="EX107">
        <v>56</v>
      </c>
      <c r="EY107">
        <v>54</v>
      </c>
      <c r="EZ107" s="43">
        <v>2</v>
      </c>
      <c r="FA107" s="46"/>
      <c r="FB107">
        <v>32</v>
      </c>
      <c r="FC107">
        <v>32</v>
      </c>
      <c r="FD107">
        <v>16</v>
      </c>
      <c r="FF107">
        <v>18</v>
      </c>
      <c r="FG107" s="43">
        <v>-2</v>
      </c>
      <c r="FH107" s="46"/>
      <c r="FI107" s="47"/>
      <c r="FL107" s="43">
        <v>0</v>
      </c>
      <c r="FM107" s="46"/>
      <c r="FN107" s="45">
        <v>88</v>
      </c>
      <c r="FP107">
        <v>86</v>
      </c>
      <c r="FQ107" s="43">
        <v>2</v>
      </c>
      <c r="FR107" s="46"/>
      <c r="FW107" s="43">
        <v>0</v>
      </c>
      <c r="FX107" s="46"/>
      <c r="FY107" s="47"/>
      <c r="GD107" s="43">
        <v>0</v>
      </c>
      <c r="GE107" s="46"/>
      <c r="GH107">
        <v>48</v>
      </c>
      <c r="GI107">
        <v>48</v>
      </c>
      <c r="GJ107" s="43">
        <v>0</v>
      </c>
      <c r="GK107" s="46"/>
      <c r="GL107" s="47"/>
      <c r="GN107">
        <v>80</v>
      </c>
      <c r="GO107">
        <v>80</v>
      </c>
      <c r="GP107" s="43">
        <v>0</v>
      </c>
      <c r="GQ107" s="46"/>
      <c r="GT107">
        <v>72</v>
      </c>
      <c r="GU107">
        <v>70</v>
      </c>
      <c r="GV107" s="43">
        <v>2</v>
      </c>
      <c r="GW107" s="46"/>
      <c r="GX107" s="47"/>
      <c r="GZ107" s="43">
        <v>0</v>
      </c>
      <c r="HA107" s="46"/>
      <c r="HB107" s="47"/>
      <c r="HD107">
        <v>128</v>
      </c>
      <c r="HE107">
        <v>128</v>
      </c>
      <c r="HF107" s="43">
        <v>0</v>
      </c>
      <c r="HG107" s="46"/>
      <c r="HH107" s="47"/>
      <c r="HJ107" s="43">
        <v>0</v>
      </c>
      <c r="HK107" s="46"/>
      <c r="HL107" s="47"/>
      <c r="HN107">
        <v>48</v>
      </c>
      <c r="HO107">
        <v>50</v>
      </c>
      <c r="HP107" s="43">
        <v>-2</v>
      </c>
      <c r="HQ107" s="46"/>
      <c r="HV107">
        <v>96</v>
      </c>
      <c r="HW107">
        <v>100</v>
      </c>
      <c r="HX107" s="43">
        <v>-4</v>
      </c>
      <c r="HY107" s="46"/>
      <c r="HZ107" s="47"/>
      <c r="IB107">
        <v>64</v>
      </c>
      <c r="IC107">
        <v>64</v>
      </c>
      <c r="ID107" s="43">
        <v>0</v>
      </c>
      <c r="IE107" s="46"/>
      <c r="IH107">
        <v>152</v>
      </c>
      <c r="II107">
        <v>150</v>
      </c>
      <c r="IJ107" s="43">
        <v>2</v>
      </c>
      <c r="IK107" s="49"/>
      <c r="IN107">
        <v>128</v>
      </c>
      <c r="IO107">
        <v>130</v>
      </c>
      <c r="IP107" s="43">
        <v>-2</v>
      </c>
      <c r="IQ107" s="49"/>
      <c r="IT107">
        <v>8</v>
      </c>
      <c r="IU107">
        <v>8</v>
      </c>
      <c r="IV107" s="43">
        <v>0</v>
      </c>
      <c r="IW107" s="49"/>
      <c r="IX107">
        <v>80</v>
      </c>
      <c r="IY107">
        <v>80</v>
      </c>
      <c r="IZ107">
        <v>56</v>
      </c>
      <c r="JA107">
        <v>60</v>
      </c>
      <c r="JB107" s="43">
        <v>-4</v>
      </c>
      <c r="JC107" s="46"/>
      <c r="JD107">
        <v>56</v>
      </c>
      <c r="JE107">
        <v>60</v>
      </c>
      <c r="JF107" s="43">
        <v>-4</v>
      </c>
      <c r="JG107" s="49"/>
      <c r="JL107" s="43">
        <v>0</v>
      </c>
      <c r="JM107" s="46"/>
      <c r="JN107" s="50"/>
      <c r="JP107" s="43">
        <v>0</v>
      </c>
      <c r="JQ107" s="49"/>
      <c r="JV107" s="43">
        <v>0</v>
      </c>
      <c r="JW107" s="49"/>
      <c r="JZ107">
        <v>120</v>
      </c>
      <c r="KA107">
        <v>120</v>
      </c>
      <c r="KB107" s="43">
        <v>0</v>
      </c>
      <c r="KC107" s="49"/>
      <c r="KF107">
        <v>96</v>
      </c>
      <c r="KG107">
        <v>100</v>
      </c>
      <c r="KH107" s="43">
        <v>-4</v>
      </c>
      <c r="KI107" s="49"/>
      <c r="KN107" s="43">
        <v>0</v>
      </c>
      <c r="KO107" s="49"/>
      <c r="KP107" s="45">
        <v>32</v>
      </c>
      <c r="KQ107">
        <v>32</v>
      </c>
      <c r="KR107">
        <v>32</v>
      </c>
      <c r="KS107">
        <v>32</v>
      </c>
      <c r="KT107">
        <v>32</v>
      </c>
      <c r="KU107">
        <v>36</v>
      </c>
      <c r="KV107" s="43">
        <v>-4</v>
      </c>
      <c r="KW107" s="49"/>
      <c r="KX107" s="48">
        <v>0</v>
      </c>
      <c r="KY107" s="48">
        <v>0</v>
      </c>
      <c r="KZ107" s="48">
        <v>0</v>
      </c>
      <c r="LA107" s="33">
        <v>96</v>
      </c>
      <c r="LB107" s="42">
        <v>-96</v>
      </c>
      <c r="LC107" s="49">
        <v>39.36</v>
      </c>
      <c r="LD107" s="48">
        <v>0</v>
      </c>
      <c r="LE107" s="48">
        <v>0</v>
      </c>
      <c r="LF107" s="48">
        <v>96</v>
      </c>
      <c r="LG107" s="48">
        <v>95</v>
      </c>
      <c r="LH107" s="43">
        <v>1</v>
      </c>
      <c r="LI107" s="49"/>
      <c r="LJ107" s="50">
        <v>0</v>
      </c>
      <c r="LK107" s="48">
        <v>0</v>
      </c>
      <c r="LL107" s="43">
        <v>0</v>
      </c>
      <c r="LM107" s="49"/>
      <c r="LN107" s="50">
        <v>0</v>
      </c>
      <c r="LO107" s="48">
        <v>0</v>
      </c>
      <c r="LP107" s="48">
        <v>232</v>
      </c>
      <c r="LQ107" s="48">
        <v>0</v>
      </c>
      <c r="LR107" s="48">
        <v>230</v>
      </c>
      <c r="LS107" s="43">
        <v>2</v>
      </c>
      <c r="LT107" s="49"/>
      <c r="LU107" s="50">
        <v>24</v>
      </c>
      <c r="LV107" s="48">
        <v>24</v>
      </c>
      <c r="LW107" s="48">
        <v>40</v>
      </c>
      <c r="LX107" s="48">
        <v>40</v>
      </c>
      <c r="LY107" s="43">
        <v>0</v>
      </c>
      <c r="LZ107" s="49"/>
      <c r="MA107" s="50">
        <v>0</v>
      </c>
      <c r="MB107" s="48">
        <v>0</v>
      </c>
      <c r="MC107" s="43">
        <v>0</v>
      </c>
      <c r="MD107" s="49"/>
      <c r="ME107" s="50">
        <v>0</v>
      </c>
      <c r="MF107" s="48">
        <v>0</v>
      </c>
      <c r="MG107" s="48">
        <v>0</v>
      </c>
      <c r="MH107" s="48">
        <v>0</v>
      </c>
      <c r="MI107" s="43">
        <v>0</v>
      </c>
      <c r="MJ107" s="49"/>
      <c r="MK107" s="50">
        <v>216</v>
      </c>
      <c r="ML107" s="48">
        <v>220</v>
      </c>
      <c r="MM107" s="43">
        <v>-4</v>
      </c>
      <c r="MN107" s="49"/>
      <c r="MO107" s="50">
        <v>0</v>
      </c>
      <c r="MP107" s="48">
        <v>0</v>
      </c>
      <c r="MQ107" s="48">
        <v>16</v>
      </c>
      <c r="MR107" s="48">
        <v>18</v>
      </c>
      <c r="MS107" s="43">
        <v>-2</v>
      </c>
      <c r="MT107" s="49"/>
      <c r="MU107" s="48">
        <v>32</v>
      </c>
      <c r="MV107" s="46">
        <v>-13.12</v>
      </c>
      <c r="MW107" s="48">
        <v>0</v>
      </c>
      <c r="MX107" s="48">
        <v>30</v>
      </c>
      <c r="MY107" s="42">
        <v>-30</v>
      </c>
      <c r="MZ107" s="49">
        <v>12.3</v>
      </c>
      <c r="NA107" s="50">
        <v>0</v>
      </c>
      <c r="NB107" s="48">
        <v>0</v>
      </c>
      <c r="NC107" s="48">
        <v>112</v>
      </c>
      <c r="ND107" s="48">
        <v>110</v>
      </c>
      <c r="NE107" s="43">
        <v>2</v>
      </c>
      <c r="NF107" s="49"/>
      <c r="NG107" s="50">
        <v>0</v>
      </c>
      <c r="NH107" s="48">
        <v>0</v>
      </c>
      <c r="NI107" s="48">
        <v>112</v>
      </c>
      <c r="NJ107" s="48">
        <v>110</v>
      </c>
      <c r="NK107" s="43">
        <v>2</v>
      </c>
      <c r="NL107" s="49"/>
      <c r="NM107" s="50">
        <v>0</v>
      </c>
      <c r="NN107" s="48">
        <v>0</v>
      </c>
      <c r="NO107" s="48">
        <v>0</v>
      </c>
      <c r="NP107" s="48">
        <v>0</v>
      </c>
      <c r="NQ107" s="43">
        <v>0</v>
      </c>
      <c r="NR107" s="49"/>
      <c r="NS107" s="50">
        <v>0</v>
      </c>
      <c r="NT107" s="48">
        <v>0</v>
      </c>
      <c r="NU107" s="48">
        <v>0</v>
      </c>
      <c r="NV107" s="48">
        <v>0</v>
      </c>
      <c r="NW107" s="43">
        <v>0</v>
      </c>
      <c r="NX107" s="49"/>
      <c r="NY107" s="50">
        <v>152</v>
      </c>
      <c r="NZ107" s="48">
        <v>150</v>
      </c>
      <c r="OA107" s="48">
        <v>160</v>
      </c>
      <c r="OB107" s="48">
        <v>165</v>
      </c>
      <c r="OC107" s="43">
        <v>-3</v>
      </c>
      <c r="OD107" s="49"/>
      <c r="OE107" s="50">
        <v>32</v>
      </c>
      <c r="OF107" s="48">
        <v>30</v>
      </c>
      <c r="OG107" s="43">
        <v>2</v>
      </c>
      <c r="OH107" s="49"/>
      <c r="OI107" s="50">
        <v>168</v>
      </c>
      <c r="OJ107" s="48">
        <v>170</v>
      </c>
      <c r="OK107" s="43">
        <v>-2</v>
      </c>
      <c r="OL107" s="49"/>
      <c r="OM107" s="50">
        <v>0</v>
      </c>
      <c r="ON107" s="48">
        <v>0</v>
      </c>
      <c r="OO107" s="48">
        <v>32</v>
      </c>
      <c r="OP107" s="48">
        <v>30</v>
      </c>
      <c r="OQ107" s="43">
        <v>2</v>
      </c>
      <c r="OR107" s="49"/>
      <c r="OS107" s="50">
        <v>80</v>
      </c>
      <c r="OT107" s="48">
        <v>80</v>
      </c>
      <c r="OU107" s="43">
        <v>0</v>
      </c>
      <c r="OV107" s="49"/>
      <c r="OW107" s="50">
        <v>0</v>
      </c>
      <c r="OX107" s="48">
        <v>0</v>
      </c>
      <c r="OY107" s="48">
        <v>0</v>
      </c>
      <c r="OZ107" s="48">
        <v>0</v>
      </c>
      <c r="PA107" s="43">
        <v>0</v>
      </c>
      <c r="PB107" s="49"/>
      <c r="PC107" s="50">
        <v>40</v>
      </c>
      <c r="PD107" s="48">
        <v>40</v>
      </c>
      <c r="PE107" s="43">
        <v>0</v>
      </c>
      <c r="PF107" s="49"/>
      <c r="PG107" s="50"/>
      <c r="PL107" s="49"/>
      <c r="PM107" s="47"/>
      <c r="PN107" s="48"/>
      <c r="PP107" s="48"/>
      <c r="PR107" s="49"/>
      <c r="PS107" s="47"/>
      <c r="PX107" s="46"/>
      <c r="PY107" s="47"/>
      <c r="QB107" s="46"/>
      <c r="QC107" s="47"/>
      <c r="QH107" s="46"/>
      <c r="QI107" s="47"/>
      <c r="QN107" s="46"/>
      <c r="QO107" s="47"/>
      <c r="QT107" s="46"/>
      <c r="QU107" s="47"/>
      <c r="QX107" s="46"/>
      <c r="QY107" s="47"/>
      <c r="RD107" s="46"/>
    </row>
    <row r="108" spans="1:472" x14ac:dyDescent="0.25">
      <c r="A108" s="43" t="s">
        <v>396</v>
      </c>
      <c r="B108" s="44">
        <v>1</v>
      </c>
      <c r="I108" s="47"/>
      <c r="J108" s="51"/>
      <c r="K108" s="51"/>
      <c r="L108" s="51"/>
      <c r="M108" s="51">
        <f t="shared" si="12"/>
        <v>0</v>
      </c>
      <c r="N108" s="46"/>
      <c r="O108" s="47"/>
      <c r="P108" s="51"/>
      <c r="Q108" s="51"/>
      <c r="R108" s="51"/>
      <c r="S108" s="51">
        <f t="shared" si="13"/>
        <v>0</v>
      </c>
      <c r="T108" s="46"/>
      <c r="U108" s="47"/>
      <c r="V108" s="51"/>
      <c r="W108" s="51"/>
      <c r="X108" s="51"/>
      <c r="Y108" s="51">
        <f t="shared" si="14"/>
        <v>0</v>
      </c>
      <c r="Z108" s="46"/>
      <c r="AA108" s="51"/>
      <c r="AE108" s="43">
        <v>0</v>
      </c>
      <c r="AF108" s="46"/>
      <c r="AG108" s="47"/>
      <c r="AK108" s="43">
        <v>0</v>
      </c>
      <c r="AL108" s="46"/>
      <c r="AQ108" s="43">
        <v>0</v>
      </c>
      <c r="AR108" s="46"/>
      <c r="AW108" s="43">
        <v>0</v>
      </c>
      <c r="AX108" s="46"/>
      <c r="AY108" s="47"/>
      <c r="BC108" s="43">
        <v>0</v>
      </c>
      <c r="BD108" s="46"/>
      <c r="BE108" s="47"/>
      <c r="BI108" s="43">
        <v>0</v>
      </c>
      <c r="BJ108" s="46"/>
      <c r="BP108" s="43">
        <v>0</v>
      </c>
      <c r="BQ108" s="46"/>
      <c r="BT108" s="43">
        <v>0</v>
      </c>
      <c r="BU108" s="46"/>
      <c r="BV108" s="47"/>
      <c r="BZ108" s="43">
        <v>0</v>
      </c>
      <c r="CA108" s="46"/>
      <c r="CF108" s="43">
        <v>0</v>
      </c>
      <c r="CG108" s="46"/>
      <c r="CL108" s="43">
        <v>0</v>
      </c>
      <c r="CM108" s="46"/>
      <c r="CN108" s="47"/>
      <c r="CR108" s="43">
        <v>0</v>
      </c>
      <c r="CS108" s="46"/>
      <c r="CX108" s="43">
        <v>0</v>
      </c>
      <c r="CY108" s="46"/>
      <c r="CZ108" s="47"/>
      <c r="DD108" s="43">
        <v>0</v>
      </c>
      <c r="DE108" s="46"/>
      <c r="DF108" s="47"/>
      <c r="DJ108">
        <v>4</v>
      </c>
      <c r="DK108">
        <v>4</v>
      </c>
      <c r="DL108" s="43">
        <v>0</v>
      </c>
      <c r="DM108" s="46"/>
      <c r="DN108" s="47"/>
      <c r="DR108" s="43">
        <v>0</v>
      </c>
      <c r="DS108" s="46"/>
      <c r="DZ108" s="43">
        <v>0</v>
      </c>
      <c r="EA108" s="46"/>
      <c r="EB108" s="47"/>
      <c r="EF108" s="43">
        <v>0</v>
      </c>
      <c r="EG108" s="46"/>
      <c r="EH108" s="47"/>
      <c r="EJ108">
        <v>4</v>
      </c>
      <c r="EK108">
        <v>5</v>
      </c>
      <c r="EL108" s="43">
        <v>-1</v>
      </c>
      <c r="EM108" s="46"/>
      <c r="EN108" s="47"/>
      <c r="ER108" s="43">
        <v>0</v>
      </c>
      <c r="ES108" s="46"/>
      <c r="EZ108" s="43">
        <v>0</v>
      </c>
      <c r="FA108" s="46"/>
      <c r="FD108">
        <v>9</v>
      </c>
      <c r="FF108">
        <v>7</v>
      </c>
      <c r="FG108" s="43">
        <v>2</v>
      </c>
      <c r="FH108" s="46"/>
      <c r="FI108" s="45">
        <v>4</v>
      </c>
      <c r="FK108" s="48">
        <v>4</v>
      </c>
      <c r="FL108" s="43">
        <v>0</v>
      </c>
      <c r="FM108" s="46"/>
      <c r="FN108" s="45">
        <v>4</v>
      </c>
      <c r="FP108">
        <v>4</v>
      </c>
      <c r="FQ108" s="43">
        <v>0</v>
      </c>
      <c r="FR108" s="46"/>
      <c r="FW108" s="43">
        <v>0</v>
      </c>
      <c r="FX108" s="46"/>
      <c r="FY108" s="47"/>
      <c r="GD108" s="43">
        <v>0</v>
      </c>
      <c r="GE108" s="46"/>
      <c r="GJ108" s="43">
        <v>0</v>
      </c>
      <c r="GK108" s="46"/>
      <c r="GL108" s="47"/>
      <c r="GP108" s="43">
        <v>0</v>
      </c>
      <c r="GQ108" s="46"/>
      <c r="GV108" s="43">
        <v>0</v>
      </c>
      <c r="GW108" s="46"/>
      <c r="GX108" s="47"/>
      <c r="GZ108" s="43">
        <v>0</v>
      </c>
      <c r="HA108" s="46"/>
      <c r="HB108" s="47"/>
      <c r="HF108" s="43">
        <v>0</v>
      </c>
      <c r="HG108" s="46"/>
      <c r="HH108" s="47"/>
      <c r="HJ108" s="43">
        <v>0</v>
      </c>
      <c r="HK108" s="46"/>
      <c r="HL108" s="47"/>
      <c r="HN108">
        <v>13</v>
      </c>
      <c r="HO108">
        <v>11</v>
      </c>
      <c r="HP108" s="43">
        <v>2</v>
      </c>
      <c r="HQ108" s="46"/>
      <c r="HX108" s="43">
        <v>0</v>
      </c>
      <c r="HY108" s="46"/>
      <c r="HZ108" s="47"/>
      <c r="IB108">
        <v>9</v>
      </c>
      <c r="IC108">
        <v>6</v>
      </c>
      <c r="ID108" s="43">
        <v>3</v>
      </c>
      <c r="IE108" s="46"/>
      <c r="IJ108" s="43">
        <v>0</v>
      </c>
      <c r="IK108" s="49"/>
      <c r="IP108" s="43">
        <v>0</v>
      </c>
      <c r="IQ108" s="49"/>
      <c r="IV108" s="43">
        <v>0</v>
      </c>
      <c r="IW108" s="49"/>
      <c r="JB108" s="43">
        <v>0</v>
      </c>
      <c r="JC108" s="46"/>
      <c r="JF108" s="43">
        <v>0</v>
      </c>
      <c r="JG108" s="49"/>
      <c r="JL108" s="43">
        <v>0</v>
      </c>
      <c r="JM108" s="46"/>
      <c r="JN108" s="45">
        <v>9</v>
      </c>
      <c r="JO108" s="48">
        <v>8</v>
      </c>
      <c r="JP108" s="43">
        <v>1</v>
      </c>
      <c r="JQ108" s="49"/>
      <c r="JT108">
        <v>4</v>
      </c>
      <c r="JU108">
        <v>4</v>
      </c>
      <c r="JV108" s="43">
        <v>0</v>
      </c>
      <c r="JW108" s="49"/>
      <c r="KB108" s="43">
        <v>0</v>
      </c>
      <c r="KC108" s="49"/>
      <c r="KH108" s="43">
        <v>0</v>
      </c>
      <c r="KI108" s="49"/>
      <c r="KN108" s="43">
        <v>0</v>
      </c>
      <c r="KO108" s="49"/>
      <c r="KP108" s="50"/>
      <c r="KR108">
        <v>4</v>
      </c>
      <c r="KS108">
        <v>4</v>
      </c>
      <c r="KV108" s="43">
        <v>0</v>
      </c>
      <c r="KW108" s="49"/>
      <c r="KX108" s="48">
        <v>0</v>
      </c>
      <c r="KY108" s="48">
        <v>0</v>
      </c>
      <c r="KZ108" s="48">
        <v>0</v>
      </c>
      <c r="LA108" s="48">
        <v>0</v>
      </c>
      <c r="LB108" s="43">
        <v>0</v>
      </c>
      <c r="LC108" s="49"/>
      <c r="LD108" s="48">
        <v>0</v>
      </c>
      <c r="LE108" s="48">
        <v>0</v>
      </c>
      <c r="LF108" s="48">
        <v>0</v>
      </c>
      <c r="LG108" s="48">
        <v>0</v>
      </c>
      <c r="LH108" s="43">
        <v>0</v>
      </c>
      <c r="LI108" s="49"/>
      <c r="LJ108" s="50">
        <v>0</v>
      </c>
      <c r="LK108" s="48">
        <v>0</v>
      </c>
      <c r="LL108" s="43">
        <v>0</v>
      </c>
      <c r="LM108" s="49"/>
      <c r="LN108" s="50">
        <v>0</v>
      </c>
      <c r="LO108" s="48">
        <v>0</v>
      </c>
      <c r="LP108" s="48">
        <v>39.216999999999999</v>
      </c>
      <c r="LQ108" s="48">
        <v>0</v>
      </c>
      <c r="LR108" s="48">
        <v>34</v>
      </c>
      <c r="LS108" s="43">
        <v>5.2169999999999987</v>
      </c>
      <c r="LT108" s="49"/>
      <c r="LU108" s="50">
        <v>0</v>
      </c>
      <c r="LV108" s="48">
        <v>0</v>
      </c>
      <c r="LW108" s="48">
        <v>16.803999999999998</v>
      </c>
      <c r="LX108" s="48">
        <v>16</v>
      </c>
      <c r="LY108" s="43">
        <v>0.80399999999999849</v>
      </c>
      <c r="LZ108" s="49"/>
      <c r="MA108" s="50">
        <v>0</v>
      </c>
      <c r="MB108" s="48">
        <v>0</v>
      </c>
      <c r="MC108" s="43">
        <v>0</v>
      </c>
      <c r="MD108" s="49"/>
      <c r="ME108" s="50">
        <v>0</v>
      </c>
      <c r="MF108" s="48">
        <v>0</v>
      </c>
      <c r="MG108" s="48">
        <v>24.710999999999999</v>
      </c>
      <c r="MH108" s="48">
        <v>24</v>
      </c>
      <c r="MI108" s="43">
        <v>0.71099999999999852</v>
      </c>
      <c r="MJ108" s="49"/>
      <c r="MK108" s="50">
        <v>0</v>
      </c>
      <c r="ML108" s="48">
        <v>0</v>
      </c>
      <c r="MM108" s="43">
        <v>0</v>
      </c>
      <c r="MN108" s="49"/>
      <c r="MO108" s="50">
        <v>0</v>
      </c>
      <c r="MP108" s="48">
        <v>0</v>
      </c>
      <c r="MQ108" s="48">
        <v>0</v>
      </c>
      <c r="MR108" s="48">
        <v>0</v>
      </c>
      <c r="MS108" s="43">
        <v>0</v>
      </c>
      <c r="MT108" s="49"/>
      <c r="MU108" s="48">
        <v>0</v>
      </c>
      <c r="MV108" s="46"/>
      <c r="MW108" s="48">
        <v>24.577999999999999</v>
      </c>
      <c r="MX108" s="48">
        <v>25</v>
      </c>
      <c r="MY108" s="43">
        <v>-0.4220000000000006</v>
      </c>
      <c r="MZ108" s="49"/>
      <c r="NA108" s="50">
        <v>0</v>
      </c>
      <c r="NB108" s="48">
        <v>0</v>
      </c>
      <c r="NC108" s="48">
        <v>20.763999999999999</v>
      </c>
      <c r="ND108" s="48">
        <v>20</v>
      </c>
      <c r="NE108" s="43">
        <v>0.76399999999999935</v>
      </c>
      <c r="NF108" s="49"/>
      <c r="NG108" s="50">
        <v>0</v>
      </c>
      <c r="NH108" s="48">
        <v>0</v>
      </c>
      <c r="NI108" s="48">
        <v>24.931999999999999</v>
      </c>
      <c r="NJ108" s="48">
        <v>25</v>
      </c>
      <c r="NK108" s="43">
        <v>-6.8000000000001393E-2</v>
      </c>
      <c r="NL108" s="49"/>
      <c r="NM108" s="50">
        <v>0</v>
      </c>
      <c r="NN108" s="48">
        <v>0</v>
      </c>
      <c r="NO108" s="48">
        <v>25.382999999999999</v>
      </c>
      <c r="NP108" s="48">
        <v>25</v>
      </c>
      <c r="NQ108" s="43">
        <v>0.38299999999999912</v>
      </c>
      <c r="NR108" s="49"/>
      <c r="NS108" s="50">
        <v>0</v>
      </c>
      <c r="NT108" s="48">
        <v>0</v>
      </c>
      <c r="NU108" s="48">
        <v>12.941000000000001</v>
      </c>
      <c r="NV108" s="48">
        <v>10</v>
      </c>
      <c r="NW108" s="43">
        <v>2.9410000000000012</v>
      </c>
      <c r="NX108" s="49"/>
      <c r="NY108" s="50">
        <v>0</v>
      </c>
      <c r="NZ108" s="48">
        <v>0</v>
      </c>
      <c r="OA108" s="48">
        <v>0</v>
      </c>
      <c r="OB108" s="48">
        <v>0</v>
      </c>
      <c r="OC108" s="43">
        <v>0</v>
      </c>
      <c r="OD108" s="49"/>
      <c r="OE108" s="50">
        <v>46.37</v>
      </c>
      <c r="OF108" s="48">
        <v>45</v>
      </c>
      <c r="OG108" s="43">
        <v>1.369999999999997</v>
      </c>
      <c r="OH108" s="49"/>
      <c r="OI108" s="50">
        <v>0</v>
      </c>
      <c r="OJ108" s="48">
        <v>0</v>
      </c>
      <c r="OK108" s="43">
        <v>0</v>
      </c>
      <c r="OL108" s="49"/>
      <c r="OM108" s="50">
        <v>0</v>
      </c>
      <c r="ON108" s="48">
        <v>0</v>
      </c>
      <c r="OO108" s="48">
        <v>0</v>
      </c>
      <c r="OP108" s="48">
        <v>0</v>
      </c>
      <c r="OQ108" s="43">
        <v>0</v>
      </c>
      <c r="OR108" s="49"/>
      <c r="OS108" s="50">
        <v>29.167999999999999</v>
      </c>
      <c r="OT108" s="48">
        <v>30</v>
      </c>
      <c r="OU108" s="43">
        <v>-0.83200000000000074</v>
      </c>
      <c r="OV108" s="49"/>
      <c r="OW108" s="50">
        <v>0</v>
      </c>
      <c r="OX108" s="48">
        <v>0</v>
      </c>
      <c r="OY108" s="48">
        <v>0</v>
      </c>
      <c r="OZ108" s="48">
        <v>0</v>
      </c>
      <c r="PA108" s="43">
        <v>0</v>
      </c>
      <c r="PB108" s="49"/>
      <c r="PC108" s="50">
        <v>0</v>
      </c>
      <c r="PD108" s="48">
        <v>0</v>
      </c>
      <c r="PE108" s="43">
        <v>0</v>
      </c>
      <c r="PF108" s="49"/>
      <c r="PG108" s="50">
        <v>0</v>
      </c>
      <c r="PH108" s="48">
        <v>0</v>
      </c>
      <c r="PI108" s="48">
        <v>0</v>
      </c>
      <c r="PJ108" s="48">
        <v>0</v>
      </c>
      <c r="PK108" s="43">
        <v>0</v>
      </c>
      <c r="PL108" s="49"/>
      <c r="PM108" s="47">
        <v>0</v>
      </c>
      <c r="PN108" s="48">
        <v>0</v>
      </c>
      <c r="PO108" s="48">
        <v>0</v>
      </c>
      <c r="PP108" s="48">
        <v>0</v>
      </c>
      <c r="PQ108" s="43">
        <v>0</v>
      </c>
      <c r="PR108" s="49"/>
      <c r="PS108" s="47">
        <v>0</v>
      </c>
      <c r="PT108" s="43">
        <v>0</v>
      </c>
      <c r="PU108" s="43">
        <v>50.206000000000003</v>
      </c>
      <c r="PV108" s="43">
        <v>50</v>
      </c>
      <c r="PW108" s="43">
        <v>0.2060000000000031</v>
      </c>
      <c r="PX108" s="46"/>
      <c r="PY108" s="47">
        <v>37.630000000000003</v>
      </c>
      <c r="PZ108" s="43">
        <v>40</v>
      </c>
      <c r="QA108" s="43">
        <v>-2.369999999999997</v>
      </c>
      <c r="QB108" s="46"/>
      <c r="QC108" s="47">
        <v>0</v>
      </c>
      <c r="QD108" s="43">
        <v>0</v>
      </c>
      <c r="QE108" s="43">
        <v>0</v>
      </c>
      <c r="QF108" s="43">
        <v>0</v>
      </c>
      <c r="QG108" s="43">
        <v>0</v>
      </c>
      <c r="QH108" s="46"/>
      <c r="QI108" s="47">
        <v>0</v>
      </c>
      <c r="QJ108" s="43">
        <v>0</v>
      </c>
      <c r="QK108" s="43">
        <v>0</v>
      </c>
      <c r="QL108" s="43">
        <v>0</v>
      </c>
      <c r="QM108" s="43">
        <v>0</v>
      </c>
      <c r="QN108" s="46"/>
      <c r="QO108" s="47">
        <v>0</v>
      </c>
      <c r="QP108" s="43">
        <v>0</v>
      </c>
      <c r="QQ108" s="43">
        <v>0</v>
      </c>
      <c r="QR108" s="43">
        <v>0</v>
      </c>
      <c r="QS108" s="43">
        <v>0</v>
      </c>
      <c r="QT108" s="46"/>
      <c r="QU108" s="47">
        <v>0</v>
      </c>
      <c r="QV108" s="43">
        <v>0</v>
      </c>
      <c r="QW108" s="43">
        <v>0</v>
      </c>
      <c r="QX108" s="46"/>
      <c r="QY108" s="47">
        <v>0</v>
      </c>
      <c r="QZ108" s="43">
        <v>0</v>
      </c>
      <c r="RA108" s="43">
        <v>0</v>
      </c>
      <c r="RB108" s="43">
        <v>0</v>
      </c>
      <c r="RC108" s="43">
        <v>0</v>
      </c>
      <c r="RD108" s="46"/>
    </row>
    <row r="109" spans="1:472" x14ac:dyDescent="0.25">
      <c r="A109" s="43" t="s">
        <v>397</v>
      </c>
      <c r="B109" s="44">
        <v>0.36</v>
      </c>
      <c r="E109">
        <v>280</v>
      </c>
      <c r="F109">
        <v>205</v>
      </c>
      <c r="I109" s="47"/>
      <c r="J109" s="51"/>
      <c r="K109" s="51"/>
      <c r="L109" s="51"/>
      <c r="M109" s="51">
        <f t="shared" si="12"/>
        <v>0</v>
      </c>
      <c r="N109" s="46"/>
      <c r="O109" s="45">
        <v>198</v>
      </c>
      <c r="P109" s="52">
        <v>200</v>
      </c>
      <c r="Q109" s="52">
        <v>234</v>
      </c>
      <c r="R109" s="52">
        <v>234</v>
      </c>
      <c r="S109" s="51">
        <f t="shared" si="13"/>
        <v>-2</v>
      </c>
      <c r="T109" s="46"/>
      <c r="U109" s="45">
        <v>96</v>
      </c>
      <c r="V109" s="52">
        <v>99</v>
      </c>
      <c r="W109" s="51"/>
      <c r="X109" s="51"/>
      <c r="Y109" s="51">
        <f t="shared" si="14"/>
        <v>-3</v>
      </c>
      <c r="Z109" s="46"/>
      <c r="AA109" s="52">
        <v>132</v>
      </c>
      <c r="AB109">
        <v>131</v>
      </c>
      <c r="AE109" s="43">
        <v>1</v>
      </c>
      <c r="AF109" s="46"/>
      <c r="AG109" s="45">
        <v>318</v>
      </c>
      <c r="AH109">
        <v>320</v>
      </c>
      <c r="AI109">
        <v>384</v>
      </c>
      <c r="AJ109">
        <v>386</v>
      </c>
      <c r="AK109" s="43">
        <v>-4</v>
      </c>
      <c r="AL109" s="46"/>
      <c r="AM109">
        <v>48</v>
      </c>
      <c r="AN109">
        <v>48</v>
      </c>
      <c r="AO109">
        <v>54</v>
      </c>
      <c r="AP109">
        <v>57</v>
      </c>
      <c r="AQ109" s="43">
        <v>-3</v>
      </c>
      <c r="AR109" s="46"/>
      <c r="AS109">
        <v>102</v>
      </c>
      <c r="AT109">
        <v>100</v>
      </c>
      <c r="AU109">
        <v>90</v>
      </c>
      <c r="AV109">
        <v>93</v>
      </c>
      <c r="AW109" s="43">
        <v>-1</v>
      </c>
      <c r="AX109" s="46"/>
      <c r="AY109" s="45">
        <v>198</v>
      </c>
      <c r="AZ109">
        <v>200</v>
      </c>
      <c r="BA109">
        <v>306</v>
      </c>
      <c r="BB109">
        <v>307</v>
      </c>
      <c r="BC109" s="43">
        <v>-3</v>
      </c>
      <c r="BD109" s="46"/>
      <c r="BE109" s="45">
        <v>198</v>
      </c>
      <c r="BF109">
        <v>200</v>
      </c>
      <c r="BG109">
        <v>204</v>
      </c>
      <c r="BH109">
        <v>206</v>
      </c>
      <c r="BI109" s="43">
        <v>-4</v>
      </c>
      <c r="BJ109" s="46"/>
      <c r="BK109">
        <v>60</v>
      </c>
      <c r="BL109">
        <v>60</v>
      </c>
      <c r="BP109" s="43">
        <v>0</v>
      </c>
      <c r="BQ109" s="46"/>
      <c r="BR109">
        <v>198</v>
      </c>
      <c r="BS109">
        <v>200</v>
      </c>
      <c r="BT109" s="43">
        <v>-2</v>
      </c>
      <c r="BU109" s="46"/>
      <c r="BV109" s="45">
        <v>384</v>
      </c>
      <c r="BW109">
        <v>384</v>
      </c>
      <c r="BX109">
        <v>36</v>
      </c>
      <c r="BY109">
        <v>39</v>
      </c>
      <c r="BZ109" s="43">
        <v>-3</v>
      </c>
      <c r="CA109" s="46"/>
      <c r="CB109">
        <v>150</v>
      </c>
      <c r="CC109">
        <v>150</v>
      </c>
      <c r="CD109">
        <v>156</v>
      </c>
      <c r="CE109">
        <v>155</v>
      </c>
      <c r="CF109" s="43">
        <v>1</v>
      </c>
      <c r="CG109" s="46"/>
      <c r="CL109" s="43">
        <v>0</v>
      </c>
      <c r="CM109" s="46"/>
      <c r="CN109" s="47"/>
      <c r="CP109">
        <v>672</v>
      </c>
      <c r="CQ109">
        <v>670</v>
      </c>
      <c r="CR109" s="43">
        <v>2</v>
      </c>
      <c r="CS109" s="46"/>
      <c r="CX109" s="43">
        <v>0</v>
      </c>
      <c r="CY109" s="46"/>
      <c r="CZ109" s="47"/>
      <c r="DB109">
        <v>258</v>
      </c>
      <c r="DC109">
        <v>258</v>
      </c>
      <c r="DD109" s="43">
        <v>0</v>
      </c>
      <c r="DE109" s="46"/>
      <c r="DF109" s="47"/>
      <c r="DH109">
        <v>198</v>
      </c>
      <c r="DI109">
        <v>200</v>
      </c>
      <c r="DJ109">
        <v>168</v>
      </c>
      <c r="DK109">
        <v>170</v>
      </c>
      <c r="DL109" s="43">
        <v>-4</v>
      </c>
      <c r="DM109" s="46"/>
      <c r="DN109" s="45">
        <v>120</v>
      </c>
      <c r="DO109">
        <v>120</v>
      </c>
      <c r="DP109">
        <v>222</v>
      </c>
      <c r="DQ109">
        <v>220</v>
      </c>
      <c r="DR109" s="43">
        <v>2</v>
      </c>
      <c r="DS109" s="46"/>
      <c r="DZ109" s="43">
        <v>0</v>
      </c>
      <c r="EA109" s="46"/>
      <c r="EB109" s="45">
        <v>210</v>
      </c>
      <c r="EC109">
        <v>210</v>
      </c>
      <c r="ED109">
        <v>492</v>
      </c>
      <c r="EE109">
        <v>490</v>
      </c>
      <c r="EF109" s="43">
        <v>2</v>
      </c>
      <c r="EG109" s="46"/>
      <c r="EH109" s="47"/>
      <c r="EL109" s="43">
        <v>0</v>
      </c>
      <c r="EM109" s="46"/>
      <c r="EN109" s="47"/>
      <c r="EP109">
        <v>1698</v>
      </c>
      <c r="EQ109">
        <v>1700</v>
      </c>
      <c r="ER109" s="43">
        <v>-2</v>
      </c>
      <c r="ES109" s="46"/>
      <c r="ET109">
        <v>198</v>
      </c>
      <c r="EU109">
        <v>200</v>
      </c>
      <c r="EV109">
        <v>198</v>
      </c>
      <c r="EW109">
        <v>200</v>
      </c>
      <c r="EX109">
        <v>252</v>
      </c>
      <c r="EY109">
        <v>250</v>
      </c>
      <c r="EZ109" s="43">
        <v>-2</v>
      </c>
      <c r="FA109" s="46"/>
      <c r="FD109">
        <v>402</v>
      </c>
      <c r="FF109">
        <v>400</v>
      </c>
      <c r="FG109" s="43">
        <v>2</v>
      </c>
      <c r="FH109" s="46"/>
      <c r="FI109" s="47"/>
      <c r="FL109" s="43">
        <v>0</v>
      </c>
      <c r="FM109" s="46"/>
      <c r="FN109" s="45">
        <v>450</v>
      </c>
      <c r="FP109">
        <v>450</v>
      </c>
      <c r="FQ109" s="43">
        <v>0</v>
      </c>
      <c r="FR109" s="46"/>
      <c r="FS109">
        <v>252</v>
      </c>
      <c r="FV109">
        <v>250</v>
      </c>
      <c r="FW109" s="43">
        <v>2</v>
      </c>
      <c r="FX109" s="46"/>
      <c r="FY109" s="47"/>
      <c r="GD109" s="43">
        <v>0</v>
      </c>
      <c r="GE109" s="46"/>
      <c r="GF109">
        <v>168</v>
      </c>
      <c r="GG109">
        <v>170</v>
      </c>
      <c r="GH109">
        <v>198</v>
      </c>
      <c r="GI109">
        <v>200</v>
      </c>
      <c r="GJ109" s="43">
        <v>-4</v>
      </c>
      <c r="GK109" s="46"/>
      <c r="GL109" s="45">
        <v>168</v>
      </c>
      <c r="GM109">
        <v>170</v>
      </c>
      <c r="GN109">
        <v>180</v>
      </c>
      <c r="GO109">
        <v>180</v>
      </c>
      <c r="GP109" s="43">
        <v>-2</v>
      </c>
      <c r="GQ109" s="46"/>
      <c r="GR109">
        <v>300</v>
      </c>
      <c r="GS109">
        <v>300</v>
      </c>
      <c r="GT109">
        <v>318</v>
      </c>
      <c r="GU109">
        <v>320</v>
      </c>
      <c r="GV109" s="43">
        <v>-2</v>
      </c>
      <c r="GW109" s="46"/>
      <c r="GX109" s="45">
        <v>120</v>
      </c>
      <c r="GY109" s="48">
        <v>120</v>
      </c>
      <c r="GZ109" s="43">
        <v>0</v>
      </c>
      <c r="HA109" s="46"/>
      <c r="HB109" s="47"/>
      <c r="HF109" s="43">
        <v>0</v>
      </c>
      <c r="HG109" s="46"/>
      <c r="HH109" s="47"/>
      <c r="HJ109" s="43">
        <v>0</v>
      </c>
      <c r="HK109" s="46"/>
      <c r="HL109" s="47"/>
      <c r="HN109">
        <v>3000</v>
      </c>
      <c r="HO109">
        <v>3000</v>
      </c>
      <c r="HP109" s="43">
        <v>0</v>
      </c>
      <c r="HQ109" s="46"/>
      <c r="HT109">
        <v>750</v>
      </c>
      <c r="HU109">
        <v>750</v>
      </c>
      <c r="HX109" s="43">
        <v>0</v>
      </c>
      <c r="HY109" s="46"/>
      <c r="HZ109" s="45">
        <v>198</v>
      </c>
      <c r="IA109">
        <v>200</v>
      </c>
      <c r="IB109">
        <v>150</v>
      </c>
      <c r="IC109">
        <v>150</v>
      </c>
      <c r="ID109" s="43">
        <v>-2</v>
      </c>
      <c r="IE109" s="46"/>
      <c r="IF109">
        <v>150</v>
      </c>
      <c r="IG109">
        <v>150</v>
      </c>
      <c r="IH109">
        <v>192</v>
      </c>
      <c r="II109">
        <v>190</v>
      </c>
      <c r="IJ109" s="43">
        <v>2</v>
      </c>
      <c r="IK109" s="49"/>
      <c r="IL109">
        <v>252</v>
      </c>
      <c r="IM109">
        <v>250</v>
      </c>
      <c r="IN109">
        <v>360</v>
      </c>
      <c r="IO109">
        <v>360</v>
      </c>
      <c r="IP109" s="43">
        <v>2</v>
      </c>
      <c r="IQ109" s="49"/>
      <c r="IR109">
        <v>252</v>
      </c>
      <c r="IS109">
        <v>250</v>
      </c>
      <c r="IT109">
        <v>222</v>
      </c>
      <c r="IU109">
        <v>224</v>
      </c>
      <c r="IV109" s="43">
        <v>0</v>
      </c>
      <c r="IW109" s="49"/>
      <c r="IX109">
        <v>198</v>
      </c>
      <c r="IY109">
        <v>200</v>
      </c>
      <c r="IZ109">
        <v>180</v>
      </c>
      <c r="JA109">
        <v>180</v>
      </c>
      <c r="JB109" s="43">
        <v>-2</v>
      </c>
      <c r="JC109" s="46"/>
      <c r="JD109">
        <v>72</v>
      </c>
      <c r="JE109">
        <v>70</v>
      </c>
      <c r="JF109" s="43">
        <v>2</v>
      </c>
      <c r="JG109" s="49"/>
      <c r="JH109">
        <v>252</v>
      </c>
      <c r="JI109">
        <v>250</v>
      </c>
      <c r="JJ109">
        <v>234</v>
      </c>
      <c r="JK109">
        <v>237</v>
      </c>
      <c r="JL109" s="43">
        <v>-1</v>
      </c>
      <c r="JM109" s="46"/>
      <c r="JN109" s="45">
        <v>330</v>
      </c>
      <c r="JO109" s="48">
        <v>330</v>
      </c>
      <c r="JP109" s="43">
        <v>0</v>
      </c>
      <c r="JQ109" s="49"/>
      <c r="JT109">
        <v>30</v>
      </c>
      <c r="JU109">
        <v>30</v>
      </c>
      <c r="JV109" s="43">
        <v>0</v>
      </c>
      <c r="JW109" s="49"/>
      <c r="JZ109">
        <v>624</v>
      </c>
      <c r="KA109">
        <v>627</v>
      </c>
      <c r="KB109" s="43">
        <v>-3</v>
      </c>
      <c r="KC109" s="49"/>
      <c r="KD109">
        <v>78</v>
      </c>
      <c r="KE109">
        <v>80</v>
      </c>
      <c r="KF109">
        <v>102</v>
      </c>
      <c r="KG109">
        <v>100</v>
      </c>
      <c r="KH109" s="43">
        <v>0</v>
      </c>
      <c r="KI109" s="49"/>
      <c r="KN109" s="43">
        <v>0</v>
      </c>
      <c r="KO109" s="49"/>
      <c r="KP109" s="45">
        <v>258</v>
      </c>
      <c r="KQ109">
        <v>260</v>
      </c>
      <c r="KR109">
        <v>300</v>
      </c>
      <c r="KS109">
        <v>300</v>
      </c>
      <c r="KT109">
        <v>138</v>
      </c>
      <c r="KU109">
        <v>260</v>
      </c>
      <c r="KV109" s="42">
        <v>-124</v>
      </c>
      <c r="KW109" s="49">
        <v>44.64</v>
      </c>
      <c r="KX109" s="48">
        <v>0</v>
      </c>
      <c r="KY109" s="48">
        <v>0</v>
      </c>
      <c r="KZ109" s="48">
        <v>0</v>
      </c>
      <c r="LA109" s="48">
        <v>0</v>
      </c>
      <c r="LB109" s="43">
        <v>0</v>
      </c>
      <c r="LC109" s="49"/>
      <c r="LD109" s="48">
        <v>0</v>
      </c>
      <c r="LE109" s="48">
        <v>0</v>
      </c>
      <c r="LF109" s="48">
        <v>0</v>
      </c>
      <c r="LG109" s="48">
        <v>0</v>
      </c>
      <c r="LH109" s="43">
        <v>0</v>
      </c>
      <c r="LI109" s="49"/>
      <c r="LJ109" s="50">
        <v>654</v>
      </c>
      <c r="LK109" s="48">
        <v>657</v>
      </c>
      <c r="LL109" s="43">
        <v>-3</v>
      </c>
      <c r="LM109" s="49"/>
      <c r="LN109" s="50">
        <v>150</v>
      </c>
      <c r="LO109" s="48">
        <v>150</v>
      </c>
      <c r="LP109" s="48">
        <v>102</v>
      </c>
      <c r="LQ109" s="48">
        <v>0</v>
      </c>
      <c r="LR109" s="48">
        <v>100</v>
      </c>
      <c r="LS109" s="43">
        <v>2</v>
      </c>
      <c r="LT109" s="49"/>
      <c r="LU109" s="50">
        <v>102</v>
      </c>
      <c r="LV109" s="48">
        <v>100</v>
      </c>
      <c r="LW109" s="48">
        <v>300</v>
      </c>
      <c r="LX109" s="48">
        <v>300</v>
      </c>
      <c r="LY109" s="43">
        <v>2</v>
      </c>
      <c r="LZ109" s="49"/>
      <c r="MA109" s="50">
        <v>120</v>
      </c>
      <c r="MB109" s="48">
        <v>120</v>
      </c>
      <c r="MC109" s="43">
        <v>0</v>
      </c>
      <c r="MD109" s="49"/>
      <c r="ME109" s="50">
        <v>0</v>
      </c>
      <c r="MF109" s="48">
        <v>0</v>
      </c>
      <c r="MG109" s="48">
        <v>228</v>
      </c>
      <c r="MH109" s="48">
        <v>230</v>
      </c>
      <c r="MI109" s="43">
        <v>-2</v>
      </c>
      <c r="MJ109" s="49"/>
      <c r="MK109" s="50">
        <v>0</v>
      </c>
      <c r="ML109" s="48">
        <v>0</v>
      </c>
      <c r="MM109" s="43">
        <v>0</v>
      </c>
      <c r="MN109" s="49"/>
      <c r="MO109" s="50">
        <v>0</v>
      </c>
      <c r="MP109" s="48">
        <v>0</v>
      </c>
      <c r="MQ109" s="48">
        <v>0</v>
      </c>
      <c r="MR109" s="48">
        <v>0</v>
      </c>
      <c r="MS109" s="43">
        <v>0</v>
      </c>
      <c r="MT109" s="49"/>
      <c r="MU109" s="48">
        <v>0</v>
      </c>
      <c r="MV109" s="46"/>
      <c r="MW109" s="48">
        <v>0</v>
      </c>
      <c r="MX109" s="48">
        <v>0</v>
      </c>
      <c r="MY109" s="43">
        <v>0</v>
      </c>
      <c r="MZ109" s="49"/>
      <c r="NA109" s="50">
        <v>48</v>
      </c>
      <c r="NB109" s="48">
        <v>50</v>
      </c>
      <c r="NC109" s="48">
        <v>150</v>
      </c>
      <c r="ND109" s="48">
        <v>150</v>
      </c>
      <c r="NE109" s="43">
        <v>-2</v>
      </c>
      <c r="NF109" s="49"/>
      <c r="NG109" s="50">
        <v>0</v>
      </c>
      <c r="NH109" s="48">
        <v>0</v>
      </c>
      <c r="NI109" s="48">
        <v>0</v>
      </c>
      <c r="NJ109" s="48">
        <v>0</v>
      </c>
      <c r="NK109" s="43">
        <v>0</v>
      </c>
      <c r="NL109" s="49"/>
      <c r="NM109" s="50">
        <v>750</v>
      </c>
      <c r="NN109" s="48">
        <v>750</v>
      </c>
      <c r="NO109" s="48">
        <v>750</v>
      </c>
      <c r="NP109" s="48">
        <v>750</v>
      </c>
      <c r="NQ109" s="43">
        <v>0</v>
      </c>
      <c r="NR109" s="49"/>
      <c r="NS109" s="50">
        <v>0</v>
      </c>
      <c r="NT109" s="33">
        <v>600</v>
      </c>
      <c r="NU109" s="48">
        <v>402</v>
      </c>
      <c r="NV109" s="48">
        <v>400</v>
      </c>
      <c r="NW109" s="42">
        <v>-598</v>
      </c>
      <c r="NX109" s="49">
        <v>215.28</v>
      </c>
      <c r="NY109" s="50">
        <v>402</v>
      </c>
      <c r="NZ109" s="48">
        <v>400</v>
      </c>
      <c r="OA109" s="48">
        <v>402</v>
      </c>
      <c r="OB109" s="48">
        <v>400</v>
      </c>
      <c r="OC109" s="43">
        <v>4</v>
      </c>
      <c r="OD109" s="49"/>
      <c r="OE109" s="50">
        <v>252</v>
      </c>
      <c r="OF109" s="48">
        <v>300</v>
      </c>
      <c r="OG109" s="42">
        <v>-48</v>
      </c>
      <c r="OH109" s="49">
        <v>17.28</v>
      </c>
      <c r="OI109" s="50">
        <v>168</v>
      </c>
      <c r="OJ109" s="48">
        <v>170</v>
      </c>
      <c r="OK109" s="43">
        <v>-2</v>
      </c>
      <c r="OL109" s="49"/>
      <c r="OM109" s="50">
        <v>0</v>
      </c>
      <c r="ON109" s="48">
        <v>0</v>
      </c>
      <c r="OO109" s="48">
        <v>30</v>
      </c>
      <c r="OP109" s="48">
        <v>30</v>
      </c>
      <c r="OQ109" s="43">
        <v>0</v>
      </c>
      <c r="OR109" s="49"/>
      <c r="OS109" s="50">
        <v>120</v>
      </c>
      <c r="OT109" s="48">
        <v>120</v>
      </c>
      <c r="OU109" s="43">
        <v>0</v>
      </c>
      <c r="OV109" s="49"/>
      <c r="OW109" s="50">
        <v>0</v>
      </c>
      <c r="OX109" s="48">
        <v>0</v>
      </c>
      <c r="OY109" s="48">
        <v>0</v>
      </c>
      <c r="OZ109" s="48">
        <v>0</v>
      </c>
      <c r="PA109" s="43">
        <v>0</v>
      </c>
      <c r="PB109" s="49"/>
      <c r="PC109" s="50">
        <v>42</v>
      </c>
      <c r="PD109" s="48">
        <v>40</v>
      </c>
      <c r="PE109" s="43">
        <v>2</v>
      </c>
      <c r="PF109" s="49"/>
      <c r="PG109" s="50"/>
      <c r="PL109" s="49"/>
      <c r="PM109" s="47"/>
      <c r="PN109" s="48"/>
      <c r="PP109" s="48"/>
      <c r="PR109" s="49"/>
      <c r="PS109" s="47"/>
      <c r="PX109" s="46"/>
      <c r="PY109" s="47"/>
      <c r="QB109" s="46"/>
      <c r="QC109" s="47"/>
      <c r="QH109" s="46"/>
      <c r="QI109" s="47"/>
      <c r="QN109" s="46"/>
      <c r="QO109" s="47"/>
      <c r="QT109" s="46"/>
      <c r="QU109" s="47"/>
      <c r="QX109" s="46"/>
      <c r="QY109" s="47"/>
      <c r="RD109" s="46"/>
    </row>
    <row r="110" spans="1:472" x14ac:dyDescent="0.25">
      <c r="A110" s="43" t="s">
        <v>398</v>
      </c>
      <c r="B110" s="44">
        <v>1</v>
      </c>
      <c r="I110" s="47"/>
      <c r="J110" s="51"/>
      <c r="K110" s="51"/>
      <c r="L110" s="51"/>
      <c r="M110" s="51">
        <f t="shared" si="12"/>
        <v>0</v>
      </c>
      <c r="N110" s="46"/>
      <c r="O110" s="47"/>
      <c r="P110" s="51"/>
      <c r="Q110" s="51"/>
      <c r="R110" s="51"/>
      <c r="S110" s="51">
        <f t="shared" si="13"/>
        <v>0</v>
      </c>
      <c r="T110" s="46"/>
      <c r="U110" s="47"/>
      <c r="V110" s="51"/>
      <c r="W110" s="51"/>
      <c r="X110" s="51"/>
      <c r="Y110" s="51">
        <f t="shared" si="14"/>
        <v>0</v>
      </c>
      <c r="Z110" s="46"/>
      <c r="AA110" s="51"/>
      <c r="AE110" s="43">
        <v>0</v>
      </c>
      <c r="AF110" s="46"/>
      <c r="AG110" s="47"/>
      <c r="AK110" s="43">
        <v>0</v>
      </c>
      <c r="AL110" s="46"/>
      <c r="AQ110" s="43">
        <v>0</v>
      </c>
      <c r="AR110" s="46"/>
      <c r="AW110" s="43">
        <v>0</v>
      </c>
      <c r="AX110" s="46"/>
      <c r="AY110" s="47"/>
      <c r="BC110" s="43">
        <v>0</v>
      </c>
      <c r="BD110" s="46"/>
      <c r="BE110" s="47"/>
      <c r="BI110" s="43">
        <v>0</v>
      </c>
      <c r="BJ110" s="46"/>
      <c r="BP110" s="43">
        <v>0</v>
      </c>
      <c r="BQ110" s="46"/>
      <c r="BT110" s="43">
        <v>0</v>
      </c>
      <c r="BU110" s="46"/>
      <c r="BV110" s="47"/>
      <c r="BZ110" s="43">
        <v>0</v>
      </c>
      <c r="CA110" s="46"/>
      <c r="CF110" s="43">
        <v>0</v>
      </c>
      <c r="CG110" s="46"/>
      <c r="CL110" s="43">
        <v>0</v>
      </c>
      <c r="CM110" s="46"/>
      <c r="CN110" s="47"/>
      <c r="CR110" s="43">
        <v>0</v>
      </c>
      <c r="CS110" s="46"/>
      <c r="CX110" s="43">
        <v>0</v>
      </c>
      <c r="CY110" s="46"/>
      <c r="CZ110" s="47"/>
      <c r="DB110">
        <v>21</v>
      </c>
      <c r="DC110">
        <v>20</v>
      </c>
      <c r="DD110" s="43">
        <v>1</v>
      </c>
      <c r="DE110" s="46"/>
      <c r="DF110" s="47"/>
      <c r="DL110" s="43">
        <v>0</v>
      </c>
      <c r="DM110" s="46"/>
      <c r="DN110" s="47"/>
      <c r="DP110">
        <v>8</v>
      </c>
      <c r="DQ110">
        <v>6</v>
      </c>
      <c r="DR110" s="43">
        <v>2</v>
      </c>
      <c r="DS110" s="46"/>
      <c r="DV110">
        <v>60</v>
      </c>
      <c r="DW110">
        <v>56</v>
      </c>
      <c r="DZ110" s="43">
        <v>4</v>
      </c>
      <c r="EA110" s="46"/>
      <c r="EB110" s="47"/>
      <c r="EF110" s="43">
        <v>0</v>
      </c>
      <c r="EG110" s="46"/>
      <c r="EH110" s="47"/>
      <c r="EL110" s="43">
        <v>0</v>
      </c>
      <c r="EM110" s="46"/>
      <c r="EN110" s="45">
        <v>17</v>
      </c>
      <c r="EO110">
        <v>16</v>
      </c>
      <c r="EP110">
        <v>17</v>
      </c>
      <c r="EQ110">
        <v>16</v>
      </c>
      <c r="ER110" s="43">
        <v>2</v>
      </c>
      <c r="ES110" s="46"/>
      <c r="EX110">
        <v>4</v>
      </c>
      <c r="EY110">
        <v>4</v>
      </c>
      <c r="EZ110" s="43">
        <v>0</v>
      </c>
      <c r="FA110" s="46"/>
      <c r="FD110">
        <v>9</v>
      </c>
      <c r="FF110">
        <v>6</v>
      </c>
      <c r="FG110" s="43">
        <v>3</v>
      </c>
      <c r="FH110" s="46"/>
      <c r="FI110" s="47"/>
      <c r="FL110" s="43">
        <v>0</v>
      </c>
      <c r="FM110" s="46"/>
      <c r="FN110" s="47"/>
      <c r="FQ110" s="43">
        <v>0</v>
      </c>
      <c r="FR110" s="46"/>
      <c r="FW110" s="43">
        <v>0</v>
      </c>
      <c r="FX110" s="46"/>
      <c r="FY110" s="47"/>
      <c r="GD110" s="43">
        <v>0</v>
      </c>
      <c r="GE110" s="46"/>
      <c r="GH110">
        <v>35</v>
      </c>
      <c r="GI110">
        <v>32</v>
      </c>
      <c r="GJ110" s="43">
        <v>3</v>
      </c>
      <c r="GK110" s="46"/>
      <c r="GL110" s="47"/>
      <c r="GP110" s="43">
        <v>0</v>
      </c>
      <c r="GQ110" s="46"/>
      <c r="GV110" s="43">
        <v>0</v>
      </c>
      <c r="GW110" s="46"/>
      <c r="GX110" s="47"/>
      <c r="GZ110" s="43">
        <v>0</v>
      </c>
      <c r="HA110" s="46"/>
      <c r="HB110" s="47"/>
      <c r="HD110">
        <v>43</v>
      </c>
      <c r="HE110">
        <v>39</v>
      </c>
      <c r="HF110" s="43">
        <v>4</v>
      </c>
      <c r="HG110" s="46"/>
      <c r="HH110" s="47"/>
      <c r="HJ110" s="43">
        <v>0</v>
      </c>
      <c r="HK110" s="46"/>
      <c r="HL110" s="47"/>
      <c r="HN110">
        <v>26</v>
      </c>
      <c r="HO110">
        <v>24</v>
      </c>
      <c r="HP110" s="43">
        <v>2</v>
      </c>
      <c r="HQ110" s="46"/>
      <c r="HV110">
        <v>22</v>
      </c>
      <c r="HW110">
        <v>20</v>
      </c>
      <c r="HX110" s="43">
        <v>2</v>
      </c>
      <c r="HY110" s="46"/>
      <c r="HZ110" s="47"/>
      <c r="IB110">
        <v>26</v>
      </c>
      <c r="IC110">
        <v>24</v>
      </c>
      <c r="ID110" s="43">
        <v>2</v>
      </c>
      <c r="IE110" s="46"/>
      <c r="IH110">
        <v>40</v>
      </c>
      <c r="II110">
        <v>36</v>
      </c>
      <c r="IJ110" s="43">
        <v>4</v>
      </c>
      <c r="IK110" s="49"/>
      <c r="IN110">
        <v>17</v>
      </c>
      <c r="IO110">
        <v>16</v>
      </c>
      <c r="IP110" s="43">
        <v>1</v>
      </c>
      <c r="IQ110" s="49"/>
      <c r="IR110">
        <v>8</v>
      </c>
      <c r="IS110">
        <v>8</v>
      </c>
      <c r="IV110" s="43">
        <v>0</v>
      </c>
      <c r="IW110" s="49"/>
      <c r="IX110">
        <v>13</v>
      </c>
      <c r="IY110">
        <v>10</v>
      </c>
      <c r="JB110" s="43">
        <v>3</v>
      </c>
      <c r="JC110" s="46"/>
      <c r="JD110">
        <v>29</v>
      </c>
      <c r="JE110">
        <v>30</v>
      </c>
      <c r="JF110" s="43">
        <v>-1</v>
      </c>
      <c r="JG110" s="49"/>
      <c r="JL110" s="43">
        <v>0</v>
      </c>
      <c r="JM110" s="46"/>
      <c r="JN110" s="50"/>
      <c r="JP110" s="43">
        <v>0</v>
      </c>
      <c r="JQ110" s="49"/>
      <c r="JT110">
        <v>34</v>
      </c>
      <c r="JU110">
        <v>32</v>
      </c>
      <c r="JV110" s="43">
        <v>2</v>
      </c>
      <c r="JW110" s="49"/>
      <c r="JX110">
        <v>13</v>
      </c>
      <c r="JY110">
        <v>10</v>
      </c>
      <c r="KB110" s="43">
        <v>3</v>
      </c>
      <c r="KC110" s="49"/>
      <c r="KF110">
        <v>21</v>
      </c>
      <c r="KG110">
        <v>20</v>
      </c>
      <c r="KH110" s="43">
        <v>1</v>
      </c>
      <c r="KI110" s="49"/>
      <c r="KL110">
        <v>4</v>
      </c>
      <c r="KM110">
        <v>4</v>
      </c>
      <c r="KN110" s="43">
        <v>0</v>
      </c>
      <c r="KO110" s="49"/>
      <c r="KP110" s="50"/>
      <c r="KR110">
        <v>22</v>
      </c>
      <c r="KS110">
        <v>20</v>
      </c>
      <c r="KU110">
        <v>10</v>
      </c>
      <c r="KV110" s="42">
        <v>-8</v>
      </c>
      <c r="KW110" s="49">
        <v>8</v>
      </c>
      <c r="KX110" s="48">
        <v>0</v>
      </c>
      <c r="KY110" s="48">
        <v>0</v>
      </c>
      <c r="KZ110" s="48">
        <v>21.608000000000001</v>
      </c>
      <c r="LA110" s="48">
        <v>21</v>
      </c>
      <c r="LB110" s="43">
        <v>0.60800000000000054</v>
      </c>
      <c r="LC110" s="49"/>
      <c r="LD110" s="48">
        <v>0</v>
      </c>
      <c r="LE110" s="48">
        <v>0</v>
      </c>
      <c r="LF110" s="48">
        <v>0</v>
      </c>
      <c r="LG110" s="48">
        <v>0</v>
      </c>
      <c r="LH110" s="43">
        <v>0</v>
      </c>
      <c r="LI110" s="49"/>
      <c r="LJ110" s="50">
        <v>16.971</v>
      </c>
      <c r="LK110" s="48">
        <v>17</v>
      </c>
      <c r="LL110" s="43">
        <v>-2.8999999999999911E-2</v>
      </c>
      <c r="LM110" s="49"/>
      <c r="LN110" s="50">
        <v>0</v>
      </c>
      <c r="LO110" s="48">
        <v>0</v>
      </c>
      <c r="LP110" s="48">
        <v>0</v>
      </c>
      <c r="LQ110" s="48">
        <v>0</v>
      </c>
      <c r="LR110" s="48">
        <v>0</v>
      </c>
      <c r="LS110" s="43">
        <v>0</v>
      </c>
      <c r="LT110" s="49"/>
      <c r="LU110" s="50">
        <v>0</v>
      </c>
      <c r="LV110" s="48">
        <v>0</v>
      </c>
      <c r="LW110" s="48">
        <v>68.988</v>
      </c>
      <c r="LX110" s="48">
        <v>64</v>
      </c>
      <c r="LY110" s="43">
        <v>4.9880000000000004</v>
      </c>
      <c r="LZ110" s="49"/>
      <c r="MA110" s="50">
        <v>0</v>
      </c>
      <c r="MB110" s="48">
        <v>0</v>
      </c>
      <c r="MC110" s="43">
        <v>0</v>
      </c>
      <c r="MD110" s="49"/>
      <c r="ME110" s="50">
        <v>8.6110000000000007</v>
      </c>
      <c r="MF110" s="48">
        <v>10</v>
      </c>
      <c r="MG110" s="48">
        <v>34.237000000000002</v>
      </c>
      <c r="MH110" s="48">
        <v>35</v>
      </c>
      <c r="MI110" s="43">
        <v>-2.152000000000001</v>
      </c>
      <c r="MJ110" s="49"/>
      <c r="MK110" s="50">
        <v>25.995000000000001</v>
      </c>
      <c r="ML110" s="48">
        <v>25</v>
      </c>
      <c r="MM110" s="43">
        <v>0.99500000000000099</v>
      </c>
      <c r="MN110" s="49"/>
      <c r="MO110" s="50">
        <v>0</v>
      </c>
      <c r="MP110" s="48">
        <v>0</v>
      </c>
      <c r="MQ110" s="48">
        <v>21.257000000000001</v>
      </c>
      <c r="MR110" s="48">
        <v>21</v>
      </c>
      <c r="MS110" s="43">
        <v>0.25700000000000139</v>
      </c>
      <c r="MT110" s="49"/>
      <c r="MU110" s="48">
        <v>0</v>
      </c>
      <c r="MV110" s="46"/>
      <c r="MW110" s="48">
        <v>0</v>
      </c>
      <c r="MX110" s="48">
        <v>0</v>
      </c>
      <c r="MY110" s="43">
        <v>0</v>
      </c>
      <c r="MZ110" s="49"/>
      <c r="NA110" s="50">
        <v>0</v>
      </c>
      <c r="NB110" s="48">
        <v>0</v>
      </c>
      <c r="NC110" s="48">
        <v>0</v>
      </c>
      <c r="ND110" s="48">
        <v>0</v>
      </c>
      <c r="NE110" s="43">
        <v>0</v>
      </c>
      <c r="NF110" s="49"/>
      <c r="NG110" s="50">
        <v>0</v>
      </c>
      <c r="NH110" s="48">
        <v>0</v>
      </c>
      <c r="NI110" s="48">
        <v>0</v>
      </c>
      <c r="NJ110" s="48">
        <v>0</v>
      </c>
      <c r="NK110" s="43">
        <v>0</v>
      </c>
      <c r="NL110" s="49"/>
      <c r="NM110" s="50">
        <v>0</v>
      </c>
      <c r="NN110" s="48">
        <v>0</v>
      </c>
      <c r="NO110" s="48">
        <v>137.73400000000001</v>
      </c>
      <c r="NP110" s="48">
        <v>135</v>
      </c>
      <c r="NQ110" s="43">
        <v>2.7340000000000089</v>
      </c>
      <c r="NR110" s="49"/>
      <c r="NS110" s="50">
        <v>0</v>
      </c>
      <c r="NT110" s="48">
        <v>0</v>
      </c>
      <c r="NU110" s="48">
        <v>8.5410000000000004</v>
      </c>
      <c r="NV110" s="48">
        <v>10</v>
      </c>
      <c r="NW110" s="43">
        <v>-1.4590000000000001</v>
      </c>
      <c r="NX110" s="49"/>
      <c r="NY110" s="50">
        <v>0</v>
      </c>
      <c r="NZ110" s="48">
        <v>0</v>
      </c>
      <c r="OA110" s="48">
        <v>8.4529999999999994</v>
      </c>
      <c r="OB110" s="48">
        <v>10</v>
      </c>
      <c r="OC110" s="43">
        <v>-1.547000000000001</v>
      </c>
      <c r="OD110" s="49"/>
      <c r="OE110" s="50">
        <v>76.685000000000002</v>
      </c>
      <c r="OF110" s="48">
        <v>75</v>
      </c>
      <c r="OG110" s="43">
        <v>1.6850000000000021</v>
      </c>
      <c r="OH110" s="49"/>
      <c r="OI110" s="50">
        <v>0</v>
      </c>
      <c r="OJ110" s="48">
        <v>0</v>
      </c>
      <c r="OK110" s="43">
        <v>0</v>
      </c>
      <c r="OL110" s="49"/>
      <c r="OM110" s="50">
        <v>0</v>
      </c>
      <c r="ON110" s="48">
        <v>0</v>
      </c>
      <c r="OO110" s="48">
        <v>43.162999999999997</v>
      </c>
      <c r="OP110" s="48">
        <v>41.607399999999998</v>
      </c>
      <c r="OQ110" s="43">
        <v>1.5555999999999981</v>
      </c>
      <c r="OR110" s="49"/>
      <c r="OS110" s="50">
        <v>34.741999999999997</v>
      </c>
      <c r="OT110" s="48">
        <v>35</v>
      </c>
      <c r="OU110" s="43">
        <v>-0.25800000000000273</v>
      </c>
      <c r="OV110" s="49"/>
      <c r="OW110" s="50">
        <v>0</v>
      </c>
      <c r="OX110" s="48">
        <v>0</v>
      </c>
      <c r="OY110" s="48">
        <v>0</v>
      </c>
      <c r="OZ110" s="48">
        <v>0</v>
      </c>
      <c r="PA110" s="43">
        <v>0</v>
      </c>
      <c r="PB110" s="49"/>
      <c r="PC110" s="50">
        <v>40.945999999999998</v>
      </c>
      <c r="PD110" s="48">
        <v>43</v>
      </c>
      <c r="PE110" s="43">
        <v>-2.054000000000002</v>
      </c>
      <c r="PF110" s="49"/>
      <c r="PG110" s="50">
        <v>0</v>
      </c>
      <c r="PH110" s="48">
        <v>0</v>
      </c>
      <c r="PI110" s="48">
        <v>0</v>
      </c>
      <c r="PJ110" s="48">
        <v>0</v>
      </c>
      <c r="PK110" s="43">
        <v>0</v>
      </c>
      <c r="PL110" s="49"/>
      <c r="PM110" s="47">
        <v>0</v>
      </c>
      <c r="PN110" s="48">
        <v>0</v>
      </c>
      <c r="PO110" s="48">
        <v>0</v>
      </c>
      <c r="PP110" s="48">
        <v>0</v>
      </c>
      <c r="PQ110" s="43">
        <v>0</v>
      </c>
      <c r="PR110" s="49"/>
      <c r="PS110" s="47">
        <v>0</v>
      </c>
      <c r="PT110" s="43">
        <v>0</v>
      </c>
      <c r="PU110" s="43">
        <v>48.889000000000003</v>
      </c>
      <c r="PV110" s="43">
        <v>50</v>
      </c>
      <c r="PW110" s="43">
        <v>-1.1109999999999971</v>
      </c>
      <c r="PX110" s="46"/>
      <c r="PY110" s="47">
        <v>37.976999999999997</v>
      </c>
      <c r="PZ110" s="43">
        <v>40</v>
      </c>
      <c r="QA110" s="43">
        <v>-2.0230000000000028</v>
      </c>
      <c r="QB110" s="46"/>
      <c r="QC110" s="47">
        <v>0</v>
      </c>
      <c r="QD110" s="43">
        <v>0</v>
      </c>
      <c r="QE110" s="43">
        <v>0</v>
      </c>
      <c r="QF110" s="43">
        <v>0</v>
      </c>
      <c r="QG110" s="43">
        <v>0</v>
      </c>
      <c r="QH110" s="46"/>
      <c r="QI110" s="47">
        <v>0</v>
      </c>
      <c r="QJ110" s="43">
        <v>0</v>
      </c>
      <c r="QK110" s="43">
        <v>0</v>
      </c>
      <c r="QL110" s="43">
        <v>0</v>
      </c>
      <c r="QM110" s="43">
        <v>0</v>
      </c>
      <c r="QN110" s="46"/>
      <c r="QO110" s="47">
        <v>0</v>
      </c>
      <c r="QP110" s="43">
        <v>0</v>
      </c>
      <c r="QQ110" s="43">
        <v>0</v>
      </c>
      <c r="QR110" s="43">
        <v>0</v>
      </c>
      <c r="QS110" s="43">
        <v>0</v>
      </c>
      <c r="QT110" s="46"/>
      <c r="QU110" s="47">
        <v>0</v>
      </c>
      <c r="QV110" s="43">
        <v>0</v>
      </c>
      <c r="QW110" s="43">
        <v>0</v>
      </c>
      <c r="QX110" s="46"/>
      <c r="QY110" s="47">
        <v>0</v>
      </c>
      <c r="QZ110" s="43">
        <v>0</v>
      </c>
      <c r="RA110" s="43">
        <v>0</v>
      </c>
      <c r="RB110" s="43">
        <v>0</v>
      </c>
      <c r="RC110" s="43">
        <v>0</v>
      </c>
      <c r="RD110" s="46"/>
    </row>
    <row r="111" spans="1:472" x14ac:dyDescent="0.25">
      <c r="A111" s="43" t="s">
        <v>399</v>
      </c>
      <c r="B111" s="44">
        <v>0.41</v>
      </c>
      <c r="I111" s="47"/>
      <c r="J111" s="51"/>
      <c r="K111" s="51"/>
      <c r="L111" s="52">
        <v>6</v>
      </c>
      <c r="M111" s="56">
        <f t="shared" si="12"/>
        <v>-6</v>
      </c>
      <c r="N111" s="46">
        <f>-1*M111*B111</f>
        <v>2.46</v>
      </c>
      <c r="O111" s="47"/>
      <c r="P111" s="51"/>
      <c r="Q111" s="51"/>
      <c r="R111" s="52">
        <v>16</v>
      </c>
      <c r="S111" s="56">
        <f t="shared" si="13"/>
        <v>-16</v>
      </c>
      <c r="T111" s="46">
        <f>-1*S111*B111</f>
        <v>6.56</v>
      </c>
      <c r="U111" s="47"/>
      <c r="V111" s="51"/>
      <c r="W111" s="51"/>
      <c r="X111" s="51"/>
      <c r="Y111" s="51">
        <f t="shared" si="14"/>
        <v>0</v>
      </c>
      <c r="Z111" s="46"/>
      <c r="AA111" s="51"/>
      <c r="AB111">
        <v>30</v>
      </c>
      <c r="AD111">
        <v>45</v>
      </c>
      <c r="AE111" s="42">
        <v>-75</v>
      </c>
      <c r="AF111" s="46">
        <v>30.75</v>
      </c>
      <c r="AG111" s="47"/>
      <c r="AK111" s="43">
        <v>0</v>
      </c>
      <c r="AL111" s="46"/>
      <c r="AO111">
        <v>42</v>
      </c>
      <c r="AP111">
        <v>44</v>
      </c>
      <c r="AQ111" s="43">
        <v>-2</v>
      </c>
      <c r="AR111" s="46"/>
      <c r="AW111" s="43">
        <v>0</v>
      </c>
      <c r="AX111" s="46"/>
      <c r="AY111" s="47"/>
      <c r="BA111">
        <v>30</v>
      </c>
      <c r="BB111">
        <v>30</v>
      </c>
      <c r="BC111" s="43">
        <v>0</v>
      </c>
      <c r="BD111" s="46"/>
      <c r="BE111" s="47"/>
      <c r="BG111">
        <v>30</v>
      </c>
      <c r="BH111">
        <v>30</v>
      </c>
      <c r="BI111" s="43">
        <v>0</v>
      </c>
      <c r="BJ111" s="46"/>
      <c r="BN111">
        <v>12</v>
      </c>
      <c r="BO111">
        <v>15</v>
      </c>
      <c r="BP111" s="43">
        <v>-3</v>
      </c>
      <c r="BQ111" s="46"/>
      <c r="BT111" s="43">
        <v>0</v>
      </c>
      <c r="BU111" s="46"/>
      <c r="BV111" s="47"/>
      <c r="BZ111" s="43">
        <v>0</v>
      </c>
      <c r="CA111" s="46"/>
      <c r="CF111" s="43">
        <v>0</v>
      </c>
      <c r="CG111" s="46"/>
      <c r="CL111" s="43">
        <v>0</v>
      </c>
      <c r="CM111" s="46"/>
      <c r="CN111" s="47"/>
      <c r="CP111">
        <v>192</v>
      </c>
      <c r="CQ111">
        <v>191</v>
      </c>
      <c r="CR111" s="43">
        <v>1</v>
      </c>
      <c r="CS111" s="46"/>
      <c r="CV111">
        <v>120</v>
      </c>
      <c r="CW111">
        <v>121</v>
      </c>
      <c r="CX111" s="43">
        <v>-1</v>
      </c>
      <c r="CY111" s="46"/>
      <c r="CZ111" s="47"/>
      <c r="DB111">
        <v>30</v>
      </c>
      <c r="DC111">
        <v>31</v>
      </c>
      <c r="DD111" s="43">
        <v>-1</v>
      </c>
      <c r="DE111" s="46"/>
      <c r="DF111" s="47"/>
      <c r="DL111" s="43">
        <v>0</v>
      </c>
      <c r="DM111" s="46"/>
      <c r="DN111" s="45">
        <v>60</v>
      </c>
      <c r="DO111">
        <v>60</v>
      </c>
      <c r="DP111">
        <v>102</v>
      </c>
      <c r="DQ111">
        <v>100</v>
      </c>
      <c r="DR111" s="43">
        <v>2</v>
      </c>
      <c r="DS111" s="46"/>
      <c r="DZ111" s="43">
        <v>0</v>
      </c>
      <c r="EA111" s="46"/>
      <c r="EB111" s="47"/>
      <c r="ED111">
        <v>360</v>
      </c>
      <c r="EE111">
        <v>360</v>
      </c>
      <c r="EF111" s="43">
        <v>0</v>
      </c>
      <c r="EG111" s="46"/>
      <c r="EH111" s="47"/>
      <c r="EJ111">
        <v>96</v>
      </c>
      <c r="EK111">
        <v>96</v>
      </c>
      <c r="EL111" s="43">
        <v>0</v>
      </c>
      <c r="EM111" s="46"/>
      <c r="EN111" s="45">
        <v>72</v>
      </c>
      <c r="EO111">
        <v>72</v>
      </c>
      <c r="ER111" s="43">
        <v>0</v>
      </c>
      <c r="ES111" s="46"/>
      <c r="ET111">
        <v>60</v>
      </c>
      <c r="EU111">
        <v>60</v>
      </c>
      <c r="EV111">
        <v>60</v>
      </c>
      <c r="EW111">
        <v>60</v>
      </c>
      <c r="EX111">
        <v>108</v>
      </c>
      <c r="EY111">
        <v>110</v>
      </c>
      <c r="EZ111" s="43">
        <v>-2</v>
      </c>
      <c r="FA111" s="46"/>
      <c r="FB111">
        <v>60</v>
      </c>
      <c r="FC111">
        <v>60</v>
      </c>
      <c r="FD111">
        <v>42</v>
      </c>
      <c r="FF111">
        <v>40</v>
      </c>
      <c r="FG111" s="43">
        <v>2</v>
      </c>
      <c r="FH111" s="46"/>
      <c r="FI111" s="47"/>
      <c r="FL111" s="43">
        <v>0</v>
      </c>
      <c r="FM111" s="46"/>
      <c r="FN111" s="45">
        <v>240</v>
      </c>
      <c r="FP111">
        <v>243</v>
      </c>
      <c r="FQ111" s="43">
        <v>-3</v>
      </c>
      <c r="FR111" s="46"/>
      <c r="FS111">
        <v>72</v>
      </c>
      <c r="FV111">
        <v>70</v>
      </c>
      <c r="FW111" s="43">
        <v>2</v>
      </c>
      <c r="FX111" s="46"/>
      <c r="FY111" s="47"/>
      <c r="GD111" s="43">
        <v>0</v>
      </c>
      <c r="GE111" s="46"/>
      <c r="GF111">
        <v>30</v>
      </c>
      <c r="GG111">
        <v>30</v>
      </c>
      <c r="GH111">
        <v>30</v>
      </c>
      <c r="GI111">
        <v>30</v>
      </c>
      <c r="GJ111" s="43">
        <v>0</v>
      </c>
      <c r="GK111" s="46"/>
      <c r="GL111" s="47"/>
      <c r="GN111">
        <v>312</v>
      </c>
      <c r="GO111">
        <v>310</v>
      </c>
      <c r="GP111" s="43">
        <v>2</v>
      </c>
      <c r="GQ111" s="46"/>
      <c r="GT111">
        <v>120</v>
      </c>
      <c r="GU111">
        <v>120</v>
      </c>
      <c r="GV111" s="43">
        <v>0</v>
      </c>
      <c r="GW111" s="46"/>
      <c r="GX111" s="47"/>
      <c r="GZ111" s="43">
        <v>0</v>
      </c>
      <c r="HA111" s="46"/>
      <c r="HB111" s="45">
        <v>102</v>
      </c>
      <c r="HC111">
        <v>100</v>
      </c>
      <c r="HD111">
        <v>102</v>
      </c>
      <c r="HE111">
        <v>104</v>
      </c>
      <c r="HF111" s="43">
        <v>0</v>
      </c>
      <c r="HG111" s="46"/>
      <c r="HH111" s="45">
        <v>42</v>
      </c>
      <c r="HI111">
        <v>40</v>
      </c>
      <c r="HJ111" s="43">
        <v>2</v>
      </c>
      <c r="HK111" s="46"/>
      <c r="HL111" s="45">
        <v>48</v>
      </c>
      <c r="HM111">
        <v>50</v>
      </c>
      <c r="HN111">
        <v>78</v>
      </c>
      <c r="HO111">
        <v>80</v>
      </c>
      <c r="HP111" s="43">
        <v>-4</v>
      </c>
      <c r="HQ111" s="46"/>
      <c r="HV111">
        <v>192</v>
      </c>
      <c r="HW111">
        <v>190</v>
      </c>
      <c r="HX111" s="43">
        <v>2</v>
      </c>
      <c r="HY111" s="46"/>
      <c r="HZ111" s="47"/>
      <c r="IB111">
        <v>30</v>
      </c>
      <c r="IC111">
        <v>30</v>
      </c>
      <c r="ID111" s="43">
        <v>0</v>
      </c>
      <c r="IE111" s="46"/>
      <c r="IF111">
        <v>150</v>
      </c>
      <c r="IG111">
        <v>150</v>
      </c>
      <c r="IH111">
        <v>198</v>
      </c>
      <c r="II111">
        <v>200</v>
      </c>
      <c r="IJ111" s="43">
        <v>-2</v>
      </c>
      <c r="IK111" s="49"/>
      <c r="IN111">
        <v>192</v>
      </c>
      <c r="IO111">
        <v>190</v>
      </c>
      <c r="IP111" s="43">
        <v>2</v>
      </c>
      <c r="IQ111" s="49"/>
      <c r="IR111">
        <v>150</v>
      </c>
      <c r="IS111">
        <v>150</v>
      </c>
      <c r="IT111">
        <v>132</v>
      </c>
      <c r="IU111">
        <v>135</v>
      </c>
      <c r="IV111" s="43">
        <v>-3</v>
      </c>
      <c r="IW111" s="49"/>
      <c r="IX111">
        <v>18</v>
      </c>
      <c r="IY111">
        <v>20</v>
      </c>
      <c r="JB111" s="43">
        <v>-2</v>
      </c>
      <c r="JC111" s="46"/>
      <c r="JD111">
        <v>60</v>
      </c>
      <c r="JE111">
        <v>60</v>
      </c>
      <c r="JF111" s="43">
        <v>0</v>
      </c>
      <c r="JG111" s="49"/>
      <c r="JH111">
        <v>78</v>
      </c>
      <c r="JI111">
        <v>80</v>
      </c>
      <c r="JJ111">
        <v>78</v>
      </c>
      <c r="JK111">
        <v>78</v>
      </c>
      <c r="JL111" s="43">
        <v>-2</v>
      </c>
      <c r="JM111" s="46"/>
      <c r="JN111" s="45">
        <v>162</v>
      </c>
      <c r="JO111" s="48">
        <v>160</v>
      </c>
      <c r="JP111" s="43">
        <v>2</v>
      </c>
      <c r="JQ111" s="49"/>
      <c r="JT111">
        <v>72</v>
      </c>
      <c r="JU111">
        <v>70</v>
      </c>
      <c r="JV111" s="43">
        <v>2</v>
      </c>
      <c r="JW111" s="49"/>
      <c r="JZ111">
        <v>168</v>
      </c>
      <c r="KA111">
        <v>170</v>
      </c>
      <c r="KB111" s="43">
        <v>-2</v>
      </c>
      <c r="KC111" s="49"/>
      <c r="KF111">
        <v>60</v>
      </c>
      <c r="KG111">
        <v>60</v>
      </c>
      <c r="KH111" s="43">
        <v>0</v>
      </c>
      <c r="KI111" s="49"/>
      <c r="KJ111">
        <v>48</v>
      </c>
      <c r="KK111">
        <v>50</v>
      </c>
      <c r="KL111">
        <v>138</v>
      </c>
      <c r="KM111">
        <v>140</v>
      </c>
      <c r="KN111" s="43">
        <v>-4</v>
      </c>
      <c r="KO111" s="49"/>
      <c r="KP111" s="45">
        <v>48</v>
      </c>
      <c r="KQ111">
        <v>50</v>
      </c>
      <c r="KR111">
        <v>48</v>
      </c>
      <c r="KS111">
        <v>50</v>
      </c>
      <c r="KT111">
        <v>30</v>
      </c>
      <c r="KU111">
        <v>40</v>
      </c>
      <c r="KV111" s="42">
        <v>-14</v>
      </c>
      <c r="KW111" s="49">
        <v>5.7399999999999993</v>
      </c>
      <c r="KX111" s="48">
        <v>0</v>
      </c>
      <c r="KY111" s="48">
        <v>0</v>
      </c>
      <c r="KZ111" s="48">
        <v>60</v>
      </c>
      <c r="LA111" s="48">
        <v>60</v>
      </c>
      <c r="LB111" s="43">
        <v>0</v>
      </c>
      <c r="LC111" s="49"/>
      <c r="LD111" s="48">
        <v>0</v>
      </c>
      <c r="LE111" s="48">
        <v>0</v>
      </c>
      <c r="LF111" s="48">
        <v>162</v>
      </c>
      <c r="LG111" s="48">
        <v>160</v>
      </c>
      <c r="LH111" s="43">
        <v>2</v>
      </c>
      <c r="LI111" s="49"/>
      <c r="LJ111" s="50">
        <v>138</v>
      </c>
      <c r="LK111" s="48">
        <v>140</v>
      </c>
      <c r="LL111" s="43">
        <v>-2</v>
      </c>
      <c r="LM111" s="49"/>
      <c r="LN111" s="50">
        <v>120</v>
      </c>
      <c r="LO111" s="48">
        <v>120</v>
      </c>
      <c r="LP111" s="48">
        <v>102</v>
      </c>
      <c r="LQ111" s="48">
        <v>0</v>
      </c>
      <c r="LR111" s="48">
        <v>100</v>
      </c>
      <c r="LS111" s="43">
        <v>2</v>
      </c>
      <c r="LT111" s="49"/>
      <c r="LU111" s="50">
        <v>120</v>
      </c>
      <c r="LV111" s="48">
        <v>120</v>
      </c>
      <c r="LW111" s="48">
        <v>102</v>
      </c>
      <c r="LX111" s="48">
        <v>100</v>
      </c>
      <c r="LY111" s="43">
        <v>2</v>
      </c>
      <c r="LZ111" s="49"/>
      <c r="MA111" s="50">
        <v>96</v>
      </c>
      <c r="MB111" s="48">
        <v>96</v>
      </c>
      <c r="MC111" s="43">
        <v>0</v>
      </c>
      <c r="MD111" s="49"/>
      <c r="ME111" s="50">
        <v>0</v>
      </c>
      <c r="MF111" s="48">
        <v>0</v>
      </c>
      <c r="MG111" s="48">
        <v>102</v>
      </c>
      <c r="MH111" s="48">
        <v>100</v>
      </c>
      <c r="MI111" s="43">
        <v>2</v>
      </c>
      <c r="MJ111" s="49"/>
      <c r="MK111" s="50">
        <v>48</v>
      </c>
      <c r="ML111" s="48">
        <v>50</v>
      </c>
      <c r="MM111" s="43">
        <v>-2</v>
      </c>
      <c r="MN111" s="49"/>
      <c r="MO111" s="50">
        <v>0</v>
      </c>
      <c r="MP111" s="48">
        <v>0</v>
      </c>
      <c r="MQ111" s="48">
        <v>78</v>
      </c>
      <c r="MR111" s="48">
        <v>78</v>
      </c>
      <c r="MS111" s="43">
        <v>0</v>
      </c>
      <c r="MT111" s="49"/>
      <c r="MU111" s="48">
        <v>48</v>
      </c>
      <c r="MV111" s="46">
        <v>-19.68</v>
      </c>
      <c r="MW111" s="48">
        <v>0</v>
      </c>
      <c r="MX111" s="48">
        <v>48</v>
      </c>
      <c r="MY111" s="42">
        <v>-48</v>
      </c>
      <c r="MZ111" s="49">
        <v>19.68</v>
      </c>
      <c r="NA111" s="50">
        <v>0</v>
      </c>
      <c r="NB111" s="48">
        <v>0</v>
      </c>
      <c r="NC111" s="48">
        <v>30</v>
      </c>
      <c r="ND111" s="48">
        <v>30</v>
      </c>
      <c r="NE111" s="43">
        <v>0</v>
      </c>
      <c r="NF111" s="49"/>
      <c r="NG111" s="50">
        <v>0</v>
      </c>
      <c r="NH111" s="48">
        <v>0</v>
      </c>
      <c r="NI111" s="48">
        <v>60</v>
      </c>
      <c r="NJ111" s="48">
        <v>59</v>
      </c>
      <c r="NK111" s="43">
        <v>1</v>
      </c>
      <c r="NL111" s="49"/>
      <c r="NM111" s="50">
        <v>0</v>
      </c>
      <c r="NN111" s="48">
        <v>0</v>
      </c>
      <c r="NO111" s="48">
        <v>132</v>
      </c>
      <c r="NP111" s="48">
        <v>130</v>
      </c>
      <c r="NQ111" s="43">
        <v>2</v>
      </c>
      <c r="NR111" s="49"/>
      <c r="NS111" s="50">
        <v>0</v>
      </c>
      <c r="NT111" s="48">
        <v>0</v>
      </c>
      <c r="NU111" s="48">
        <v>30</v>
      </c>
      <c r="NV111" s="48">
        <v>30</v>
      </c>
      <c r="NW111" s="43">
        <v>0</v>
      </c>
      <c r="NX111" s="49"/>
      <c r="NY111" s="50">
        <v>0</v>
      </c>
      <c r="NZ111" s="48">
        <v>0</v>
      </c>
      <c r="OA111" s="48">
        <v>72</v>
      </c>
      <c r="OB111" s="48">
        <v>70</v>
      </c>
      <c r="OC111" s="43">
        <v>2</v>
      </c>
      <c r="OD111" s="49"/>
      <c r="OE111" s="50">
        <v>102</v>
      </c>
      <c r="OF111" s="48">
        <v>100</v>
      </c>
      <c r="OG111" s="43">
        <v>2</v>
      </c>
      <c r="OH111" s="49"/>
      <c r="OI111" s="50">
        <v>78</v>
      </c>
      <c r="OJ111" s="48">
        <v>80</v>
      </c>
      <c r="OK111" s="43">
        <v>-2</v>
      </c>
      <c r="OL111" s="49"/>
      <c r="OM111" s="50">
        <v>0</v>
      </c>
      <c r="ON111" s="48">
        <v>0</v>
      </c>
      <c r="OO111" s="48">
        <v>30</v>
      </c>
      <c r="OP111" s="48">
        <v>30</v>
      </c>
      <c r="OQ111" s="43">
        <v>0</v>
      </c>
      <c r="OR111" s="49"/>
      <c r="OS111" s="50">
        <v>120</v>
      </c>
      <c r="OT111" s="48">
        <v>120</v>
      </c>
      <c r="OU111" s="43">
        <v>0</v>
      </c>
      <c r="OV111" s="49"/>
      <c r="OW111" s="50">
        <v>0</v>
      </c>
      <c r="OX111" s="48">
        <v>0</v>
      </c>
      <c r="OY111" s="48">
        <v>0</v>
      </c>
      <c r="OZ111" s="48">
        <v>0</v>
      </c>
      <c r="PA111" s="43">
        <v>0</v>
      </c>
      <c r="PB111" s="49"/>
      <c r="PC111" s="50">
        <v>42</v>
      </c>
      <c r="PD111" s="48">
        <v>40</v>
      </c>
      <c r="PE111" s="43">
        <v>2</v>
      </c>
      <c r="PF111" s="49"/>
      <c r="PG111" s="50"/>
      <c r="PL111" s="49"/>
      <c r="PM111" s="47"/>
      <c r="PN111" s="48"/>
      <c r="PP111" s="48"/>
      <c r="PR111" s="49"/>
      <c r="PS111" s="47"/>
      <c r="PX111" s="46"/>
      <c r="PY111" s="47"/>
      <c r="QB111" s="46"/>
      <c r="QC111" s="47"/>
      <c r="QH111" s="46"/>
      <c r="QI111" s="47"/>
      <c r="QN111" s="46"/>
      <c r="QO111" s="47"/>
      <c r="QT111" s="46"/>
      <c r="QU111" s="47"/>
      <c r="QX111" s="46"/>
      <c r="QY111" s="47"/>
      <c r="RD111" s="46"/>
    </row>
    <row r="112" spans="1:472" x14ac:dyDescent="0.25">
      <c r="A112" s="43" t="s">
        <v>400</v>
      </c>
      <c r="B112" s="44">
        <v>1</v>
      </c>
      <c r="I112" s="47"/>
      <c r="J112" s="51"/>
      <c r="K112" s="51"/>
      <c r="L112" s="51"/>
      <c r="M112" s="51">
        <f t="shared" si="12"/>
        <v>0</v>
      </c>
      <c r="N112" s="46"/>
      <c r="O112" s="47"/>
      <c r="P112" s="51"/>
      <c r="Q112" s="51"/>
      <c r="R112" s="51"/>
      <c r="S112" s="51">
        <f t="shared" si="13"/>
        <v>0</v>
      </c>
      <c r="T112" s="46"/>
      <c r="U112" s="47"/>
      <c r="V112" s="51"/>
      <c r="W112" s="51"/>
      <c r="X112" s="51"/>
      <c r="Y112" s="51">
        <f t="shared" si="14"/>
        <v>0</v>
      </c>
      <c r="Z112" s="46"/>
      <c r="AA112" s="51"/>
      <c r="AE112" s="43">
        <v>0</v>
      </c>
      <c r="AF112" s="46"/>
      <c r="AG112" s="47"/>
      <c r="AK112" s="43">
        <v>0</v>
      </c>
      <c r="AL112" s="46"/>
      <c r="AQ112" s="43">
        <v>0</v>
      </c>
      <c r="AR112" s="46"/>
      <c r="AW112" s="43">
        <v>0</v>
      </c>
      <c r="AX112" s="46"/>
      <c r="AY112" s="47"/>
      <c r="BC112" s="43">
        <v>0</v>
      </c>
      <c r="BD112" s="46"/>
      <c r="BE112" s="47"/>
      <c r="BI112" s="43">
        <v>0</v>
      </c>
      <c r="BJ112" s="46"/>
      <c r="BP112" s="43">
        <v>0</v>
      </c>
      <c r="BQ112" s="46"/>
      <c r="BT112" s="43">
        <v>0</v>
      </c>
      <c r="BU112" s="46"/>
      <c r="BV112" s="47"/>
      <c r="BZ112" s="43">
        <v>0</v>
      </c>
      <c r="CA112" s="46"/>
      <c r="CF112" s="43">
        <v>0</v>
      </c>
      <c r="CG112" s="46"/>
      <c r="CL112" s="43">
        <v>0</v>
      </c>
      <c r="CM112" s="46"/>
      <c r="CN112" s="47"/>
      <c r="CR112" s="43">
        <v>0</v>
      </c>
      <c r="CS112" s="46"/>
      <c r="CX112" s="43">
        <v>0</v>
      </c>
      <c r="CY112" s="46"/>
      <c r="CZ112" s="47"/>
      <c r="DD112" s="43">
        <v>0</v>
      </c>
      <c r="DE112" s="46"/>
      <c r="DF112" s="47"/>
      <c r="DL112" s="43">
        <v>0</v>
      </c>
      <c r="DM112" s="46"/>
      <c r="DN112" s="47"/>
      <c r="DR112" s="43">
        <v>0</v>
      </c>
      <c r="DS112" s="46"/>
      <c r="DZ112" s="43">
        <v>0</v>
      </c>
      <c r="EA112" s="46"/>
      <c r="EB112" s="47"/>
      <c r="EF112" s="43">
        <v>0</v>
      </c>
      <c r="EG112" s="46"/>
      <c r="EH112" s="47"/>
      <c r="EL112" s="43">
        <v>0</v>
      </c>
      <c r="EM112" s="46"/>
      <c r="EN112" s="47"/>
      <c r="ER112" s="43">
        <v>0</v>
      </c>
      <c r="ES112" s="46"/>
      <c r="EZ112" s="43">
        <v>0</v>
      </c>
      <c r="FA112" s="46"/>
      <c r="FG112" s="43">
        <v>0</v>
      </c>
      <c r="FH112" s="46"/>
      <c r="FI112" s="47"/>
      <c r="FL112" s="43">
        <v>0</v>
      </c>
      <c r="FM112" s="46"/>
      <c r="FN112" s="47"/>
      <c r="FQ112" s="43">
        <v>0</v>
      </c>
      <c r="FR112" s="46"/>
      <c r="FW112" s="43">
        <v>0</v>
      </c>
      <c r="FX112" s="46"/>
      <c r="FY112" s="47"/>
      <c r="GD112" s="43">
        <v>0</v>
      </c>
      <c r="GE112" s="46"/>
      <c r="GJ112" s="43">
        <v>0</v>
      </c>
      <c r="GK112" s="46"/>
      <c r="GL112" s="47"/>
      <c r="GP112" s="43">
        <v>0</v>
      </c>
      <c r="GQ112" s="46"/>
      <c r="GV112" s="43">
        <v>0</v>
      </c>
      <c r="GW112" s="46"/>
      <c r="GX112" s="47"/>
      <c r="GZ112" s="43">
        <v>0</v>
      </c>
      <c r="HA112" s="46"/>
      <c r="HB112" s="47"/>
      <c r="HF112" s="43">
        <v>0</v>
      </c>
      <c r="HG112" s="46"/>
      <c r="HH112" s="47"/>
      <c r="HJ112" s="43">
        <v>0</v>
      </c>
      <c r="HK112" s="46"/>
      <c r="HL112" s="47"/>
      <c r="HP112" s="43">
        <v>0</v>
      </c>
      <c r="HQ112" s="46"/>
      <c r="HX112" s="43">
        <v>0</v>
      </c>
      <c r="HY112" s="46"/>
      <c r="HZ112" s="47"/>
      <c r="ID112" s="43">
        <v>0</v>
      </c>
      <c r="IE112" s="46"/>
      <c r="IJ112" s="43">
        <v>0</v>
      </c>
      <c r="IK112" s="49"/>
      <c r="IP112" s="43">
        <v>0</v>
      </c>
      <c r="IQ112" s="49"/>
      <c r="IV112" s="43">
        <v>0</v>
      </c>
      <c r="IW112" s="49"/>
      <c r="JB112" s="43">
        <v>0</v>
      </c>
      <c r="JC112" s="46"/>
      <c r="JF112" s="43">
        <v>0</v>
      </c>
      <c r="JG112" s="49"/>
      <c r="JL112" s="43">
        <v>0</v>
      </c>
      <c r="JM112" s="46"/>
      <c r="JN112" s="50"/>
      <c r="JP112" s="43">
        <v>0</v>
      </c>
      <c r="JQ112" s="49"/>
      <c r="JV112" s="43">
        <v>0</v>
      </c>
      <c r="JW112" s="49"/>
      <c r="KB112" s="43">
        <v>0</v>
      </c>
      <c r="KC112" s="49"/>
      <c r="KH112" s="43">
        <v>0</v>
      </c>
      <c r="KI112" s="49"/>
      <c r="KN112" s="43">
        <v>0</v>
      </c>
      <c r="KO112" s="49"/>
      <c r="KP112" s="50"/>
      <c r="KV112" s="43">
        <v>0</v>
      </c>
      <c r="KW112" s="49"/>
      <c r="KX112" s="48">
        <v>0</v>
      </c>
      <c r="KY112" s="48">
        <v>0</v>
      </c>
      <c r="KZ112" s="48">
        <v>0</v>
      </c>
      <c r="LA112" s="48">
        <v>0</v>
      </c>
      <c r="LB112" s="43">
        <v>0</v>
      </c>
      <c r="LC112" s="49"/>
      <c r="LD112" s="48">
        <v>0</v>
      </c>
      <c r="LE112" s="48">
        <v>0</v>
      </c>
      <c r="LF112" s="48">
        <v>0</v>
      </c>
      <c r="LG112" s="48">
        <v>0</v>
      </c>
      <c r="LH112" s="43">
        <v>0</v>
      </c>
      <c r="LI112" s="49"/>
      <c r="LJ112" s="50">
        <v>0</v>
      </c>
      <c r="LK112" s="48">
        <v>0</v>
      </c>
      <c r="LL112" s="43">
        <v>0</v>
      </c>
      <c r="LM112" s="49"/>
      <c r="LN112" s="50">
        <v>0</v>
      </c>
      <c r="LO112" s="48">
        <v>0</v>
      </c>
      <c r="LP112" s="48">
        <v>0</v>
      </c>
      <c r="LQ112" s="48">
        <v>0</v>
      </c>
      <c r="LR112" s="48">
        <v>0</v>
      </c>
      <c r="LS112" s="43">
        <v>0</v>
      </c>
      <c r="LT112" s="49"/>
      <c r="LU112" s="50">
        <v>0</v>
      </c>
      <c r="LV112" s="48">
        <v>0</v>
      </c>
      <c r="LW112" s="48">
        <v>0</v>
      </c>
      <c r="LX112" s="48">
        <v>0</v>
      </c>
      <c r="LY112" s="43">
        <v>0</v>
      </c>
      <c r="LZ112" s="49"/>
      <c r="MA112" s="50">
        <v>0</v>
      </c>
      <c r="MB112" s="48">
        <v>0</v>
      </c>
      <c r="MC112" s="43">
        <v>0</v>
      </c>
      <c r="MD112" s="49"/>
      <c r="ME112" s="50">
        <v>0</v>
      </c>
      <c r="MF112" s="48">
        <v>0</v>
      </c>
      <c r="MG112" s="48">
        <v>0</v>
      </c>
      <c r="MH112" s="48">
        <v>0</v>
      </c>
      <c r="MI112" s="43">
        <v>0</v>
      </c>
      <c r="MJ112" s="49"/>
      <c r="MK112" s="50">
        <v>0</v>
      </c>
      <c r="ML112" s="48">
        <v>0</v>
      </c>
      <c r="MM112" s="43">
        <v>0</v>
      </c>
      <c r="MN112" s="49"/>
      <c r="MO112" s="50">
        <v>0</v>
      </c>
      <c r="MP112" s="48">
        <v>0</v>
      </c>
      <c r="MQ112" s="48">
        <v>0</v>
      </c>
      <c r="MR112" s="48">
        <v>0</v>
      </c>
      <c r="MS112" s="43">
        <v>0</v>
      </c>
      <c r="MT112" s="49"/>
      <c r="MU112" s="48">
        <v>0</v>
      </c>
      <c r="MV112" s="46"/>
      <c r="MW112" s="48">
        <v>0</v>
      </c>
      <c r="MX112" s="48">
        <v>0</v>
      </c>
      <c r="MY112" s="43">
        <v>0</v>
      </c>
      <c r="MZ112" s="49"/>
      <c r="NA112" s="50">
        <v>0</v>
      </c>
      <c r="NB112" s="48">
        <v>0</v>
      </c>
      <c r="NC112" s="48">
        <v>0</v>
      </c>
      <c r="ND112" s="48">
        <v>0</v>
      </c>
      <c r="NE112" s="43">
        <v>0</v>
      </c>
      <c r="NF112" s="49"/>
      <c r="NG112" s="50">
        <v>0</v>
      </c>
      <c r="NH112" s="48">
        <v>0</v>
      </c>
      <c r="NI112" s="48">
        <v>0</v>
      </c>
      <c r="NJ112" s="48">
        <v>0</v>
      </c>
      <c r="NK112" s="43">
        <v>0</v>
      </c>
      <c r="NL112" s="49"/>
      <c r="NM112" s="50">
        <v>0</v>
      </c>
      <c r="NN112" s="48">
        <v>0</v>
      </c>
      <c r="NO112" s="48">
        <v>0</v>
      </c>
      <c r="NP112" s="48">
        <v>0</v>
      </c>
      <c r="NQ112" s="43">
        <v>0</v>
      </c>
      <c r="NR112" s="49"/>
      <c r="NS112" s="50">
        <v>0</v>
      </c>
      <c r="NT112" s="48">
        <v>0</v>
      </c>
      <c r="NU112" s="48">
        <v>0</v>
      </c>
      <c r="NV112" s="48">
        <v>0</v>
      </c>
      <c r="NW112" s="43">
        <v>0</v>
      </c>
      <c r="NX112" s="49"/>
      <c r="NY112" s="50">
        <v>0</v>
      </c>
      <c r="NZ112" s="48">
        <v>0</v>
      </c>
      <c r="OA112" s="48">
        <v>0</v>
      </c>
      <c r="OB112" s="48">
        <v>0</v>
      </c>
      <c r="OC112" s="43">
        <v>0</v>
      </c>
      <c r="OD112" s="49"/>
      <c r="OE112" s="50">
        <v>0</v>
      </c>
      <c r="OF112" s="48">
        <v>0</v>
      </c>
      <c r="OG112" s="43">
        <v>0</v>
      </c>
      <c r="OH112" s="49"/>
      <c r="OI112" s="50">
        <v>0</v>
      </c>
      <c r="OJ112" s="48">
        <v>0</v>
      </c>
      <c r="OK112" s="43">
        <v>0</v>
      </c>
      <c r="OL112" s="49"/>
      <c r="OM112" s="50">
        <v>0</v>
      </c>
      <c r="ON112" s="48">
        <v>0</v>
      </c>
      <c r="OO112" s="48">
        <v>0</v>
      </c>
      <c r="OP112" s="48">
        <v>0</v>
      </c>
      <c r="OQ112" s="43">
        <v>0</v>
      </c>
      <c r="OR112" s="49"/>
      <c r="OS112" s="50">
        <v>0</v>
      </c>
      <c r="OT112" s="48">
        <v>0</v>
      </c>
      <c r="OU112" s="43">
        <v>0</v>
      </c>
      <c r="OV112" s="49"/>
      <c r="OW112" s="50">
        <v>0</v>
      </c>
      <c r="OX112" s="48">
        <v>0</v>
      </c>
      <c r="OY112" s="48">
        <v>0</v>
      </c>
      <c r="OZ112" s="48">
        <v>0</v>
      </c>
      <c r="PA112" s="43">
        <v>0</v>
      </c>
      <c r="PB112" s="49"/>
      <c r="PC112" s="50">
        <v>0</v>
      </c>
      <c r="PD112" s="48">
        <v>0</v>
      </c>
      <c r="PE112" s="43">
        <v>0</v>
      </c>
      <c r="PF112" s="49"/>
      <c r="PG112" s="50">
        <v>0</v>
      </c>
      <c r="PH112" s="48">
        <v>0</v>
      </c>
      <c r="PI112" s="48">
        <v>0</v>
      </c>
      <c r="PJ112" s="48">
        <v>0</v>
      </c>
      <c r="PK112" s="43">
        <v>0</v>
      </c>
      <c r="PL112" s="49"/>
      <c r="PM112" s="47">
        <v>0</v>
      </c>
      <c r="PN112" s="48">
        <v>0</v>
      </c>
      <c r="PO112" s="48">
        <v>0</v>
      </c>
      <c r="PP112" s="48">
        <v>0</v>
      </c>
      <c r="PQ112" s="43">
        <v>0</v>
      </c>
      <c r="PR112" s="49"/>
      <c r="PS112" s="47">
        <v>0</v>
      </c>
      <c r="PT112" s="43">
        <v>0</v>
      </c>
      <c r="PU112" s="43">
        <v>0</v>
      </c>
      <c r="PV112" s="43">
        <v>0</v>
      </c>
      <c r="PW112" s="43">
        <v>0</v>
      </c>
      <c r="PX112" s="46"/>
      <c r="PY112" s="47">
        <v>0</v>
      </c>
      <c r="PZ112" s="43">
        <v>0</v>
      </c>
      <c r="QA112" s="43">
        <v>0</v>
      </c>
      <c r="QB112" s="46"/>
      <c r="QC112" s="47">
        <v>74.888000000000005</v>
      </c>
      <c r="QD112" s="43">
        <v>81</v>
      </c>
      <c r="QE112" s="43">
        <v>74.822999999999993</v>
      </c>
      <c r="QF112" s="43">
        <v>80</v>
      </c>
      <c r="QG112" s="42">
        <v>-11.288999999999991</v>
      </c>
      <c r="QH112" s="46">
        <v>11.288999999999991</v>
      </c>
      <c r="QI112" s="47">
        <v>0</v>
      </c>
      <c r="QJ112" s="43">
        <v>0</v>
      </c>
      <c r="QK112" s="43">
        <v>0</v>
      </c>
      <c r="QL112" s="43">
        <v>0</v>
      </c>
      <c r="QM112" s="43">
        <v>0</v>
      </c>
      <c r="QN112" s="46"/>
      <c r="QO112" s="47">
        <v>0</v>
      </c>
      <c r="QP112" s="43">
        <v>0</v>
      </c>
      <c r="QQ112" s="43">
        <v>0</v>
      </c>
      <c r="QR112" s="43">
        <v>0</v>
      </c>
      <c r="QS112" s="43">
        <v>0</v>
      </c>
      <c r="QT112" s="46"/>
      <c r="QU112" s="47">
        <v>0</v>
      </c>
      <c r="QV112" s="43">
        <v>0</v>
      </c>
      <c r="QW112" s="43">
        <v>0</v>
      </c>
      <c r="QX112" s="46"/>
      <c r="QY112" s="47">
        <v>0</v>
      </c>
      <c r="QZ112" s="43">
        <v>0</v>
      </c>
      <c r="RA112" s="43">
        <v>194.21899999999999</v>
      </c>
      <c r="RB112" s="43">
        <v>200</v>
      </c>
      <c r="RC112" s="43">
        <v>-5.7810000000000059</v>
      </c>
      <c r="RD112" s="46"/>
    </row>
    <row r="113" spans="1:472" x14ac:dyDescent="0.25">
      <c r="A113" s="43" t="s">
        <v>401</v>
      </c>
      <c r="B113" s="44">
        <v>0.41</v>
      </c>
      <c r="I113" s="47"/>
      <c r="J113" s="51"/>
      <c r="K113" s="51"/>
      <c r="L113" s="52">
        <v>24</v>
      </c>
      <c r="M113" s="56">
        <f t="shared" si="12"/>
        <v>-24</v>
      </c>
      <c r="N113" s="46">
        <f>-1*M113*B113</f>
        <v>9.84</v>
      </c>
      <c r="O113" s="47"/>
      <c r="P113" s="51"/>
      <c r="Q113" s="51"/>
      <c r="R113" s="52">
        <v>32</v>
      </c>
      <c r="S113" s="56">
        <f t="shared" si="13"/>
        <v>-32</v>
      </c>
      <c r="T113" s="46">
        <f>-1*S113*B113</f>
        <v>13.12</v>
      </c>
      <c r="U113" s="47"/>
      <c r="V113" s="51"/>
      <c r="W113" s="51"/>
      <c r="X113" s="52">
        <v>28</v>
      </c>
      <c r="Y113" s="56">
        <f t="shared" si="14"/>
        <v>-28</v>
      </c>
      <c r="Z113" s="46">
        <f>-1*Y113*B113</f>
        <v>11.479999999999999</v>
      </c>
      <c r="AA113" s="51"/>
      <c r="AE113" s="43">
        <v>0</v>
      </c>
      <c r="AF113" s="46"/>
      <c r="AG113" s="47"/>
      <c r="AH113">
        <v>60</v>
      </c>
      <c r="AJ113">
        <v>141</v>
      </c>
      <c r="AK113" s="42">
        <v>-201</v>
      </c>
      <c r="AL113" s="46">
        <v>82.41</v>
      </c>
      <c r="AQ113" s="43">
        <v>0</v>
      </c>
      <c r="AR113" s="46"/>
      <c r="AW113" s="43">
        <v>0</v>
      </c>
      <c r="AX113" s="46"/>
      <c r="AY113" s="45">
        <v>78</v>
      </c>
      <c r="AZ113">
        <v>78</v>
      </c>
      <c r="BA113">
        <v>102</v>
      </c>
      <c r="BB113">
        <v>104</v>
      </c>
      <c r="BC113" s="43">
        <v>-2</v>
      </c>
      <c r="BD113" s="46"/>
      <c r="BE113" s="47"/>
      <c r="BI113" s="43">
        <v>0</v>
      </c>
      <c r="BJ113" s="46"/>
      <c r="BK113">
        <v>36</v>
      </c>
      <c r="BL113">
        <v>36</v>
      </c>
      <c r="BP113" s="43">
        <v>0</v>
      </c>
      <c r="BQ113" s="46"/>
      <c r="BT113" s="43">
        <v>0</v>
      </c>
      <c r="BU113" s="46"/>
      <c r="BV113" s="45">
        <v>126</v>
      </c>
      <c r="BW113">
        <v>124</v>
      </c>
      <c r="BZ113" s="43">
        <v>2</v>
      </c>
      <c r="CA113" s="46"/>
      <c r="CD113">
        <v>54</v>
      </c>
      <c r="CE113">
        <v>55</v>
      </c>
      <c r="CF113" s="43">
        <v>-1</v>
      </c>
      <c r="CG113" s="46"/>
      <c r="CL113" s="43">
        <v>0</v>
      </c>
      <c r="CM113" s="46"/>
      <c r="CN113" s="47"/>
      <c r="CP113">
        <v>72</v>
      </c>
      <c r="CQ113">
        <v>73</v>
      </c>
      <c r="CR113" s="43">
        <v>-1</v>
      </c>
      <c r="CS113" s="46"/>
      <c r="CX113" s="43">
        <v>0</v>
      </c>
      <c r="CY113" s="46"/>
      <c r="CZ113" s="47"/>
      <c r="DD113" s="43">
        <v>0</v>
      </c>
      <c r="DE113" s="46"/>
      <c r="DF113" s="47"/>
      <c r="DJ113">
        <v>42</v>
      </c>
      <c r="DK113">
        <v>40</v>
      </c>
      <c r="DL113" s="43">
        <v>2</v>
      </c>
      <c r="DM113" s="46"/>
      <c r="DN113" s="47"/>
      <c r="DR113" s="43">
        <v>0</v>
      </c>
      <c r="DS113" s="46"/>
      <c r="DZ113" s="43">
        <v>0</v>
      </c>
      <c r="EA113" s="46"/>
      <c r="EB113" s="47"/>
      <c r="ED113">
        <v>318</v>
      </c>
      <c r="EE113">
        <v>320</v>
      </c>
      <c r="EF113" s="43">
        <v>-2</v>
      </c>
      <c r="EG113" s="46"/>
      <c r="EH113" s="47"/>
      <c r="EJ113">
        <v>108</v>
      </c>
      <c r="EK113">
        <v>110</v>
      </c>
      <c r="EL113" s="43">
        <v>-2</v>
      </c>
      <c r="EM113" s="46"/>
      <c r="EN113" s="45">
        <v>90</v>
      </c>
      <c r="EO113">
        <v>90</v>
      </c>
      <c r="EP113">
        <v>42</v>
      </c>
      <c r="EQ113">
        <v>40</v>
      </c>
      <c r="ER113" s="43">
        <v>2</v>
      </c>
      <c r="ES113" s="46"/>
      <c r="ET113">
        <v>48</v>
      </c>
      <c r="EU113">
        <v>48</v>
      </c>
      <c r="EV113">
        <v>48</v>
      </c>
      <c r="EW113">
        <v>48</v>
      </c>
      <c r="EX113">
        <v>54</v>
      </c>
      <c r="EY113">
        <v>54</v>
      </c>
      <c r="EZ113" s="43">
        <v>0</v>
      </c>
      <c r="FA113" s="46"/>
      <c r="FD113">
        <v>138</v>
      </c>
      <c r="FF113">
        <v>140</v>
      </c>
      <c r="FG113" s="43">
        <v>-2</v>
      </c>
      <c r="FH113" s="46"/>
      <c r="FI113" s="47"/>
      <c r="FL113" s="43">
        <v>0</v>
      </c>
      <c r="FM113" s="46"/>
      <c r="FN113" s="45">
        <v>270</v>
      </c>
      <c r="FP113">
        <v>269</v>
      </c>
      <c r="FQ113" s="43">
        <v>1</v>
      </c>
      <c r="FR113" s="46"/>
      <c r="FW113" s="43">
        <v>0</v>
      </c>
      <c r="FX113" s="46"/>
      <c r="FY113" s="47"/>
      <c r="GD113" s="43">
        <v>0</v>
      </c>
      <c r="GE113" s="46"/>
      <c r="GF113">
        <v>60</v>
      </c>
      <c r="GG113">
        <v>60</v>
      </c>
      <c r="GH113">
        <v>102</v>
      </c>
      <c r="GI113">
        <v>100</v>
      </c>
      <c r="GJ113" s="43">
        <v>2</v>
      </c>
      <c r="GK113" s="46"/>
      <c r="GL113" s="47"/>
      <c r="GN113">
        <v>192</v>
      </c>
      <c r="GO113">
        <v>190</v>
      </c>
      <c r="GP113" s="43">
        <v>2</v>
      </c>
      <c r="GQ113" s="46"/>
      <c r="GT113">
        <v>54</v>
      </c>
      <c r="GU113">
        <v>54</v>
      </c>
      <c r="GV113" s="43">
        <v>0</v>
      </c>
      <c r="GW113" s="46"/>
      <c r="GX113" s="45">
        <v>102</v>
      </c>
      <c r="GY113" s="48">
        <v>100</v>
      </c>
      <c r="GZ113" s="43">
        <v>2</v>
      </c>
      <c r="HA113" s="46"/>
      <c r="HB113" s="47"/>
      <c r="HD113">
        <v>156</v>
      </c>
      <c r="HE113">
        <v>155</v>
      </c>
      <c r="HF113" s="43">
        <v>1</v>
      </c>
      <c r="HG113" s="46"/>
      <c r="HH113" s="45">
        <v>30</v>
      </c>
      <c r="HI113">
        <v>32</v>
      </c>
      <c r="HJ113" s="43">
        <v>-2</v>
      </c>
      <c r="HK113" s="46"/>
      <c r="HL113" s="47"/>
      <c r="HN113">
        <v>60</v>
      </c>
      <c r="HO113">
        <v>60</v>
      </c>
      <c r="HP113" s="43">
        <v>0</v>
      </c>
      <c r="HQ113" s="46"/>
      <c r="HV113">
        <v>108</v>
      </c>
      <c r="HW113">
        <v>110</v>
      </c>
      <c r="HX113" s="43">
        <v>-2</v>
      </c>
      <c r="HY113" s="46"/>
      <c r="HZ113" s="47"/>
      <c r="ID113" s="43">
        <v>0</v>
      </c>
      <c r="IE113" s="46"/>
      <c r="IF113">
        <v>150</v>
      </c>
      <c r="IG113">
        <v>150</v>
      </c>
      <c r="IH113">
        <v>198</v>
      </c>
      <c r="II113">
        <v>200</v>
      </c>
      <c r="IJ113" s="43">
        <v>-2</v>
      </c>
      <c r="IK113" s="49"/>
      <c r="IN113">
        <v>30</v>
      </c>
      <c r="IO113">
        <v>30</v>
      </c>
      <c r="IP113" s="43">
        <v>0</v>
      </c>
      <c r="IQ113" s="49"/>
      <c r="IR113">
        <v>132</v>
      </c>
      <c r="IS113">
        <v>130</v>
      </c>
      <c r="IT113">
        <v>102</v>
      </c>
      <c r="IU113">
        <v>104</v>
      </c>
      <c r="IV113" s="43">
        <v>0</v>
      </c>
      <c r="IW113" s="49"/>
      <c r="IX113">
        <v>60</v>
      </c>
      <c r="IY113">
        <v>60</v>
      </c>
      <c r="IZ113">
        <v>48</v>
      </c>
      <c r="JA113">
        <v>50</v>
      </c>
      <c r="JB113" s="43">
        <v>-2</v>
      </c>
      <c r="JC113" s="46"/>
      <c r="JD113">
        <v>54</v>
      </c>
      <c r="JE113">
        <v>54</v>
      </c>
      <c r="JF113" s="43">
        <v>0</v>
      </c>
      <c r="JG113" s="49"/>
      <c r="JJ113">
        <v>96</v>
      </c>
      <c r="JK113">
        <v>96</v>
      </c>
      <c r="JL113" s="43">
        <v>0</v>
      </c>
      <c r="JM113" s="46"/>
      <c r="JN113" s="45">
        <v>138</v>
      </c>
      <c r="JO113" s="48">
        <v>140</v>
      </c>
      <c r="JP113" s="43">
        <v>-2</v>
      </c>
      <c r="JQ113" s="49"/>
      <c r="JT113">
        <v>102</v>
      </c>
      <c r="JU113">
        <v>104</v>
      </c>
      <c r="JV113" s="43">
        <v>-2</v>
      </c>
      <c r="JW113" s="49"/>
      <c r="JX113">
        <v>78</v>
      </c>
      <c r="JY113">
        <v>80</v>
      </c>
      <c r="KB113" s="43">
        <v>-2</v>
      </c>
      <c r="KC113" s="49"/>
      <c r="KF113">
        <v>102</v>
      </c>
      <c r="KG113">
        <v>100</v>
      </c>
      <c r="KH113" s="43">
        <v>2</v>
      </c>
      <c r="KI113" s="49"/>
      <c r="KN113" s="43">
        <v>0</v>
      </c>
      <c r="KO113" s="49"/>
      <c r="KP113" s="45">
        <v>78</v>
      </c>
      <c r="KQ113">
        <v>80</v>
      </c>
      <c r="KR113">
        <v>90</v>
      </c>
      <c r="KS113">
        <v>90</v>
      </c>
      <c r="KT113">
        <v>30</v>
      </c>
      <c r="KU113">
        <v>80</v>
      </c>
      <c r="KV113" s="42">
        <v>-52</v>
      </c>
      <c r="KW113" s="49">
        <v>21.32</v>
      </c>
      <c r="KX113" s="48">
        <v>0</v>
      </c>
      <c r="KY113" s="48">
        <v>0</v>
      </c>
      <c r="KZ113" s="48">
        <v>72</v>
      </c>
      <c r="LA113" s="48">
        <v>70</v>
      </c>
      <c r="LB113" s="43">
        <v>2</v>
      </c>
      <c r="LC113" s="49"/>
      <c r="LD113" s="48">
        <v>0</v>
      </c>
      <c r="LE113" s="48">
        <v>0</v>
      </c>
      <c r="LF113" s="48">
        <v>108</v>
      </c>
      <c r="LG113" s="48">
        <v>110</v>
      </c>
      <c r="LH113" s="43">
        <v>-2</v>
      </c>
      <c r="LI113" s="49"/>
      <c r="LJ113" s="50">
        <v>120</v>
      </c>
      <c r="LK113" s="48">
        <v>120</v>
      </c>
      <c r="LL113" s="43">
        <v>0</v>
      </c>
      <c r="LM113" s="49"/>
      <c r="LN113" s="50">
        <v>132</v>
      </c>
      <c r="LO113" s="48">
        <v>130</v>
      </c>
      <c r="LP113" s="48">
        <v>0</v>
      </c>
      <c r="LQ113" s="48">
        <v>0</v>
      </c>
      <c r="LR113" s="48">
        <v>0</v>
      </c>
      <c r="LS113" s="43">
        <v>2</v>
      </c>
      <c r="LT113" s="49"/>
      <c r="LU113" s="50">
        <v>60</v>
      </c>
      <c r="LV113" s="48">
        <v>60</v>
      </c>
      <c r="LW113" s="48">
        <v>42</v>
      </c>
      <c r="LX113" s="48">
        <v>40</v>
      </c>
      <c r="LY113" s="43">
        <v>2</v>
      </c>
      <c r="LZ113" s="49"/>
      <c r="MA113" s="50">
        <v>48</v>
      </c>
      <c r="MB113" s="48">
        <v>50</v>
      </c>
      <c r="MC113" s="43">
        <v>-2</v>
      </c>
      <c r="MD113" s="49"/>
      <c r="ME113" s="50">
        <v>0</v>
      </c>
      <c r="MF113" s="48">
        <v>0</v>
      </c>
      <c r="MG113" s="48">
        <v>48</v>
      </c>
      <c r="MH113" s="48">
        <v>50</v>
      </c>
      <c r="MI113" s="43">
        <v>-2</v>
      </c>
      <c r="MJ113" s="49"/>
      <c r="MK113" s="50">
        <v>24</v>
      </c>
      <c r="ML113" s="48">
        <v>24</v>
      </c>
      <c r="MM113" s="43">
        <v>0</v>
      </c>
      <c r="MN113" s="49"/>
      <c r="MO113" s="50">
        <v>0</v>
      </c>
      <c r="MP113" s="48">
        <v>0</v>
      </c>
      <c r="MQ113" s="48">
        <v>60</v>
      </c>
      <c r="MR113" s="48">
        <v>62</v>
      </c>
      <c r="MS113" s="43">
        <v>-2</v>
      </c>
      <c r="MT113" s="49"/>
      <c r="MU113" s="48">
        <v>0</v>
      </c>
      <c r="MV113" s="46"/>
      <c r="MW113" s="48">
        <v>0</v>
      </c>
      <c r="MX113" s="48">
        <v>0</v>
      </c>
      <c r="MY113" s="43">
        <v>0</v>
      </c>
      <c r="MZ113" s="49"/>
      <c r="NA113" s="50">
        <v>0</v>
      </c>
      <c r="NB113" s="48">
        <v>0</v>
      </c>
      <c r="NC113" s="48">
        <v>0</v>
      </c>
      <c r="ND113" s="48">
        <v>0</v>
      </c>
      <c r="NE113" s="43">
        <v>0</v>
      </c>
      <c r="NF113" s="49"/>
      <c r="NG113" s="50">
        <v>0</v>
      </c>
      <c r="NH113" s="48">
        <v>0</v>
      </c>
      <c r="NI113" s="48">
        <v>108</v>
      </c>
      <c r="NJ113" s="48">
        <v>107</v>
      </c>
      <c r="NK113" s="43">
        <v>1</v>
      </c>
      <c r="NL113" s="49"/>
      <c r="NM113" s="50">
        <v>0</v>
      </c>
      <c r="NN113" s="48">
        <v>0</v>
      </c>
      <c r="NO113" s="48">
        <v>0</v>
      </c>
      <c r="NP113" s="48">
        <v>0</v>
      </c>
      <c r="NQ113" s="43">
        <v>0</v>
      </c>
      <c r="NR113" s="49"/>
      <c r="NS113" s="50">
        <v>0</v>
      </c>
      <c r="NT113" s="48">
        <v>0</v>
      </c>
      <c r="NU113" s="48">
        <v>0</v>
      </c>
      <c r="NV113" s="48">
        <v>0</v>
      </c>
      <c r="NW113" s="43">
        <v>0</v>
      </c>
      <c r="NX113" s="49"/>
      <c r="NY113" s="50">
        <v>0</v>
      </c>
      <c r="NZ113" s="48">
        <v>0</v>
      </c>
      <c r="OA113" s="32">
        <v>48</v>
      </c>
      <c r="OB113" s="48">
        <v>0</v>
      </c>
      <c r="OC113" s="43">
        <v>48</v>
      </c>
      <c r="OD113" s="49"/>
      <c r="OE113" s="50">
        <v>90</v>
      </c>
      <c r="OF113" s="48">
        <v>90</v>
      </c>
      <c r="OG113" s="43">
        <v>0</v>
      </c>
      <c r="OH113" s="49"/>
      <c r="OI113" s="50">
        <v>30</v>
      </c>
      <c r="OJ113" s="48">
        <v>30</v>
      </c>
      <c r="OK113" s="43">
        <v>0</v>
      </c>
      <c r="OL113" s="49"/>
      <c r="OM113" s="50">
        <v>0</v>
      </c>
      <c r="ON113" s="48">
        <v>0</v>
      </c>
      <c r="OO113" s="48">
        <v>30</v>
      </c>
      <c r="OP113" s="48">
        <v>30</v>
      </c>
      <c r="OQ113" s="43">
        <v>0</v>
      </c>
      <c r="OR113" s="49"/>
      <c r="OS113" s="50">
        <v>120</v>
      </c>
      <c r="OT113" s="48">
        <v>120</v>
      </c>
      <c r="OU113" s="43">
        <v>0</v>
      </c>
      <c r="OV113" s="49"/>
      <c r="OW113" s="50">
        <v>0</v>
      </c>
      <c r="OX113" s="48">
        <v>0</v>
      </c>
      <c r="OY113" s="48">
        <v>0</v>
      </c>
      <c r="OZ113" s="48">
        <v>0</v>
      </c>
      <c r="PA113" s="43">
        <v>0</v>
      </c>
      <c r="PB113" s="49"/>
      <c r="PC113" s="50">
        <v>42</v>
      </c>
      <c r="PD113" s="48">
        <v>40</v>
      </c>
      <c r="PE113" s="43">
        <v>2</v>
      </c>
      <c r="PF113" s="49"/>
      <c r="PG113" s="50"/>
      <c r="PL113" s="49"/>
      <c r="PM113" s="47"/>
      <c r="PN113" s="48"/>
      <c r="PP113" s="48"/>
      <c r="PR113" s="49"/>
      <c r="PS113" s="47"/>
      <c r="PX113" s="46"/>
      <c r="PY113" s="47"/>
      <c r="QB113" s="46"/>
      <c r="QC113" s="47"/>
      <c r="QH113" s="46"/>
      <c r="QI113" s="47"/>
      <c r="QN113" s="46"/>
      <c r="QO113" s="47"/>
      <c r="QT113" s="46"/>
      <c r="QU113" s="47"/>
      <c r="QX113" s="46"/>
      <c r="QY113" s="47"/>
      <c r="RD113" s="46"/>
    </row>
    <row r="114" spans="1:472" x14ac:dyDescent="0.25">
      <c r="A114" s="43" t="s">
        <v>402</v>
      </c>
      <c r="B114" s="44">
        <v>0.28000000000000003</v>
      </c>
      <c r="I114" s="47"/>
      <c r="J114" s="51"/>
      <c r="K114" s="51"/>
      <c r="L114" s="51"/>
      <c r="M114" s="51">
        <f t="shared" si="12"/>
        <v>0</v>
      </c>
      <c r="N114" s="46"/>
      <c r="O114" s="47"/>
      <c r="P114" s="51"/>
      <c r="Q114" s="51"/>
      <c r="R114" s="51"/>
      <c r="S114" s="51">
        <f t="shared" si="13"/>
        <v>0</v>
      </c>
      <c r="T114" s="46"/>
      <c r="U114" s="47"/>
      <c r="V114" s="51"/>
      <c r="W114" s="51"/>
      <c r="X114" s="51"/>
      <c r="Y114" s="51">
        <f t="shared" si="14"/>
        <v>0</v>
      </c>
      <c r="Z114" s="46"/>
      <c r="AA114" s="51"/>
      <c r="AE114" s="43">
        <v>0</v>
      </c>
      <c r="AF114" s="46"/>
      <c r="AG114" s="47"/>
      <c r="AK114" s="43">
        <v>0</v>
      </c>
      <c r="AL114" s="46"/>
      <c r="AQ114" s="43">
        <v>0</v>
      </c>
      <c r="AR114" s="46"/>
      <c r="AW114" s="43">
        <v>0</v>
      </c>
      <c r="AX114" s="46"/>
      <c r="AY114" s="47"/>
      <c r="BC114" s="43">
        <v>0</v>
      </c>
      <c r="BD114" s="46"/>
      <c r="BE114" s="47"/>
      <c r="BI114" s="43">
        <v>0</v>
      </c>
      <c r="BJ114" s="46"/>
      <c r="BP114" s="43">
        <v>0</v>
      </c>
      <c r="BQ114" s="46"/>
      <c r="BT114" s="43">
        <v>0</v>
      </c>
      <c r="BU114" s="46"/>
      <c r="BV114" s="47"/>
      <c r="BZ114" s="43">
        <v>0</v>
      </c>
      <c r="CA114" s="46"/>
      <c r="CF114" s="43">
        <v>0</v>
      </c>
      <c r="CG114" s="46"/>
      <c r="CL114" s="43">
        <v>0</v>
      </c>
      <c r="CM114" s="46"/>
      <c r="CN114" s="47"/>
      <c r="CR114" s="43">
        <v>0</v>
      </c>
      <c r="CS114" s="46"/>
      <c r="CX114" s="43">
        <v>0</v>
      </c>
      <c r="CY114" s="46"/>
      <c r="CZ114" s="47"/>
      <c r="DD114" s="43">
        <v>0</v>
      </c>
      <c r="DE114" s="46"/>
      <c r="DF114" s="47"/>
      <c r="DL114" s="43">
        <v>0</v>
      </c>
      <c r="DM114" s="46"/>
      <c r="DN114" s="47"/>
      <c r="DR114" s="43">
        <v>0</v>
      </c>
      <c r="DS114" s="46"/>
      <c r="DZ114" s="43">
        <v>0</v>
      </c>
      <c r="EA114" s="46"/>
      <c r="EB114" s="47"/>
      <c r="EF114" s="43">
        <v>0</v>
      </c>
      <c r="EG114" s="46"/>
      <c r="EH114" s="47"/>
      <c r="EL114" s="43">
        <v>0</v>
      </c>
      <c r="EM114" s="46"/>
      <c r="EN114" s="47"/>
      <c r="ER114" s="43">
        <v>0</v>
      </c>
      <c r="ES114" s="46"/>
      <c r="EZ114" s="43">
        <v>0</v>
      </c>
      <c r="FA114" s="46"/>
      <c r="FG114" s="43">
        <v>0</v>
      </c>
      <c r="FH114" s="46"/>
      <c r="FI114" s="47"/>
      <c r="FL114" s="43">
        <v>0</v>
      </c>
      <c r="FM114" s="46"/>
      <c r="FN114" s="47"/>
      <c r="FQ114" s="43">
        <v>0</v>
      </c>
      <c r="FR114" s="46"/>
      <c r="FW114" s="43">
        <v>0</v>
      </c>
      <c r="FX114" s="46"/>
      <c r="FY114" s="47"/>
      <c r="GC114">
        <v>30</v>
      </c>
      <c r="GD114" s="43">
        <v>2</v>
      </c>
      <c r="GE114" s="46"/>
      <c r="GG114" s="38">
        <v>80</v>
      </c>
      <c r="GI114" s="38">
        <v>90</v>
      </c>
      <c r="GJ114" s="43">
        <v>-2</v>
      </c>
      <c r="GK114" s="46"/>
      <c r="GL114" s="47"/>
      <c r="GN114">
        <v>232</v>
      </c>
      <c r="GO114">
        <v>230</v>
      </c>
      <c r="GP114" s="43">
        <v>2</v>
      </c>
      <c r="GQ114" s="46"/>
      <c r="GV114" s="43">
        <v>0</v>
      </c>
      <c r="GW114" s="46"/>
      <c r="GX114" s="45">
        <v>136</v>
      </c>
      <c r="GY114" s="48">
        <v>140</v>
      </c>
      <c r="GZ114" s="43">
        <v>-4</v>
      </c>
      <c r="HA114" s="46"/>
      <c r="HB114" s="47"/>
      <c r="HD114">
        <v>176</v>
      </c>
      <c r="HE114">
        <v>180</v>
      </c>
      <c r="HF114" s="43">
        <v>-4</v>
      </c>
      <c r="HG114" s="46"/>
      <c r="HH114" s="45">
        <v>152</v>
      </c>
      <c r="HI114">
        <v>150</v>
      </c>
      <c r="HJ114" s="43">
        <v>2</v>
      </c>
      <c r="HK114" s="46"/>
      <c r="HL114" s="47"/>
      <c r="HN114">
        <v>32</v>
      </c>
      <c r="HO114">
        <v>32</v>
      </c>
      <c r="HP114" s="43">
        <v>0</v>
      </c>
      <c r="HQ114" s="46"/>
      <c r="HV114">
        <v>176</v>
      </c>
      <c r="HW114">
        <v>180</v>
      </c>
      <c r="HX114" s="43">
        <v>-4</v>
      </c>
      <c r="HY114" s="46"/>
      <c r="HZ114" s="45">
        <v>96</v>
      </c>
      <c r="IA114">
        <v>100</v>
      </c>
      <c r="IB114">
        <v>48</v>
      </c>
      <c r="IC114">
        <v>50</v>
      </c>
      <c r="ID114" s="43">
        <v>-6</v>
      </c>
      <c r="IE114" s="46"/>
      <c r="IH114">
        <v>152</v>
      </c>
      <c r="II114">
        <v>150</v>
      </c>
      <c r="IJ114" s="43">
        <v>2</v>
      </c>
      <c r="IK114" s="49"/>
      <c r="IL114">
        <v>96</v>
      </c>
      <c r="IM114">
        <v>100</v>
      </c>
      <c r="IN114">
        <v>128</v>
      </c>
      <c r="IO114">
        <v>130</v>
      </c>
      <c r="IP114" s="43">
        <v>-6</v>
      </c>
      <c r="IQ114" s="49"/>
      <c r="IR114">
        <v>80</v>
      </c>
      <c r="IS114">
        <v>80</v>
      </c>
      <c r="IT114">
        <v>64</v>
      </c>
      <c r="IU114">
        <v>62</v>
      </c>
      <c r="IV114" s="43">
        <v>2</v>
      </c>
      <c r="IW114" s="49"/>
      <c r="IX114">
        <v>96</v>
      </c>
      <c r="IY114">
        <v>100</v>
      </c>
      <c r="IZ114">
        <v>72</v>
      </c>
      <c r="JA114">
        <v>70</v>
      </c>
      <c r="JB114" s="43">
        <v>-2</v>
      </c>
      <c r="JC114" s="46"/>
      <c r="JD114">
        <v>16</v>
      </c>
      <c r="JE114">
        <v>20</v>
      </c>
      <c r="JF114" s="43">
        <v>-4</v>
      </c>
      <c r="JG114" s="49"/>
      <c r="JJ114">
        <v>24</v>
      </c>
      <c r="JK114">
        <v>28</v>
      </c>
      <c r="JL114" s="43">
        <v>-4</v>
      </c>
      <c r="JM114" s="46"/>
      <c r="JN114" s="45">
        <v>296</v>
      </c>
      <c r="JO114" s="48">
        <v>300</v>
      </c>
      <c r="JP114" s="43">
        <v>-4</v>
      </c>
      <c r="JQ114" s="49"/>
      <c r="JV114" s="43">
        <v>0</v>
      </c>
      <c r="JW114" s="49"/>
      <c r="KB114" s="43">
        <v>0</v>
      </c>
      <c r="KC114" s="49"/>
      <c r="KH114" s="43">
        <v>0</v>
      </c>
      <c r="KI114" s="49"/>
      <c r="KJ114">
        <v>96</v>
      </c>
      <c r="KK114">
        <v>100</v>
      </c>
      <c r="KL114">
        <v>352</v>
      </c>
      <c r="KM114">
        <v>350</v>
      </c>
      <c r="KN114" s="43">
        <v>-2</v>
      </c>
      <c r="KO114" s="49"/>
      <c r="KP114" s="45">
        <v>40</v>
      </c>
      <c r="KQ114">
        <v>40</v>
      </c>
      <c r="KR114">
        <v>48</v>
      </c>
      <c r="KS114">
        <v>50</v>
      </c>
      <c r="KT114">
        <v>48</v>
      </c>
      <c r="KU114">
        <v>50</v>
      </c>
      <c r="KV114" s="43">
        <v>-4</v>
      </c>
      <c r="KW114" s="49"/>
      <c r="KX114" s="48">
        <v>0</v>
      </c>
      <c r="KY114" s="48">
        <v>0</v>
      </c>
      <c r="KZ114" s="48">
        <v>168</v>
      </c>
      <c r="LA114" s="48">
        <v>170</v>
      </c>
      <c r="LB114" s="43">
        <v>-2</v>
      </c>
      <c r="LC114" s="49"/>
      <c r="LD114" s="48">
        <v>0</v>
      </c>
      <c r="LE114" s="48">
        <v>0</v>
      </c>
      <c r="LF114" s="48">
        <v>72</v>
      </c>
      <c r="LG114" s="48">
        <v>70</v>
      </c>
      <c r="LH114" s="43">
        <v>2</v>
      </c>
      <c r="LI114" s="49"/>
      <c r="LJ114" s="50">
        <v>0</v>
      </c>
      <c r="LK114" s="48">
        <v>0</v>
      </c>
      <c r="LL114" s="43">
        <v>0</v>
      </c>
      <c r="LM114" s="49"/>
      <c r="LN114" s="50">
        <v>0</v>
      </c>
      <c r="LO114" s="48">
        <v>0</v>
      </c>
      <c r="LP114" s="48">
        <v>0</v>
      </c>
      <c r="LQ114" s="48">
        <v>0</v>
      </c>
      <c r="LR114" s="48">
        <v>0</v>
      </c>
      <c r="LS114" s="43">
        <v>0</v>
      </c>
      <c r="LT114" s="49"/>
      <c r="LU114" s="50">
        <v>0</v>
      </c>
      <c r="LV114" s="48">
        <v>0</v>
      </c>
      <c r="LW114" s="48">
        <v>0</v>
      </c>
      <c r="LX114" s="48">
        <v>0</v>
      </c>
      <c r="LY114" s="43">
        <v>0</v>
      </c>
      <c r="LZ114" s="49"/>
      <c r="MA114" s="50">
        <v>152</v>
      </c>
      <c r="MB114" s="48">
        <v>150</v>
      </c>
      <c r="MC114" s="43">
        <v>2</v>
      </c>
      <c r="MD114" s="49"/>
      <c r="ME114" s="50">
        <v>0</v>
      </c>
      <c r="MF114" s="48">
        <v>0</v>
      </c>
      <c r="MG114" s="48">
        <v>0</v>
      </c>
      <c r="MH114" s="48">
        <v>0</v>
      </c>
      <c r="MI114" s="43">
        <v>0</v>
      </c>
      <c r="MJ114" s="49"/>
      <c r="MK114" s="50">
        <v>3000</v>
      </c>
      <c r="ML114" s="48">
        <v>3000</v>
      </c>
      <c r="MM114" s="43">
        <v>0</v>
      </c>
      <c r="MN114" s="49"/>
      <c r="MO114" s="50">
        <v>0</v>
      </c>
      <c r="MP114" s="48">
        <v>0</v>
      </c>
      <c r="MQ114" s="48">
        <v>0</v>
      </c>
      <c r="MR114" s="48">
        <v>0</v>
      </c>
      <c r="MS114" s="43">
        <v>0</v>
      </c>
      <c r="MT114" s="49"/>
      <c r="MU114" s="48">
        <v>0</v>
      </c>
      <c r="MV114" s="46"/>
      <c r="MW114" s="48">
        <v>0</v>
      </c>
      <c r="MX114" s="48">
        <v>0</v>
      </c>
      <c r="MY114" s="43">
        <v>0</v>
      </c>
      <c r="MZ114" s="49"/>
      <c r="NA114" s="50">
        <v>0</v>
      </c>
      <c r="NB114" s="48">
        <v>0</v>
      </c>
      <c r="NC114" s="48">
        <v>0</v>
      </c>
      <c r="ND114" s="48">
        <v>0</v>
      </c>
      <c r="NE114" s="43">
        <v>0</v>
      </c>
      <c r="NF114" s="49"/>
      <c r="NG114" s="50">
        <v>0</v>
      </c>
      <c r="NH114" s="48">
        <v>0</v>
      </c>
      <c r="NI114" s="48">
        <v>0</v>
      </c>
      <c r="NJ114" s="48">
        <v>0</v>
      </c>
      <c r="NK114" s="43">
        <v>0</v>
      </c>
      <c r="NL114" s="49"/>
      <c r="NM114" s="50">
        <v>96</v>
      </c>
      <c r="NN114" s="48">
        <v>100</v>
      </c>
      <c r="NO114" s="48">
        <v>128</v>
      </c>
      <c r="NP114" s="48">
        <v>130</v>
      </c>
      <c r="NQ114" s="43">
        <v>-6</v>
      </c>
      <c r="NR114" s="49"/>
      <c r="NS114" s="50">
        <v>0</v>
      </c>
      <c r="NT114" s="48">
        <v>0</v>
      </c>
      <c r="NU114" s="48">
        <v>40</v>
      </c>
      <c r="NV114" s="48">
        <v>40</v>
      </c>
      <c r="NW114" s="43">
        <v>0</v>
      </c>
      <c r="NX114" s="49"/>
      <c r="NY114" s="50">
        <v>200</v>
      </c>
      <c r="NZ114" s="48">
        <v>200</v>
      </c>
      <c r="OA114" s="48">
        <v>248</v>
      </c>
      <c r="OB114" s="48">
        <v>250</v>
      </c>
      <c r="OC114" s="43">
        <v>-2</v>
      </c>
      <c r="OD114" s="49"/>
      <c r="OE114" s="50">
        <v>400</v>
      </c>
      <c r="OF114" s="48">
        <v>400</v>
      </c>
      <c r="OG114" s="43">
        <v>0</v>
      </c>
      <c r="OH114" s="49"/>
      <c r="OI114" s="50">
        <v>0</v>
      </c>
      <c r="OJ114" s="48">
        <v>0</v>
      </c>
      <c r="OK114" s="43">
        <v>0</v>
      </c>
      <c r="OL114" s="49"/>
      <c r="OM114" s="50">
        <v>0</v>
      </c>
      <c r="ON114" s="48">
        <v>0</v>
      </c>
      <c r="OO114" s="48">
        <v>56</v>
      </c>
      <c r="OP114" s="48">
        <v>60</v>
      </c>
      <c r="OQ114" s="43">
        <v>-4</v>
      </c>
      <c r="OR114" s="49"/>
      <c r="OS114" s="50">
        <v>0</v>
      </c>
      <c r="OT114" s="48">
        <v>0</v>
      </c>
      <c r="OU114" s="43">
        <v>0</v>
      </c>
      <c r="OV114" s="49"/>
      <c r="OW114" s="50">
        <v>0</v>
      </c>
      <c r="OX114" s="48">
        <v>0</v>
      </c>
      <c r="OY114" s="48">
        <v>0</v>
      </c>
      <c r="OZ114" s="48">
        <v>0</v>
      </c>
      <c r="PA114" s="43">
        <v>0</v>
      </c>
      <c r="PB114" s="49"/>
      <c r="PC114" s="50">
        <v>0</v>
      </c>
      <c r="PD114" s="48">
        <v>0</v>
      </c>
      <c r="PE114" s="43">
        <v>0</v>
      </c>
      <c r="PF114" s="49"/>
      <c r="PG114" s="50">
        <v>0</v>
      </c>
      <c r="PH114" s="48">
        <v>0</v>
      </c>
      <c r="PI114" s="48">
        <v>0</v>
      </c>
      <c r="PJ114" s="48">
        <v>0</v>
      </c>
      <c r="PK114" s="43">
        <v>0</v>
      </c>
      <c r="PL114" s="49"/>
      <c r="PM114" s="47">
        <v>0</v>
      </c>
      <c r="PN114" s="48">
        <v>0</v>
      </c>
      <c r="PO114" s="48">
        <v>0</v>
      </c>
      <c r="PP114" s="48">
        <v>0</v>
      </c>
      <c r="PQ114" s="43">
        <v>0</v>
      </c>
      <c r="PR114" s="49"/>
      <c r="PS114" s="47">
        <v>0</v>
      </c>
      <c r="PT114" s="43">
        <v>0</v>
      </c>
      <c r="PU114" s="43">
        <v>0</v>
      </c>
      <c r="PV114" s="43">
        <v>0</v>
      </c>
      <c r="PW114" s="43">
        <v>0</v>
      </c>
      <c r="PX114" s="46"/>
      <c r="PY114" s="47">
        <v>0</v>
      </c>
      <c r="PZ114" s="43">
        <v>0</v>
      </c>
      <c r="QA114" s="43">
        <v>0</v>
      </c>
      <c r="QB114" s="46"/>
      <c r="QC114" s="47">
        <v>0</v>
      </c>
      <c r="QD114" s="43">
        <v>0</v>
      </c>
      <c r="QE114" s="43">
        <v>0</v>
      </c>
      <c r="QF114" s="43">
        <v>0</v>
      </c>
      <c r="QG114" s="43">
        <v>0</v>
      </c>
      <c r="QH114" s="46"/>
      <c r="QI114" s="47">
        <v>0</v>
      </c>
      <c r="QJ114" s="43">
        <v>0</v>
      </c>
      <c r="QK114" s="43">
        <v>0</v>
      </c>
      <c r="QL114" s="43">
        <v>0</v>
      </c>
      <c r="QM114" s="43">
        <v>0</v>
      </c>
      <c r="QN114" s="46"/>
      <c r="QO114" s="47">
        <v>0</v>
      </c>
      <c r="QP114" s="43">
        <v>0</v>
      </c>
      <c r="QQ114" s="43">
        <v>400</v>
      </c>
      <c r="QR114" s="43">
        <v>0</v>
      </c>
      <c r="QS114" s="43">
        <v>400</v>
      </c>
      <c r="QT114" s="46"/>
      <c r="QU114" s="8">
        <v>72</v>
      </c>
      <c r="QV114" s="43">
        <v>0</v>
      </c>
      <c r="QW114" s="43">
        <v>0</v>
      </c>
      <c r="QX114" s="46"/>
      <c r="QY114" s="47">
        <v>0</v>
      </c>
      <c r="QZ114" s="43">
        <v>0</v>
      </c>
      <c r="RA114" s="43">
        <v>0</v>
      </c>
      <c r="RB114" s="43">
        <v>0</v>
      </c>
      <c r="RC114" s="43">
        <v>0</v>
      </c>
      <c r="RD114" s="46"/>
    </row>
    <row r="115" spans="1:472" x14ac:dyDescent="0.25">
      <c r="A115" s="43" t="s">
        <v>403</v>
      </c>
      <c r="B115" s="44">
        <v>0.35</v>
      </c>
      <c r="I115" s="47"/>
      <c r="J115" s="51"/>
      <c r="K115" s="51"/>
      <c r="L115" s="51"/>
      <c r="M115" s="51">
        <f t="shared" si="12"/>
        <v>0</v>
      </c>
      <c r="N115" s="46"/>
      <c r="O115" s="47"/>
      <c r="P115" s="51"/>
      <c r="Q115" s="51"/>
      <c r="R115" s="51"/>
      <c r="S115" s="51">
        <f t="shared" si="13"/>
        <v>0</v>
      </c>
      <c r="T115" s="46"/>
      <c r="U115" s="47"/>
      <c r="V115" s="51"/>
      <c r="W115" s="51"/>
      <c r="X115" s="51"/>
      <c r="Y115" s="51">
        <f t="shared" si="14"/>
        <v>0</v>
      </c>
      <c r="Z115" s="46"/>
      <c r="AA115" s="51"/>
      <c r="AE115" s="43">
        <v>0</v>
      </c>
      <c r="AF115" s="46"/>
      <c r="AG115" s="47"/>
      <c r="AK115" s="43">
        <v>0</v>
      </c>
      <c r="AL115" s="46"/>
      <c r="AQ115" s="43">
        <v>0</v>
      </c>
      <c r="AR115" s="46"/>
      <c r="AW115" s="43">
        <v>0</v>
      </c>
      <c r="AX115" s="46"/>
      <c r="AY115" s="47"/>
      <c r="BC115" s="43">
        <v>0</v>
      </c>
      <c r="BD115" s="46"/>
      <c r="BE115" s="47"/>
      <c r="BI115" s="43">
        <v>0</v>
      </c>
      <c r="BJ115" s="46"/>
      <c r="BP115" s="43">
        <v>0</v>
      </c>
      <c r="BQ115" s="46"/>
      <c r="BT115" s="43">
        <v>0</v>
      </c>
      <c r="BU115" s="46"/>
      <c r="BV115" s="47"/>
      <c r="BZ115" s="43">
        <v>0</v>
      </c>
      <c r="CA115" s="46"/>
      <c r="CF115" s="43">
        <v>0</v>
      </c>
      <c r="CG115" s="46"/>
      <c r="CL115" s="43">
        <v>0</v>
      </c>
      <c r="CM115" s="46"/>
      <c r="CN115" s="47"/>
      <c r="CR115" s="43">
        <v>0</v>
      </c>
      <c r="CS115" s="46"/>
      <c r="CX115" s="43">
        <v>0</v>
      </c>
      <c r="CY115" s="46"/>
      <c r="CZ115" s="47"/>
      <c r="DD115" s="43">
        <v>0</v>
      </c>
      <c r="DE115" s="46"/>
      <c r="DF115" s="47"/>
      <c r="DL115" s="43">
        <v>0</v>
      </c>
      <c r="DM115" s="46"/>
      <c r="DN115" s="47"/>
      <c r="DR115" s="43">
        <v>0</v>
      </c>
      <c r="DS115" s="46"/>
      <c r="DZ115" s="43">
        <v>0</v>
      </c>
      <c r="EA115" s="46"/>
      <c r="EB115" s="47"/>
      <c r="EF115" s="43">
        <v>0</v>
      </c>
      <c r="EG115" s="46"/>
      <c r="EH115" s="47"/>
      <c r="EL115" s="43">
        <v>0</v>
      </c>
      <c r="EM115" s="46"/>
      <c r="EN115" s="47"/>
      <c r="ER115" s="43">
        <v>0</v>
      </c>
      <c r="ES115" s="46"/>
      <c r="EZ115" s="43">
        <v>0</v>
      </c>
      <c r="FA115" s="46"/>
      <c r="FG115" s="43">
        <v>0</v>
      </c>
      <c r="FH115" s="46"/>
      <c r="FI115" s="47"/>
      <c r="FL115" s="43">
        <v>0</v>
      </c>
      <c r="FM115" s="46"/>
      <c r="FN115" s="47"/>
      <c r="FQ115" s="43">
        <v>0</v>
      </c>
      <c r="FR115" s="46"/>
      <c r="FW115" s="43">
        <v>0</v>
      </c>
      <c r="FX115" s="46"/>
      <c r="FY115" s="47"/>
      <c r="GD115" s="43">
        <v>0</v>
      </c>
      <c r="GE115" s="46"/>
      <c r="GJ115" s="43">
        <v>0</v>
      </c>
      <c r="GK115" s="46"/>
      <c r="GL115" s="47"/>
      <c r="GP115" s="43">
        <v>0</v>
      </c>
      <c r="GQ115" s="46"/>
      <c r="GV115" s="43">
        <v>0</v>
      </c>
      <c r="GW115" s="46"/>
      <c r="GX115" s="47"/>
      <c r="GZ115" s="43">
        <v>0</v>
      </c>
      <c r="HA115" s="46"/>
      <c r="HB115" s="47"/>
      <c r="HF115" s="43">
        <v>0</v>
      </c>
      <c r="HG115" s="46"/>
      <c r="HH115" s="47"/>
      <c r="HJ115" s="43">
        <v>0</v>
      </c>
      <c r="HK115" s="46"/>
      <c r="HL115" s="47"/>
      <c r="HP115" s="43">
        <v>0</v>
      </c>
      <c r="HQ115" s="46"/>
      <c r="HX115" s="43">
        <v>0</v>
      </c>
      <c r="HY115" s="46"/>
      <c r="HZ115" s="47"/>
      <c r="ID115" s="43">
        <v>0</v>
      </c>
      <c r="IE115" s="46"/>
      <c r="IJ115" s="43">
        <v>0</v>
      </c>
      <c r="IK115" s="49"/>
      <c r="IP115" s="43">
        <v>0</v>
      </c>
      <c r="IQ115" s="49"/>
      <c r="IV115" s="43">
        <v>0</v>
      </c>
      <c r="IW115" s="49"/>
      <c r="JB115" s="43">
        <v>0</v>
      </c>
      <c r="JC115" s="46"/>
      <c r="JF115" s="43">
        <v>0</v>
      </c>
      <c r="JG115" s="49"/>
      <c r="JL115" s="43">
        <v>0</v>
      </c>
      <c r="JM115" s="46"/>
      <c r="JN115" s="50"/>
      <c r="JP115" s="43">
        <v>0</v>
      </c>
      <c r="JQ115" s="49"/>
      <c r="JV115" s="43">
        <v>0</v>
      </c>
      <c r="JW115" s="49"/>
      <c r="KB115" s="43">
        <v>0</v>
      </c>
      <c r="KC115" s="49"/>
      <c r="KH115" s="43">
        <v>0</v>
      </c>
      <c r="KI115" s="49"/>
      <c r="KN115" s="43">
        <v>0</v>
      </c>
      <c r="KO115" s="49"/>
      <c r="KP115" s="50"/>
      <c r="KV115" s="43">
        <v>0</v>
      </c>
      <c r="KW115" s="49"/>
      <c r="KX115" s="48">
        <v>0</v>
      </c>
      <c r="KY115" s="48">
        <v>0</v>
      </c>
      <c r="KZ115" s="48">
        <v>0</v>
      </c>
      <c r="LA115" s="48">
        <v>0</v>
      </c>
      <c r="LB115" s="43">
        <v>0</v>
      </c>
      <c r="LC115" s="49"/>
      <c r="LD115" s="48">
        <v>0</v>
      </c>
      <c r="LE115" s="48">
        <v>0</v>
      </c>
      <c r="LF115" s="48">
        <v>0</v>
      </c>
      <c r="LG115" s="48">
        <v>0</v>
      </c>
      <c r="LH115" s="43">
        <v>0</v>
      </c>
      <c r="LI115" s="49"/>
      <c r="LJ115" s="50">
        <v>0</v>
      </c>
      <c r="LK115" s="48">
        <v>0</v>
      </c>
      <c r="LL115" s="43">
        <v>0</v>
      </c>
      <c r="LM115" s="49"/>
      <c r="LN115" s="50">
        <v>0</v>
      </c>
      <c r="LO115" s="48">
        <v>0</v>
      </c>
      <c r="LP115" s="48">
        <v>0</v>
      </c>
      <c r="LQ115" s="48">
        <v>0</v>
      </c>
      <c r="LR115" s="48">
        <v>0</v>
      </c>
      <c r="LS115" s="43">
        <v>0</v>
      </c>
      <c r="LT115" s="49"/>
      <c r="LU115" s="50">
        <v>0</v>
      </c>
      <c r="LV115" s="48">
        <v>0</v>
      </c>
      <c r="LW115" s="48">
        <v>0</v>
      </c>
      <c r="LX115" s="48">
        <v>0</v>
      </c>
      <c r="LY115" s="43">
        <v>0</v>
      </c>
      <c r="LZ115" s="49"/>
      <c r="MA115" s="50">
        <v>0</v>
      </c>
      <c r="MB115" s="48">
        <v>0</v>
      </c>
      <c r="MC115" s="43">
        <v>0</v>
      </c>
      <c r="MD115" s="49"/>
      <c r="ME115" s="50">
        <v>0</v>
      </c>
      <c r="MF115" s="48">
        <v>0</v>
      </c>
      <c r="MG115" s="48">
        <v>0</v>
      </c>
      <c r="MH115" s="48">
        <v>0</v>
      </c>
      <c r="MI115" s="43">
        <v>0</v>
      </c>
      <c r="MJ115" s="49"/>
      <c r="MK115" s="50">
        <v>0</v>
      </c>
      <c r="ML115" s="48">
        <v>0</v>
      </c>
      <c r="MM115" s="43">
        <v>0</v>
      </c>
      <c r="MN115" s="49"/>
      <c r="MO115" s="50">
        <v>0</v>
      </c>
      <c r="MP115" s="48">
        <v>0</v>
      </c>
      <c r="MQ115" s="48">
        <v>0</v>
      </c>
      <c r="MR115" s="48">
        <v>0</v>
      </c>
      <c r="MS115" s="43">
        <v>0</v>
      </c>
      <c r="MT115" s="49"/>
      <c r="MU115" s="48">
        <v>0</v>
      </c>
      <c r="MV115" s="46"/>
      <c r="MW115" s="48">
        <v>0</v>
      </c>
      <c r="MX115" s="48">
        <v>0</v>
      </c>
      <c r="MY115" s="43">
        <v>0</v>
      </c>
      <c r="MZ115" s="49"/>
      <c r="NA115" s="50">
        <v>0</v>
      </c>
      <c r="NB115" s="48">
        <v>0</v>
      </c>
      <c r="NC115" s="48">
        <v>32</v>
      </c>
      <c r="ND115" s="48">
        <v>30</v>
      </c>
      <c r="NE115" s="43">
        <v>2</v>
      </c>
      <c r="NF115" s="49"/>
      <c r="NG115" s="50">
        <v>0</v>
      </c>
      <c r="NH115" s="48">
        <v>0</v>
      </c>
      <c r="NI115" s="48">
        <v>16</v>
      </c>
      <c r="NJ115" s="48">
        <v>20</v>
      </c>
      <c r="NK115" s="43">
        <v>-4</v>
      </c>
      <c r="NL115" s="49"/>
      <c r="NM115" s="50">
        <v>0</v>
      </c>
      <c r="NN115" s="48">
        <v>0</v>
      </c>
      <c r="NO115" s="48">
        <v>0</v>
      </c>
      <c r="NP115" s="48">
        <v>0</v>
      </c>
      <c r="NQ115" s="43">
        <v>0</v>
      </c>
      <c r="NR115" s="49"/>
      <c r="NS115" s="50">
        <v>0</v>
      </c>
      <c r="NT115" s="48">
        <v>0</v>
      </c>
      <c r="NU115" s="48">
        <v>48</v>
      </c>
      <c r="NV115" s="48">
        <v>50</v>
      </c>
      <c r="NW115" s="43">
        <v>-2</v>
      </c>
      <c r="NX115" s="49"/>
      <c r="NY115" s="50">
        <v>0</v>
      </c>
      <c r="NZ115" s="48">
        <v>0</v>
      </c>
      <c r="OA115" s="48">
        <v>40</v>
      </c>
      <c r="OB115" s="48">
        <v>40</v>
      </c>
      <c r="OC115" s="43">
        <v>0</v>
      </c>
      <c r="OD115" s="49"/>
      <c r="OE115" s="50">
        <v>0</v>
      </c>
      <c r="OF115" s="48">
        <v>0</v>
      </c>
      <c r="OG115" s="43">
        <v>0</v>
      </c>
      <c r="OH115" s="49"/>
      <c r="OI115" s="50">
        <v>0</v>
      </c>
      <c r="OJ115" s="48">
        <v>0</v>
      </c>
      <c r="OK115" s="43">
        <v>0</v>
      </c>
      <c r="OL115" s="49"/>
      <c r="OM115" s="50">
        <v>0</v>
      </c>
      <c r="ON115" s="48">
        <v>0</v>
      </c>
      <c r="OO115" s="48">
        <v>40</v>
      </c>
      <c r="OP115" s="48">
        <v>40</v>
      </c>
      <c r="OQ115" s="43">
        <v>0</v>
      </c>
      <c r="OR115" s="49"/>
      <c r="OS115" s="50">
        <v>0</v>
      </c>
      <c r="OT115" s="48">
        <v>0</v>
      </c>
      <c r="OU115" s="43">
        <v>0</v>
      </c>
      <c r="OV115" s="49"/>
      <c r="OW115" s="50">
        <v>0</v>
      </c>
      <c r="OX115" s="48">
        <v>0</v>
      </c>
      <c r="OY115" s="48">
        <v>0</v>
      </c>
      <c r="OZ115" s="48">
        <v>0</v>
      </c>
      <c r="PA115" s="43">
        <v>0</v>
      </c>
      <c r="PB115" s="49"/>
      <c r="PC115" s="50">
        <v>0</v>
      </c>
      <c r="PD115" s="48">
        <v>0</v>
      </c>
      <c r="PE115" s="43">
        <v>0</v>
      </c>
      <c r="PF115" s="49"/>
      <c r="PG115" s="50">
        <v>0</v>
      </c>
      <c r="PH115" s="48">
        <v>0</v>
      </c>
      <c r="PI115" s="48">
        <v>48</v>
      </c>
      <c r="PJ115" s="48">
        <v>50</v>
      </c>
      <c r="PK115" s="43">
        <v>-2</v>
      </c>
      <c r="PL115" s="49"/>
      <c r="PM115" s="47">
        <v>0</v>
      </c>
      <c r="PN115" s="48">
        <v>0</v>
      </c>
      <c r="PO115" s="48">
        <v>0</v>
      </c>
      <c r="PP115" s="48">
        <v>0</v>
      </c>
      <c r="PQ115" s="43">
        <v>0</v>
      </c>
      <c r="PR115" s="49"/>
      <c r="PS115" s="47">
        <v>64</v>
      </c>
      <c r="PT115" s="43">
        <v>100</v>
      </c>
      <c r="PU115" s="43">
        <v>96</v>
      </c>
      <c r="PV115" s="43">
        <v>100</v>
      </c>
      <c r="PW115" s="42">
        <v>-40</v>
      </c>
      <c r="PX115" s="46">
        <v>14</v>
      </c>
      <c r="PY115" s="47">
        <v>0</v>
      </c>
      <c r="PZ115" s="43">
        <v>0</v>
      </c>
      <c r="QA115" s="43">
        <v>0</v>
      </c>
      <c r="QB115" s="46"/>
      <c r="QC115" s="47">
        <v>0</v>
      </c>
      <c r="QD115" s="43">
        <v>0</v>
      </c>
      <c r="QE115" s="43">
        <v>0</v>
      </c>
      <c r="QF115" s="43">
        <v>0</v>
      </c>
      <c r="QG115" s="43">
        <v>0</v>
      </c>
      <c r="QH115" s="46"/>
      <c r="QI115" s="47">
        <v>0</v>
      </c>
      <c r="QJ115" s="43">
        <v>0</v>
      </c>
      <c r="QK115" s="43">
        <v>0</v>
      </c>
      <c r="QL115" s="43">
        <v>0</v>
      </c>
      <c r="QM115" s="43">
        <v>0</v>
      </c>
      <c r="QN115" s="46"/>
      <c r="QO115" s="47">
        <v>0</v>
      </c>
      <c r="QP115" s="43">
        <v>0</v>
      </c>
      <c r="QQ115" s="43">
        <v>152</v>
      </c>
      <c r="QR115" s="43">
        <v>0</v>
      </c>
      <c r="QS115" s="43">
        <v>152</v>
      </c>
      <c r="QT115" s="46"/>
      <c r="QU115" s="47">
        <v>152</v>
      </c>
      <c r="QV115" s="43">
        <v>150</v>
      </c>
      <c r="QW115" s="43">
        <v>2</v>
      </c>
      <c r="QX115" s="46"/>
      <c r="QY115" s="47">
        <v>0</v>
      </c>
      <c r="QZ115" s="43">
        <v>0</v>
      </c>
      <c r="RA115" s="43">
        <v>248</v>
      </c>
      <c r="RB115" s="43">
        <v>250</v>
      </c>
      <c r="RC115" s="43">
        <v>-2</v>
      </c>
      <c r="RD115" s="46"/>
    </row>
    <row r="116" spans="1:472" x14ac:dyDescent="0.25">
      <c r="A116" s="43" t="s">
        <v>404</v>
      </c>
      <c r="B116" s="44">
        <v>0.4</v>
      </c>
      <c r="I116" s="47"/>
      <c r="J116" s="51"/>
      <c r="K116" s="51"/>
      <c r="L116" s="51"/>
      <c r="M116" s="51">
        <f t="shared" si="12"/>
        <v>0</v>
      </c>
      <c r="N116" s="46"/>
      <c r="O116" s="47"/>
      <c r="P116" s="51"/>
      <c r="Q116" s="51"/>
      <c r="R116" s="51"/>
      <c r="S116" s="51">
        <f t="shared" si="13"/>
        <v>0</v>
      </c>
      <c r="T116" s="46"/>
      <c r="U116" s="47"/>
      <c r="V116" s="51"/>
      <c r="W116" s="51"/>
      <c r="X116" s="51"/>
      <c r="Y116" s="51">
        <f t="shared" si="14"/>
        <v>0</v>
      </c>
      <c r="Z116" s="46"/>
      <c r="AA116" s="51"/>
      <c r="AE116" s="43">
        <v>0</v>
      </c>
      <c r="AF116" s="46"/>
      <c r="AG116" s="47"/>
      <c r="AK116" s="43">
        <v>0</v>
      </c>
      <c r="AL116" s="46"/>
      <c r="AQ116" s="43">
        <v>0</v>
      </c>
      <c r="AR116" s="46"/>
      <c r="AW116" s="43">
        <v>0</v>
      </c>
      <c r="AX116" s="46"/>
      <c r="AY116" s="47"/>
      <c r="BC116" s="43">
        <v>0</v>
      </c>
      <c r="BD116" s="46"/>
      <c r="BE116" s="47"/>
      <c r="BI116" s="43">
        <v>0</v>
      </c>
      <c r="BJ116" s="46"/>
      <c r="BP116" s="43">
        <v>0</v>
      </c>
      <c r="BQ116" s="46"/>
      <c r="BT116" s="43">
        <v>0</v>
      </c>
      <c r="BU116" s="46"/>
      <c r="BV116" s="47"/>
      <c r="BZ116" s="43">
        <v>0</v>
      </c>
      <c r="CA116" s="46"/>
      <c r="CF116" s="43">
        <v>0</v>
      </c>
      <c r="CG116" s="46"/>
      <c r="CL116" s="43">
        <v>0</v>
      </c>
      <c r="CM116" s="46"/>
      <c r="CN116" s="47"/>
      <c r="CR116" s="43">
        <v>0</v>
      </c>
      <c r="CS116" s="46"/>
      <c r="CX116" s="43">
        <v>0</v>
      </c>
      <c r="CY116" s="46"/>
      <c r="CZ116" s="47"/>
      <c r="DD116" s="43">
        <v>0</v>
      </c>
      <c r="DE116" s="46"/>
      <c r="DF116" s="47"/>
      <c r="DL116" s="43">
        <v>0</v>
      </c>
      <c r="DM116" s="46"/>
      <c r="DN116" s="47"/>
      <c r="DR116" s="43">
        <v>0</v>
      </c>
      <c r="DS116" s="46"/>
      <c r="DZ116" s="43">
        <v>0</v>
      </c>
      <c r="EA116" s="46"/>
      <c r="EB116" s="47"/>
      <c r="EF116" s="43">
        <v>0</v>
      </c>
      <c r="EG116" s="46"/>
      <c r="EH116" s="47"/>
      <c r="EL116" s="43">
        <v>0</v>
      </c>
      <c r="EM116" s="46"/>
      <c r="EN116" s="47"/>
      <c r="ER116" s="43">
        <v>0</v>
      </c>
      <c r="ES116" s="46"/>
      <c r="EZ116" s="43">
        <v>0</v>
      </c>
      <c r="FA116" s="46"/>
      <c r="FG116" s="43">
        <v>0</v>
      </c>
      <c r="FH116" s="46"/>
      <c r="FI116" s="47"/>
      <c r="FL116" s="43">
        <v>0</v>
      </c>
      <c r="FM116" s="46"/>
      <c r="FN116" s="47"/>
      <c r="FQ116" s="43">
        <v>0</v>
      </c>
      <c r="FR116" s="46"/>
      <c r="FW116" s="43">
        <v>0</v>
      </c>
      <c r="FX116" s="46"/>
      <c r="FY116" s="47"/>
      <c r="GD116" s="43">
        <v>0</v>
      </c>
      <c r="GE116" s="46"/>
      <c r="GJ116" s="43">
        <v>0</v>
      </c>
      <c r="GK116" s="46"/>
      <c r="GL116" s="47"/>
      <c r="GP116" s="43">
        <v>0</v>
      </c>
      <c r="GQ116" s="46"/>
      <c r="GV116" s="43">
        <v>0</v>
      </c>
      <c r="GW116" s="46"/>
      <c r="GX116" s="47"/>
      <c r="GZ116" s="43">
        <v>0</v>
      </c>
      <c r="HA116" s="46"/>
      <c r="HB116" s="47"/>
      <c r="HF116" s="43">
        <v>0</v>
      </c>
      <c r="HG116" s="46"/>
      <c r="HH116" s="47"/>
      <c r="HJ116" s="43">
        <v>0</v>
      </c>
      <c r="HK116" s="46"/>
      <c r="HL116" s="47"/>
      <c r="HP116" s="43">
        <v>0</v>
      </c>
      <c r="HQ116" s="46"/>
      <c r="HX116" s="43">
        <v>0</v>
      </c>
      <c r="HY116" s="46"/>
      <c r="HZ116" s="47"/>
      <c r="ID116" s="43">
        <v>0</v>
      </c>
      <c r="IE116" s="46"/>
      <c r="IJ116" s="43">
        <v>0</v>
      </c>
      <c r="IK116" s="49"/>
      <c r="IP116" s="43">
        <v>0</v>
      </c>
      <c r="IQ116" s="49"/>
      <c r="IR116">
        <v>350</v>
      </c>
      <c r="IS116">
        <v>350</v>
      </c>
      <c r="IT116">
        <v>340</v>
      </c>
      <c r="IU116">
        <v>340</v>
      </c>
      <c r="IV116" s="43">
        <v>0</v>
      </c>
      <c r="IW116" s="49"/>
      <c r="IX116">
        <v>290</v>
      </c>
      <c r="IY116">
        <v>500</v>
      </c>
      <c r="IZ116">
        <v>450</v>
      </c>
      <c r="JA116">
        <v>450</v>
      </c>
      <c r="JB116" s="42">
        <v>-210</v>
      </c>
      <c r="JC116" s="46">
        <v>84</v>
      </c>
      <c r="JD116">
        <v>90</v>
      </c>
      <c r="JE116">
        <v>91</v>
      </c>
      <c r="JF116" s="43">
        <v>-1</v>
      </c>
      <c r="JG116" s="49"/>
      <c r="JH116">
        <v>400</v>
      </c>
      <c r="JI116">
        <v>400</v>
      </c>
      <c r="JJ116">
        <v>390</v>
      </c>
      <c r="JK116">
        <v>396</v>
      </c>
      <c r="JL116" s="43">
        <v>-6</v>
      </c>
      <c r="JM116" s="46"/>
      <c r="JN116" s="45">
        <v>480</v>
      </c>
      <c r="JO116" s="48">
        <v>480</v>
      </c>
      <c r="JP116" s="43">
        <v>0</v>
      </c>
      <c r="JQ116" s="49"/>
      <c r="JT116">
        <v>170</v>
      </c>
      <c r="JU116">
        <v>170</v>
      </c>
      <c r="JV116" s="43">
        <v>0</v>
      </c>
      <c r="JW116" s="49"/>
      <c r="JX116">
        <v>350</v>
      </c>
      <c r="JY116">
        <v>350</v>
      </c>
      <c r="JZ116">
        <v>100</v>
      </c>
      <c r="KA116">
        <v>100</v>
      </c>
      <c r="KB116" s="43">
        <v>0</v>
      </c>
      <c r="KC116" s="49"/>
      <c r="KD116">
        <v>170</v>
      </c>
      <c r="KE116">
        <v>170</v>
      </c>
      <c r="KF116">
        <v>280</v>
      </c>
      <c r="KG116">
        <v>280</v>
      </c>
      <c r="KH116" s="43">
        <v>0</v>
      </c>
      <c r="KI116" s="49"/>
      <c r="KJ116">
        <v>300</v>
      </c>
      <c r="KK116">
        <v>300</v>
      </c>
      <c r="KL116">
        <v>380</v>
      </c>
      <c r="KM116">
        <v>380</v>
      </c>
      <c r="KN116" s="43">
        <v>0</v>
      </c>
      <c r="KO116" s="49"/>
      <c r="KP116" s="45">
        <v>260</v>
      </c>
      <c r="KQ116">
        <v>260</v>
      </c>
      <c r="KR116">
        <v>300</v>
      </c>
      <c r="KS116">
        <v>300</v>
      </c>
      <c r="KT116">
        <v>250</v>
      </c>
      <c r="KU116">
        <v>250</v>
      </c>
      <c r="KV116" s="43">
        <v>0</v>
      </c>
      <c r="KW116" s="49"/>
      <c r="KX116" s="48">
        <v>300</v>
      </c>
      <c r="KY116" s="48">
        <v>300</v>
      </c>
      <c r="KZ116" s="48">
        <v>320</v>
      </c>
      <c r="LA116" s="48">
        <v>324</v>
      </c>
      <c r="LB116" s="43">
        <v>-4</v>
      </c>
      <c r="LC116" s="49"/>
      <c r="LD116" s="48">
        <v>200</v>
      </c>
      <c r="LE116" s="48">
        <v>200</v>
      </c>
      <c r="LF116" s="48">
        <v>210</v>
      </c>
      <c r="LG116" s="48">
        <v>210</v>
      </c>
      <c r="LH116" s="43">
        <v>0</v>
      </c>
      <c r="LI116" s="49"/>
      <c r="LJ116" s="50">
        <v>370</v>
      </c>
      <c r="LK116" s="48">
        <v>373</v>
      </c>
      <c r="LL116" s="43">
        <v>-3</v>
      </c>
      <c r="LM116" s="49"/>
      <c r="LN116" s="50">
        <v>600</v>
      </c>
      <c r="LO116" s="48">
        <v>600</v>
      </c>
      <c r="LP116" s="48">
        <v>370</v>
      </c>
      <c r="LQ116" s="48">
        <v>0</v>
      </c>
      <c r="LR116" s="48">
        <v>370</v>
      </c>
      <c r="LS116" s="43">
        <v>0</v>
      </c>
      <c r="LT116" s="49"/>
      <c r="LU116" s="50">
        <v>120</v>
      </c>
      <c r="LV116" s="48">
        <v>120</v>
      </c>
      <c r="LW116" s="48">
        <v>190</v>
      </c>
      <c r="LX116" s="48">
        <v>190</v>
      </c>
      <c r="LY116" s="43">
        <v>0</v>
      </c>
      <c r="LZ116" s="49"/>
      <c r="MA116" s="50">
        <v>650</v>
      </c>
      <c r="MB116" s="48">
        <v>650</v>
      </c>
      <c r="MC116" s="43">
        <v>0</v>
      </c>
      <c r="MD116" s="49"/>
      <c r="ME116" s="50">
        <v>0</v>
      </c>
      <c r="MF116" s="48">
        <v>0</v>
      </c>
      <c r="MG116" s="48">
        <v>600</v>
      </c>
      <c r="MH116" s="48">
        <v>601</v>
      </c>
      <c r="MI116" s="43">
        <v>-1</v>
      </c>
      <c r="MJ116" s="49"/>
      <c r="MK116" s="50">
        <v>70</v>
      </c>
      <c r="ML116" s="48">
        <v>70</v>
      </c>
      <c r="MM116" s="43">
        <v>0</v>
      </c>
      <c r="MN116" s="49"/>
      <c r="MO116" s="50">
        <v>200</v>
      </c>
      <c r="MP116" s="48">
        <v>200</v>
      </c>
      <c r="MQ116" s="48">
        <v>680</v>
      </c>
      <c r="MR116" s="48">
        <v>682</v>
      </c>
      <c r="MS116" s="43">
        <v>-2</v>
      </c>
      <c r="MT116" s="49"/>
      <c r="MU116" s="48">
        <v>0</v>
      </c>
      <c r="MV116" s="46"/>
      <c r="MW116" s="48">
        <v>320</v>
      </c>
      <c r="MX116" s="48">
        <v>320</v>
      </c>
      <c r="MY116" s="43">
        <v>0</v>
      </c>
      <c r="MZ116" s="49"/>
      <c r="NA116" s="50">
        <v>100</v>
      </c>
      <c r="NB116" s="48">
        <v>100</v>
      </c>
      <c r="NC116" s="48">
        <v>150</v>
      </c>
      <c r="ND116" s="48">
        <v>150</v>
      </c>
      <c r="NE116" s="43">
        <v>0</v>
      </c>
      <c r="NF116" s="49"/>
      <c r="NG116" s="50">
        <v>170</v>
      </c>
      <c r="NH116" s="48">
        <v>150</v>
      </c>
      <c r="NI116" s="48">
        <v>350</v>
      </c>
      <c r="NJ116" s="48">
        <v>355</v>
      </c>
      <c r="NK116" s="43">
        <v>15</v>
      </c>
      <c r="NL116" s="49"/>
      <c r="NM116" s="50">
        <v>100</v>
      </c>
      <c r="NN116" s="48">
        <v>100</v>
      </c>
      <c r="NO116" s="48">
        <v>170</v>
      </c>
      <c r="NP116" s="48">
        <v>170</v>
      </c>
      <c r="NQ116" s="43">
        <v>0</v>
      </c>
      <c r="NR116" s="49"/>
      <c r="NS116" s="50">
        <v>0</v>
      </c>
      <c r="NT116" s="33">
        <v>400</v>
      </c>
      <c r="NU116" s="48">
        <v>310</v>
      </c>
      <c r="NV116" s="48">
        <v>596</v>
      </c>
      <c r="NW116" s="42">
        <v>-686</v>
      </c>
      <c r="NX116" s="49">
        <v>274.39999999999998</v>
      </c>
      <c r="NY116" s="50">
        <v>0</v>
      </c>
      <c r="NZ116" s="48">
        <v>0</v>
      </c>
      <c r="OA116" s="32">
        <v>300</v>
      </c>
      <c r="OB116" s="48">
        <v>150</v>
      </c>
      <c r="OC116" s="43">
        <v>150</v>
      </c>
      <c r="OD116" s="49"/>
      <c r="OE116" s="50">
        <v>350</v>
      </c>
      <c r="OF116" s="48">
        <v>350</v>
      </c>
      <c r="OG116" s="43">
        <v>0</v>
      </c>
      <c r="OH116" s="49"/>
      <c r="OI116" s="50">
        <v>420</v>
      </c>
      <c r="OJ116" s="48">
        <v>423</v>
      </c>
      <c r="OK116" s="43">
        <v>-3</v>
      </c>
      <c r="OL116" s="49"/>
      <c r="OM116" s="50">
        <v>120</v>
      </c>
      <c r="ON116" s="48">
        <v>120</v>
      </c>
      <c r="OO116" s="48">
        <v>130</v>
      </c>
      <c r="OP116" s="48">
        <v>128.13399999999999</v>
      </c>
      <c r="OQ116" s="43">
        <v>1.865999999999985</v>
      </c>
      <c r="OR116" s="49"/>
      <c r="OS116" s="50">
        <v>120</v>
      </c>
      <c r="OT116" s="48">
        <v>120</v>
      </c>
      <c r="OU116" s="43">
        <v>0</v>
      </c>
      <c r="OV116" s="49"/>
      <c r="OW116" s="50">
        <v>300</v>
      </c>
      <c r="OX116" s="48">
        <v>300</v>
      </c>
      <c r="OY116" s="48">
        <v>260</v>
      </c>
      <c r="OZ116" s="48">
        <v>260</v>
      </c>
      <c r="PA116" s="43">
        <v>0</v>
      </c>
      <c r="PB116" s="49"/>
      <c r="PC116" s="50">
        <v>0</v>
      </c>
      <c r="PD116" s="48">
        <v>0</v>
      </c>
      <c r="PE116" s="43">
        <v>0</v>
      </c>
      <c r="PF116" s="49"/>
      <c r="PG116" s="50">
        <v>0</v>
      </c>
      <c r="PH116" s="48">
        <v>0</v>
      </c>
      <c r="PI116" s="48">
        <v>200</v>
      </c>
      <c r="PJ116" s="48">
        <v>200</v>
      </c>
      <c r="PK116" s="43">
        <v>0</v>
      </c>
      <c r="PL116" s="49"/>
      <c r="PM116" s="47">
        <v>0</v>
      </c>
      <c r="PN116" s="48">
        <v>0</v>
      </c>
      <c r="PO116" s="48">
        <v>170</v>
      </c>
      <c r="PP116" s="48">
        <v>172</v>
      </c>
      <c r="PQ116" s="43">
        <v>-2</v>
      </c>
      <c r="PR116" s="49"/>
      <c r="PS116" s="47">
        <v>170</v>
      </c>
      <c r="PT116" s="43">
        <v>170</v>
      </c>
      <c r="PU116" s="43">
        <v>150</v>
      </c>
      <c r="PV116" s="43">
        <v>150</v>
      </c>
      <c r="PW116" s="43">
        <v>0</v>
      </c>
      <c r="PX116" s="46"/>
      <c r="PY116" s="47">
        <v>200</v>
      </c>
      <c r="PZ116" s="43">
        <v>400</v>
      </c>
      <c r="QA116" s="42">
        <v>-200</v>
      </c>
      <c r="QB116" s="46">
        <v>80</v>
      </c>
      <c r="QC116" s="47">
        <v>100</v>
      </c>
      <c r="QD116" s="43">
        <v>101</v>
      </c>
      <c r="QE116" s="43">
        <v>120</v>
      </c>
      <c r="QF116" s="43">
        <v>120</v>
      </c>
      <c r="QG116" s="43">
        <v>-1</v>
      </c>
      <c r="QH116" s="46"/>
      <c r="QI116" s="47">
        <v>150</v>
      </c>
      <c r="QJ116" s="43">
        <v>150</v>
      </c>
      <c r="QK116" s="43">
        <v>200</v>
      </c>
      <c r="QL116" s="43">
        <v>200</v>
      </c>
      <c r="QM116" s="43">
        <v>0</v>
      </c>
      <c r="QN116" s="46"/>
      <c r="QO116" s="47">
        <v>60</v>
      </c>
      <c r="QP116" s="43">
        <v>66</v>
      </c>
      <c r="QQ116" s="43">
        <v>250</v>
      </c>
      <c r="QR116" s="43">
        <v>0</v>
      </c>
      <c r="QS116" s="43">
        <v>244</v>
      </c>
      <c r="QT116" s="46"/>
      <c r="QU116" s="47">
        <v>150</v>
      </c>
      <c r="QV116" s="43">
        <v>150</v>
      </c>
      <c r="QW116" s="43">
        <v>0</v>
      </c>
      <c r="QX116" s="46"/>
      <c r="QY116" s="47">
        <v>0</v>
      </c>
      <c r="QZ116" s="43">
        <v>0</v>
      </c>
      <c r="RA116" s="43">
        <v>250</v>
      </c>
      <c r="RB116" s="43">
        <v>250</v>
      </c>
      <c r="RC116" s="43">
        <v>0</v>
      </c>
      <c r="RD116" s="46"/>
    </row>
    <row r="117" spans="1:472" x14ac:dyDescent="0.25">
      <c r="A117" s="43" t="s">
        <v>405</v>
      </c>
      <c r="B117" s="44">
        <v>0.16</v>
      </c>
      <c r="I117" s="47"/>
      <c r="J117" s="51"/>
      <c r="K117" s="51"/>
      <c r="L117" s="51"/>
      <c r="M117" s="51">
        <f t="shared" si="12"/>
        <v>0</v>
      </c>
      <c r="N117" s="46"/>
      <c r="O117" s="47"/>
      <c r="P117" s="51"/>
      <c r="Q117" s="51"/>
      <c r="R117" s="51"/>
      <c r="S117" s="51">
        <f t="shared" si="13"/>
        <v>0</v>
      </c>
      <c r="T117" s="46"/>
      <c r="U117" s="47"/>
      <c r="V117" s="51"/>
      <c r="W117" s="51"/>
      <c r="X117" s="51"/>
      <c r="Y117" s="51">
        <f t="shared" si="14"/>
        <v>0</v>
      </c>
      <c r="Z117" s="46"/>
      <c r="AA117" s="51"/>
      <c r="AE117" s="43">
        <v>0</v>
      </c>
      <c r="AF117" s="46"/>
      <c r="AG117" s="47"/>
      <c r="AK117" s="43">
        <v>0</v>
      </c>
      <c r="AL117" s="46"/>
      <c r="AQ117" s="43">
        <v>0</v>
      </c>
      <c r="AR117" s="46"/>
      <c r="AW117" s="43">
        <v>0</v>
      </c>
      <c r="AX117" s="46"/>
      <c r="AY117" s="47"/>
      <c r="BC117" s="43">
        <v>0</v>
      </c>
      <c r="BD117" s="46"/>
      <c r="BE117" s="47"/>
      <c r="BI117" s="43">
        <v>0</v>
      </c>
      <c r="BJ117" s="46"/>
      <c r="BP117" s="43">
        <v>0</v>
      </c>
      <c r="BQ117" s="46"/>
      <c r="BT117" s="43">
        <v>0</v>
      </c>
      <c r="BU117" s="46"/>
      <c r="BV117" s="47"/>
      <c r="BZ117" s="43">
        <v>0</v>
      </c>
      <c r="CA117" s="46"/>
      <c r="CF117" s="43">
        <v>0</v>
      </c>
      <c r="CG117" s="46"/>
      <c r="CL117" s="43">
        <v>0</v>
      </c>
      <c r="CM117" s="46"/>
      <c r="CN117" s="47"/>
      <c r="CR117" s="43">
        <v>0</v>
      </c>
      <c r="CS117" s="46"/>
      <c r="CX117" s="43">
        <v>0</v>
      </c>
      <c r="CY117" s="46"/>
      <c r="CZ117" s="47"/>
      <c r="DD117" s="43">
        <v>0</v>
      </c>
      <c r="DE117" s="46"/>
      <c r="DF117" s="47"/>
      <c r="DL117" s="43">
        <v>0</v>
      </c>
      <c r="DM117" s="46"/>
      <c r="DN117" s="47"/>
      <c r="DR117" s="43">
        <v>0</v>
      </c>
      <c r="DS117" s="46"/>
      <c r="DZ117" s="43">
        <v>0</v>
      </c>
      <c r="EA117" s="46"/>
      <c r="EB117" s="47"/>
      <c r="EF117" s="43">
        <v>0</v>
      </c>
      <c r="EG117" s="46"/>
      <c r="EH117" s="47"/>
      <c r="EL117" s="43">
        <v>0</v>
      </c>
      <c r="EM117" s="46"/>
      <c r="EN117" s="47"/>
      <c r="ER117" s="43">
        <v>0</v>
      </c>
      <c r="ES117" s="46"/>
      <c r="EZ117" s="43">
        <v>0</v>
      </c>
      <c r="FA117" s="46"/>
      <c r="FG117" s="43">
        <v>0</v>
      </c>
      <c r="FH117" s="46"/>
      <c r="FI117" s="47"/>
      <c r="FL117" s="43">
        <v>0</v>
      </c>
      <c r="FM117" s="46"/>
      <c r="FN117" s="47"/>
      <c r="FQ117" s="43">
        <v>0</v>
      </c>
      <c r="FR117" s="46"/>
      <c r="FW117" s="43">
        <v>0</v>
      </c>
      <c r="FX117" s="46"/>
      <c r="FY117" s="47"/>
      <c r="GD117" s="43">
        <v>0</v>
      </c>
      <c r="GE117" s="46"/>
      <c r="GJ117" s="43">
        <v>0</v>
      </c>
      <c r="GK117" s="46"/>
      <c r="GL117" s="47"/>
      <c r="GP117" s="43">
        <v>0</v>
      </c>
      <c r="GQ117" s="46"/>
      <c r="GV117" s="43">
        <v>0</v>
      </c>
      <c r="GW117" s="46"/>
      <c r="GX117" s="47"/>
      <c r="GZ117" s="43">
        <v>0</v>
      </c>
      <c r="HA117" s="46"/>
      <c r="HB117" s="47"/>
      <c r="HF117" s="43">
        <v>0</v>
      </c>
      <c r="HG117" s="46"/>
      <c r="HH117" s="47"/>
      <c r="HJ117" s="43">
        <v>0</v>
      </c>
      <c r="HK117" s="46"/>
      <c r="HL117" s="47"/>
      <c r="HP117" s="43">
        <v>0</v>
      </c>
      <c r="HQ117" s="46"/>
      <c r="HX117" s="43">
        <v>0</v>
      </c>
      <c r="HY117" s="46"/>
      <c r="HZ117" s="47"/>
      <c r="ID117" s="43">
        <v>0</v>
      </c>
      <c r="IE117" s="46"/>
      <c r="IJ117" s="43">
        <v>0</v>
      </c>
      <c r="IK117" s="49"/>
      <c r="IP117" s="43">
        <v>0</v>
      </c>
      <c r="IQ117" s="49"/>
      <c r="IV117" s="43">
        <v>0</v>
      </c>
      <c r="IW117" s="49"/>
      <c r="JB117" s="43">
        <v>0</v>
      </c>
      <c r="JC117" s="46"/>
      <c r="JF117" s="43">
        <v>0</v>
      </c>
      <c r="JG117" s="49"/>
      <c r="JL117" s="43">
        <v>0</v>
      </c>
      <c r="JM117" s="46"/>
      <c r="JN117" s="50"/>
      <c r="JP117" s="43">
        <v>0</v>
      </c>
      <c r="JQ117" s="49"/>
      <c r="JV117" s="43">
        <v>0</v>
      </c>
      <c r="JW117" s="49"/>
      <c r="KB117" s="43">
        <v>0</v>
      </c>
      <c r="KC117" s="49"/>
      <c r="KH117" s="43">
        <v>0</v>
      </c>
      <c r="KI117" s="49"/>
      <c r="KN117" s="43">
        <v>0</v>
      </c>
      <c r="KO117" s="49"/>
      <c r="KP117" s="50"/>
      <c r="KV117" s="43">
        <v>0</v>
      </c>
      <c r="KW117" s="49"/>
      <c r="KX117" s="48">
        <v>0</v>
      </c>
      <c r="KY117" s="48">
        <v>0</v>
      </c>
      <c r="KZ117" s="48">
        <v>0</v>
      </c>
      <c r="LA117" s="48">
        <v>0</v>
      </c>
      <c r="LB117" s="43">
        <v>0</v>
      </c>
      <c r="LC117" s="49"/>
      <c r="LD117" s="48">
        <v>0</v>
      </c>
      <c r="LE117" s="48">
        <v>0</v>
      </c>
      <c r="LF117" s="48">
        <v>0</v>
      </c>
      <c r="LG117" s="48">
        <v>0</v>
      </c>
      <c r="LH117" s="43">
        <v>0</v>
      </c>
      <c r="LI117" s="49"/>
      <c r="LJ117" s="50">
        <v>0</v>
      </c>
      <c r="LK117" s="48">
        <v>0</v>
      </c>
      <c r="LL117" s="43">
        <v>0</v>
      </c>
      <c r="LM117" s="49"/>
      <c r="LN117" s="50">
        <v>0</v>
      </c>
      <c r="LO117" s="48">
        <v>0</v>
      </c>
      <c r="LP117" s="48">
        <v>0</v>
      </c>
      <c r="LQ117" s="48">
        <v>0</v>
      </c>
      <c r="LR117" s="48">
        <v>0</v>
      </c>
      <c r="LS117" s="43">
        <v>0</v>
      </c>
      <c r="LT117" s="49"/>
      <c r="LU117" s="50">
        <v>0</v>
      </c>
      <c r="LV117" s="48">
        <v>0</v>
      </c>
      <c r="LW117" s="48">
        <v>0</v>
      </c>
      <c r="LX117" s="48">
        <v>0</v>
      </c>
      <c r="LY117" s="43">
        <v>0</v>
      </c>
      <c r="LZ117" s="49"/>
      <c r="MA117" s="50">
        <v>0</v>
      </c>
      <c r="MB117" s="48">
        <v>0</v>
      </c>
      <c r="MC117" s="43">
        <v>0</v>
      </c>
      <c r="MD117" s="49"/>
      <c r="ME117" s="50">
        <v>0</v>
      </c>
      <c r="MF117" s="48">
        <v>0</v>
      </c>
      <c r="MG117" s="48">
        <v>0</v>
      </c>
      <c r="MH117" s="48">
        <v>0</v>
      </c>
      <c r="MI117" s="43">
        <v>0</v>
      </c>
      <c r="MJ117" s="49"/>
      <c r="MK117" s="50">
        <v>0</v>
      </c>
      <c r="ML117" s="48">
        <v>0</v>
      </c>
      <c r="MM117" s="43">
        <v>0</v>
      </c>
      <c r="MN117" s="49"/>
      <c r="MO117" s="50">
        <v>0</v>
      </c>
      <c r="MP117" s="48">
        <v>0</v>
      </c>
      <c r="MQ117" s="48">
        <v>0</v>
      </c>
      <c r="MR117" s="48">
        <v>0</v>
      </c>
      <c r="MS117" s="43">
        <v>0</v>
      </c>
      <c r="MT117" s="49"/>
      <c r="MU117" s="48">
        <v>0</v>
      </c>
      <c r="MV117" s="46"/>
      <c r="MW117" s="48">
        <v>0</v>
      </c>
      <c r="MX117" s="48">
        <v>0</v>
      </c>
      <c r="MY117" s="43">
        <v>0</v>
      </c>
      <c r="MZ117" s="49"/>
      <c r="NA117" s="50">
        <v>0</v>
      </c>
      <c r="NB117" s="48">
        <v>0</v>
      </c>
      <c r="NC117" s="48">
        <v>0</v>
      </c>
      <c r="ND117" s="48">
        <v>0</v>
      </c>
      <c r="NE117" s="43">
        <v>0</v>
      </c>
      <c r="NF117" s="49"/>
      <c r="NG117" s="50">
        <v>0</v>
      </c>
      <c r="NH117" s="48">
        <v>0</v>
      </c>
      <c r="NI117" s="48">
        <v>0</v>
      </c>
      <c r="NJ117" s="48">
        <v>0</v>
      </c>
      <c r="NK117" s="43">
        <v>0</v>
      </c>
      <c r="NL117" s="49"/>
      <c r="NM117" s="50">
        <v>0</v>
      </c>
      <c r="NN117" s="48">
        <v>0</v>
      </c>
      <c r="NO117" s="48">
        <v>0</v>
      </c>
      <c r="NP117" s="48">
        <v>0</v>
      </c>
      <c r="NQ117" s="43">
        <v>0</v>
      </c>
      <c r="NR117" s="49"/>
      <c r="NS117" s="50">
        <v>0</v>
      </c>
      <c r="NT117" s="48">
        <v>0</v>
      </c>
      <c r="NU117" s="48">
        <v>0</v>
      </c>
      <c r="NV117" s="48">
        <v>0</v>
      </c>
      <c r="NW117" s="43">
        <v>0</v>
      </c>
      <c r="NX117" s="49"/>
      <c r="NY117" s="50">
        <v>0</v>
      </c>
      <c r="NZ117" s="48">
        <v>0</v>
      </c>
      <c r="OA117" s="48">
        <v>0</v>
      </c>
      <c r="OB117" s="48">
        <v>0</v>
      </c>
      <c r="OC117" s="43">
        <v>0</v>
      </c>
      <c r="OD117" s="49"/>
      <c r="OE117" s="50">
        <v>0</v>
      </c>
      <c r="OF117" s="48">
        <v>0</v>
      </c>
      <c r="OG117" s="43">
        <v>0</v>
      </c>
      <c r="OH117" s="49"/>
      <c r="OI117" s="50">
        <v>0</v>
      </c>
      <c r="OJ117" s="48">
        <v>0</v>
      </c>
      <c r="OK117" s="43">
        <v>0</v>
      </c>
      <c r="OL117" s="49"/>
      <c r="OM117" s="50">
        <v>0</v>
      </c>
      <c r="ON117" s="48">
        <v>0</v>
      </c>
      <c r="OO117" s="48">
        <v>0</v>
      </c>
      <c r="OP117" s="48">
        <v>0</v>
      </c>
      <c r="OQ117" s="43">
        <v>0</v>
      </c>
      <c r="OR117" s="49"/>
      <c r="OS117" s="50">
        <v>0</v>
      </c>
      <c r="OT117" s="48">
        <v>0</v>
      </c>
      <c r="OU117" s="43">
        <v>0</v>
      </c>
      <c r="OV117" s="49"/>
      <c r="OW117" s="50">
        <v>0</v>
      </c>
      <c r="OX117" s="48">
        <v>0</v>
      </c>
      <c r="OY117" s="48">
        <v>0</v>
      </c>
      <c r="OZ117" s="48">
        <v>0</v>
      </c>
      <c r="PA117" s="43">
        <v>0</v>
      </c>
      <c r="PB117" s="49"/>
      <c r="PC117" s="50">
        <v>0</v>
      </c>
      <c r="PD117" s="48">
        <v>0</v>
      </c>
      <c r="PE117" s="43">
        <v>0</v>
      </c>
      <c r="PF117" s="49"/>
      <c r="PG117" s="50">
        <v>0</v>
      </c>
      <c r="PH117" s="48">
        <v>0</v>
      </c>
      <c r="PI117" s="48">
        <v>0</v>
      </c>
      <c r="PJ117" s="48">
        <v>0</v>
      </c>
      <c r="PK117" s="43">
        <v>0</v>
      </c>
      <c r="PL117" s="49"/>
      <c r="PM117" s="47">
        <v>0</v>
      </c>
      <c r="PN117" s="48">
        <v>0</v>
      </c>
      <c r="PO117" s="48">
        <v>0</v>
      </c>
      <c r="PP117" s="48">
        <v>0</v>
      </c>
      <c r="PQ117" s="43">
        <v>0</v>
      </c>
      <c r="PR117" s="49"/>
      <c r="PS117" s="47">
        <v>0</v>
      </c>
      <c r="PT117" s="43">
        <v>0</v>
      </c>
      <c r="PU117" s="43">
        <v>0</v>
      </c>
      <c r="PV117" s="43">
        <v>0</v>
      </c>
      <c r="PW117" s="43">
        <v>0</v>
      </c>
      <c r="PX117" s="46"/>
      <c r="PY117" s="47">
        <v>0</v>
      </c>
      <c r="PZ117" s="43">
        <v>0</v>
      </c>
      <c r="QA117" s="43">
        <v>0</v>
      </c>
      <c r="QB117" s="46"/>
      <c r="QC117" s="47">
        <v>0</v>
      </c>
      <c r="QD117" s="43">
        <v>0</v>
      </c>
      <c r="QE117" s="43">
        <v>0</v>
      </c>
      <c r="QF117" s="43">
        <v>0</v>
      </c>
      <c r="QG117" s="43">
        <v>0</v>
      </c>
      <c r="QH117" s="46"/>
      <c r="QI117" s="47">
        <v>0</v>
      </c>
      <c r="QJ117" s="43">
        <v>0</v>
      </c>
      <c r="QK117" s="43">
        <v>0</v>
      </c>
      <c r="QL117" s="43">
        <v>0</v>
      </c>
      <c r="QM117" s="43">
        <v>0</v>
      </c>
      <c r="QN117" s="46"/>
      <c r="QO117" s="47">
        <v>0</v>
      </c>
      <c r="QP117" s="43">
        <v>0</v>
      </c>
      <c r="QQ117" s="43">
        <v>0</v>
      </c>
      <c r="QR117" s="43">
        <v>0</v>
      </c>
      <c r="QS117" s="43">
        <v>0</v>
      </c>
      <c r="QT117" s="46"/>
      <c r="QU117" s="47">
        <v>96</v>
      </c>
      <c r="QV117" s="43">
        <v>100</v>
      </c>
      <c r="QW117" s="43">
        <v>-4</v>
      </c>
      <c r="QX117" s="46"/>
      <c r="QY117" s="47">
        <v>64</v>
      </c>
      <c r="QZ117" s="43">
        <v>70</v>
      </c>
      <c r="RA117" s="43">
        <v>176</v>
      </c>
      <c r="RB117" s="43">
        <v>180</v>
      </c>
      <c r="RC117" s="43">
        <v>-10</v>
      </c>
      <c r="RD117" s="46"/>
    </row>
    <row r="118" spans="1:472" x14ac:dyDescent="0.25">
      <c r="A118" s="43" t="s">
        <v>406</v>
      </c>
      <c r="B118" s="44">
        <v>0.5</v>
      </c>
      <c r="I118" s="47"/>
      <c r="J118" s="51"/>
      <c r="K118" s="51"/>
      <c r="L118" s="51"/>
      <c r="M118" s="51">
        <f t="shared" si="12"/>
        <v>0</v>
      </c>
      <c r="N118" s="46"/>
      <c r="O118" s="47"/>
      <c r="P118" s="51"/>
      <c r="Q118" s="51"/>
      <c r="R118" s="51"/>
      <c r="S118" s="51">
        <f t="shared" si="13"/>
        <v>0</v>
      </c>
      <c r="T118" s="46"/>
      <c r="U118" s="47"/>
      <c r="V118" s="51"/>
      <c r="W118" s="51"/>
      <c r="X118" s="51"/>
      <c r="Y118" s="51">
        <f t="shared" si="14"/>
        <v>0</v>
      </c>
      <c r="Z118" s="46"/>
      <c r="AA118" s="51"/>
      <c r="AE118" s="43">
        <v>0</v>
      </c>
      <c r="AF118" s="46"/>
      <c r="AG118" s="47"/>
      <c r="AK118" s="43">
        <v>0</v>
      </c>
      <c r="AL118" s="46"/>
      <c r="AQ118" s="43">
        <v>0</v>
      </c>
      <c r="AR118" s="46"/>
      <c r="AW118" s="43">
        <v>0</v>
      </c>
      <c r="AX118" s="46"/>
      <c r="AY118" s="47"/>
      <c r="BC118" s="43">
        <v>0</v>
      </c>
      <c r="BD118" s="46"/>
      <c r="BE118" s="47"/>
      <c r="BI118" s="43">
        <v>0</v>
      </c>
      <c r="BJ118" s="46"/>
      <c r="BP118" s="43">
        <v>0</v>
      </c>
      <c r="BQ118" s="46"/>
      <c r="BT118" s="43">
        <v>0</v>
      </c>
      <c r="BU118" s="46"/>
      <c r="BV118" s="47"/>
      <c r="BZ118" s="43">
        <v>0</v>
      </c>
      <c r="CA118" s="46"/>
      <c r="CF118" s="43">
        <v>0</v>
      </c>
      <c r="CG118" s="46"/>
      <c r="CL118" s="43">
        <v>0</v>
      </c>
      <c r="CM118" s="46"/>
      <c r="CN118" s="47"/>
      <c r="CR118" s="43">
        <v>0</v>
      </c>
      <c r="CS118" s="46"/>
      <c r="CX118" s="43">
        <v>0</v>
      </c>
      <c r="CY118" s="46"/>
      <c r="CZ118" s="47"/>
      <c r="DD118" s="43">
        <v>0</v>
      </c>
      <c r="DE118" s="46"/>
      <c r="DF118" s="47"/>
      <c r="DL118" s="43">
        <v>0</v>
      </c>
      <c r="DM118" s="46"/>
      <c r="DN118" s="47"/>
      <c r="DR118" s="43">
        <v>0</v>
      </c>
      <c r="DS118" s="46"/>
      <c r="DZ118" s="43">
        <v>0</v>
      </c>
      <c r="EA118" s="46"/>
      <c r="EB118" s="47"/>
      <c r="EF118" s="43">
        <v>0</v>
      </c>
      <c r="EG118" s="46"/>
      <c r="EH118" s="47"/>
      <c r="EL118" s="43">
        <v>0</v>
      </c>
      <c r="EM118" s="46"/>
      <c r="EN118" s="47"/>
      <c r="ER118" s="43">
        <v>0</v>
      </c>
      <c r="ES118" s="46"/>
      <c r="EZ118" s="43">
        <v>0</v>
      </c>
      <c r="FA118" s="46"/>
      <c r="FG118" s="43">
        <v>0</v>
      </c>
      <c r="FH118" s="46"/>
      <c r="FI118" s="47"/>
      <c r="FL118" s="43">
        <v>0</v>
      </c>
      <c r="FM118" s="46"/>
      <c r="FN118" s="47"/>
      <c r="FQ118" s="43">
        <v>0</v>
      </c>
      <c r="FR118" s="46"/>
      <c r="FW118" s="43">
        <v>0</v>
      </c>
      <c r="FX118" s="46"/>
      <c r="FY118" s="47"/>
      <c r="GD118" s="43">
        <v>0</v>
      </c>
      <c r="GE118" s="46"/>
      <c r="GJ118" s="43">
        <v>0</v>
      </c>
      <c r="GK118" s="46"/>
      <c r="GL118" s="47"/>
      <c r="GP118" s="43">
        <v>0</v>
      </c>
      <c r="GQ118" s="46"/>
      <c r="GV118" s="43">
        <v>0</v>
      </c>
      <c r="GW118" s="46"/>
      <c r="GX118" s="47"/>
      <c r="GZ118" s="43">
        <v>0</v>
      </c>
      <c r="HA118" s="46"/>
      <c r="HB118" s="47"/>
      <c r="HF118" s="43">
        <v>0</v>
      </c>
      <c r="HG118" s="46"/>
      <c r="HH118" s="47"/>
      <c r="HJ118" s="43">
        <v>0</v>
      </c>
      <c r="HK118" s="46"/>
      <c r="HL118" s="47"/>
      <c r="HP118" s="43">
        <v>0</v>
      </c>
      <c r="HQ118" s="46"/>
      <c r="HX118" s="43">
        <v>0</v>
      </c>
      <c r="HY118" s="46"/>
      <c r="HZ118" s="47"/>
      <c r="ID118" s="43">
        <v>0</v>
      </c>
      <c r="IE118" s="46"/>
      <c r="IJ118" s="43">
        <v>0</v>
      </c>
      <c r="IK118" s="49"/>
      <c r="IP118" s="43">
        <v>0</v>
      </c>
      <c r="IQ118" s="49"/>
      <c r="IV118" s="43">
        <v>0</v>
      </c>
      <c r="IW118" s="49"/>
      <c r="JB118" s="43">
        <v>0</v>
      </c>
      <c r="JC118" s="46"/>
      <c r="JF118" s="43">
        <v>0</v>
      </c>
      <c r="JG118" s="49"/>
      <c r="JL118" s="43">
        <v>0</v>
      </c>
      <c r="JM118" s="46"/>
      <c r="JN118" s="50"/>
      <c r="JP118" s="43">
        <v>0</v>
      </c>
      <c r="JQ118" s="49"/>
      <c r="JV118" s="43">
        <v>0</v>
      </c>
      <c r="JW118" s="49"/>
      <c r="KB118" s="43">
        <v>0</v>
      </c>
      <c r="KC118" s="49"/>
      <c r="KH118" s="43">
        <v>0</v>
      </c>
      <c r="KI118" s="49"/>
      <c r="KN118" s="43">
        <v>0</v>
      </c>
      <c r="KO118" s="49"/>
      <c r="KP118" s="50"/>
      <c r="KV118" s="43">
        <v>0</v>
      </c>
      <c r="KW118" s="49"/>
      <c r="KX118" s="48">
        <v>0</v>
      </c>
      <c r="KY118" s="48">
        <v>0</v>
      </c>
      <c r="KZ118" s="48">
        <v>0</v>
      </c>
      <c r="LA118" s="48">
        <v>0</v>
      </c>
      <c r="LB118" s="43">
        <v>0</v>
      </c>
      <c r="LC118" s="49"/>
      <c r="LD118" s="48">
        <v>0</v>
      </c>
      <c r="LE118" s="48">
        <v>0</v>
      </c>
      <c r="LF118" s="48">
        <v>0</v>
      </c>
      <c r="LG118" s="48">
        <v>0</v>
      </c>
      <c r="LH118" s="43">
        <v>0</v>
      </c>
      <c r="LI118" s="49"/>
      <c r="LJ118" s="50">
        <v>0</v>
      </c>
      <c r="LK118" s="48">
        <v>0</v>
      </c>
      <c r="LL118" s="43">
        <v>0</v>
      </c>
      <c r="LM118" s="49"/>
      <c r="LN118" s="50">
        <v>0</v>
      </c>
      <c r="LO118" s="48">
        <v>0</v>
      </c>
      <c r="LP118" s="48">
        <v>0</v>
      </c>
      <c r="LQ118" s="48">
        <v>0</v>
      </c>
      <c r="LR118" s="48">
        <v>0</v>
      </c>
      <c r="LS118" s="43">
        <v>0</v>
      </c>
      <c r="LT118" s="49"/>
      <c r="LU118" s="50">
        <v>0</v>
      </c>
      <c r="LV118" s="48">
        <v>0</v>
      </c>
      <c r="LW118" s="48">
        <v>0</v>
      </c>
      <c r="LX118" s="48">
        <v>0</v>
      </c>
      <c r="LY118" s="43">
        <v>0</v>
      </c>
      <c r="LZ118" s="49"/>
      <c r="MA118" s="50">
        <v>0</v>
      </c>
      <c r="MB118" s="48">
        <v>0</v>
      </c>
      <c r="MC118" s="43">
        <v>0</v>
      </c>
      <c r="MD118" s="49"/>
      <c r="ME118" s="50">
        <v>0</v>
      </c>
      <c r="MF118" s="48">
        <v>0</v>
      </c>
      <c r="MG118" s="48">
        <v>0</v>
      </c>
      <c r="MH118" s="48">
        <v>0</v>
      </c>
      <c r="MI118" s="43">
        <v>0</v>
      </c>
      <c r="MJ118" s="49"/>
      <c r="MK118" s="50">
        <v>0</v>
      </c>
      <c r="ML118" s="48">
        <v>0</v>
      </c>
      <c r="MM118" s="43">
        <v>0</v>
      </c>
      <c r="MN118" s="49"/>
      <c r="MO118" s="50">
        <v>0</v>
      </c>
      <c r="MP118" s="48">
        <v>0</v>
      </c>
      <c r="MQ118" s="48">
        <v>0</v>
      </c>
      <c r="MR118" s="33">
        <v>15</v>
      </c>
      <c r="MS118" s="42">
        <v>-15</v>
      </c>
      <c r="MT118" s="49">
        <v>7.5</v>
      </c>
      <c r="MU118" s="48">
        <v>0</v>
      </c>
      <c r="MV118" s="46"/>
      <c r="MW118" s="48">
        <v>0</v>
      </c>
      <c r="MX118" s="48">
        <v>0</v>
      </c>
      <c r="MY118" s="43">
        <v>0</v>
      </c>
      <c r="MZ118" s="49"/>
      <c r="NA118" s="50">
        <v>0</v>
      </c>
      <c r="NB118" s="48">
        <v>0</v>
      </c>
      <c r="NC118" s="48">
        <v>32</v>
      </c>
      <c r="ND118" s="48">
        <v>30</v>
      </c>
      <c r="NE118" s="43">
        <v>2</v>
      </c>
      <c r="NF118" s="49"/>
      <c r="NG118" s="50">
        <v>0</v>
      </c>
      <c r="NH118" s="48">
        <v>0</v>
      </c>
      <c r="NI118" s="48">
        <v>0</v>
      </c>
      <c r="NJ118" s="48">
        <v>0</v>
      </c>
      <c r="NK118" s="43">
        <v>0</v>
      </c>
      <c r="NL118" s="49"/>
      <c r="NM118" s="50">
        <v>0</v>
      </c>
      <c r="NN118" s="48">
        <v>0</v>
      </c>
      <c r="NO118" s="48">
        <v>0</v>
      </c>
      <c r="NP118" s="48">
        <v>0</v>
      </c>
      <c r="NQ118" s="43">
        <v>0</v>
      </c>
      <c r="NR118" s="49"/>
      <c r="NS118" s="50">
        <v>0</v>
      </c>
      <c r="NT118" s="48">
        <v>0</v>
      </c>
      <c r="NU118" s="48">
        <v>0</v>
      </c>
      <c r="NV118" s="48">
        <v>0</v>
      </c>
      <c r="NW118" s="43">
        <v>0</v>
      </c>
      <c r="NX118" s="49"/>
      <c r="NY118" s="50">
        <v>0</v>
      </c>
      <c r="NZ118" s="48">
        <v>0</v>
      </c>
      <c r="OA118" s="48">
        <v>72</v>
      </c>
      <c r="OB118" s="48">
        <v>70</v>
      </c>
      <c r="OC118" s="43">
        <v>2</v>
      </c>
      <c r="OD118" s="49"/>
      <c r="OE118" s="50">
        <v>0</v>
      </c>
      <c r="OF118" s="48">
        <v>0</v>
      </c>
      <c r="OG118" s="43">
        <v>0</v>
      </c>
      <c r="OH118" s="49"/>
      <c r="OI118" s="50">
        <v>0</v>
      </c>
      <c r="OJ118" s="48">
        <v>0</v>
      </c>
      <c r="OK118" s="43">
        <v>0</v>
      </c>
      <c r="OL118" s="49"/>
      <c r="OM118" s="50">
        <v>0</v>
      </c>
      <c r="ON118" s="48">
        <v>0</v>
      </c>
      <c r="OO118" s="48">
        <v>0</v>
      </c>
      <c r="OP118" s="48">
        <v>0</v>
      </c>
      <c r="OQ118" s="43">
        <v>0</v>
      </c>
      <c r="OR118" s="49"/>
      <c r="OS118" s="50">
        <v>120</v>
      </c>
      <c r="OT118" s="48">
        <v>120</v>
      </c>
      <c r="OU118" s="43">
        <v>0</v>
      </c>
      <c r="OV118" s="49"/>
      <c r="OW118" s="50">
        <v>0</v>
      </c>
      <c r="OX118" s="48">
        <v>0</v>
      </c>
      <c r="OY118" s="48">
        <v>0</v>
      </c>
      <c r="OZ118" s="48">
        <v>0</v>
      </c>
      <c r="PA118" s="43">
        <v>0</v>
      </c>
      <c r="PB118" s="49"/>
      <c r="PC118" s="50">
        <v>8</v>
      </c>
      <c r="PD118" s="48">
        <v>8</v>
      </c>
      <c r="PE118" s="43">
        <v>0</v>
      </c>
      <c r="PF118" s="49"/>
      <c r="PG118" s="50">
        <v>0</v>
      </c>
      <c r="PH118" s="48">
        <v>0</v>
      </c>
      <c r="PI118" s="48">
        <v>24</v>
      </c>
      <c r="PJ118" s="48">
        <v>24</v>
      </c>
      <c r="PK118" s="43">
        <v>0</v>
      </c>
      <c r="PL118" s="49"/>
      <c r="PM118" s="47">
        <v>0</v>
      </c>
      <c r="PN118" s="48">
        <v>0</v>
      </c>
      <c r="PO118" s="17">
        <v>8</v>
      </c>
      <c r="PP118" s="48">
        <v>0</v>
      </c>
      <c r="PQ118" s="43">
        <v>0</v>
      </c>
      <c r="PR118" s="49"/>
      <c r="PS118" s="47">
        <v>0</v>
      </c>
      <c r="PT118" s="43">
        <v>0</v>
      </c>
      <c r="PU118" s="7">
        <v>16</v>
      </c>
      <c r="PV118" s="43">
        <v>0</v>
      </c>
      <c r="PW118" s="43">
        <v>0</v>
      </c>
      <c r="PX118" s="46"/>
      <c r="PY118" s="47"/>
      <c r="QB118" s="46"/>
      <c r="QC118" s="47"/>
      <c r="QH118" s="46"/>
      <c r="QI118" s="47"/>
      <c r="QN118" s="46"/>
      <c r="QO118" s="47"/>
      <c r="QT118" s="46"/>
      <c r="QU118" s="47"/>
      <c r="QX118" s="46"/>
      <c r="QY118" s="47"/>
      <c r="RD118" s="46"/>
    </row>
    <row r="119" spans="1:472" x14ac:dyDescent="0.25">
      <c r="A119" s="43" t="s">
        <v>407</v>
      </c>
      <c r="B119" s="44">
        <v>0.33</v>
      </c>
      <c r="F119">
        <v>31</v>
      </c>
      <c r="I119" s="47"/>
      <c r="J119" s="51"/>
      <c r="K119" s="51"/>
      <c r="L119" s="51"/>
      <c r="M119" s="51">
        <f t="shared" si="12"/>
        <v>0</v>
      </c>
      <c r="N119" s="46"/>
      <c r="O119" s="45">
        <v>32</v>
      </c>
      <c r="P119" s="52">
        <v>32</v>
      </c>
      <c r="Q119" s="52">
        <v>48</v>
      </c>
      <c r="R119" s="52">
        <v>48</v>
      </c>
      <c r="S119" s="51">
        <f t="shared" si="13"/>
        <v>0</v>
      </c>
      <c r="T119" s="46"/>
      <c r="U119" s="47"/>
      <c r="V119" s="51"/>
      <c r="W119" s="51"/>
      <c r="X119" s="51"/>
      <c r="Y119" s="51">
        <f t="shared" si="14"/>
        <v>0</v>
      </c>
      <c r="Z119" s="46"/>
      <c r="AA119" s="52">
        <v>32</v>
      </c>
      <c r="AB119">
        <v>32</v>
      </c>
      <c r="AC119">
        <v>72</v>
      </c>
      <c r="AD119">
        <v>70</v>
      </c>
      <c r="AE119" s="43">
        <v>2</v>
      </c>
      <c r="AF119" s="46"/>
      <c r="AG119" s="47"/>
      <c r="AK119" s="43">
        <v>0</v>
      </c>
      <c r="AL119" s="46"/>
      <c r="AQ119" s="43">
        <v>0</v>
      </c>
      <c r="AR119" s="46"/>
      <c r="AW119" s="43">
        <v>0</v>
      </c>
      <c r="AX119" s="46"/>
      <c r="AY119" s="45">
        <v>40</v>
      </c>
      <c r="AZ119">
        <v>40</v>
      </c>
      <c r="BA119">
        <v>96</v>
      </c>
      <c r="BB119">
        <v>98</v>
      </c>
      <c r="BC119" s="43">
        <v>-2</v>
      </c>
      <c r="BD119" s="46"/>
      <c r="BE119" s="47"/>
      <c r="BI119" s="43">
        <v>0</v>
      </c>
      <c r="BJ119" s="46"/>
      <c r="BN119">
        <v>72</v>
      </c>
      <c r="BO119">
        <v>77</v>
      </c>
      <c r="BP119" s="43">
        <v>-5</v>
      </c>
      <c r="BQ119" s="46"/>
      <c r="BT119" s="43">
        <v>0</v>
      </c>
      <c r="BU119" s="46"/>
      <c r="BV119" s="47"/>
      <c r="BX119">
        <v>136</v>
      </c>
      <c r="BY119">
        <v>134</v>
      </c>
      <c r="BZ119" s="43">
        <v>2</v>
      </c>
      <c r="CA119" s="46"/>
      <c r="CF119" s="43">
        <v>0</v>
      </c>
      <c r="CG119" s="46"/>
      <c r="CJ119">
        <v>64</v>
      </c>
      <c r="CK119">
        <v>65</v>
      </c>
      <c r="CL119" s="43">
        <v>-1</v>
      </c>
      <c r="CM119" s="46"/>
      <c r="CN119" s="47"/>
      <c r="CP119">
        <v>120</v>
      </c>
      <c r="CQ119">
        <v>120</v>
      </c>
      <c r="CR119" s="43">
        <v>0</v>
      </c>
      <c r="CS119" s="46"/>
      <c r="CX119" s="43">
        <v>0</v>
      </c>
      <c r="CY119" s="46"/>
      <c r="CZ119" s="47"/>
      <c r="DB119">
        <v>88</v>
      </c>
      <c r="DC119">
        <v>89</v>
      </c>
      <c r="DD119" s="43">
        <v>-1</v>
      </c>
      <c r="DE119" s="46"/>
      <c r="DF119" s="47"/>
      <c r="DJ119">
        <v>48</v>
      </c>
      <c r="DK119">
        <v>50</v>
      </c>
      <c r="DL119" s="43">
        <v>-2</v>
      </c>
      <c r="DM119" s="46"/>
      <c r="DN119" s="47"/>
      <c r="DP119">
        <v>48</v>
      </c>
      <c r="DQ119">
        <v>48</v>
      </c>
      <c r="DR119" s="43">
        <v>0</v>
      </c>
      <c r="DS119" s="46"/>
      <c r="DZ119" s="43">
        <v>0</v>
      </c>
      <c r="EA119" s="46"/>
      <c r="EB119" s="47"/>
      <c r="ED119">
        <v>168</v>
      </c>
      <c r="EE119">
        <v>170</v>
      </c>
      <c r="EF119" s="43">
        <v>-2</v>
      </c>
      <c r="EG119" s="46"/>
      <c r="EH119" s="47"/>
      <c r="EJ119">
        <v>16</v>
      </c>
      <c r="EK119">
        <v>16</v>
      </c>
      <c r="EL119" s="43">
        <v>0</v>
      </c>
      <c r="EM119" s="46"/>
      <c r="EN119" s="47"/>
      <c r="ER119" s="43">
        <v>0</v>
      </c>
      <c r="ES119" s="46"/>
      <c r="ET119">
        <v>40</v>
      </c>
      <c r="EU119">
        <v>40</v>
      </c>
      <c r="EV119">
        <v>40</v>
      </c>
      <c r="EW119">
        <v>40</v>
      </c>
      <c r="EX119">
        <v>40</v>
      </c>
      <c r="EY119">
        <v>40</v>
      </c>
      <c r="EZ119" s="43">
        <v>0</v>
      </c>
      <c r="FA119" s="46"/>
      <c r="FD119">
        <v>16</v>
      </c>
      <c r="FF119">
        <v>20</v>
      </c>
      <c r="FG119" s="43">
        <v>-4</v>
      </c>
      <c r="FH119" s="46"/>
      <c r="FI119" s="47"/>
      <c r="FL119" s="43">
        <v>0</v>
      </c>
      <c r="FM119" s="46"/>
      <c r="FN119" s="45">
        <v>8</v>
      </c>
      <c r="FP119">
        <v>10</v>
      </c>
      <c r="FQ119" s="43">
        <v>-2</v>
      </c>
      <c r="FR119" s="46"/>
      <c r="FS119">
        <v>112</v>
      </c>
      <c r="FV119">
        <v>110</v>
      </c>
      <c r="FW119" s="43">
        <v>2</v>
      </c>
      <c r="FX119" s="46"/>
      <c r="FY119" s="47"/>
      <c r="GB119">
        <v>56</v>
      </c>
      <c r="GC119">
        <v>60</v>
      </c>
      <c r="GD119" s="43">
        <v>-4</v>
      </c>
      <c r="GE119" s="46"/>
      <c r="GH119">
        <v>72</v>
      </c>
      <c r="GI119">
        <v>72</v>
      </c>
      <c r="GJ119" s="43">
        <v>0</v>
      </c>
      <c r="GK119" s="46"/>
      <c r="GL119" s="47"/>
      <c r="GN119">
        <v>112</v>
      </c>
      <c r="GO119">
        <v>110</v>
      </c>
      <c r="GP119" s="43">
        <v>2</v>
      </c>
      <c r="GQ119" s="46"/>
      <c r="GV119" s="43">
        <v>0</v>
      </c>
      <c r="GW119" s="46"/>
      <c r="GX119" s="45">
        <v>136</v>
      </c>
      <c r="GY119" s="48">
        <v>140</v>
      </c>
      <c r="GZ119" s="43">
        <v>-4</v>
      </c>
      <c r="HA119" s="46"/>
      <c r="HB119" s="47"/>
      <c r="HF119" s="43">
        <v>0</v>
      </c>
      <c r="HG119" s="46"/>
      <c r="HH119" s="45">
        <v>136</v>
      </c>
      <c r="HI119">
        <v>140</v>
      </c>
      <c r="HJ119" s="43">
        <v>-4</v>
      </c>
      <c r="HK119" s="46"/>
      <c r="HL119" s="47"/>
      <c r="HP119" s="43">
        <v>0</v>
      </c>
      <c r="HQ119" s="46"/>
      <c r="HV119">
        <v>96</v>
      </c>
      <c r="HW119">
        <v>100</v>
      </c>
      <c r="HX119" s="43">
        <v>-4</v>
      </c>
      <c r="HY119" s="46"/>
      <c r="HZ119" s="47"/>
      <c r="ID119" s="43">
        <v>0</v>
      </c>
      <c r="IE119" s="46"/>
      <c r="IH119">
        <v>40</v>
      </c>
      <c r="II119">
        <v>40</v>
      </c>
      <c r="IJ119" s="43">
        <v>0</v>
      </c>
      <c r="IK119" s="49"/>
      <c r="IN119">
        <v>8</v>
      </c>
      <c r="IO119">
        <v>8</v>
      </c>
      <c r="IP119" s="43">
        <v>0</v>
      </c>
      <c r="IQ119" s="49"/>
      <c r="IR119">
        <v>16</v>
      </c>
      <c r="IS119">
        <v>16</v>
      </c>
      <c r="IV119" s="43">
        <v>0</v>
      </c>
      <c r="IW119" s="49"/>
      <c r="IZ119">
        <v>32</v>
      </c>
      <c r="JA119">
        <v>32</v>
      </c>
      <c r="JB119" s="43">
        <v>0</v>
      </c>
      <c r="JC119" s="46"/>
      <c r="JF119" s="43">
        <v>0</v>
      </c>
      <c r="JG119" s="49"/>
      <c r="JJ119">
        <v>24</v>
      </c>
      <c r="JK119">
        <v>26</v>
      </c>
      <c r="JL119" s="43">
        <v>-2</v>
      </c>
      <c r="JM119" s="46"/>
      <c r="JN119" s="45">
        <v>32</v>
      </c>
      <c r="JO119" s="48">
        <v>32</v>
      </c>
      <c r="JP119" s="43">
        <v>0</v>
      </c>
      <c r="JQ119" s="49"/>
      <c r="JV119" s="43">
        <v>0</v>
      </c>
      <c r="JW119" s="49"/>
      <c r="JZ119">
        <v>48</v>
      </c>
      <c r="KA119">
        <v>50</v>
      </c>
      <c r="KB119" s="43">
        <v>-2</v>
      </c>
      <c r="KC119" s="49"/>
      <c r="KH119" s="43">
        <v>0</v>
      </c>
      <c r="KI119" s="49"/>
      <c r="KN119" s="43">
        <v>0</v>
      </c>
      <c r="KO119" s="49"/>
      <c r="KP119" s="45">
        <v>32</v>
      </c>
      <c r="KQ119">
        <v>32</v>
      </c>
      <c r="KR119">
        <v>32</v>
      </c>
      <c r="KS119">
        <v>32</v>
      </c>
      <c r="KT119">
        <v>32</v>
      </c>
      <c r="KU119">
        <v>36</v>
      </c>
      <c r="KV119" s="43">
        <v>-4</v>
      </c>
      <c r="KW119" s="49"/>
      <c r="KX119" s="48">
        <v>0</v>
      </c>
      <c r="KY119" s="48">
        <v>0</v>
      </c>
      <c r="KZ119" s="48">
        <v>0</v>
      </c>
      <c r="LA119" s="48">
        <v>0</v>
      </c>
      <c r="LB119" s="43">
        <v>0</v>
      </c>
      <c r="LC119" s="49"/>
      <c r="LD119" s="48">
        <v>0</v>
      </c>
      <c r="LE119" s="48">
        <v>0</v>
      </c>
      <c r="LF119" s="48">
        <v>0</v>
      </c>
      <c r="LG119" s="48">
        <v>0</v>
      </c>
      <c r="LH119" s="43">
        <v>0</v>
      </c>
      <c r="LI119" s="49"/>
      <c r="LJ119" s="50">
        <v>176</v>
      </c>
      <c r="LK119" s="48">
        <v>178</v>
      </c>
      <c r="LL119" s="43">
        <v>-2</v>
      </c>
      <c r="LM119" s="49"/>
      <c r="LN119" s="50">
        <v>0</v>
      </c>
      <c r="LO119" s="48">
        <v>0</v>
      </c>
      <c r="LP119" s="48">
        <v>0</v>
      </c>
      <c r="LQ119" s="48">
        <v>0</v>
      </c>
      <c r="LR119" s="48">
        <v>0</v>
      </c>
      <c r="LS119" s="43">
        <v>0</v>
      </c>
      <c r="LT119" s="49"/>
      <c r="LU119" s="50">
        <v>32</v>
      </c>
      <c r="LV119" s="48">
        <v>32</v>
      </c>
      <c r="LW119" s="48">
        <v>64</v>
      </c>
      <c r="LX119" s="48">
        <v>68</v>
      </c>
      <c r="LY119" s="43">
        <v>-4</v>
      </c>
      <c r="LZ119" s="49"/>
      <c r="MA119" s="50">
        <v>0</v>
      </c>
      <c r="MB119" s="48">
        <v>0</v>
      </c>
      <c r="MC119" s="43">
        <v>0</v>
      </c>
      <c r="MD119" s="49"/>
      <c r="ME119" s="50">
        <v>0</v>
      </c>
      <c r="MF119" s="48">
        <v>0</v>
      </c>
      <c r="MG119" s="48">
        <v>32</v>
      </c>
      <c r="MH119" s="48">
        <v>30</v>
      </c>
      <c r="MI119" s="43">
        <v>2</v>
      </c>
      <c r="MJ119" s="49"/>
      <c r="MK119" s="50">
        <v>40</v>
      </c>
      <c r="ML119" s="48">
        <v>40</v>
      </c>
      <c r="MM119" s="43">
        <v>0</v>
      </c>
      <c r="MN119" s="49"/>
      <c r="MO119" s="50"/>
      <c r="MT119" s="49"/>
      <c r="MV119" s="46"/>
      <c r="MZ119" s="49"/>
      <c r="NA119" s="50"/>
      <c r="NF119" s="49"/>
      <c r="NG119" s="50"/>
      <c r="NL119" s="49"/>
      <c r="NM119" s="50"/>
      <c r="NR119" s="49"/>
      <c r="NS119" s="50"/>
      <c r="NX119" s="49"/>
      <c r="NY119" s="50"/>
      <c r="OD119" s="49"/>
      <c r="OE119" s="50"/>
      <c r="OH119" s="49"/>
      <c r="OI119" s="50"/>
      <c r="OL119" s="49"/>
      <c r="OM119" s="50"/>
      <c r="OR119" s="49"/>
      <c r="OS119" s="50"/>
      <c r="OV119" s="49"/>
      <c r="OW119" s="50"/>
      <c r="PB119" s="49"/>
      <c r="PC119" s="50"/>
      <c r="PF119" s="49"/>
      <c r="PG119" s="50"/>
      <c r="PL119" s="49"/>
      <c r="PM119" s="47"/>
      <c r="PN119" s="48"/>
      <c r="PP119" s="48"/>
      <c r="PR119" s="49"/>
      <c r="PS119" s="47"/>
      <c r="PX119" s="46"/>
      <c r="PY119" s="47"/>
      <c r="QB119" s="46"/>
      <c r="QC119" s="47"/>
      <c r="QH119" s="46"/>
      <c r="QI119" s="47"/>
      <c r="QN119" s="46"/>
      <c r="QO119" s="47"/>
      <c r="QT119" s="46"/>
      <c r="QU119" s="47"/>
      <c r="QX119" s="46"/>
      <c r="QY119" s="47"/>
      <c r="RD119" s="46"/>
    </row>
    <row r="120" spans="1:472" x14ac:dyDescent="0.25">
      <c r="A120" s="43" t="s">
        <v>408</v>
      </c>
      <c r="B120" s="44">
        <v>1</v>
      </c>
      <c r="I120" s="47"/>
      <c r="J120" s="51"/>
      <c r="K120" s="51"/>
      <c r="L120" s="51"/>
      <c r="M120" s="51">
        <f t="shared" si="12"/>
        <v>0</v>
      </c>
      <c r="N120" s="46"/>
      <c r="O120" s="47"/>
      <c r="P120" s="51"/>
      <c r="Q120" s="51"/>
      <c r="R120" s="51"/>
      <c r="S120" s="51">
        <f t="shared" si="13"/>
        <v>0</v>
      </c>
      <c r="T120" s="46"/>
      <c r="U120" s="47"/>
      <c r="V120" s="51"/>
      <c r="W120" s="51"/>
      <c r="X120" s="51"/>
      <c r="Y120" s="51">
        <f t="shared" si="14"/>
        <v>0</v>
      </c>
      <c r="Z120" s="46"/>
      <c r="AA120" s="51"/>
      <c r="AE120" s="43">
        <v>0</v>
      </c>
      <c r="AF120" s="46"/>
      <c r="AG120" s="47"/>
      <c r="AK120" s="43">
        <v>0</v>
      </c>
      <c r="AL120" s="46"/>
      <c r="AQ120" s="43">
        <v>0</v>
      </c>
      <c r="AR120" s="46"/>
      <c r="AW120" s="43">
        <v>0</v>
      </c>
      <c r="AX120" s="46"/>
      <c r="AY120" s="47"/>
      <c r="BC120" s="43">
        <v>0</v>
      </c>
      <c r="BD120" s="46"/>
      <c r="BE120" s="47"/>
      <c r="BI120" s="43">
        <v>0</v>
      </c>
      <c r="BJ120" s="46"/>
      <c r="BP120" s="43">
        <v>0</v>
      </c>
      <c r="BQ120" s="46"/>
      <c r="BT120" s="43">
        <v>0</v>
      </c>
      <c r="BU120" s="46"/>
      <c r="BV120" s="47"/>
      <c r="BZ120" s="43">
        <v>0</v>
      </c>
      <c r="CA120" s="46"/>
      <c r="CF120" s="43">
        <v>0</v>
      </c>
      <c r="CG120" s="46"/>
      <c r="CL120" s="43">
        <v>0</v>
      </c>
      <c r="CM120" s="46"/>
      <c r="CN120" s="47"/>
      <c r="CR120" s="43">
        <v>0</v>
      </c>
      <c r="CS120" s="46"/>
      <c r="CX120" s="43">
        <v>0</v>
      </c>
      <c r="CY120" s="46"/>
      <c r="CZ120" s="47"/>
      <c r="DD120" s="43">
        <v>0</v>
      </c>
      <c r="DE120" s="46"/>
      <c r="DF120" s="47"/>
      <c r="DL120" s="43">
        <v>0</v>
      </c>
      <c r="DM120" s="46"/>
      <c r="DN120" s="47"/>
      <c r="DR120" s="43">
        <v>0</v>
      </c>
      <c r="DS120" s="46"/>
      <c r="DZ120" s="43">
        <v>0</v>
      </c>
      <c r="EA120" s="46"/>
      <c r="EB120" s="47"/>
      <c r="EF120" s="43">
        <v>0</v>
      </c>
      <c r="EG120" s="46"/>
      <c r="EH120" s="47"/>
      <c r="EL120" s="43">
        <v>0</v>
      </c>
      <c r="EM120" s="46"/>
      <c r="EN120" s="47"/>
      <c r="ER120" s="43">
        <v>0</v>
      </c>
      <c r="ES120" s="46"/>
      <c r="EZ120" s="43">
        <v>0</v>
      </c>
      <c r="FA120" s="46"/>
      <c r="FG120" s="43">
        <v>0</v>
      </c>
      <c r="FH120" s="46"/>
      <c r="FI120" s="47"/>
      <c r="FL120" s="43">
        <v>0</v>
      </c>
      <c r="FM120" s="46"/>
      <c r="FN120" s="47"/>
      <c r="FQ120" s="43">
        <v>0</v>
      </c>
      <c r="FR120" s="46"/>
      <c r="FW120" s="43">
        <v>0</v>
      </c>
      <c r="FX120" s="46"/>
      <c r="FY120" s="47"/>
      <c r="GD120" s="43">
        <v>0</v>
      </c>
      <c r="GE120" s="46"/>
      <c r="GJ120" s="43">
        <v>0</v>
      </c>
      <c r="GK120" s="46"/>
      <c r="GL120" s="47"/>
      <c r="GP120" s="43">
        <v>0</v>
      </c>
      <c r="GQ120" s="46"/>
      <c r="GV120" s="43">
        <v>0</v>
      </c>
      <c r="GW120" s="46"/>
      <c r="GX120" s="47"/>
      <c r="GZ120" s="43">
        <v>0</v>
      </c>
      <c r="HA120" s="46"/>
      <c r="HB120" s="47"/>
      <c r="HF120" s="43">
        <v>0</v>
      </c>
      <c r="HG120" s="46"/>
      <c r="HH120" s="47"/>
      <c r="HJ120" s="43">
        <v>0</v>
      </c>
      <c r="HK120" s="46"/>
      <c r="HL120" s="47"/>
      <c r="HN120">
        <v>5</v>
      </c>
      <c r="HO120">
        <v>5</v>
      </c>
      <c r="HP120" s="43">
        <v>0</v>
      </c>
      <c r="HQ120" s="46"/>
      <c r="HX120" s="43">
        <v>0</v>
      </c>
      <c r="HY120" s="46"/>
      <c r="HZ120" s="47"/>
      <c r="IB120">
        <v>26</v>
      </c>
      <c r="IC120">
        <v>24</v>
      </c>
      <c r="ID120" s="43">
        <v>2</v>
      </c>
      <c r="IE120" s="46"/>
      <c r="IJ120" s="43">
        <v>0</v>
      </c>
      <c r="IK120" s="49"/>
      <c r="IP120" s="43">
        <v>0</v>
      </c>
      <c r="IQ120" s="49"/>
      <c r="IR120">
        <v>5</v>
      </c>
      <c r="IS120">
        <v>7</v>
      </c>
      <c r="IV120" s="43">
        <v>-2</v>
      </c>
      <c r="IW120" s="49"/>
      <c r="JB120" s="43">
        <v>0</v>
      </c>
      <c r="JC120" s="46"/>
      <c r="JD120">
        <v>21</v>
      </c>
      <c r="JE120">
        <v>22</v>
      </c>
      <c r="JF120" s="43">
        <v>-1</v>
      </c>
      <c r="JG120" s="49"/>
      <c r="JL120" s="43">
        <v>0</v>
      </c>
      <c r="JM120" s="46"/>
      <c r="JN120" s="50"/>
      <c r="JP120" s="43">
        <v>0</v>
      </c>
      <c r="JQ120" s="49"/>
      <c r="JT120">
        <v>11</v>
      </c>
      <c r="JU120">
        <v>12</v>
      </c>
      <c r="JV120" s="43">
        <v>-1</v>
      </c>
      <c r="JW120" s="49"/>
      <c r="JZ120">
        <v>31</v>
      </c>
      <c r="KA120">
        <v>32</v>
      </c>
      <c r="KB120" s="43">
        <v>-1</v>
      </c>
      <c r="KC120" s="49"/>
      <c r="KH120" s="43">
        <v>0</v>
      </c>
      <c r="KI120" s="49"/>
      <c r="KL120">
        <v>26</v>
      </c>
      <c r="KM120">
        <v>50</v>
      </c>
      <c r="KN120" s="42">
        <v>-24</v>
      </c>
      <c r="KO120" s="49">
        <v>24</v>
      </c>
      <c r="KP120" s="50"/>
      <c r="KR120">
        <v>5</v>
      </c>
      <c r="KS120">
        <v>6</v>
      </c>
      <c r="KV120" s="43">
        <v>-1</v>
      </c>
      <c r="KW120" s="49"/>
      <c r="KX120" s="48">
        <v>0</v>
      </c>
      <c r="KY120" s="48">
        <v>0</v>
      </c>
      <c r="KZ120" s="48">
        <v>15.81</v>
      </c>
      <c r="LA120" s="48">
        <v>18</v>
      </c>
      <c r="LB120" s="43">
        <v>-2.19</v>
      </c>
      <c r="LC120" s="49"/>
      <c r="LD120" s="48">
        <v>0</v>
      </c>
      <c r="LE120" s="48">
        <v>0</v>
      </c>
      <c r="LF120" s="48">
        <v>5.2990000000000004</v>
      </c>
      <c r="LG120" s="48">
        <v>5</v>
      </c>
      <c r="LH120" s="43">
        <v>0.29900000000000038</v>
      </c>
      <c r="LI120" s="49"/>
      <c r="LJ120" s="50">
        <v>0</v>
      </c>
      <c r="LK120" s="48">
        <v>0</v>
      </c>
      <c r="LL120" s="43">
        <v>0</v>
      </c>
      <c r="LM120" s="49"/>
      <c r="LN120" s="50">
        <v>0</v>
      </c>
      <c r="LO120" s="48">
        <v>0</v>
      </c>
      <c r="LP120" s="48">
        <v>5.2619999999999996</v>
      </c>
      <c r="LQ120" s="48">
        <v>0</v>
      </c>
      <c r="LR120" s="48">
        <v>5</v>
      </c>
      <c r="LS120" s="43">
        <v>0.26199999999999962</v>
      </c>
      <c r="LT120" s="49"/>
      <c r="LU120" s="50">
        <v>10.182</v>
      </c>
      <c r="LV120" s="48">
        <v>10</v>
      </c>
      <c r="LW120" s="48">
        <v>41.694000000000003</v>
      </c>
      <c r="LX120" s="48">
        <v>40</v>
      </c>
      <c r="LY120" s="43">
        <v>1.876000000000005</v>
      </c>
      <c r="LZ120" s="49"/>
      <c r="MA120" s="50">
        <v>21.294</v>
      </c>
      <c r="MB120" s="48">
        <v>20</v>
      </c>
      <c r="MC120" s="43">
        <v>1.294</v>
      </c>
      <c r="MD120" s="49"/>
      <c r="ME120" s="50">
        <v>0</v>
      </c>
      <c r="MF120" s="48">
        <v>0</v>
      </c>
      <c r="MG120" s="48">
        <v>26.64</v>
      </c>
      <c r="MH120" s="48">
        <v>28</v>
      </c>
      <c r="MI120" s="43">
        <v>-1.359999999999999</v>
      </c>
      <c r="MJ120" s="49"/>
      <c r="MK120" s="50">
        <v>0</v>
      </c>
      <c r="ML120" s="48">
        <v>0</v>
      </c>
      <c r="MM120" s="43">
        <v>0</v>
      </c>
      <c r="MN120" s="49"/>
      <c r="MO120" s="50">
        <v>0</v>
      </c>
      <c r="MP120" s="48">
        <v>0</v>
      </c>
      <c r="MQ120" s="48">
        <v>26.207999999999998</v>
      </c>
      <c r="MR120" s="48">
        <v>27</v>
      </c>
      <c r="MS120" s="43">
        <v>-0.79200000000000159</v>
      </c>
      <c r="MT120" s="49"/>
      <c r="MU120" s="48">
        <v>0</v>
      </c>
      <c r="MV120" s="46"/>
      <c r="MW120" s="48">
        <v>0</v>
      </c>
      <c r="MX120" s="48">
        <v>0</v>
      </c>
      <c r="MY120" s="43">
        <v>0</v>
      </c>
      <c r="MZ120" s="49"/>
      <c r="NA120" s="50">
        <v>0</v>
      </c>
      <c r="NB120" s="48">
        <v>0</v>
      </c>
      <c r="NC120" s="48">
        <v>5.2080000000000002</v>
      </c>
      <c r="ND120" s="48">
        <v>5</v>
      </c>
      <c r="NE120" s="43">
        <v>0.20800000000000021</v>
      </c>
      <c r="NF120" s="49"/>
      <c r="NG120" s="50">
        <v>0</v>
      </c>
      <c r="NH120" s="48">
        <v>0</v>
      </c>
      <c r="NI120" s="48">
        <v>37.061</v>
      </c>
      <c r="NJ120" s="48">
        <v>40</v>
      </c>
      <c r="NK120" s="43">
        <v>-2.9390000000000001</v>
      </c>
      <c r="NL120" s="49"/>
      <c r="NM120" s="50">
        <v>0</v>
      </c>
      <c r="NN120" s="48">
        <v>0</v>
      </c>
      <c r="NO120" s="48">
        <v>5.3979999999999997</v>
      </c>
      <c r="NP120" s="48">
        <v>5</v>
      </c>
      <c r="NQ120" s="43">
        <v>0.39799999999999969</v>
      </c>
      <c r="NR120" s="49"/>
      <c r="NS120" s="50">
        <v>0</v>
      </c>
      <c r="NT120" s="48">
        <v>0</v>
      </c>
      <c r="NU120" s="48">
        <v>15.895</v>
      </c>
      <c r="NV120" s="48">
        <v>17</v>
      </c>
      <c r="NW120" s="43">
        <v>-1.105</v>
      </c>
      <c r="NX120" s="49"/>
      <c r="NY120" s="50">
        <v>0</v>
      </c>
      <c r="NZ120" s="48">
        <v>0</v>
      </c>
      <c r="OA120" s="48">
        <v>10.603</v>
      </c>
      <c r="OB120" s="48">
        <v>10</v>
      </c>
      <c r="OC120" s="43">
        <v>0.60299999999999976</v>
      </c>
      <c r="OD120" s="49"/>
      <c r="OE120" s="50">
        <v>0</v>
      </c>
      <c r="OF120" s="48">
        <v>0</v>
      </c>
      <c r="OG120" s="43">
        <v>0</v>
      </c>
      <c r="OH120" s="49"/>
      <c r="OI120" s="50">
        <v>0</v>
      </c>
      <c r="OJ120" s="48">
        <v>0</v>
      </c>
      <c r="OK120" s="43">
        <v>0</v>
      </c>
      <c r="OL120" s="49"/>
      <c r="OM120" s="50">
        <v>0</v>
      </c>
      <c r="ON120" s="48">
        <v>0</v>
      </c>
      <c r="OO120" s="48">
        <v>48.075000000000003</v>
      </c>
      <c r="OP120" s="48">
        <v>50</v>
      </c>
      <c r="OQ120" s="43">
        <v>-1.9249999999999969</v>
      </c>
      <c r="OR120" s="49"/>
      <c r="OS120" s="50">
        <v>0</v>
      </c>
      <c r="OT120" s="48">
        <v>0</v>
      </c>
      <c r="OU120" s="43">
        <v>0</v>
      </c>
      <c r="OV120" s="49"/>
      <c r="OW120" s="50">
        <v>0</v>
      </c>
      <c r="OX120" s="48">
        <v>0</v>
      </c>
      <c r="OY120" s="48">
        <v>0</v>
      </c>
      <c r="OZ120" s="48">
        <v>0</v>
      </c>
      <c r="PA120" s="43">
        <v>0</v>
      </c>
      <c r="PB120" s="49"/>
      <c r="PC120" s="50">
        <v>0</v>
      </c>
      <c r="PD120" s="48">
        <v>0</v>
      </c>
      <c r="PE120" s="43">
        <v>0</v>
      </c>
      <c r="PF120" s="49"/>
      <c r="PG120" s="50">
        <v>0</v>
      </c>
      <c r="PH120" s="48">
        <v>0</v>
      </c>
      <c r="PI120" s="48">
        <v>15.683</v>
      </c>
      <c r="PJ120" s="48">
        <v>17</v>
      </c>
      <c r="PK120" s="43">
        <v>-1.3169999999999999</v>
      </c>
      <c r="PL120" s="49"/>
      <c r="PM120" s="47">
        <v>0</v>
      </c>
      <c r="PN120" s="48">
        <v>0</v>
      </c>
      <c r="PO120" s="48">
        <v>0</v>
      </c>
      <c r="PP120" s="48">
        <v>0</v>
      </c>
      <c r="PQ120" s="43">
        <v>0</v>
      </c>
      <c r="PR120" s="49"/>
      <c r="PS120" s="47">
        <v>0</v>
      </c>
      <c r="PT120" s="43">
        <v>0</v>
      </c>
      <c r="PU120" s="43">
        <v>0</v>
      </c>
      <c r="PV120" s="43">
        <v>0</v>
      </c>
      <c r="PW120" s="43">
        <v>0</v>
      </c>
      <c r="PX120" s="46"/>
      <c r="PY120" s="47">
        <v>58.603999999999999</v>
      </c>
      <c r="PZ120" s="43">
        <v>60</v>
      </c>
      <c r="QA120" s="43">
        <v>-1.396000000000001</v>
      </c>
      <c r="QB120" s="46"/>
      <c r="QC120" s="47">
        <v>0</v>
      </c>
      <c r="QD120" s="43">
        <v>0</v>
      </c>
      <c r="QE120" s="43">
        <v>0</v>
      </c>
      <c r="QF120" s="43">
        <v>0</v>
      </c>
      <c r="QG120" s="43">
        <v>0</v>
      </c>
      <c r="QH120" s="46"/>
      <c r="QI120" s="47">
        <v>36.436999999999998</v>
      </c>
      <c r="QJ120" s="43">
        <v>40</v>
      </c>
      <c r="QK120" s="43">
        <v>0</v>
      </c>
      <c r="QL120" s="43">
        <v>40</v>
      </c>
      <c r="QM120" s="42">
        <v>-43.563000000000002</v>
      </c>
      <c r="QN120" s="46">
        <v>43.563000000000002</v>
      </c>
      <c r="QO120" s="47">
        <v>0</v>
      </c>
      <c r="QP120" s="43">
        <v>0</v>
      </c>
      <c r="QQ120" s="43">
        <v>0</v>
      </c>
      <c r="QR120" s="43">
        <v>0</v>
      </c>
      <c r="QS120" s="43">
        <v>0</v>
      </c>
      <c r="QT120" s="46"/>
      <c r="QU120" s="47">
        <v>0</v>
      </c>
      <c r="QV120" s="43">
        <v>0</v>
      </c>
      <c r="QW120" s="43">
        <v>0</v>
      </c>
      <c r="QX120" s="46"/>
      <c r="QY120" s="47">
        <v>0</v>
      </c>
      <c r="QZ120" s="43">
        <v>0</v>
      </c>
      <c r="RA120" s="43">
        <v>0</v>
      </c>
      <c r="RB120" s="43">
        <v>0</v>
      </c>
      <c r="RC120" s="43">
        <v>0</v>
      </c>
      <c r="RD120" s="46"/>
    </row>
    <row r="121" spans="1:472" x14ac:dyDescent="0.25">
      <c r="A121" s="43" t="s">
        <v>409</v>
      </c>
      <c r="B121" s="44">
        <v>0.33</v>
      </c>
      <c r="F121">
        <v>8</v>
      </c>
      <c r="I121" s="47"/>
      <c r="J121" s="51"/>
      <c r="K121" s="52">
        <v>32</v>
      </c>
      <c r="L121" s="52">
        <v>31</v>
      </c>
      <c r="M121" s="51">
        <f t="shared" si="12"/>
        <v>1</v>
      </c>
      <c r="N121" s="46"/>
      <c r="O121" s="47"/>
      <c r="P121" s="51"/>
      <c r="Q121" s="51"/>
      <c r="R121" s="51"/>
      <c r="S121" s="51">
        <f t="shared" si="13"/>
        <v>0</v>
      </c>
      <c r="T121" s="46"/>
      <c r="U121" s="45">
        <v>8</v>
      </c>
      <c r="V121" s="52">
        <v>8</v>
      </c>
      <c r="W121" s="52">
        <v>8</v>
      </c>
      <c r="X121" s="52">
        <v>8</v>
      </c>
      <c r="Y121" s="51">
        <f t="shared" si="14"/>
        <v>0</v>
      </c>
      <c r="Z121" s="46"/>
      <c r="AA121" s="51"/>
      <c r="AD121">
        <v>58</v>
      </c>
      <c r="AE121" s="42">
        <v>-58</v>
      </c>
      <c r="AF121" s="46">
        <v>19.14</v>
      </c>
      <c r="AG121" s="47"/>
      <c r="AK121" s="43">
        <v>0</v>
      </c>
      <c r="AL121" s="46"/>
      <c r="AO121">
        <v>40</v>
      </c>
      <c r="AP121">
        <v>40</v>
      </c>
      <c r="AQ121" s="43">
        <v>0</v>
      </c>
      <c r="AR121" s="46"/>
      <c r="AW121" s="43">
        <v>0</v>
      </c>
      <c r="AX121" s="46"/>
      <c r="AY121" s="47"/>
      <c r="BB121">
        <v>37</v>
      </c>
      <c r="BC121" s="42">
        <v>-37</v>
      </c>
      <c r="BD121" s="46">
        <v>12.21</v>
      </c>
      <c r="BE121" s="47"/>
      <c r="BI121" s="43">
        <v>0</v>
      </c>
      <c r="BJ121" s="46"/>
      <c r="BN121">
        <v>16</v>
      </c>
      <c r="BO121">
        <v>17</v>
      </c>
      <c r="BP121" s="43">
        <v>-1</v>
      </c>
      <c r="BQ121" s="46"/>
      <c r="BT121" s="43">
        <v>0</v>
      </c>
      <c r="BU121" s="46"/>
      <c r="BV121" s="45">
        <v>72</v>
      </c>
      <c r="BW121">
        <v>76</v>
      </c>
      <c r="BX121">
        <v>8</v>
      </c>
      <c r="BY121">
        <v>8</v>
      </c>
      <c r="BZ121" s="43">
        <v>-4</v>
      </c>
      <c r="CA121" s="46"/>
      <c r="CD121">
        <v>8</v>
      </c>
      <c r="CE121">
        <v>12</v>
      </c>
      <c r="CF121" s="43">
        <v>-4</v>
      </c>
      <c r="CG121" s="46"/>
      <c r="CJ121">
        <v>8</v>
      </c>
      <c r="CK121">
        <v>8</v>
      </c>
      <c r="CL121" s="43">
        <v>0</v>
      </c>
      <c r="CM121" s="46"/>
      <c r="CN121" s="47"/>
      <c r="CP121">
        <v>104</v>
      </c>
      <c r="CQ121">
        <v>108</v>
      </c>
      <c r="CR121" s="43">
        <v>-4</v>
      </c>
      <c r="CS121" s="46"/>
      <c r="CX121" s="43">
        <v>0</v>
      </c>
      <c r="CY121" s="46"/>
      <c r="CZ121" s="47"/>
      <c r="DB121">
        <v>24</v>
      </c>
      <c r="DC121">
        <v>26</v>
      </c>
      <c r="DD121" s="43">
        <v>-2</v>
      </c>
      <c r="DE121" s="46"/>
      <c r="DF121" s="47"/>
      <c r="DJ121">
        <v>96</v>
      </c>
      <c r="DK121">
        <v>96</v>
      </c>
      <c r="DL121" s="43">
        <v>0</v>
      </c>
      <c r="DM121" s="46"/>
      <c r="DN121" s="47"/>
      <c r="DR121" s="43">
        <v>0</v>
      </c>
      <c r="DS121" s="46"/>
      <c r="DZ121" s="43">
        <v>0</v>
      </c>
      <c r="EA121" s="46"/>
      <c r="EB121" s="47"/>
      <c r="ED121">
        <v>200</v>
      </c>
      <c r="EE121">
        <v>200</v>
      </c>
      <c r="EF121" s="43">
        <v>0</v>
      </c>
      <c r="EG121" s="46"/>
      <c r="EH121" s="47"/>
      <c r="EJ121">
        <v>24</v>
      </c>
      <c r="EK121">
        <v>28</v>
      </c>
      <c r="EL121" s="43">
        <v>-4</v>
      </c>
      <c r="EM121" s="46"/>
      <c r="EN121" s="47"/>
      <c r="ER121" s="43">
        <v>0</v>
      </c>
      <c r="ES121" s="46"/>
      <c r="ET121">
        <v>40</v>
      </c>
      <c r="EU121">
        <v>40</v>
      </c>
      <c r="EV121">
        <v>40</v>
      </c>
      <c r="EW121">
        <v>40</v>
      </c>
      <c r="EX121">
        <v>48</v>
      </c>
      <c r="EY121">
        <v>50</v>
      </c>
      <c r="EZ121" s="43">
        <v>-2</v>
      </c>
      <c r="FA121" s="46"/>
      <c r="FD121">
        <v>48</v>
      </c>
      <c r="FF121">
        <v>48</v>
      </c>
      <c r="FG121" s="43">
        <v>0</v>
      </c>
      <c r="FH121" s="46"/>
      <c r="FI121" s="47"/>
      <c r="FL121" s="43">
        <v>0</v>
      </c>
      <c r="FM121" s="46"/>
      <c r="FN121" s="45">
        <v>168</v>
      </c>
      <c r="FP121">
        <v>167</v>
      </c>
      <c r="FQ121" s="43">
        <v>1</v>
      </c>
      <c r="FR121" s="46"/>
      <c r="FW121" s="43">
        <v>0</v>
      </c>
      <c r="FX121" s="46"/>
      <c r="FY121" s="47"/>
      <c r="GD121" s="43">
        <v>0</v>
      </c>
      <c r="GE121" s="46"/>
      <c r="GJ121" s="43">
        <v>0</v>
      </c>
      <c r="GK121" s="46"/>
      <c r="GL121" s="47"/>
      <c r="GN121">
        <v>152</v>
      </c>
      <c r="GO121">
        <v>150</v>
      </c>
      <c r="GP121" s="43">
        <v>2</v>
      </c>
      <c r="GQ121" s="46"/>
      <c r="GV121" s="43">
        <v>0</v>
      </c>
      <c r="GW121" s="46"/>
      <c r="GX121" s="45">
        <v>96</v>
      </c>
      <c r="GY121" s="48">
        <v>100</v>
      </c>
      <c r="GZ121" s="43">
        <v>-4</v>
      </c>
      <c r="HA121" s="46"/>
      <c r="HB121" s="47"/>
      <c r="HF121" s="43">
        <v>0</v>
      </c>
      <c r="HG121" s="46"/>
      <c r="HH121" s="45">
        <v>136</v>
      </c>
      <c r="HI121">
        <v>140</v>
      </c>
      <c r="HJ121" s="43">
        <v>-4</v>
      </c>
      <c r="HK121" s="46"/>
      <c r="HL121" s="47"/>
      <c r="HP121" s="43">
        <v>0</v>
      </c>
      <c r="HQ121" s="46"/>
      <c r="HV121">
        <v>48</v>
      </c>
      <c r="HW121">
        <v>50</v>
      </c>
      <c r="HX121" s="43">
        <v>-2</v>
      </c>
      <c r="HY121" s="46"/>
      <c r="HZ121" s="45">
        <v>80</v>
      </c>
      <c r="IA121">
        <v>80</v>
      </c>
      <c r="IB121">
        <v>80</v>
      </c>
      <c r="IC121">
        <v>80</v>
      </c>
      <c r="ID121" s="43">
        <v>0</v>
      </c>
      <c r="IE121" s="46"/>
      <c r="II121">
        <v>120</v>
      </c>
      <c r="IJ121" s="42">
        <v>-120</v>
      </c>
      <c r="IK121" s="49">
        <v>39.6</v>
      </c>
      <c r="IN121">
        <v>80</v>
      </c>
      <c r="IO121">
        <v>80</v>
      </c>
      <c r="IP121" s="43">
        <v>0</v>
      </c>
      <c r="IQ121" s="49"/>
      <c r="IR121">
        <v>80</v>
      </c>
      <c r="IS121">
        <v>80</v>
      </c>
      <c r="IT121">
        <v>40</v>
      </c>
      <c r="IU121">
        <v>40</v>
      </c>
      <c r="IV121" s="43">
        <v>0</v>
      </c>
      <c r="IW121" s="49"/>
      <c r="JB121" s="43">
        <v>0</v>
      </c>
      <c r="JC121" s="46"/>
      <c r="JD121">
        <v>16</v>
      </c>
      <c r="JE121">
        <v>20</v>
      </c>
      <c r="JF121" s="43">
        <v>-4</v>
      </c>
      <c r="JG121" s="49"/>
      <c r="JH121">
        <v>112</v>
      </c>
      <c r="JI121">
        <v>110</v>
      </c>
      <c r="JJ121">
        <v>112</v>
      </c>
      <c r="JK121">
        <v>114</v>
      </c>
      <c r="JL121" s="43">
        <v>0</v>
      </c>
      <c r="JM121" s="46"/>
      <c r="JN121" s="45">
        <v>120</v>
      </c>
      <c r="JO121" s="48">
        <v>120</v>
      </c>
      <c r="JP121" s="43">
        <v>0</v>
      </c>
      <c r="JQ121" s="49"/>
      <c r="JT121">
        <v>128</v>
      </c>
      <c r="JU121">
        <v>130</v>
      </c>
      <c r="JV121" s="43">
        <v>-2</v>
      </c>
      <c r="JW121" s="49"/>
      <c r="JX121">
        <v>96</v>
      </c>
      <c r="JY121">
        <v>100</v>
      </c>
      <c r="KB121" s="43">
        <v>-4</v>
      </c>
      <c r="KC121" s="49"/>
      <c r="KH121" s="43">
        <v>0</v>
      </c>
      <c r="KI121" s="49"/>
      <c r="KJ121">
        <v>40</v>
      </c>
      <c r="KK121">
        <v>40</v>
      </c>
      <c r="KL121">
        <v>48</v>
      </c>
      <c r="KM121">
        <v>50</v>
      </c>
      <c r="KN121" s="43">
        <v>-2</v>
      </c>
      <c r="KO121" s="49"/>
      <c r="KP121" s="45">
        <v>88</v>
      </c>
      <c r="KQ121">
        <v>90</v>
      </c>
      <c r="KR121">
        <v>96</v>
      </c>
      <c r="KS121">
        <v>100</v>
      </c>
      <c r="KT121">
        <v>104</v>
      </c>
      <c r="KU121">
        <v>103</v>
      </c>
      <c r="KV121" s="43">
        <v>-5</v>
      </c>
      <c r="KW121" s="49"/>
      <c r="KX121" s="48">
        <v>0</v>
      </c>
      <c r="KY121" s="48">
        <v>0</v>
      </c>
      <c r="KZ121" s="48">
        <v>0</v>
      </c>
      <c r="LA121" s="48">
        <v>0</v>
      </c>
      <c r="LB121" s="43">
        <v>0</v>
      </c>
      <c r="LC121" s="49"/>
      <c r="LD121" s="48">
        <v>0</v>
      </c>
      <c r="LE121" s="48">
        <v>0</v>
      </c>
      <c r="LF121" s="48">
        <v>88</v>
      </c>
      <c r="LG121" s="48">
        <v>90</v>
      </c>
      <c r="LH121" s="43">
        <v>-2</v>
      </c>
      <c r="LI121" s="49"/>
      <c r="LJ121" s="50">
        <v>248</v>
      </c>
      <c r="LK121" s="48">
        <v>250</v>
      </c>
      <c r="LL121" s="43">
        <v>-2</v>
      </c>
      <c r="LM121" s="49"/>
      <c r="LN121" s="50">
        <v>0</v>
      </c>
      <c r="LO121" s="48">
        <v>0</v>
      </c>
      <c r="LP121" s="48">
        <v>88</v>
      </c>
      <c r="LQ121" s="48">
        <v>0</v>
      </c>
      <c r="LR121" s="48">
        <v>90</v>
      </c>
      <c r="LS121" s="43">
        <v>-2</v>
      </c>
      <c r="LT121" s="49"/>
      <c r="LU121" s="50">
        <v>56</v>
      </c>
      <c r="LV121" s="48">
        <v>60</v>
      </c>
      <c r="LW121" s="48">
        <v>48</v>
      </c>
      <c r="LX121" s="48">
        <v>50</v>
      </c>
      <c r="LY121" s="43">
        <v>-6</v>
      </c>
      <c r="LZ121" s="49"/>
      <c r="MA121" s="50">
        <v>72</v>
      </c>
      <c r="MB121" s="48">
        <v>72</v>
      </c>
      <c r="MC121" s="43">
        <v>0</v>
      </c>
      <c r="MD121" s="49"/>
      <c r="ME121" s="50">
        <v>0</v>
      </c>
      <c r="MF121" s="48">
        <v>0</v>
      </c>
      <c r="MG121" s="48">
        <v>16</v>
      </c>
      <c r="MH121" s="48">
        <v>16</v>
      </c>
      <c r="MI121" s="43">
        <v>0</v>
      </c>
      <c r="MJ121" s="49"/>
      <c r="MK121" s="50">
        <v>40</v>
      </c>
      <c r="ML121" s="48">
        <v>40</v>
      </c>
      <c r="MM121" s="43">
        <v>0</v>
      </c>
      <c r="MN121" s="49"/>
      <c r="MO121" s="50">
        <v>0</v>
      </c>
      <c r="MP121" s="48">
        <v>0</v>
      </c>
      <c r="MQ121" s="48">
        <v>8</v>
      </c>
      <c r="MR121" s="48">
        <v>8</v>
      </c>
      <c r="MS121" s="43">
        <v>0</v>
      </c>
      <c r="MT121" s="49"/>
      <c r="MU121" s="48">
        <v>0</v>
      </c>
      <c r="MV121" s="46"/>
      <c r="MW121" s="48">
        <v>0</v>
      </c>
      <c r="MX121" s="48">
        <v>0</v>
      </c>
      <c r="MY121" s="43">
        <v>0</v>
      </c>
      <c r="MZ121" s="49"/>
      <c r="NA121" s="50">
        <v>0</v>
      </c>
      <c r="NB121" s="48">
        <v>0</v>
      </c>
      <c r="NC121" s="48">
        <v>24</v>
      </c>
      <c r="ND121" s="48">
        <v>25</v>
      </c>
      <c r="NE121" s="43">
        <v>-1</v>
      </c>
      <c r="NF121" s="49"/>
      <c r="NG121" s="50">
        <v>0</v>
      </c>
      <c r="NH121" s="48">
        <v>0</v>
      </c>
      <c r="NI121" s="48">
        <v>48</v>
      </c>
      <c r="NJ121" s="48">
        <v>50</v>
      </c>
      <c r="NK121" s="43">
        <v>-2</v>
      </c>
      <c r="NL121" s="49"/>
      <c r="NM121" s="50">
        <v>0</v>
      </c>
      <c r="NN121" s="48">
        <v>0</v>
      </c>
      <c r="NO121" s="48">
        <v>16</v>
      </c>
      <c r="NP121" s="48">
        <v>16</v>
      </c>
      <c r="NQ121" s="43">
        <v>0</v>
      </c>
      <c r="NR121" s="49"/>
      <c r="NS121" s="50">
        <v>0</v>
      </c>
      <c r="NT121" s="48">
        <v>0</v>
      </c>
      <c r="NU121" s="48">
        <v>88</v>
      </c>
      <c r="NV121" s="48">
        <v>93</v>
      </c>
      <c r="NW121" s="43">
        <v>-5</v>
      </c>
      <c r="NX121" s="49"/>
      <c r="NY121" s="50">
        <v>0</v>
      </c>
      <c r="NZ121" s="48">
        <v>0</v>
      </c>
      <c r="OA121" s="48">
        <v>8</v>
      </c>
      <c r="OB121" s="48">
        <v>10</v>
      </c>
      <c r="OC121" s="43">
        <v>-2</v>
      </c>
      <c r="OD121" s="49"/>
      <c r="OE121" s="50">
        <v>40</v>
      </c>
      <c r="OF121" s="48">
        <v>40</v>
      </c>
      <c r="OG121" s="43">
        <v>0</v>
      </c>
      <c r="OH121" s="49"/>
      <c r="OI121" s="50">
        <v>104</v>
      </c>
      <c r="OJ121" s="48">
        <v>108</v>
      </c>
      <c r="OK121" s="43">
        <v>-4</v>
      </c>
      <c r="OL121" s="49"/>
      <c r="OM121" s="50">
        <v>0</v>
      </c>
      <c r="ON121" s="48">
        <v>0</v>
      </c>
      <c r="OO121" s="48">
        <v>8</v>
      </c>
      <c r="OP121" s="48">
        <v>10</v>
      </c>
      <c r="OQ121" s="43">
        <v>-2</v>
      </c>
      <c r="OR121" s="49"/>
      <c r="OS121" s="50">
        <v>48</v>
      </c>
      <c r="OT121" s="48">
        <v>50</v>
      </c>
      <c r="OU121" s="43">
        <v>-2</v>
      </c>
      <c r="OV121" s="49"/>
      <c r="OW121" s="50">
        <v>0</v>
      </c>
      <c r="OX121" s="48">
        <v>0</v>
      </c>
      <c r="OY121" s="48">
        <v>24</v>
      </c>
      <c r="OZ121" s="48">
        <v>26</v>
      </c>
      <c r="PA121" s="43">
        <v>-2</v>
      </c>
      <c r="PB121" s="49"/>
      <c r="PC121" s="50">
        <v>40</v>
      </c>
      <c r="PD121" s="48">
        <v>42</v>
      </c>
      <c r="PE121" s="43">
        <v>-2</v>
      </c>
      <c r="PF121" s="49"/>
      <c r="PG121" s="50">
        <v>0</v>
      </c>
      <c r="PH121" s="48">
        <v>0</v>
      </c>
      <c r="PI121" s="48">
        <v>0</v>
      </c>
      <c r="PJ121" s="33">
        <v>24</v>
      </c>
      <c r="PK121" s="42">
        <v>-24</v>
      </c>
      <c r="PL121" s="49">
        <v>7.92</v>
      </c>
      <c r="PM121" s="47">
        <v>0</v>
      </c>
      <c r="PN121" s="48">
        <v>0</v>
      </c>
      <c r="PO121" s="48">
        <v>0</v>
      </c>
      <c r="PP121" s="48">
        <v>0</v>
      </c>
      <c r="PQ121" s="43">
        <v>0</v>
      </c>
      <c r="PR121" s="49"/>
      <c r="PS121" s="47">
        <v>16</v>
      </c>
      <c r="PT121" s="43">
        <v>20</v>
      </c>
      <c r="PU121" s="43">
        <v>0</v>
      </c>
      <c r="PV121" s="43">
        <v>0</v>
      </c>
      <c r="PW121" s="43">
        <v>-4</v>
      </c>
      <c r="PX121" s="46"/>
      <c r="PY121" s="47">
        <v>80</v>
      </c>
      <c r="PZ121" s="43">
        <v>83</v>
      </c>
      <c r="QA121" s="43">
        <v>-3</v>
      </c>
      <c r="QB121" s="46"/>
      <c r="QC121" s="47">
        <v>0</v>
      </c>
      <c r="QD121" s="43">
        <v>0</v>
      </c>
      <c r="QE121" s="43">
        <v>0</v>
      </c>
      <c r="QF121" s="43">
        <v>0</v>
      </c>
      <c r="QG121" s="43">
        <v>0</v>
      </c>
      <c r="QH121" s="46"/>
      <c r="QI121" s="47">
        <v>80</v>
      </c>
      <c r="QJ121" s="43">
        <v>80</v>
      </c>
      <c r="QK121" s="43">
        <v>0</v>
      </c>
      <c r="QL121" s="43">
        <v>0</v>
      </c>
      <c r="QM121" s="43">
        <v>0</v>
      </c>
      <c r="QN121" s="46"/>
      <c r="QO121" s="47">
        <v>0</v>
      </c>
      <c r="QP121" s="43">
        <v>0</v>
      </c>
      <c r="QQ121" s="43">
        <v>0</v>
      </c>
      <c r="QR121" s="43">
        <v>0</v>
      </c>
      <c r="QS121" s="43">
        <v>0</v>
      </c>
      <c r="QT121" s="46"/>
      <c r="QU121" s="47">
        <v>0</v>
      </c>
      <c r="QV121" s="43">
        <v>0</v>
      </c>
      <c r="QW121" s="43">
        <v>0</v>
      </c>
      <c r="QX121" s="46"/>
      <c r="QY121" s="47">
        <v>0</v>
      </c>
      <c r="QZ121" s="43">
        <v>0</v>
      </c>
      <c r="RA121" s="43">
        <v>0</v>
      </c>
      <c r="RB121" s="43">
        <v>0</v>
      </c>
      <c r="RC121" s="43">
        <v>0</v>
      </c>
      <c r="RD121" s="46"/>
    </row>
    <row r="122" spans="1:472" x14ac:dyDescent="0.25">
      <c r="A122" s="43" t="s">
        <v>410</v>
      </c>
      <c r="B122" s="44">
        <v>1</v>
      </c>
      <c r="I122" s="47"/>
      <c r="J122" s="51"/>
      <c r="K122" s="51"/>
      <c r="L122" s="51"/>
      <c r="M122" s="51">
        <f t="shared" si="12"/>
        <v>0</v>
      </c>
      <c r="N122" s="46"/>
      <c r="O122" s="47"/>
      <c r="P122" s="51"/>
      <c r="Q122" s="51"/>
      <c r="R122" s="51"/>
      <c r="S122" s="51">
        <f t="shared" si="13"/>
        <v>0</v>
      </c>
      <c r="T122" s="46"/>
      <c r="U122" s="47"/>
      <c r="V122" s="51"/>
      <c r="W122" s="51"/>
      <c r="X122" s="51"/>
      <c r="Y122" s="51">
        <f t="shared" si="14"/>
        <v>0</v>
      </c>
      <c r="Z122" s="46"/>
      <c r="AA122" s="51"/>
      <c r="AE122" s="43">
        <v>0</v>
      </c>
      <c r="AF122" s="46"/>
      <c r="AG122" s="47"/>
      <c r="AK122" s="43">
        <v>0</v>
      </c>
      <c r="AL122" s="46"/>
      <c r="AQ122" s="43">
        <v>0</v>
      </c>
      <c r="AR122" s="46"/>
      <c r="AW122" s="43">
        <v>0</v>
      </c>
      <c r="AX122" s="46"/>
      <c r="AY122" s="47"/>
      <c r="BC122" s="43">
        <v>0</v>
      </c>
      <c r="BD122" s="46"/>
      <c r="BE122" s="47"/>
      <c r="BI122" s="43">
        <v>0</v>
      </c>
      <c r="BJ122" s="46"/>
      <c r="BP122" s="43">
        <v>0</v>
      </c>
      <c r="BQ122" s="46"/>
      <c r="BT122" s="43">
        <v>0</v>
      </c>
      <c r="BU122" s="46"/>
      <c r="BV122" s="47"/>
      <c r="BZ122" s="43">
        <v>0</v>
      </c>
      <c r="CA122" s="46"/>
      <c r="CF122" s="43">
        <v>0</v>
      </c>
      <c r="CG122" s="46"/>
      <c r="CL122" s="43">
        <v>0</v>
      </c>
      <c r="CM122" s="46"/>
      <c r="CN122" s="47"/>
      <c r="CR122" s="43">
        <v>0</v>
      </c>
      <c r="CS122" s="46"/>
      <c r="CX122" s="43">
        <v>0</v>
      </c>
      <c r="CY122" s="46"/>
      <c r="CZ122" s="47"/>
      <c r="DD122" s="43">
        <v>0</v>
      </c>
      <c r="DE122" s="46"/>
      <c r="DF122" s="47"/>
      <c r="DL122" s="43">
        <v>0</v>
      </c>
      <c r="DM122" s="46"/>
      <c r="DN122" s="47"/>
      <c r="DR122" s="43">
        <v>0</v>
      </c>
      <c r="DS122" s="46"/>
      <c r="DZ122" s="43">
        <v>0</v>
      </c>
      <c r="EA122" s="46"/>
      <c r="EB122" s="47"/>
      <c r="EF122" s="43">
        <v>0</v>
      </c>
      <c r="EG122" s="46"/>
      <c r="EH122" s="47"/>
      <c r="EL122" s="43">
        <v>0</v>
      </c>
      <c r="EM122" s="46"/>
      <c r="EN122" s="47"/>
      <c r="ER122" s="43">
        <v>0</v>
      </c>
      <c r="ES122" s="46"/>
      <c r="EZ122" s="43">
        <v>0</v>
      </c>
      <c r="FA122" s="46"/>
      <c r="FG122" s="43">
        <v>0</v>
      </c>
      <c r="FH122" s="46"/>
      <c r="FI122" s="47"/>
      <c r="FL122" s="43">
        <v>0</v>
      </c>
      <c r="FM122" s="46"/>
      <c r="FN122" s="47"/>
      <c r="FQ122" s="43">
        <v>0</v>
      </c>
      <c r="FR122" s="46"/>
      <c r="FW122" s="43">
        <v>0</v>
      </c>
      <c r="FX122" s="46"/>
      <c r="FY122" s="47"/>
      <c r="GD122" s="43">
        <v>0</v>
      </c>
      <c r="GE122" s="46"/>
      <c r="GJ122" s="43">
        <v>0</v>
      </c>
      <c r="GK122" s="46"/>
      <c r="GL122" s="47"/>
      <c r="GN122">
        <v>10</v>
      </c>
      <c r="GO122">
        <v>8</v>
      </c>
      <c r="GP122" s="43">
        <v>2</v>
      </c>
      <c r="GQ122" s="46"/>
      <c r="GV122" s="43">
        <v>0</v>
      </c>
      <c r="GW122" s="46"/>
      <c r="GX122" s="47"/>
      <c r="GZ122" s="43">
        <v>0</v>
      </c>
      <c r="HA122" s="46"/>
      <c r="HB122" s="47"/>
      <c r="HF122" s="43">
        <v>0</v>
      </c>
      <c r="HG122" s="46"/>
      <c r="HH122" s="47"/>
      <c r="HJ122" s="43">
        <v>0</v>
      </c>
      <c r="HK122" s="46"/>
      <c r="HL122" s="47"/>
      <c r="HP122" s="43">
        <v>0</v>
      </c>
      <c r="HQ122" s="46"/>
      <c r="HX122" s="43">
        <v>0</v>
      </c>
      <c r="HY122" s="46"/>
      <c r="HZ122" s="47"/>
      <c r="IB122">
        <v>10</v>
      </c>
      <c r="IC122">
        <v>10</v>
      </c>
      <c r="ID122" s="43">
        <v>0</v>
      </c>
      <c r="IE122" s="46"/>
      <c r="IH122">
        <v>5</v>
      </c>
      <c r="II122">
        <v>5</v>
      </c>
      <c r="IJ122" s="43">
        <v>0</v>
      </c>
      <c r="IK122" s="49"/>
      <c r="IP122" s="43">
        <v>0</v>
      </c>
      <c r="IQ122" s="49"/>
      <c r="IV122" s="43">
        <v>0</v>
      </c>
      <c r="IW122" s="49"/>
      <c r="JB122" s="43">
        <v>0</v>
      </c>
      <c r="JC122" s="46"/>
      <c r="JD122">
        <v>5</v>
      </c>
      <c r="JE122">
        <v>4</v>
      </c>
      <c r="JF122" s="43">
        <v>1</v>
      </c>
      <c r="JG122" s="49"/>
      <c r="JL122" s="43">
        <v>0</v>
      </c>
      <c r="JM122" s="46"/>
      <c r="JN122" s="45">
        <v>10</v>
      </c>
      <c r="JO122" s="48">
        <v>12</v>
      </c>
      <c r="JP122" s="43">
        <v>-2</v>
      </c>
      <c r="JQ122" s="49"/>
      <c r="JV122" s="43">
        <v>0</v>
      </c>
      <c r="JW122" s="49"/>
      <c r="KB122" s="43">
        <v>0</v>
      </c>
      <c r="KC122" s="49"/>
      <c r="KD122">
        <v>11</v>
      </c>
      <c r="KE122">
        <v>8</v>
      </c>
      <c r="KH122" s="43">
        <v>3</v>
      </c>
      <c r="KI122" s="49"/>
      <c r="KM122">
        <v>12</v>
      </c>
      <c r="KN122" s="42">
        <v>-12</v>
      </c>
      <c r="KO122" s="49">
        <v>12</v>
      </c>
      <c r="KP122" s="50"/>
      <c r="KU122">
        <v>7</v>
      </c>
      <c r="KV122" s="42">
        <v>-7</v>
      </c>
      <c r="KW122" s="49">
        <v>7</v>
      </c>
      <c r="KX122" s="48">
        <v>0</v>
      </c>
      <c r="KY122" s="48">
        <v>0</v>
      </c>
      <c r="KZ122" s="48">
        <v>10.41</v>
      </c>
      <c r="LA122" s="48">
        <v>13</v>
      </c>
      <c r="LB122" s="43">
        <v>-2.59</v>
      </c>
      <c r="LC122" s="49"/>
      <c r="LD122" s="48">
        <v>0</v>
      </c>
      <c r="LE122" s="48">
        <v>0</v>
      </c>
      <c r="LF122" s="48">
        <v>0</v>
      </c>
      <c r="LG122" s="48">
        <v>8</v>
      </c>
      <c r="LH122" s="42">
        <v>-8</v>
      </c>
      <c r="LI122" s="49">
        <v>8</v>
      </c>
      <c r="LJ122" s="50">
        <v>0</v>
      </c>
      <c r="LK122" s="48">
        <v>0</v>
      </c>
      <c r="LL122" s="43">
        <v>0</v>
      </c>
      <c r="LM122" s="49"/>
      <c r="LN122" s="50">
        <v>0</v>
      </c>
      <c r="LO122" s="48">
        <v>0</v>
      </c>
      <c r="LP122" s="48">
        <v>10.430999999999999</v>
      </c>
      <c r="LQ122" s="48">
        <v>0</v>
      </c>
      <c r="LR122" s="48">
        <v>8</v>
      </c>
      <c r="LS122" s="43">
        <v>2.4309999999999992</v>
      </c>
      <c r="LT122" s="49"/>
      <c r="LU122" s="50">
        <v>0</v>
      </c>
      <c r="LV122" s="48">
        <v>0</v>
      </c>
      <c r="LW122" s="48">
        <v>10.284000000000001</v>
      </c>
      <c r="LX122" s="48">
        <v>10</v>
      </c>
      <c r="LY122" s="43">
        <v>0.2840000000000007</v>
      </c>
      <c r="LZ122" s="49"/>
      <c r="MA122" s="50">
        <v>10.442</v>
      </c>
      <c r="MB122" s="48">
        <v>10</v>
      </c>
      <c r="MC122" s="43">
        <v>0.44200000000000023</v>
      </c>
      <c r="MD122" s="49"/>
      <c r="ME122" s="50">
        <v>0</v>
      </c>
      <c r="MF122" s="48">
        <v>0</v>
      </c>
      <c r="MG122" s="48">
        <v>0</v>
      </c>
      <c r="MH122" s="33">
        <v>11</v>
      </c>
      <c r="MI122" s="42">
        <v>-11</v>
      </c>
      <c r="MJ122" s="49">
        <v>11</v>
      </c>
      <c r="MK122" s="50">
        <v>5.26</v>
      </c>
      <c r="ML122" s="48">
        <v>5</v>
      </c>
      <c r="MM122" s="43">
        <v>0.25999999999999979</v>
      </c>
      <c r="MN122" s="49"/>
      <c r="MO122" s="50">
        <v>0</v>
      </c>
      <c r="MP122" s="48">
        <v>0</v>
      </c>
      <c r="MQ122" s="48">
        <v>0</v>
      </c>
      <c r="MR122" s="48">
        <v>0</v>
      </c>
      <c r="MS122" s="43">
        <v>0</v>
      </c>
      <c r="MT122" s="49"/>
      <c r="MU122" s="48">
        <v>0</v>
      </c>
      <c r="MV122" s="46"/>
      <c r="MW122" s="48">
        <v>0</v>
      </c>
      <c r="MX122" s="48">
        <v>0</v>
      </c>
      <c r="MY122" s="43">
        <v>0</v>
      </c>
      <c r="MZ122" s="49"/>
      <c r="NA122" s="50">
        <v>0</v>
      </c>
      <c r="NB122" s="48">
        <v>0</v>
      </c>
      <c r="NC122" s="48">
        <v>0</v>
      </c>
      <c r="ND122" s="48">
        <v>0</v>
      </c>
      <c r="NE122" s="43">
        <v>0</v>
      </c>
      <c r="NF122" s="49"/>
      <c r="NG122" s="50">
        <v>0</v>
      </c>
      <c r="NH122" s="48">
        <v>0</v>
      </c>
      <c r="NI122" s="48">
        <v>48.456000000000003</v>
      </c>
      <c r="NJ122" s="48">
        <v>50</v>
      </c>
      <c r="NK122" s="43">
        <v>-1.5439999999999969</v>
      </c>
      <c r="NL122" s="49"/>
      <c r="NM122" s="50">
        <v>0</v>
      </c>
      <c r="NN122" s="48">
        <v>0</v>
      </c>
      <c r="NO122" s="48">
        <v>0</v>
      </c>
      <c r="NP122" s="48">
        <v>0</v>
      </c>
      <c r="NQ122" s="43">
        <v>0</v>
      </c>
      <c r="NR122" s="49"/>
      <c r="NS122" s="50">
        <v>0</v>
      </c>
      <c r="NT122" s="48">
        <v>0</v>
      </c>
      <c r="NU122" s="48">
        <v>5.274</v>
      </c>
      <c r="NV122" s="48">
        <v>5</v>
      </c>
      <c r="NW122" s="43">
        <v>0.27400000000000002</v>
      </c>
      <c r="NX122" s="49"/>
      <c r="NY122" s="50">
        <v>0</v>
      </c>
      <c r="NZ122" s="48">
        <v>0</v>
      </c>
      <c r="OA122" s="48">
        <v>10.481999999999999</v>
      </c>
      <c r="OB122" s="48">
        <v>10</v>
      </c>
      <c r="OC122" s="43">
        <v>0.48199999999999932</v>
      </c>
      <c r="OD122" s="49"/>
      <c r="OE122" s="50">
        <v>10.629</v>
      </c>
      <c r="OF122" s="48">
        <v>10</v>
      </c>
      <c r="OG122" s="43">
        <v>0.62899999999999956</v>
      </c>
      <c r="OH122" s="49"/>
      <c r="OI122" s="50">
        <v>26.539000000000001</v>
      </c>
      <c r="OJ122" s="48">
        <v>28</v>
      </c>
      <c r="OK122" s="43">
        <v>-1.460999999999999</v>
      </c>
      <c r="OL122" s="49"/>
      <c r="OM122" s="50">
        <v>0</v>
      </c>
      <c r="ON122" s="48">
        <v>0</v>
      </c>
      <c r="OO122" s="48">
        <v>0</v>
      </c>
      <c r="OP122" s="48">
        <v>0</v>
      </c>
      <c r="OQ122" s="43">
        <v>0</v>
      </c>
      <c r="OR122" s="49"/>
      <c r="OS122" s="50">
        <v>5.3029999999999999</v>
      </c>
      <c r="OT122" s="48">
        <v>5</v>
      </c>
      <c r="OU122" s="43">
        <v>0.30299999999999988</v>
      </c>
      <c r="OV122" s="49"/>
      <c r="OW122" s="50">
        <v>0</v>
      </c>
      <c r="OX122" s="48">
        <v>0</v>
      </c>
      <c r="OY122" s="48">
        <v>0</v>
      </c>
      <c r="OZ122" s="48">
        <v>0</v>
      </c>
      <c r="PA122" s="43">
        <v>0</v>
      </c>
      <c r="PB122" s="49"/>
      <c r="PC122" s="50">
        <v>47.622</v>
      </c>
      <c r="PD122" s="48">
        <v>50</v>
      </c>
      <c r="PE122" s="43">
        <v>-2.3780000000000001</v>
      </c>
      <c r="PF122" s="49"/>
      <c r="PG122" s="50">
        <v>0</v>
      </c>
      <c r="PH122" s="48">
        <v>0</v>
      </c>
      <c r="PI122" s="48">
        <v>0</v>
      </c>
      <c r="PJ122" s="33">
        <v>50</v>
      </c>
      <c r="PK122" s="42">
        <v>-50</v>
      </c>
      <c r="PL122" s="49">
        <v>50</v>
      </c>
      <c r="PM122" s="47">
        <v>0</v>
      </c>
      <c r="PN122" s="48">
        <v>0</v>
      </c>
      <c r="PO122" s="48">
        <v>0</v>
      </c>
      <c r="PP122" s="48">
        <v>0</v>
      </c>
      <c r="PQ122" s="43">
        <v>0</v>
      </c>
      <c r="PR122" s="49"/>
      <c r="PS122" s="47">
        <v>0</v>
      </c>
      <c r="PT122" s="43">
        <v>0</v>
      </c>
      <c r="PU122" s="43">
        <v>0</v>
      </c>
      <c r="PV122" s="13">
        <v>20</v>
      </c>
      <c r="PW122" s="42">
        <v>-20</v>
      </c>
      <c r="PX122" s="46">
        <v>20</v>
      </c>
      <c r="PY122" s="47">
        <v>0</v>
      </c>
      <c r="PZ122" s="43">
        <v>40</v>
      </c>
      <c r="QA122" s="42">
        <v>-40</v>
      </c>
      <c r="QB122" s="46">
        <v>40</v>
      </c>
      <c r="QC122" s="47">
        <v>0</v>
      </c>
      <c r="QD122" s="43">
        <v>0</v>
      </c>
      <c r="QE122" s="43">
        <v>0</v>
      </c>
      <c r="QF122" s="43">
        <v>0</v>
      </c>
      <c r="QG122" s="43">
        <v>0</v>
      </c>
      <c r="QH122" s="46"/>
      <c r="QI122" s="47">
        <v>0</v>
      </c>
      <c r="QJ122" s="43">
        <v>40</v>
      </c>
      <c r="QK122" s="43">
        <v>0</v>
      </c>
      <c r="QL122" s="43">
        <v>40</v>
      </c>
      <c r="QM122" s="42">
        <v>-80</v>
      </c>
      <c r="QN122" s="46">
        <v>80</v>
      </c>
      <c r="QO122" s="47">
        <v>0</v>
      </c>
      <c r="QP122" s="43">
        <v>0</v>
      </c>
      <c r="QQ122" s="43">
        <v>0</v>
      </c>
      <c r="QR122" s="43">
        <v>0</v>
      </c>
      <c r="QS122" s="43">
        <v>0</v>
      </c>
      <c r="QT122" s="46"/>
      <c r="QU122" s="47">
        <v>0</v>
      </c>
      <c r="QV122" s="43">
        <v>0</v>
      </c>
      <c r="QW122" s="43">
        <v>0</v>
      </c>
      <c r="QX122" s="46"/>
      <c r="QY122" s="47">
        <v>0</v>
      </c>
      <c r="QZ122" s="43">
        <v>0</v>
      </c>
      <c r="RA122" s="43">
        <v>0</v>
      </c>
      <c r="RB122" s="43">
        <v>0</v>
      </c>
      <c r="RC122" s="43">
        <v>0</v>
      </c>
      <c r="RD122" s="46"/>
    </row>
    <row r="123" spans="1:472" x14ac:dyDescent="0.25">
      <c r="A123" s="43" t="s">
        <v>411</v>
      </c>
      <c r="B123" s="44">
        <v>0.33</v>
      </c>
      <c r="E123">
        <v>200</v>
      </c>
      <c r="F123">
        <v>184</v>
      </c>
      <c r="I123" s="45">
        <v>128</v>
      </c>
      <c r="J123" s="52">
        <v>130</v>
      </c>
      <c r="K123" s="52">
        <v>160</v>
      </c>
      <c r="L123" s="52">
        <v>158</v>
      </c>
      <c r="M123" s="51">
        <f t="shared" si="12"/>
        <v>0</v>
      </c>
      <c r="N123" s="46"/>
      <c r="O123" s="45">
        <v>40</v>
      </c>
      <c r="P123" s="52">
        <v>40</v>
      </c>
      <c r="Q123" s="52">
        <v>40</v>
      </c>
      <c r="R123" s="52">
        <v>41</v>
      </c>
      <c r="S123" s="51">
        <f t="shared" si="13"/>
        <v>-1</v>
      </c>
      <c r="T123" s="46"/>
      <c r="U123" s="47"/>
      <c r="V123" s="51"/>
      <c r="W123" s="51"/>
      <c r="X123" s="51"/>
      <c r="Y123" s="51">
        <f t="shared" si="14"/>
        <v>0</v>
      </c>
      <c r="Z123" s="46"/>
      <c r="AA123" s="51"/>
      <c r="AB123">
        <v>120</v>
      </c>
      <c r="AC123">
        <v>152</v>
      </c>
      <c r="AD123">
        <v>157</v>
      </c>
      <c r="AE123" s="42">
        <v>-125</v>
      </c>
      <c r="AF123" s="46">
        <v>41.25</v>
      </c>
      <c r="AG123" s="45">
        <v>136</v>
      </c>
      <c r="AH123">
        <v>140</v>
      </c>
      <c r="AI123">
        <v>64</v>
      </c>
      <c r="AJ123">
        <v>69</v>
      </c>
      <c r="AK123" s="43">
        <v>-9</v>
      </c>
      <c r="AL123" s="46"/>
      <c r="AM123">
        <v>136</v>
      </c>
      <c r="AN123">
        <v>140</v>
      </c>
      <c r="AO123">
        <v>152</v>
      </c>
      <c r="AP123">
        <v>152</v>
      </c>
      <c r="AQ123" s="43">
        <v>-4</v>
      </c>
      <c r="AR123" s="46"/>
      <c r="AS123">
        <v>128</v>
      </c>
      <c r="AT123">
        <v>130</v>
      </c>
      <c r="AU123">
        <v>136</v>
      </c>
      <c r="AV123">
        <v>137</v>
      </c>
      <c r="AW123" s="43">
        <v>-3</v>
      </c>
      <c r="AX123" s="46"/>
      <c r="AY123" s="47"/>
      <c r="BA123">
        <v>104</v>
      </c>
      <c r="BB123">
        <v>104</v>
      </c>
      <c r="BC123" s="43">
        <v>0</v>
      </c>
      <c r="BD123" s="46"/>
      <c r="BE123" s="45">
        <v>192</v>
      </c>
      <c r="BF123">
        <v>190</v>
      </c>
      <c r="BG123">
        <v>192</v>
      </c>
      <c r="BH123">
        <v>194</v>
      </c>
      <c r="BI123" s="43">
        <v>0</v>
      </c>
      <c r="BJ123" s="46"/>
      <c r="BK123">
        <v>104</v>
      </c>
      <c r="BL123">
        <v>104</v>
      </c>
      <c r="BP123" s="43">
        <v>0</v>
      </c>
      <c r="BQ123" s="46"/>
      <c r="BR123">
        <v>96</v>
      </c>
      <c r="BS123">
        <v>100</v>
      </c>
      <c r="BT123" s="43">
        <v>-4</v>
      </c>
      <c r="BU123" s="46"/>
      <c r="BV123" s="45">
        <v>248</v>
      </c>
      <c r="BW123">
        <v>252</v>
      </c>
      <c r="BX123">
        <v>232</v>
      </c>
      <c r="BY123">
        <v>235</v>
      </c>
      <c r="BZ123" s="43">
        <v>-7</v>
      </c>
      <c r="CA123" s="46"/>
      <c r="CF123" s="43">
        <v>0</v>
      </c>
      <c r="CG123" s="46"/>
      <c r="CJ123">
        <v>104</v>
      </c>
      <c r="CK123">
        <v>107</v>
      </c>
      <c r="CL123" s="43">
        <v>-3</v>
      </c>
      <c r="CM123" s="46"/>
      <c r="CN123" s="47"/>
      <c r="CP123">
        <v>384</v>
      </c>
      <c r="CQ123">
        <v>386</v>
      </c>
      <c r="CR123" s="43">
        <v>-2</v>
      </c>
      <c r="CS123" s="46"/>
      <c r="CV123">
        <v>16</v>
      </c>
      <c r="CW123">
        <v>18</v>
      </c>
      <c r="CX123" s="43">
        <v>-2</v>
      </c>
      <c r="CY123" s="46"/>
      <c r="CZ123" s="47"/>
      <c r="DB123">
        <v>184</v>
      </c>
      <c r="DC123">
        <v>185</v>
      </c>
      <c r="DD123" s="43">
        <v>-1</v>
      </c>
      <c r="DE123" s="46"/>
      <c r="DF123" s="47"/>
      <c r="DH123">
        <v>200</v>
      </c>
      <c r="DI123">
        <v>200</v>
      </c>
      <c r="DK123">
        <v>100</v>
      </c>
      <c r="DL123" s="42">
        <v>-100</v>
      </c>
      <c r="DM123" s="46">
        <v>33</v>
      </c>
      <c r="DN123" s="45">
        <v>80</v>
      </c>
      <c r="DO123">
        <v>80</v>
      </c>
      <c r="DP123">
        <v>96</v>
      </c>
      <c r="DQ123">
        <v>100</v>
      </c>
      <c r="DR123" s="43">
        <v>-4</v>
      </c>
      <c r="DS123" s="46"/>
      <c r="DZ123" s="43">
        <v>0</v>
      </c>
      <c r="EA123" s="46"/>
      <c r="EB123" s="47"/>
      <c r="ED123">
        <v>432</v>
      </c>
      <c r="EE123">
        <v>430</v>
      </c>
      <c r="EF123" s="43">
        <v>2</v>
      </c>
      <c r="EG123" s="46"/>
      <c r="EH123" s="47"/>
      <c r="EJ123">
        <v>88</v>
      </c>
      <c r="EK123">
        <v>88</v>
      </c>
      <c r="EL123" s="43">
        <v>0</v>
      </c>
      <c r="EM123" s="46"/>
      <c r="EN123" s="45">
        <v>200</v>
      </c>
      <c r="EO123">
        <v>200</v>
      </c>
      <c r="EP123">
        <v>136</v>
      </c>
      <c r="EQ123">
        <v>140</v>
      </c>
      <c r="ER123" s="43">
        <v>-4</v>
      </c>
      <c r="ES123" s="46"/>
      <c r="ET123">
        <v>64</v>
      </c>
      <c r="EU123">
        <v>64</v>
      </c>
      <c r="EV123">
        <v>64</v>
      </c>
      <c r="EW123">
        <v>64</v>
      </c>
      <c r="EX123">
        <v>88</v>
      </c>
      <c r="EY123">
        <v>92</v>
      </c>
      <c r="EZ123" s="43">
        <v>-4</v>
      </c>
      <c r="FA123" s="46"/>
      <c r="FB123">
        <v>200</v>
      </c>
      <c r="FC123">
        <v>200</v>
      </c>
      <c r="FD123">
        <v>160</v>
      </c>
      <c r="FF123">
        <v>160</v>
      </c>
      <c r="FG123" s="43">
        <v>0</v>
      </c>
      <c r="FH123" s="46"/>
      <c r="FI123" s="47"/>
      <c r="FL123" s="43">
        <v>0</v>
      </c>
      <c r="FM123" s="46"/>
      <c r="FN123" s="45">
        <v>504</v>
      </c>
      <c r="FP123">
        <v>503</v>
      </c>
      <c r="FQ123" s="43">
        <v>1</v>
      </c>
      <c r="FR123" s="46"/>
      <c r="FS123">
        <v>176</v>
      </c>
      <c r="FV123">
        <v>180</v>
      </c>
      <c r="FW123" s="43">
        <v>-4</v>
      </c>
      <c r="FX123" s="46"/>
      <c r="FY123" s="45">
        <v>40</v>
      </c>
      <c r="GA123">
        <v>40</v>
      </c>
      <c r="GB123">
        <v>40</v>
      </c>
      <c r="GC123">
        <v>40</v>
      </c>
      <c r="GD123" s="43">
        <v>0</v>
      </c>
      <c r="GE123" s="46"/>
      <c r="GF123">
        <v>168</v>
      </c>
      <c r="GG123">
        <v>170</v>
      </c>
      <c r="GH123">
        <v>200</v>
      </c>
      <c r="GI123">
        <v>200</v>
      </c>
      <c r="GJ123" s="43">
        <v>-2</v>
      </c>
      <c r="GK123" s="46"/>
      <c r="GL123" s="47"/>
      <c r="GN123">
        <v>312</v>
      </c>
      <c r="GO123">
        <v>310</v>
      </c>
      <c r="GP123" s="43">
        <v>2</v>
      </c>
      <c r="GQ123" s="46"/>
      <c r="GR123">
        <v>64</v>
      </c>
      <c r="GS123">
        <v>64</v>
      </c>
      <c r="GT123">
        <v>88</v>
      </c>
      <c r="GU123">
        <v>86</v>
      </c>
      <c r="GV123" s="43">
        <v>2</v>
      </c>
      <c r="GW123" s="46"/>
      <c r="GX123" s="47"/>
      <c r="GZ123" s="43">
        <v>0</v>
      </c>
      <c r="HA123" s="46"/>
      <c r="HB123" s="45">
        <v>96</v>
      </c>
      <c r="HC123">
        <v>100</v>
      </c>
      <c r="HD123">
        <v>208</v>
      </c>
      <c r="HE123">
        <v>210</v>
      </c>
      <c r="HF123" s="43">
        <v>-6</v>
      </c>
      <c r="HG123" s="46"/>
      <c r="HH123" s="45">
        <v>336</v>
      </c>
      <c r="HI123">
        <v>340</v>
      </c>
      <c r="HJ123" s="43">
        <v>-4</v>
      </c>
      <c r="HK123" s="46"/>
      <c r="HL123" s="45">
        <v>128</v>
      </c>
      <c r="HM123">
        <v>130</v>
      </c>
      <c r="HN123">
        <v>96</v>
      </c>
      <c r="HO123">
        <v>100</v>
      </c>
      <c r="HP123" s="43">
        <v>-6</v>
      </c>
      <c r="HQ123" s="46"/>
      <c r="HR123">
        <v>200</v>
      </c>
      <c r="HS123">
        <v>200</v>
      </c>
      <c r="HV123">
        <v>312</v>
      </c>
      <c r="HW123">
        <v>310</v>
      </c>
      <c r="HX123" s="43">
        <v>2</v>
      </c>
      <c r="HY123" s="46"/>
      <c r="HZ123" s="47"/>
      <c r="IA123">
        <v>100</v>
      </c>
      <c r="IB123">
        <v>88</v>
      </c>
      <c r="IC123">
        <v>90</v>
      </c>
      <c r="ID123" s="42">
        <v>-102</v>
      </c>
      <c r="IE123" s="49">
        <v>33.659999999999997</v>
      </c>
      <c r="IF123">
        <v>96</v>
      </c>
      <c r="IG123">
        <v>100</v>
      </c>
      <c r="IH123">
        <v>160</v>
      </c>
      <c r="II123">
        <v>160</v>
      </c>
      <c r="IJ123" s="43">
        <v>-4</v>
      </c>
      <c r="IK123" s="49"/>
      <c r="IL123">
        <v>200</v>
      </c>
      <c r="IM123">
        <v>200</v>
      </c>
      <c r="IN123">
        <v>240</v>
      </c>
      <c r="IO123">
        <v>240</v>
      </c>
      <c r="IP123" s="43">
        <v>0</v>
      </c>
      <c r="IQ123" s="49"/>
      <c r="IR123">
        <v>32</v>
      </c>
      <c r="IS123">
        <v>32</v>
      </c>
      <c r="IV123" s="43">
        <v>0</v>
      </c>
      <c r="IW123" s="49"/>
      <c r="IX123">
        <v>280</v>
      </c>
      <c r="IY123">
        <v>280</v>
      </c>
      <c r="IZ123">
        <v>216</v>
      </c>
      <c r="JA123">
        <v>220</v>
      </c>
      <c r="JB123" s="43">
        <v>-4</v>
      </c>
      <c r="JC123" s="46"/>
      <c r="JD123">
        <v>56</v>
      </c>
      <c r="JE123">
        <v>56</v>
      </c>
      <c r="JF123" s="43">
        <v>0</v>
      </c>
      <c r="JG123" s="49"/>
      <c r="JH123">
        <v>16</v>
      </c>
      <c r="JI123">
        <v>100</v>
      </c>
      <c r="JK123">
        <v>84</v>
      </c>
      <c r="JL123" s="42">
        <v>-168</v>
      </c>
      <c r="JM123" s="46">
        <v>55.44</v>
      </c>
      <c r="JN123" s="45">
        <v>272</v>
      </c>
      <c r="JO123" s="48">
        <v>270</v>
      </c>
      <c r="JP123" s="43">
        <v>2</v>
      </c>
      <c r="JQ123" s="49"/>
      <c r="JT123">
        <v>192</v>
      </c>
      <c r="JU123">
        <v>190</v>
      </c>
      <c r="JV123" s="43">
        <v>2</v>
      </c>
      <c r="JW123" s="49"/>
      <c r="KB123" s="43">
        <v>0</v>
      </c>
      <c r="KC123" s="49"/>
      <c r="KH123" s="43">
        <v>0</v>
      </c>
      <c r="KI123" s="49"/>
      <c r="KJ123">
        <v>296</v>
      </c>
      <c r="KK123">
        <v>300</v>
      </c>
      <c r="KL123">
        <v>496</v>
      </c>
      <c r="KM123">
        <v>500</v>
      </c>
      <c r="KN123" s="43">
        <v>-8</v>
      </c>
      <c r="KO123" s="49"/>
      <c r="KP123" s="50"/>
      <c r="KV123" s="43">
        <v>0</v>
      </c>
      <c r="KW123" s="49"/>
      <c r="KX123" s="48">
        <v>0</v>
      </c>
      <c r="KY123" s="48">
        <v>0</v>
      </c>
      <c r="KZ123" s="48">
        <v>0</v>
      </c>
      <c r="LA123" s="48">
        <v>0</v>
      </c>
      <c r="LB123" s="43">
        <v>0</v>
      </c>
      <c r="LC123" s="49"/>
      <c r="LD123" s="48">
        <v>496</v>
      </c>
      <c r="LE123" s="48">
        <v>500</v>
      </c>
      <c r="LF123" s="48">
        <v>496</v>
      </c>
      <c r="LG123" s="48">
        <v>500</v>
      </c>
      <c r="LH123" s="43">
        <v>-8</v>
      </c>
      <c r="LI123" s="49"/>
      <c r="LJ123" s="50">
        <v>248</v>
      </c>
      <c r="LK123" s="48">
        <v>260</v>
      </c>
      <c r="LL123" s="42">
        <v>-12</v>
      </c>
      <c r="LM123" s="49">
        <v>3.96</v>
      </c>
      <c r="LN123" s="50">
        <v>0</v>
      </c>
      <c r="LO123" s="48">
        <v>0</v>
      </c>
      <c r="LP123" s="48">
        <v>280</v>
      </c>
      <c r="LQ123" s="48">
        <v>0</v>
      </c>
      <c r="LR123" s="48">
        <v>280</v>
      </c>
      <c r="LS123" s="43">
        <v>0</v>
      </c>
      <c r="LT123" s="49"/>
      <c r="LU123" s="50">
        <v>80</v>
      </c>
      <c r="LV123" s="48">
        <v>80</v>
      </c>
      <c r="LW123" s="48">
        <v>72</v>
      </c>
      <c r="LX123" s="48">
        <v>70</v>
      </c>
      <c r="LY123" s="43">
        <v>2</v>
      </c>
      <c r="LZ123" s="49"/>
      <c r="MA123" s="50">
        <v>112</v>
      </c>
      <c r="MB123" s="48">
        <v>110</v>
      </c>
      <c r="MC123" s="43">
        <v>2</v>
      </c>
      <c r="MD123" s="49"/>
      <c r="ME123" s="50">
        <v>0</v>
      </c>
      <c r="MF123" s="48">
        <v>0</v>
      </c>
      <c r="MG123" s="48">
        <v>0</v>
      </c>
      <c r="MH123" s="48">
        <v>0</v>
      </c>
      <c r="MI123" s="43">
        <v>0</v>
      </c>
      <c r="MJ123" s="49"/>
      <c r="MK123" s="50">
        <v>96</v>
      </c>
      <c r="ML123" s="48">
        <v>100</v>
      </c>
      <c r="MM123" s="43">
        <v>-4</v>
      </c>
      <c r="MN123" s="49"/>
      <c r="MO123" s="50">
        <v>0</v>
      </c>
      <c r="MP123" s="48">
        <v>0</v>
      </c>
      <c r="MQ123" s="48">
        <v>0</v>
      </c>
      <c r="MR123" s="48">
        <v>0</v>
      </c>
      <c r="MS123" s="43">
        <v>0</v>
      </c>
      <c r="MT123" s="49"/>
      <c r="MU123" s="48">
        <v>72</v>
      </c>
      <c r="MV123" s="46">
        <v>-23.76</v>
      </c>
      <c r="MW123" s="48">
        <v>0</v>
      </c>
      <c r="MX123" s="48">
        <v>70</v>
      </c>
      <c r="MY123" s="42">
        <v>-70</v>
      </c>
      <c r="MZ123" s="49">
        <v>23.1</v>
      </c>
      <c r="NA123" s="50">
        <v>0</v>
      </c>
      <c r="NB123" s="48">
        <v>0</v>
      </c>
      <c r="NC123" s="48">
        <v>32</v>
      </c>
      <c r="ND123" s="48">
        <v>30</v>
      </c>
      <c r="NE123" s="43">
        <v>2</v>
      </c>
      <c r="NF123" s="49"/>
      <c r="NG123" s="50">
        <v>40</v>
      </c>
      <c r="NH123" s="48">
        <v>40</v>
      </c>
      <c r="NI123" s="48">
        <v>40</v>
      </c>
      <c r="NJ123" s="48">
        <v>40</v>
      </c>
      <c r="NK123" s="43">
        <v>0</v>
      </c>
      <c r="NL123" s="49"/>
      <c r="NM123" s="50">
        <v>0</v>
      </c>
      <c r="NN123" s="48">
        <v>0</v>
      </c>
      <c r="NO123" s="48">
        <v>48</v>
      </c>
      <c r="NP123" s="48">
        <v>50</v>
      </c>
      <c r="NQ123" s="43">
        <v>-2</v>
      </c>
      <c r="NR123" s="49"/>
      <c r="NS123" s="50">
        <v>0</v>
      </c>
      <c r="NT123" s="48">
        <v>0</v>
      </c>
      <c r="NU123" s="48">
        <v>0</v>
      </c>
      <c r="NV123" s="33">
        <v>120</v>
      </c>
      <c r="NW123" s="42">
        <v>-120</v>
      </c>
      <c r="NX123" s="49">
        <v>39.6</v>
      </c>
      <c r="NY123" s="50">
        <v>0</v>
      </c>
      <c r="NZ123" s="33">
        <v>100</v>
      </c>
      <c r="OA123" s="48">
        <v>96</v>
      </c>
      <c r="OB123" s="48">
        <v>100</v>
      </c>
      <c r="OC123" s="42">
        <v>-104</v>
      </c>
      <c r="OD123" s="49">
        <v>34.32</v>
      </c>
      <c r="OE123" s="50">
        <v>0</v>
      </c>
      <c r="OF123" s="48">
        <v>70</v>
      </c>
      <c r="OG123" s="42">
        <v>-70</v>
      </c>
      <c r="OH123" s="49">
        <v>23.1</v>
      </c>
      <c r="OI123" s="50">
        <v>80</v>
      </c>
      <c r="OJ123" s="48">
        <v>80</v>
      </c>
      <c r="OK123" s="43">
        <v>0</v>
      </c>
      <c r="OL123" s="49"/>
      <c r="OM123" s="50">
        <v>0</v>
      </c>
      <c r="ON123" s="48">
        <v>0</v>
      </c>
      <c r="OO123" s="48">
        <v>80</v>
      </c>
      <c r="OP123" s="48">
        <v>84.799999999999983</v>
      </c>
      <c r="OQ123" s="43">
        <v>-4.7999999999999829</v>
      </c>
      <c r="OR123" s="49"/>
      <c r="OS123" s="50">
        <v>96</v>
      </c>
      <c r="OT123" s="48">
        <v>100</v>
      </c>
      <c r="OU123" s="43">
        <v>-4</v>
      </c>
      <c r="OV123" s="49"/>
      <c r="OW123" s="50">
        <v>0</v>
      </c>
      <c r="OX123" s="48">
        <v>0</v>
      </c>
      <c r="OY123" s="48">
        <v>48</v>
      </c>
      <c r="OZ123" s="48">
        <v>50</v>
      </c>
      <c r="PA123" s="43">
        <v>-2</v>
      </c>
      <c r="PB123" s="49"/>
      <c r="PC123" s="50">
        <v>8</v>
      </c>
      <c r="PD123" s="48">
        <v>10</v>
      </c>
      <c r="PE123" s="43">
        <v>-2</v>
      </c>
      <c r="PF123" s="49"/>
      <c r="PG123" s="50">
        <v>0</v>
      </c>
      <c r="PH123" s="48">
        <v>0</v>
      </c>
      <c r="PI123" s="48">
        <v>112</v>
      </c>
      <c r="PJ123" s="48">
        <v>110</v>
      </c>
      <c r="PK123" s="43">
        <v>2</v>
      </c>
      <c r="PL123" s="49"/>
      <c r="PM123" s="47">
        <v>0</v>
      </c>
      <c r="PN123" s="48">
        <v>0</v>
      </c>
      <c r="PO123" s="48">
        <v>32</v>
      </c>
      <c r="PP123" s="48">
        <v>30</v>
      </c>
      <c r="PQ123" s="43">
        <v>2</v>
      </c>
      <c r="PR123" s="49"/>
      <c r="PS123" s="47">
        <v>16</v>
      </c>
      <c r="PT123" s="43">
        <v>20</v>
      </c>
      <c r="PU123" s="43">
        <v>0</v>
      </c>
      <c r="PV123" s="43">
        <v>0</v>
      </c>
      <c r="PW123" s="43">
        <v>-4</v>
      </c>
      <c r="PX123" s="46"/>
      <c r="PY123" s="47">
        <v>88</v>
      </c>
      <c r="PZ123" s="43">
        <v>92</v>
      </c>
      <c r="QA123" s="43">
        <v>-4</v>
      </c>
      <c r="QB123" s="46"/>
      <c r="QC123" s="47">
        <v>0</v>
      </c>
      <c r="QD123" s="43">
        <v>0</v>
      </c>
      <c r="QE123" s="43">
        <v>0</v>
      </c>
      <c r="QF123" s="43">
        <v>0</v>
      </c>
      <c r="QG123" s="43">
        <v>0</v>
      </c>
      <c r="QH123" s="46"/>
      <c r="QI123" s="47">
        <v>80</v>
      </c>
      <c r="QJ123" s="43">
        <v>80</v>
      </c>
      <c r="QK123" s="43">
        <v>0</v>
      </c>
      <c r="QL123" s="43">
        <v>0</v>
      </c>
      <c r="QM123" s="43">
        <v>0</v>
      </c>
      <c r="QN123" s="46"/>
      <c r="QO123" s="47">
        <v>0</v>
      </c>
      <c r="QP123" s="43">
        <v>0</v>
      </c>
      <c r="QQ123" s="43">
        <v>0</v>
      </c>
      <c r="QR123" s="43">
        <v>0</v>
      </c>
      <c r="QS123" s="43">
        <v>0</v>
      </c>
      <c r="QT123" s="46"/>
      <c r="QU123" s="47">
        <v>0</v>
      </c>
      <c r="QV123" s="43">
        <v>0</v>
      </c>
      <c r="QW123" s="43">
        <v>0</v>
      </c>
      <c r="QX123" s="46"/>
      <c r="QY123" s="47">
        <v>0</v>
      </c>
      <c r="QZ123" s="43">
        <v>0</v>
      </c>
      <c r="RA123" s="43">
        <v>0</v>
      </c>
      <c r="RB123" s="43">
        <v>0</v>
      </c>
      <c r="RC123" s="43">
        <v>0</v>
      </c>
      <c r="RD123" s="46"/>
    </row>
    <row r="124" spans="1:472" x14ac:dyDescent="0.25">
      <c r="A124" s="43" t="s">
        <v>412</v>
      </c>
      <c r="B124" s="44">
        <v>1</v>
      </c>
      <c r="I124" s="47"/>
      <c r="J124" s="51"/>
      <c r="K124" s="51"/>
      <c r="L124" s="51"/>
      <c r="M124" s="51">
        <f t="shared" si="12"/>
        <v>0</v>
      </c>
      <c r="N124" s="46"/>
      <c r="O124" s="47"/>
      <c r="P124" s="51"/>
      <c r="Q124" s="51"/>
      <c r="R124" s="51"/>
      <c r="S124" s="51">
        <f t="shared" si="13"/>
        <v>0</v>
      </c>
      <c r="T124" s="46"/>
      <c r="U124" s="47"/>
      <c r="V124" s="51"/>
      <c r="W124" s="51"/>
      <c r="X124" s="51"/>
      <c r="Y124" s="51">
        <f t="shared" si="14"/>
        <v>0</v>
      </c>
      <c r="Z124" s="46"/>
      <c r="AA124" s="51"/>
      <c r="AE124" s="43">
        <v>0</v>
      </c>
      <c r="AF124" s="46"/>
      <c r="AG124" s="47"/>
      <c r="AK124" s="43">
        <v>0</v>
      </c>
      <c r="AL124" s="46"/>
      <c r="AQ124" s="43">
        <v>0</v>
      </c>
      <c r="AR124" s="46"/>
      <c r="AW124" s="43">
        <v>0</v>
      </c>
      <c r="AX124" s="46"/>
      <c r="AY124" s="47"/>
      <c r="BC124" s="43">
        <v>0</v>
      </c>
      <c r="BD124" s="46"/>
      <c r="BE124" s="47"/>
      <c r="BI124" s="43">
        <v>0</v>
      </c>
      <c r="BJ124" s="46"/>
      <c r="BP124" s="43">
        <v>0</v>
      </c>
      <c r="BQ124" s="46"/>
      <c r="BT124" s="43">
        <v>0</v>
      </c>
      <c r="BU124" s="46"/>
      <c r="BV124" s="47"/>
      <c r="BZ124" s="43">
        <v>0</v>
      </c>
      <c r="CA124" s="46"/>
      <c r="CF124" s="43">
        <v>0</v>
      </c>
      <c r="CG124" s="46"/>
      <c r="CL124" s="43">
        <v>0</v>
      </c>
      <c r="CM124" s="46"/>
      <c r="CN124" s="47"/>
      <c r="CR124" s="43">
        <v>0</v>
      </c>
      <c r="CS124" s="46"/>
      <c r="CX124" s="43">
        <v>0</v>
      </c>
      <c r="CY124" s="46"/>
      <c r="CZ124" s="47"/>
      <c r="DD124" s="43">
        <v>0</v>
      </c>
      <c r="DE124" s="46"/>
      <c r="DF124" s="47"/>
      <c r="DL124" s="43">
        <v>0</v>
      </c>
      <c r="DM124" s="46"/>
      <c r="DN124" s="47"/>
      <c r="DR124" s="43">
        <v>0</v>
      </c>
      <c r="DS124" s="46"/>
      <c r="DZ124" s="43">
        <v>0</v>
      </c>
      <c r="EA124" s="46"/>
      <c r="EB124" s="47"/>
      <c r="EF124" s="43">
        <v>0</v>
      </c>
      <c r="EG124" s="46"/>
      <c r="EH124" s="47"/>
      <c r="EL124" s="43">
        <v>0</v>
      </c>
      <c r="EM124" s="46"/>
      <c r="EN124" s="47"/>
      <c r="ER124" s="43">
        <v>0</v>
      </c>
      <c r="ES124" s="46"/>
      <c r="EZ124" s="43">
        <v>0</v>
      </c>
      <c r="FA124" s="46"/>
      <c r="FG124" s="43">
        <v>0</v>
      </c>
      <c r="FH124" s="46"/>
      <c r="FI124" s="47"/>
      <c r="FL124" s="43">
        <v>0</v>
      </c>
      <c r="FM124" s="46"/>
      <c r="FN124" s="47"/>
      <c r="FQ124" s="43">
        <v>0</v>
      </c>
      <c r="FR124" s="46"/>
      <c r="FW124" s="43">
        <v>0</v>
      </c>
      <c r="FX124" s="46"/>
      <c r="FY124" s="47"/>
      <c r="GD124" s="43">
        <v>0</v>
      </c>
      <c r="GE124" s="46"/>
      <c r="GJ124" s="43">
        <v>0</v>
      </c>
      <c r="GK124" s="46"/>
      <c r="GL124" s="47"/>
      <c r="GP124" s="43">
        <v>0</v>
      </c>
      <c r="GQ124" s="46"/>
      <c r="GV124" s="43">
        <v>0</v>
      </c>
      <c r="GW124" s="46"/>
      <c r="GX124" s="47"/>
      <c r="GZ124" s="43">
        <v>0</v>
      </c>
      <c r="HA124" s="46"/>
      <c r="HB124" s="47"/>
      <c r="HF124" s="43">
        <v>0</v>
      </c>
      <c r="HG124" s="46"/>
      <c r="HH124" s="47"/>
      <c r="HJ124" s="43">
        <v>0</v>
      </c>
      <c r="HK124" s="46"/>
      <c r="HL124" s="47"/>
      <c r="HP124" s="43">
        <v>0</v>
      </c>
      <c r="HQ124" s="46"/>
      <c r="HV124">
        <v>99</v>
      </c>
      <c r="HW124">
        <v>100</v>
      </c>
      <c r="HX124" s="43">
        <v>-1</v>
      </c>
      <c r="HY124" s="46"/>
      <c r="HZ124" s="47"/>
      <c r="ID124" s="43">
        <v>0</v>
      </c>
      <c r="IE124" s="46"/>
      <c r="IH124">
        <v>89</v>
      </c>
      <c r="II124">
        <v>90</v>
      </c>
      <c r="IJ124" s="43">
        <v>-1</v>
      </c>
      <c r="IK124" s="49"/>
      <c r="IP124" s="43">
        <v>0</v>
      </c>
      <c r="IQ124" s="49"/>
      <c r="IR124">
        <v>21</v>
      </c>
      <c r="IS124">
        <v>20</v>
      </c>
      <c r="IT124">
        <v>16</v>
      </c>
      <c r="IU124">
        <v>18</v>
      </c>
      <c r="IV124" s="43">
        <v>-1</v>
      </c>
      <c r="IW124" s="49"/>
      <c r="IX124">
        <v>21</v>
      </c>
      <c r="IY124">
        <v>20</v>
      </c>
      <c r="JB124" s="43">
        <v>1</v>
      </c>
      <c r="JC124" s="46"/>
      <c r="JD124">
        <v>37</v>
      </c>
      <c r="JE124">
        <v>38</v>
      </c>
      <c r="JF124" s="43">
        <v>-1</v>
      </c>
      <c r="JG124" s="49"/>
      <c r="JL124" s="43">
        <v>0</v>
      </c>
      <c r="JM124" s="46"/>
      <c r="JN124" s="45">
        <v>42</v>
      </c>
      <c r="JO124" s="48">
        <v>40</v>
      </c>
      <c r="JP124" s="43">
        <v>2</v>
      </c>
      <c r="JQ124" s="49"/>
      <c r="JT124">
        <v>66</v>
      </c>
      <c r="JU124">
        <v>70</v>
      </c>
      <c r="JV124" s="43">
        <v>-4</v>
      </c>
      <c r="JW124" s="49"/>
      <c r="JY124">
        <v>15</v>
      </c>
      <c r="KB124" s="42">
        <v>-15</v>
      </c>
      <c r="KC124" s="49">
        <v>15</v>
      </c>
      <c r="KD124">
        <v>16</v>
      </c>
      <c r="KE124">
        <v>16</v>
      </c>
      <c r="KF124">
        <v>26</v>
      </c>
      <c r="KG124">
        <v>24</v>
      </c>
      <c r="KH124" s="43">
        <v>2</v>
      </c>
      <c r="KI124" s="49"/>
      <c r="KL124">
        <v>47</v>
      </c>
      <c r="KM124">
        <v>50</v>
      </c>
      <c r="KN124" s="43">
        <v>-3</v>
      </c>
      <c r="KO124" s="49"/>
      <c r="KP124" s="50"/>
      <c r="KR124">
        <v>21</v>
      </c>
      <c r="KS124">
        <v>20</v>
      </c>
      <c r="KT124">
        <v>21</v>
      </c>
      <c r="KU124">
        <v>20</v>
      </c>
      <c r="KV124" s="43">
        <v>2</v>
      </c>
      <c r="KW124" s="49"/>
      <c r="KX124" s="48">
        <v>0</v>
      </c>
      <c r="KY124" s="48">
        <v>0</v>
      </c>
      <c r="KZ124" s="48">
        <v>0</v>
      </c>
      <c r="LA124" s="48">
        <v>0</v>
      </c>
      <c r="LB124" s="43">
        <v>0</v>
      </c>
      <c r="LC124" s="49"/>
      <c r="LD124" s="48">
        <v>0</v>
      </c>
      <c r="LE124" s="48">
        <v>0</v>
      </c>
      <c r="LF124" s="48">
        <v>0</v>
      </c>
      <c r="LG124" s="48">
        <v>0</v>
      </c>
      <c r="LH124" s="43">
        <v>0</v>
      </c>
      <c r="LI124" s="49"/>
      <c r="LJ124" s="50">
        <v>130.399</v>
      </c>
      <c r="LK124" s="48">
        <v>132</v>
      </c>
      <c r="LL124" s="43">
        <v>-1.6009999999999991</v>
      </c>
      <c r="LM124" s="49"/>
      <c r="LN124" s="50">
        <v>0</v>
      </c>
      <c r="LO124" s="48">
        <v>0</v>
      </c>
      <c r="LP124" s="48">
        <v>15.686999999999999</v>
      </c>
      <c r="LQ124" s="48">
        <v>0</v>
      </c>
      <c r="LR124" s="48">
        <v>17</v>
      </c>
      <c r="LS124" s="43">
        <v>-1.3130000000000011</v>
      </c>
      <c r="LT124" s="49"/>
      <c r="LU124" s="50">
        <v>20.771999999999998</v>
      </c>
      <c r="LV124" s="48">
        <v>20</v>
      </c>
      <c r="LW124" s="48">
        <v>31.367999999999999</v>
      </c>
      <c r="LX124" s="48">
        <v>30</v>
      </c>
      <c r="LY124" s="43">
        <v>2.140000000000001</v>
      </c>
      <c r="LZ124" s="49"/>
      <c r="MA124" s="50">
        <v>72.819000000000003</v>
      </c>
      <c r="MB124" s="48">
        <v>75</v>
      </c>
      <c r="MC124" s="43">
        <v>-2.1809999999999969</v>
      </c>
      <c r="MD124" s="49"/>
      <c r="ME124" s="50">
        <v>0</v>
      </c>
      <c r="MF124" s="48">
        <v>0</v>
      </c>
      <c r="MG124" s="48">
        <v>31.608000000000001</v>
      </c>
      <c r="MH124" s="48">
        <v>32</v>
      </c>
      <c r="MI124" s="43">
        <v>-0.39199999999999952</v>
      </c>
      <c r="MJ124" s="49"/>
      <c r="MK124" s="50">
        <v>41.679000000000002</v>
      </c>
      <c r="ML124" s="48">
        <v>40</v>
      </c>
      <c r="MM124" s="43">
        <v>1.679000000000002</v>
      </c>
      <c r="MN124" s="49"/>
      <c r="MO124" s="50">
        <v>0</v>
      </c>
      <c r="MP124" s="48">
        <v>0</v>
      </c>
      <c r="MQ124" s="48">
        <v>57.317999999999998</v>
      </c>
      <c r="MR124" s="48">
        <v>57</v>
      </c>
      <c r="MS124" s="43">
        <v>0.31799999999999778</v>
      </c>
      <c r="MT124" s="49"/>
      <c r="MU124" s="48">
        <v>0</v>
      </c>
      <c r="MV124" s="46"/>
      <c r="MW124" s="48">
        <v>0</v>
      </c>
      <c r="MX124" s="48">
        <v>0</v>
      </c>
      <c r="MY124" s="43">
        <v>0</v>
      </c>
      <c r="MZ124" s="49"/>
      <c r="NA124" s="50">
        <v>0</v>
      </c>
      <c r="NB124" s="48">
        <v>0</v>
      </c>
      <c r="NC124" s="48">
        <v>15.919</v>
      </c>
      <c r="ND124" s="48">
        <v>15</v>
      </c>
      <c r="NE124" s="43">
        <v>0.91900000000000048</v>
      </c>
      <c r="NF124" s="49"/>
      <c r="NG124" s="50">
        <v>0</v>
      </c>
      <c r="NH124" s="48">
        <v>0</v>
      </c>
      <c r="NI124" s="48">
        <v>47.265000000000001</v>
      </c>
      <c r="NJ124" s="48">
        <v>50</v>
      </c>
      <c r="NK124" s="43">
        <v>-2.734999999999999</v>
      </c>
      <c r="NL124" s="49"/>
      <c r="NM124" s="50">
        <v>0</v>
      </c>
      <c r="NN124" s="48">
        <v>0</v>
      </c>
      <c r="NO124" s="48">
        <v>47.088999999999999</v>
      </c>
      <c r="NP124" s="48">
        <v>50</v>
      </c>
      <c r="NQ124" s="43">
        <v>-2.9110000000000009</v>
      </c>
      <c r="NR124" s="49"/>
      <c r="NS124" s="50">
        <v>0</v>
      </c>
      <c r="NT124" s="48">
        <v>0</v>
      </c>
      <c r="NU124" s="48">
        <v>0</v>
      </c>
      <c r="NV124" s="33">
        <v>20</v>
      </c>
      <c r="NW124" s="42">
        <v>-20</v>
      </c>
      <c r="NX124" s="49">
        <v>20</v>
      </c>
      <c r="NY124" s="50">
        <v>0</v>
      </c>
      <c r="NZ124" s="48">
        <v>0</v>
      </c>
      <c r="OA124" s="48">
        <v>42.179000000000002</v>
      </c>
      <c r="OB124" s="48">
        <v>40</v>
      </c>
      <c r="OC124" s="43">
        <v>2.179000000000002</v>
      </c>
      <c r="OD124" s="49"/>
      <c r="OE124" s="50">
        <v>41.957999999999998</v>
      </c>
      <c r="OF124" s="48">
        <v>40</v>
      </c>
      <c r="OG124" s="43">
        <v>1.957999999999998</v>
      </c>
      <c r="OH124" s="49"/>
      <c r="OI124" s="50">
        <v>31.513999999999999</v>
      </c>
      <c r="OJ124" s="48">
        <v>32</v>
      </c>
      <c r="OK124" s="43">
        <v>-0.48600000000000071</v>
      </c>
      <c r="OL124" s="49"/>
      <c r="OM124" s="50">
        <v>0</v>
      </c>
      <c r="ON124" s="48">
        <v>0</v>
      </c>
      <c r="OO124" s="48">
        <v>21.167999999999999</v>
      </c>
      <c r="OP124" s="48">
        <v>18.926199999999991</v>
      </c>
      <c r="OQ124" s="43">
        <v>2.2418000000000049</v>
      </c>
      <c r="OR124" s="49"/>
      <c r="OS124" s="50">
        <v>10.574999999999999</v>
      </c>
      <c r="OT124" s="48">
        <v>10</v>
      </c>
      <c r="OU124" s="43">
        <v>0.57499999999999929</v>
      </c>
      <c r="OV124" s="49"/>
      <c r="OW124" s="50">
        <v>0</v>
      </c>
      <c r="OX124" s="48">
        <v>0</v>
      </c>
      <c r="OY124" s="48">
        <v>43.473999999999997</v>
      </c>
      <c r="OZ124" s="48">
        <v>40</v>
      </c>
      <c r="PA124" s="43">
        <v>3.4739999999999971</v>
      </c>
      <c r="PB124" s="49"/>
      <c r="PC124" s="50">
        <v>15.952999999999999</v>
      </c>
      <c r="PD124" s="48">
        <v>17</v>
      </c>
      <c r="PE124" s="43">
        <v>-1.047000000000001</v>
      </c>
      <c r="PF124" s="49"/>
      <c r="PG124" s="50">
        <v>0</v>
      </c>
      <c r="PH124" s="48">
        <v>0</v>
      </c>
      <c r="PI124" s="48">
        <v>31.643999999999998</v>
      </c>
      <c r="PJ124" s="48">
        <v>30</v>
      </c>
      <c r="PK124" s="43">
        <v>1.6439999999999979</v>
      </c>
      <c r="PL124" s="49"/>
      <c r="PM124" s="47">
        <v>0</v>
      </c>
      <c r="PN124" s="48">
        <v>0</v>
      </c>
      <c r="PO124" s="48">
        <v>0</v>
      </c>
      <c r="PP124" s="33">
        <v>30</v>
      </c>
      <c r="PQ124" s="42">
        <v>-30</v>
      </c>
      <c r="PR124" s="49">
        <v>30</v>
      </c>
      <c r="PS124" s="47">
        <v>57.965000000000003</v>
      </c>
      <c r="PT124" s="43">
        <v>56</v>
      </c>
      <c r="PU124" s="43">
        <v>0</v>
      </c>
      <c r="PV124" s="43">
        <v>0</v>
      </c>
      <c r="PW124" s="43">
        <v>1.965000000000003</v>
      </c>
      <c r="PX124" s="46"/>
      <c r="PY124" s="47">
        <v>56.920999999999999</v>
      </c>
      <c r="PZ124" s="43">
        <v>60</v>
      </c>
      <c r="QA124" s="43">
        <v>-3.0790000000000011</v>
      </c>
      <c r="QB124" s="46"/>
      <c r="QC124" s="47">
        <v>0</v>
      </c>
      <c r="QD124" s="43">
        <v>0</v>
      </c>
      <c r="QE124" s="43">
        <v>0</v>
      </c>
      <c r="QF124" s="43">
        <v>0</v>
      </c>
      <c r="QG124" s="43">
        <v>0</v>
      </c>
      <c r="QH124" s="46"/>
      <c r="QI124" s="47">
        <v>41.753999999999998</v>
      </c>
      <c r="QJ124" s="43">
        <v>40</v>
      </c>
      <c r="QK124" s="43">
        <v>41.976999999999997</v>
      </c>
      <c r="QL124" s="43">
        <v>40</v>
      </c>
      <c r="QM124" s="43">
        <v>3.730999999999995</v>
      </c>
      <c r="QN124" s="46"/>
      <c r="QO124" s="47">
        <v>0</v>
      </c>
      <c r="QP124" s="43">
        <v>0</v>
      </c>
      <c r="QQ124" s="43">
        <v>0</v>
      </c>
      <c r="QR124" s="43">
        <v>0</v>
      </c>
      <c r="QS124" s="43">
        <v>0</v>
      </c>
      <c r="QT124" s="46"/>
      <c r="QU124" s="47">
        <v>0</v>
      </c>
      <c r="QV124" s="43">
        <v>0</v>
      </c>
      <c r="QW124" s="43">
        <v>0</v>
      </c>
      <c r="QX124" s="46"/>
      <c r="QY124" s="47">
        <v>0</v>
      </c>
      <c r="QZ124" s="43">
        <v>0</v>
      </c>
      <c r="RA124" s="43">
        <v>0</v>
      </c>
      <c r="RB124" s="43">
        <v>0</v>
      </c>
      <c r="RC124" s="43">
        <v>0</v>
      </c>
      <c r="RD124" s="46"/>
    </row>
    <row r="125" spans="1:472" x14ac:dyDescent="0.25">
      <c r="A125" s="43" t="s">
        <v>413</v>
      </c>
      <c r="B125" s="44">
        <v>0.33</v>
      </c>
      <c r="I125" s="47"/>
      <c r="J125" s="51"/>
      <c r="K125" s="51"/>
      <c r="L125" s="51"/>
      <c r="M125" s="51">
        <f t="shared" si="12"/>
        <v>0</v>
      </c>
      <c r="N125" s="46"/>
      <c r="O125" s="47"/>
      <c r="P125" s="51"/>
      <c r="Q125" s="51"/>
      <c r="R125" s="51"/>
      <c r="S125" s="51">
        <f t="shared" si="13"/>
        <v>0</v>
      </c>
      <c r="T125" s="46"/>
      <c r="U125" s="47"/>
      <c r="V125" s="51"/>
      <c r="W125" s="51"/>
      <c r="X125" s="51"/>
      <c r="Y125" s="51">
        <f t="shared" si="14"/>
        <v>0</v>
      </c>
      <c r="Z125" s="46"/>
      <c r="AA125" s="51"/>
      <c r="AE125" s="43">
        <v>0</v>
      </c>
      <c r="AF125" s="46"/>
      <c r="AG125" s="47"/>
      <c r="AK125" s="43">
        <v>0</v>
      </c>
      <c r="AL125" s="46"/>
      <c r="AQ125" s="43">
        <v>0</v>
      </c>
      <c r="AR125" s="46"/>
      <c r="AW125" s="43">
        <v>0</v>
      </c>
      <c r="AX125" s="46"/>
      <c r="AY125" s="47"/>
      <c r="BC125" s="43">
        <v>0</v>
      </c>
      <c r="BD125" s="46"/>
      <c r="BE125" s="47"/>
      <c r="BI125" s="43">
        <v>0</v>
      </c>
      <c r="BJ125" s="46"/>
      <c r="BP125" s="43">
        <v>0</v>
      </c>
      <c r="BQ125" s="46"/>
      <c r="BT125" s="43">
        <v>0</v>
      </c>
      <c r="BU125" s="46"/>
      <c r="BV125" s="47"/>
      <c r="BZ125" s="43">
        <v>0</v>
      </c>
      <c r="CA125" s="46"/>
      <c r="CF125" s="43">
        <v>0</v>
      </c>
      <c r="CG125" s="46"/>
      <c r="CL125" s="43">
        <v>0</v>
      </c>
      <c r="CM125" s="46"/>
      <c r="CN125" s="47"/>
      <c r="CR125" s="43">
        <v>0</v>
      </c>
      <c r="CS125" s="46"/>
      <c r="CX125" s="43">
        <v>0</v>
      </c>
      <c r="CY125" s="46"/>
      <c r="CZ125" s="47"/>
      <c r="DD125" s="43">
        <v>0</v>
      </c>
      <c r="DE125" s="46"/>
      <c r="DF125" s="47"/>
      <c r="DL125" s="43">
        <v>0</v>
      </c>
      <c r="DM125" s="46"/>
      <c r="DN125" s="47"/>
      <c r="DR125" s="43">
        <v>0</v>
      </c>
      <c r="DS125" s="46"/>
      <c r="DZ125" s="43">
        <v>0</v>
      </c>
      <c r="EA125" s="46"/>
      <c r="EB125" s="47"/>
      <c r="EF125" s="43">
        <v>0</v>
      </c>
      <c r="EG125" s="46"/>
      <c r="EH125" s="47"/>
      <c r="EL125" s="43">
        <v>0</v>
      </c>
      <c r="EM125" s="46"/>
      <c r="EN125" s="47"/>
      <c r="ER125" s="43">
        <v>0</v>
      </c>
      <c r="ES125" s="46"/>
      <c r="EZ125" s="43">
        <v>0</v>
      </c>
      <c r="FA125" s="46"/>
      <c r="FG125" s="43">
        <v>0</v>
      </c>
      <c r="FH125" s="46"/>
      <c r="FI125" s="47"/>
      <c r="FL125" s="43">
        <v>0</v>
      </c>
      <c r="FM125" s="46"/>
      <c r="FN125" s="47"/>
      <c r="FQ125" s="43">
        <v>0</v>
      </c>
      <c r="FR125" s="46"/>
      <c r="FW125" s="43">
        <v>0</v>
      </c>
      <c r="FX125" s="46"/>
      <c r="FY125" s="47"/>
      <c r="GD125" s="43">
        <v>0</v>
      </c>
      <c r="GE125" s="46"/>
      <c r="GJ125" s="43">
        <v>0</v>
      </c>
      <c r="GK125" s="46"/>
      <c r="GL125" s="47"/>
      <c r="GP125" s="43">
        <v>0</v>
      </c>
      <c r="GQ125" s="46"/>
      <c r="GV125" s="43">
        <v>0</v>
      </c>
      <c r="GW125" s="46"/>
      <c r="GX125" s="47"/>
      <c r="GZ125" s="43">
        <v>0</v>
      </c>
      <c r="HA125" s="46"/>
      <c r="HB125" s="47"/>
      <c r="HF125" s="43">
        <v>0</v>
      </c>
      <c r="HG125" s="46"/>
      <c r="HH125" s="47"/>
      <c r="HJ125" s="43">
        <v>0</v>
      </c>
      <c r="HK125" s="46"/>
      <c r="HL125" s="47"/>
      <c r="HP125" s="43">
        <v>0</v>
      </c>
      <c r="HQ125" s="46"/>
      <c r="HV125">
        <v>192</v>
      </c>
      <c r="HW125">
        <v>190</v>
      </c>
      <c r="HX125" s="43">
        <v>2</v>
      </c>
      <c r="HY125" s="46"/>
      <c r="HZ125" s="47"/>
      <c r="IB125">
        <v>72</v>
      </c>
      <c r="IC125">
        <v>70</v>
      </c>
      <c r="ID125" s="43">
        <v>2</v>
      </c>
      <c r="IE125" s="46"/>
      <c r="IH125">
        <v>16</v>
      </c>
      <c r="II125">
        <v>16</v>
      </c>
      <c r="IJ125" s="43">
        <v>0</v>
      </c>
      <c r="IK125" s="49"/>
      <c r="IL125">
        <v>96</v>
      </c>
      <c r="IM125">
        <v>100</v>
      </c>
      <c r="IN125">
        <v>112</v>
      </c>
      <c r="IO125">
        <v>110</v>
      </c>
      <c r="IP125" s="43">
        <v>-2</v>
      </c>
      <c r="IQ125" s="49"/>
      <c r="IR125">
        <v>16</v>
      </c>
      <c r="IS125">
        <v>16</v>
      </c>
      <c r="IV125" s="43">
        <v>0</v>
      </c>
      <c r="IW125" s="49"/>
      <c r="JB125" s="43">
        <v>0</v>
      </c>
      <c r="JC125" s="46"/>
      <c r="JD125">
        <v>88</v>
      </c>
      <c r="JE125">
        <v>90</v>
      </c>
      <c r="JF125" s="43">
        <v>-2</v>
      </c>
      <c r="JG125" s="49"/>
      <c r="JJ125">
        <v>16</v>
      </c>
      <c r="JK125">
        <v>20</v>
      </c>
      <c r="JL125" s="43">
        <v>-4</v>
      </c>
      <c r="JM125" s="46"/>
      <c r="JN125" s="45">
        <v>136</v>
      </c>
      <c r="JO125" s="48">
        <v>140</v>
      </c>
      <c r="JP125" s="43">
        <v>-4</v>
      </c>
      <c r="JQ125" s="49"/>
      <c r="JT125">
        <v>16</v>
      </c>
      <c r="JU125">
        <v>14</v>
      </c>
      <c r="JV125" s="43">
        <v>2</v>
      </c>
      <c r="JW125" s="49"/>
      <c r="JZ125">
        <v>248</v>
      </c>
      <c r="KA125">
        <v>250</v>
      </c>
      <c r="KB125" s="43">
        <v>-2</v>
      </c>
      <c r="KC125" s="49"/>
      <c r="KH125" s="43">
        <v>0</v>
      </c>
      <c r="KI125" s="49"/>
      <c r="KJ125">
        <v>48</v>
      </c>
      <c r="KK125">
        <v>50</v>
      </c>
      <c r="KL125">
        <v>80</v>
      </c>
      <c r="KM125">
        <v>80</v>
      </c>
      <c r="KN125" s="43">
        <v>-2</v>
      </c>
      <c r="KO125" s="49"/>
      <c r="KP125" s="50"/>
      <c r="KV125" s="43">
        <v>0</v>
      </c>
      <c r="KW125" s="49"/>
      <c r="KX125" s="48">
        <v>0</v>
      </c>
      <c r="KY125" s="48">
        <v>0</v>
      </c>
      <c r="KZ125" s="48">
        <v>0</v>
      </c>
      <c r="LA125" s="48">
        <v>0</v>
      </c>
      <c r="LB125" s="43">
        <v>0</v>
      </c>
      <c r="LC125" s="49"/>
      <c r="LD125" s="48">
        <v>0</v>
      </c>
      <c r="LE125" s="48">
        <v>0</v>
      </c>
      <c r="LF125" s="48">
        <v>0</v>
      </c>
      <c r="LG125" s="48">
        <v>0</v>
      </c>
      <c r="LH125" s="43">
        <v>0</v>
      </c>
      <c r="LI125" s="49"/>
      <c r="LJ125" s="50">
        <v>400</v>
      </c>
      <c r="LK125" s="48">
        <v>400</v>
      </c>
      <c r="LL125" s="43">
        <v>0</v>
      </c>
      <c r="LM125" s="49"/>
      <c r="LN125" s="50">
        <v>824</v>
      </c>
      <c r="LO125" s="48">
        <v>900</v>
      </c>
      <c r="LP125" s="48">
        <v>496</v>
      </c>
      <c r="LQ125" s="48">
        <v>0</v>
      </c>
      <c r="LR125" s="48">
        <v>500</v>
      </c>
      <c r="LS125" s="42">
        <v>-80</v>
      </c>
      <c r="LT125" s="49">
        <v>26.4</v>
      </c>
      <c r="LU125" s="50">
        <v>64</v>
      </c>
      <c r="LV125" s="48">
        <v>62</v>
      </c>
      <c r="LW125" s="48">
        <v>48</v>
      </c>
      <c r="LX125" s="48">
        <v>48</v>
      </c>
      <c r="LY125" s="43">
        <v>2</v>
      </c>
      <c r="LZ125" s="49"/>
      <c r="MA125" s="50">
        <v>16</v>
      </c>
      <c r="MB125" s="48">
        <v>32</v>
      </c>
      <c r="MC125" s="42">
        <v>-16</v>
      </c>
      <c r="MD125" s="49">
        <v>5.28</v>
      </c>
      <c r="ME125" s="50">
        <v>0</v>
      </c>
      <c r="MF125" s="48">
        <v>0</v>
      </c>
      <c r="MG125" s="48">
        <v>8</v>
      </c>
      <c r="MH125" s="48">
        <v>8</v>
      </c>
      <c r="MI125" s="43">
        <v>0</v>
      </c>
      <c r="MJ125" s="49"/>
      <c r="MK125" s="50">
        <v>0</v>
      </c>
      <c r="ML125" s="48">
        <v>0</v>
      </c>
      <c r="MM125" s="43">
        <v>0</v>
      </c>
      <c r="MN125" s="49"/>
      <c r="MO125" s="50">
        <v>0</v>
      </c>
      <c r="MP125" s="48">
        <v>0</v>
      </c>
      <c r="MQ125" s="48">
        <v>0</v>
      </c>
      <c r="MR125" s="48">
        <v>0</v>
      </c>
      <c r="MS125" s="43">
        <v>0</v>
      </c>
      <c r="MT125" s="49"/>
      <c r="MU125" s="48">
        <v>0</v>
      </c>
      <c r="MV125" s="46"/>
      <c r="MW125" s="48">
        <v>0</v>
      </c>
      <c r="MX125" s="48">
        <v>0</v>
      </c>
      <c r="MY125" s="43">
        <v>0</v>
      </c>
      <c r="MZ125" s="49"/>
      <c r="NA125" s="50">
        <v>0</v>
      </c>
      <c r="NB125" s="48">
        <v>0</v>
      </c>
      <c r="NC125" s="48">
        <v>24</v>
      </c>
      <c r="ND125" s="48">
        <v>24</v>
      </c>
      <c r="NE125" s="43">
        <v>0</v>
      </c>
      <c r="NF125" s="49"/>
      <c r="NG125" s="50">
        <v>0</v>
      </c>
      <c r="NH125" s="48">
        <v>0</v>
      </c>
      <c r="NI125" s="48">
        <v>8</v>
      </c>
      <c r="NJ125" s="48">
        <v>10</v>
      </c>
      <c r="NK125" s="43">
        <v>-2</v>
      </c>
      <c r="NL125" s="49"/>
      <c r="NM125" s="50">
        <v>0</v>
      </c>
      <c r="NN125" s="48">
        <v>0</v>
      </c>
      <c r="NO125" s="48">
        <v>0</v>
      </c>
      <c r="NP125" s="48">
        <v>0</v>
      </c>
      <c r="NQ125" s="43">
        <v>0</v>
      </c>
      <c r="NR125" s="49"/>
      <c r="NS125" s="50">
        <v>0</v>
      </c>
      <c r="NT125" s="48">
        <v>0</v>
      </c>
      <c r="NU125" s="48">
        <v>0</v>
      </c>
      <c r="NV125" s="48">
        <v>0</v>
      </c>
      <c r="NW125" s="43">
        <v>0</v>
      </c>
      <c r="NX125" s="49"/>
      <c r="NY125" s="50">
        <v>0</v>
      </c>
      <c r="NZ125" s="48">
        <v>0</v>
      </c>
      <c r="OA125" s="48">
        <v>16</v>
      </c>
      <c r="OB125" s="48">
        <v>20</v>
      </c>
      <c r="OC125" s="43">
        <v>-4</v>
      </c>
      <c r="OD125" s="49"/>
      <c r="OE125" s="50">
        <v>48</v>
      </c>
      <c r="OF125" s="48">
        <v>50</v>
      </c>
      <c r="OG125" s="43">
        <v>-2</v>
      </c>
      <c r="OH125" s="49"/>
      <c r="OI125" s="50">
        <v>0</v>
      </c>
      <c r="OJ125" s="48">
        <v>0</v>
      </c>
      <c r="OK125" s="43">
        <v>0</v>
      </c>
      <c r="OL125" s="49"/>
      <c r="OM125" s="50">
        <v>0</v>
      </c>
      <c r="ON125" s="48">
        <v>0</v>
      </c>
      <c r="OO125" s="48">
        <v>0</v>
      </c>
      <c r="OP125" s="48">
        <v>0</v>
      </c>
      <c r="OQ125" s="43">
        <v>0</v>
      </c>
      <c r="OR125" s="49"/>
      <c r="OS125" s="50">
        <v>0</v>
      </c>
      <c r="OT125" s="48">
        <v>0</v>
      </c>
      <c r="OU125" s="43">
        <v>0</v>
      </c>
      <c r="OV125" s="49"/>
      <c r="OW125" s="50">
        <v>0</v>
      </c>
      <c r="OX125" s="48">
        <v>0</v>
      </c>
      <c r="OY125" s="48">
        <v>72</v>
      </c>
      <c r="OZ125" s="48">
        <v>74</v>
      </c>
      <c r="PA125" s="43">
        <v>-2</v>
      </c>
      <c r="PB125" s="49"/>
      <c r="PC125" s="50">
        <v>16</v>
      </c>
      <c r="PD125" s="48">
        <v>21</v>
      </c>
      <c r="PE125" s="43">
        <v>-5</v>
      </c>
      <c r="PF125" s="49"/>
      <c r="PG125" s="50">
        <v>0</v>
      </c>
      <c r="PH125" s="48">
        <v>0</v>
      </c>
      <c r="PI125" s="48">
        <v>8</v>
      </c>
      <c r="PJ125" s="48">
        <v>8</v>
      </c>
      <c r="PK125" s="43">
        <v>0</v>
      </c>
      <c r="PL125" s="49"/>
      <c r="PM125" s="47">
        <v>0</v>
      </c>
      <c r="PN125" s="48">
        <v>0</v>
      </c>
      <c r="PO125" s="48">
        <v>24</v>
      </c>
      <c r="PP125" s="48">
        <v>24</v>
      </c>
      <c r="PQ125" s="43">
        <v>0</v>
      </c>
      <c r="PR125" s="49"/>
      <c r="PS125" s="47">
        <v>24</v>
      </c>
      <c r="PT125" s="43">
        <v>29</v>
      </c>
      <c r="PU125" s="43">
        <v>0</v>
      </c>
      <c r="PV125" s="43">
        <v>0</v>
      </c>
      <c r="PW125" s="43">
        <v>-5</v>
      </c>
      <c r="PX125" s="46"/>
      <c r="PY125" s="47">
        <v>40</v>
      </c>
      <c r="PZ125" s="43">
        <v>38</v>
      </c>
      <c r="QA125" s="43">
        <v>2</v>
      </c>
      <c r="QB125" s="46"/>
      <c r="QC125" s="47">
        <v>0</v>
      </c>
      <c r="QD125" s="43">
        <v>0</v>
      </c>
      <c r="QE125" s="43">
        <v>0</v>
      </c>
      <c r="QF125" s="43">
        <v>0</v>
      </c>
      <c r="QG125" s="43">
        <v>0</v>
      </c>
      <c r="QH125" s="46"/>
      <c r="QI125" s="47">
        <v>80</v>
      </c>
      <c r="QJ125" s="43">
        <v>80</v>
      </c>
      <c r="QK125" s="43">
        <v>0</v>
      </c>
      <c r="QL125" s="43">
        <v>0</v>
      </c>
      <c r="QM125" s="43">
        <v>0</v>
      </c>
      <c r="QN125" s="46"/>
      <c r="QO125" s="47">
        <v>0</v>
      </c>
      <c r="QP125" s="43">
        <v>0</v>
      </c>
      <c r="QQ125" s="43">
        <v>0</v>
      </c>
      <c r="QR125" s="43">
        <v>0</v>
      </c>
      <c r="QS125" s="43">
        <v>0</v>
      </c>
      <c r="QT125" s="46"/>
      <c r="QU125" s="47">
        <v>0</v>
      </c>
      <c r="QV125" s="43">
        <v>0</v>
      </c>
      <c r="QW125" s="43">
        <v>0</v>
      </c>
      <c r="QX125" s="46"/>
      <c r="QY125" s="47">
        <v>0</v>
      </c>
      <c r="QZ125" s="43">
        <v>0</v>
      </c>
      <c r="RA125" s="43">
        <v>0</v>
      </c>
      <c r="RB125" s="43">
        <v>0</v>
      </c>
      <c r="RC125" s="43">
        <v>0</v>
      </c>
      <c r="RD125" s="46"/>
    </row>
    <row r="126" spans="1:472" x14ac:dyDescent="0.25">
      <c r="A126" s="43" t="s">
        <v>414</v>
      </c>
      <c r="B126" s="44">
        <v>1</v>
      </c>
      <c r="I126" s="47"/>
      <c r="J126" s="51"/>
      <c r="K126" s="51"/>
      <c r="L126" s="51"/>
      <c r="M126" s="51">
        <f t="shared" si="12"/>
        <v>0</v>
      </c>
      <c r="N126" s="46"/>
      <c r="O126" s="47"/>
      <c r="P126" s="51"/>
      <c r="Q126" s="51"/>
      <c r="R126" s="51"/>
      <c r="S126" s="51">
        <f t="shared" si="13"/>
        <v>0</v>
      </c>
      <c r="T126" s="46"/>
      <c r="U126" s="47"/>
      <c r="V126" s="51"/>
      <c r="W126" s="51"/>
      <c r="X126" s="51"/>
      <c r="Y126" s="51">
        <f t="shared" si="14"/>
        <v>0</v>
      </c>
      <c r="Z126" s="46"/>
      <c r="AA126" s="51"/>
      <c r="AE126" s="43">
        <v>0</v>
      </c>
      <c r="AF126" s="46"/>
      <c r="AG126" s="47"/>
      <c r="AK126" s="43">
        <v>0</v>
      </c>
      <c r="AL126" s="46"/>
      <c r="AQ126" s="43">
        <v>0</v>
      </c>
      <c r="AR126" s="46"/>
      <c r="AW126" s="43">
        <v>0</v>
      </c>
      <c r="AX126" s="46"/>
      <c r="AY126" s="47"/>
      <c r="BC126" s="43">
        <v>0</v>
      </c>
      <c r="BD126" s="46"/>
      <c r="BE126" s="47"/>
      <c r="BI126" s="43">
        <v>0</v>
      </c>
      <c r="BJ126" s="46"/>
      <c r="BP126" s="43">
        <v>0</v>
      </c>
      <c r="BQ126" s="46"/>
      <c r="BT126" s="43">
        <v>0</v>
      </c>
      <c r="BU126" s="46"/>
      <c r="BV126" s="47"/>
      <c r="BZ126" s="43">
        <v>0</v>
      </c>
      <c r="CA126" s="46"/>
      <c r="CF126" s="43">
        <v>0</v>
      </c>
      <c r="CG126" s="46"/>
      <c r="CL126" s="43">
        <v>0</v>
      </c>
      <c r="CM126" s="46"/>
      <c r="CN126" s="47"/>
      <c r="CR126" s="43">
        <v>0</v>
      </c>
      <c r="CS126" s="46"/>
      <c r="CX126" s="43">
        <v>0</v>
      </c>
      <c r="CY126" s="46"/>
      <c r="CZ126" s="47"/>
      <c r="DD126" s="43">
        <v>0</v>
      </c>
      <c r="DE126" s="46"/>
      <c r="DF126" s="47"/>
      <c r="DL126" s="43">
        <v>0</v>
      </c>
      <c r="DM126" s="46"/>
      <c r="DN126" s="47"/>
      <c r="DR126" s="43">
        <v>0</v>
      </c>
      <c r="DS126" s="46"/>
      <c r="DZ126" s="43">
        <v>0</v>
      </c>
      <c r="EA126" s="46"/>
      <c r="EB126" s="47"/>
      <c r="EF126" s="43">
        <v>0</v>
      </c>
      <c r="EG126" s="46"/>
      <c r="EH126" s="47"/>
      <c r="EL126" s="43">
        <v>0</v>
      </c>
      <c r="EM126" s="46"/>
      <c r="EN126" s="47"/>
      <c r="ER126" s="43">
        <v>0</v>
      </c>
      <c r="ES126" s="46"/>
      <c r="EZ126" s="43">
        <v>0</v>
      </c>
      <c r="FA126" s="46"/>
      <c r="FG126" s="43">
        <v>0</v>
      </c>
      <c r="FH126" s="46"/>
      <c r="FI126" s="47"/>
      <c r="FL126" s="43">
        <v>0</v>
      </c>
      <c r="FM126" s="46"/>
      <c r="FN126" s="47"/>
      <c r="FQ126" s="43">
        <v>0</v>
      </c>
      <c r="FR126" s="46"/>
      <c r="FW126" s="43">
        <v>0</v>
      </c>
      <c r="FX126" s="46"/>
      <c r="FY126" s="47"/>
      <c r="GD126" s="43">
        <v>0</v>
      </c>
      <c r="GE126" s="46"/>
      <c r="GJ126" s="43">
        <v>0</v>
      </c>
      <c r="GK126" s="46"/>
      <c r="GL126" s="47"/>
      <c r="GP126" s="43">
        <v>0</v>
      </c>
      <c r="GQ126" s="46"/>
      <c r="GV126" s="43">
        <v>0</v>
      </c>
      <c r="GW126" s="46"/>
      <c r="GX126" s="47"/>
      <c r="GZ126" s="43">
        <v>0</v>
      </c>
      <c r="HA126" s="46"/>
      <c r="HB126" s="47"/>
      <c r="HF126" s="43">
        <v>0</v>
      </c>
      <c r="HG126" s="46"/>
      <c r="HH126" s="47"/>
      <c r="HJ126" s="43">
        <v>0</v>
      </c>
      <c r="HK126" s="46"/>
      <c r="HL126" s="47"/>
      <c r="HP126" s="43">
        <v>0</v>
      </c>
      <c r="HQ126" s="46"/>
      <c r="HX126" s="43">
        <v>0</v>
      </c>
      <c r="HY126" s="46"/>
      <c r="HZ126" s="47"/>
      <c r="IB126">
        <v>5</v>
      </c>
      <c r="IC126">
        <v>4</v>
      </c>
      <c r="ID126" s="43">
        <v>1</v>
      </c>
      <c r="IE126" s="46"/>
      <c r="IJ126" s="43">
        <v>0</v>
      </c>
      <c r="IK126" s="49"/>
      <c r="IP126" s="43">
        <v>0</v>
      </c>
      <c r="IQ126" s="49"/>
      <c r="IV126" s="43">
        <v>0</v>
      </c>
      <c r="IW126" s="49"/>
      <c r="JB126" s="43">
        <v>0</v>
      </c>
      <c r="JC126" s="46"/>
      <c r="JF126" s="43">
        <v>0</v>
      </c>
      <c r="JG126" s="49"/>
      <c r="JJ126">
        <v>10</v>
      </c>
      <c r="JK126">
        <v>11</v>
      </c>
      <c r="JL126" s="43">
        <v>-1</v>
      </c>
      <c r="JM126" s="46"/>
      <c r="JN126" s="45">
        <v>5</v>
      </c>
      <c r="JO126" s="48">
        <v>6</v>
      </c>
      <c r="JP126" s="43">
        <v>-1</v>
      </c>
      <c r="JQ126" s="49"/>
      <c r="JT126">
        <v>5</v>
      </c>
      <c r="JU126">
        <v>4</v>
      </c>
      <c r="JV126" s="43">
        <v>1</v>
      </c>
      <c r="JW126" s="49"/>
      <c r="KB126" s="43">
        <v>0</v>
      </c>
      <c r="KC126" s="49"/>
      <c r="KH126" s="43">
        <v>0</v>
      </c>
      <c r="KI126" s="49"/>
      <c r="KL126">
        <v>15</v>
      </c>
      <c r="KM126">
        <v>18</v>
      </c>
      <c r="KN126" s="43">
        <v>-3</v>
      </c>
      <c r="KO126" s="49"/>
      <c r="KP126" s="50"/>
      <c r="KV126" s="43">
        <v>0</v>
      </c>
      <c r="KW126" s="49"/>
      <c r="KX126" s="48">
        <v>0</v>
      </c>
      <c r="KY126" s="48">
        <v>0</v>
      </c>
      <c r="KZ126" s="48">
        <v>5.1360000000000001</v>
      </c>
      <c r="LA126" s="48">
        <v>6</v>
      </c>
      <c r="LB126" s="43">
        <v>-0.86399999999999988</v>
      </c>
      <c r="LC126" s="49"/>
      <c r="LD126" s="48">
        <v>0</v>
      </c>
      <c r="LE126" s="48">
        <v>0</v>
      </c>
      <c r="LF126" s="48">
        <v>5.0549999999999997</v>
      </c>
      <c r="LG126" s="48">
        <v>5</v>
      </c>
      <c r="LH126" s="43">
        <v>5.4999999999999723E-2</v>
      </c>
      <c r="LI126" s="49"/>
      <c r="LJ126" s="50">
        <v>0</v>
      </c>
      <c r="LK126" s="48">
        <v>0</v>
      </c>
      <c r="LL126" s="43">
        <v>0</v>
      </c>
      <c r="LM126" s="49"/>
      <c r="LN126" s="50">
        <v>0</v>
      </c>
      <c r="LO126" s="48">
        <v>0</v>
      </c>
      <c r="LP126" s="48">
        <v>10.077999999999999</v>
      </c>
      <c r="LQ126" s="48">
        <v>0</v>
      </c>
      <c r="LR126" s="48">
        <v>8</v>
      </c>
      <c r="LS126" s="43">
        <v>2.077999999999999</v>
      </c>
      <c r="LT126" s="49"/>
      <c r="LU126" s="50">
        <v>0</v>
      </c>
      <c r="LV126" s="48">
        <v>0</v>
      </c>
      <c r="LW126" s="48">
        <v>5.1310000000000002</v>
      </c>
      <c r="LX126" s="48">
        <v>7</v>
      </c>
      <c r="LY126" s="43">
        <v>-1.869</v>
      </c>
      <c r="LZ126" s="49"/>
      <c r="MA126" s="50">
        <v>10.363</v>
      </c>
      <c r="MB126" s="48">
        <v>10</v>
      </c>
      <c r="MC126" s="43">
        <v>0.36299999999999949</v>
      </c>
      <c r="MD126" s="49"/>
      <c r="ME126" s="50">
        <v>0</v>
      </c>
      <c r="MF126" s="48">
        <v>0</v>
      </c>
      <c r="MG126" s="48">
        <v>5.1820000000000004</v>
      </c>
      <c r="MH126" s="48">
        <v>5</v>
      </c>
      <c r="MI126" s="43">
        <v>0.18200000000000041</v>
      </c>
      <c r="MJ126" s="49"/>
      <c r="MK126" s="50">
        <v>0</v>
      </c>
      <c r="ML126" s="48">
        <v>0</v>
      </c>
      <c r="MM126" s="43">
        <v>0</v>
      </c>
      <c r="MN126" s="49"/>
      <c r="MO126" s="50">
        <v>0</v>
      </c>
      <c r="MP126" s="48">
        <v>0</v>
      </c>
      <c r="MQ126" s="48">
        <v>0</v>
      </c>
      <c r="MR126" s="48">
        <v>0</v>
      </c>
      <c r="MS126" s="43">
        <v>0</v>
      </c>
      <c r="MT126" s="49"/>
      <c r="MU126" s="48">
        <v>0</v>
      </c>
      <c r="MV126" s="46"/>
      <c r="MW126" s="48">
        <v>0</v>
      </c>
      <c r="MX126" s="48">
        <v>0</v>
      </c>
      <c r="MY126" s="43">
        <v>0</v>
      </c>
      <c r="MZ126" s="49"/>
      <c r="NA126" s="50">
        <v>0</v>
      </c>
      <c r="NB126" s="48">
        <v>0</v>
      </c>
      <c r="NC126" s="48">
        <v>0</v>
      </c>
      <c r="ND126" s="48">
        <v>0</v>
      </c>
      <c r="NE126" s="43">
        <v>0</v>
      </c>
      <c r="NF126" s="49"/>
      <c r="NG126" s="50">
        <v>0</v>
      </c>
      <c r="NH126" s="48">
        <v>0</v>
      </c>
      <c r="NI126" s="48">
        <v>26.036999999999999</v>
      </c>
      <c r="NJ126" s="48">
        <v>25</v>
      </c>
      <c r="NK126" s="43">
        <v>1.036999999999999</v>
      </c>
      <c r="NL126" s="49"/>
      <c r="NM126" s="50">
        <v>0</v>
      </c>
      <c r="NN126" s="48">
        <v>0</v>
      </c>
      <c r="NO126" s="48">
        <v>0</v>
      </c>
      <c r="NP126" s="48">
        <v>0</v>
      </c>
      <c r="NQ126" s="43">
        <v>0</v>
      </c>
      <c r="NR126" s="49"/>
      <c r="NS126" s="50">
        <v>0</v>
      </c>
      <c r="NT126" s="48">
        <v>0</v>
      </c>
      <c r="NU126" s="48">
        <v>0</v>
      </c>
      <c r="NV126" s="48">
        <v>0</v>
      </c>
      <c r="NW126" s="43">
        <v>0</v>
      </c>
      <c r="NX126" s="49"/>
      <c r="NY126" s="50">
        <v>0</v>
      </c>
      <c r="NZ126" s="48">
        <v>0</v>
      </c>
      <c r="OA126" s="48">
        <v>0</v>
      </c>
      <c r="OB126" s="48">
        <v>0</v>
      </c>
      <c r="OC126" s="43">
        <v>0</v>
      </c>
      <c r="OD126" s="49"/>
      <c r="OE126" s="50">
        <v>0</v>
      </c>
      <c r="OF126" s="48">
        <v>0</v>
      </c>
      <c r="OG126" s="43">
        <v>0</v>
      </c>
      <c r="OH126" s="49"/>
      <c r="OI126" s="50">
        <v>0</v>
      </c>
      <c r="OJ126" s="48">
        <v>0</v>
      </c>
      <c r="OK126" s="43">
        <v>0</v>
      </c>
      <c r="OL126" s="49"/>
      <c r="OM126" s="50">
        <v>0</v>
      </c>
      <c r="ON126" s="48">
        <v>0</v>
      </c>
      <c r="OO126" s="48">
        <v>0</v>
      </c>
      <c r="OP126" s="48">
        <v>0</v>
      </c>
      <c r="OQ126" s="43">
        <v>0</v>
      </c>
      <c r="OR126" s="49"/>
      <c r="OS126" s="50">
        <v>31.512</v>
      </c>
      <c r="OT126" s="48">
        <v>30</v>
      </c>
      <c r="OU126" s="43">
        <v>1.512</v>
      </c>
      <c r="OV126" s="49"/>
      <c r="OW126" s="50">
        <v>0</v>
      </c>
      <c r="OX126" s="48">
        <v>0</v>
      </c>
      <c r="OY126" s="48">
        <v>0</v>
      </c>
      <c r="OZ126" s="48">
        <v>0</v>
      </c>
      <c r="PA126" s="43">
        <v>0</v>
      </c>
      <c r="PB126" s="49"/>
      <c r="PC126" s="50">
        <v>0</v>
      </c>
      <c r="PD126" s="48">
        <v>0</v>
      </c>
      <c r="PE126" s="43">
        <v>0</v>
      </c>
      <c r="PF126" s="49"/>
      <c r="PG126" s="50">
        <v>0</v>
      </c>
      <c r="PH126" s="48">
        <v>0</v>
      </c>
      <c r="PI126" s="48">
        <v>20.61</v>
      </c>
      <c r="PJ126" s="48">
        <v>21</v>
      </c>
      <c r="PK126" s="43">
        <v>-0.39000000000000062</v>
      </c>
      <c r="PL126" s="49"/>
      <c r="PM126" s="47">
        <v>0</v>
      </c>
      <c r="PN126" s="48">
        <v>0</v>
      </c>
      <c r="PO126" s="48">
        <v>0</v>
      </c>
      <c r="PP126" s="48">
        <v>0</v>
      </c>
      <c r="PQ126" s="43">
        <v>0</v>
      </c>
      <c r="PR126" s="49"/>
      <c r="PS126" s="47">
        <v>31.831</v>
      </c>
      <c r="PT126" s="43">
        <v>31</v>
      </c>
      <c r="PU126" s="43">
        <v>0</v>
      </c>
      <c r="PV126" s="43">
        <v>0</v>
      </c>
      <c r="PW126" s="43">
        <v>0.83099999999999952</v>
      </c>
      <c r="PX126" s="46"/>
      <c r="PY126" s="47">
        <v>0</v>
      </c>
      <c r="PZ126" s="43">
        <v>0</v>
      </c>
      <c r="QA126" s="43">
        <v>0</v>
      </c>
      <c r="QB126" s="46"/>
      <c r="QC126" s="47">
        <v>0</v>
      </c>
      <c r="QD126" s="43">
        <v>0</v>
      </c>
      <c r="QE126" s="43">
        <v>0</v>
      </c>
      <c r="QF126" s="43">
        <v>0</v>
      </c>
      <c r="QG126" s="43">
        <v>0</v>
      </c>
      <c r="QH126" s="46"/>
      <c r="QI126" s="47">
        <v>41.588000000000001</v>
      </c>
      <c r="QJ126" s="43">
        <v>40</v>
      </c>
      <c r="QK126" s="43">
        <v>41.610999999999997</v>
      </c>
      <c r="QL126" s="43">
        <v>40</v>
      </c>
      <c r="QM126" s="43">
        <v>3.1989999999999981</v>
      </c>
      <c r="QN126" s="46"/>
      <c r="QO126" s="47">
        <v>0</v>
      </c>
      <c r="QP126" s="43">
        <v>0</v>
      </c>
      <c r="QQ126" s="43">
        <v>0</v>
      </c>
      <c r="QR126" s="43">
        <v>0</v>
      </c>
      <c r="QS126" s="43">
        <v>0</v>
      </c>
      <c r="QT126" s="46"/>
      <c r="QU126" s="47">
        <v>0</v>
      </c>
      <c r="QV126" s="43">
        <v>0</v>
      </c>
      <c r="QW126" s="43">
        <v>0</v>
      </c>
      <c r="QX126" s="46"/>
      <c r="QY126" s="47">
        <v>0</v>
      </c>
      <c r="QZ126" s="43">
        <v>0</v>
      </c>
      <c r="RA126" s="43">
        <v>0</v>
      </c>
      <c r="RB126" s="43">
        <v>0</v>
      </c>
      <c r="RC126" s="43">
        <v>0</v>
      </c>
      <c r="RD126" s="46"/>
    </row>
    <row r="127" spans="1:472" x14ac:dyDescent="0.25">
      <c r="A127" s="43" t="s">
        <v>415</v>
      </c>
      <c r="B127" s="44">
        <v>0.75</v>
      </c>
      <c r="I127" s="47"/>
      <c r="J127" s="51"/>
      <c r="K127" s="51"/>
      <c r="L127" s="51"/>
      <c r="M127" s="51">
        <f t="shared" si="12"/>
        <v>0</v>
      </c>
      <c r="N127" s="46"/>
      <c r="O127" s="47"/>
      <c r="P127" s="51"/>
      <c r="Q127" s="51"/>
      <c r="R127" s="51"/>
      <c r="S127" s="51">
        <f t="shared" si="13"/>
        <v>0</v>
      </c>
      <c r="T127" s="46"/>
      <c r="U127" s="47"/>
      <c r="V127" s="51"/>
      <c r="W127" s="51"/>
      <c r="X127" s="51"/>
      <c r="Y127" s="51">
        <f t="shared" si="14"/>
        <v>0</v>
      </c>
      <c r="Z127" s="46"/>
      <c r="AA127" s="51"/>
      <c r="AE127" s="43">
        <v>0</v>
      </c>
      <c r="AF127" s="46"/>
      <c r="AG127" s="47"/>
      <c r="AK127" s="43">
        <v>0</v>
      </c>
      <c r="AL127" s="46"/>
      <c r="AQ127" s="43">
        <v>0</v>
      </c>
      <c r="AR127" s="46"/>
      <c r="AW127" s="43">
        <v>0</v>
      </c>
      <c r="AX127" s="46"/>
      <c r="AY127" s="47"/>
      <c r="BC127" s="43">
        <v>0</v>
      </c>
      <c r="BD127" s="46"/>
      <c r="BE127" s="47"/>
      <c r="BI127" s="43">
        <v>0</v>
      </c>
      <c r="BJ127" s="46"/>
      <c r="BP127" s="43">
        <v>0</v>
      </c>
      <c r="BQ127" s="46"/>
      <c r="BT127" s="43">
        <v>0</v>
      </c>
      <c r="BU127" s="46"/>
      <c r="BV127" s="47"/>
      <c r="BZ127" s="43">
        <v>0</v>
      </c>
      <c r="CA127" s="46"/>
      <c r="CF127" s="43">
        <v>0</v>
      </c>
      <c r="CG127" s="46"/>
      <c r="CL127" s="43">
        <v>0</v>
      </c>
      <c r="CM127" s="46"/>
      <c r="CN127" s="47"/>
      <c r="CR127" s="43">
        <v>0</v>
      </c>
      <c r="CS127" s="46"/>
      <c r="CX127" s="43">
        <v>0</v>
      </c>
      <c r="CY127" s="46"/>
      <c r="CZ127" s="47"/>
      <c r="DD127" s="43">
        <v>0</v>
      </c>
      <c r="DE127" s="46"/>
      <c r="DF127" s="47"/>
      <c r="DL127" s="43">
        <v>0</v>
      </c>
      <c r="DM127" s="46"/>
      <c r="DN127" s="47"/>
      <c r="DR127" s="43">
        <v>0</v>
      </c>
      <c r="DS127" s="46"/>
      <c r="DZ127" s="43">
        <v>0</v>
      </c>
      <c r="EA127" s="46"/>
      <c r="EB127" s="47"/>
      <c r="EF127" s="43">
        <v>0</v>
      </c>
      <c r="EG127" s="46"/>
      <c r="EH127" s="47"/>
      <c r="EL127" s="43">
        <v>0</v>
      </c>
      <c r="EM127" s="46"/>
      <c r="EN127" s="47"/>
      <c r="ER127" s="43">
        <v>0</v>
      </c>
      <c r="ES127" s="46"/>
      <c r="EZ127" s="43">
        <v>0</v>
      </c>
      <c r="FA127" s="46"/>
      <c r="FG127" s="43">
        <v>0</v>
      </c>
      <c r="FH127" s="46"/>
      <c r="FI127" s="47"/>
      <c r="FL127" s="43">
        <v>0</v>
      </c>
      <c r="FM127" s="46"/>
      <c r="FN127" s="47"/>
      <c r="FQ127" s="43">
        <v>0</v>
      </c>
      <c r="FR127" s="46"/>
      <c r="FW127" s="43">
        <v>0</v>
      </c>
      <c r="FX127" s="46"/>
      <c r="FY127" s="47"/>
      <c r="GD127" s="43">
        <v>0</v>
      </c>
      <c r="GE127" s="46"/>
      <c r="GJ127" s="43">
        <v>0</v>
      </c>
      <c r="GK127" s="46"/>
      <c r="GL127" s="47"/>
      <c r="GP127" s="43">
        <v>0</v>
      </c>
      <c r="GQ127" s="46"/>
      <c r="GV127" s="43">
        <v>0</v>
      </c>
      <c r="GW127" s="46"/>
      <c r="GX127" s="47"/>
      <c r="GZ127" s="43">
        <v>0</v>
      </c>
      <c r="HA127" s="46"/>
      <c r="HB127" s="47"/>
      <c r="HF127" s="43">
        <v>0</v>
      </c>
      <c r="HG127" s="46"/>
      <c r="HH127" s="47"/>
      <c r="HJ127" s="43">
        <v>0</v>
      </c>
      <c r="HK127" s="46"/>
      <c r="HL127" s="47"/>
      <c r="HP127" s="43">
        <v>0</v>
      </c>
      <c r="HQ127" s="46"/>
      <c r="HX127" s="43">
        <v>0</v>
      </c>
      <c r="HY127" s="46"/>
      <c r="HZ127" s="47"/>
      <c r="ID127" s="43">
        <v>0</v>
      </c>
      <c r="IE127" s="46"/>
      <c r="IJ127" s="43">
        <v>0</v>
      </c>
      <c r="IK127" s="49"/>
      <c r="IP127" s="43">
        <v>0</v>
      </c>
      <c r="IQ127" s="49"/>
      <c r="IV127" s="43">
        <v>0</v>
      </c>
      <c r="IW127" s="49"/>
      <c r="JB127" s="43">
        <v>0</v>
      </c>
      <c r="JC127" s="46"/>
      <c r="JF127" s="43">
        <v>0</v>
      </c>
      <c r="JG127" s="49"/>
      <c r="JL127" s="43">
        <v>0</v>
      </c>
      <c r="JM127" s="46"/>
      <c r="JN127" s="50"/>
      <c r="JP127" s="43">
        <v>0</v>
      </c>
      <c r="JQ127" s="49"/>
      <c r="JV127" s="43">
        <v>0</v>
      </c>
      <c r="JW127" s="49"/>
      <c r="KB127" s="43">
        <v>0</v>
      </c>
      <c r="KC127" s="49"/>
      <c r="KH127" s="43">
        <v>0</v>
      </c>
      <c r="KI127" s="49"/>
      <c r="KN127" s="43">
        <v>0</v>
      </c>
      <c r="KO127" s="49"/>
      <c r="KP127" s="50"/>
      <c r="KV127" s="43">
        <v>0</v>
      </c>
      <c r="KW127" s="49"/>
      <c r="KX127" s="48">
        <v>0</v>
      </c>
      <c r="KY127" s="48">
        <v>0</v>
      </c>
      <c r="KZ127" s="48">
        <v>0</v>
      </c>
      <c r="LA127" s="48">
        <v>0</v>
      </c>
      <c r="LB127" s="43">
        <v>0</v>
      </c>
      <c r="LC127" s="49"/>
      <c r="LD127" s="48">
        <v>0</v>
      </c>
      <c r="LE127" s="48">
        <v>0</v>
      </c>
      <c r="LF127" s="48">
        <v>0</v>
      </c>
      <c r="LG127" s="48">
        <v>0</v>
      </c>
      <c r="LH127" s="43">
        <v>0</v>
      </c>
      <c r="LI127" s="49"/>
      <c r="LJ127" s="50">
        <v>0</v>
      </c>
      <c r="LK127" s="48">
        <v>0</v>
      </c>
      <c r="LL127" s="43">
        <v>0</v>
      </c>
      <c r="LM127" s="49"/>
      <c r="LN127" s="50">
        <v>0</v>
      </c>
      <c r="LO127" s="48">
        <v>0</v>
      </c>
      <c r="LP127" s="48">
        <v>0</v>
      </c>
      <c r="LQ127" s="48">
        <v>0</v>
      </c>
      <c r="LR127" s="48">
        <v>0</v>
      </c>
      <c r="LS127" s="43">
        <v>0</v>
      </c>
      <c r="LT127" s="49"/>
      <c r="LU127" s="50">
        <v>0</v>
      </c>
      <c r="LV127" s="48">
        <v>0</v>
      </c>
      <c r="LW127" s="48">
        <v>0</v>
      </c>
      <c r="LX127" s="48">
        <v>0</v>
      </c>
      <c r="LY127" s="43">
        <v>0</v>
      </c>
      <c r="LZ127" s="49"/>
      <c r="MA127" s="50">
        <v>0</v>
      </c>
      <c r="MB127" s="48">
        <v>0</v>
      </c>
      <c r="MC127" s="43">
        <v>0</v>
      </c>
      <c r="MD127" s="49"/>
      <c r="ME127" s="50">
        <v>0</v>
      </c>
      <c r="MF127" s="48">
        <v>0</v>
      </c>
      <c r="MG127" s="48">
        <v>0</v>
      </c>
      <c r="MH127" s="48">
        <v>0</v>
      </c>
      <c r="MI127" s="43">
        <v>0</v>
      </c>
      <c r="MJ127" s="49"/>
      <c r="MK127" s="50">
        <v>0</v>
      </c>
      <c r="ML127" s="48">
        <v>0</v>
      </c>
      <c r="MM127" s="43">
        <v>0</v>
      </c>
      <c r="MN127" s="49"/>
      <c r="MO127" s="50">
        <v>0</v>
      </c>
      <c r="MP127" s="48">
        <v>0</v>
      </c>
      <c r="MQ127" s="48">
        <v>0</v>
      </c>
      <c r="MR127" s="48">
        <v>0</v>
      </c>
      <c r="MS127" s="43">
        <v>0</v>
      </c>
      <c r="MT127" s="49"/>
      <c r="MU127" s="48">
        <v>0</v>
      </c>
      <c r="MV127" s="46"/>
      <c r="MW127" s="48">
        <v>0</v>
      </c>
      <c r="MX127" s="48">
        <v>0</v>
      </c>
      <c r="MY127" s="43">
        <v>0</v>
      </c>
      <c r="MZ127" s="49"/>
      <c r="NA127" s="50">
        <v>0</v>
      </c>
      <c r="NB127" s="48">
        <v>0</v>
      </c>
      <c r="NC127" s="48">
        <v>0</v>
      </c>
      <c r="ND127" s="48">
        <v>0</v>
      </c>
      <c r="NE127" s="43">
        <v>0</v>
      </c>
      <c r="NF127" s="49"/>
      <c r="NG127" s="50">
        <v>0</v>
      </c>
      <c r="NH127" s="48">
        <v>0</v>
      </c>
      <c r="NI127" s="48">
        <v>0</v>
      </c>
      <c r="NJ127" s="48">
        <v>0</v>
      </c>
      <c r="NK127" s="43">
        <v>0</v>
      </c>
      <c r="NL127" s="49"/>
      <c r="NM127" s="50">
        <v>0</v>
      </c>
      <c r="NN127" s="48">
        <v>0</v>
      </c>
      <c r="NO127" s="48">
        <v>0</v>
      </c>
      <c r="NP127" s="48">
        <v>0</v>
      </c>
      <c r="NQ127" s="43">
        <v>0</v>
      </c>
      <c r="NR127" s="49"/>
      <c r="NS127" s="50">
        <v>0</v>
      </c>
      <c r="NT127" s="48">
        <v>0</v>
      </c>
      <c r="NU127" s="48">
        <v>0</v>
      </c>
      <c r="NV127" s="48">
        <v>0</v>
      </c>
      <c r="NW127" s="43">
        <v>0</v>
      </c>
      <c r="NX127" s="49"/>
      <c r="NY127" s="50">
        <v>0</v>
      </c>
      <c r="NZ127" s="48">
        <v>0</v>
      </c>
      <c r="OA127" s="48">
        <v>0</v>
      </c>
      <c r="OB127" s="48">
        <v>0</v>
      </c>
      <c r="OC127" s="43">
        <v>0</v>
      </c>
      <c r="OD127" s="49"/>
      <c r="OE127" s="50">
        <v>0</v>
      </c>
      <c r="OF127" s="48">
        <v>0</v>
      </c>
      <c r="OG127" s="43">
        <v>0</v>
      </c>
      <c r="OH127" s="49"/>
      <c r="OI127" s="50">
        <v>0</v>
      </c>
      <c r="OJ127" s="48">
        <v>0</v>
      </c>
      <c r="OK127" s="43">
        <v>0</v>
      </c>
      <c r="OL127" s="49"/>
      <c r="OM127" s="50">
        <v>0</v>
      </c>
      <c r="ON127" s="48">
        <v>0</v>
      </c>
      <c r="OO127" s="48">
        <v>0</v>
      </c>
      <c r="OP127" s="48">
        <v>0</v>
      </c>
      <c r="OQ127" s="43">
        <v>0</v>
      </c>
      <c r="OR127" s="49"/>
      <c r="OS127" s="50">
        <v>0</v>
      </c>
      <c r="OT127" s="48">
        <v>0</v>
      </c>
      <c r="OU127" s="43">
        <v>0</v>
      </c>
      <c r="OV127" s="49"/>
      <c r="OW127" s="50">
        <v>0</v>
      </c>
      <c r="OX127" s="48">
        <v>0</v>
      </c>
      <c r="OY127" s="48">
        <v>0</v>
      </c>
      <c r="OZ127" s="48">
        <v>0</v>
      </c>
      <c r="PA127" s="43">
        <v>0</v>
      </c>
      <c r="PB127" s="49"/>
      <c r="PC127" s="50">
        <v>0</v>
      </c>
      <c r="PD127" s="48">
        <v>0</v>
      </c>
      <c r="PE127" s="43">
        <v>0</v>
      </c>
      <c r="PF127" s="49"/>
      <c r="PG127" s="50">
        <v>0</v>
      </c>
      <c r="PH127" s="48">
        <v>0</v>
      </c>
      <c r="PI127" s="48">
        <v>0</v>
      </c>
      <c r="PJ127" s="48">
        <v>0</v>
      </c>
      <c r="PK127" s="43">
        <v>0</v>
      </c>
      <c r="PL127" s="49"/>
      <c r="PM127" s="47">
        <v>0</v>
      </c>
      <c r="PN127" s="48">
        <v>0</v>
      </c>
      <c r="PO127" s="48">
        <v>0</v>
      </c>
      <c r="PP127" s="48">
        <v>0</v>
      </c>
      <c r="PQ127" s="43">
        <v>0</v>
      </c>
      <c r="PR127" s="49"/>
      <c r="PS127" s="47">
        <v>0</v>
      </c>
      <c r="PT127" s="43">
        <v>0</v>
      </c>
      <c r="PU127" s="43">
        <v>0</v>
      </c>
      <c r="PV127" s="43">
        <v>0</v>
      </c>
      <c r="PW127" s="43">
        <v>0</v>
      </c>
      <c r="PX127" s="46"/>
      <c r="PY127" s="47">
        <v>0</v>
      </c>
      <c r="PZ127" s="43">
        <v>0</v>
      </c>
      <c r="QA127" s="43">
        <v>0</v>
      </c>
      <c r="QB127" s="46"/>
      <c r="QC127" s="47">
        <v>0</v>
      </c>
      <c r="QD127" s="43">
        <v>0</v>
      </c>
      <c r="QE127" s="43">
        <v>0</v>
      </c>
      <c r="QF127" s="43">
        <v>0</v>
      </c>
      <c r="QG127" s="43">
        <v>0</v>
      </c>
      <c r="QH127" s="46"/>
      <c r="QI127" s="47">
        <v>0</v>
      </c>
      <c r="QJ127" s="43">
        <v>0</v>
      </c>
      <c r="QK127" s="43">
        <v>0</v>
      </c>
      <c r="QL127" s="43">
        <v>0</v>
      </c>
      <c r="QM127" s="43">
        <v>0</v>
      </c>
      <c r="QN127" s="46"/>
      <c r="QO127" s="47">
        <v>0</v>
      </c>
      <c r="QP127" s="43">
        <v>0</v>
      </c>
      <c r="QQ127" s="43">
        <v>0</v>
      </c>
      <c r="QR127" s="43">
        <v>0</v>
      </c>
      <c r="QS127" s="43">
        <v>0</v>
      </c>
      <c r="QT127" s="46"/>
      <c r="QU127" s="47">
        <v>48</v>
      </c>
      <c r="QV127" s="43">
        <v>50</v>
      </c>
      <c r="QW127" s="43">
        <v>-2</v>
      </c>
      <c r="QX127" s="46"/>
      <c r="QY127" s="47">
        <v>48</v>
      </c>
      <c r="QZ127" s="43">
        <v>50</v>
      </c>
      <c r="RA127" s="43">
        <v>102</v>
      </c>
      <c r="RB127" s="43">
        <v>100</v>
      </c>
      <c r="RC127" s="43">
        <v>0</v>
      </c>
      <c r="RD127" s="46"/>
    </row>
    <row r="128" spans="1:472" x14ac:dyDescent="0.25">
      <c r="A128" s="43" t="s">
        <v>416</v>
      </c>
      <c r="B128" s="44">
        <v>0.4</v>
      </c>
      <c r="I128" s="47"/>
      <c r="J128" s="51"/>
      <c r="K128" s="51"/>
      <c r="L128" s="51"/>
      <c r="M128" s="51">
        <f t="shared" si="12"/>
        <v>0</v>
      </c>
      <c r="N128" s="46"/>
      <c r="O128" s="47"/>
      <c r="P128" s="51"/>
      <c r="Q128" s="51"/>
      <c r="R128" s="51"/>
      <c r="S128" s="51">
        <f t="shared" si="13"/>
        <v>0</v>
      </c>
      <c r="T128" s="46"/>
      <c r="U128" s="47"/>
      <c r="V128" s="51"/>
      <c r="W128" s="51"/>
      <c r="X128" s="51"/>
      <c r="Y128" s="51">
        <f t="shared" si="14"/>
        <v>0</v>
      </c>
      <c r="Z128" s="46"/>
      <c r="AA128" s="51"/>
      <c r="AE128" s="43">
        <v>0</v>
      </c>
      <c r="AF128" s="46"/>
      <c r="AG128" s="47"/>
      <c r="AK128" s="43">
        <v>0</v>
      </c>
      <c r="AL128" s="46"/>
      <c r="AQ128" s="43">
        <v>0</v>
      </c>
      <c r="AR128" s="46"/>
      <c r="AW128" s="43">
        <v>0</v>
      </c>
      <c r="AX128" s="46"/>
      <c r="AY128" s="47"/>
      <c r="BC128" s="43">
        <v>0</v>
      </c>
      <c r="BD128" s="46"/>
      <c r="BE128" s="47"/>
      <c r="BI128" s="43">
        <v>0</v>
      </c>
      <c r="BJ128" s="46"/>
      <c r="BP128" s="43">
        <v>0</v>
      </c>
      <c r="BQ128" s="46"/>
      <c r="BT128" s="43">
        <v>0</v>
      </c>
      <c r="BU128" s="46"/>
      <c r="BV128" s="47"/>
      <c r="BZ128" s="43">
        <v>0</v>
      </c>
      <c r="CA128" s="46"/>
      <c r="CF128" s="43">
        <v>0</v>
      </c>
      <c r="CG128" s="46"/>
      <c r="CL128" s="43">
        <v>0</v>
      </c>
      <c r="CM128" s="46"/>
      <c r="CN128" s="47"/>
      <c r="CR128" s="43">
        <v>0</v>
      </c>
      <c r="CS128" s="46"/>
      <c r="CX128" s="43">
        <v>0</v>
      </c>
      <c r="CY128" s="46"/>
      <c r="CZ128" s="47"/>
      <c r="DD128" s="43">
        <v>0</v>
      </c>
      <c r="DE128" s="46"/>
      <c r="DF128" s="47"/>
      <c r="DL128" s="43">
        <v>0</v>
      </c>
      <c r="DM128" s="46"/>
      <c r="DN128" s="47"/>
      <c r="DR128" s="43">
        <v>0</v>
      </c>
      <c r="DS128" s="46"/>
      <c r="DZ128" s="43">
        <v>0</v>
      </c>
      <c r="EA128" s="46"/>
      <c r="EB128" s="47"/>
      <c r="EF128" s="43">
        <v>0</v>
      </c>
      <c r="EG128" s="46"/>
      <c r="EH128" s="47"/>
      <c r="EL128" s="43">
        <v>0</v>
      </c>
      <c r="EM128" s="46"/>
      <c r="EN128" s="47"/>
      <c r="ER128" s="43">
        <v>0</v>
      </c>
      <c r="ES128" s="46"/>
      <c r="EZ128" s="43">
        <v>0</v>
      </c>
      <c r="FA128" s="46"/>
      <c r="FG128" s="43">
        <v>0</v>
      </c>
      <c r="FH128" s="46"/>
      <c r="FI128" s="47"/>
      <c r="FL128" s="43">
        <v>0</v>
      </c>
      <c r="FM128" s="46"/>
      <c r="FN128" s="47"/>
      <c r="FQ128" s="43">
        <v>0</v>
      </c>
      <c r="FR128" s="46"/>
      <c r="FW128" s="43">
        <v>0</v>
      </c>
      <c r="FX128" s="46"/>
      <c r="FY128" s="47"/>
      <c r="GD128" s="43">
        <v>0</v>
      </c>
      <c r="GE128" s="46"/>
      <c r="GJ128" s="43">
        <v>0</v>
      </c>
      <c r="GK128" s="46"/>
      <c r="GL128" s="47"/>
      <c r="GP128" s="43">
        <v>0</v>
      </c>
      <c r="GQ128" s="46"/>
      <c r="GV128" s="43">
        <v>0</v>
      </c>
      <c r="GW128" s="46"/>
      <c r="GX128" s="47"/>
      <c r="GZ128" s="43">
        <v>0</v>
      </c>
      <c r="HA128" s="46"/>
      <c r="HB128" s="47"/>
      <c r="HF128" s="43">
        <v>0</v>
      </c>
      <c r="HG128" s="46"/>
      <c r="HH128" s="47"/>
      <c r="HJ128" s="43">
        <v>0</v>
      </c>
      <c r="HK128" s="46"/>
      <c r="HL128" s="47"/>
      <c r="HP128" s="43">
        <v>0</v>
      </c>
      <c r="HQ128" s="46"/>
      <c r="HX128" s="43">
        <v>0</v>
      </c>
      <c r="HY128" s="46"/>
      <c r="HZ128" s="47"/>
      <c r="ID128" s="43">
        <v>0</v>
      </c>
      <c r="IE128" s="46"/>
      <c r="IH128" s="38">
        <v>32</v>
      </c>
      <c r="IJ128" s="43">
        <v>0</v>
      </c>
      <c r="IK128" s="49"/>
      <c r="IN128">
        <v>96</v>
      </c>
      <c r="IO128">
        <v>100</v>
      </c>
      <c r="IP128" s="43">
        <v>-4</v>
      </c>
      <c r="IQ128" s="49"/>
      <c r="IR128">
        <v>24</v>
      </c>
      <c r="IS128">
        <v>24</v>
      </c>
      <c r="IV128" s="43">
        <v>0</v>
      </c>
      <c r="IW128" s="49"/>
      <c r="IZ128">
        <v>48</v>
      </c>
      <c r="JA128">
        <v>50</v>
      </c>
      <c r="JB128" s="43">
        <v>-2</v>
      </c>
      <c r="JC128" s="46"/>
      <c r="JE128">
        <v>32</v>
      </c>
      <c r="JF128" s="42">
        <v>-32</v>
      </c>
      <c r="JG128" s="46">
        <v>12.8</v>
      </c>
      <c r="JL128" s="43">
        <v>0</v>
      </c>
      <c r="JM128" s="46"/>
      <c r="JN128" s="45">
        <v>16</v>
      </c>
      <c r="JO128" s="48">
        <v>16</v>
      </c>
      <c r="JP128" s="43">
        <v>0</v>
      </c>
      <c r="JQ128" s="49"/>
      <c r="JT128">
        <v>56</v>
      </c>
      <c r="JU128">
        <v>56</v>
      </c>
      <c r="JV128" s="43">
        <v>0</v>
      </c>
      <c r="JW128" s="49"/>
      <c r="KB128" s="43">
        <v>0</v>
      </c>
      <c r="KC128" s="49"/>
      <c r="KE128">
        <v>16</v>
      </c>
      <c r="KH128" s="42">
        <v>-16</v>
      </c>
      <c r="KI128" s="49">
        <v>6.4</v>
      </c>
      <c r="KJ128">
        <v>40</v>
      </c>
      <c r="KK128">
        <v>40</v>
      </c>
      <c r="KM128">
        <v>90</v>
      </c>
      <c r="KN128" s="42">
        <v>-90</v>
      </c>
      <c r="KO128" s="49">
        <v>36</v>
      </c>
      <c r="KP128" s="50"/>
      <c r="KQ128">
        <v>20</v>
      </c>
      <c r="KR128">
        <v>16</v>
      </c>
      <c r="KS128">
        <v>20</v>
      </c>
      <c r="KV128" s="42">
        <v>-24</v>
      </c>
      <c r="KW128" s="49">
        <v>9.6000000000000014</v>
      </c>
      <c r="KX128" s="48">
        <v>0</v>
      </c>
      <c r="KY128" s="48">
        <v>0</v>
      </c>
      <c r="KZ128" s="48">
        <v>48</v>
      </c>
      <c r="LA128" s="48">
        <v>50</v>
      </c>
      <c r="LB128" s="43">
        <v>-2</v>
      </c>
      <c r="LC128" s="49"/>
      <c r="LD128" s="48">
        <v>0</v>
      </c>
      <c r="LE128" s="48">
        <v>0</v>
      </c>
      <c r="LF128" s="48">
        <v>88</v>
      </c>
      <c r="LG128" s="48">
        <v>90</v>
      </c>
      <c r="LH128" s="43">
        <v>-2</v>
      </c>
      <c r="LI128" s="49"/>
      <c r="LJ128" s="50">
        <v>0</v>
      </c>
      <c r="LK128" s="48">
        <v>0</v>
      </c>
      <c r="LL128" s="43">
        <v>0</v>
      </c>
      <c r="LM128" s="49"/>
      <c r="LN128" s="50">
        <v>32</v>
      </c>
      <c r="LO128" s="48">
        <v>32</v>
      </c>
      <c r="LP128" s="48">
        <v>32</v>
      </c>
      <c r="LQ128" s="48">
        <v>0</v>
      </c>
      <c r="LR128" s="48">
        <v>32</v>
      </c>
      <c r="LS128" s="43">
        <v>0</v>
      </c>
      <c r="LT128" s="49"/>
      <c r="LU128" s="50">
        <v>32</v>
      </c>
      <c r="LV128" s="48">
        <v>32</v>
      </c>
      <c r="LW128" s="48">
        <v>56</v>
      </c>
      <c r="LX128" s="48">
        <v>56</v>
      </c>
      <c r="LY128" s="43">
        <v>0</v>
      </c>
      <c r="LZ128" s="49"/>
      <c r="MA128" s="50">
        <v>16</v>
      </c>
      <c r="MB128" s="48">
        <v>20</v>
      </c>
      <c r="MC128" s="43">
        <v>-4</v>
      </c>
      <c r="MD128" s="49"/>
      <c r="ME128" s="50">
        <v>0</v>
      </c>
      <c r="MF128" s="48">
        <v>0</v>
      </c>
      <c r="MG128" s="48">
        <v>32</v>
      </c>
      <c r="MH128" s="48">
        <v>30</v>
      </c>
      <c r="MI128" s="43">
        <v>2</v>
      </c>
      <c r="MJ128" s="49"/>
      <c r="MK128" s="50">
        <v>40</v>
      </c>
      <c r="ML128" s="48">
        <v>40</v>
      </c>
      <c r="MM128" s="43">
        <v>0</v>
      </c>
      <c r="MN128" s="49"/>
      <c r="MO128" s="50">
        <v>80</v>
      </c>
      <c r="MP128" s="48">
        <v>80</v>
      </c>
      <c r="MQ128" s="48">
        <v>0</v>
      </c>
      <c r="MR128" s="48">
        <v>0</v>
      </c>
      <c r="MS128" s="43">
        <v>0</v>
      </c>
      <c r="MT128" s="49"/>
      <c r="MU128" s="48">
        <v>0</v>
      </c>
      <c r="MV128" s="46"/>
      <c r="MZ128" s="49"/>
      <c r="NA128" s="50"/>
      <c r="NF128" s="49"/>
      <c r="NG128" s="50"/>
      <c r="NL128" s="49"/>
      <c r="NM128" s="50"/>
      <c r="NR128" s="49"/>
      <c r="NS128" s="50"/>
      <c r="NX128" s="49"/>
      <c r="NY128" s="50"/>
      <c r="OD128" s="49"/>
      <c r="OE128" s="50"/>
      <c r="OH128" s="49"/>
      <c r="OI128" s="50"/>
      <c r="OL128" s="49"/>
      <c r="OM128" s="50"/>
      <c r="OR128" s="49"/>
      <c r="OS128" s="50"/>
      <c r="OV128" s="49"/>
      <c r="OW128" s="50"/>
      <c r="PB128" s="49"/>
      <c r="PC128" s="50"/>
      <c r="PF128" s="49"/>
      <c r="PG128" s="50"/>
      <c r="PL128" s="49"/>
      <c r="PM128" s="47"/>
      <c r="PN128" s="48"/>
      <c r="PP128" s="48"/>
      <c r="PR128" s="49"/>
      <c r="PS128" s="47"/>
      <c r="PX128" s="46"/>
      <c r="PY128" s="47"/>
      <c r="QB128" s="46"/>
      <c r="QC128" s="47"/>
      <c r="QH128" s="46"/>
      <c r="QI128" s="47"/>
      <c r="QN128" s="46"/>
      <c r="QO128" s="47"/>
      <c r="QT128" s="46"/>
      <c r="QU128" s="47"/>
      <c r="QX128" s="46"/>
      <c r="QY128" s="47"/>
      <c r="RD128" s="46"/>
    </row>
    <row r="129" spans="1:472" x14ac:dyDescent="0.25">
      <c r="A129" s="43" t="s">
        <v>417</v>
      </c>
      <c r="B129" s="44">
        <v>1</v>
      </c>
      <c r="I129" s="47"/>
      <c r="J129" s="51"/>
      <c r="K129" s="51"/>
      <c r="L129" s="51"/>
      <c r="M129" s="51">
        <f t="shared" si="12"/>
        <v>0</v>
      </c>
      <c r="N129" s="46"/>
      <c r="O129" s="47"/>
      <c r="P129" s="51"/>
      <c r="Q129" s="51"/>
      <c r="R129" s="51"/>
      <c r="S129" s="51">
        <f t="shared" si="13"/>
        <v>0</v>
      </c>
      <c r="T129" s="46"/>
      <c r="U129" s="47"/>
      <c r="V129" s="51"/>
      <c r="W129" s="51"/>
      <c r="X129" s="51"/>
      <c r="Y129" s="51">
        <f t="shared" si="14"/>
        <v>0</v>
      </c>
      <c r="Z129" s="46"/>
      <c r="AA129" s="51"/>
      <c r="AE129" s="43">
        <v>0</v>
      </c>
      <c r="AF129" s="46"/>
      <c r="AG129" s="47"/>
      <c r="AK129" s="43">
        <v>0</v>
      </c>
      <c r="AL129" s="46"/>
      <c r="AQ129" s="43">
        <v>0</v>
      </c>
      <c r="AR129" s="46"/>
      <c r="AW129" s="43">
        <v>0</v>
      </c>
      <c r="AX129" s="46"/>
      <c r="AY129" s="47"/>
      <c r="BC129" s="43">
        <v>0</v>
      </c>
      <c r="BD129" s="46"/>
      <c r="BE129" s="47"/>
      <c r="BI129" s="43">
        <v>0</v>
      </c>
      <c r="BJ129" s="46"/>
      <c r="BP129" s="43">
        <v>0</v>
      </c>
      <c r="BQ129" s="46"/>
      <c r="BT129" s="43">
        <v>0</v>
      </c>
      <c r="BU129" s="46"/>
      <c r="BV129" s="47"/>
      <c r="BZ129" s="43">
        <v>0</v>
      </c>
      <c r="CA129" s="46"/>
      <c r="CF129" s="43">
        <v>0</v>
      </c>
      <c r="CG129" s="46"/>
      <c r="CL129" s="43">
        <v>0</v>
      </c>
      <c r="CM129" s="46"/>
      <c r="CN129" s="47"/>
      <c r="CR129" s="43">
        <v>0</v>
      </c>
      <c r="CS129" s="46"/>
      <c r="CX129" s="43">
        <v>0</v>
      </c>
      <c r="CY129" s="46"/>
      <c r="CZ129" s="47"/>
      <c r="DD129" s="43">
        <v>0</v>
      </c>
      <c r="DE129" s="46"/>
      <c r="DF129" s="47"/>
      <c r="DL129" s="43">
        <v>0</v>
      </c>
      <c r="DM129" s="46"/>
      <c r="DN129" s="47"/>
      <c r="DR129" s="43">
        <v>0</v>
      </c>
      <c r="DS129" s="46"/>
      <c r="DZ129" s="43">
        <v>0</v>
      </c>
      <c r="EA129" s="46"/>
      <c r="EB129" s="47"/>
      <c r="EF129" s="43">
        <v>0</v>
      </c>
      <c r="EG129" s="46"/>
      <c r="EH129" s="47"/>
      <c r="EL129" s="43">
        <v>0</v>
      </c>
      <c r="EM129" s="46"/>
      <c r="EN129" s="47"/>
      <c r="ER129" s="43">
        <v>0</v>
      </c>
      <c r="ES129" s="46"/>
      <c r="EZ129" s="43">
        <v>0</v>
      </c>
      <c r="FA129" s="46"/>
      <c r="FG129" s="43">
        <v>0</v>
      </c>
      <c r="FH129" s="46"/>
      <c r="FI129" s="47"/>
      <c r="FL129" s="43">
        <v>0</v>
      </c>
      <c r="FM129" s="46"/>
      <c r="FN129" s="47"/>
      <c r="FQ129" s="43">
        <v>0</v>
      </c>
      <c r="FR129" s="46"/>
      <c r="FW129" s="43">
        <v>0</v>
      </c>
      <c r="FX129" s="46"/>
      <c r="FY129" s="47"/>
      <c r="GD129" s="43">
        <v>0</v>
      </c>
      <c r="GE129" s="46"/>
      <c r="GJ129" s="43">
        <v>0</v>
      </c>
      <c r="GK129" s="46"/>
      <c r="GL129" s="47"/>
      <c r="GP129" s="43">
        <v>0</v>
      </c>
      <c r="GQ129" s="46"/>
      <c r="GV129" s="43">
        <v>0</v>
      </c>
      <c r="GW129" s="46"/>
      <c r="GX129" s="47"/>
      <c r="GZ129" s="43">
        <v>0</v>
      </c>
      <c r="HA129" s="46"/>
      <c r="HB129" s="47"/>
      <c r="HF129" s="43">
        <v>0</v>
      </c>
      <c r="HG129" s="46"/>
      <c r="HH129" s="47"/>
      <c r="HJ129" s="43">
        <v>0</v>
      </c>
      <c r="HK129" s="46"/>
      <c r="HL129" s="47"/>
      <c r="HP129" s="43">
        <v>0</v>
      </c>
      <c r="HQ129" s="46"/>
      <c r="HX129" s="43">
        <v>0</v>
      </c>
      <c r="HY129" s="46"/>
      <c r="HZ129" s="47"/>
      <c r="ID129" s="43">
        <v>0</v>
      </c>
      <c r="IE129" s="46"/>
      <c r="IH129" s="38">
        <v>48</v>
      </c>
      <c r="IJ129" s="43">
        <v>0</v>
      </c>
      <c r="IK129" s="49"/>
      <c r="IN129">
        <v>122</v>
      </c>
      <c r="IO129">
        <v>120</v>
      </c>
      <c r="IP129" s="43">
        <v>2</v>
      </c>
      <c r="IQ129" s="49"/>
      <c r="IR129">
        <v>12</v>
      </c>
      <c r="IS129">
        <v>10</v>
      </c>
      <c r="IV129" s="43">
        <v>2</v>
      </c>
      <c r="IW129" s="49"/>
      <c r="IX129">
        <v>82</v>
      </c>
      <c r="IY129">
        <v>80</v>
      </c>
      <c r="IZ129">
        <v>61</v>
      </c>
      <c r="JA129">
        <v>60</v>
      </c>
      <c r="JB129" s="43">
        <v>3</v>
      </c>
      <c r="JC129" s="46"/>
      <c r="JE129">
        <v>20</v>
      </c>
      <c r="JF129" s="42">
        <v>-20</v>
      </c>
      <c r="JG129" s="46">
        <v>20</v>
      </c>
      <c r="JH129">
        <v>89</v>
      </c>
      <c r="JI129">
        <v>90</v>
      </c>
      <c r="JJ129">
        <v>82</v>
      </c>
      <c r="JK129">
        <v>80</v>
      </c>
      <c r="JL129" s="43">
        <v>1</v>
      </c>
      <c r="JM129" s="46"/>
      <c r="JN129" s="45">
        <v>49</v>
      </c>
      <c r="JO129" s="48">
        <v>50</v>
      </c>
      <c r="JP129" s="43">
        <v>-1</v>
      </c>
      <c r="JQ129" s="49"/>
      <c r="JT129">
        <v>49</v>
      </c>
      <c r="JU129">
        <v>50</v>
      </c>
      <c r="JV129" s="43">
        <v>-1</v>
      </c>
      <c r="JW129" s="49"/>
      <c r="KB129" s="43">
        <v>0</v>
      </c>
      <c r="KC129" s="49"/>
      <c r="KD129">
        <v>48</v>
      </c>
      <c r="KE129">
        <v>50</v>
      </c>
      <c r="KF129">
        <v>170</v>
      </c>
      <c r="KG129">
        <v>170</v>
      </c>
      <c r="KH129" s="43">
        <v>-2</v>
      </c>
      <c r="KI129" s="49"/>
      <c r="KJ129">
        <v>33</v>
      </c>
      <c r="KK129">
        <v>30</v>
      </c>
      <c r="KL129">
        <v>32</v>
      </c>
      <c r="KM129">
        <v>30</v>
      </c>
      <c r="KN129" s="43">
        <v>5</v>
      </c>
      <c r="KO129" s="49"/>
      <c r="KP129" s="45">
        <v>40</v>
      </c>
      <c r="KQ129">
        <v>40</v>
      </c>
      <c r="KR129">
        <v>40</v>
      </c>
      <c r="KS129">
        <v>40</v>
      </c>
      <c r="KT129">
        <v>20</v>
      </c>
      <c r="KU129">
        <v>37</v>
      </c>
      <c r="KV129" s="42">
        <v>-17</v>
      </c>
      <c r="KW129" s="49">
        <v>17</v>
      </c>
      <c r="KX129" s="48">
        <v>0</v>
      </c>
      <c r="KY129" s="48">
        <v>0</v>
      </c>
      <c r="KZ129" s="48">
        <v>81.471000000000004</v>
      </c>
      <c r="LA129" s="48">
        <v>80</v>
      </c>
      <c r="LB129" s="43">
        <v>1.4710000000000041</v>
      </c>
      <c r="LC129" s="49"/>
      <c r="LD129" s="48">
        <v>0</v>
      </c>
      <c r="LE129" s="48">
        <v>0</v>
      </c>
      <c r="LF129" s="48">
        <v>16.242000000000001</v>
      </c>
      <c r="LG129" s="48">
        <v>15</v>
      </c>
      <c r="LH129" s="43">
        <v>1.2420000000000011</v>
      </c>
      <c r="LI129" s="49"/>
      <c r="LJ129" s="50">
        <v>150.30500000000001</v>
      </c>
      <c r="LK129" s="48">
        <v>150</v>
      </c>
      <c r="LL129" s="43">
        <v>0.30500000000000682</v>
      </c>
      <c r="LM129" s="49"/>
      <c r="LN129" s="50">
        <v>0</v>
      </c>
      <c r="LO129" s="48">
        <v>80</v>
      </c>
      <c r="LP129" s="48">
        <v>69.153999999999996</v>
      </c>
      <c r="LQ129" s="48">
        <v>0</v>
      </c>
      <c r="LR129" s="48">
        <v>70</v>
      </c>
      <c r="LS129" s="42">
        <v>-80.846000000000004</v>
      </c>
      <c r="LT129" s="49">
        <v>80.846000000000004</v>
      </c>
      <c r="LU129" s="50">
        <v>100.99</v>
      </c>
      <c r="LV129" s="48">
        <v>100</v>
      </c>
      <c r="LW129" s="48">
        <v>0</v>
      </c>
      <c r="LX129" s="48">
        <v>0</v>
      </c>
      <c r="LY129" s="43">
        <v>0.98999999999999488</v>
      </c>
      <c r="LZ129" s="49"/>
      <c r="MA129" s="50">
        <v>204.95699999999999</v>
      </c>
      <c r="MB129" s="48">
        <v>240</v>
      </c>
      <c r="MC129" s="42">
        <v>-35.043000000000013</v>
      </c>
      <c r="MD129" s="49">
        <v>35.043000000000013</v>
      </c>
      <c r="ME129" s="50">
        <v>0</v>
      </c>
      <c r="MF129" s="48">
        <v>0</v>
      </c>
      <c r="MG129" s="48">
        <v>40.381999999999998</v>
      </c>
      <c r="MH129" s="48">
        <v>40</v>
      </c>
      <c r="MI129" s="43">
        <v>0.3819999999999979</v>
      </c>
      <c r="MJ129" s="49"/>
      <c r="MK129" s="50">
        <v>40.387</v>
      </c>
      <c r="ML129" s="48">
        <v>40</v>
      </c>
      <c r="MM129" s="43">
        <v>0.38700000000000051</v>
      </c>
      <c r="MN129" s="49"/>
      <c r="MO129" s="50">
        <v>68.344999999999999</v>
      </c>
      <c r="MP129" s="48">
        <v>70</v>
      </c>
      <c r="MQ129" s="48">
        <v>0</v>
      </c>
      <c r="MR129" s="48">
        <v>0</v>
      </c>
      <c r="MS129" s="43">
        <v>-1.6550000000000009</v>
      </c>
      <c r="MT129" s="49"/>
      <c r="MU129" s="48">
        <v>0</v>
      </c>
      <c r="MV129" s="46"/>
      <c r="MZ129" s="49"/>
      <c r="NA129" s="50"/>
      <c r="NF129" s="49"/>
      <c r="NG129" s="50"/>
      <c r="NL129" s="49"/>
      <c r="NM129" s="50"/>
      <c r="NR129" s="49"/>
      <c r="NS129" s="50"/>
      <c r="NX129" s="49"/>
      <c r="NY129" s="50"/>
      <c r="OD129" s="49"/>
      <c r="OE129" s="50"/>
      <c r="OH129" s="49"/>
      <c r="OI129" s="50"/>
      <c r="OL129" s="49"/>
      <c r="OM129" s="50"/>
      <c r="OR129" s="49"/>
      <c r="OS129" s="50"/>
      <c r="OV129" s="49"/>
      <c r="OW129" s="50"/>
      <c r="PB129" s="49"/>
      <c r="PC129" s="50"/>
      <c r="PF129" s="49"/>
      <c r="PG129" s="50"/>
      <c r="PL129" s="49"/>
      <c r="PM129" s="47"/>
      <c r="PN129" s="48"/>
      <c r="PP129" s="48"/>
      <c r="PR129" s="49"/>
      <c r="PS129" s="47"/>
      <c r="PX129" s="46"/>
      <c r="PY129" s="47"/>
      <c r="QB129" s="46"/>
      <c r="QC129" s="47"/>
      <c r="QH129" s="46"/>
      <c r="QI129" s="47"/>
      <c r="QN129" s="46"/>
      <c r="QO129" s="47"/>
      <c r="QT129" s="46"/>
      <c r="QU129" s="47"/>
      <c r="QX129" s="46"/>
      <c r="QY129" s="47"/>
      <c r="RD129" s="46"/>
    </row>
    <row r="130" spans="1:472" x14ac:dyDescent="0.25">
      <c r="A130" s="43" t="s">
        <v>418</v>
      </c>
      <c r="B130" s="44">
        <v>0.66</v>
      </c>
      <c r="I130" s="47"/>
      <c r="J130" s="51"/>
      <c r="K130" s="51"/>
      <c r="L130" s="51"/>
      <c r="M130" s="51">
        <f t="shared" si="12"/>
        <v>0</v>
      </c>
      <c r="N130" s="46"/>
      <c r="O130" s="47"/>
      <c r="P130" s="51"/>
      <c r="Q130" s="51"/>
      <c r="R130" s="51"/>
      <c r="S130" s="51">
        <f t="shared" si="13"/>
        <v>0</v>
      </c>
      <c r="T130" s="46"/>
      <c r="U130" s="47"/>
      <c r="V130" s="51"/>
      <c r="W130" s="51"/>
      <c r="X130" s="51"/>
      <c r="Y130" s="51">
        <f t="shared" si="14"/>
        <v>0</v>
      </c>
      <c r="Z130" s="46"/>
      <c r="AA130" s="51"/>
      <c r="AE130" s="43">
        <v>0</v>
      </c>
      <c r="AF130" s="46"/>
      <c r="AG130" s="47"/>
      <c r="AK130" s="43">
        <v>0</v>
      </c>
      <c r="AL130" s="46"/>
      <c r="AQ130" s="43">
        <v>0</v>
      </c>
      <c r="AR130" s="46"/>
      <c r="AW130" s="43">
        <v>0</v>
      </c>
      <c r="AX130" s="46"/>
      <c r="AY130" s="47"/>
      <c r="BC130" s="43">
        <v>0</v>
      </c>
      <c r="BD130" s="46"/>
      <c r="BE130" s="47"/>
      <c r="BI130" s="43">
        <v>0</v>
      </c>
      <c r="BJ130" s="46"/>
      <c r="BP130" s="43">
        <v>0</v>
      </c>
      <c r="BQ130" s="46"/>
      <c r="BT130" s="43">
        <v>0</v>
      </c>
      <c r="BU130" s="46"/>
      <c r="BV130" s="47"/>
      <c r="BZ130" s="43">
        <v>0</v>
      </c>
      <c r="CA130" s="46"/>
      <c r="CF130" s="43">
        <v>0</v>
      </c>
      <c r="CG130" s="46"/>
      <c r="CL130" s="43">
        <v>0</v>
      </c>
      <c r="CM130" s="46"/>
      <c r="CN130" s="47"/>
      <c r="CR130" s="43">
        <v>0</v>
      </c>
      <c r="CS130" s="46"/>
      <c r="CX130" s="43">
        <v>0</v>
      </c>
      <c r="CY130" s="46"/>
      <c r="CZ130" s="47"/>
      <c r="DD130" s="43">
        <v>0</v>
      </c>
      <c r="DE130" s="46"/>
      <c r="DF130" s="47"/>
      <c r="DL130" s="43">
        <v>0</v>
      </c>
      <c r="DM130" s="46"/>
      <c r="DN130" s="47"/>
      <c r="DR130" s="43">
        <v>0</v>
      </c>
      <c r="DS130" s="46"/>
      <c r="DZ130" s="43">
        <v>0</v>
      </c>
      <c r="EA130" s="46"/>
      <c r="EB130" s="47"/>
      <c r="EF130" s="43">
        <v>0</v>
      </c>
      <c r="EG130" s="46"/>
      <c r="EH130" s="47"/>
      <c r="EL130" s="43">
        <v>0</v>
      </c>
      <c r="EM130" s="46"/>
      <c r="EN130" s="47"/>
      <c r="ER130" s="43">
        <v>0</v>
      </c>
      <c r="ES130" s="46"/>
      <c r="EZ130" s="43">
        <v>0</v>
      </c>
      <c r="FA130" s="46"/>
      <c r="FG130" s="43">
        <v>0</v>
      </c>
      <c r="FH130" s="46"/>
      <c r="FI130" s="47"/>
      <c r="FL130" s="43">
        <v>0</v>
      </c>
      <c r="FM130" s="46"/>
      <c r="FN130" s="47"/>
      <c r="FQ130" s="43">
        <v>0</v>
      </c>
      <c r="FR130" s="46"/>
      <c r="FW130" s="43">
        <v>0</v>
      </c>
      <c r="FX130" s="46"/>
      <c r="FY130" s="47"/>
      <c r="GD130" s="43">
        <v>0</v>
      </c>
      <c r="GE130" s="46"/>
      <c r="GJ130" s="43">
        <v>0</v>
      </c>
      <c r="GK130" s="46"/>
      <c r="GL130" s="47"/>
      <c r="GP130" s="43">
        <v>0</v>
      </c>
      <c r="GQ130" s="46"/>
      <c r="GV130" s="43">
        <v>0</v>
      </c>
      <c r="GW130" s="46"/>
      <c r="GX130" s="47"/>
      <c r="GZ130" s="43">
        <v>0</v>
      </c>
      <c r="HA130" s="46"/>
      <c r="HB130" s="47"/>
      <c r="HF130" s="43">
        <v>0</v>
      </c>
      <c r="HG130" s="46"/>
      <c r="HH130" s="47"/>
      <c r="HJ130" s="43">
        <v>0</v>
      </c>
      <c r="HK130" s="46"/>
      <c r="HL130" s="47"/>
      <c r="HP130" s="43">
        <v>0</v>
      </c>
      <c r="HQ130" s="46"/>
      <c r="HX130" s="43">
        <v>0</v>
      </c>
      <c r="HY130" s="46"/>
      <c r="HZ130" s="47"/>
      <c r="IB130">
        <v>16</v>
      </c>
      <c r="IC130">
        <v>16</v>
      </c>
      <c r="ID130" s="43">
        <v>0</v>
      </c>
      <c r="IE130" s="46"/>
      <c r="IH130">
        <v>8</v>
      </c>
      <c r="II130">
        <v>8</v>
      </c>
      <c r="IJ130" s="43">
        <v>0</v>
      </c>
      <c r="IK130" s="49"/>
      <c r="IP130" s="43">
        <v>0</v>
      </c>
      <c r="IQ130" s="49"/>
      <c r="IV130" s="43">
        <v>0</v>
      </c>
      <c r="IW130" s="49"/>
      <c r="JB130" s="43">
        <v>0</v>
      </c>
      <c r="JC130" s="46"/>
      <c r="JF130" s="43">
        <v>0</v>
      </c>
      <c r="JG130" s="49"/>
      <c r="JL130" s="43">
        <v>0</v>
      </c>
      <c r="JM130" s="46"/>
      <c r="JN130" s="50"/>
      <c r="JP130" s="43">
        <v>0</v>
      </c>
      <c r="JQ130" s="49"/>
      <c r="JT130">
        <v>72</v>
      </c>
      <c r="JU130">
        <v>70</v>
      </c>
      <c r="JV130" s="43">
        <v>2</v>
      </c>
      <c r="JW130" s="49"/>
      <c r="JX130">
        <v>16</v>
      </c>
      <c r="JY130">
        <v>16</v>
      </c>
      <c r="KB130" s="43">
        <v>0</v>
      </c>
      <c r="KC130" s="49"/>
      <c r="KH130" s="43">
        <v>0</v>
      </c>
      <c r="KI130" s="49"/>
      <c r="KL130">
        <v>40</v>
      </c>
      <c r="KM130">
        <v>40</v>
      </c>
      <c r="KN130" s="43">
        <v>0</v>
      </c>
      <c r="KO130" s="49"/>
      <c r="KP130" s="50"/>
      <c r="KR130">
        <v>8</v>
      </c>
      <c r="KS130">
        <v>8</v>
      </c>
      <c r="KV130" s="43">
        <v>0</v>
      </c>
      <c r="KW130" s="49"/>
      <c r="KX130" s="48">
        <v>0</v>
      </c>
      <c r="KY130" s="48">
        <v>0</v>
      </c>
      <c r="KZ130" s="48">
        <v>8</v>
      </c>
      <c r="LA130" s="48">
        <v>8</v>
      </c>
      <c r="LB130" s="43">
        <v>0</v>
      </c>
      <c r="LC130" s="49"/>
      <c r="LD130" s="48">
        <v>0</v>
      </c>
      <c r="LE130" s="48">
        <v>0</v>
      </c>
      <c r="LF130" s="48">
        <v>32</v>
      </c>
      <c r="LG130" s="48">
        <v>37</v>
      </c>
      <c r="LH130" s="43">
        <v>-5</v>
      </c>
      <c r="LI130" s="49"/>
      <c r="LJ130" s="50">
        <v>0</v>
      </c>
      <c r="LK130" s="48">
        <v>0</v>
      </c>
      <c r="LL130" s="43">
        <v>0</v>
      </c>
      <c r="LM130" s="49"/>
      <c r="LN130" s="50">
        <v>0</v>
      </c>
      <c r="LO130" s="48">
        <v>0</v>
      </c>
      <c r="LP130" s="48">
        <v>24</v>
      </c>
      <c r="LQ130" s="48">
        <v>0</v>
      </c>
      <c r="LR130" s="48">
        <v>26</v>
      </c>
      <c r="LS130" s="43">
        <v>-2</v>
      </c>
      <c r="LT130" s="49"/>
      <c r="LU130" s="50">
        <v>0</v>
      </c>
      <c r="LV130" s="48">
        <v>0</v>
      </c>
      <c r="LW130" s="48">
        <v>16</v>
      </c>
      <c r="LX130" s="48">
        <v>16</v>
      </c>
      <c r="LY130" s="43">
        <v>0</v>
      </c>
      <c r="LZ130" s="49"/>
      <c r="MA130" s="50">
        <v>16</v>
      </c>
      <c r="MB130" s="48">
        <v>20</v>
      </c>
      <c r="MC130" s="43">
        <v>-4</v>
      </c>
      <c r="MD130" s="49"/>
      <c r="ME130" s="50">
        <v>0</v>
      </c>
      <c r="MF130" s="48">
        <v>0</v>
      </c>
      <c r="MG130" s="48">
        <v>8</v>
      </c>
      <c r="MH130" s="48">
        <v>8</v>
      </c>
      <c r="MI130" s="43">
        <v>0</v>
      </c>
      <c r="MJ130" s="49"/>
      <c r="MK130" s="50">
        <v>0</v>
      </c>
      <c r="ML130" s="48">
        <v>0</v>
      </c>
      <c r="MM130" s="43">
        <v>0</v>
      </c>
      <c r="MN130" s="49"/>
      <c r="MO130" s="50">
        <v>0</v>
      </c>
      <c r="MP130" s="48">
        <v>0</v>
      </c>
      <c r="MQ130" s="48">
        <v>16</v>
      </c>
      <c r="MR130" s="48">
        <v>16</v>
      </c>
      <c r="MS130" s="43">
        <v>0</v>
      </c>
      <c r="MT130" s="49"/>
      <c r="MU130" s="48">
        <v>0</v>
      </c>
      <c r="MV130" s="46"/>
      <c r="MW130" s="48">
        <v>8</v>
      </c>
      <c r="MX130" s="48">
        <v>8</v>
      </c>
      <c r="MY130" s="43">
        <v>0</v>
      </c>
      <c r="MZ130" s="49"/>
      <c r="NA130" s="50">
        <v>0</v>
      </c>
      <c r="NB130" s="48">
        <v>0</v>
      </c>
      <c r="NC130" s="48">
        <v>24</v>
      </c>
      <c r="ND130" s="48">
        <v>27</v>
      </c>
      <c r="NE130" s="43">
        <v>-3</v>
      </c>
      <c r="NF130" s="49"/>
      <c r="NG130" s="50">
        <v>0</v>
      </c>
      <c r="NH130" s="48">
        <v>0</v>
      </c>
      <c r="NI130" s="48">
        <v>0</v>
      </c>
      <c r="NJ130" s="48">
        <v>0</v>
      </c>
      <c r="NK130" s="43">
        <v>0</v>
      </c>
      <c r="NL130" s="49"/>
      <c r="NM130" s="50">
        <v>0</v>
      </c>
      <c r="NN130" s="48">
        <v>0</v>
      </c>
      <c r="NO130" s="48">
        <v>0</v>
      </c>
      <c r="NP130" s="48">
        <v>0</v>
      </c>
      <c r="NQ130" s="43">
        <v>0</v>
      </c>
      <c r="NR130" s="49"/>
      <c r="NS130" s="50">
        <v>0</v>
      </c>
      <c r="NT130" s="48">
        <v>0</v>
      </c>
      <c r="NU130" s="48">
        <v>0</v>
      </c>
      <c r="NV130" s="48">
        <v>0</v>
      </c>
      <c r="NW130" s="43">
        <v>0</v>
      </c>
      <c r="NX130" s="49"/>
      <c r="NY130" s="50">
        <v>0</v>
      </c>
      <c r="NZ130" s="48">
        <v>0</v>
      </c>
      <c r="OA130" s="48">
        <v>0</v>
      </c>
      <c r="OB130" s="48">
        <v>0</v>
      </c>
      <c r="OC130" s="43">
        <v>0</v>
      </c>
      <c r="OD130" s="49"/>
      <c r="OE130" s="50">
        <v>40</v>
      </c>
      <c r="OF130" s="48">
        <v>40</v>
      </c>
      <c r="OG130" s="43">
        <v>0</v>
      </c>
      <c r="OH130" s="49"/>
      <c r="OI130" s="50">
        <v>0</v>
      </c>
      <c r="OJ130" s="48">
        <v>0</v>
      </c>
      <c r="OK130" s="43">
        <v>0</v>
      </c>
      <c r="OL130" s="49"/>
      <c r="OM130" s="50">
        <v>0</v>
      </c>
      <c r="ON130" s="48">
        <v>0</v>
      </c>
      <c r="OO130" s="48">
        <v>0</v>
      </c>
      <c r="OP130" s="48">
        <v>0</v>
      </c>
      <c r="OQ130" s="43">
        <v>0</v>
      </c>
      <c r="OR130" s="49"/>
      <c r="OS130" s="50">
        <v>24</v>
      </c>
      <c r="OT130" s="48">
        <v>25</v>
      </c>
      <c r="OU130" s="43">
        <v>-1</v>
      </c>
      <c r="OV130" s="49"/>
      <c r="OW130" s="50">
        <v>0</v>
      </c>
      <c r="OX130" s="48">
        <v>0</v>
      </c>
      <c r="OY130" s="48">
        <v>0</v>
      </c>
      <c r="OZ130" s="48">
        <v>0</v>
      </c>
      <c r="PA130" s="43">
        <v>0</v>
      </c>
      <c r="PB130" s="49"/>
      <c r="PC130" s="50">
        <v>0</v>
      </c>
      <c r="PD130" s="48">
        <v>0</v>
      </c>
      <c r="PE130" s="43">
        <v>0</v>
      </c>
      <c r="PF130" s="49"/>
      <c r="PG130" s="50">
        <v>0</v>
      </c>
      <c r="PH130" s="48">
        <v>0</v>
      </c>
      <c r="PI130" s="48">
        <v>88</v>
      </c>
      <c r="PJ130" s="48">
        <v>120</v>
      </c>
      <c r="PK130" s="42">
        <v>-32</v>
      </c>
      <c r="PL130" s="49">
        <v>21.12</v>
      </c>
      <c r="PM130" s="47">
        <v>0</v>
      </c>
      <c r="PN130" s="48">
        <v>0</v>
      </c>
      <c r="PO130" s="48">
        <v>8</v>
      </c>
      <c r="PP130" s="48">
        <v>10</v>
      </c>
      <c r="PQ130" s="43">
        <v>-2</v>
      </c>
      <c r="PR130" s="49"/>
      <c r="PS130" s="47">
        <v>0</v>
      </c>
      <c r="PT130" s="13">
        <v>85</v>
      </c>
      <c r="PU130" s="43">
        <v>0</v>
      </c>
      <c r="PV130" s="43">
        <v>0</v>
      </c>
      <c r="PW130" s="42">
        <v>-85</v>
      </c>
      <c r="PX130" s="46">
        <v>56.1</v>
      </c>
      <c r="PY130" s="47">
        <v>0</v>
      </c>
      <c r="PZ130" s="43">
        <v>0</v>
      </c>
      <c r="QA130" s="43">
        <v>0</v>
      </c>
      <c r="QB130" s="46"/>
      <c r="QC130" s="47">
        <v>0</v>
      </c>
      <c r="QD130" s="43">
        <v>0</v>
      </c>
      <c r="QE130" s="43">
        <v>0</v>
      </c>
      <c r="QF130" s="43">
        <v>0</v>
      </c>
      <c r="QG130" s="43">
        <v>0</v>
      </c>
      <c r="QH130" s="46"/>
      <c r="QI130" s="47">
        <v>80</v>
      </c>
      <c r="QJ130" s="43">
        <v>80</v>
      </c>
      <c r="QK130" s="43">
        <v>0</v>
      </c>
      <c r="QL130" s="43">
        <v>0</v>
      </c>
      <c r="QM130" s="43">
        <v>0</v>
      </c>
      <c r="QN130" s="46"/>
      <c r="QO130" s="47">
        <v>0</v>
      </c>
      <c r="QP130" s="43">
        <v>0</v>
      </c>
      <c r="QQ130" s="43">
        <v>0</v>
      </c>
      <c r="QR130" s="43">
        <v>0</v>
      </c>
      <c r="QS130" s="43">
        <v>0</v>
      </c>
      <c r="QT130" s="46"/>
      <c r="QU130" s="47">
        <v>0</v>
      </c>
      <c r="QV130" s="43">
        <v>0</v>
      </c>
      <c r="QW130" s="43">
        <v>0</v>
      </c>
      <c r="QX130" s="46"/>
      <c r="QY130" s="47">
        <v>0</v>
      </c>
      <c r="QZ130" s="43">
        <v>0</v>
      </c>
      <c r="RA130" s="43">
        <v>0</v>
      </c>
      <c r="RB130" s="43">
        <v>0</v>
      </c>
      <c r="RC130" s="43">
        <v>0</v>
      </c>
      <c r="RD130" s="46"/>
    </row>
    <row r="131" spans="1:472" x14ac:dyDescent="0.25">
      <c r="A131" s="43" t="s">
        <v>419</v>
      </c>
      <c r="B131" s="44">
        <v>0.66</v>
      </c>
      <c r="I131" s="47"/>
      <c r="J131" s="51"/>
      <c r="K131" s="51"/>
      <c r="L131" s="51"/>
      <c r="M131" s="51">
        <f t="shared" si="12"/>
        <v>0</v>
      </c>
      <c r="N131" s="46"/>
      <c r="O131" s="47"/>
      <c r="P131" s="51"/>
      <c r="Q131" s="51"/>
      <c r="R131" s="51"/>
      <c r="S131" s="51">
        <f t="shared" si="13"/>
        <v>0</v>
      </c>
      <c r="T131" s="46"/>
      <c r="U131" s="47"/>
      <c r="V131" s="51"/>
      <c r="W131" s="51"/>
      <c r="X131" s="51"/>
      <c r="Y131" s="51">
        <f t="shared" si="14"/>
        <v>0</v>
      </c>
      <c r="Z131" s="46"/>
      <c r="AA131" s="51"/>
      <c r="AE131" s="43">
        <v>0</v>
      </c>
      <c r="AF131" s="46"/>
      <c r="AG131" s="47"/>
      <c r="AK131" s="43">
        <v>0</v>
      </c>
      <c r="AL131" s="46"/>
      <c r="AQ131" s="43">
        <v>0</v>
      </c>
      <c r="AR131" s="46"/>
      <c r="AW131" s="43">
        <v>0</v>
      </c>
      <c r="AX131" s="46"/>
      <c r="AY131" s="47"/>
      <c r="BC131" s="43">
        <v>0</v>
      </c>
      <c r="BD131" s="46"/>
      <c r="BE131" s="47"/>
      <c r="BI131" s="43">
        <v>0</v>
      </c>
      <c r="BJ131" s="46"/>
      <c r="BP131" s="43">
        <v>0</v>
      </c>
      <c r="BQ131" s="46"/>
      <c r="BT131" s="43">
        <v>0</v>
      </c>
      <c r="BU131" s="46"/>
      <c r="BV131" s="47"/>
      <c r="BZ131" s="43">
        <v>0</v>
      </c>
      <c r="CA131" s="46"/>
      <c r="CF131" s="43">
        <v>0</v>
      </c>
      <c r="CG131" s="46"/>
      <c r="CL131" s="43">
        <v>0</v>
      </c>
      <c r="CM131" s="46"/>
      <c r="CN131" s="47"/>
      <c r="CR131" s="43">
        <v>0</v>
      </c>
      <c r="CS131" s="46"/>
      <c r="CX131" s="43">
        <v>0</v>
      </c>
      <c r="CY131" s="46"/>
      <c r="CZ131" s="47"/>
      <c r="DD131" s="43">
        <v>0</v>
      </c>
      <c r="DE131" s="46"/>
      <c r="DF131" s="47"/>
      <c r="DL131" s="43">
        <v>0</v>
      </c>
      <c r="DM131" s="46"/>
      <c r="DN131" s="47"/>
      <c r="DR131" s="43">
        <v>0</v>
      </c>
      <c r="DS131" s="46"/>
      <c r="DZ131" s="43">
        <v>0</v>
      </c>
      <c r="EA131" s="46"/>
      <c r="EB131" s="47"/>
      <c r="EF131" s="43">
        <v>0</v>
      </c>
      <c r="EG131" s="46"/>
      <c r="EH131" s="47"/>
      <c r="EL131" s="43">
        <v>0</v>
      </c>
      <c r="EM131" s="46"/>
      <c r="EN131" s="47"/>
      <c r="ER131" s="43">
        <v>0</v>
      </c>
      <c r="ES131" s="46"/>
      <c r="EZ131" s="43">
        <v>0</v>
      </c>
      <c r="FA131" s="46"/>
      <c r="FG131" s="43">
        <v>0</v>
      </c>
      <c r="FH131" s="46"/>
      <c r="FI131" s="47"/>
      <c r="FL131" s="43">
        <v>0</v>
      </c>
      <c r="FM131" s="46"/>
      <c r="FN131" s="47"/>
      <c r="FQ131" s="43">
        <v>0</v>
      </c>
      <c r="FR131" s="46"/>
      <c r="FW131" s="43">
        <v>0</v>
      </c>
      <c r="FX131" s="46"/>
      <c r="FY131" s="47"/>
      <c r="GD131" s="43">
        <v>0</v>
      </c>
      <c r="GE131" s="46"/>
      <c r="GJ131" s="43">
        <v>0</v>
      </c>
      <c r="GK131" s="46"/>
      <c r="GL131" s="47"/>
      <c r="GP131" s="43">
        <v>0</v>
      </c>
      <c r="GQ131" s="46"/>
      <c r="GV131" s="43">
        <v>0</v>
      </c>
      <c r="GW131" s="46"/>
      <c r="GX131" s="47"/>
      <c r="GZ131" s="43">
        <v>0</v>
      </c>
      <c r="HA131" s="46"/>
      <c r="HB131" s="47"/>
      <c r="HF131" s="43">
        <v>0</v>
      </c>
      <c r="HG131" s="46"/>
      <c r="HH131" s="45">
        <v>8</v>
      </c>
      <c r="HJ131" s="43">
        <v>8</v>
      </c>
      <c r="HK131" s="46"/>
      <c r="HL131" s="47"/>
      <c r="HP131" s="43">
        <v>0</v>
      </c>
      <c r="HQ131" s="46"/>
      <c r="HX131" s="43">
        <v>0</v>
      </c>
      <c r="HY131" s="46"/>
      <c r="HZ131" s="47"/>
      <c r="IB131">
        <v>8</v>
      </c>
      <c r="IC131">
        <v>8</v>
      </c>
      <c r="ID131" s="43">
        <v>0</v>
      </c>
      <c r="IE131" s="46"/>
      <c r="IH131">
        <v>8</v>
      </c>
      <c r="II131">
        <v>4</v>
      </c>
      <c r="IJ131" s="43">
        <v>4</v>
      </c>
      <c r="IK131" s="49"/>
      <c r="IP131" s="43">
        <v>0</v>
      </c>
      <c r="IQ131" s="49"/>
      <c r="IV131" s="43">
        <v>0</v>
      </c>
      <c r="IW131" s="49"/>
      <c r="JB131" s="43">
        <v>0</v>
      </c>
      <c r="JC131" s="46"/>
      <c r="JD131">
        <v>8</v>
      </c>
      <c r="JE131">
        <v>8</v>
      </c>
      <c r="JF131" s="43">
        <v>0</v>
      </c>
      <c r="JG131" s="49"/>
      <c r="JJ131">
        <v>16</v>
      </c>
      <c r="JK131">
        <v>21</v>
      </c>
      <c r="JL131" s="43">
        <v>-5</v>
      </c>
      <c r="JM131" s="46"/>
      <c r="JN131" s="50"/>
      <c r="JP131" s="43">
        <v>0</v>
      </c>
      <c r="JQ131" s="49"/>
      <c r="JT131">
        <v>32</v>
      </c>
      <c r="JU131">
        <v>30</v>
      </c>
      <c r="JV131" s="43">
        <v>2</v>
      </c>
      <c r="JW131" s="49"/>
      <c r="JZ131">
        <v>32</v>
      </c>
      <c r="KA131">
        <v>32</v>
      </c>
      <c r="KB131" s="43">
        <v>0</v>
      </c>
      <c r="KC131" s="49"/>
      <c r="KH131" s="43">
        <v>0</v>
      </c>
      <c r="KI131" s="49"/>
      <c r="KL131">
        <v>40</v>
      </c>
      <c r="KM131">
        <v>40</v>
      </c>
      <c r="KN131" s="43">
        <v>0</v>
      </c>
      <c r="KO131" s="49"/>
      <c r="KP131" s="50"/>
      <c r="KR131">
        <v>8</v>
      </c>
      <c r="KS131">
        <v>8</v>
      </c>
      <c r="KV131" s="43">
        <v>0</v>
      </c>
      <c r="KW131" s="49"/>
      <c r="KX131" s="48">
        <v>0</v>
      </c>
      <c r="KY131" s="48">
        <v>0</v>
      </c>
      <c r="KZ131" s="48">
        <v>8</v>
      </c>
      <c r="LA131" s="48">
        <v>13</v>
      </c>
      <c r="LB131" s="43">
        <v>-5</v>
      </c>
      <c r="LC131" s="49"/>
      <c r="LD131" s="48">
        <v>0</v>
      </c>
      <c r="LE131" s="48">
        <v>0</v>
      </c>
      <c r="LF131" s="48">
        <v>8</v>
      </c>
      <c r="LG131" s="48">
        <v>32</v>
      </c>
      <c r="LH131" s="42">
        <v>-24</v>
      </c>
      <c r="LI131" s="49">
        <v>15.84</v>
      </c>
      <c r="LJ131" s="50">
        <v>8</v>
      </c>
      <c r="LK131" s="48">
        <v>9</v>
      </c>
      <c r="LL131" s="43">
        <v>-1</v>
      </c>
      <c r="LM131" s="49"/>
      <c r="LN131" s="50">
        <v>0</v>
      </c>
      <c r="LO131" s="48">
        <v>0</v>
      </c>
      <c r="LP131" s="48">
        <v>16</v>
      </c>
      <c r="LQ131" s="48">
        <v>0</v>
      </c>
      <c r="LR131" s="48">
        <v>16</v>
      </c>
      <c r="LS131" s="43">
        <v>0</v>
      </c>
      <c r="LT131" s="49"/>
      <c r="LU131" s="50">
        <v>0</v>
      </c>
      <c r="LV131" s="48">
        <v>0</v>
      </c>
      <c r="LW131" s="48">
        <v>32</v>
      </c>
      <c r="LX131" s="48">
        <v>32</v>
      </c>
      <c r="LY131" s="43">
        <v>0</v>
      </c>
      <c r="LZ131" s="49"/>
      <c r="MA131" s="50">
        <v>24</v>
      </c>
      <c r="MB131" s="48">
        <v>24</v>
      </c>
      <c r="MC131" s="43">
        <v>0</v>
      </c>
      <c r="MD131" s="49"/>
      <c r="ME131" s="50">
        <v>0</v>
      </c>
      <c r="MF131" s="48">
        <v>0</v>
      </c>
      <c r="MG131" s="48">
        <v>8</v>
      </c>
      <c r="MH131" s="48">
        <v>8</v>
      </c>
      <c r="MI131" s="43">
        <v>0</v>
      </c>
      <c r="MJ131" s="49"/>
      <c r="MK131" s="50">
        <v>8</v>
      </c>
      <c r="ML131" s="48">
        <v>8</v>
      </c>
      <c r="MM131" s="43">
        <v>0</v>
      </c>
      <c r="MN131" s="49"/>
      <c r="MO131" s="50">
        <v>0</v>
      </c>
      <c r="MP131" s="48">
        <v>0</v>
      </c>
      <c r="MQ131" s="48">
        <v>0</v>
      </c>
      <c r="MR131" s="48">
        <v>0</v>
      </c>
      <c r="MS131" s="43">
        <v>0</v>
      </c>
      <c r="MT131" s="49"/>
      <c r="MU131" s="48">
        <v>16</v>
      </c>
      <c r="MV131" s="46">
        <v>-10.56</v>
      </c>
      <c r="MW131" s="48">
        <v>0</v>
      </c>
      <c r="MX131" s="48">
        <v>16</v>
      </c>
      <c r="MY131" s="42">
        <v>-16</v>
      </c>
      <c r="MZ131" s="49">
        <v>10.56</v>
      </c>
      <c r="NA131" s="50">
        <v>0</v>
      </c>
      <c r="NB131" s="48">
        <v>0</v>
      </c>
      <c r="NC131" s="48">
        <v>0</v>
      </c>
      <c r="ND131" s="48">
        <v>0</v>
      </c>
      <c r="NE131" s="43">
        <v>0</v>
      </c>
      <c r="NF131" s="49"/>
      <c r="NG131" s="50">
        <v>0</v>
      </c>
      <c r="NH131" s="48">
        <v>0</v>
      </c>
      <c r="NI131" s="48">
        <v>48</v>
      </c>
      <c r="NJ131" s="48">
        <v>50</v>
      </c>
      <c r="NK131" s="43">
        <v>-2</v>
      </c>
      <c r="NL131" s="49"/>
      <c r="NM131" s="50">
        <v>0</v>
      </c>
      <c r="NN131" s="48">
        <v>0</v>
      </c>
      <c r="NO131" s="48">
        <v>8</v>
      </c>
      <c r="NP131" s="48">
        <v>8</v>
      </c>
      <c r="NQ131" s="43">
        <v>0</v>
      </c>
      <c r="NR131" s="49"/>
      <c r="NS131" s="50">
        <v>0</v>
      </c>
      <c r="NT131" s="48">
        <v>0</v>
      </c>
      <c r="NU131" s="48">
        <v>0</v>
      </c>
      <c r="NV131" s="33">
        <v>16</v>
      </c>
      <c r="NW131" s="42">
        <v>-16</v>
      </c>
      <c r="NX131" s="49">
        <v>10.56</v>
      </c>
      <c r="NY131" s="50">
        <v>0</v>
      </c>
      <c r="NZ131" s="48">
        <v>0</v>
      </c>
      <c r="OA131" s="48">
        <v>8</v>
      </c>
      <c r="OB131" s="48">
        <v>10</v>
      </c>
      <c r="OC131" s="43">
        <v>-2</v>
      </c>
      <c r="OD131" s="49"/>
      <c r="OE131" s="50">
        <v>24</v>
      </c>
      <c r="OF131" s="48">
        <v>25</v>
      </c>
      <c r="OG131" s="43">
        <v>-1</v>
      </c>
      <c r="OH131" s="49"/>
      <c r="OI131" s="50">
        <v>8</v>
      </c>
      <c r="OJ131" s="48">
        <v>10</v>
      </c>
      <c r="OK131" s="43">
        <v>-2</v>
      </c>
      <c r="OL131" s="49"/>
      <c r="OM131" s="50">
        <v>0</v>
      </c>
      <c r="ON131" s="48">
        <v>0</v>
      </c>
      <c r="OO131" s="48">
        <v>0</v>
      </c>
      <c r="OP131" s="48">
        <v>0</v>
      </c>
      <c r="OQ131" s="43">
        <v>0</v>
      </c>
      <c r="OR131" s="49"/>
      <c r="OS131" s="50">
        <v>32</v>
      </c>
      <c r="OT131" s="48">
        <v>30</v>
      </c>
      <c r="OU131" s="43">
        <v>2</v>
      </c>
      <c r="OV131" s="49"/>
      <c r="OW131" s="50">
        <v>0</v>
      </c>
      <c r="OX131" s="48">
        <v>0</v>
      </c>
      <c r="OY131" s="48">
        <v>0</v>
      </c>
      <c r="OZ131" s="48">
        <v>0</v>
      </c>
      <c r="PA131" s="43">
        <v>0</v>
      </c>
      <c r="PB131" s="49"/>
      <c r="PC131" s="50">
        <v>0</v>
      </c>
      <c r="PD131" s="48">
        <v>0</v>
      </c>
      <c r="PE131" s="43">
        <v>0</v>
      </c>
      <c r="PF131" s="49"/>
      <c r="PG131" s="50">
        <v>0</v>
      </c>
      <c r="PH131" s="48">
        <v>0</v>
      </c>
      <c r="PI131" s="48">
        <v>48</v>
      </c>
      <c r="PJ131" s="48">
        <v>50</v>
      </c>
      <c r="PK131" s="43">
        <v>-2</v>
      </c>
      <c r="PL131" s="49"/>
      <c r="PM131" s="47">
        <v>0</v>
      </c>
      <c r="PN131" s="48">
        <v>0</v>
      </c>
      <c r="PO131" s="48">
        <v>0</v>
      </c>
      <c r="PP131" s="33">
        <v>28</v>
      </c>
      <c r="PQ131" s="42">
        <v>-28</v>
      </c>
      <c r="PR131" s="49">
        <v>18.48</v>
      </c>
      <c r="PS131" s="47">
        <v>56</v>
      </c>
      <c r="PT131" s="43">
        <v>60</v>
      </c>
      <c r="PU131" s="43">
        <v>0</v>
      </c>
      <c r="PV131" s="43">
        <v>0</v>
      </c>
      <c r="PW131" s="43">
        <v>-4</v>
      </c>
      <c r="PX131" s="46"/>
      <c r="PY131" s="47">
        <v>0</v>
      </c>
      <c r="PZ131" s="43">
        <v>0</v>
      </c>
      <c r="QA131" s="43">
        <v>0</v>
      </c>
      <c r="QB131" s="46"/>
      <c r="QC131" s="47">
        <v>0</v>
      </c>
      <c r="QD131" s="43">
        <v>0</v>
      </c>
      <c r="QE131" s="43">
        <v>0</v>
      </c>
      <c r="QF131" s="43">
        <v>0</v>
      </c>
      <c r="QG131" s="43">
        <v>0</v>
      </c>
      <c r="QH131" s="46"/>
      <c r="QI131" s="47">
        <v>80</v>
      </c>
      <c r="QJ131" s="43">
        <v>80</v>
      </c>
      <c r="QK131" s="43">
        <v>0</v>
      </c>
      <c r="QL131" s="43">
        <v>0</v>
      </c>
      <c r="QM131" s="43">
        <v>0</v>
      </c>
      <c r="QN131" s="46"/>
      <c r="QO131" s="47">
        <v>0</v>
      </c>
      <c r="QP131" s="43">
        <v>0</v>
      </c>
      <c r="QQ131" s="43">
        <v>0</v>
      </c>
      <c r="QR131" s="43">
        <v>0</v>
      </c>
      <c r="QS131" s="43">
        <v>0</v>
      </c>
      <c r="QT131" s="46"/>
      <c r="QU131" s="47">
        <v>0</v>
      </c>
      <c r="QV131" s="43">
        <v>0</v>
      </c>
      <c r="QW131" s="43">
        <v>0</v>
      </c>
      <c r="QX131" s="46"/>
      <c r="QY131" s="47">
        <v>0</v>
      </c>
      <c r="QZ131" s="43">
        <v>0</v>
      </c>
      <c r="RA131" s="43">
        <v>0</v>
      </c>
      <c r="RB131" s="43">
        <v>0</v>
      </c>
      <c r="RC131" s="43">
        <v>0</v>
      </c>
      <c r="RD131" s="46"/>
    </row>
    <row r="132" spans="1:472" x14ac:dyDescent="0.25">
      <c r="A132" s="43" t="s">
        <v>420</v>
      </c>
      <c r="B132" s="44">
        <v>0.66</v>
      </c>
      <c r="I132" s="47"/>
      <c r="J132" s="51"/>
      <c r="K132" s="51"/>
      <c r="L132" s="51"/>
      <c r="M132" s="51">
        <f t="shared" ref="M132:M195" si="15">I132+K132-J132-L132</f>
        <v>0</v>
      </c>
      <c r="N132" s="46"/>
      <c r="O132" s="47"/>
      <c r="P132" s="51"/>
      <c r="Q132" s="51"/>
      <c r="R132" s="51"/>
      <c r="S132" s="51">
        <f t="shared" ref="S132:S195" si="16">O132+Q132-P132-R132</f>
        <v>0</v>
      </c>
      <c r="T132" s="46"/>
      <c r="U132" s="47"/>
      <c r="V132" s="51"/>
      <c r="W132" s="51"/>
      <c r="X132" s="51"/>
      <c r="Y132" s="51">
        <f t="shared" ref="Y132:Y195" si="17">U132+W132-V132-X132</f>
        <v>0</v>
      </c>
      <c r="Z132" s="46"/>
      <c r="AA132" s="51"/>
      <c r="AE132" s="43">
        <v>0</v>
      </c>
      <c r="AF132" s="46"/>
      <c r="AG132" s="47"/>
      <c r="AK132" s="43">
        <v>0</v>
      </c>
      <c r="AL132" s="46"/>
      <c r="AQ132" s="43">
        <v>0</v>
      </c>
      <c r="AR132" s="46"/>
      <c r="AW132" s="43">
        <v>0</v>
      </c>
      <c r="AX132" s="46"/>
      <c r="AY132" s="47"/>
      <c r="BC132" s="43">
        <v>0</v>
      </c>
      <c r="BD132" s="46"/>
      <c r="BE132" s="47"/>
      <c r="BI132" s="43">
        <v>0</v>
      </c>
      <c r="BJ132" s="46"/>
      <c r="BP132" s="43">
        <v>0</v>
      </c>
      <c r="BQ132" s="46"/>
      <c r="BT132" s="43">
        <v>0</v>
      </c>
      <c r="BU132" s="46"/>
      <c r="BV132" s="47"/>
      <c r="BZ132" s="43">
        <v>0</v>
      </c>
      <c r="CA132" s="46"/>
      <c r="CF132" s="43">
        <v>0</v>
      </c>
      <c r="CG132" s="46"/>
      <c r="CL132" s="43">
        <v>0</v>
      </c>
      <c r="CM132" s="46"/>
      <c r="CN132" s="47"/>
      <c r="CR132" s="43">
        <v>0</v>
      </c>
      <c r="CS132" s="46"/>
      <c r="CX132" s="43">
        <v>0</v>
      </c>
      <c r="CY132" s="46"/>
      <c r="CZ132" s="47"/>
      <c r="DD132" s="43">
        <v>0</v>
      </c>
      <c r="DE132" s="46"/>
      <c r="DF132" s="47"/>
      <c r="DL132" s="43">
        <v>0</v>
      </c>
      <c r="DM132" s="46"/>
      <c r="DN132" s="47"/>
      <c r="DR132" s="43">
        <v>0</v>
      </c>
      <c r="DS132" s="46"/>
      <c r="DZ132" s="43">
        <v>0</v>
      </c>
      <c r="EA132" s="46"/>
      <c r="EB132" s="47"/>
      <c r="EF132" s="43">
        <v>0</v>
      </c>
      <c r="EG132" s="46"/>
      <c r="EH132" s="47"/>
      <c r="EL132" s="43">
        <v>0</v>
      </c>
      <c r="EM132" s="46"/>
      <c r="EN132" s="47"/>
      <c r="ER132" s="43">
        <v>0</v>
      </c>
      <c r="ES132" s="46"/>
      <c r="EZ132" s="43">
        <v>0</v>
      </c>
      <c r="FA132" s="46"/>
      <c r="FG132" s="43">
        <v>0</v>
      </c>
      <c r="FH132" s="46"/>
      <c r="FI132" s="47"/>
      <c r="FL132" s="43">
        <v>0</v>
      </c>
      <c r="FM132" s="46"/>
      <c r="FN132" s="47"/>
      <c r="FQ132" s="43">
        <v>0</v>
      </c>
      <c r="FR132" s="46"/>
      <c r="FW132" s="43">
        <v>0</v>
      </c>
      <c r="FX132" s="46"/>
      <c r="FY132" s="47"/>
      <c r="GD132" s="43">
        <v>0</v>
      </c>
      <c r="GE132" s="46"/>
      <c r="GJ132" s="43">
        <v>0</v>
      </c>
      <c r="GK132" s="46"/>
      <c r="GL132" s="47"/>
      <c r="GP132" s="43">
        <v>0</v>
      </c>
      <c r="GQ132" s="46"/>
      <c r="GV132" s="43">
        <v>0</v>
      </c>
      <c r="GW132" s="46"/>
      <c r="GX132" s="47"/>
      <c r="GZ132" s="43">
        <v>0</v>
      </c>
      <c r="HA132" s="46"/>
      <c r="HB132" s="47"/>
      <c r="HF132" s="43">
        <v>0</v>
      </c>
      <c r="HG132" s="46"/>
      <c r="HH132" s="47"/>
      <c r="HJ132" s="43">
        <v>0</v>
      </c>
      <c r="HK132" s="46"/>
      <c r="HL132" s="47"/>
      <c r="HP132" s="43">
        <v>0</v>
      </c>
      <c r="HQ132" s="46"/>
      <c r="HX132" s="43">
        <v>0</v>
      </c>
      <c r="HY132" s="46"/>
      <c r="HZ132" s="47"/>
      <c r="ID132" s="43">
        <v>0</v>
      </c>
      <c r="IE132" s="46"/>
      <c r="IJ132" s="43">
        <v>0</v>
      </c>
      <c r="IK132" s="49"/>
      <c r="IP132" s="43">
        <v>0</v>
      </c>
      <c r="IQ132" s="49"/>
      <c r="IV132" s="43">
        <v>0</v>
      </c>
      <c r="IW132" s="49"/>
      <c r="JB132" s="43">
        <v>0</v>
      </c>
      <c r="JC132" s="46"/>
      <c r="JF132" s="43">
        <v>0</v>
      </c>
      <c r="JG132" s="49"/>
      <c r="JL132" s="43">
        <v>0</v>
      </c>
      <c r="JM132" s="46"/>
      <c r="JN132" s="50"/>
      <c r="JP132" s="43">
        <v>0</v>
      </c>
      <c r="JQ132" s="49"/>
      <c r="JV132" s="43">
        <v>0</v>
      </c>
      <c r="JW132" s="49"/>
      <c r="KB132" s="43">
        <v>0</v>
      </c>
      <c r="KC132" s="49"/>
      <c r="KH132" s="43">
        <v>0</v>
      </c>
      <c r="KI132" s="49"/>
      <c r="KN132" s="43">
        <v>0</v>
      </c>
      <c r="KO132" s="49"/>
      <c r="KP132" s="50"/>
      <c r="KV132" s="43">
        <v>0</v>
      </c>
      <c r="KW132" s="49"/>
      <c r="KX132" s="48">
        <v>0</v>
      </c>
      <c r="KY132" s="48">
        <v>0</v>
      </c>
      <c r="KZ132" s="48">
        <v>0</v>
      </c>
      <c r="LA132" s="48">
        <v>0</v>
      </c>
      <c r="LB132" s="43">
        <v>0</v>
      </c>
      <c r="LC132" s="49"/>
      <c r="LD132" s="48">
        <v>0</v>
      </c>
      <c r="LE132" s="48">
        <v>0</v>
      </c>
      <c r="LF132" s="48">
        <v>0</v>
      </c>
      <c r="LG132" s="48">
        <v>0</v>
      </c>
      <c r="LH132" s="43">
        <v>0</v>
      </c>
      <c r="LI132" s="49"/>
      <c r="LJ132" s="50">
        <v>0</v>
      </c>
      <c r="LK132" s="48">
        <v>0</v>
      </c>
      <c r="LL132" s="43">
        <v>0</v>
      </c>
      <c r="LM132" s="49"/>
      <c r="LN132" s="50">
        <v>0</v>
      </c>
      <c r="LO132" s="48">
        <v>0</v>
      </c>
      <c r="LP132" s="48">
        <v>0</v>
      </c>
      <c r="LQ132" s="48">
        <v>0</v>
      </c>
      <c r="LR132" s="48">
        <v>0</v>
      </c>
      <c r="LS132" s="43">
        <v>0</v>
      </c>
      <c r="LT132" s="49"/>
      <c r="LU132" s="50">
        <v>0</v>
      </c>
      <c r="LV132" s="48">
        <v>0</v>
      </c>
      <c r="LW132" s="48">
        <v>0</v>
      </c>
      <c r="LX132" s="48">
        <v>0</v>
      </c>
      <c r="LY132" s="43">
        <v>0</v>
      </c>
      <c r="LZ132" s="49"/>
      <c r="MA132" s="50">
        <v>0</v>
      </c>
      <c r="MB132" s="48">
        <v>0</v>
      </c>
      <c r="MC132" s="43">
        <v>0</v>
      </c>
      <c r="MD132" s="49"/>
      <c r="ME132" s="50">
        <v>0</v>
      </c>
      <c r="MF132" s="48">
        <v>0</v>
      </c>
      <c r="MG132" s="48">
        <v>0</v>
      </c>
      <c r="MH132" s="48">
        <v>0</v>
      </c>
      <c r="MI132" s="43">
        <v>0</v>
      </c>
      <c r="MJ132" s="49"/>
      <c r="MK132" s="50">
        <v>0</v>
      </c>
      <c r="ML132" s="48">
        <v>0</v>
      </c>
      <c r="MM132" s="43">
        <v>0</v>
      </c>
      <c r="MN132" s="49"/>
      <c r="MO132" s="50">
        <v>0</v>
      </c>
      <c r="MP132" s="48">
        <v>0</v>
      </c>
      <c r="MQ132" s="48">
        <v>0</v>
      </c>
      <c r="MR132" s="48">
        <v>0</v>
      </c>
      <c r="MS132" s="43">
        <v>0</v>
      </c>
      <c r="MT132" s="49"/>
      <c r="MU132" s="48">
        <v>0</v>
      </c>
      <c r="MV132" s="46"/>
      <c r="MW132" s="48">
        <v>0</v>
      </c>
      <c r="MX132" s="48">
        <v>0</v>
      </c>
      <c r="MY132" s="43">
        <v>0</v>
      </c>
      <c r="MZ132" s="49"/>
      <c r="NA132" s="50">
        <v>0</v>
      </c>
      <c r="NB132" s="48">
        <v>0</v>
      </c>
      <c r="NC132" s="48">
        <v>0</v>
      </c>
      <c r="ND132" s="48">
        <v>0</v>
      </c>
      <c r="NE132" s="43">
        <v>0</v>
      </c>
      <c r="NF132" s="49"/>
      <c r="NG132" s="50">
        <v>0</v>
      </c>
      <c r="NH132" s="48">
        <v>0</v>
      </c>
      <c r="NI132" s="48">
        <v>0</v>
      </c>
      <c r="NJ132" s="48">
        <v>0</v>
      </c>
      <c r="NK132" s="43">
        <v>0</v>
      </c>
      <c r="NL132" s="49"/>
      <c r="NM132" s="50">
        <v>0</v>
      </c>
      <c r="NN132" s="48">
        <v>0</v>
      </c>
      <c r="NO132" s="48">
        <v>0</v>
      </c>
      <c r="NP132" s="48">
        <v>0</v>
      </c>
      <c r="NQ132" s="43">
        <v>0</v>
      </c>
      <c r="NR132" s="49"/>
      <c r="NS132" s="50">
        <v>0</v>
      </c>
      <c r="NT132" s="48">
        <v>0</v>
      </c>
      <c r="NU132" s="48">
        <v>0</v>
      </c>
      <c r="NV132" s="48">
        <v>0</v>
      </c>
      <c r="NW132" s="43">
        <v>0</v>
      </c>
      <c r="NX132" s="49"/>
      <c r="NY132" s="50">
        <v>0</v>
      </c>
      <c r="NZ132" s="48">
        <v>0</v>
      </c>
      <c r="OA132" s="48">
        <v>0</v>
      </c>
      <c r="OB132" s="48">
        <v>0</v>
      </c>
      <c r="OC132" s="43">
        <v>0</v>
      </c>
      <c r="OD132" s="49"/>
      <c r="OE132" s="50">
        <v>8</v>
      </c>
      <c r="OF132" s="48">
        <v>10</v>
      </c>
      <c r="OG132" s="43">
        <v>-2</v>
      </c>
      <c r="OH132" s="49"/>
      <c r="OI132" s="50">
        <v>32</v>
      </c>
      <c r="OJ132" s="48">
        <v>30</v>
      </c>
      <c r="OK132" s="43">
        <v>2</v>
      </c>
      <c r="OL132" s="49"/>
      <c r="OM132" s="50">
        <v>0</v>
      </c>
      <c r="ON132" s="48">
        <v>0</v>
      </c>
      <c r="OO132" s="48">
        <v>0</v>
      </c>
      <c r="OP132" s="48">
        <v>0</v>
      </c>
      <c r="OQ132" s="43">
        <v>0</v>
      </c>
      <c r="OR132" s="49"/>
      <c r="OS132" s="50">
        <v>32</v>
      </c>
      <c r="OT132" s="48">
        <v>35</v>
      </c>
      <c r="OU132" s="43">
        <v>-3</v>
      </c>
      <c r="OV132" s="49"/>
      <c r="OW132" s="50">
        <v>0</v>
      </c>
      <c r="OX132" s="48">
        <v>0</v>
      </c>
      <c r="OY132" s="48">
        <v>0</v>
      </c>
      <c r="OZ132" s="48">
        <v>0</v>
      </c>
      <c r="PA132" s="43">
        <v>0</v>
      </c>
      <c r="PB132" s="49"/>
      <c r="PC132" s="50">
        <v>0</v>
      </c>
      <c r="PD132" s="48">
        <v>0</v>
      </c>
      <c r="PE132" s="43">
        <v>0</v>
      </c>
      <c r="PF132" s="49"/>
      <c r="PG132" s="50">
        <v>0</v>
      </c>
      <c r="PH132" s="48">
        <v>0</v>
      </c>
      <c r="PI132" s="48">
        <v>0</v>
      </c>
      <c r="PJ132" s="48">
        <v>0</v>
      </c>
      <c r="PK132" s="43">
        <v>0</v>
      </c>
      <c r="PL132" s="49"/>
      <c r="PM132" s="47">
        <v>0</v>
      </c>
      <c r="PN132" s="48">
        <v>0</v>
      </c>
      <c r="PO132" s="48">
        <v>0</v>
      </c>
      <c r="PP132" s="48">
        <v>0</v>
      </c>
      <c r="PQ132" s="43">
        <v>0</v>
      </c>
      <c r="PR132" s="49"/>
      <c r="PS132" s="47">
        <v>0</v>
      </c>
      <c r="PT132" s="43">
        <v>0</v>
      </c>
      <c r="PU132" s="43">
        <v>16</v>
      </c>
      <c r="PV132" s="43">
        <v>20</v>
      </c>
      <c r="PW132" s="43">
        <v>-4</v>
      </c>
      <c r="PX132" s="46"/>
      <c r="PY132" s="47">
        <v>40</v>
      </c>
      <c r="PZ132" s="43">
        <v>40</v>
      </c>
      <c r="QA132" s="43">
        <v>0</v>
      </c>
      <c r="QB132" s="46"/>
      <c r="QC132" s="47">
        <v>0</v>
      </c>
      <c r="QD132" s="43">
        <v>30</v>
      </c>
      <c r="QE132" s="43">
        <v>0</v>
      </c>
      <c r="QF132" s="43">
        <v>0</v>
      </c>
      <c r="QG132" s="42">
        <v>-30</v>
      </c>
      <c r="QH132" s="46">
        <v>19.8</v>
      </c>
      <c r="QI132" s="47">
        <v>0</v>
      </c>
      <c r="QJ132" s="43">
        <v>80</v>
      </c>
      <c r="QK132" s="43">
        <v>0</v>
      </c>
      <c r="QL132" s="43">
        <v>0</v>
      </c>
      <c r="QM132" s="42">
        <v>-80</v>
      </c>
      <c r="QN132" s="46">
        <v>52.8</v>
      </c>
      <c r="QO132" s="47">
        <v>0</v>
      </c>
      <c r="QP132" s="43">
        <v>0</v>
      </c>
      <c r="QQ132" s="43">
        <v>0</v>
      </c>
      <c r="QR132" s="43">
        <v>0</v>
      </c>
      <c r="QS132" s="43">
        <v>0</v>
      </c>
      <c r="QT132" s="46"/>
      <c r="QU132" s="47">
        <v>0</v>
      </c>
      <c r="QV132" s="43">
        <v>0</v>
      </c>
      <c r="QW132" s="43">
        <v>0</v>
      </c>
      <c r="QX132" s="46"/>
      <c r="QY132" s="47">
        <v>0</v>
      </c>
      <c r="QZ132" s="43">
        <v>0</v>
      </c>
      <c r="RA132" s="43">
        <v>0</v>
      </c>
      <c r="RB132" s="43">
        <v>0</v>
      </c>
      <c r="RC132" s="43">
        <v>0</v>
      </c>
      <c r="RD132" s="46"/>
    </row>
    <row r="133" spans="1:472" x14ac:dyDescent="0.25">
      <c r="A133" s="43" t="s">
        <v>421</v>
      </c>
      <c r="B133" s="44">
        <v>0.33</v>
      </c>
      <c r="F133">
        <v>6</v>
      </c>
      <c r="I133" s="47"/>
      <c r="J133" s="51"/>
      <c r="K133" s="52">
        <v>72</v>
      </c>
      <c r="L133" s="52">
        <v>75</v>
      </c>
      <c r="M133" s="51">
        <f t="shared" si="15"/>
        <v>-3</v>
      </c>
      <c r="N133" s="46"/>
      <c r="O133" s="47"/>
      <c r="P133" s="51"/>
      <c r="Q133" s="51"/>
      <c r="R133" s="51"/>
      <c r="S133" s="51">
        <f t="shared" si="16"/>
        <v>0</v>
      </c>
      <c r="T133" s="46"/>
      <c r="U133" s="47"/>
      <c r="V133" s="51"/>
      <c r="W133" s="51"/>
      <c r="X133" s="51"/>
      <c r="Y133" s="51">
        <f t="shared" si="17"/>
        <v>0</v>
      </c>
      <c r="Z133" s="46"/>
      <c r="AA133" s="51"/>
      <c r="AC133">
        <v>64</v>
      </c>
      <c r="AD133">
        <v>64</v>
      </c>
      <c r="AE133" s="43">
        <v>0</v>
      </c>
      <c r="AF133" s="46"/>
      <c r="AG133" s="47"/>
      <c r="AK133" s="43">
        <v>0</v>
      </c>
      <c r="AL133" s="46"/>
      <c r="AM133">
        <v>32</v>
      </c>
      <c r="AN133">
        <v>32</v>
      </c>
      <c r="AO133">
        <v>40</v>
      </c>
      <c r="AP133">
        <v>42</v>
      </c>
      <c r="AQ133" s="43">
        <v>-2</v>
      </c>
      <c r="AR133" s="46"/>
      <c r="AW133" s="43">
        <v>0</v>
      </c>
      <c r="AX133" s="46"/>
      <c r="AY133" s="47"/>
      <c r="BA133">
        <v>32</v>
      </c>
      <c r="BB133">
        <v>61</v>
      </c>
      <c r="BC133" s="42">
        <v>-29</v>
      </c>
      <c r="BD133" s="46">
        <v>9.57</v>
      </c>
      <c r="BE133" s="47"/>
      <c r="BI133" s="43">
        <v>0</v>
      </c>
      <c r="BJ133" s="46"/>
      <c r="BN133">
        <v>112</v>
      </c>
      <c r="BO133">
        <v>114</v>
      </c>
      <c r="BP133" s="43">
        <v>-2</v>
      </c>
      <c r="BQ133" s="46"/>
      <c r="BT133" s="43">
        <v>0</v>
      </c>
      <c r="BU133" s="46"/>
      <c r="BV133" s="45">
        <v>32</v>
      </c>
      <c r="BW133">
        <v>36</v>
      </c>
      <c r="BX133">
        <v>56</v>
      </c>
      <c r="BY133">
        <v>59</v>
      </c>
      <c r="BZ133" s="43">
        <v>-7</v>
      </c>
      <c r="CA133" s="46"/>
      <c r="CF133" s="43">
        <v>0</v>
      </c>
      <c r="CG133" s="46"/>
      <c r="CJ133">
        <v>88</v>
      </c>
      <c r="CK133">
        <v>87</v>
      </c>
      <c r="CL133" s="43">
        <v>1</v>
      </c>
      <c r="CM133" s="46"/>
      <c r="CN133" s="47"/>
      <c r="CP133">
        <v>56</v>
      </c>
      <c r="CQ133">
        <v>56</v>
      </c>
      <c r="CR133" s="43">
        <v>0</v>
      </c>
      <c r="CS133" s="46"/>
      <c r="CX133" s="43">
        <v>0</v>
      </c>
      <c r="CY133" s="46"/>
      <c r="CZ133" s="47"/>
      <c r="DB133">
        <v>40</v>
      </c>
      <c r="DC133">
        <v>44</v>
      </c>
      <c r="DD133" s="43">
        <v>-4</v>
      </c>
      <c r="DE133" s="46"/>
      <c r="DF133" s="47"/>
      <c r="DJ133">
        <v>24</v>
      </c>
      <c r="DK133">
        <v>24</v>
      </c>
      <c r="DL133" s="43">
        <v>0</v>
      </c>
      <c r="DM133" s="46"/>
      <c r="DN133" s="47"/>
      <c r="DP133">
        <v>56</v>
      </c>
      <c r="DQ133">
        <v>60</v>
      </c>
      <c r="DR133" s="43">
        <v>-4</v>
      </c>
      <c r="DS133" s="46"/>
      <c r="DZ133" s="43">
        <v>0</v>
      </c>
      <c r="EA133" s="46"/>
      <c r="EB133" s="47"/>
      <c r="ED133">
        <v>120</v>
      </c>
      <c r="EE133">
        <v>120</v>
      </c>
      <c r="EF133" s="43">
        <v>0</v>
      </c>
      <c r="EG133" s="46"/>
      <c r="EH133" s="47"/>
      <c r="EL133" s="43">
        <v>0</v>
      </c>
      <c r="EM133" s="46"/>
      <c r="EN133" s="47"/>
      <c r="ER133" s="43">
        <v>0</v>
      </c>
      <c r="ES133" s="46"/>
      <c r="EV133">
        <v>40</v>
      </c>
      <c r="EW133">
        <v>40</v>
      </c>
      <c r="EX133">
        <v>56</v>
      </c>
      <c r="EY133">
        <v>56</v>
      </c>
      <c r="EZ133" s="43">
        <v>0</v>
      </c>
      <c r="FA133" s="46"/>
      <c r="FD133">
        <v>24</v>
      </c>
      <c r="FF133">
        <v>24</v>
      </c>
      <c r="FG133" s="43">
        <v>0</v>
      </c>
      <c r="FH133" s="46"/>
      <c r="FI133" s="45">
        <v>8</v>
      </c>
      <c r="FK133" s="48">
        <v>5.7999999999999972</v>
      </c>
      <c r="FL133" s="43">
        <v>2.2000000000000028</v>
      </c>
      <c r="FM133" s="46"/>
      <c r="FN133" s="45">
        <v>40</v>
      </c>
      <c r="FP133">
        <v>38</v>
      </c>
      <c r="FQ133" s="43">
        <v>2</v>
      </c>
      <c r="FR133" s="46"/>
      <c r="FW133" s="43">
        <v>0</v>
      </c>
      <c r="FX133" s="46"/>
      <c r="FY133" s="45">
        <v>40</v>
      </c>
      <c r="GA133">
        <v>40</v>
      </c>
      <c r="GB133">
        <v>40</v>
      </c>
      <c r="GC133">
        <v>40</v>
      </c>
      <c r="GD133" s="43">
        <v>0</v>
      </c>
      <c r="GE133" s="46"/>
      <c r="GH133">
        <v>40</v>
      </c>
      <c r="GI133">
        <v>40</v>
      </c>
      <c r="GJ133" s="43">
        <v>0</v>
      </c>
      <c r="GK133" s="46"/>
      <c r="GL133" s="47"/>
      <c r="GP133" s="43">
        <v>0</v>
      </c>
      <c r="GQ133" s="46"/>
      <c r="GT133">
        <v>32</v>
      </c>
      <c r="GU133">
        <v>32</v>
      </c>
      <c r="GV133" s="43">
        <v>0</v>
      </c>
      <c r="GW133" s="46"/>
      <c r="GX133" s="45">
        <v>24</v>
      </c>
      <c r="GY133" s="48">
        <v>29</v>
      </c>
      <c r="GZ133" s="43">
        <v>-5</v>
      </c>
      <c r="HA133" s="46"/>
      <c r="HB133" s="47"/>
      <c r="HD133">
        <v>96</v>
      </c>
      <c r="HE133">
        <v>99</v>
      </c>
      <c r="HF133" s="43">
        <v>-3</v>
      </c>
      <c r="HG133" s="46"/>
      <c r="HH133" s="45">
        <v>48</v>
      </c>
      <c r="HI133">
        <v>50</v>
      </c>
      <c r="HJ133" s="43">
        <v>-2</v>
      </c>
      <c r="HK133" s="46"/>
      <c r="HL133" s="47"/>
      <c r="HP133" s="43">
        <v>0</v>
      </c>
      <c r="HQ133" s="46"/>
      <c r="HV133">
        <v>24</v>
      </c>
      <c r="HW133">
        <v>24</v>
      </c>
      <c r="HX133" s="43">
        <v>0</v>
      </c>
      <c r="HY133" s="46"/>
      <c r="HZ133" s="47"/>
      <c r="IB133">
        <v>96</v>
      </c>
      <c r="IC133">
        <v>96</v>
      </c>
      <c r="ID133" s="43">
        <v>0</v>
      </c>
      <c r="IE133" s="46"/>
      <c r="IH133">
        <v>16</v>
      </c>
      <c r="II133">
        <v>20</v>
      </c>
      <c r="IJ133" s="43">
        <v>-4</v>
      </c>
      <c r="IK133" s="49"/>
      <c r="IP133" s="43">
        <v>0</v>
      </c>
      <c r="IQ133" s="49"/>
      <c r="IR133">
        <v>24</v>
      </c>
      <c r="IS133">
        <v>24</v>
      </c>
      <c r="IV133" s="43">
        <v>0</v>
      </c>
      <c r="IW133" s="49"/>
      <c r="JB133" s="43">
        <v>0</v>
      </c>
      <c r="JC133" s="46"/>
      <c r="JD133">
        <v>96</v>
      </c>
      <c r="JE133">
        <v>100</v>
      </c>
      <c r="JF133" s="43">
        <v>-4</v>
      </c>
      <c r="JG133" s="49"/>
      <c r="JH133">
        <v>80</v>
      </c>
      <c r="JI133">
        <v>80</v>
      </c>
      <c r="JJ133">
        <v>80</v>
      </c>
      <c r="JK133">
        <v>80</v>
      </c>
      <c r="JL133" s="43">
        <v>0</v>
      </c>
      <c r="JM133" s="46"/>
      <c r="JN133" s="50"/>
      <c r="JP133" s="43">
        <v>0</v>
      </c>
      <c r="JQ133" s="49"/>
      <c r="JV133" s="43">
        <v>0</v>
      </c>
      <c r="JW133" s="49"/>
      <c r="JZ133">
        <v>128</v>
      </c>
      <c r="KA133">
        <v>130</v>
      </c>
      <c r="KB133" s="43">
        <v>-2</v>
      </c>
      <c r="KC133" s="49"/>
      <c r="KF133">
        <v>48</v>
      </c>
      <c r="KG133">
        <v>50</v>
      </c>
      <c r="KH133" s="43">
        <v>-2</v>
      </c>
      <c r="KI133" s="49"/>
      <c r="KN133" s="43">
        <v>0</v>
      </c>
      <c r="KO133" s="49"/>
      <c r="KP133" s="45">
        <v>72</v>
      </c>
      <c r="KQ133">
        <v>70</v>
      </c>
      <c r="KR133">
        <v>80</v>
      </c>
      <c r="KS133">
        <v>80</v>
      </c>
      <c r="KT133">
        <v>80</v>
      </c>
      <c r="KU133">
        <v>80</v>
      </c>
      <c r="KV133" s="43">
        <v>2</v>
      </c>
      <c r="KW133" s="49"/>
      <c r="KX133" s="48">
        <v>0</v>
      </c>
      <c r="KY133" s="48">
        <v>0</v>
      </c>
      <c r="KZ133" s="48">
        <v>16</v>
      </c>
      <c r="LA133" s="48">
        <v>20</v>
      </c>
      <c r="LB133" s="43">
        <v>-4</v>
      </c>
      <c r="LC133" s="49"/>
      <c r="LD133" s="48">
        <v>0</v>
      </c>
      <c r="LE133" s="48">
        <v>0</v>
      </c>
      <c r="LF133" s="48">
        <v>32</v>
      </c>
      <c r="LG133" s="48">
        <v>32</v>
      </c>
      <c r="LH133" s="43">
        <v>0</v>
      </c>
      <c r="LI133" s="49"/>
      <c r="LJ133" s="50">
        <v>136</v>
      </c>
      <c r="LK133" s="48">
        <v>140</v>
      </c>
      <c r="LL133" s="43">
        <v>-4</v>
      </c>
      <c r="LM133" s="49"/>
      <c r="LN133" s="50">
        <v>0</v>
      </c>
      <c r="LO133" s="48">
        <v>0</v>
      </c>
      <c r="LP133" s="48">
        <v>32</v>
      </c>
      <c r="LQ133" s="48">
        <v>0</v>
      </c>
      <c r="LR133" s="48">
        <v>36</v>
      </c>
      <c r="LS133" s="43">
        <v>-4</v>
      </c>
      <c r="LT133" s="49"/>
      <c r="LU133" s="50">
        <v>48</v>
      </c>
      <c r="LV133" s="48">
        <v>48</v>
      </c>
      <c r="LW133" s="48">
        <v>120</v>
      </c>
      <c r="LX133" s="48">
        <v>122</v>
      </c>
      <c r="LY133" s="43">
        <v>-2</v>
      </c>
      <c r="LZ133" s="49"/>
      <c r="MA133" s="50">
        <v>32</v>
      </c>
      <c r="MB133" s="48">
        <v>30</v>
      </c>
      <c r="MC133" s="43">
        <v>2</v>
      </c>
      <c r="MD133" s="49"/>
      <c r="ME133" s="50">
        <v>0</v>
      </c>
      <c r="MF133" s="48">
        <v>0</v>
      </c>
      <c r="MG133" s="48">
        <v>128</v>
      </c>
      <c r="MH133" s="48">
        <v>130</v>
      </c>
      <c r="MI133" s="43">
        <v>-2</v>
      </c>
      <c r="MJ133" s="49"/>
      <c r="MK133" s="50">
        <v>32</v>
      </c>
      <c r="ML133" s="48">
        <v>35</v>
      </c>
      <c r="MM133" s="43">
        <v>-3</v>
      </c>
      <c r="MN133" s="49"/>
      <c r="MO133" s="50">
        <v>0</v>
      </c>
      <c r="MP133" s="48">
        <v>0</v>
      </c>
      <c r="MQ133" s="48">
        <v>0</v>
      </c>
      <c r="MR133" s="48">
        <v>0</v>
      </c>
      <c r="MS133" s="43">
        <v>0</v>
      </c>
      <c r="MT133" s="49"/>
      <c r="MU133" s="48">
        <v>0</v>
      </c>
      <c r="MV133" s="46"/>
      <c r="MW133" s="48">
        <v>0</v>
      </c>
      <c r="MX133" s="48">
        <v>0</v>
      </c>
      <c r="MY133" s="43">
        <v>0</v>
      </c>
      <c r="MZ133" s="49"/>
      <c r="NA133" s="50">
        <v>0</v>
      </c>
      <c r="NB133" s="48">
        <v>0</v>
      </c>
      <c r="NC133" s="48">
        <v>160</v>
      </c>
      <c r="ND133" s="48">
        <v>161</v>
      </c>
      <c r="NE133" s="43">
        <v>-1</v>
      </c>
      <c r="NF133" s="49"/>
      <c r="NG133" s="50">
        <v>0</v>
      </c>
      <c r="NH133" s="48">
        <v>0</v>
      </c>
      <c r="NI133" s="48">
        <v>0</v>
      </c>
      <c r="NJ133" s="48">
        <v>0</v>
      </c>
      <c r="NK133" s="43">
        <v>0</v>
      </c>
      <c r="NL133" s="49"/>
      <c r="NM133" s="50">
        <v>0</v>
      </c>
      <c r="NN133" s="48">
        <v>0</v>
      </c>
      <c r="NO133" s="48">
        <v>48</v>
      </c>
      <c r="NP133" s="48">
        <v>50</v>
      </c>
      <c r="NQ133" s="43">
        <v>-2</v>
      </c>
      <c r="NR133" s="49"/>
      <c r="NS133" s="50">
        <v>0</v>
      </c>
      <c r="NT133" s="48">
        <v>0</v>
      </c>
      <c r="NU133" s="48">
        <v>160</v>
      </c>
      <c r="NV133" s="48">
        <v>160</v>
      </c>
      <c r="NW133" s="43">
        <v>0</v>
      </c>
      <c r="NX133" s="49"/>
      <c r="NY133" s="50">
        <v>0</v>
      </c>
      <c r="NZ133" s="48">
        <v>0</v>
      </c>
      <c r="OA133" s="48">
        <v>120</v>
      </c>
      <c r="OB133" s="48">
        <v>120</v>
      </c>
      <c r="OC133" s="43">
        <v>0</v>
      </c>
      <c r="OD133" s="49"/>
      <c r="OE133" s="50">
        <v>16</v>
      </c>
      <c r="OF133" s="48">
        <v>20</v>
      </c>
      <c r="OG133" s="43">
        <v>-4</v>
      </c>
      <c r="OH133" s="49"/>
      <c r="OI133" s="50">
        <v>192</v>
      </c>
      <c r="OJ133" s="48">
        <v>190</v>
      </c>
      <c r="OK133" s="43">
        <v>2</v>
      </c>
      <c r="OL133" s="49"/>
      <c r="OM133" s="50">
        <v>0</v>
      </c>
      <c r="ON133" s="48">
        <v>0</v>
      </c>
      <c r="OO133" s="48">
        <v>0</v>
      </c>
      <c r="OP133" s="48">
        <v>0</v>
      </c>
      <c r="OQ133" s="43">
        <v>0</v>
      </c>
      <c r="OR133" s="49"/>
      <c r="OS133" s="50">
        <v>32</v>
      </c>
      <c r="OT133" s="48">
        <v>30</v>
      </c>
      <c r="OU133" s="43">
        <v>2</v>
      </c>
      <c r="OV133" s="49"/>
      <c r="OW133" s="50">
        <v>0</v>
      </c>
      <c r="OX133" s="48">
        <v>0</v>
      </c>
      <c r="OY133" s="48">
        <v>96</v>
      </c>
      <c r="OZ133" s="48">
        <v>100</v>
      </c>
      <c r="PA133" s="43">
        <v>-4</v>
      </c>
      <c r="PB133" s="49"/>
      <c r="PC133" s="50">
        <v>8</v>
      </c>
      <c r="PD133" s="48">
        <v>8</v>
      </c>
      <c r="PE133" s="43">
        <v>0</v>
      </c>
      <c r="PF133" s="49"/>
      <c r="PG133" s="50">
        <v>0</v>
      </c>
      <c r="PH133" s="48">
        <v>0</v>
      </c>
      <c r="PI133" s="48">
        <v>0</v>
      </c>
      <c r="PJ133" s="48">
        <v>0</v>
      </c>
      <c r="PK133" s="43">
        <v>0</v>
      </c>
      <c r="PL133" s="49"/>
      <c r="PM133" s="47">
        <v>0</v>
      </c>
      <c r="PN133" s="48">
        <v>0</v>
      </c>
      <c r="PO133" s="48">
        <v>32</v>
      </c>
      <c r="PP133" s="48">
        <v>30</v>
      </c>
      <c r="PQ133" s="43">
        <v>2</v>
      </c>
      <c r="PR133" s="49"/>
      <c r="PS133" s="47">
        <v>32</v>
      </c>
      <c r="PT133" s="43">
        <v>30</v>
      </c>
      <c r="PU133" s="43">
        <v>0</v>
      </c>
      <c r="PV133" s="43">
        <v>0</v>
      </c>
      <c r="PW133" s="43">
        <v>2</v>
      </c>
      <c r="PX133" s="46"/>
      <c r="PY133" s="47">
        <v>128</v>
      </c>
      <c r="PZ133" s="43">
        <v>133</v>
      </c>
      <c r="QA133" s="43">
        <v>-5</v>
      </c>
      <c r="QB133" s="46"/>
      <c r="QC133" s="47">
        <v>0</v>
      </c>
      <c r="QD133" s="43">
        <v>0</v>
      </c>
      <c r="QE133" s="43">
        <v>0</v>
      </c>
      <c r="QF133" s="43">
        <v>0</v>
      </c>
      <c r="QG133" s="43">
        <v>0</v>
      </c>
      <c r="QH133" s="46"/>
      <c r="QI133" s="47">
        <v>80</v>
      </c>
      <c r="QJ133" s="43">
        <v>80</v>
      </c>
      <c r="QK133" s="43">
        <v>0</v>
      </c>
      <c r="QL133" s="43">
        <v>0</v>
      </c>
      <c r="QM133" s="43">
        <v>0</v>
      </c>
      <c r="QN133" s="46"/>
      <c r="QO133" s="47">
        <v>0</v>
      </c>
      <c r="QP133" s="43">
        <v>0</v>
      </c>
      <c r="QQ133" s="43">
        <v>0</v>
      </c>
      <c r="QR133" s="43">
        <v>0</v>
      </c>
      <c r="QS133" s="43">
        <v>0</v>
      </c>
      <c r="QT133" s="46"/>
      <c r="QU133" s="47">
        <v>0</v>
      </c>
      <c r="QV133" s="43">
        <v>0</v>
      </c>
      <c r="QW133" s="43">
        <v>0</v>
      </c>
      <c r="QX133" s="46"/>
      <c r="QY133" s="47">
        <v>0</v>
      </c>
      <c r="QZ133" s="43">
        <v>0</v>
      </c>
      <c r="RA133" s="43">
        <v>0</v>
      </c>
      <c r="RB133" s="43">
        <v>0</v>
      </c>
      <c r="RC133" s="43">
        <v>0</v>
      </c>
      <c r="RD133" s="46"/>
    </row>
    <row r="134" spans="1:472" x14ac:dyDescent="0.25">
      <c r="A134" s="43" t="s">
        <v>422</v>
      </c>
      <c r="B134" s="44">
        <v>0.36</v>
      </c>
      <c r="I134" s="47"/>
      <c r="J134" s="51"/>
      <c r="K134" s="51"/>
      <c r="L134" s="52">
        <v>24</v>
      </c>
      <c r="M134" s="56">
        <f t="shared" si="15"/>
        <v>-24</v>
      </c>
      <c r="N134" s="46">
        <f>-1*M134*B134</f>
        <v>8.64</v>
      </c>
      <c r="O134" s="47"/>
      <c r="P134" s="51"/>
      <c r="Q134" s="51"/>
      <c r="R134" s="52">
        <v>20</v>
      </c>
      <c r="S134" s="56">
        <f t="shared" si="16"/>
        <v>-20</v>
      </c>
      <c r="T134" s="46">
        <f>-1*S134*B134</f>
        <v>7.1999999999999993</v>
      </c>
      <c r="U134" s="47"/>
      <c r="V134" s="51"/>
      <c r="W134" s="51"/>
      <c r="X134" s="52">
        <v>30</v>
      </c>
      <c r="Y134" s="56">
        <f t="shared" si="17"/>
        <v>-30</v>
      </c>
      <c r="Z134" s="46">
        <f>-1*Y134*B134</f>
        <v>10.799999999999999</v>
      </c>
      <c r="AA134" s="51"/>
      <c r="AD134">
        <v>36</v>
      </c>
      <c r="AE134" s="42">
        <v>-36</v>
      </c>
      <c r="AF134" s="46">
        <v>12.96</v>
      </c>
      <c r="AG134" s="47"/>
      <c r="AJ134">
        <v>20</v>
      </c>
      <c r="AK134" s="42">
        <v>-20</v>
      </c>
      <c r="AL134" s="46">
        <v>7.1999999999999993</v>
      </c>
      <c r="AO134">
        <v>8</v>
      </c>
      <c r="AP134">
        <v>8</v>
      </c>
      <c r="AQ134" s="43">
        <v>0</v>
      </c>
      <c r="AR134" s="46"/>
      <c r="AU134">
        <v>8</v>
      </c>
      <c r="AV134">
        <v>8</v>
      </c>
      <c r="AW134" s="43">
        <v>0</v>
      </c>
      <c r="AX134" s="46"/>
      <c r="AY134" s="47"/>
      <c r="BA134">
        <v>16</v>
      </c>
      <c r="BB134">
        <v>18</v>
      </c>
      <c r="BC134" s="43">
        <v>-2</v>
      </c>
      <c r="BD134" s="46"/>
      <c r="BE134" s="47"/>
      <c r="BG134">
        <v>16</v>
      </c>
      <c r="BH134">
        <v>14</v>
      </c>
      <c r="BI134" s="43">
        <v>2</v>
      </c>
      <c r="BJ134" s="46"/>
      <c r="BN134">
        <v>16</v>
      </c>
      <c r="BO134">
        <v>18</v>
      </c>
      <c r="BP134" s="43">
        <v>-2</v>
      </c>
      <c r="BQ134" s="46"/>
      <c r="BT134" s="43">
        <v>0</v>
      </c>
      <c r="BU134" s="46"/>
      <c r="BV134" s="47"/>
      <c r="BX134">
        <v>8</v>
      </c>
      <c r="BY134">
        <v>10</v>
      </c>
      <c r="BZ134" s="43">
        <v>-2</v>
      </c>
      <c r="CA134" s="46"/>
      <c r="CD134">
        <v>8</v>
      </c>
      <c r="CE134">
        <v>6</v>
      </c>
      <c r="CF134" s="43">
        <v>2</v>
      </c>
      <c r="CG134" s="46"/>
      <c r="CJ134">
        <v>32</v>
      </c>
      <c r="CK134">
        <v>35</v>
      </c>
      <c r="CL134" s="43">
        <v>-3</v>
      </c>
      <c r="CM134" s="46"/>
      <c r="CN134" s="47"/>
      <c r="CP134">
        <v>24</v>
      </c>
      <c r="CQ134">
        <v>24</v>
      </c>
      <c r="CR134" s="43">
        <v>0</v>
      </c>
      <c r="CS134" s="46"/>
      <c r="CV134">
        <v>8</v>
      </c>
      <c r="CW134">
        <v>8</v>
      </c>
      <c r="CX134" s="43">
        <v>0</v>
      </c>
      <c r="CY134" s="46"/>
      <c r="CZ134" s="47"/>
      <c r="DB134">
        <v>24</v>
      </c>
      <c r="DC134">
        <v>29</v>
      </c>
      <c r="DD134" s="43">
        <v>-5</v>
      </c>
      <c r="DE134" s="46"/>
      <c r="DF134" s="47"/>
      <c r="DL134" s="43">
        <v>0</v>
      </c>
      <c r="DM134" s="46"/>
      <c r="DN134" s="47"/>
      <c r="DP134">
        <v>32</v>
      </c>
      <c r="DQ134">
        <v>34</v>
      </c>
      <c r="DR134" s="43">
        <v>-2</v>
      </c>
      <c r="DS134" s="46"/>
      <c r="DV134">
        <v>8</v>
      </c>
      <c r="DW134">
        <v>7</v>
      </c>
      <c r="DZ134" s="43">
        <v>1</v>
      </c>
      <c r="EA134" s="46"/>
      <c r="EB134" s="47"/>
      <c r="EF134" s="43">
        <v>0</v>
      </c>
      <c r="EG134" s="46"/>
      <c r="EH134" s="47"/>
      <c r="EL134" s="43">
        <v>0</v>
      </c>
      <c r="EM134" s="46"/>
      <c r="EN134" s="47"/>
      <c r="EP134">
        <v>40</v>
      </c>
      <c r="EQ134">
        <v>40</v>
      </c>
      <c r="ER134" s="43">
        <v>0</v>
      </c>
      <c r="ES134" s="46"/>
      <c r="EZ134" s="43">
        <v>0</v>
      </c>
      <c r="FA134" s="46"/>
      <c r="FG134" s="43">
        <v>0</v>
      </c>
      <c r="FH134" s="46"/>
      <c r="FI134" s="45">
        <v>32</v>
      </c>
      <c r="FK134" s="48">
        <v>33.400000000000013</v>
      </c>
      <c r="FL134" s="43">
        <v>-1.400000000000013</v>
      </c>
      <c r="FM134" s="46"/>
      <c r="FN134" s="47"/>
      <c r="FQ134" s="43">
        <v>0</v>
      </c>
      <c r="FR134" s="46"/>
      <c r="FW134" s="43">
        <v>0</v>
      </c>
      <c r="FX134" s="46"/>
      <c r="FY134" s="47"/>
      <c r="GB134">
        <v>32</v>
      </c>
      <c r="GC134">
        <v>32</v>
      </c>
      <c r="GD134" s="43">
        <v>0</v>
      </c>
      <c r="GE134" s="46"/>
      <c r="GJ134" s="43">
        <v>0</v>
      </c>
      <c r="GK134" s="46"/>
      <c r="GL134" s="47"/>
      <c r="GN134">
        <v>32</v>
      </c>
      <c r="GO134">
        <v>32</v>
      </c>
      <c r="GP134" s="43">
        <v>0</v>
      </c>
      <c r="GQ134" s="46"/>
      <c r="GT134">
        <v>8</v>
      </c>
      <c r="GU134">
        <v>7</v>
      </c>
      <c r="GV134" s="43">
        <v>1</v>
      </c>
      <c r="GW134" s="46"/>
      <c r="GX134" s="47"/>
      <c r="GZ134" s="43">
        <v>0</v>
      </c>
      <c r="HA134" s="46"/>
      <c r="HB134" s="47"/>
      <c r="HF134" s="43">
        <v>0</v>
      </c>
      <c r="HG134" s="46"/>
      <c r="HH134" s="45">
        <v>24</v>
      </c>
      <c r="HI134">
        <v>24</v>
      </c>
      <c r="HJ134" s="43">
        <v>0</v>
      </c>
      <c r="HK134" s="46"/>
      <c r="HL134" s="47"/>
      <c r="HP134" s="43">
        <v>0</v>
      </c>
      <c r="HQ134" s="46"/>
      <c r="HX134" s="43">
        <v>0</v>
      </c>
      <c r="HY134" s="46"/>
      <c r="HZ134" s="47"/>
      <c r="IB134">
        <v>72</v>
      </c>
      <c r="IC134">
        <v>70</v>
      </c>
      <c r="ID134" s="43">
        <v>2</v>
      </c>
      <c r="IE134" s="46"/>
      <c r="IH134">
        <v>8</v>
      </c>
      <c r="II134">
        <v>6</v>
      </c>
      <c r="IJ134" s="43">
        <v>2</v>
      </c>
      <c r="IK134" s="49"/>
      <c r="IP134" s="43">
        <v>0</v>
      </c>
      <c r="IQ134" s="49"/>
      <c r="IV134" s="43">
        <v>0</v>
      </c>
      <c r="IW134" s="49"/>
      <c r="IX134">
        <v>48</v>
      </c>
      <c r="IY134">
        <v>50</v>
      </c>
      <c r="IZ134">
        <v>40</v>
      </c>
      <c r="JA134">
        <v>40</v>
      </c>
      <c r="JB134" s="43">
        <v>-2</v>
      </c>
      <c r="JC134" s="46"/>
      <c r="JF134" s="43">
        <v>0</v>
      </c>
      <c r="JG134" s="49"/>
      <c r="JJ134">
        <v>32</v>
      </c>
      <c r="JK134">
        <v>79</v>
      </c>
      <c r="JL134" s="42">
        <v>-47</v>
      </c>
      <c r="JM134" s="46">
        <v>16.920000000000002</v>
      </c>
      <c r="JN134" s="45">
        <v>48</v>
      </c>
      <c r="JO134" s="48">
        <v>50</v>
      </c>
      <c r="JP134" s="43">
        <v>-2</v>
      </c>
      <c r="JQ134" s="49"/>
      <c r="JV134" s="43">
        <v>0</v>
      </c>
      <c r="JW134" s="49"/>
      <c r="KB134" s="43">
        <v>0</v>
      </c>
      <c r="KC134" s="49"/>
      <c r="KF134">
        <v>64</v>
      </c>
      <c r="KG134">
        <v>65</v>
      </c>
      <c r="KH134" s="43">
        <v>-1</v>
      </c>
      <c r="KI134" s="49"/>
      <c r="KN134" s="43">
        <v>0</v>
      </c>
      <c r="KO134" s="49"/>
      <c r="KP134" s="45">
        <v>40</v>
      </c>
      <c r="KQ134">
        <v>40</v>
      </c>
      <c r="KR134">
        <v>40</v>
      </c>
      <c r="KS134">
        <v>40</v>
      </c>
      <c r="KT134">
        <v>40</v>
      </c>
      <c r="KU134">
        <v>40</v>
      </c>
      <c r="KV134" s="43">
        <v>0</v>
      </c>
      <c r="KW134" s="49"/>
      <c r="KX134" s="48">
        <v>0</v>
      </c>
      <c r="KY134" s="48">
        <v>0</v>
      </c>
      <c r="KZ134" s="48">
        <v>16</v>
      </c>
      <c r="LA134" s="48">
        <v>20</v>
      </c>
      <c r="LB134" s="43">
        <v>-4</v>
      </c>
      <c r="LC134" s="49"/>
      <c r="LD134" s="48">
        <v>0</v>
      </c>
      <c r="LE134" s="48">
        <v>0</v>
      </c>
      <c r="LF134" s="48">
        <v>32</v>
      </c>
      <c r="LG134" s="48">
        <v>30</v>
      </c>
      <c r="LH134" s="43">
        <v>2</v>
      </c>
      <c r="LI134" s="49"/>
      <c r="LJ134" s="50">
        <v>64</v>
      </c>
      <c r="LK134" s="48">
        <v>65</v>
      </c>
      <c r="LL134" s="43">
        <v>-1</v>
      </c>
      <c r="LM134" s="49"/>
      <c r="LN134" s="50">
        <v>0</v>
      </c>
      <c r="LO134" s="48">
        <v>0</v>
      </c>
      <c r="LP134" s="48">
        <v>0</v>
      </c>
      <c r="LQ134" s="48">
        <v>0</v>
      </c>
      <c r="LR134" s="48">
        <v>0</v>
      </c>
      <c r="LS134" s="43">
        <v>0</v>
      </c>
      <c r="LT134" s="49"/>
      <c r="LU134" s="50">
        <v>32</v>
      </c>
      <c r="LV134" s="48">
        <v>30</v>
      </c>
      <c r="LW134" s="48">
        <v>72</v>
      </c>
      <c r="LX134" s="48">
        <v>70</v>
      </c>
      <c r="LY134" s="43">
        <v>4</v>
      </c>
      <c r="LZ134" s="49"/>
      <c r="MA134" s="31">
        <v>96</v>
      </c>
      <c r="MB134" s="48">
        <v>0</v>
      </c>
      <c r="MC134" s="43">
        <v>0</v>
      </c>
      <c r="MD134" s="49"/>
      <c r="ME134" s="50">
        <v>0</v>
      </c>
      <c r="MF134" s="48">
        <v>0</v>
      </c>
      <c r="MG134" s="48">
        <v>0</v>
      </c>
      <c r="MH134" s="48">
        <v>0</v>
      </c>
      <c r="MI134" s="43">
        <v>0</v>
      </c>
      <c r="MJ134" s="49"/>
      <c r="MK134" s="50">
        <v>0</v>
      </c>
      <c r="ML134" s="48">
        <v>0</v>
      </c>
      <c r="MM134" s="43">
        <v>0</v>
      </c>
      <c r="MN134" s="49"/>
      <c r="MO134" s="50">
        <v>0</v>
      </c>
      <c r="MP134" s="48">
        <v>0</v>
      </c>
      <c r="MQ134" s="28">
        <v>72</v>
      </c>
      <c r="MR134" s="48">
        <v>0</v>
      </c>
      <c r="MS134" s="43">
        <v>0</v>
      </c>
      <c r="MT134" s="49"/>
      <c r="MU134" s="48">
        <v>0</v>
      </c>
      <c r="MV134" s="46"/>
      <c r="MW134" s="48">
        <v>0</v>
      </c>
      <c r="MX134" s="48">
        <v>0</v>
      </c>
      <c r="MY134" s="43">
        <v>0</v>
      </c>
      <c r="MZ134" s="49"/>
      <c r="NA134" s="50">
        <v>0</v>
      </c>
      <c r="NB134" s="48">
        <v>0</v>
      </c>
      <c r="NC134" s="28">
        <v>24</v>
      </c>
      <c r="ND134" s="48">
        <v>0</v>
      </c>
      <c r="NE134" s="43">
        <v>0</v>
      </c>
      <c r="NF134" s="49"/>
      <c r="NG134" s="50">
        <v>0</v>
      </c>
      <c r="NH134" s="48">
        <v>0</v>
      </c>
      <c r="NI134" s="48">
        <v>80</v>
      </c>
      <c r="NJ134" s="48">
        <v>85</v>
      </c>
      <c r="NK134" s="43">
        <v>-5</v>
      </c>
      <c r="NL134" s="49"/>
      <c r="NM134" s="50">
        <v>0</v>
      </c>
      <c r="NN134" s="48">
        <v>0</v>
      </c>
      <c r="NO134" s="48">
        <v>56</v>
      </c>
      <c r="NP134" s="48">
        <v>60</v>
      </c>
      <c r="NQ134" s="43">
        <v>-4</v>
      </c>
      <c r="NR134" s="49"/>
      <c r="NS134" s="50">
        <v>0</v>
      </c>
      <c r="NT134" s="48">
        <v>0</v>
      </c>
      <c r="NU134" s="48">
        <v>80</v>
      </c>
      <c r="NV134" s="48">
        <v>91</v>
      </c>
      <c r="NW134" s="42">
        <v>-11</v>
      </c>
      <c r="NX134" s="49">
        <v>3.96</v>
      </c>
      <c r="NY134" s="50">
        <v>0</v>
      </c>
      <c r="NZ134" s="48">
        <v>0</v>
      </c>
      <c r="OA134" s="48">
        <v>40</v>
      </c>
      <c r="OB134" s="48">
        <v>45</v>
      </c>
      <c r="OC134" s="43">
        <v>-5</v>
      </c>
      <c r="OD134" s="49"/>
      <c r="OE134" s="50">
        <v>56</v>
      </c>
      <c r="OF134" s="48">
        <v>60</v>
      </c>
      <c r="OG134" s="43">
        <v>-4</v>
      </c>
      <c r="OH134" s="49"/>
      <c r="OI134" s="50">
        <v>64</v>
      </c>
      <c r="OJ134" s="48">
        <v>69</v>
      </c>
      <c r="OK134" s="43">
        <v>-5</v>
      </c>
      <c r="OL134" s="49"/>
      <c r="OM134" s="50">
        <v>0</v>
      </c>
      <c r="ON134" s="48">
        <v>0</v>
      </c>
      <c r="OO134" s="48">
        <v>112</v>
      </c>
      <c r="OP134" s="48">
        <v>112.6</v>
      </c>
      <c r="OQ134" s="43">
        <v>-0.59999999999999432</v>
      </c>
      <c r="OR134" s="49"/>
      <c r="OS134" s="50">
        <v>40</v>
      </c>
      <c r="OT134" s="48">
        <v>40</v>
      </c>
      <c r="OU134" s="43">
        <v>0</v>
      </c>
      <c r="OV134" s="49"/>
      <c r="OW134" s="50">
        <v>0</v>
      </c>
      <c r="OX134" s="48">
        <v>0</v>
      </c>
      <c r="OY134" s="48">
        <v>136</v>
      </c>
      <c r="OZ134" s="48">
        <v>140</v>
      </c>
      <c r="PA134" s="43">
        <v>-4</v>
      </c>
      <c r="PB134" s="49"/>
      <c r="PC134" s="50">
        <v>0</v>
      </c>
      <c r="PD134" s="48">
        <v>0</v>
      </c>
      <c r="PE134" s="43">
        <v>0</v>
      </c>
      <c r="PF134" s="49"/>
      <c r="PG134" s="50">
        <v>0</v>
      </c>
      <c r="PH134" s="48">
        <v>0</v>
      </c>
      <c r="PI134" s="48">
        <v>32</v>
      </c>
      <c r="PJ134" s="48">
        <v>30</v>
      </c>
      <c r="PK134" s="43">
        <v>2</v>
      </c>
      <c r="PL134" s="49"/>
      <c r="PM134" s="47">
        <v>0</v>
      </c>
      <c r="PN134" s="48">
        <v>0</v>
      </c>
      <c r="PO134" s="48">
        <v>88</v>
      </c>
      <c r="PP134" s="48">
        <v>91</v>
      </c>
      <c r="PQ134" s="43">
        <v>-3</v>
      </c>
      <c r="PR134" s="49"/>
      <c r="PS134" s="47">
        <v>8</v>
      </c>
      <c r="PT134" s="43">
        <v>60</v>
      </c>
      <c r="PU134" s="43">
        <v>72</v>
      </c>
      <c r="PV134" s="43">
        <v>70</v>
      </c>
      <c r="PW134" s="42">
        <v>-50</v>
      </c>
      <c r="PX134" s="46">
        <v>18</v>
      </c>
      <c r="PY134" s="47">
        <v>0</v>
      </c>
      <c r="PZ134" s="43">
        <v>0</v>
      </c>
      <c r="QA134" s="43">
        <v>0</v>
      </c>
      <c r="QB134" s="46"/>
      <c r="QC134" s="47">
        <v>104</v>
      </c>
      <c r="QD134" s="43">
        <v>104</v>
      </c>
      <c r="QE134" s="43">
        <v>0</v>
      </c>
      <c r="QF134" s="43">
        <v>0</v>
      </c>
      <c r="QG134" s="43">
        <v>0</v>
      </c>
      <c r="QH134" s="46"/>
      <c r="QI134" s="47">
        <v>24</v>
      </c>
      <c r="QJ134" s="43">
        <v>25</v>
      </c>
      <c r="QK134" s="43">
        <v>0</v>
      </c>
      <c r="QL134" s="43">
        <v>0</v>
      </c>
      <c r="QM134" s="43">
        <v>-1</v>
      </c>
      <c r="QN134" s="46"/>
      <c r="QO134" s="47">
        <v>0</v>
      </c>
      <c r="QP134" s="43">
        <v>0</v>
      </c>
      <c r="QQ134" s="43">
        <v>0</v>
      </c>
      <c r="QR134" s="43">
        <v>0</v>
      </c>
      <c r="QS134" s="43">
        <v>0</v>
      </c>
      <c r="QT134" s="46"/>
      <c r="QU134" s="47">
        <v>216</v>
      </c>
      <c r="QV134" s="43">
        <v>220</v>
      </c>
      <c r="QW134" s="43">
        <v>-4</v>
      </c>
      <c r="QX134" s="46"/>
      <c r="QY134" s="47">
        <v>0</v>
      </c>
      <c r="QZ134" s="43">
        <v>0</v>
      </c>
      <c r="RA134" s="43">
        <v>0</v>
      </c>
      <c r="RB134" s="43">
        <v>0</v>
      </c>
      <c r="RC134" s="43">
        <v>0</v>
      </c>
      <c r="RD134" s="46"/>
    </row>
    <row r="135" spans="1:472" x14ac:dyDescent="0.25">
      <c r="A135" s="43" t="s">
        <v>423</v>
      </c>
      <c r="B135" s="44">
        <v>0.15</v>
      </c>
      <c r="I135" s="47"/>
      <c r="J135" s="51"/>
      <c r="K135" s="51"/>
      <c r="L135" s="51"/>
      <c r="M135" s="51">
        <f t="shared" si="15"/>
        <v>0</v>
      </c>
      <c r="N135" s="46"/>
      <c r="O135" s="47"/>
      <c r="P135" s="51"/>
      <c r="Q135" s="51"/>
      <c r="R135" s="51"/>
      <c r="S135" s="51">
        <f t="shared" si="16"/>
        <v>0</v>
      </c>
      <c r="T135" s="46"/>
      <c r="U135" s="47"/>
      <c r="V135" s="51"/>
      <c r="W135" s="51"/>
      <c r="X135" s="51"/>
      <c r="Y135" s="51">
        <f t="shared" si="17"/>
        <v>0</v>
      </c>
      <c r="Z135" s="46"/>
      <c r="AA135" s="51"/>
      <c r="AE135" s="43">
        <v>0</v>
      </c>
      <c r="AF135" s="46"/>
      <c r="AG135" s="47"/>
      <c r="AK135" s="43">
        <v>0</v>
      </c>
      <c r="AL135" s="46"/>
      <c r="AQ135" s="43">
        <v>0</v>
      </c>
      <c r="AR135" s="46"/>
      <c r="AW135" s="43">
        <v>0</v>
      </c>
      <c r="AX135" s="46"/>
      <c r="AY135" s="47"/>
      <c r="BC135" s="43">
        <v>0</v>
      </c>
      <c r="BD135" s="46"/>
      <c r="BE135" s="47"/>
      <c r="BI135" s="43">
        <v>0</v>
      </c>
      <c r="BJ135" s="46"/>
      <c r="BP135" s="43">
        <v>0</v>
      </c>
      <c r="BQ135" s="46"/>
      <c r="BT135" s="43">
        <v>0</v>
      </c>
      <c r="BU135" s="46"/>
      <c r="BV135" s="47"/>
      <c r="BZ135" s="43">
        <v>0</v>
      </c>
      <c r="CA135" s="46"/>
      <c r="CF135" s="43">
        <v>0</v>
      </c>
      <c r="CG135" s="46"/>
      <c r="CL135" s="43">
        <v>0</v>
      </c>
      <c r="CM135" s="46"/>
      <c r="CN135" s="47"/>
      <c r="CR135" s="43">
        <v>0</v>
      </c>
      <c r="CS135" s="46"/>
      <c r="CX135" s="43">
        <v>0</v>
      </c>
      <c r="CY135" s="46"/>
      <c r="CZ135" s="47"/>
      <c r="DD135" s="43">
        <v>0</v>
      </c>
      <c r="DE135" s="46"/>
      <c r="DF135" s="47"/>
      <c r="DL135" s="43">
        <v>0</v>
      </c>
      <c r="DM135" s="46"/>
      <c r="DN135" s="47"/>
      <c r="DR135" s="43">
        <v>0</v>
      </c>
      <c r="DS135" s="46"/>
      <c r="DZ135" s="43">
        <v>0</v>
      </c>
      <c r="EA135" s="46"/>
      <c r="EB135" s="47"/>
      <c r="EF135" s="43">
        <v>0</v>
      </c>
      <c r="EG135" s="46"/>
      <c r="EH135" s="47"/>
      <c r="EL135" s="43">
        <v>0</v>
      </c>
      <c r="EM135" s="46"/>
      <c r="EN135" s="47"/>
      <c r="ER135" s="43">
        <v>0</v>
      </c>
      <c r="ES135" s="46"/>
      <c r="EZ135" s="43">
        <v>0</v>
      </c>
      <c r="FA135" s="46"/>
      <c r="FG135" s="43">
        <v>0</v>
      </c>
      <c r="FH135" s="46"/>
      <c r="FI135" s="47"/>
      <c r="FL135" s="43">
        <v>0</v>
      </c>
      <c r="FM135" s="46"/>
      <c r="FN135" s="47"/>
      <c r="FQ135" s="43">
        <v>0</v>
      </c>
      <c r="FR135" s="46"/>
      <c r="FW135" s="43">
        <v>0</v>
      </c>
      <c r="FX135" s="46"/>
      <c r="FY135" s="47"/>
      <c r="GD135" s="43">
        <v>0</v>
      </c>
      <c r="GE135" s="46"/>
      <c r="GJ135" s="43">
        <v>0</v>
      </c>
      <c r="GK135" s="46"/>
      <c r="GL135" s="47"/>
      <c r="GP135" s="43">
        <v>0</v>
      </c>
      <c r="GQ135" s="46"/>
      <c r="GV135" s="43">
        <v>0</v>
      </c>
      <c r="GW135" s="46"/>
      <c r="GX135" s="47"/>
      <c r="GZ135" s="43">
        <v>0</v>
      </c>
      <c r="HA135" s="46"/>
      <c r="HB135" s="47"/>
      <c r="HF135" s="43">
        <v>0</v>
      </c>
      <c r="HG135" s="46"/>
      <c r="HH135" s="47"/>
      <c r="HJ135" s="43">
        <v>0</v>
      </c>
      <c r="HK135" s="46"/>
      <c r="HL135" s="47"/>
      <c r="HP135" s="43">
        <v>0</v>
      </c>
      <c r="HQ135" s="46"/>
      <c r="HX135" s="43">
        <v>0</v>
      </c>
      <c r="HY135" s="46"/>
      <c r="HZ135" s="47"/>
      <c r="ID135" s="43">
        <v>0</v>
      </c>
      <c r="IE135" s="46"/>
      <c r="IJ135" s="43">
        <v>0</v>
      </c>
      <c r="IK135" s="49"/>
      <c r="IP135" s="43">
        <v>0</v>
      </c>
      <c r="IQ135" s="49"/>
      <c r="IV135" s="43">
        <v>0</v>
      </c>
      <c r="IW135" s="49"/>
      <c r="JB135" s="43">
        <v>0</v>
      </c>
      <c r="JC135" s="46"/>
      <c r="JF135" s="43">
        <v>0</v>
      </c>
      <c r="JG135" s="49"/>
      <c r="JL135" s="43">
        <v>0</v>
      </c>
      <c r="JM135" s="46"/>
      <c r="JN135" s="50"/>
      <c r="JP135" s="43">
        <v>0</v>
      </c>
      <c r="JQ135" s="49"/>
      <c r="JV135" s="43">
        <v>0</v>
      </c>
      <c r="JW135" s="49"/>
      <c r="JZ135">
        <v>12</v>
      </c>
      <c r="KA135">
        <v>20</v>
      </c>
      <c r="KB135" s="43">
        <v>-8</v>
      </c>
      <c r="KC135" s="49"/>
      <c r="KG135">
        <v>14</v>
      </c>
      <c r="KH135" s="42">
        <v>-14</v>
      </c>
      <c r="KI135" s="49">
        <v>2.1</v>
      </c>
      <c r="KN135" s="43">
        <v>0</v>
      </c>
      <c r="KO135" s="49"/>
      <c r="KP135" s="50"/>
      <c r="KV135" s="43">
        <v>0</v>
      </c>
      <c r="KW135" s="49"/>
      <c r="KX135" s="48">
        <v>0</v>
      </c>
      <c r="KY135" s="48">
        <v>0</v>
      </c>
      <c r="KZ135" s="48">
        <v>12</v>
      </c>
      <c r="LA135" s="48">
        <v>12</v>
      </c>
      <c r="LB135" s="43">
        <v>0</v>
      </c>
      <c r="LC135" s="49"/>
      <c r="LD135" s="48">
        <v>0</v>
      </c>
      <c r="LE135" s="48">
        <v>0</v>
      </c>
      <c r="LF135" s="48">
        <v>12</v>
      </c>
      <c r="LG135" s="48">
        <v>17</v>
      </c>
      <c r="LH135" s="43">
        <v>-5</v>
      </c>
      <c r="LI135" s="49"/>
      <c r="LJ135" s="50">
        <v>0</v>
      </c>
      <c r="LK135" s="48">
        <v>0</v>
      </c>
      <c r="LL135" s="43">
        <v>0</v>
      </c>
      <c r="LM135" s="49"/>
      <c r="LN135" s="50">
        <v>0</v>
      </c>
      <c r="LO135" s="48">
        <v>0</v>
      </c>
      <c r="LP135" s="48">
        <v>0</v>
      </c>
      <c r="LQ135" s="48">
        <v>0</v>
      </c>
      <c r="LR135" s="48">
        <v>0</v>
      </c>
      <c r="LS135" s="43">
        <v>0</v>
      </c>
      <c r="LT135" s="49"/>
      <c r="LU135" s="50">
        <v>0</v>
      </c>
      <c r="LV135" s="48">
        <v>0</v>
      </c>
      <c r="LW135" s="48">
        <v>0</v>
      </c>
      <c r="LX135" s="48">
        <v>0</v>
      </c>
      <c r="LY135" s="43">
        <v>0</v>
      </c>
      <c r="LZ135" s="49"/>
      <c r="MA135" s="50">
        <v>0</v>
      </c>
      <c r="MB135" s="48">
        <v>0</v>
      </c>
      <c r="MC135" s="43">
        <v>0</v>
      </c>
      <c r="MD135" s="49"/>
      <c r="ME135" s="50">
        <v>0</v>
      </c>
      <c r="MF135" s="48">
        <v>0</v>
      </c>
      <c r="MG135" s="48">
        <v>48</v>
      </c>
      <c r="MH135" s="48">
        <v>53</v>
      </c>
      <c r="MI135" s="43">
        <v>-5</v>
      </c>
      <c r="MJ135" s="49"/>
      <c r="MK135" s="50">
        <v>0</v>
      </c>
      <c r="ML135" s="48">
        <v>0</v>
      </c>
      <c r="MM135" s="43">
        <v>0</v>
      </c>
      <c r="MN135" s="49"/>
      <c r="MO135" s="50">
        <v>0</v>
      </c>
      <c r="MP135" s="48">
        <v>0</v>
      </c>
      <c r="MQ135" s="48">
        <v>12</v>
      </c>
      <c r="MR135" s="48">
        <v>12</v>
      </c>
      <c r="MS135" s="43">
        <v>0</v>
      </c>
      <c r="MT135" s="49"/>
      <c r="MU135" s="48">
        <v>0</v>
      </c>
      <c r="MV135" s="46"/>
      <c r="MW135" s="48">
        <v>0</v>
      </c>
      <c r="MX135" s="48">
        <v>0</v>
      </c>
      <c r="MY135" s="43">
        <v>0</v>
      </c>
      <c r="MZ135" s="49"/>
      <c r="NA135" s="50">
        <v>0</v>
      </c>
      <c r="NB135" s="48">
        <v>0</v>
      </c>
      <c r="NC135" s="48">
        <v>24</v>
      </c>
      <c r="ND135" s="48">
        <v>24</v>
      </c>
      <c r="NE135" s="43">
        <v>0</v>
      </c>
      <c r="NF135" s="49"/>
      <c r="NG135" s="50">
        <v>0</v>
      </c>
      <c r="NH135" s="48">
        <v>0</v>
      </c>
      <c r="NI135" s="48">
        <v>48</v>
      </c>
      <c r="NJ135" s="48">
        <v>48</v>
      </c>
      <c r="NK135" s="43">
        <v>0</v>
      </c>
      <c r="NL135" s="49"/>
      <c r="NM135" s="50">
        <v>0</v>
      </c>
      <c r="NN135" s="48">
        <v>0</v>
      </c>
      <c r="NO135" s="48">
        <v>0</v>
      </c>
      <c r="NP135" s="48">
        <v>0</v>
      </c>
      <c r="NQ135" s="43">
        <v>0</v>
      </c>
      <c r="NR135" s="49"/>
      <c r="NS135" s="50">
        <v>0</v>
      </c>
      <c r="NT135" s="48">
        <v>0</v>
      </c>
      <c r="NU135" s="48">
        <v>0</v>
      </c>
      <c r="NV135" s="48">
        <v>0</v>
      </c>
      <c r="NW135" s="43">
        <v>0</v>
      </c>
      <c r="NX135" s="49"/>
      <c r="NY135" s="50">
        <v>0</v>
      </c>
      <c r="NZ135" s="48">
        <v>0</v>
      </c>
      <c r="OA135" s="48">
        <v>12</v>
      </c>
      <c r="OB135" s="48">
        <v>10</v>
      </c>
      <c r="OC135" s="43">
        <v>2</v>
      </c>
      <c r="OD135" s="49"/>
      <c r="OE135" s="50">
        <v>12</v>
      </c>
      <c r="OF135" s="48">
        <v>12</v>
      </c>
      <c r="OG135" s="43">
        <v>0</v>
      </c>
      <c r="OH135" s="49"/>
      <c r="OI135" s="50">
        <v>0</v>
      </c>
      <c r="OJ135" s="48">
        <v>0</v>
      </c>
      <c r="OK135" s="43">
        <v>0</v>
      </c>
      <c r="OL135" s="49"/>
      <c r="OM135" s="50">
        <v>0</v>
      </c>
      <c r="ON135" s="48">
        <v>0</v>
      </c>
      <c r="OO135" s="48">
        <v>0</v>
      </c>
      <c r="OP135" s="48">
        <v>0</v>
      </c>
      <c r="OQ135" s="43">
        <v>0</v>
      </c>
      <c r="OR135" s="49"/>
      <c r="OS135" s="50">
        <v>0</v>
      </c>
      <c r="OT135" s="48">
        <v>0</v>
      </c>
      <c r="OU135" s="43">
        <v>0</v>
      </c>
      <c r="OV135" s="49"/>
      <c r="OW135" s="50">
        <v>0</v>
      </c>
      <c r="OX135" s="48">
        <v>0</v>
      </c>
      <c r="OY135" s="48">
        <v>12</v>
      </c>
      <c r="OZ135" s="48">
        <v>21</v>
      </c>
      <c r="PA135" s="43">
        <v>-9</v>
      </c>
      <c r="PB135" s="49"/>
      <c r="PC135" s="50">
        <v>0</v>
      </c>
      <c r="PD135" s="48">
        <v>0</v>
      </c>
      <c r="PE135" s="43">
        <v>0</v>
      </c>
      <c r="PF135" s="49"/>
      <c r="PG135" s="50">
        <v>0</v>
      </c>
      <c r="PH135" s="48">
        <v>0</v>
      </c>
      <c r="PI135" s="48">
        <v>0</v>
      </c>
      <c r="PJ135" s="48">
        <v>0</v>
      </c>
      <c r="PK135" s="43">
        <v>0</v>
      </c>
      <c r="PL135" s="49"/>
      <c r="PM135" s="47">
        <v>0</v>
      </c>
      <c r="PN135" s="48">
        <v>0</v>
      </c>
      <c r="PO135" s="48">
        <v>0</v>
      </c>
      <c r="PP135" s="48">
        <v>0</v>
      </c>
      <c r="PQ135" s="43">
        <v>0</v>
      </c>
      <c r="PR135" s="49"/>
      <c r="PS135" s="47">
        <v>12</v>
      </c>
      <c r="PT135" s="43">
        <v>17</v>
      </c>
      <c r="PU135" s="43">
        <v>0</v>
      </c>
      <c r="PV135" s="43">
        <v>0</v>
      </c>
      <c r="PW135" s="43">
        <v>-5</v>
      </c>
      <c r="PX135" s="46"/>
      <c r="PY135" s="47">
        <v>0</v>
      </c>
      <c r="PZ135" s="43">
        <v>0</v>
      </c>
      <c r="QA135" s="43">
        <v>0</v>
      </c>
      <c r="QB135" s="46"/>
      <c r="QC135" s="47">
        <v>0</v>
      </c>
      <c r="QD135" s="43">
        <v>0</v>
      </c>
      <c r="QE135" s="43">
        <v>0</v>
      </c>
      <c r="QF135" s="43">
        <v>0</v>
      </c>
      <c r="QG135" s="43">
        <v>0</v>
      </c>
      <c r="QH135" s="46"/>
      <c r="QI135" s="47">
        <v>0</v>
      </c>
      <c r="QJ135" s="43">
        <v>0</v>
      </c>
      <c r="QK135" s="43">
        <v>0</v>
      </c>
      <c r="QL135" s="43">
        <v>0</v>
      </c>
      <c r="QM135" s="43">
        <v>0</v>
      </c>
      <c r="QN135" s="46"/>
      <c r="QO135" s="47">
        <v>0</v>
      </c>
      <c r="QP135" s="43">
        <v>0</v>
      </c>
      <c r="QQ135" s="43">
        <v>48</v>
      </c>
      <c r="QR135" s="43">
        <v>0</v>
      </c>
      <c r="QS135" s="43">
        <v>48</v>
      </c>
      <c r="QT135" s="46"/>
      <c r="QU135" s="47">
        <v>0</v>
      </c>
      <c r="QV135" s="43">
        <v>0</v>
      </c>
      <c r="QW135" s="43">
        <v>0</v>
      </c>
      <c r="QX135" s="46"/>
      <c r="QY135" s="47">
        <v>0</v>
      </c>
      <c r="QZ135" s="43">
        <v>0</v>
      </c>
      <c r="RA135" s="43">
        <v>0</v>
      </c>
      <c r="RB135" s="43">
        <v>0</v>
      </c>
      <c r="RC135" s="43">
        <v>0</v>
      </c>
      <c r="RD135" s="46"/>
    </row>
    <row r="136" spans="1:472" x14ac:dyDescent="0.25">
      <c r="A136" s="43" t="s">
        <v>424</v>
      </c>
      <c r="B136" s="44">
        <v>0.15</v>
      </c>
      <c r="I136" s="47"/>
      <c r="J136" s="51"/>
      <c r="K136" s="51"/>
      <c r="L136" s="51"/>
      <c r="M136" s="51">
        <f t="shared" si="15"/>
        <v>0</v>
      </c>
      <c r="N136" s="46"/>
      <c r="O136" s="47"/>
      <c r="P136" s="51"/>
      <c r="Q136" s="51"/>
      <c r="R136" s="51"/>
      <c r="S136" s="51">
        <f t="shared" si="16"/>
        <v>0</v>
      </c>
      <c r="T136" s="46"/>
      <c r="U136" s="47"/>
      <c r="V136" s="51"/>
      <c r="W136" s="51"/>
      <c r="X136" s="51"/>
      <c r="Y136" s="51">
        <f t="shared" si="17"/>
        <v>0</v>
      </c>
      <c r="Z136" s="46"/>
      <c r="AA136" s="51"/>
      <c r="AE136" s="43">
        <v>0</v>
      </c>
      <c r="AF136" s="46"/>
      <c r="AG136" s="47"/>
      <c r="AK136" s="43">
        <v>0</v>
      </c>
      <c r="AL136" s="46"/>
      <c r="AQ136" s="43">
        <v>0</v>
      </c>
      <c r="AR136" s="46"/>
      <c r="AW136" s="43">
        <v>0</v>
      </c>
      <c r="AX136" s="46"/>
      <c r="AY136" s="47"/>
      <c r="BC136" s="43">
        <v>0</v>
      </c>
      <c r="BD136" s="46"/>
      <c r="BE136" s="47"/>
      <c r="BI136" s="43">
        <v>0</v>
      </c>
      <c r="BJ136" s="46"/>
      <c r="BP136" s="43">
        <v>0</v>
      </c>
      <c r="BQ136" s="46"/>
      <c r="BT136" s="43">
        <v>0</v>
      </c>
      <c r="BU136" s="46"/>
      <c r="BV136" s="47"/>
      <c r="BZ136" s="43">
        <v>0</v>
      </c>
      <c r="CA136" s="46"/>
      <c r="CF136" s="43">
        <v>0</v>
      </c>
      <c r="CG136" s="46"/>
      <c r="CL136" s="43">
        <v>0</v>
      </c>
      <c r="CM136" s="46"/>
      <c r="CN136" s="47"/>
      <c r="CR136" s="43">
        <v>0</v>
      </c>
      <c r="CS136" s="46"/>
      <c r="CX136" s="43">
        <v>0</v>
      </c>
      <c r="CY136" s="46"/>
      <c r="CZ136" s="47"/>
      <c r="DD136" s="43">
        <v>0</v>
      </c>
      <c r="DE136" s="46"/>
      <c r="DF136" s="47"/>
      <c r="DL136" s="43">
        <v>0</v>
      </c>
      <c r="DM136" s="46"/>
      <c r="DN136" s="47"/>
      <c r="DR136" s="43">
        <v>0</v>
      </c>
      <c r="DS136" s="46"/>
      <c r="DZ136" s="43">
        <v>0</v>
      </c>
      <c r="EA136" s="46"/>
      <c r="EB136" s="47"/>
      <c r="EF136" s="43">
        <v>0</v>
      </c>
      <c r="EG136" s="46"/>
      <c r="EH136" s="47"/>
      <c r="EL136" s="43">
        <v>0</v>
      </c>
      <c r="EM136" s="46"/>
      <c r="EN136" s="47"/>
      <c r="ER136" s="43">
        <v>0</v>
      </c>
      <c r="ES136" s="46"/>
      <c r="EZ136" s="43">
        <v>0</v>
      </c>
      <c r="FA136" s="46"/>
      <c r="FG136" s="43">
        <v>0</v>
      </c>
      <c r="FH136" s="46"/>
      <c r="FI136" s="47"/>
      <c r="FL136" s="43">
        <v>0</v>
      </c>
      <c r="FM136" s="46"/>
      <c r="FN136" s="47"/>
      <c r="FQ136" s="43">
        <v>0</v>
      </c>
      <c r="FR136" s="46"/>
      <c r="FW136" s="43">
        <v>0</v>
      </c>
      <c r="FX136" s="46"/>
      <c r="FY136" s="47"/>
      <c r="GD136" s="43">
        <v>0</v>
      </c>
      <c r="GE136" s="46"/>
      <c r="GJ136" s="43">
        <v>0</v>
      </c>
      <c r="GK136" s="46"/>
      <c r="GL136" s="47"/>
      <c r="GP136" s="43">
        <v>0</v>
      </c>
      <c r="GQ136" s="46"/>
      <c r="GV136" s="43">
        <v>0</v>
      </c>
      <c r="GW136" s="46"/>
      <c r="GX136" s="47"/>
      <c r="GZ136" s="43">
        <v>0</v>
      </c>
      <c r="HA136" s="46"/>
      <c r="HB136" s="47"/>
      <c r="HF136" s="43">
        <v>0</v>
      </c>
      <c r="HG136" s="46"/>
      <c r="HH136" s="47"/>
      <c r="HJ136" s="43">
        <v>0</v>
      </c>
      <c r="HK136" s="46"/>
      <c r="HL136" s="47"/>
      <c r="HP136" s="43">
        <v>0</v>
      </c>
      <c r="HQ136" s="46"/>
      <c r="HX136" s="43">
        <v>0</v>
      </c>
      <c r="HY136" s="46"/>
      <c r="HZ136" s="47"/>
      <c r="ID136" s="43">
        <v>0</v>
      </c>
      <c r="IE136" s="46"/>
      <c r="IJ136" s="43">
        <v>0</v>
      </c>
      <c r="IK136" s="49"/>
      <c r="IP136" s="43">
        <v>0</v>
      </c>
      <c r="IQ136" s="49"/>
      <c r="IV136" s="43">
        <v>0</v>
      </c>
      <c r="IW136" s="49"/>
      <c r="JB136" s="43">
        <v>0</v>
      </c>
      <c r="JC136" s="46"/>
      <c r="JF136" s="43">
        <v>0</v>
      </c>
      <c r="JG136" s="49"/>
      <c r="JL136" s="43">
        <v>0</v>
      </c>
      <c r="JM136" s="46"/>
      <c r="JN136" s="50"/>
      <c r="JP136" s="43">
        <v>0</v>
      </c>
      <c r="JQ136" s="49"/>
      <c r="JV136" s="43">
        <v>0</v>
      </c>
      <c r="JW136" s="49"/>
      <c r="KB136" s="43">
        <v>0</v>
      </c>
      <c r="KC136" s="49"/>
      <c r="KF136">
        <v>12</v>
      </c>
      <c r="KG136">
        <v>12</v>
      </c>
      <c r="KH136" s="43">
        <v>0</v>
      </c>
      <c r="KI136" s="49"/>
      <c r="KN136" s="43">
        <v>0</v>
      </c>
      <c r="KO136" s="49"/>
      <c r="KP136" s="50"/>
      <c r="KV136" s="43">
        <v>0</v>
      </c>
      <c r="KW136" s="49"/>
      <c r="KX136" s="48">
        <v>0</v>
      </c>
      <c r="KY136" s="48">
        <v>0</v>
      </c>
      <c r="KZ136" s="48">
        <v>12</v>
      </c>
      <c r="LA136" s="48">
        <v>6</v>
      </c>
      <c r="LB136" s="43">
        <v>6</v>
      </c>
      <c r="LC136" s="49"/>
      <c r="LD136" s="48">
        <v>0</v>
      </c>
      <c r="LE136" s="48">
        <v>0</v>
      </c>
      <c r="LF136" s="48">
        <v>0</v>
      </c>
      <c r="LG136" s="48">
        <v>0</v>
      </c>
      <c r="LH136" s="43">
        <v>0</v>
      </c>
      <c r="LI136" s="49"/>
      <c r="LJ136" s="50">
        <v>12</v>
      </c>
      <c r="LK136" s="48">
        <v>12</v>
      </c>
      <c r="LL136" s="43">
        <v>0</v>
      </c>
      <c r="LM136" s="49"/>
      <c r="LN136" s="50">
        <v>0</v>
      </c>
      <c r="LO136" s="48">
        <v>0</v>
      </c>
      <c r="LP136" s="48">
        <v>12</v>
      </c>
      <c r="LQ136" s="48">
        <v>0</v>
      </c>
      <c r="LR136" s="48">
        <v>10</v>
      </c>
      <c r="LS136" s="43">
        <v>2</v>
      </c>
      <c r="LT136" s="49"/>
      <c r="LU136" s="50">
        <v>0</v>
      </c>
      <c r="LV136" s="48">
        <v>0</v>
      </c>
      <c r="LW136" s="48">
        <v>0</v>
      </c>
      <c r="LX136" s="48">
        <v>0</v>
      </c>
      <c r="LY136" s="43">
        <v>0</v>
      </c>
      <c r="LZ136" s="49"/>
      <c r="MA136" s="50">
        <v>0</v>
      </c>
      <c r="MB136" s="48">
        <v>0</v>
      </c>
      <c r="MC136" s="43">
        <v>0</v>
      </c>
      <c r="MD136" s="49"/>
      <c r="ME136" s="50">
        <v>0</v>
      </c>
      <c r="MF136" s="48">
        <v>0</v>
      </c>
      <c r="MG136" s="48">
        <v>36</v>
      </c>
      <c r="MH136" s="48">
        <v>39</v>
      </c>
      <c r="MI136" s="43">
        <v>-3</v>
      </c>
      <c r="MJ136" s="49"/>
      <c r="MK136" s="50">
        <v>0</v>
      </c>
      <c r="ML136" s="48">
        <v>0</v>
      </c>
      <c r="MM136" s="43">
        <v>0</v>
      </c>
      <c r="MN136" s="49"/>
      <c r="MO136" s="50">
        <v>0</v>
      </c>
      <c r="MP136" s="48">
        <v>0</v>
      </c>
      <c r="MQ136" s="48">
        <v>24</v>
      </c>
      <c r="MR136" s="48">
        <v>25</v>
      </c>
      <c r="MS136" s="43">
        <v>-1</v>
      </c>
      <c r="MT136" s="49"/>
      <c r="MU136" s="48">
        <v>0</v>
      </c>
      <c r="MV136" s="46"/>
      <c r="MW136" s="48">
        <v>12</v>
      </c>
      <c r="MX136" s="48">
        <v>12</v>
      </c>
      <c r="MY136" s="43">
        <v>0</v>
      </c>
      <c r="MZ136" s="49"/>
      <c r="NA136" s="50">
        <v>0</v>
      </c>
      <c r="NB136" s="48">
        <v>0</v>
      </c>
      <c r="NC136" s="48">
        <v>24</v>
      </c>
      <c r="ND136" s="48">
        <v>24</v>
      </c>
      <c r="NE136" s="43">
        <v>0</v>
      </c>
      <c r="NF136" s="49"/>
      <c r="NG136" s="50">
        <v>0</v>
      </c>
      <c r="NH136" s="48">
        <v>0</v>
      </c>
      <c r="NI136" s="48">
        <v>12</v>
      </c>
      <c r="NJ136" s="48">
        <v>12</v>
      </c>
      <c r="NK136" s="43">
        <v>0</v>
      </c>
      <c r="NL136" s="49"/>
      <c r="NM136" s="50">
        <v>0</v>
      </c>
      <c r="NN136" s="48">
        <v>0</v>
      </c>
      <c r="NO136" s="48">
        <v>12</v>
      </c>
      <c r="NP136" s="48">
        <v>12</v>
      </c>
      <c r="NQ136" s="43">
        <v>0</v>
      </c>
      <c r="NR136" s="49"/>
      <c r="NS136" s="50">
        <v>0</v>
      </c>
      <c r="NT136" s="48">
        <v>0</v>
      </c>
      <c r="NU136" s="48">
        <v>0</v>
      </c>
      <c r="NV136" s="48">
        <v>0</v>
      </c>
      <c r="NW136" s="43">
        <v>0</v>
      </c>
      <c r="NX136" s="49"/>
      <c r="NY136" s="50">
        <v>0</v>
      </c>
      <c r="NZ136" s="48">
        <v>0</v>
      </c>
      <c r="OA136" s="48">
        <v>0</v>
      </c>
      <c r="OB136" s="48">
        <v>0</v>
      </c>
      <c r="OC136" s="43">
        <v>0</v>
      </c>
      <c r="OD136" s="49"/>
      <c r="OE136" s="50">
        <v>0</v>
      </c>
      <c r="OF136" s="48">
        <v>0</v>
      </c>
      <c r="OG136" s="43">
        <v>0</v>
      </c>
      <c r="OH136" s="49"/>
      <c r="OI136" s="50">
        <v>0</v>
      </c>
      <c r="OJ136" s="48">
        <v>0</v>
      </c>
      <c r="OK136" s="43">
        <v>0</v>
      </c>
      <c r="OL136" s="49"/>
      <c r="OM136" s="50">
        <v>0</v>
      </c>
      <c r="ON136" s="48">
        <v>0</v>
      </c>
      <c r="OO136" s="48">
        <v>0</v>
      </c>
      <c r="OP136" s="48">
        <v>0</v>
      </c>
      <c r="OQ136" s="43">
        <v>0</v>
      </c>
      <c r="OR136" s="49"/>
      <c r="OS136" s="50">
        <v>0</v>
      </c>
      <c r="OT136" s="48">
        <v>0</v>
      </c>
      <c r="OU136" s="43">
        <v>0</v>
      </c>
      <c r="OV136" s="49"/>
      <c r="OW136" s="50">
        <v>0</v>
      </c>
      <c r="OX136" s="48">
        <v>0</v>
      </c>
      <c r="OY136" s="48">
        <v>24</v>
      </c>
      <c r="OZ136" s="48">
        <v>28</v>
      </c>
      <c r="PA136" s="43">
        <v>-4</v>
      </c>
      <c r="PB136" s="49"/>
      <c r="PC136" s="50">
        <v>0</v>
      </c>
      <c r="PD136" s="48">
        <v>0</v>
      </c>
      <c r="PE136" s="43">
        <v>0</v>
      </c>
      <c r="PF136" s="49"/>
      <c r="PG136" s="50">
        <v>0</v>
      </c>
      <c r="PH136" s="48">
        <v>0</v>
      </c>
      <c r="PI136" s="48">
        <v>0</v>
      </c>
      <c r="PJ136" s="48">
        <v>0</v>
      </c>
      <c r="PK136" s="43">
        <v>0</v>
      </c>
      <c r="PL136" s="49"/>
      <c r="PM136" s="47">
        <v>0</v>
      </c>
      <c r="PN136" s="48">
        <v>0</v>
      </c>
      <c r="PO136" s="48">
        <v>0</v>
      </c>
      <c r="PP136" s="48">
        <v>0</v>
      </c>
      <c r="PQ136" s="43">
        <v>0</v>
      </c>
      <c r="PR136" s="49"/>
      <c r="PS136" s="47">
        <v>0</v>
      </c>
      <c r="PT136" s="43">
        <v>0</v>
      </c>
      <c r="PU136" s="43">
        <v>0</v>
      </c>
      <c r="PV136" s="43">
        <v>0</v>
      </c>
      <c r="PW136" s="43">
        <v>0</v>
      </c>
      <c r="PX136" s="46"/>
      <c r="PY136" s="47">
        <v>12</v>
      </c>
      <c r="PZ136" s="43">
        <v>10</v>
      </c>
      <c r="QA136" s="43">
        <v>2</v>
      </c>
      <c r="QB136" s="46"/>
      <c r="QC136" s="47">
        <v>0</v>
      </c>
      <c r="QD136" s="43">
        <v>0</v>
      </c>
      <c r="QE136" s="43">
        <v>0</v>
      </c>
      <c r="QF136" s="43">
        <v>0</v>
      </c>
      <c r="QG136" s="43">
        <v>0</v>
      </c>
      <c r="QH136" s="46"/>
      <c r="QI136" s="47">
        <v>0</v>
      </c>
      <c r="QJ136" s="43">
        <v>0</v>
      </c>
      <c r="QK136" s="43">
        <v>0</v>
      </c>
      <c r="QL136" s="43">
        <v>0</v>
      </c>
      <c r="QM136" s="43">
        <v>0</v>
      </c>
      <c r="QN136" s="46"/>
      <c r="QO136" s="47">
        <v>0</v>
      </c>
      <c r="QP136" s="43">
        <v>0</v>
      </c>
      <c r="QQ136" s="43">
        <v>48</v>
      </c>
      <c r="QR136" s="43">
        <v>0</v>
      </c>
      <c r="QS136" s="43">
        <v>48</v>
      </c>
      <c r="QT136" s="46"/>
      <c r="QU136" s="47">
        <v>0</v>
      </c>
      <c r="QV136" s="43">
        <v>0</v>
      </c>
      <c r="QW136" s="43">
        <v>0</v>
      </c>
      <c r="QX136" s="46"/>
      <c r="QY136" s="47">
        <v>0</v>
      </c>
      <c r="QZ136" s="43">
        <v>0</v>
      </c>
      <c r="RA136" s="43">
        <v>0</v>
      </c>
      <c r="RB136" s="43">
        <v>0</v>
      </c>
      <c r="RC136" s="43">
        <v>0</v>
      </c>
      <c r="RD136" s="46"/>
    </row>
    <row r="137" spans="1:472" x14ac:dyDescent="0.25">
      <c r="A137" s="43" t="s">
        <v>425</v>
      </c>
      <c r="B137" s="44">
        <v>0.15</v>
      </c>
      <c r="I137" s="47"/>
      <c r="J137" s="51"/>
      <c r="K137" s="51"/>
      <c r="L137" s="51"/>
      <c r="M137" s="51">
        <f t="shared" si="15"/>
        <v>0</v>
      </c>
      <c r="N137" s="46"/>
      <c r="O137" s="47"/>
      <c r="P137" s="51"/>
      <c r="Q137" s="51"/>
      <c r="R137" s="51"/>
      <c r="S137" s="51">
        <f t="shared" si="16"/>
        <v>0</v>
      </c>
      <c r="T137" s="46"/>
      <c r="U137" s="47"/>
      <c r="V137" s="51"/>
      <c r="W137" s="51"/>
      <c r="X137" s="51"/>
      <c r="Y137" s="51">
        <f t="shared" si="17"/>
        <v>0</v>
      </c>
      <c r="Z137" s="46"/>
      <c r="AA137" s="51"/>
      <c r="AE137" s="43">
        <v>0</v>
      </c>
      <c r="AF137" s="46"/>
      <c r="AG137" s="47"/>
      <c r="AK137" s="43">
        <v>0</v>
      </c>
      <c r="AL137" s="46"/>
      <c r="AQ137" s="43">
        <v>0</v>
      </c>
      <c r="AR137" s="46"/>
      <c r="AW137" s="43">
        <v>0</v>
      </c>
      <c r="AX137" s="46"/>
      <c r="AY137" s="47"/>
      <c r="BC137" s="43">
        <v>0</v>
      </c>
      <c r="BD137" s="46"/>
      <c r="BE137" s="47"/>
      <c r="BI137" s="43">
        <v>0</v>
      </c>
      <c r="BJ137" s="46"/>
      <c r="BP137" s="43">
        <v>0</v>
      </c>
      <c r="BQ137" s="46"/>
      <c r="BT137" s="43">
        <v>0</v>
      </c>
      <c r="BU137" s="46"/>
      <c r="BV137" s="47"/>
      <c r="BZ137" s="43">
        <v>0</v>
      </c>
      <c r="CA137" s="46"/>
      <c r="CF137" s="43">
        <v>0</v>
      </c>
      <c r="CG137" s="46"/>
      <c r="CL137" s="43">
        <v>0</v>
      </c>
      <c r="CM137" s="46"/>
      <c r="CN137" s="47"/>
      <c r="CR137" s="43">
        <v>0</v>
      </c>
      <c r="CS137" s="46"/>
      <c r="CX137" s="43">
        <v>0</v>
      </c>
      <c r="CY137" s="46"/>
      <c r="CZ137" s="47"/>
      <c r="DD137" s="43">
        <v>0</v>
      </c>
      <c r="DE137" s="46"/>
      <c r="DF137" s="47"/>
      <c r="DL137" s="43">
        <v>0</v>
      </c>
      <c r="DM137" s="46"/>
      <c r="DN137" s="47"/>
      <c r="DR137" s="43">
        <v>0</v>
      </c>
      <c r="DS137" s="46"/>
      <c r="DZ137" s="43">
        <v>0</v>
      </c>
      <c r="EA137" s="46"/>
      <c r="EB137" s="47"/>
      <c r="EF137" s="43">
        <v>0</v>
      </c>
      <c r="EG137" s="46"/>
      <c r="EH137" s="47"/>
      <c r="EL137" s="43">
        <v>0</v>
      </c>
      <c r="EM137" s="46"/>
      <c r="EN137" s="47"/>
      <c r="ER137" s="43">
        <v>0</v>
      </c>
      <c r="ES137" s="46"/>
      <c r="EZ137" s="43">
        <v>0</v>
      </c>
      <c r="FA137" s="46"/>
      <c r="FG137" s="43">
        <v>0</v>
      </c>
      <c r="FH137" s="46"/>
      <c r="FI137" s="47"/>
      <c r="FL137" s="43">
        <v>0</v>
      </c>
      <c r="FM137" s="46"/>
      <c r="FN137" s="47"/>
      <c r="FQ137" s="43">
        <v>0</v>
      </c>
      <c r="FR137" s="46"/>
      <c r="FW137" s="43">
        <v>0</v>
      </c>
      <c r="FX137" s="46"/>
      <c r="FY137" s="47"/>
      <c r="GD137" s="43">
        <v>0</v>
      </c>
      <c r="GE137" s="46"/>
      <c r="GJ137" s="43">
        <v>0</v>
      </c>
      <c r="GK137" s="46"/>
      <c r="GL137" s="47"/>
      <c r="GP137" s="43">
        <v>0</v>
      </c>
      <c r="GQ137" s="46"/>
      <c r="GV137" s="43">
        <v>0</v>
      </c>
      <c r="GW137" s="46"/>
      <c r="GX137" s="47"/>
      <c r="GZ137" s="43">
        <v>0</v>
      </c>
      <c r="HA137" s="46"/>
      <c r="HB137" s="47"/>
      <c r="HF137" s="43">
        <v>0</v>
      </c>
      <c r="HG137" s="46"/>
      <c r="HH137" s="47"/>
      <c r="HJ137" s="43">
        <v>0</v>
      </c>
      <c r="HK137" s="46"/>
      <c r="HL137" s="47"/>
      <c r="HP137" s="43">
        <v>0</v>
      </c>
      <c r="HQ137" s="46"/>
      <c r="HX137" s="43">
        <v>0</v>
      </c>
      <c r="HY137" s="46"/>
      <c r="HZ137" s="47"/>
      <c r="ID137" s="43">
        <v>0</v>
      </c>
      <c r="IE137" s="46"/>
      <c r="IJ137" s="43">
        <v>0</v>
      </c>
      <c r="IK137" s="49"/>
      <c r="IP137" s="43">
        <v>0</v>
      </c>
      <c r="IQ137" s="49"/>
      <c r="IV137" s="43">
        <v>0</v>
      </c>
      <c r="IW137" s="49"/>
      <c r="JB137" s="43">
        <v>0</v>
      </c>
      <c r="JC137" s="46"/>
      <c r="JF137" s="43">
        <v>0</v>
      </c>
      <c r="JG137" s="49"/>
      <c r="JL137" s="43">
        <v>0</v>
      </c>
      <c r="JM137" s="46"/>
      <c r="JN137" s="50"/>
      <c r="JP137" s="43">
        <v>0</v>
      </c>
      <c r="JQ137" s="49"/>
      <c r="JV137" s="43">
        <v>0</v>
      </c>
      <c r="JW137" s="49"/>
      <c r="KB137" s="43">
        <v>0</v>
      </c>
      <c r="KC137" s="49"/>
      <c r="KH137" s="43">
        <v>0</v>
      </c>
      <c r="KI137" s="49"/>
      <c r="KL137">
        <v>24</v>
      </c>
      <c r="KM137">
        <v>27</v>
      </c>
      <c r="KN137" s="43">
        <v>-3</v>
      </c>
      <c r="KO137" s="49"/>
      <c r="KP137" s="50"/>
      <c r="KV137" s="43">
        <v>0</v>
      </c>
      <c r="KW137" s="49"/>
      <c r="KX137" s="48">
        <v>0</v>
      </c>
      <c r="KY137" s="48">
        <v>0</v>
      </c>
      <c r="KZ137" s="48">
        <v>12</v>
      </c>
      <c r="LA137" s="48">
        <v>19</v>
      </c>
      <c r="LB137" s="43">
        <v>-7</v>
      </c>
      <c r="LC137" s="49"/>
      <c r="LD137" s="48">
        <v>0</v>
      </c>
      <c r="LE137" s="48">
        <v>0</v>
      </c>
      <c r="LF137" s="48">
        <v>0</v>
      </c>
      <c r="LG137" s="48">
        <v>0</v>
      </c>
      <c r="LH137" s="43">
        <v>0</v>
      </c>
      <c r="LI137" s="49"/>
      <c r="LJ137" s="50">
        <v>12</v>
      </c>
      <c r="LK137" s="48">
        <v>13</v>
      </c>
      <c r="LL137" s="43">
        <v>-1</v>
      </c>
      <c r="LM137" s="49"/>
      <c r="LN137" s="50">
        <v>0</v>
      </c>
      <c r="LO137" s="48">
        <v>0</v>
      </c>
      <c r="LP137" s="48">
        <v>0</v>
      </c>
      <c r="LQ137" s="48">
        <v>0</v>
      </c>
      <c r="LR137" s="48">
        <v>0</v>
      </c>
      <c r="LS137" s="43">
        <v>0</v>
      </c>
      <c r="LT137" s="49"/>
      <c r="LU137" s="50">
        <v>0</v>
      </c>
      <c r="LV137" s="48">
        <v>0</v>
      </c>
      <c r="LW137" s="48">
        <v>0</v>
      </c>
      <c r="LX137" s="48">
        <v>0</v>
      </c>
      <c r="LY137" s="43">
        <v>0</v>
      </c>
      <c r="LZ137" s="49"/>
      <c r="MA137" s="50">
        <v>0</v>
      </c>
      <c r="MB137" s="48">
        <v>0</v>
      </c>
      <c r="MC137" s="43">
        <v>0</v>
      </c>
      <c r="MD137" s="49"/>
      <c r="ME137" s="50">
        <v>0</v>
      </c>
      <c r="MF137" s="48">
        <v>0</v>
      </c>
      <c r="MG137" s="48">
        <v>60</v>
      </c>
      <c r="MH137" s="48">
        <v>64</v>
      </c>
      <c r="MI137" s="43">
        <v>-4</v>
      </c>
      <c r="MJ137" s="49"/>
      <c r="MK137" s="50">
        <v>0</v>
      </c>
      <c r="ML137" s="48">
        <v>0</v>
      </c>
      <c r="MM137" s="43">
        <v>0</v>
      </c>
      <c r="MN137" s="49"/>
      <c r="MO137" s="50">
        <v>0</v>
      </c>
      <c r="MP137" s="48">
        <v>0</v>
      </c>
      <c r="MQ137" s="48">
        <v>0</v>
      </c>
      <c r="MR137" s="48">
        <v>0</v>
      </c>
      <c r="MS137" s="43">
        <v>0</v>
      </c>
      <c r="MT137" s="49"/>
      <c r="MU137" s="48">
        <v>0</v>
      </c>
      <c r="MV137" s="46"/>
      <c r="MW137" s="48">
        <v>12</v>
      </c>
      <c r="MX137" s="48">
        <v>12</v>
      </c>
      <c r="MY137" s="43">
        <v>0</v>
      </c>
      <c r="MZ137" s="49"/>
      <c r="NA137" s="50">
        <v>0</v>
      </c>
      <c r="NB137" s="48">
        <v>0</v>
      </c>
      <c r="NC137" s="48">
        <v>24</v>
      </c>
      <c r="ND137" s="48">
        <v>24</v>
      </c>
      <c r="NE137" s="43">
        <v>0</v>
      </c>
      <c r="NF137" s="49"/>
      <c r="NG137" s="50">
        <v>0</v>
      </c>
      <c r="NH137" s="48">
        <v>0</v>
      </c>
      <c r="NI137" s="48">
        <v>12</v>
      </c>
      <c r="NJ137" s="48">
        <v>12</v>
      </c>
      <c r="NK137" s="43">
        <v>0</v>
      </c>
      <c r="NL137" s="49"/>
      <c r="NM137" s="50">
        <v>0</v>
      </c>
      <c r="NN137" s="48">
        <v>0</v>
      </c>
      <c r="NO137" s="48">
        <v>0</v>
      </c>
      <c r="NP137" s="48">
        <v>0</v>
      </c>
      <c r="NQ137" s="43">
        <v>0</v>
      </c>
      <c r="NR137" s="49"/>
      <c r="NS137" s="50">
        <v>0</v>
      </c>
      <c r="NT137" s="48">
        <v>0</v>
      </c>
      <c r="NU137" s="48">
        <v>0</v>
      </c>
      <c r="NV137" s="48">
        <v>0</v>
      </c>
      <c r="NW137" s="43">
        <v>0</v>
      </c>
      <c r="NX137" s="49"/>
      <c r="NY137" s="50">
        <v>0</v>
      </c>
      <c r="NZ137" s="48">
        <v>0</v>
      </c>
      <c r="OA137" s="48">
        <v>0</v>
      </c>
      <c r="OB137" s="48">
        <v>0</v>
      </c>
      <c r="OC137" s="43">
        <v>0</v>
      </c>
      <c r="OD137" s="49"/>
      <c r="OE137" s="50">
        <v>0</v>
      </c>
      <c r="OF137" s="48">
        <v>0</v>
      </c>
      <c r="OG137" s="43">
        <v>0</v>
      </c>
      <c r="OH137" s="49"/>
      <c r="OI137" s="50">
        <v>0</v>
      </c>
      <c r="OJ137" s="48">
        <v>0</v>
      </c>
      <c r="OK137" s="43">
        <v>0</v>
      </c>
      <c r="OL137" s="49"/>
      <c r="OM137" s="50">
        <v>0</v>
      </c>
      <c r="ON137" s="48">
        <v>0</v>
      </c>
      <c r="OO137" s="48">
        <v>0</v>
      </c>
      <c r="OP137" s="48">
        <v>0</v>
      </c>
      <c r="OQ137" s="43">
        <v>0</v>
      </c>
      <c r="OR137" s="49"/>
      <c r="OS137" s="50">
        <v>0</v>
      </c>
      <c r="OT137" s="48">
        <v>0</v>
      </c>
      <c r="OU137" s="43">
        <v>0</v>
      </c>
      <c r="OV137" s="49"/>
      <c r="OW137" s="50">
        <v>0</v>
      </c>
      <c r="OX137" s="48">
        <v>0</v>
      </c>
      <c r="OY137" s="48">
        <v>12</v>
      </c>
      <c r="OZ137" s="48">
        <v>20</v>
      </c>
      <c r="PA137" s="43">
        <v>-8</v>
      </c>
      <c r="PB137" s="49"/>
      <c r="PC137" s="50">
        <v>0</v>
      </c>
      <c r="PD137" s="48">
        <v>0</v>
      </c>
      <c r="PE137" s="43">
        <v>0</v>
      </c>
      <c r="PF137" s="49"/>
      <c r="PG137" s="50">
        <v>0</v>
      </c>
      <c r="PH137" s="48">
        <v>0</v>
      </c>
      <c r="PI137" s="48">
        <v>0</v>
      </c>
      <c r="PJ137" s="48">
        <v>0</v>
      </c>
      <c r="PK137" s="43">
        <v>0</v>
      </c>
      <c r="PL137" s="49"/>
      <c r="PM137" s="47">
        <v>0</v>
      </c>
      <c r="PN137" s="48">
        <v>0</v>
      </c>
      <c r="PO137" s="48">
        <v>0</v>
      </c>
      <c r="PP137" s="48">
        <v>0</v>
      </c>
      <c r="PQ137" s="43">
        <v>0</v>
      </c>
      <c r="PR137" s="49"/>
      <c r="PS137" s="47">
        <v>0</v>
      </c>
      <c r="PT137" s="43">
        <v>0</v>
      </c>
      <c r="PU137" s="43">
        <v>0</v>
      </c>
      <c r="PV137" s="43">
        <v>0</v>
      </c>
      <c r="PW137" s="43">
        <v>0</v>
      </c>
      <c r="PX137" s="46"/>
      <c r="PY137" s="47">
        <v>0</v>
      </c>
      <c r="PZ137" s="43">
        <v>0</v>
      </c>
      <c r="QA137" s="43">
        <v>0</v>
      </c>
      <c r="QB137" s="46"/>
      <c r="QC137" s="47">
        <v>0</v>
      </c>
      <c r="QD137" s="43">
        <v>0</v>
      </c>
      <c r="QE137" s="43">
        <v>0</v>
      </c>
      <c r="QF137" s="43">
        <v>0</v>
      </c>
      <c r="QG137" s="43">
        <v>0</v>
      </c>
      <c r="QH137" s="46"/>
      <c r="QI137" s="47">
        <v>0</v>
      </c>
      <c r="QJ137" s="43">
        <v>0</v>
      </c>
      <c r="QK137" s="43">
        <v>0</v>
      </c>
      <c r="QL137" s="43">
        <v>0</v>
      </c>
      <c r="QM137" s="43">
        <v>0</v>
      </c>
      <c r="QN137" s="46"/>
      <c r="QO137" s="47">
        <v>0</v>
      </c>
      <c r="QP137" s="43">
        <v>0</v>
      </c>
      <c r="QQ137" s="43">
        <v>48</v>
      </c>
      <c r="QR137" s="43">
        <v>0</v>
      </c>
      <c r="QS137" s="43">
        <v>48</v>
      </c>
      <c r="QT137" s="46"/>
      <c r="QU137" s="47">
        <v>0</v>
      </c>
      <c r="QV137" s="43">
        <v>0</v>
      </c>
      <c r="QW137" s="43">
        <v>0</v>
      </c>
      <c r="QX137" s="46"/>
      <c r="QY137" s="47">
        <v>0</v>
      </c>
      <c r="QZ137" s="43">
        <v>0</v>
      </c>
      <c r="RA137" s="43">
        <v>0</v>
      </c>
      <c r="RB137" s="43">
        <v>0</v>
      </c>
      <c r="RC137" s="43">
        <v>0</v>
      </c>
      <c r="RD137" s="46"/>
    </row>
    <row r="138" spans="1:472" x14ac:dyDescent="0.25">
      <c r="A138" s="43" t="s">
        <v>426</v>
      </c>
      <c r="B138" s="44">
        <v>1</v>
      </c>
      <c r="E138">
        <v>500</v>
      </c>
      <c r="F138">
        <v>365</v>
      </c>
      <c r="I138" s="45">
        <v>161</v>
      </c>
      <c r="J138" s="52">
        <v>160</v>
      </c>
      <c r="K138" s="52">
        <v>110</v>
      </c>
      <c r="L138" s="52">
        <v>107</v>
      </c>
      <c r="M138" s="51">
        <f t="shared" si="15"/>
        <v>4</v>
      </c>
      <c r="N138" s="46"/>
      <c r="O138" s="45">
        <v>160</v>
      </c>
      <c r="P138" s="52">
        <v>160</v>
      </c>
      <c r="Q138" s="52">
        <v>110</v>
      </c>
      <c r="R138" s="52">
        <v>106</v>
      </c>
      <c r="S138" s="51">
        <f t="shared" si="16"/>
        <v>4</v>
      </c>
      <c r="T138" s="46"/>
      <c r="U138" s="45">
        <v>410</v>
      </c>
      <c r="V138" s="52">
        <v>400</v>
      </c>
      <c r="W138" s="52">
        <v>411</v>
      </c>
      <c r="X138" s="52">
        <v>422</v>
      </c>
      <c r="Y138" s="51">
        <f t="shared" si="17"/>
        <v>-1</v>
      </c>
      <c r="Z138" s="46"/>
      <c r="AA138" s="52">
        <v>250</v>
      </c>
      <c r="AB138">
        <v>250</v>
      </c>
      <c r="AC138">
        <v>187</v>
      </c>
      <c r="AD138">
        <v>188</v>
      </c>
      <c r="AE138" s="43">
        <v>-1</v>
      </c>
      <c r="AF138" s="46"/>
      <c r="AG138" s="45">
        <v>283</v>
      </c>
      <c r="AH138">
        <v>280</v>
      </c>
      <c r="AI138">
        <v>336</v>
      </c>
      <c r="AJ138">
        <v>326</v>
      </c>
      <c r="AK138" s="43">
        <v>13</v>
      </c>
      <c r="AL138" s="46"/>
      <c r="AM138">
        <v>320</v>
      </c>
      <c r="AN138">
        <v>320</v>
      </c>
      <c r="AO138">
        <v>320</v>
      </c>
      <c r="AP138">
        <v>322</v>
      </c>
      <c r="AQ138" s="43">
        <v>-2</v>
      </c>
      <c r="AR138" s="46"/>
      <c r="AS138">
        <v>305</v>
      </c>
      <c r="AT138">
        <v>300</v>
      </c>
      <c r="AU138">
        <v>298</v>
      </c>
      <c r="AV138">
        <v>306</v>
      </c>
      <c r="AW138" s="43">
        <v>-3</v>
      </c>
      <c r="AX138" s="46"/>
      <c r="AY138" s="45">
        <v>205</v>
      </c>
      <c r="AZ138">
        <v>200</v>
      </c>
      <c r="BA138">
        <v>259</v>
      </c>
      <c r="BB138">
        <v>261</v>
      </c>
      <c r="BC138" s="43">
        <v>3</v>
      </c>
      <c r="BD138" s="46"/>
      <c r="BE138" s="45">
        <v>89</v>
      </c>
      <c r="BF138">
        <v>90</v>
      </c>
      <c r="BG138">
        <v>101</v>
      </c>
      <c r="BH138">
        <v>104</v>
      </c>
      <c r="BI138" s="43">
        <v>-4</v>
      </c>
      <c r="BJ138" s="46"/>
      <c r="BK138">
        <v>451</v>
      </c>
      <c r="BL138">
        <v>450</v>
      </c>
      <c r="BN138">
        <v>533</v>
      </c>
      <c r="BO138">
        <v>534</v>
      </c>
      <c r="BP138" s="43">
        <v>0</v>
      </c>
      <c r="BQ138" s="46"/>
      <c r="BR138">
        <v>200</v>
      </c>
      <c r="BS138">
        <v>200</v>
      </c>
      <c r="BT138" s="43">
        <v>0</v>
      </c>
      <c r="BU138" s="46"/>
      <c r="BV138" s="45">
        <v>393</v>
      </c>
      <c r="BW138">
        <v>390</v>
      </c>
      <c r="BX138">
        <v>368</v>
      </c>
      <c r="BY138">
        <v>368</v>
      </c>
      <c r="BZ138" s="43">
        <v>3</v>
      </c>
      <c r="CA138" s="46"/>
      <c r="CB138">
        <v>100</v>
      </c>
      <c r="CC138">
        <v>100</v>
      </c>
      <c r="CD138">
        <v>76</v>
      </c>
      <c r="CE138">
        <v>80</v>
      </c>
      <c r="CF138" s="43">
        <v>-4</v>
      </c>
      <c r="CG138" s="46"/>
      <c r="CH138">
        <v>250</v>
      </c>
      <c r="CI138">
        <v>250</v>
      </c>
      <c r="CJ138">
        <v>259</v>
      </c>
      <c r="CK138">
        <v>265</v>
      </c>
      <c r="CL138" s="43">
        <v>-6</v>
      </c>
      <c r="CM138" s="46"/>
      <c r="CN138" s="47"/>
      <c r="CP138">
        <v>252</v>
      </c>
      <c r="CQ138">
        <v>253</v>
      </c>
      <c r="CR138" s="43">
        <v>-1</v>
      </c>
      <c r="CS138" s="46"/>
      <c r="CT138">
        <v>108</v>
      </c>
      <c r="CU138">
        <v>110</v>
      </c>
      <c r="CV138">
        <v>193</v>
      </c>
      <c r="CW138">
        <v>194</v>
      </c>
      <c r="CX138" s="43">
        <v>-3</v>
      </c>
      <c r="CY138" s="46"/>
      <c r="CZ138" s="47"/>
      <c r="DB138">
        <v>431</v>
      </c>
      <c r="DC138">
        <v>432</v>
      </c>
      <c r="DD138" s="43">
        <v>-1</v>
      </c>
      <c r="DE138" s="46"/>
      <c r="DF138" s="47"/>
      <c r="DJ138">
        <v>231</v>
      </c>
      <c r="DK138">
        <v>230</v>
      </c>
      <c r="DL138" s="43">
        <v>1</v>
      </c>
      <c r="DM138" s="46"/>
      <c r="DN138" s="45">
        <v>145</v>
      </c>
      <c r="DO138">
        <v>140</v>
      </c>
      <c r="DP138">
        <v>102</v>
      </c>
      <c r="DQ138">
        <v>100</v>
      </c>
      <c r="DR138" s="43">
        <v>7</v>
      </c>
      <c r="DS138" s="46"/>
      <c r="DT138">
        <v>202</v>
      </c>
      <c r="DU138">
        <v>200</v>
      </c>
      <c r="DV138">
        <v>304</v>
      </c>
      <c r="DW138">
        <v>300</v>
      </c>
      <c r="DX138">
        <v>403</v>
      </c>
      <c r="DY138">
        <v>400</v>
      </c>
      <c r="DZ138" s="43">
        <v>9</v>
      </c>
      <c r="EA138" s="46"/>
      <c r="EB138" s="47"/>
      <c r="EF138" s="43">
        <v>0</v>
      </c>
      <c r="EG138" s="46"/>
      <c r="EH138" s="45">
        <v>286</v>
      </c>
      <c r="EI138">
        <v>290</v>
      </c>
      <c r="EJ138">
        <v>301</v>
      </c>
      <c r="EK138">
        <v>300</v>
      </c>
      <c r="EL138" s="43">
        <v>-3</v>
      </c>
      <c r="EM138" s="46"/>
      <c r="EN138" s="45">
        <v>331</v>
      </c>
      <c r="EO138">
        <v>330</v>
      </c>
      <c r="EP138">
        <v>339</v>
      </c>
      <c r="EQ138">
        <v>340</v>
      </c>
      <c r="ER138" s="43">
        <v>0</v>
      </c>
      <c r="ES138" s="46"/>
      <c r="EV138">
        <v>17</v>
      </c>
      <c r="EW138">
        <v>20</v>
      </c>
      <c r="EX138">
        <v>25</v>
      </c>
      <c r="EY138">
        <v>30</v>
      </c>
      <c r="EZ138" s="43">
        <v>-8</v>
      </c>
      <c r="FA138" s="46"/>
      <c r="FB138">
        <v>403</v>
      </c>
      <c r="FC138">
        <v>400</v>
      </c>
      <c r="FD138">
        <v>361</v>
      </c>
      <c r="FF138">
        <v>360</v>
      </c>
      <c r="FG138" s="43">
        <v>4</v>
      </c>
      <c r="FH138" s="46"/>
      <c r="FI138" s="45">
        <v>184</v>
      </c>
      <c r="FK138" s="48">
        <v>184.28739999999999</v>
      </c>
      <c r="FL138" s="43">
        <v>-0.287399999999991</v>
      </c>
      <c r="FM138" s="46"/>
      <c r="FN138" s="45">
        <v>391</v>
      </c>
      <c r="FP138">
        <v>388</v>
      </c>
      <c r="FQ138" s="43">
        <v>3</v>
      </c>
      <c r="FR138" s="46"/>
      <c r="FW138" s="43">
        <v>0</v>
      </c>
      <c r="FX138" s="46"/>
      <c r="FY138" s="45">
        <v>220</v>
      </c>
      <c r="GA138">
        <v>220</v>
      </c>
      <c r="GB138">
        <v>220</v>
      </c>
      <c r="GC138">
        <v>220</v>
      </c>
      <c r="GD138" s="43">
        <v>0</v>
      </c>
      <c r="GE138" s="46"/>
      <c r="GH138">
        <v>42</v>
      </c>
      <c r="GI138">
        <v>43</v>
      </c>
      <c r="GJ138" s="43">
        <v>-1</v>
      </c>
      <c r="GK138" s="46"/>
      <c r="GL138" s="47"/>
      <c r="GP138" s="43">
        <v>0</v>
      </c>
      <c r="GQ138" s="46"/>
      <c r="GR138">
        <v>262</v>
      </c>
      <c r="GS138">
        <v>260</v>
      </c>
      <c r="GT138">
        <v>317</v>
      </c>
      <c r="GU138">
        <v>320</v>
      </c>
      <c r="GV138" s="43">
        <v>-1</v>
      </c>
      <c r="GW138" s="46"/>
      <c r="GX138" s="45">
        <v>42</v>
      </c>
      <c r="GY138" s="48">
        <v>41.324399999999997</v>
      </c>
      <c r="GZ138" s="43">
        <v>0.67560000000000286</v>
      </c>
      <c r="HA138" s="46"/>
      <c r="HB138" s="45">
        <v>203</v>
      </c>
      <c r="HC138">
        <v>200</v>
      </c>
      <c r="HD138">
        <v>227</v>
      </c>
      <c r="HE138">
        <v>230</v>
      </c>
      <c r="HF138" s="43">
        <v>0</v>
      </c>
      <c r="HG138" s="46"/>
      <c r="HH138" s="47"/>
      <c r="HJ138" s="43">
        <v>0</v>
      </c>
      <c r="HK138" s="46"/>
      <c r="HL138" s="45">
        <v>59</v>
      </c>
      <c r="HM138">
        <v>60</v>
      </c>
      <c r="HP138" s="43">
        <v>-1</v>
      </c>
      <c r="HQ138" s="46"/>
      <c r="HR138">
        <v>152</v>
      </c>
      <c r="HS138">
        <v>150</v>
      </c>
      <c r="HV138">
        <v>152</v>
      </c>
      <c r="HW138">
        <v>150</v>
      </c>
      <c r="HX138" s="43">
        <v>4</v>
      </c>
      <c r="HY138" s="46"/>
      <c r="HZ138" s="45">
        <v>302</v>
      </c>
      <c r="IA138">
        <v>300</v>
      </c>
      <c r="IB138">
        <v>252</v>
      </c>
      <c r="IC138">
        <v>250</v>
      </c>
      <c r="ID138" s="43">
        <v>4</v>
      </c>
      <c r="IE138" s="46"/>
      <c r="IH138">
        <v>332</v>
      </c>
      <c r="II138">
        <v>340</v>
      </c>
      <c r="IJ138" s="43">
        <v>-8</v>
      </c>
      <c r="IK138" s="49"/>
      <c r="IL138">
        <v>99</v>
      </c>
      <c r="IM138">
        <v>100</v>
      </c>
      <c r="IN138">
        <v>202</v>
      </c>
      <c r="IO138">
        <v>200</v>
      </c>
      <c r="IP138" s="43">
        <v>1</v>
      </c>
      <c r="IQ138" s="49"/>
      <c r="IR138">
        <v>259</v>
      </c>
      <c r="IS138">
        <v>260</v>
      </c>
      <c r="IT138">
        <v>101</v>
      </c>
      <c r="IU138">
        <v>100</v>
      </c>
      <c r="IV138" s="43">
        <v>0</v>
      </c>
      <c r="IW138" s="49"/>
      <c r="IX138">
        <v>326</v>
      </c>
      <c r="IY138">
        <v>330</v>
      </c>
      <c r="IZ138">
        <v>287</v>
      </c>
      <c r="JA138">
        <v>290</v>
      </c>
      <c r="JB138" s="43">
        <v>-7</v>
      </c>
      <c r="JC138" s="46"/>
      <c r="JD138">
        <v>102</v>
      </c>
      <c r="JE138">
        <v>100</v>
      </c>
      <c r="JF138" s="43">
        <v>2</v>
      </c>
      <c r="JG138" s="49"/>
      <c r="JH138">
        <v>153</v>
      </c>
      <c r="JI138">
        <v>150</v>
      </c>
      <c r="JJ138">
        <v>51</v>
      </c>
      <c r="JK138">
        <v>50</v>
      </c>
      <c r="JL138" s="43">
        <v>4</v>
      </c>
      <c r="JM138" s="46"/>
      <c r="JN138" s="45">
        <v>405</v>
      </c>
      <c r="JO138" s="48">
        <v>460</v>
      </c>
      <c r="JP138" s="42">
        <v>-55</v>
      </c>
      <c r="JQ138" s="49">
        <v>55</v>
      </c>
      <c r="JT138">
        <v>229</v>
      </c>
      <c r="JU138">
        <v>226</v>
      </c>
      <c r="JV138" s="43">
        <v>3</v>
      </c>
      <c r="JW138" s="49"/>
      <c r="JX138">
        <v>42</v>
      </c>
      <c r="JY138">
        <v>40</v>
      </c>
      <c r="KB138" s="43">
        <v>2</v>
      </c>
      <c r="KC138" s="49"/>
      <c r="KD138">
        <v>101</v>
      </c>
      <c r="KE138">
        <v>100</v>
      </c>
      <c r="KF138">
        <v>59</v>
      </c>
      <c r="KG138">
        <v>60</v>
      </c>
      <c r="KH138" s="43">
        <v>0</v>
      </c>
      <c r="KI138" s="49"/>
      <c r="KJ138">
        <v>152</v>
      </c>
      <c r="KK138">
        <v>150</v>
      </c>
      <c r="KL138">
        <v>320</v>
      </c>
      <c r="KM138">
        <v>320</v>
      </c>
      <c r="KN138" s="43">
        <v>2</v>
      </c>
      <c r="KO138" s="49"/>
      <c r="KP138" s="50"/>
      <c r="KQ138">
        <v>50</v>
      </c>
      <c r="KR138">
        <v>67</v>
      </c>
      <c r="KS138">
        <v>70</v>
      </c>
      <c r="KV138" s="42">
        <v>-53</v>
      </c>
      <c r="KW138" s="49">
        <v>53</v>
      </c>
      <c r="KX138" s="48">
        <v>0</v>
      </c>
      <c r="KY138" s="48">
        <v>0</v>
      </c>
      <c r="KZ138" s="48">
        <v>352.935</v>
      </c>
      <c r="LA138" s="48">
        <v>350</v>
      </c>
      <c r="LB138" s="43">
        <v>2.9350000000000018</v>
      </c>
      <c r="LC138" s="49"/>
      <c r="LD138" s="48">
        <v>0</v>
      </c>
      <c r="LE138" s="48">
        <v>0</v>
      </c>
      <c r="LF138" s="48">
        <v>0</v>
      </c>
      <c r="LG138" s="48">
        <v>0</v>
      </c>
      <c r="LH138" s="43">
        <v>0</v>
      </c>
      <c r="LI138" s="49"/>
      <c r="LJ138" s="50">
        <v>313.92399999999998</v>
      </c>
      <c r="LK138" s="48">
        <v>310</v>
      </c>
      <c r="LL138" s="43">
        <v>3.9239999999999782</v>
      </c>
      <c r="LM138" s="49"/>
      <c r="LN138" s="50">
        <v>201.92500000000001</v>
      </c>
      <c r="LO138" s="48">
        <v>200</v>
      </c>
      <c r="LP138" s="48">
        <v>202.602</v>
      </c>
      <c r="LQ138" s="48">
        <v>0</v>
      </c>
      <c r="LR138" s="48">
        <v>200</v>
      </c>
      <c r="LS138" s="43">
        <v>4.5270000000000437</v>
      </c>
      <c r="LT138" s="49"/>
      <c r="LU138" s="50">
        <v>109.392</v>
      </c>
      <c r="LV138" s="48">
        <v>110</v>
      </c>
      <c r="LW138" s="48">
        <v>99.994</v>
      </c>
      <c r="LX138" s="48">
        <v>100</v>
      </c>
      <c r="LY138" s="43">
        <v>-0.61400000000000432</v>
      </c>
      <c r="LZ138" s="49"/>
      <c r="MA138" s="50">
        <v>0</v>
      </c>
      <c r="MB138" s="48">
        <v>0</v>
      </c>
      <c r="MC138" s="43">
        <v>0</v>
      </c>
      <c r="MD138" s="49"/>
      <c r="ME138" s="50">
        <v>226.417</v>
      </c>
      <c r="MF138" s="48">
        <v>230</v>
      </c>
      <c r="MG138" s="48">
        <v>405.55799999999999</v>
      </c>
      <c r="MH138" s="48">
        <v>400</v>
      </c>
      <c r="MI138" s="43">
        <v>1.975000000000023</v>
      </c>
      <c r="MJ138" s="49"/>
      <c r="MK138" s="50">
        <v>673.596</v>
      </c>
      <c r="ML138" s="48">
        <v>670</v>
      </c>
      <c r="MM138" s="43">
        <v>3.5960000000000041</v>
      </c>
      <c r="MN138" s="49"/>
      <c r="MO138" s="50">
        <v>118.616</v>
      </c>
      <c r="MP138" s="48">
        <v>120</v>
      </c>
      <c r="MQ138" s="48">
        <v>201.298</v>
      </c>
      <c r="MR138" s="48">
        <v>200</v>
      </c>
      <c r="MS138" s="43">
        <v>-8.6000000000012733E-2</v>
      </c>
      <c r="MT138" s="49"/>
      <c r="MU138" s="48">
        <v>0</v>
      </c>
      <c r="MV138" s="46"/>
      <c r="MW138" s="48">
        <v>236.404</v>
      </c>
      <c r="MX138" s="48">
        <v>240</v>
      </c>
      <c r="MY138" s="43">
        <v>-3.5960000000000041</v>
      </c>
      <c r="MZ138" s="49"/>
      <c r="NA138" s="50">
        <v>76.292000000000002</v>
      </c>
      <c r="NB138" s="48">
        <v>80</v>
      </c>
      <c r="NC138" s="48">
        <v>118.27200000000001</v>
      </c>
      <c r="ND138" s="48">
        <v>120</v>
      </c>
      <c r="NE138" s="43">
        <v>-5.4359999999999786</v>
      </c>
      <c r="NF138" s="49"/>
      <c r="NG138" s="25">
        <v>59.024000000000001</v>
      </c>
      <c r="NH138" s="48">
        <v>0</v>
      </c>
      <c r="NI138" s="48">
        <v>50.688000000000002</v>
      </c>
      <c r="NJ138" s="48">
        <v>48</v>
      </c>
      <c r="NK138" s="43">
        <v>61.712000000000003</v>
      </c>
      <c r="NL138" s="49"/>
      <c r="NM138" s="50">
        <v>221.34899999999999</v>
      </c>
      <c r="NN138" s="48">
        <v>220</v>
      </c>
      <c r="NO138" s="48">
        <v>304.70499999999998</v>
      </c>
      <c r="NP138" s="48">
        <v>300</v>
      </c>
      <c r="NQ138" s="43">
        <v>6.0539999999999736</v>
      </c>
      <c r="NR138" s="49"/>
      <c r="NS138" s="25">
        <v>251.42099999999999</v>
      </c>
      <c r="NT138" s="48">
        <v>0</v>
      </c>
      <c r="NU138" s="48">
        <v>200.983</v>
      </c>
      <c r="NV138" s="48">
        <v>200</v>
      </c>
      <c r="NW138" s="43">
        <v>252.404</v>
      </c>
      <c r="NX138" s="49"/>
      <c r="NY138" s="50">
        <v>101.50700000000001</v>
      </c>
      <c r="NZ138" s="48">
        <v>100</v>
      </c>
      <c r="OA138" s="48">
        <v>100.1</v>
      </c>
      <c r="OB138" s="48">
        <v>100</v>
      </c>
      <c r="OC138" s="43">
        <v>1.6069999999999991</v>
      </c>
      <c r="OD138" s="49"/>
      <c r="OE138" s="50">
        <v>543.27800000000002</v>
      </c>
      <c r="OF138" s="48">
        <v>550</v>
      </c>
      <c r="OG138" s="43">
        <v>-6.72199999999998</v>
      </c>
      <c r="OH138" s="49"/>
      <c r="OI138" s="50">
        <v>0</v>
      </c>
      <c r="OJ138" s="48">
        <v>0</v>
      </c>
      <c r="OK138" s="43">
        <v>0</v>
      </c>
      <c r="OL138" s="49"/>
      <c r="OM138" s="50">
        <v>446.553</v>
      </c>
      <c r="ON138" s="48">
        <v>450</v>
      </c>
      <c r="OO138" s="48">
        <v>354.46199999999999</v>
      </c>
      <c r="OP138" s="48">
        <v>351.13099999999997</v>
      </c>
      <c r="OQ138" s="43">
        <v>-0.11599999999998541</v>
      </c>
      <c r="OR138" s="49"/>
      <c r="OS138" s="50">
        <v>0</v>
      </c>
      <c r="OT138" s="48">
        <v>0</v>
      </c>
      <c r="OU138" s="43">
        <v>0</v>
      </c>
      <c r="OV138" s="49"/>
      <c r="OW138" s="50">
        <v>125.244</v>
      </c>
      <c r="OX138" s="48">
        <v>130</v>
      </c>
      <c r="OY138" s="48">
        <v>101.919</v>
      </c>
      <c r="OZ138" s="48">
        <v>100</v>
      </c>
      <c r="PA138" s="43">
        <v>-2.8369999999999891</v>
      </c>
      <c r="PB138" s="49"/>
      <c r="PC138" s="50">
        <v>0</v>
      </c>
      <c r="PD138" s="48">
        <v>0</v>
      </c>
      <c r="PE138" s="43">
        <v>0</v>
      </c>
      <c r="PF138" s="49"/>
      <c r="PG138" s="50">
        <v>0</v>
      </c>
      <c r="PH138" s="48">
        <v>0</v>
      </c>
      <c r="PI138" s="48">
        <v>0</v>
      </c>
      <c r="PJ138" s="48">
        <v>0</v>
      </c>
      <c r="PK138" s="43">
        <v>0</v>
      </c>
      <c r="PL138" s="49"/>
      <c r="PM138" s="18">
        <v>300.238</v>
      </c>
      <c r="PN138" s="48">
        <v>0</v>
      </c>
      <c r="PO138" s="48">
        <v>124.959</v>
      </c>
      <c r="PP138" s="48">
        <v>124</v>
      </c>
      <c r="PQ138" s="43">
        <v>301.197</v>
      </c>
      <c r="PR138" s="49"/>
      <c r="PS138" s="8">
        <v>149.19499999999999</v>
      </c>
      <c r="PT138" s="43">
        <v>0</v>
      </c>
      <c r="PU138" s="7">
        <v>150.29</v>
      </c>
      <c r="PV138" s="43">
        <v>0</v>
      </c>
      <c r="PW138" s="43">
        <v>0</v>
      </c>
      <c r="PX138" s="46"/>
      <c r="PY138" s="8">
        <v>854.37</v>
      </c>
      <c r="PZ138" s="43">
        <v>0</v>
      </c>
      <c r="QA138" s="43">
        <v>0</v>
      </c>
      <c r="QB138" s="46"/>
      <c r="QC138" s="8">
        <v>334.96100000000001</v>
      </c>
      <c r="QD138" s="43">
        <v>0</v>
      </c>
      <c r="QE138" s="7">
        <v>595.26099999999997</v>
      </c>
      <c r="QF138" s="43">
        <v>0</v>
      </c>
      <c r="QG138" s="43">
        <v>0</v>
      </c>
      <c r="QH138" s="46"/>
      <c r="QI138" s="47">
        <v>0</v>
      </c>
      <c r="QJ138" s="43">
        <v>0</v>
      </c>
      <c r="QK138" s="43">
        <v>0</v>
      </c>
      <c r="QL138" s="43">
        <v>0</v>
      </c>
      <c r="QM138" s="43">
        <v>0</v>
      </c>
      <c r="QN138" s="46"/>
      <c r="QO138" s="47">
        <v>0</v>
      </c>
      <c r="QP138" s="43">
        <v>0</v>
      </c>
      <c r="QQ138" s="43">
        <v>0</v>
      </c>
      <c r="QR138" s="43">
        <v>0</v>
      </c>
      <c r="QS138" s="43">
        <v>0</v>
      </c>
      <c r="QT138" s="46"/>
      <c r="QU138" s="47">
        <v>0</v>
      </c>
      <c r="QV138" s="43">
        <v>0</v>
      </c>
      <c r="QW138" s="43">
        <v>0</v>
      </c>
      <c r="QX138" s="46"/>
      <c r="QY138" s="47">
        <v>0</v>
      </c>
      <c r="QZ138" s="43">
        <v>0</v>
      </c>
      <c r="RA138" s="43">
        <v>0</v>
      </c>
      <c r="RB138" s="43">
        <v>0</v>
      </c>
      <c r="RC138" s="43">
        <v>0</v>
      </c>
      <c r="RD138" s="46"/>
    </row>
    <row r="139" spans="1:472" x14ac:dyDescent="0.25">
      <c r="A139" s="43" t="s">
        <v>427</v>
      </c>
      <c r="B139" s="44">
        <v>1</v>
      </c>
      <c r="I139" s="47"/>
      <c r="J139" s="51"/>
      <c r="K139" s="52">
        <v>50</v>
      </c>
      <c r="L139" s="51"/>
      <c r="M139" s="51">
        <f t="shared" si="15"/>
        <v>50</v>
      </c>
      <c r="N139" s="46"/>
      <c r="O139" s="47"/>
      <c r="P139" s="51"/>
      <c r="Q139" s="51"/>
      <c r="R139" s="51"/>
      <c r="S139" s="51">
        <f t="shared" si="16"/>
        <v>0</v>
      </c>
      <c r="T139" s="46"/>
      <c r="U139" s="47"/>
      <c r="V139" s="51"/>
      <c r="W139" s="51"/>
      <c r="X139" s="51"/>
      <c r="Y139" s="51">
        <f t="shared" si="17"/>
        <v>0</v>
      </c>
      <c r="Z139" s="46"/>
      <c r="AA139" s="52"/>
      <c r="AF139" s="46"/>
      <c r="AG139" s="45"/>
      <c r="AL139" s="46"/>
      <c r="AR139" s="46"/>
      <c r="AX139" s="46"/>
      <c r="AY139" s="45"/>
      <c r="BD139" s="46"/>
      <c r="BE139" s="45"/>
      <c r="BJ139" s="46"/>
      <c r="BQ139" s="46"/>
      <c r="BR139" s="43"/>
      <c r="BU139" s="46"/>
      <c r="BV139" s="45"/>
      <c r="CA139" s="46"/>
      <c r="CG139" s="46"/>
      <c r="CK139" s="43"/>
      <c r="CM139" s="46"/>
      <c r="CN139" s="47"/>
      <c r="CQ139" s="43"/>
      <c r="CS139" s="46"/>
      <c r="CT139" s="43"/>
      <c r="CU139" s="43"/>
      <c r="CW139" s="43"/>
      <c r="CY139" s="46"/>
      <c r="CZ139" s="47"/>
      <c r="DB139" s="43"/>
      <c r="DD139" s="43"/>
      <c r="DE139" s="46"/>
      <c r="DF139" s="47"/>
      <c r="DH139" s="48"/>
      <c r="DI139" s="43"/>
      <c r="DJ139" s="43"/>
      <c r="DL139" s="43"/>
      <c r="DM139" s="46"/>
      <c r="DN139" s="45"/>
      <c r="DO139" s="43"/>
      <c r="DP139" s="43"/>
      <c r="DQ139" s="43"/>
      <c r="DR139" s="43"/>
      <c r="DS139" s="46"/>
      <c r="DU139" s="43"/>
      <c r="DV139" s="43"/>
      <c r="DW139" s="43"/>
      <c r="DX139" s="43"/>
      <c r="DY139" s="43"/>
      <c r="EA139" s="46"/>
      <c r="EB139" s="47"/>
      <c r="ED139" s="48"/>
      <c r="EE139" s="43"/>
      <c r="EF139" s="43"/>
      <c r="EG139" s="46"/>
      <c r="EH139" s="45"/>
      <c r="EI139" s="43"/>
      <c r="EK139" s="43"/>
      <c r="EL139" s="43"/>
      <c r="EM139" s="46"/>
      <c r="EN139" s="45"/>
      <c r="EO139" s="43"/>
      <c r="EP139" s="43"/>
      <c r="EQ139" s="43"/>
      <c r="ER139" s="43"/>
      <c r="ES139" s="46"/>
      <c r="ET139" s="48"/>
      <c r="EU139" s="43"/>
      <c r="EV139" s="43"/>
      <c r="EX139" s="43"/>
      <c r="EY139" s="43"/>
      <c r="FA139" s="46"/>
      <c r="FB139" s="43"/>
      <c r="FC139" s="43"/>
      <c r="FD139" s="43"/>
      <c r="FG139" s="43"/>
      <c r="FH139" s="46"/>
      <c r="FI139" s="45"/>
      <c r="FM139" s="46"/>
      <c r="FN139" s="45"/>
      <c r="FP139" s="43"/>
      <c r="FQ139" s="43"/>
      <c r="FR139" s="46"/>
      <c r="FS139" s="43"/>
      <c r="FW139" s="43"/>
      <c r="FX139" s="46"/>
      <c r="FY139" s="45"/>
      <c r="GA139" s="43"/>
      <c r="GB139" s="43"/>
      <c r="GC139" s="43"/>
      <c r="GE139" s="46"/>
      <c r="GI139" s="43"/>
      <c r="GJ139" s="43"/>
      <c r="GK139" s="46"/>
      <c r="GL139" s="47"/>
      <c r="GM139" s="43"/>
      <c r="GP139" s="43"/>
      <c r="GQ139" s="46"/>
      <c r="GS139" s="43"/>
      <c r="GT139" s="43"/>
      <c r="GU139" s="43"/>
      <c r="GW139" s="46"/>
      <c r="GX139" s="45"/>
      <c r="GZ139" s="43"/>
      <c r="HA139" s="46"/>
      <c r="HB139" s="45"/>
      <c r="HC139" s="43"/>
      <c r="HD139" s="43"/>
      <c r="HE139" s="43"/>
      <c r="HG139" s="46"/>
      <c r="HH139" s="47"/>
      <c r="HJ139" s="43"/>
      <c r="HK139" s="46"/>
      <c r="HL139" s="45"/>
      <c r="HM139" s="43"/>
      <c r="HN139" s="48"/>
      <c r="HO139" s="43"/>
      <c r="HP139" s="43"/>
      <c r="HQ139" s="46"/>
      <c r="HS139" s="43"/>
      <c r="HT139" s="48"/>
      <c r="HY139" s="46"/>
      <c r="HZ139" s="45"/>
      <c r="IE139" s="46"/>
      <c r="IK139" s="49"/>
      <c r="IQ139" s="49"/>
      <c r="IW139" s="49"/>
      <c r="JC139" s="46"/>
      <c r="JG139" s="49"/>
      <c r="JM139" s="46"/>
      <c r="JN139" s="45"/>
      <c r="JO139" s="48"/>
      <c r="JQ139" s="49"/>
      <c r="JW139" s="49"/>
      <c r="KC139" s="49"/>
      <c r="KI139" s="49"/>
      <c r="KO139" s="49"/>
      <c r="KP139" s="50"/>
      <c r="KW139" s="49"/>
      <c r="KX139" s="48"/>
      <c r="KY139" s="48"/>
      <c r="KZ139" s="48"/>
      <c r="LA139" s="48"/>
      <c r="LC139" s="49"/>
      <c r="LD139" s="48"/>
      <c r="LE139" s="48"/>
      <c r="LF139" s="48"/>
      <c r="LG139" s="48"/>
      <c r="LI139" s="49"/>
      <c r="LJ139" s="50"/>
      <c r="LK139" s="48"/>
      <c r="LM139" s="49"/>
      <c r="LN139" s="50"/>
      <c r="LO139" s="48"/>
      <c r="LP139" s="48"/>
      <c r="LQ139" s="48"/>
      <c r="LR139" s="48"/>
      <c r="LT139" s="49"/>
      <c r="LU139" s="50"/>
      <c r="LV139" s="48"/>
      <c r="LW139" s="48"/>
      <c r="LX139" s="48"/>
      <c r="LZ139" s="49"/>
      <c r="MA139" s="50"/>
      <c r="MB139" s="48"/>
      <c r="MD139" s="49"/>
      <c r="ME139" s="50"/>
      <c r="MF139" s="48"/>
      <c r="MG139" s="48"/>
      <c r="MH139" s="48"/>
      <c r="MJ139" s="49"/>
      <c r="MK139" s="50"/>
      <c r="ML139" s="48"/>
      <c r="MN139" s="49"/>
      <c r="MO139" s="50"/>
      <c r="MP139" s="48"/>
      <c r="MQ139" s="48"/>
      <c r="MR139" s="48"/>
      <c r="MT139" s="49"/>
      <c r="MU139" s="48"/>
      <c r="MV139" s="46"/>
      <c r="MW139" s="48"/>
      <c r="MX139" s="48"/>
      <c r="MZ139" s="49"/>
      <c r="NA139" s="50"/>
      <c r="NB139" s="48"/>
      <c r="NC139" s="48"/>
      <c r="ND139" s="48"/>
      <c r="NF139" s="49"/>
      <c r="NG139" s="50"/>
      <c r="NH139" s="48"/>
      <c r="NI139" s="48"/>
      <c r="NJ139" s="48"/>
      <c r="NL139" s="49"/>
      <c r="NM139" s="50"/>
      <c r="NN139" s="48"/>
      <c r="NO139" s="48"/>
      <c r="NP139" s="48"/>
      <c r="NR139" s="49"/>
      <c r="NS139" s="50"/>
      <c r="NT139" s="48"/>
      <c r="NU139" s="48"/>
      <c r="NV139" s="48"/>
      <c r="NX139" s="49"/>
      <c r="NY139" s="50"/>
      <c r="NZ139" s="48"/>
      <c r="OA139" s="48"/>
      <c r="OB139" s="48"/>
      <c r="OD139" s="49"/>
      <c r="OE139" s="50"/>
      <c r="OF139" s="48"/>
      <c r="OH139" s="49"/>
      <c r="OI139" s="50"/>
      <c r="OJ139" s="48"/>
      <c r="OL139" s="49"/>
      <c r="OM139" s="50"/>
      <c r="ON139" s="48"/>
      <c r="OO139" s="48"/>
      <c r="OP139" s="48"/>
      <c r="OR139" s="49"/>
      <c r="OS139" s="50"/>
      <c r="OT139" s="48"/>
      <c r="OV139" s="49"/>
      <c r="OW139" s="50"/>
      <c r="OX139" s="48"/>
      <c r="OY139" s="48"/>
      <c r="OZ139" s="48"/>
      <c r="PB139" s="49"/>
      <c r="PC139" s="50"/>
      <c r="PD139" s="48"/>
      <c r="PF139" s="49"/>
      <c r="PG139" s="50"/>
      <c r="PH139" s="48"/>
      <c r="PI139" s="48"/>
      <c r="PJ139" s="48"/>
      <c r="PL139" s="49"/>
      <c r="PM139" s="47"/>
      <c r="PN139" s="48"/>
      <c r="PO139" s="48"/>
      <c r="PP139" s="48"/>
      <c r="PR139" s="49"/>
      <c r="PS139" s="47"/>
      <c r="PX139" s="46"/>
      <c r="PY139" s="47"/>
      <c r="QB139" s="46"/>
      <c r="QC139" s="47"/>
      <c r="QH139" s="46"/>
      <c r="QI139" s="47"/>
      <c r="QN139" s="46"/>
      <c r="QO139" s="47"/>
      <c r="QT139" s="46"/>
      <c r="QU139" s="47"/>
      <c r="QX139" s="46"/>
      <c r="QY139" s="47"/>
      <c r="RD139" s="46"/>
    </row>
    <row r="140" spans="1:472" x14ac:dyDescent="0.25">
      <c r="A140" s="43" t="s">
        <v>428</v>
      </c>
      <c r="B140" s="44">
        <v>0.1</v>
      </c>
      <c r="E140">
        <v>40</v>
      </c>
      <c r="F140">
        <v>41</v>
      </c>
      <c r="I140" s="47"/>
      <c r="J140" s="51"/>
      <c r="K140" s="51"/>
      <c r="L140" s="51"/>
      <c r="M140" s="51">
        <f t="shared" si="15"/>
        <v>0</v>
      </c>
      <c r="N140" s="46"/>
      <c r="O140" s="47"/>
      <c r="P140" s="51"/>
      <c r="Q140" s="51"/>
      <c r="R140" s="51"/>
      <c r="S140" s="51">
        <f t="shared" si="16"/>
        <v>0</v>
      </c>
      <c r="T140" s="46"/>
      <c r="U140" s="45">
        <v>40</v>
      </c>
      <c r="V140" s="52">
        <v>40</v>
      </c>
      <c r="W140" s="52">
        <v>50</v>
      </c>
      <c r="X140" s="52">
        <v>51</v>
      </c>
      <c r="Y140" s="51">
        <f t="shared" si="17"/>
        <v>-1</v>
      </c>
      <c r="Z140" s="46"/>
      <c r="AA140" s="52">
        <v>10</v>
      </c>
      <c r="AB140">
        <v>10</v>
      </c>
      <c r="AC140">
        <v>10</v>
      </c>
      <c r="AD140">
        <v>10</v>
      </c>
      <c r="AE140" s="43">
        <v>0</v>
      </c>
      <c r="AF140" s="46"/>
      <c r="AG140" s="47"/>
      <c r="AI140">
        <v>50</v>
      </c>
      <c r="AJ140">
        <v>56</v>
      </c>
      <c r="AK140" s="43">
        <v>-6</v>
      </c>
      <c r="AL140" s="46"/>
      <c r="AQ140" s="43">
        <v>0</v>
      </c>
      <c r="AR140" s="46"/>
      <c r="AW140" s="43">
        <v>0</v>
      </c>
      <c r="AX140" s="46"/>
      <c r="AY140" s="47"/>
      <c r="BA140">
        <v>60</v>
      </c>
      <c r="BB140">
        <v>62</v>
      </c>
      <c r="BC140" s="43">
        <v>-2</v>
      </c>
      <c r="BD140" s="46"/>
      <c r="BE140" s="47"/>
      <c r="BI140" s="43">
        <v>0</v>
      </c>
      <c r="BJ140" s="46"/>
      <c r="BN140">
        <v>30</v>
      </c>
      <c r="BO140">
        <v>34</v>
      </c>
      <c r="BP140" s="43">
        <v>-4</v>
      </c>
      <c r="BQ140" s="46"/>
      <c r="BT140" s="43">
        <v>0</v>
      </c>
      <c r="BU140" s="46"/>
      <c r="BV140" s="45">
        <v>40</v>
      </c>
      <c r="BW140">
        <v>41</v>
      </c>
      <c r="BZ140" s="43">
        <v>-1</v>
      </c>
      <c r="CA140" s="46"/>
      <c r="CD140">
        <v>50</v>
      </c>
      <c r="CE140">
        <v>56</v>
      </c>
      <c r="CF140" s="43">
        <v>-6</v>
      </c>
      <c r="CG140" s="46"/>
      <c r="CJ140">
        <v>10</v>
      </c>
      <c r="CK140">
        <v>17</v>
      </c>
      <c r="CL140" s="43">
        <v>-7</v>
      </c>
      <c r="CM140" s="46"/>
      <c r="CN140" s="47"/>
      <c r="CP140">
        <v>10</v>
      </c>
      <c r="CQ140">
        <v>10</v>
      </c>
      <c r="CR140" s="43">
        <v>0</v>
      </c>
      <c r="CS140" s="46"/>
      <c r="CX140" s="43">
        <v>0</v>
      </c>
      <c r="CY140" s="46"/>
      <c r="CZ140" s="47"/>
      <c r="DB140">
        <v>10</v>
      </c>
      <c r="DC140">
        <v>10</v>
      </c>
      <c r="DD140" s="43">
        <v>0</v>
      </c>
      <c r="DE140" s="46"/>
      <c r="DF140" s="47"/>
      <c r="DJ140">
        <v>50</v>
      </c>
      <c r="DK140">
        <v>50</v>
      </c>
      <c r="DL140" s="43">
        <v>0</v>
      </c>
      <c r="DM140" s="46"/>
      <c r="DN140" s="47"/>
      <c r="DP140">
        <v>10</v>
      </c>
      <c r="DQ140">
        <v>9</v>
      </c>
      <c r="DR140" s="43">
        <v>1</v>
      </c>
      <c r="DS140" s="46"/>
      <c r="DV140">
        <v>20</v>
      </c>
      <c r="DW140">
        <v>20</v>
      </c>
      <c r="DZ140" s="43">
        <v>0</v>
      </c>
      <c r="EA140" s="46"/>
      <c r="EB140" s="47"/>
      <c r="ED140">
        <v>40</v>
      </c>
      <c r="EE140">
        <v>47</v>
      </c>
      <c r="EF140" s="43">
        <v>-7</v>
      </c>
      <c r="EG140" s="46"/>
      <c r="EH140" s="47"/>
      <c r="EL140" s="43">
        <v>0</v>
      </c>
      <c r="EM140" s="46"/>
      <c r="EN140" s="47"/>
      <c r="EP140">
        <v>40</v>
      </c>
      <c r="EQ140">
        <v>40</v>
      </c>
      <c r="ER140" s="43">
        <v>0</v>
      </c>
      <c r="ES140" s="46"/>
      <c r="EX140">
        <v>10</v>
      </c>
      <c r="EY140">
        <v>6</v>
      </c>
      <c r="EZ140" s="43">
        <v>4</v>
      </c>
      <c r="FA140" s="46"/>
      <c r="FD140">
        <v>40</v>
      </c>
      <c r="FF140">
        <v>40</v>
      </c>
      <c r="FG140" s="43">
        <v>0</v>
      </c>
      <c r="FH140" s="46"/>
      <c r="FI140" s="47"/>
      <c r="FL140" s="43">
        <v>0</v>
      </c>
      <c r="FM140" s="46"/>
      <c r="FN140" s="45">
        <v>20</v>
      </c>
      <c r="FP140">
        <v>24</v>
      </c>
      <c r="FQ140" s="43">
        <v>-4</v>
      </c>
      <c r="FR140" s="46"/>
      <c r="FS140">
        <v>30</v>
      </c>
      <c r="FV140">
        <v>30</v>
      </c>
      <c r="FW140" s="43">
        <v>0</v>
      </c>
      <c r="FX140" s="46"/>
      <c r="FY140" s="47"/>
      <c r="GD140" s="43">
        <v>0</v>
      </c>
      <c r="GE140" s="46"/>
      <c r="GJ140" s="43">
        <v>0</v>
      </c>
      <c r="GK140" s="46"/>
      <c r="GL140" s="47"/>
      <c r="GN140">
        <v>70</v>
      </c>
      <c r="GO140">
        <v>70</v>
      </c>
      <c r="GP140" s="43">
        <v>0</v>
      </c>
      <c r="GQ140" s="46"/>
      <c r="GV140" s="43">
        <v>0</v>
      </c>
      <c r="GW140" s="46"/>
      <c r="GX140" s="45">
        <v>20</v>
      </c>
      <c r="GY140" s="48">
        <v>18</v>
      </c>
      <c r="GZ140" s="43">
        <v>2</v>
      </c>
      <c r="HA140" s="46"/>
      <c r="HB140" s="47"/>
      <c r="HD140">
        <v>30</v>
      </c>
      <c r="HE140">
        <v>31</v>
      </c>
      <c r="HF140" s="43">
        <v>-1</v>
      </c>
      <c r="HG140" s="46"/>
      <c r="HH140" s="47"/>
      <c r="HJ140" s="43">
        <v>0</v>
      </c>
      <c r="HK140" s="46"/>
      <c r="HL140" s="47"/>
      <c r="HP140" s="43">
        <v>0</v>
      </c>
      <c r="HQ140" s="46"/>
      <c r="HV140">
        <v>40</v>
      </c>
      <c r="HW140">
        <v>40</v>
      </c>
      <c r="HX140" s="43">
        <v>0</v>
      </c>
      <c r="HY140" s="46"/>
      <c r="HZ140" s="47"/>
      <c r="IB140">
        <v>10</v>
      </c>
      <c r="IC140">
        <v>10</v>
      </c>
      <c r="ID140" s="43">
        <v>0</v>
      </c>
      <c r="IE140" s="46"/>
      <c r="IH140">
        <v>10</v>
      </c>
      <c r="II140">
        <v>5</v>
      </c>
      <c r="IJ140" s="43">
        <v>5</v>
      </c>
      <c r="IK140" s="49"/>
      <c r="IP140" s="43">
        <v>0</v>
      </c>
      <c r="IQ140" s="49"/>
      <c r="IV140" s="43">
        <v>0</v>
      </c>
      <c r="IW140" s="49"/>
      <c r="IZ140">
        <v>50</v>
      </c>
      <c r="JA140">
        <v>50</v>
      </c>
      <c r="JB140" s="43">
        <v>0</v>
      </c>
      <c r="JC140" s="46"/>
      <c r="JD140">
        <v>30</v>
      </c>
      <c r="JE140">
        <v>35</v>
      </c>
      <c r="JF140" s="43">
        <v>-5</v>
      </c>
      <c r="JG140" s="49"/>
      <c r="JL140" s="43">
        <v>0</v>
      </c>
      <c r="JM140" s="46"/>
      <c r="JN140" s="50"/>
      <c r="JP140" s="43">
        <v>0</v>
      </c>
      <c r="JQ140" s="49"/>
      <c r="JT140">
        <v>70</v>
      </c>
      <c r="JU140">
        <v>70</v>
      </c>
      <c r="JV140" s="43">
        <v>0</v>
      </c>
      <c r="JW140" s="49"/>
      <c r="JX140">
        <v>10</v>
      </c>
      <c r="JY140">
        <v>16</v>
      </c>
      <c r="KB140" s="43">
        <v>-6</v>
      </c>
      <c r="KC140" s="49"/>
      <c r="KH140" s="43">
        <v>0</v>
      </c>
      <c r="KI140" s="49"/>
      <c r="KN140" s="43">
        <v>0</v>
      </c>
      <c r="KO140" s="49"/>
      <c r="KP140" s="50"/>
      <c r="KR140">
        <v>60</v>
      </c>
      <c r="KS140">
        <v>60</v>
      </c>
      <c r="KT140">
        <v>30</v>
      </c>
      <c r="KU140">
        <v>50</v>
      </c>
      <c r="KV140" s="42">
        <v>-20</v>
      </c>
      <c r="KW140" s="49">
        <v>2</v>
      </c>
      <c r="KX140" s="48">
        <v>0</v>
      </c>
      <c r="KY140" s="48">
        <v>0</v>
      </c>
      <c r="KZ140" s="48">
        <v>20</v>
      </c>
      <c r="LA140" s="48">
        <v>20</v>
      </c>
      <c r="LB140" s="43">
        <v>0</v>
      </c>
      <c r="LC140" s="49"/>
      <c r="LD140" s="48">
        <v>0</v>
      </c>
      <c r="LE140" s="48">
        <v>0</v>
      </c>
      <c r="LF140" s="48">
        <v>0</v>
      </c>
      <c r="LG140" s="48">
        <v>0</v>
      </c>
      <c r="LH140" s="43">
        <v>0</v>
      </c>
      <c r="LI140" s="49"/>
      <c r="LJ140" s="50">
        <v>0</v>
      </c>
      <c r="LK140" s="48">
        <v>0</v>
      </c>
      <c r="LL140" s="43">
        <v>0</v>
      </c>
      <c r="LM140" s="49"/>
      <c r="LN140" s="50">
        <v>0</v>
      </c>
      <c r="LO140" s="48">
        <v>0</v>
      </c>
      <c r="LP140" s="48">
        <v>50</v>
      </c>
      <c r="LQ140" s="48">
        <v>0</v>
      </c>
      <c r="LR140" s="48">
        <v>50</v>
      </c>
      <c r="LS140" s="43">
        <v>0</v>
      </c>
      <c r="LT140" s="49"/>
      <c r="LU140" s="50">
        <v>30</v>
      </c>
      <c r="LV140" s="48">
        <v>30</v>
      </c>
      <c r="LW140" s="48">
        <v>30</v>
      </c>
      <c r="LX140" s="48">
        <v>30</v>
      </c>
      <c r="LY140" s="43">
        <v>0</v>
      </c>
      <c r="LZ140" s="49"/>
      <c r="MA140" s="50">
        <v>20</v>
      </c>
      <c r="MB140" s="48">
        <v>20</v>
      </c>
      <c r="MC140" s="43">
        <v>0</v>
      </c>
      <c r="MD140" s="49"/>
      <c r="ME140" s="50">
        <v>10</v>
      </c>
      <c r="MF140" s="48">
        <v>10</v>
      </c>
      <c r="MG140" s="48">
        <v>50</v>
      </c>
      <c r="MH140" s="48">
        <v>50</v>
      </c>
      <c r="MI140" s="43">
        <v>0</v>
      </c>
      <c r="MJ140" s="49"/>
      <c r="MK140" s="50">
        <v>10</v>
      </c>
      <c r="ML140" s="48">
        <v>10</v>
      </c>
      <c r="MM140" s="43">
        <v>0</v>
      </c>
      <c r="MN140" s="49"/>
      <c r="MO140" s="50">
        <v>0</v>
      </c>
      <c r="MP140" s="48">
        <v>0</v>
      </c>
      <c r="MQ140" s="48">
        <v>10</v>
      </c>
      <c r="MR140" s="48">
        <v>10</v>
      </c>
      <c r="MS140" s="43">
        <v>0</v>
      </c>
      <c r="MT140" s="49"/>
      <c r="MU140" s="48">
        <v>0</v>
      </c>
      <c r="MV140" s="46"/>
      <c r="MW140" s="48">
        <v>0</v>
      </c>
      <c r="MX140" s="48">
        <v>78</v>
      </c>
      <c r="MY140" s="42">
        <v>-78</v>
      </c>
      <c r="MZ140" s="49">
        <v>7.8000000000000007</v>
      </c>
      <c r="NA140" s="50">
        <v>0</v>
      </c>
      <c r="NB140" s="48">
        <v>0</v>
      </c>
      <c r="NC140" s="48">
        <v>0</v>
      </c>
      <c r="ND140" s="48">
        <v>0</v>
      </c>
      <c r="NE140" s="43">
        <v>0</v>
      </c>
      <c r="NF140" s="49"/>
      <c r="NG140" s="50">
        <v>0</v>
      </c>
      <c r="NH140" s="48">
        <v>0</v>
      </c>
      <c r="NI140" s="48">
        <v>0</v>
      </c>
      <c r="NJ140" s="48">
        <v>0</v>
      </c>
      <c r="NK140" s="43">
        <v>0</v>
      </c>
      <c r="NL140" s="49"/>
      <c r="NM140" s="50">
        <v>0</v>
      </c>
      <c r="NN140" s="48">
        <v>0</v>
      </c>
      <c r="NO140" s="48">
        <v>40</v>
      </c>
      <c r="NP140" s="48">
        <v>60</v>
      </c>
      <c r="NQ140" s="42">
        <v>-20</v>
      </c>
      <c r="NR140" s="49">
        <v>2</v>
      </c>
      <c r="NS140" s="50">
        <v>0</v>
      </c>
      <c r="NT140" s="48">
        <v>0</v>
      </c>
      <c r="NU140" s="48">
        <v>0</v>
      </c>
      <c r="NV140" s="48">
        <v>0</v>
      </c>
      <c r="NW140" s="43">
        <v>0</v>
      </c>
      <c r="NX140" s="49"/>
      <c r="NY140" s="50">
        <v>0</v>
      </c>
      <c r="NZ140" s="48">
        <v>0</v>
      </c>
      <c r="OA140" s="48">
        <v>60</v>
      </c>
      <c r="OB140" s="48">
        <v>60</v>
      </c>
      <c r="OC140" s="43">
        <v>0</v>
      </c>
      <c r="OD140" s="49"/>
      <c r="OE140" s="50">
        <v>50</v>
      </c>
      <c r="OF140" s="48">
        <v>50</v>
      </c>
      <c r="OG140" s="43">
        <v>0</v>
      </c>
      <c r="OH140" s="49"/>
      <c r="OI140" s="50">
        <v>0</v>
      </c>
      <c r="OJ140" s="48">
        <v>0</v>
      </c>
      <c r="OK140" s="43">
        <v>0</v>
      </c>
      <c r="OL140" s="49"/>
      <c r="OM140" s="50">
        <v>0</v>
      </c>
      <c r="ON140" s="48">
        <v>0</v>
      </c>
      <c r="OO140" s="48">
        <v>0</v>
      </c>
      <c r="OP140" s="48">
        <v>0</v>
      </c>
      <c r="OQ140" s="43">
        <v>0</v>
      </c>
      <c r="OR140" s="49"/>
      <c r="OS140" s="50">
        <v>40</v>
      </c>
      <c r="OT140" s="48">
        <v>40</v>
      </c>
      <c r="OU140" s="43">
        <v>0</v>
      </c>
      <c r="OV140" s="49"/>
      <c r="OW140" s="50">
        <v>0</v>
      </c>
      <c r="OX140" s="48">
        <v>0</v>
      </c>
      <c r="OY140" s="48">
        <v>90</v>
      </c>
      <c r="OZ140" s="48">
        <v>90</v>
      </c>
      <c r="PA140" s="43">
        <v>0</v>
      </c>
      <c r="PB140" s="49"/>
      <c r="PC140" s="50"/>
      <c r="PF140" s="49"/>
      <c r="PG140" s="50"/>
      <c r="PL140" s="49"/>
      <c r="PM140" s="47"/>
      <c r="PN140" s="48"/>
      <c r="PP140" s="48"/>
      <c r="PR140" s="49"/>
      <c r="PS140" s="47"/>
      <c r="PX140" s="46"/>
      <c r="PY140" s="47"/>
      <c r="QB140" s="46"/>
      <c r="QC140" s="47"/>
      <c r="QH140" s="46"/>
      <c r="QI140" s="47"/>
      <c r="QN140" s="46"/>
      <c r="QO140" s="47"/>
      <c r="QT140" s="46"/>
      <c r="QU140" s="47"/>
      <c r="QX140" s="46"/>
      <c r="QY140" s="47"/>
      <c r="RD140" s="46"/>
    </row>
    <row r="141" spans="1:472" x14ac:dyDescent="0.25">
      <c r="A141" s="43" t="s">
        <v>429</v>
      </c>
      <c r="B141" s="44">
        <v>0.4</v>
      </c>
      <c r="F141">
        <v>17</v>
      </c>
      <c r="I141" s="45">
        <v>30</v>
      </c>
      <c r="J141" s="52">
        <v>32</v>
      </c>
      <c r="K141" s="52">
        <v>42</v>
      </c>
      <c r="L141" s="52">
        <v>45</v>
      </c>
      <c r="M141" s="51">
        <f t="shared" si="15"/>
        <v>-5</v>
      </c>
      <c r="N141" s="46"/>
      <c r="O141" s="45">
        <v>30</v>
      </c>
      <c r="P141" s="52">
        <v>32</v>
      </c>
      <c r="Q141" s="52">
        <v>54</v>
      </c>
      <c r="R141" s="52">
        <v>52</v>
      </c>
      <c r="S141" s="51">
        <f t="shared" si="16"/>
        <v>0</v>
      </c>
      <c r="T141" s="46"/>
      <c r="U141" s="45">
        <v>18</v>
      </c>
      <c r="V141" s="52">
        <v>20</v>
      </c>
      <c r="W141" s="51"/>
      <c r="X141" s="51"/>
      <c r="Y141" s="51">
        <f t="shared" si="17"/>
        <v>-2</v>
      </c>
      <c r="Z141" s="46"/>
      <c r="AA141" s="52">
        <v>18</v>
      </c>
      <c r="AB141">
        <v>16</v>
      </c>
      <c r="AC141">
        <v>18</v>
      </c>
      <c r="AD141">
        <v>18</v>
      </c>
      <c r="AE141" s="43">
        <v>2</v>
      </c>
      <c r="AF141" s="46"/>
      <c r="AG141" s="45">
        <v>42</v>
      </c>
      <c r="AH141">
        <v>40</v>
      </c>
      <c r="AI141">
        <v>60</v>
      </c>
      <c r="AJ141">
        <v>62</v>
      </c>
      <c r="AK141" s="43">
        <v>0</v>
      </c>
      <c r="AL141" s="46"/>
      <c r="AQ141" s="43">
        <v>0</v>
      </c>
      <c r="AR141" s="46"/>
      <c r="AS141">
        <v>42</v>
      </c>
      <c r="AT141">
        <v>40</v>
      </c>
      <c r="AU141">
        <v>42</v>
      </c>
      <c r="AV141">
        <v>45</v>
      </c>
      <c r="AW141" s="43">
        <v>-1</v>
      </c>
      <c r="AX141" s="46"/>
      <c r="AY141" s="47"/>
      <c r="BA141">
        <v>30</v>
      </c>
      <c r="BB141">
        <v>30</v>
      </c>
      <c r="BC141" s="43">
        <v>0</v>
      </c>
      <c r="BD141" s="46"/>
      <c r="BE141" s="47"/>
      <c r="BI141" s="43">
        <v>0</v>
      </c>
      <c r="BJ141" s="46"/>
      <c r="BK141">
        <v>30</v>
      </c>
      <c r="BL141">
        <v>30</v>
      </c>
      <c r="BP141" s="43">
        <v>0</v>
      </c>
      <c r="BQ141" s="46"/>
      <c r="BT141" s="43">
        <v>0</v>
      </c>
      <c r="BU141" s="46"/>
      <c r="BV141" s="45">
        <v>48</v>
      </c>
      <c r="BW141">
        <v>46</v>
      </c>
      <c r="BX141">
        <v>30</v>
      </c>
      <c r="BY141">
        <v>31</v>
      </c>
      <c r="BZ141" s="43">
        <v>1</v>
      </c>
      <c r="CA141" s="46"/>
      <c r="CF141" s="43">
        <v>0</v>
      </c>
      <c r="CG141" s="46"/>
      <c r="CL141" s="43">
        <v>0</v>
      </c>
      <c r="CM141" s="46"/>
      <c r="CN141" s="47"/>
      <c r="CP141" s="43">
        <v>48</v>
      </c>
      <c r="CQ141">
        <v>50</v>
      </c>
      <c r="CR141" s="43">
        <v>-2</v>
      </c>
      <c r="CS141" s="46"/>
      <c r="CX141" s="43">
        <v>0</v>
      </c>
      <c r="CY141" s="46"/>
      <c r="CZ141" s="47"/>
      <c r="DD141" s="43">
        <v>0</v>
      </c>
      <c r="DE141" s="46"/>
      <c r="DF141" s="47"/>
      <c r="DL141" s="43">
        <v>0</v>
      </c>
      <c r="DM141" s="46"/>
      <c r="DN141" s="47"/>
      <c r="DR141" s="43">
        <v>0</v>
      </c>
      <c r="DS141" s="46"/>
      <c r="EA141" s="46"/>
      <c r="EB141" s="47"/>
      <c r="EG141" s="46"/>
      <c r="EH141" s="47"/>
      <c r="EM141" s="46"/>
      <c r="EN141" s="47"/>
      <c r="ES141" s="46"/>
      <c r="FA141" s="46"/>
      <c r="FH141" s="46"/>
      <c r="FI141" s="47"/>
      <c r="FM141" s="46"/>
      <c r="FN141" s="45"/>
      <c r="FR141" s="46"/>
      <c r="FX141" s="46"/>
      <c r="FY141" s="47"/>
      <c r="GE141" s="46"/>
      <c r="GK141" s="46"/>
      <c r="GL141" s="47"/>
      <c r="GQ141" s="46"/>
      <c r="GW141" s="46"/>
      <c r="GX141" s="45"/>
      <c r="HA141" s="46"/>
      <c r="HB141" s="47"/>
      <c r="HG141" s="46"/>
      <c r="HH141" s="47"/>
      <c r="HK141" s="46"/>
      <c r="HL141" s="47"/>
      <c r="HQ141" s="46"/>
      <c r="HY141" s="46"/>
      <c r="HZ141" s="47"/>
      <c r="IE141" s="46"/>
      <c r="IK141" s="49"/>
      <c r="IQ141" s="49"/>
      <c r="IW141" s="49"/>
      <c r="JC141" s="46"/>
      <c r="JG141" s="49"/>
      <c r="JM141" s="46"/>
      <c r="JN141" s="50"/>
      <c r="JQ141" s="49"/>
      <c r="JW141" s="49"/>
      <c r="KC141" s="49"/>
      <c r="KI141" s="49"/>
      <c r="KO141" s="49"/>
      <c r="KP141" s="50"/>
      <c r="KV141" s="42"/>
      <c r="KW141" s="49"/>
      <c r="KX141" s="48"/>
      <c r="KY141" s="48"/>
      <c r="KZ141" s="48"/>
      <c r="LA141" s="48"/>
      <c r="LC141" s="49"/>
      <c r="LD141" s="48"/>
      <c r="LE141" s="48"/>
      <c r="LF141" s="48"/>
      <c r="LG141" s="48"/>
      <c r="LI141" s="49"/>
      <c r="LJ141" s="50"/>
      <c r="LK141" s="48"/>
      <c r="LM141" s="49"/>
      <c r="LN141" s="50"/>
      <c r="LO141" s="48"/>
      <c r="LP141" s="48"/>
      <c r="LQ141" s="48"/>
      <c r="LR141" s="48"/>
      <c r="LT141" s="49"/>
      <c r="LU141" s="50"/>
      <c r="LV141" s="48"/>
      <c r="LW141" s="48"/>
      <c r="LX141" s="48"/>
      <c r="LZ141" s="49"/>
      <c r="MA141" s="50"/>
      <c r="MB141" s="48"/>
      <c r="MD141" s="49"/>
      <c r="ME141" s="50"/>
      <c r="MF141" s="48"/>
      <c r="MG141" s="48"/>
      <c r="MH141" s="48"/>
      <c r="MJ141" s="49"/>
      <c r="MK141" s="50"/>
      <c r="ML141" s="48"/>
      <c r="MN141" s="49"/>
      <c r="MO141" s="50"/>
      <c r="MP141" s="48"/>
      <c r="MQ141" s="48"/>
      <c r="MR141" s="48"/>
      <c r="MT141" s="49"/>
      <c r="MU141" s="48"/>
      <c r="MV141" s="46"/>
      <c r="MW141" s="48"/>
      <c r="MX141" s="48"/>
      <c r="MY141" s="42"/>
      <c r="MZ141" s="49"/>
      <c r="NA141" s="50"/>
      <c r="NB141" s="48"/>
      <c r="NC141" s="48"/>
      <c r="ND141" s="48"/>
      <c r="NF141" s="49"/>
      <c r="NG141" s="50"/>
      <c r="NH141" s="48"/>
      <c r="NI141" s="48"/>
      <c r="NJ141" s="48"/>
      <c r="NL141" s="49"/>
      <c r="NM141" s="50"/>
      <c r="NN141" s="48"/>
      <c r="NO141" s="48"/>
      <c r="NP141" s="48"/>
      <c r="NQ141" s="42"/>
      <c r="NR141" s="49"/>
      <c r="NS141" s="50"/>
      <c r="NT141" s="48"/>
      <c r="NU141" s="48"/>
      <c r="NV141" s="48"/>
      <c r="NX141" s="49"/>
      <c r="NY141" s="50"/>
      <c r="NZ141" s="48"/>
      <c r="OA141" s="48"/>
      <c r="OB141" s="48"/>
      <c r="OD141" s="49"/>
      <c r="OE141" s="50"/>
      <c r="OF141" s="48"/>
      <c r="OH141" s="49"/>
      <c r="OI141" s="50"/>
      <c r="OJ141" s="48"/>
      <c r="OL141" s="49"/>
      <c r="OM141" s="50"/>
      <c r="ON141" s="48"/>
      <c r="OO141" s="48"/>
      <c r="OP141" s="48"/>
      <c r="OR141" s="49"/>
      <c r="OS141" s="50"/>
      <c r="OT141" s="48"/>
      <c r="OV141" s="49"/>
      <c r="OW141" s="50"/>
      <c r="OX141" s="48"/>
      <c r="OY141" s="48"/>
      <c r="OZ141" s="48"/>
      <c r="PB141" s="49"/>
      <c r="PC141" s="50"/>
      <c r="PF141" s="49"/>
      <c r="PG141" s="50"/>
      <c r="PL141" s="49"/>
      <c r="PM141" s="47"/>
      <c r="PN141" s="48"/>
      <c r="PP141" s="48"/>
      <c r="PR141" s="49"/>
      <c r="PS141" s="47"/>
      <c r="PX141" s="46"/>
      <c r="PY141" s="47"/>
      <c r="QB141" s="46"/>
      <c r="QC141" s="47"/>
      <c r="QH141" s="46"/>
      <c r="QI141" s="47"/>
      <c r="QN141" s="46"/>
      <c r="QO141" s="47"/>
      <c r="QT141" s="46"/>
      <c r="QU141" s="47"/>
      <c r="QX141" s="46"/>
      <c r="QY141" s="47"/>
      <c r="RD141" s="46"/>
    </row>
    <row r="142" spans="1:472" x14ac:dyDescent="0.25">
      <c r="A142" s="43" t="s">
        <v>430</v>
      </c>
      <c r="B142" s="44">
        <v>1</v>
      </c>
      <c r="I142" s="47"/>
      <c r="J142" s="51"/>
      <c r="K142" s="51"/>
      <c r="L142" s="51"/>
      <c r="M142" s="51">
        <f t="shared" si="15"/>
        <v>0</v>
      </c>
      <c r="N142" s="46"/>
      <c r="O142" s="47"/>
      <c r="P142" s="51"/>
      <c r="Q142" s="51"/>
      <c r="R142" s="51"/>
      <c r="S142" s="51">
        <f t="shared" si="16"/>
        <v>0</v>
      </c>
      <c r="T142" s="46"/>
      <c r="U142" s="47"/>
      <c r="V142" s="51"/>
      <c r="W142" s="51"/>
      <c r="X142" s="51"/>
      <c r="Y142" s="51">
        <f t="shared" si="17"/>
        <v>0</v>
      </c>
      <c r="Z142" s="46"/>
      <c r="AA142" s="51"/>
      <c r="AE142" s="43">
        <v>0</v>
      </c>
      <c r="AF142" s="46"/>
      <c r="AG142" s="47"/>
      <c r="AK142" s="43">
        <v>0</v>
      </c>
      <c r="AL142" s="46"/>
      <c r="AQ142" s="43">
        <v>0</v>
      </c>
      <c r="AR142" s="46"/>
      <c r="AW142" s="43">
        <v>0</v>
      </c>
      <c r="AX142" s="46"/>
      <c r="AY142" s="47"/>
      <c r="BC142" s="43">
        <v>0</v>
      </c>
      <c r="BD142" s="46"/>
      <c r="BE142" s="47"/>
      <c r="BI142" s="43">
        <v>0</v>
      </c>
      <c r="BJ142" s="46"/>
      <c r="BP142" s="43">
        <v>0</v>
      </c>
      <c r="BQ142" s="46"/>
      <c r="BT142" s="43">
        <v>0</v>
      </c>
      <c r="BU142" s="46"/>
      <c r="BV142" s="47"/>
      <c r="BZ142" s="43">
        <v>0</v>
      </c>
      <c r="CA142" s="46"/>
      <c r="CF142" s="43">
        <v>0</v>
      </c>
      <c r="CG142" s="46"/>
      <c r="CL142" s="43">
        <v>0</v>
      </c>
      <c r="CM142" s="46"/>
      <c r="CN142" s="47"/>
      <c r="CR142" s="43">
        <v>0</v>
      </c>
      <c r="CS142" s="46"/>
      <c r="CX142" s="43">
        <v>0</v>
      </c>
      <c r="CY142" s="46"/>
      <c r="CZ142" s="47"/>
      <c r="DD142" s="43">
        <v>0</v>
      </c>
      <c r="DE142" s="46"/>
      <c r="DF142" s="47"/>
      <c r="DL142" s="43">
        <v>0</v>
      </c>
      <c r="DM142" s="46"/>
      <c r="DN142" s="47"/>
      <c r="DR142" s="43">
        <v>0</v>
      </c>
      <c r="DS142" s="46"/>
      <c r="DZ142" s="43">
        <v>0</v>
      </c>
      <c r="EA142" s="46"/>
      <c r="EB142" s="47"/>
      <c r="EF142" s="43">
        <v>0</v>
      </c>
      <c r="EG142" s="46"/>
      <c r="EH142" s="47"/>
      <c r="EL142" s="43">
        <v>0</v>
      </c>
      <c r="EM142" s="46"/>
      <c r="EN142" s="47"/>
      <c r="ER142" s="43">
        <v>0</v>
      </c>
      <c r="ES142" s="46"/>
      <c r="EZ142" s="43">
        <v>0</v>
      </c>
      <c r="FA142" s="46"/>
      <c r="FG142" s="43">
        <v>0</v>
      </c>
      <c r="FH142" s="46"/>
      <c r="FI142" s="47"/>
      <c r="FL142" s="43">
        <v>0</v>
      </c>
      <c r="FM142" s="46"/>
      <c r="FN142" s="47"/>
      <c r="FQ142" s="43">
        <v>0</v>
      </c>
      <c r="FR142" s="46"/>
      <c r="FW142" s="43">
        <v>0</v>
      </c>
      <c r="FX142" s="46"/>
      <c r="FY142" s="47"/>
      <c r="GD142" s="43">
        <v>0</v>
      </c>
      <c r="GE142" s="46"/>
      <c r="GJ142" s="43">
        <v>0</v>
      </c>
      <c r="GK142" s="46"/>
      <c r="GL142" s="47"/>
      <c r="GP142" s="43">
        <v>0</v>
      </c>
      <c r="GQ142" s="46"/>
      <c r="GV142" s="43">
        <v>0</v>
      </c>
      <c r="GW142" s="46"/>
      <c r="GX142" s="47"/>
      <c r="GZ142" s="43">
        <v>0</v>
      </c>
      <c r="HA142" s="46"/>
      <c r="HB142" s="47"/>
      <c r="HF142" s="43">
        <v>0</v>
      </c>
      <c r="HG142" s="46"/>
      <c r="HH142" s="47"/>
      <c r="HJ142" s="43">
        <v>0</v>
      </c>
      <c r="HK142" s="46"/>
      <c r="HL142" s="47"/>
      <c r="HP142" s="43">
        <v>0</v>
      </c>
      <c r="HQ142" s="46"/>
      <c r="HX142" s="43">
        <v>0</v>
      </c>
      <c r="HY142" s="46"/>
      <c r="HZ142" s="47"/>
      <c r="ID142" s="43">
        <v>0</v>
      </c>
      <c r="IE142" s="46"/>
      <c r="IJ142" s="43">
        <v>0</v>
      </c>
      <c r="IK142" s="49"/>
      <c r="IP142" s="43">
        <v>0</v>
      </c>
      <c r="IQ142" s="49"/>
      <c r="IV142" s="43">
        <v>0</v>
      </c>
      <c r="IW142" s="49"/>
      <c r="JB142" s="43">
        <v>0</v>
      </c>
      <c r="JC142" s="46"/>
      <c r="JF142" s="43">
        <v>0</v>
      </c>
      <c r="JG142" s="49"/>
      <c r="JL142" s="43">
        <v>0</v>
      </c>
      <c r="JM142" s="46"/>
      <c r="JN142" s="50"/>
      <c r="JP142" s="43">
        <v>0</v>
      </c>
      <c r="JQ142" s="49"/>
      <c r="JV142" s="43">
        <v>0</v>
      </c>
      <c r="JW142" s="49"/>
      <c r="KB142" s="43">
        <v>0</v>
      </c>
      <c r="KC142" s="49"/>
      <c r="KH142" s="43">
        <v>0</v>
      </c>
      <c r="KI142" s="49"/>
      <c r="KN142" s="43">
        <v>0</v>
      </c>
      <c r="KO142" s="49"/>
      <c r="KP142" s="50"/>
      <c r="KV142" s="43">
        <v>0</v>
      </c>
      <c r="KW142" s="49"/>
      <c r="KX142" s="48">
        <v>0</v>
      </c>
      <c r="KY142" s="33">
        <v>30</v>
      </c>
      <c r="KZ142" s="48">
        <v>0</v>
      </c>
      <c r="LA142" s="32">
        <v>30</v>
      </c>
      <c r="LB142" s="42">
        <v>-28.96</v>
      </c>
      <c r="LC142" s="49">
        <v>28.96</v>
      </c>
      <c r="LD142" s="48">
        <v>0</v>
      </c>
      <c r="LE142" s="48">
        <v>0</v>
      </c>
      <c r="LF142" s="48">
        <v>49.527999999999999</v>
      </c>
      <c r="LG142" s="48">
        <v>49</v>
      </c>
      <c r="LH142" s="43">
        <v>0.52799999999999869</v>
      </c>
      <c r="LI142" s="49"/>
      <c r="LJ142" s="50">
        <v>0</v>
      </c>
      <c r="LK142" s="48">
        <v>0</v>
      </c>
      <c r="LL142" s="43">
        <v>0</v>
      </c>
      <c r="LM142" s="49"/>
      <c r="LN142" s="50">
        <v>0</v>
      </c>
      <c r="LO142" s="48">
        <v>0</v>
      </c>
      <c r="LP142" s="48">
        <v>136.834</v>
      </c>
      <c r="LQ142" s="48">
        <v>0</v>
      </c>
      <c r="LR142" s="48">
        <v>130</v>
      </c>
      <c r="LS142" s="43">
        <v>6.8340000000000032</v>
      </c>
      <c r="LT142" s="49"/>
      <c r="LU142" s="50">
        <v>0</v>
      </c>
      <c r="LV142" s="48">
        <v>0</v>
      </c>
      <c r="LW142" s="48">
        <v>12.835000000000001</v>
      </c>
      <c r="LX142" s="48">
        <v>12</v>
      </c>
      <c r="LY142" s="43">
        <v>0.83500000000000085</v>
      </c>
      <c r="LZ142" s="49"/>
      <c r="MA142" s="50">
        <v>64.350999999999999</v>
      </c>
      <c r="MB142" s="48">
        <v>65</v>
      </c>
      <c r="MC142" s="43">
        <v>-0.64900000000000091</v>
      </c>
      <c r="MD142" s="49"/>
      <c r="ME142" s="50">
        <v>13.058</v>
      </c>
      <c r="MF142" s="48">
        <v>10</v>
      </c>
      <c r="MG142" s="48">
        <v>32.274999999999999</v>
      </c>
      <c r="MH142" s="48">
        <v>34</v>
      </c>
      <c r="MI142" s="43">
        <v>1.332999999999998</v>
      </c>
      <c r="MJ142" s="49"/>
      <c r="MK142" s="50">
        <v>0</v>
      </c>
      <c r="ML142" s="48">
        <v>0</v>
      </c>
      <c r="MM142" s="43">
        <v>0</v>
      </c>
      <c r="MN142" s="49"/>
      <c r="MO142" s="50">
        <v>0</v>
      </c>
      <c r="MP142" s="48">
        <v>0</v>
      </c>
      <c r="MQ142" s="48">
        <v>0</v>
      </c>
      <c r="MR142" s="48">
        <v>0</v>
      </c>
      <c r="MS142" s="43">
        <v>0</v>
      </c>
      <c r="MT142" s="49"/>
      <c r="MU142" s="48">
        <v>0</v>
      </c>
      <c r="MV142" s="46"/>
      <c r="MW142" s="48">
        <v>0</v>
      </c>
      <c r="MX142" s="48">
        <v>0</v>
      </c>
      <c r="MY142" s="43">
        <v>0</v>
      </c>
      <c r="MZ142" s="49"/>
      <c r="NA142" s="50">
        <v>0</v>
      </c>
      <c r="NB142" s="48">
        <v>0</v>
      </c>
      <c r="NC142" s="48">
        <v>13.12</v>
      </c>
      <c r="ND142" s="48">
        <v>12</v>
      </c>
      <c r="NE142" s="43">
        <v>1.119999999999999</v>
      </c>
      <c r="NF142" s="49"/>
      <c r="NG142" s="50">
        <v>0</v>
      </c>
      <c r="NH142" s="48">
        <v>0</v>
      </c>
      <c r="NI142" s="48">
        <v>24.414999999999999</v>
      </c>
      <c r="NJ142" s="48">
        <v>28</v>
      </c>
      <c r="NK142" s="43">
        <v>-3.5850000000000009</v>
      </c>
      <c r="NL142" s="49"/>
      <c r="NM142" s="50">
        <v>0</v>
      </c>
      <c r="NN142" s="48">
        <v>0</v>
      </c>
      <c r="NO142" s="48">
        <v>0</v>
      </c>
      <c r="NP142" s="48">
        <v>0</v>
      </c>
      <c r="NQ142" s="43">
        <v>0</v>
      </c>
      <c r="NR142" s="49"/>
      <c r="NS142" s="50">
        <v>0</v>
      </c>
      <c r="NT142" s="48">
        <v>0</v>
      </c>
      <c r="NU142" s="48">
        <v>0</v>
      </c>
      <c r="NV142" s="48">
        <v>0</v>
      </c>
      <c r="NW142" s="43">
        <v>0</v>
      </c>
      <c r="NX142" s="49"/>
      <c r="NY142" s="50">
        <v>0</v>
      </c>
      <c r="NZ142" s="48">
        <v>0</v>
      </c>
      <c r="OA142" s="48">
        <v>31.137</v>
      </c>
      <c r="OB142" s="48">
        <v>30</v>
      </c>
      <c r="OC142" s="43">
        <v>1.137</v>
      </c>
      <c r="OD142" s="49"/>
      <c r="OE142" s="50">
        <v>31.757999999999999</v>
      </c>
      <c r="OF142" s="48">
        <v>30</v>
      </c>
      <c r="OG142" s="43">
        <v>1.7579999999999989</v>
      </c>
      <c r="OH142" s="49"/>
      <c r="OI142" s="50">
        <v>0</v>
      </c>
      <c r="OJ142" s="48">
        <v>0</v>
      </c>
      <c r="OK142" s="43">
        <v>0</v>
      </c>
      <c r="OL142" s="49"/>
      <c r="OM142" s="50">
        <v>0</v>
      </c>
      <c r="ON142" s="48">
        <v>0</v>
      </c>
      <c r="OO142" s="17">
        <v>18.53</v>
      </c>
      <c r="OP142" s="48">
        <v>0</v>
      </c>
      <c r="OQ142" s="43">
        <v>0</v>
      </c>
      <c r="OR142" s="49"/>
      <c r="OS142" s="50"/>
      <c r="OV142" s="49"/>
      <c r="OW142" s="50"/>
      <c r="PB142" s="49"/>
      <c r="PC142" s="50"/>
      <c r="PF142" s="49"/>
      <c r="PG142" s="50"/>
      <c r="PL142" s="49"/>
      <c r="PM142" s="47"/>
      <c r="PN142" s="48"/>
      <c r="PP142" s="48"/>
      <c r="PR142" s="49"/>
      <c r="PS142" s="47"/>
      <c r="PX142" s="46"/>
      <c r="PY142" s="47"/>
      <c r="QB142" s="46"/>
      <c r="QC142" s="47"/>
      <c r="QH142" s="46"/>
      <c r="QI142" s="47"/>
      <c r="QN142" s="46"/>
      <c r="QO142" s="47"/>
      <c r="QT142" s="46"/>
      <c r="QU142" s="47"/>
      <c r="QX142" s="46"/>
      <c r="QY142" s="47"/>
      <c r="RD142" s="46"/>
    </row>
    <row r="143" spans="1:472" x14ac:dyDescent="0.25">
      <c r="A143" s="43" t="s">
        <v>431</v>
      </c>
      <c r="B143" s="44">
        <v>0.6</v>
      </c>
      <c r="I143" s="47"/>
      <c r="J143" s="51"/>
      <c r="K143" s="51"/>
      <c r="L143" s="51"/>
      <c r="M143" s="51">
        <f t="shared" si="15"/>
        <v>0</v>
      </c>
      <c r="N143" s="46"/>
      <c r="O143" s="47"/>
      <c r="P143" s="51"/>
      <c r="Q143" s="51"/>
      <c r="R143" s="51"/>
      <c r="S143" s="51">
        <f t="shared" si="16"/>
        <v>0</v>
      </c>
      <c r="T143" s="46"/>
      <c r="U143" s="47"/>
      <c r="V143" s="51"/>
      <c r="W143" s="51"/>
      <c r="X143" s="51"/>
      <c r="Y143" s="51">
        <f t="shared" si="17"/>
        <v>0</v>
      </c>
      <c r="Z143" s="46"/>
      <c r="AA143" s="51"/>
      <c r="AE143" s="43">
        <v>0</v>
      </c>
      <c r="AF143" s="46"/>
      <c r="AG143" s="47"/>
      <c r="AK143" s="43">
        <v>0</v>
      </c>
      <c r="AL143" s="46"/>
      <c r="AQ143" s="43">
        <v>0</v>
      </c>
      <c r="AR143" s="46"/>
      <c r="AW143" s="43">
        <v>0</v>
      </c>
      <c r="AX143" s="46"/>
      <c r="AY143" s="47"/>
      <c r="BC143" s="43">
        <v>0</v>
      </c>
      <c r="BD143" s="46"/>
      <c r="BE143" s="47"/>
      <c r="BI143" s="43">
        <v>0</v>
      </c>
      <c r="BJ143" s="46"/>
      <c r="BP143" s="43">
        <v>0</v>
      </c>
      <c r="BQ143" s="46"/>
      <c r="BT143" s="43">
        <v>0</v>
      </c>
      <c r="BU143" s="46"/>
      <c r="BV143" s="47"/>
      <c r="BZ143" s="43">
        <v>0</v>
      </c>
      <c r="CA143" s="46"/>
      <c r="CF143" s="43">
        <v>0</v>
      </c>
      <c r="CG143" s="46"/>
      <c r="CL143" s="43">
        <v>0</v>
      </c>
      <c r="CM143" s="46"/>
      <c r="CN143" s="47"/>
      <c r="CR143" s="43">
        <v>0</v>
      </c>
      <c r="CS143" s="46"/>
      <c r="CX143" s="43">
        <v>0</v>
      </c>
      <c r="CY143" s="46"/>
      <c r="CZ143" s="47"/>
      <c r="DD143" s="43">
        <v>0</v>
      </c>
      <c r="DE143" s="46"/>
      <c r="DF143" s="47"/>
      <c r="DL143" s="43">
        <v>0</v>
      </c>
      <c r="DM143" s="46"/>
      <c r="DN143" s="47"/>
      <c r="DR143" s="43">
        <v>0</v>
      </c>
      <c r="DS143" s="46"/>
      <c r="DZ143" s="43">
        <v>0</v>
      </c>
      <c r="EA143" s="46"/>
      <c r="EB143" s="47"/>
      <c r="EF143" s="43">
        <v>0</v>
      </c>
      <c r="EG143" s="46"/>
      <c r="EH143" s="47"/>
      <c r="EL143" s="43">
        <v>0</v>
      </c>
      <c r="EM143" s="46"/>
      <c r="EN143" s="47"/>
      <c r="ER143" s="43">
        <v>0</v>
      </c>
      <c r="ES143" s="46"/>
      <c r="EZ143" s="43">
        <v>0</v>
      </c>
      <c r="FA143" s="46"/>
      <c r="FG143" s="43">
        <v>0</v>
      </c>
      <c r="FH143" s="46"/>
      <c r="FI143" s="47"/>
      <c r="FL143" s="43">
        <v>0</v>
      </c>
      <c r="FM143" s="46"/>
      <c r="FN143" s="47"/>
      <c r="FQ143" s="43">
        <v>0</v>
      </c>
      <c r="FR143" s="46"/>
      <c r="FW143" s="43">
        <v>0</v>
      </c>
      <c r="FX143" s="46"/>
      <c r="FY143" s="47"/>
      <c r="GD143" s="43">
        <v>0</v>
      </c>
      <c r="GE143" s="46"/>
      <c r="GJ143" s="43">
        <v>0</v>
      </c>
      <c r="GK143" s="46"/>
      <c r="GL143" s="47"/>
      <c r="GP143" s="43">
        <v>0</v>
      </c>
      <c r="GQ143" s="46"/>
      <c r="GV143" s="43">
        <v>0</v>
      </c>
      <c r="GW143" s="46"/>
      <c r="GX143" s="47"/>
      <c r="GZ143" s="43">
        <v>0</v>
      </c>
      <c r="HA143" s="46"/>
      <c r="HB143" s="47"/>
      <c r="HF143" s="43">
        <v>0</v>
      </c>
      <c r="HG143" s="46"/>
      <c r="HH143" s="47"/>
      <c r="HJ143" s="43">
        <v>0</v>
      </c>
      <c r="HK143" s="46"/>
      <c r="HL143" s="47"/>
      <c r="HP143" s="43">
        <v>0</v>
      </c>
      <c r="HQ143" s="46"/>
      <c r="HX143" s="43">
        <v>0</v>
      </c>
      <c r="HY143" s="46"/>
      <c r="HZ143" s="47"/>
      <c r="ID143" s="43">
        <v>0</v>
      </c>
      <c r="IE143" s="46"/>
      <c r="IJ143" s="43">
        <v>0</v>
      </c>
      <c r="IK143" s="49"/>
      <c r="IP143" s="43">
        <v>0</v>
      </c>
      <c r="IQ143" s="49"/>
      <c r="IR143">
        <v>96</v>
      </c>
      <c r="IS143">
        <v>100</v>
      </c>
      <c r="IT143">
        <v>88</v>
      </c>
      <c r="IU143">
        <v>89</v>
      </c>
      <c r="IV143" s="43">
        <v>-5</v>
      </c>
      <c r="IW143" s="49"/>
      <c r="IX143">
        <v>40</v>
      </c>
      <c r="IY143">
        <v>40</v>
      </c>
      <c r="IZ143">
        <v>40</v>
      </c>
      <c r="JA143">
        <v>40</v>
      </c>
      <c r="JB143" s="43">
        <v>0</v>
      </c>
      <c r="JC143" s="46"/>
      <c r="JD143">
        <v>96</v>
      </c>
      <c r="JE143">
        <v>96</v>
      </c>
      <c r="JF143" s="43">
        <v>0</v>
      </c>
      <c r="JG143" s="49"/>
      <c r="JL143" s="43">
        <v>0</v>
      </c>
      <c r="JM143" s="46"/>
      <c r="JN143" s="45">
        <v>32</v>
      </c>
      <c r="JO143" s="48">
        <v>30</v>
      </c>
      <c r="JP143" s="43">
        <v>2</v>
      </c>
      <c r="JQ143" s="49"/>
      <c r="JT143">
        <v>208</v>
      </c>
      <c r="JU143">
        <v>206</v>
      </c>
      <c r="JV143" s="43">
        <v>2</v>
      </c>
      <c r="JW143" s="49"/>
      <c r="KB143" s="43">
        <v>0</v>
      </c>
      <c r="KC143" s="49"/>
      <c r="KD143">
        <v>40</v>
      </c>
      <c r="KE143">
        <v>40</v>
      </c>
      <c r="KF143">
        <v>72</v>
      </c>
      <c r="KG143">
        <v>70</v>
      </c>
      <c r="KH143" s="43">
        <v>2</v>
      </c>
      <c r="KI143" s="49"/>
      <c r="KJ143">
        <v>48</v>
      </c>
      <c r="KK143">
        <v>50</v>
      </c>
      <c r="KL143">
        <v>136</v>
      </c>
      <c r="KM143">
        <v>140</v>
      </c>
      <c r="KN143" s="43">
        <v>-6</v>
      </c>
      <c r="KO143" s="49"/>
      <c r="KP143" s="50"/>
      <c r="KV143" s="43">
        <v>0</v>
      </c>
      <c r="KW143" s="49"/>
      <c r="KX143" s="48">
        <v>96</v>
      </c>
      <c r="KY143" s="48">
        <v>100</v>
      </c>
      <c r="KZ143" s="48">
        <v>96</v>
      </c>
      <c r="LA143" s="48">
        <v>100</v>
      </c>
      <c r="LB143" s="43">
        <v>-8</v>
      </c>
      <c r="LC143" s="49"/>
      <c r="LD143" s="48">
        <v>0</v>
      </c>
      <c r="LE143" s="48">
        <v>0</v>
      </c>
      <c r="LF143" s="48">
        <v>96</v>
      </c>
      <c r="LG143" s="48">
        <v>100</v>
      </c>
      <c r="LH143" s="43">
        <v>-4</v>
      </c>
      <c r="LI143" s="49"/>
      <c r="LJ143" s="50">
        <v>0</v>
      </c>
      <c r="LK143" s="48">
        <v>0</v>
      </c>
      <c r="LL143" s="43">
        <v>0</v>
      </c>
      <c r="LM143" s="49"/>
      <c r="LN143" s="50">
        <v>0</v>
      </c>
      <c r="LO143" s="48">
        <v>0</v>
      </c>
      <c r="LP143" s="48">
        <v>400</v>
      </c>
      <c r="LQ143" s="48">
        <v>400</v>
      </c>
      <c r="LR143" s="48">
        <v>80</v>
      </c>
      <c r="LS143" s="42">
        <v>-80</v>
      </c>
      <c r="LT143" s="49">
        <v>48</v>
      </c>
      <c r="LU143" s="50">
        <v>0</v>
      </c>
      <c r="LV143" s="48">
        <v>0</v>
      </c>
      <c r="LW143" s="48">
        <v>0</v>
      </c>
      <c r="LX143" s="48">
        <v>0</v>
      </c>
      <c r="LY143" s="43">
        <v>0</v>
      </c>
      <c r="LZ143" s="49"/>
      <c r="MA143" s="50">
        <v>0</v>
      </c>
      <c r="MB143" s="48">
        <v>0</v>
      </c>
      <c r="MC143" s="43">
        <v>0</v>
      </c>
      <c r="MD143" s="49"/>
      <c r="ME143" s="50">
        <v>0</v>
      </c>
      <c r="MF143" s="48">
        <v>0</v>
      </c>
      <c r="MG143" s="48">
        <v>72</v>
      </c>
      <c r="MH143" s="48">
        <v>70</v>
      </c>
      <c r="MI143" s="43">
        <v>2</v>
      </c>
      <c r="MJ143" s="49"/>
      <c r="MK143" s="50">
        <v>80</v>
      </c>
      <c r="ML143" s="48">
        <v>80</v>
      </c>
      <c r="MM143" s="43">
        <v>0</v>
      </c>
      <c r="MN143" s="49"/>
      <c r="MO143" s="50"/>
      <c r="MT143" s="49"/>
      <c r="MV143" s="46"/>
      <c r="MZ143" s="49"/>
      <c r="NA143" s="50"/>
      <c r="NF143" s="49"/>
      <c r="NG143" s="50"/>
      <c r="NL143" s="49"/>
      <c r="NM143" s="50"/>
      <c r="NR143" s="49"/>
      <c r="NS143" s="50"/>
      <c r="NX143" s="49"/>
      <c r="NY143" s="50"/>
      <c r="OD143" s="49"/>
      <c r="OE143" s="50"/>
      <c r="OH143" s="49"/>
      <c r="OI143" s="50"/>
      <c r="OL143" s="49"/>
      <c r="OM143" s="50"/>
      <c r="OR143" s="49"/>
      <c r="OS143" s="50"/>
      <c r="OV143" s="49"/>
      <c r="OW143" s="50"/>
      <c r="PB143" s="49"/>
      <c r="PC143" s="50"/>
      <c r="PF143" s="49"/>
      <c r="PG143" s="50"/>
      <c r="PL143" s="49"/>
      <c r="PM143" s="47"/>
      <c r="PN143" s="48"/>
      <c r="PP143" s="48"/>
      <c r="PR143" s="49"/>
      <c r="PS143" s="47"/>
      <c r="PX143" s="46"/>
      <c r="PY143" s="47"/>
      <c r="QB143" s="46"/>
      <c r="QC143" s="47"/>
      <c r="QH143" s="46"/>
      <c r="QI143" s="47"/>
      <c r="QN143" s="46"/>
      <c r="QO143" s="47"/>
      <c r="QT143" s="46"/>
      <c r="QU143" s="47"/>
      <c r="QX143" s="46"/>
      <c r="QY143" s="47"/>
      <c r="RD143" s="46"/>
    </row>
    <row r="144" spans="1:472" x14ac:dyDescent="0.25">
      <c r="A144" s="43" t="s">
        <v>432</v>
      </c>
      <c r="B144" s="44">
        <v>1</v>
      </c>
      <c r="I144" s="47"/>
      <c r="J144" s="51"/>
      <c r="K144" s="51"/>
      <c r="L144" s="51"/>
      <c r="M144" s="51">
        <f t="shared" si="15"/>
        <v>0</v>
      </c>
      <c r="N144" s="46"/>
      <c r="O144" s="47"/>
      <c r="P144" s="51"/>
      <c r="Q144" s="51"/>
      <c r="R144" s="51"/>
      <c r="S144" s="51">
        <f t="shared" si="16"/>
        <v>0</v>
      </c>
      <c r="T144" s="46"/>
      <c r="U144" s="47"/>
      <c r="V144" s="51"/>
      <c r="W144" s="51"/>
      <c r="X144" s="51"/>
      <c r="Y144" s="51">
        <f t="shared" si="17"/>
        <v>0</v>
      </c>
      <c r="Z144" s="46"/>
      <c r="AA144" s="51"/>
      <c r="AE144" s="43">
        <v>0</v>
      </c>
      <c r="AF144" s="46"/>
      <c r="AG144" s="47"/>
      <c r="AK144" s="43">
        <v>0</v>
      </c>
      <c r="AL144" s="46"/>
      <c r="AQ144" s="43">
        <v>0</v>
      </c>
      <c r="AR144" s="46"/>
      <c r="AW144" s="43">
        <v>0</v>
      </c>
      <c r="AX144" s="46"/>
      <c r="AY144" s="47"/>
      <c r="BC144" s="43">
        <v>0</v>
      </c>
      <c r="BD144" s="46"/>
      <c r="BE144" s="47"/>
      <c r="BI144" s="43">
        <v>0</v>
      </c>
      <c r="BJ144" s="46"/>
      <c r="BP144" s="43">
        <v>0</v>
      </c>
      <c r="BQ144" s="46"/>
      <c r="BT144" s="43">
        <v>0</v>
      </c>
      <c r="BU144" s="46"/>
      <c r="BV144" s="47"/>
      <c r="BZ144" s="43">
        <v>0</v>
      </c>
      <c r="CA144" s="46"/>
      <c r="CF144" s="43">
        <v>0</v>
      </c>
      <c r="CG144" s="46"/>
      <c r="CL144" s="43">
        <v>0</v>
      </c>
      <c r="CM144" s="46"/>
      <c r="CN144" s="47"/>
      <c r="CR144" s="43">
        <v>0</v>
      </c>
      <c r="CS144" s="46"/>
      <c r="CX144" s="43">
        <v>0</v>
      </c>
      <c r="CY144" s="46"/>
      <c r="CZ144" s="47"/>
      <c r="DD144" s="43">
        <v>0</v>
      </c>
      <c r="DE144" s="46"/>
      <c r="DF144" s="47"/>
      <c r="DL144" s="43">
        <v>0</v>
      </c>
      <c r="DM144" s="46"/>
      <c r="DN144" s="47"/>
      <c r="DR144" s="43">
        <v>0</v>
      </c>
      <c r="DS144" s="46"/>
      <c r="DZ144" s="43">
        <v>0</v>
      </c>
      <c r="EA144" s="46"/>
      <c r="EB144" s="47"/>
      <c r="EF144" s="43">
        <v>0</v>
      </c>
      <c r="EG144" s="46"/>
      <c r="EH144" s="47"/>
      <c r="EL144" s="43">
        <v>0</v>
      </c>
      <c r="EM144" s="46"/>
      <c r="EN144" s="47"/>
      <c r="ER144" s="43">
        <v>0</v>
      </c>
      <c r="ES144" s="46"/>
      <c r="EZ144" s="43">
        <v>0</v>
      </c>
      <c r="FA144" s="46"/>
      <c r="FG144" s="43">
        <v>0</v>
      </c>
      <c r="FH144" s="46"/>
      <c r="FI144" s="47"/>
      <c r="FL144" s="43">
        <v>0</v>
      </c>
      <c r="FM144" s="46"/>
      <c r="FN144" s="47"/>
      <c r="FQ144" s="43">
        <v>0</v>
      </c>
      <c r="FR144" s="46"/>
      <c r="FW144" s="43">
        <v>0</v>
      </c>
      <c r="FX144" s="46"/>
      <c r="FY144" s="47"/>
      <c r="GA144">
        <v>50</v>
      </c>
      <c r="GB144">
        <v>71</v>
      </c>
      <c r="GC144">
        <v>70</v>
      </c>
      <c r="GD144" s="42">
        <v>-49</v>
      </c>
      <c r="GE144" s="46">
        <v>49</v>
      </c>
      <c r="GJ144" s="43">
        <v>0</v>
      </c>
      <c r="GK144" s="46"/>
      <c r="GL144" s="47"/>
      <c r="GP144" s="43">
        <v>0</v>
      </c>
      <c r="GQ144" s="46"/>
      <c r="GT144">
        <v>161</v>
      </c>
      <c r="GU144">
        <v>160</v>
      </c>
      <c r="GV144" s="43">
        <v>1</v>
      </c>
      <c r="GW144" s="46"/>
      <c r="GX144" s="47"/>
      <c r="GZ144" s="43">
        <v>0</v>
      </c>
      <c r="HA144" s="46"/>
      <c r="HB144" s="47"/>
      <c r="HF144" s="43">
        <v>0</v>
      </c>
      <c r="HG144" s="46"/>
      <c r="HH144" s="45">
        <v>20</v>
      </c>
      <c r="HI144">
        <v>20</v>
      </c>
      <c r="HJ144" s="43">
        <v>0</v>
      </c>
      <c r="HK144" s="46"/>
      <c r="HL144" s="47"/>
      <c r="HN144">
        <v>39</v>
      </c>
      <c r="HO144">
        <v>39</v>
      </c>
      <c r="HP144" s="43">
        <v>0</v>
      </c>
      <c r="HQ144" s="46"/>
      <c r="HV144">
        <v>202</v>
      </c>
      <c r="HW144">
        <v>205</v>
      </c>
      <c r="HX144" s="43">
        <v>-3</v>
      </c>
      <c r="HY144" s="46"/>
      <c r="HZ144" s="47"/>
      <c r="IB144">
        <v>63</v>
      </c>
      <c r="IC144">
        <v>60</v>
      </c>
      <c r="ID144" s="43">
        <v>3</v>
      </c>
      <c r="IE144" s="46"/>
      <c r="IH144">
        <v>63</v>
      </c>
      <c r="II144">
        <v>60</v>
      </c>
      <c r="IJ144" s="43">
        <v>3</v>
      </c>
      <c r="IK144" s="49"/>
      <c r="IL144">
        <v>63</v>
      </c>
      <c r="IM144">
        <v>61</v>
      </c>
      <c r="IP144" s="43">
        <v>2</v>
      </c>
      <c r="IQ144" s="49"/>
      <c r="IR144">
        <v>83</v>
      </c>
      <c r="IS144">
        <v>80</v>
      </c>
      <c r="IT144">
        <v>83</v>
      </c>
      <c r="IU144">
        <v>80</v>
      </c>
      <c r="IV144" s="43">
        <v>6</v>
      </c>
      <c r="IW144" s="49"/>
      <c r="IZ144">
        <v>74</v>
      </c>
      <c r="JA144">
        <v>72</v>
      </c>
      <c r="JB144" s="43">
        <v>2</v>
      </c>
      <c r="JC144" s="46"/>
      <c r="JD144">
        <v>79</v>
      </c>
      <c r="JE144">
        <v>77</v>
      </c>
      <c r="JF144" s="43">
        <v>2</v>
      </c>
      <c r="JG144" s="49"/>
      <c r="JJ144">
        <v>43</v>
      </c>
      <c r="JK144">
        <v>43</v>
      </c>
      <c r="JL144" s="43">
        <v>0</v>
      </c>
      <c r="JM144" s="46"/>
      <c r="JN144" s="50"/>
      <c r="JP144" s="43">
        <v>0</v>
      </c>
      <c r="JQ144" s="49"/>
      <c r="JT144">
        <v>152</v>
      </c>
      <c r="JU144">
        <v>150</v>
      </c>
      <c r="JV144" s="43">
        <v>2</v>
      </c>
      <c r="JW144" s="49"/>
      <c r="JZ144">
        <v>144</v>
      </c>
      <c r="KA144">
        <v>145</v>
      </c>
      <c r="KB144" s="43">
        <v>-1</v>
      </c>
      <c r="KC144" s="49"/>
      <c r="KH144" s="43">
        <v>0</v>
      </c>
      <c r="KI144" s="49"/>
      <c r="KJ144">
        <v>52</v>
      </c>
      <c r="KK144">
        <v>50</v>
      </c>
      <c r="KL144">
        <v>91</v>
      </c>
      <c r="KM144">
        <v>90</v>
      </c>
      <c r="KN144" s="43">
        <v>3</v>
      </c>
      <c r="KO144" s="49"/>
      <c r="KP144" s="50"/>
      <c r="KV144" s="43">
        <v>0</v>
      </c>
      <c r="KW144" s="49"/>
      <c r="KX144" s="48">
        <v>0</v>
      </c>
      <c r="KY144" s="48">
        <v>0</v>
      </c>
      <c r="KZ144" s="48">
        <v>70.647000000000006</v>
      </c>
      <c r="LA144" s="48">
        <v>70</v>
      </c>
      <c r="LB144" s="43">
        <v>0.64700000000000557</v>
      </c>
      <c r="LC144" s="49"/>
      <c r="LD144" s="48">
        <v>0</v>
      </c>
      <c r="LE144" s="48">
        <v>0</v>
      </c>
      <c r="LF144" s="48">
        <v>113.42700000000001</v>
      </c>
      <c r="LG144" s="48">
        <v>112</v>
      </c>
      <c r="LH144" s="43">
        <v>1.4270000000000069</v>
      </c>
      <c r="LI144" s="49"/>
      <c r="LJ144" s="50">
        <v>0</v>
      </c>
      <c r="LK144" s="48">
        <v>0</v>
      </c>
      <c r="LL144" s="43">
        <v>0</v>
      </c>
      <c r="LM144" s="49"/>
      <c r="LN144" s="50">
        <v>0</v>
      </c>
      <c r="LO144" s="48">
        <v>0</v>
      </c>
      <c r="LP144" s="48">
        <v>112.245</v>
      </c>
      <c r="LQ144" s="48">
        <v>0</v>
      </c>
      <c r="LR144" s="48">
        <v>110</v>
      </c>
      <c r="LS144" s="43">
        <v>2.245000000000005</v>
      </c>
      <c r="LT144" s="49"/>
      <c r="LU144" s="50">
        <v>0</v>
      </c>
      <c r="LV144" s="48">
        <v>0</v>
      </c>
      <c r="LW144" s="48">
        <v>0</v>
      </c>
      <c r="LX144" s="48">
        <v>0</v>
      </c>
      <c r="LY144" s="43">
        <v>0</v>
      </c>
      <c r="LZ144" s="49"/>
      <c r="MA144" s="50">
        <v>19.777999999999999</v>
      </c>
      <c r="MB144" s="48">
        <v>20</v>
      </c>
      <c r="MC144" s="43">
        <v>-0.22200000000000131</v>
      </c>
      <c r="MD144" s="49"/>
      <c r="ME144" s="50">
        <v>11.86</v>
      </c>
      <c r="MF144" s="48">
        <v>10</v>
      </c>
      <c r="MG144" s="48">
        <v>31.588999999999999</v>
      </c>
      <c r="MH144" s="48">
        <v>30</v>
      </c>
      <c r="MI144" s="43">
        <v>3.4489999999999981</v>
      </c>
      <c r="MJ144" s="49"/>
      <c r="MK144" s="50">
        <v>12.268000000000001</v>
      </c>
      <c r="ML144" s="48">
        <v>10</v>
      </c>
      <c r="MM144" s="43">
        <v>2.2680000000000011</v>
      </c>
      <c r="MN144" s="49"/>
      <c r="MO144" s="50">
        <v>0</v>
      </c>
      <c r="MP144" s="48">
        <v>0</v>
      </c>
      <c r="MQ144" s="48">
        <v>51.194000000000003</v>
      </c>
      <c r="MR144" s="48">
        <v>50</v>
      </c>
      <c r="MS144" s="43">
        <v>1.1940000000000031</v>
      </c>
      <c r="MT144" s="49"/>
      <c r="MU144" s="48">
        <v>0</v>
      </c>
      <c r="MV144" s="46"/>
      <c r="MW144" s="48">
        <v>0</v>
      </c>
      <c r="MX144" s="48">
        <v>0</v>
      </c>
      <c r="MY144" s="43">
        <v>0</v>
      </c>
      <c r="MZ144" s="49"/>
      <c r="NA144" s="50">
        <v>0</v>
      </c>
      <c r="NB144" s="48">
        <v>0</v>
      </c>
      <c r="NC144" s="48">
        <v>0</v>
      </c>
      <c r="ND144" s="48">
        <v>0</v>
      </c>
      <c r="NE144" s="43">
        <v>0</v>
      </c>
      <c r="NF144" s="49"/>
      <c r="NG144" s="50">
        <v>0</v>
      </c>
      <c r="NH144" s="48">
        <v>0</v>
      </c>
      <c r="NI144" s="48">
        <v>82.656999999999996</v>
      </c>
      <c r="NJ144" s="48">
        <v>80</v>
      </c>
      <c r="NK144" s="43">
        <v>2.656999999999996</v>
      </c>
      <c r="NL144" s="49"/>
      <c r="NM144" s="50">
        <v>0</v>
      </c>
      <c r="NN144" s="48">
        <v>0</v>
      </c>
      <c r="NO144" s="48">
        <v>19.605</v>
      </c>
      <c r="NP144" s="48">
        <v>20</v>
      </c>
      <c r="NQ144" s="43">
        <v>-0.39499999999999957</v>
      </c>
      <c r="NR144" s="49"/>
      <c r="NS144" s="50">
        <v>0</v>
      </c>
      <c r="NT144" s="48">
        <v>0</v>
      </c>
      <c r="NU144" s="48">
        <v>127.887</v>
      </c>
      <c r="NV144" s="48">
        <v>129</v>
      </c>
      <c r="NW144" s="43">
        <v>-1.113</v>
      </c>
      <c r="NX144" s="49"/>
      <c r="NY144" s="50">
        <v>0</v>
      </c>
      <c r="NZ144" s="48">
        <v>0</v>
      </c>
      <c r="OA144" s="48">
        <v>0</v>
      </c>
      <c r="OB144" s="48">
        <v>0</v>
      </c>
      <c r="OC144" s="43">
        <v>0</v>
      </c>
      <c r="OD144" s="49"/>
      <c r="OE144" s="50">
        <v>23.75</v>
      </c>
      <c r="OF144" s="48">
        <v>20</v>
      </c>
      <c r="OG144" s="43">
        <v>3.75</v>
      </c>
      <c r="OH144" s="49"/>
      <c r="OI144" s="50">
        <v>75.216999999999999</v>
      </c>
      <c r="OJ144" s="48">
        <v>73</v>
      </c>
      <c r="OK144" s="43">
        <v>2.2169999999999992</v>
      </c>
      <c r="OL144" s="49"/>
      <c r="OM144" s="50">
        <v>0</v>
      </c>
      <c r="ON144" s="48">
        <v>0</v>
      </c>
      <c r="OO144" s="48">
        <v>0</v>
      </c>
      <c r="OP144" s="48">
        <v>0</v>
      </c>
      <c r="OQ144" s="43">
        <v>0</v>
      </c>
      <c r="OR144" s="49"/>
      <c r="OS144" s="50">
        <v>31.449000000000002</v>
      </c>
      <c r="OT144" s="48">
        <v>30</v>
      </c>
      <c r="OU144" s="43">
        <v>1.4490000000000021</v>
      </c>
      <c r="OV144" s="49"/>
      <c r="OW144" s="50">
        <v>0</v>
      </c>
      <c r="OX144" s="48">
        <v>0</v>
      </c>
      <c r="OY144" s="48">
        <v>0</v>
      </c>
      <c r="OZ144" s="48">
        <v>0</v>
      </c>
      <c r="PA144" s="43">
        <v>0</v>
      </c>
      <c r="PB144" s="49"/>
      <c r="PC144" s="23">
        <v>7.843</v>
      </c>
      <c r="PD144" s="48">
        <v>0</v>
      </c>
      <c r="PE144" s="43">
        <v>7.843</v>
      </c>
      <c r="PF144" s="49"/>
      <c r="PG144" s="50"/>
      <c r="PL144" s="49"/>
      <c r="PM144" s="18"/>
      <c r="PN144" s="48"/>
      <c r="PP144" s="48"/>
      <c r="PR144" s="49"/>
      <c r="PS144" s="8"/>
      <c r="PU144" s="7"/>
      <c r="PX144" s="46"/>
      <c r="PY144" s="8"/>
      <c r="QB144" s="46"/>
      <c r="QC144" s="8"/>
      <c r="QE144" s="7"/>
      <c r="QH144" s="46"/>
      <c r="QI144" s="47"/>
      <c r="QN144" s="46"/>
      <c r="QO144" s="47"/>
      <c r="QT144" s="46"/>
      <c r="QU144" s="47"/>
      <c r="QX144" s="46"/>
      <c r="QY144" s="47"/>
      <c r="RD144" s="46"/>
    </row>
    <row r="145" spans="1:472" x14ac:dyDescent="0.25">
      <c r="A145" s="43" t="s">
        <v>433</v>
      </c>
      <c r="B145" s="44">
        <v>1</v>
      </c>
      <c r="I145" s="47"/>
      <c r="J145" s="51"/>
      <c r="K145" s="51"/>
      <c r="L145" s="51"/>
      <c r="M145" s="51">
        <f t="shared" si="15"/>
        <v>0</v>
      </c>
      <c r="N145" s="46"/>
      <c r="O145" s="47"/>
      <c r="P145" s="51"/>
      <c r="Q145" s="51"/>
      <c r="R145" s="51"/>
      <c r="S145" s="51">
        <f t="shared" si="16"/>
        <v>0</v>
      </c>
      <c r="T145" s="46"/>
      <c r="U145" s="47"/>
      <c r="V145" s="51"/>
      <c r="W145" s="51"/>
      <c r="X145" s="51"/>
      <c r="Y145" s="51">
        <f t="shared" si="17"/>
        <v>0</v>
      </c>
      <c r="Z145" s="46"/>
      <c r="AA145" s="51"/>
      <c r="AE145" s="43">
        <v>0</v>
      </c>
      <c r="AF145" s="46"/>
      <c r="AG145" s="47"/>
      <c r="AK145" s="43">
        <v>0</v>
      </c>
      <c r="AL145" s="46"/>
      <c r="AQ145" s="43">
        <v>0</v>
      </c>
      <c r="AR145" s="46"/>
      <c r="AW145" s="43">
        <v>0</v>
      </c>
      <c r="AX145" s="46"/>
      <c r="AY145" s="47"/>
      <c r="BC145" s="43">
        <v>0</v>
      </c>
      <c r="BD145" s="46"/>
      <c r="BE145" s="47"/>
      <c r="BI145" s="43">
        <v>0</v>
      </c>
      <c r="BJ145" s="46"/>
      <c r="BP145" s="43">
        <v>0</v>
      </c>
      <c r="BQ145" s="46"/>
      <c r="BT145" s="43">
        <v>0</v>
      </c>
      <c r="BU145" s="46"/>
      <c r="BV145" s="47"/>
      <c r="BZ145" s="43">
        <v>0</v>
      </c>
      <c r="CA145" s="46"/>
      <c r="CF145" s="43">
        <v>0</v>
      </c>
      <c r="CG145" s="46"/>
      <c r="CL145" s="43">
        <v>0</v>
      </c>
      <c r="CM145" s="46"/>
      <c r="CN145" s="47"/>
      <c r="CR145" s="43">
        <v>0</v>
      </c>
      <c r="CS145" s="46"/>
      <c r="CX145" s="43">
        <v>0</v>
      </c>
      <c r="CY145" s="46"/>
      <c r="CZ145" s="47"/>
      <c r="DD145" s="43">
        <v>0</v>
      </c>
      <c r="DE145" s="46"/>
      <c r="DF145" s="47"/>
      <c r="DL145" s="43">
        <v>0</v>
      </c>
      <c r="DM145" s="46"/>
      <c r="DN145" s="47"/>
      <c r="DR145" s="43">
        <v>0</v>
      </c>
      <c r="DS145" s="46"/>
      <c r="DZ145" s="43">
        <v>0</v>
      </c>
      <c r="EA145" s="46"/>
      <c r="EB145" s="47"/>
      <c r="EF145" s="43">
        <v>0</v>
      </c>
      <c r="EG145" s="46"/>
      <c r="EH145" s="47"/>
      <c r="EL145" s="43">
        <v>0</v>
      </c>
      <c r="EM145" s="46"/>
      <c r="EN145" s="47"/>
      <c r="ER145" s="43">
        <v>0</v>
      </c>
      <c r="ES145" s="46"/>
      <c r="EZ145" s="43">
        <v>0</v>
      </c>
      <c r="FA145" s="46"/>
      <c r="FG145" s="43">
        <v>0</v>
      </c>
      <c r="FH145" s="46"/>
      <c r="FI145" s="47"/>
      <c r="FL145" s="43">
        <v>0</v>
      </c>
      <c r="FM145" s="46"/>
      <c r="FN145" s="47"/>
      <c r="FQ145" s="43">
        <v>0</v>
      </c>
      <c r="FR145" s="46"/>
      <c r="FW145" s="43">
        <v>0</v>
      </c>
      <c r="FX145" s="46"/>
      <c r="FY145" s="47"/>
      <c r="GD145" s="43">
        <v>0</v>
      </c>
      <c r="GE145" s="46"/>
      <c r="GJ145" s="43">
        <v>0</v>
      </c>
      <c r="GK145" s="46"/>
      <c r="GL145" s="47"/>
      <c r="GP145" s="43">
        <v>0</v>
      </c>
      <c r="GQ145" s="46"/>
      <c r="GV145" s="43">
        <v>0</v>
      </c>
      <c r="GW145" s="46"/>
      <c r="GX145" s="47"/>
      <c r="GZ145" s="43">
        <v>0</v>
      </c>
      <c r="HA145" s="46"/>
      <c r="HB145" s="47"/>
      <c r="HF145" s="43">
        <v>0</v>
      </c>
      <c r="HG145" s="46"/>
      <c r="HH145" s="45">
        <v>43</v>
      </c>
      <c r="HI145">
        <v>41</v>
      </c>
      <c r="HJ145" s="43">
        <v>2</v>
      </c>
      <c r="HK145" s="46"/>
      <c r="HL145" s="47"/>
      <c r="HP145" s="43">
        <v>0</v>
      </c>
      <c r="HQ145" s="46"/>
      <c r="HV145">
        <v>39</v>
      </c>
      <c r="HW145">
        <v>37</v>
      </c>
      <c r="HX145" s="43">
        <v>2</v>
      </c>
      <c r="HY145" s="46"/>
      <c r="HZ145" s="47"/>
      <c r="IB145">
        <v>12</v>
      </c>
      <c r="IC145">
        <v>10</v>
      </c>
      <c r="ID145" s="43">
        <v>2</v>
      </c>
      <c r="IE145" s="46"/>
      <c r="IJ145" s="43">
        <v>0</v>
      </c>
      <c r="IK145" s="49"/>
      <c r="IP145" s="43">
        <v>0</v>
      </c>
      <c r="IQ145" s="49"/>
      <c r="IR145">
        <v>32</v>
      </c>
      <c r="IS145">
        <v>30</v>
      </c>
      <c r="IT145">
        <v>31</v>
      </c>
      <c r="IU145">
        <v>30</v>
      </c>
      <c r="IV145" s="43">
        <v>3</v>
      </c>
      <c r="IW145" s="49"/>
      <c r="IZ145">
        <v>12</v>
      </c>
      <c r="JA145">
        <v>10</v>
      </c>
      <c r="JB145" s="43">
        <v>2</v>
      </c>
      <c r="JC145" s="46"/>
      <c r="JF145" s="43">
        <v>0</v>
      </c>
      <c r="JG145" s="49"/>
      <c r="JJ145">
        <v>16</v>
      </c>
      <c r="JK145">
        <v>15</v>
      </c>
      <c r="JL145" s="43">
        <v>1</v>
      </c>
      <c r="JM145" s="46"/>
      <c r="JN145" s="45">
        <v>39</v>
      </c>
      <c r="JO145" s="48">
        <v>37.9236</v>
      </c>
      <c r="JP145" s="43">
        <v>1.0764</v>
      </c>
      <c r="JQ145" s="49"/>
      <c r="JV145" s="43">
        <v>0</v>
      </c>
      <c r="JW145" s="49"/>
      <c r="KB145" s="43">
        <v>0</v>
      </c>
      <c r="KC145" s="49"/>
      <c r="KH145" s="43">
        <v>0</v>
      </c>
      <c r="KI145" s="49"/>
      <c r="KL145">
        <v>32</v>
      </c>
      <c r="KM145">
        <v>30</v>
      </c>
      <c r="KN145" s="43">
        <v>2</v>
      </c>
      <c r="KO145" s="49"/>
      <c r="KP145" s="50"/>
      <c r="KT145">
        <v>8</v>
      </c>
      <c r="KU145">
        <v>9</v>
      </c>
      <c r="KV145" s="43">
        <v>-1</v>
      </c>
      <c r="KW145" s="49"/>
      <c r="KX145" s="48">
        <v>0</v>
      </c>
      <c r="KY145" s="48">
        <v>0</v>
      </c>
      <c r="KZ145" s="48">
        <v>0</v>
      </c>
      <c r="LA145" s="48">
        <v>0</v>
      </c>
      <c r="LB145" s="43">
        <v>0</v>
      </c>
      <c r="LC145" s="49"/>
      <c r="LD145" s="48">
        <v>0</v>
      </c>
      <c r="LE145" s="48">
        <v>0</v>
      </c>
      <c r="LF145" s="48">
        <v>0</v>
      </c>
      <c r="LG145" s="48">
        <v>0</v>
      </c>
      <c r="LH145" s="43">
        <v>0</v>
      </c>
      <c r="LI145" s="49"/>
      <c r="LJ145" s="50">
        <v>70.271000000000001</v>
      </c>
      <c r="LK145" s="48">
        <v>69</v>
      </c>
      <c r="LL145" s="43">
        <v>1.271000000000001</v>
      </c>
      <c r="LM145" s="49"/>
      <c r="LN145" s="50">
        <v>0</v>
      </c>
      <c r="LO145" s="48">
        <v>0</v>
      </c>
      <c r="LP145" s="48">
        <v>0</v>
      </c>
      <c r="LQ145" s="48">
        <v>0</v>
      </c>
      <c r="LR145" s="48">
        <v>0</v>
      </c>
      <c r="LS145" s="43">
        <v>0</v>
      </c>
      <c r="LT145" s="49"/>
      <c r="LU145" s="50">
        <v>0</v>
      </c>
      <c r="LV145" s="48">
        <v>0</v>
      </c>
      <c r="LW145" s="48">
        <v>0</v>
      </c>
      <c r="LX145" s="48">
        <v>0</v>
      </c>
      <c r="LY145" s="43">
        <v>0</v>
      </c>
      <c r="LZ145" s="49"/>
      <c r="MA145" s="50">
        <v>81.891999999999996</v>
      </c>
      <c r="MB145" s="48">
        <v>80</v>
      </c>
      <c r="MC145" s="43">
        <v>1.8919999999999959</v>
      </c>
      <c r="MD145" s="49"/>
      <c r="ME145" s="50">
        <v>0</v>
      </c>
      <c r="MF145" s="48">
        <v>0</v>
      </c>
      <c r="MG145" s="48">
        <v>0</v>
      </c>
      <c r="MH145" s="48">
        <v>0</v>
      </c>
      <c r="MI145" s="43">
        <v>0</v>
      </c>
      <c r="MJ145" s="49"/>
      <c r="MK145" s="50">
        <v>31.870999999999999</v>
      </c>
      <c r="ML145" s="48">
        <v>30</v>
      </c>
      <c r="MM145" s="43">
        <v>1.8709999999999991</v>
      </c>
      <c r="MN145" s="49"/>
      <c r="MO145" s="50">
        <v>0</v>
      </c>
      <c r="MP145" s="48">
        <v>0</v>
      </c>
      <c r="MQ145" s="48">
        <v>0</v>
      </c>
      <c r="MR145" s="48">
        <v>0</v>
      </c>
      <c r="MS145" s="43">
        <v>0</v>
      </c>
      <c r="MT145" s="49"/>
      <c r="MU145" s="48">
        <v>0</v>
      </c>
      <c r="MV145" s="46"/>
      <c r="MW145" s="48">
        <v>0</v>
      </c>
      <c r="MX145" s="48">
        <v>0</v>
      </c>
      <c r="MY145" s="43">
        <v>0</v>
      </c>
      <c r="MZ145" s="49"/>
      <c r="NA145" s="50">
        <v>0</v>
      </c>
      <c r="NB145" s="48">
        <v>0</v>
      </c>
      <c r="NC145" s="48">
        <v>0</v>
      </c>
      <c r="ND145" s="48">
        <v>0</v>
      </c>
      <c r="NE145" s="43">
        <v>0</v>
      </c>
      <c r="NF145" s="49"/>
      <c r="NG145" s="25">
        <v>31.161000000000001</v>
      </c>
      <c r="NH145" s="48">
        <v>0</v>
      </c>
      <c r="NI145" s="48">
        <v>0</v>
      </c>
      <c r="NJ145" s="48">
        <v>0</v>
      </c>
      <c r="NK145" s="43">
        <v>31.161000000000001</v>
      </c>
      <c r="NL145" s="49"/>
      <c r="NM145" s="50">
        <v>0</v>
      </c>
      <c r="NN145" s="48">
        <v>0</v>
      </c>
      <c r="NO145" s="48">
        <v>0</v>
      </c>
      <c r="NP145" s="48">
        <v>0</v>
      </c>
      <c r="NQ145" s="43">
        <v>0</v>
      </c>
      <c r="NR145" s="49"/>
      <c r="NS145" s="50">
        <v>0</v>
      </c>
      <c r="NT145" s="48">
        <v>0</v>
      </c>
      <c r="NU145" s="48">
        <v>69.691999999999993</v>
      </c>
      <c r="NV145" s="48">
        <v>71</v>
      </c>
      <c r="NW145" s="43">
        <v>-1.3080000000000069</v>
      </c>
      <c r="NX145" s="49"/>
      <c r="NY145" s="50">
        <v>0</v>
      </c>
      <c r="NZ145" s="48">
        <v>0</v>
      </c>
      <c r="OA145" s="48">
        <v>27.565000000000001</v>
      </c>
      <c r="OB145" s="48">
        <v>26</v>
      </c>
      <c r="OC145" s="43">
        <v>1.5650000000000011</v>
      </c>
      <c r="OD145" s="49"/>
      <c r="OE145" s="50">
        <v>19.707999999999998</v>
      </c>
      <c r="OF145" s="48">
        <v>20</v>
      </c>
      <c r="OG145" s="43">
        <v>-0.29200000000000159</v>
      </c>
      <c r="OH145" s="49"/>
      <c r="OI145" s="50">
        <v>0</v>
      </c>
      <c r="OJ145" s="48">
        <v>0</v>
      </c>
      <c r="OK145" s="43">
        <v>0</v>
      </c>
      <c r="OL145" s="49"/>
      <c r="OM145" s="50">
        <v>0</v>
      </c>
      <c r="ON145" s="48">
        <v>0</v>
      </c>
      <c r="OO145" s="48">
        <v>0</v>
      </c>
      <c r="OP145" s="48">
        <v>0</v>
      </c>
      <c r="OQ145" s="43">
        <v>0</v>
      </c>
      <c r="OR145" s="49"/>
      <c r="OS145" s="50">
        <v>0</v>
      </c>
      <c r="OT145" s="48">
        <v>0</v>
      </c>
      <c r="OU145" s="43">
        <v>0</v>
      </c>
      <c r="OV145" s="49"/>
      <c r="OW145" s="50">
        <v>0</v>
      </c>
      <c r="OX145" s="48">
        <v>0</v>
      </c>
      <c r="OY145" s="17">
        <v>93.578000000000003</v>
      </c>
      <c r="OZ145" s="48">
        <v>0</v>
      </c>
      <c r="PA145" s="43">
        <v>0</v>
      </c>
      <c r="PB145" s="49"/>
      <c r="PC145" s="50"/>
      <c r="PF145" s="49"/>
      <c r="PG145" s="50"/>
      <c r="PL145" s="49"/>
      <c r="PM145" s="47"/>
      <c r="PN145" s="48"/>
      <c r="PP145" s="48"/>
      <c r="PR145" s="49"/>
      <c r="PS145" s="47"/>
      <c r="PX145" s="46"/>
      <c r="PY145" s="47"/>
      <c r="QB145" s="46"/>
      <c r="QC145" s="47"/>
      <c r="QH145" s="46"/>
      <c r="QI145" s="47"/>
      <c r="QN145" s="46"/>
      <c r="QO145" s="47"/>
      <c r="QT145" s="46"/>
      <c r="QU145" s="47"/>
      <c r="QX145" s="46"/>
      <c r="QY145" s="47"/>
      <c r="RD145" s="46"/>
    </row>
    <row r="146" spans="1:472" x14ac:dyDescent="0.25">
      <c r="A146" s="43" t="s">
        <v>434</v>
      </c>
      <c r="B146" s="44">
        <v>1</v>
      </c>
      <c r="I146" s="47"/>
      <c r="J146" s="51"/>
      <c r="K146" s="51"/>
      <c r="L146" s="51"/>
      <c r="M146" s="51">
        <f t="shared" si="15"/>
        <v>0</v>
      </c>
      <c r="N146" s="46"/>
      <c r="O146" s="47"/>
      <c r="P146" s="51"/>
      <c r="Q146" s="51"/>
      <c r="R146" s="51"/>
      <c r="S146" s="51">
        <f t="shared" si="16"/>
        <v>0</v>
      </c>
      <c r="T146" s="46"/>
      <c r="U146" s="47"/>
      <c r="V146" s="51"/>
      <c r="W146" s="51"/>
      <c r="X146" s="51"/>
      <c r="Y146" s="51">
        <f t="shared" si="17"/>
        <v>0</v>
      </c>
      <c r="Z146" s="46"/>
      <c r="AA146" s="51"/>
      <c r="AE146" s="43">
        <v>0</v>
      </c>
      <c r="AF146" s="46"/>
      <c r="AG146" s="47"/>
      <c r="AK146" s="43">
        <v>0</v>
      </c>
      <c r="AL146" s="46"/>
      <c r="AQ146" s="43">
        <v>0</v>
      </c>
      <c r="AR146" s="46"/>
      <c r="AW146" s="43">
        <v>0</v>
      </c>
      <c r="AX146" s="46"/>
      <c r="AY146" s="47"/>
      <c r="BC146" s="43">
        <v>0</v>
      </c>
      <c r="BD146" s="46"/>
      <c r="BE146" s="47"/>
      <c r="BI146" s="43">
        <v>0</v>
      </c>
      <c r="BJ146" s="46"/>
      <c r="BP146" s="43">
        <v>0</v>
      </c>
      <c r="BQ146" s="46"/>
      <c r="BT146" s="43">
        <v>0</v>
      </c>
      <c r="BU146" s="46"/>
      <c r="BV146" s="47"/>
      <c r="BZ146" s="43">
        <v>0</v>
      </c>
      <c r="CA146" s="46"/>
      <c r="CF146" s="43">
        <v>0</v>
      </c>
      <c r="CG146" s="46"/>
      <c r="CL146" s="43">
        <v>0</v>
      </c>
      <c r="CM146" s="46"/>
      <c r="CN146" s="47"/>
      <c r="CR146" s="43">
        <v>0</v>
      </c>
      <c r="CS146" s="46"/>
      <c r="CX146" s="43">
        <v>0</v>
      </c>
      <c r="CY146" s="46"/>
      <c r="CZ146" s="47"/>
      <c r="DD146" s="43">
        <v>0</v>
      </c>
      <c r="DE146" s="46"/>
      <c r="DF146" s="47"/>
      <c r="DL146" s="43">
        <v>0</v>
      </c>
      <c r="DM146" s="46"/>
      <c r="DN146" s="47"/>
      <c r="DR146" s="43">
        <v>0</v>
      </c>
      <c r="DS146" s="46"/>
      <c r="DZ146" s="43">
        <v>0</v>
      </c>
      <c r="EA146" s="46"/>
      <c r="EB146" s="47"/>
      <c r="EF146" s="43">
        <v>0</v>
      </c>
      <c r="EG146" s="46"/>
      <c r="EH146" s="47"/>
      <c r="EL146" s="43">
        <v>0</v>
      </c>
      <c r="EM146" s="46"/>
      <c r="EN146" s="47"/>
      <c r="ER146" s="43">
        <v>0</v>
      </c>
      <c r="ES146" s="46"/>
      <c r="EZ146" s="43">
        <v>0</v>
      </c>
      <c r="FA146" s="46"/>
      <c r="FG146" s="43">
        <v>0</v>
      </c>
      <c r="FH146" s="46"/>
      <c r="FI146" s="47"/>
      <c r="FL146" s="43">
        <v>0</v>
      </c>
      <c r="FM146" s="46"/>
      <c r="FN146" s="47"/>
      <c r="FQ146" s="43">
        <v>0</v>
      </c>
      <c r="FR146" s="46"/>
      <c r="FW146" s="43">
        <v>0</v>
      </c>
      <c r="FX146" s="46"/>
      <c r="FY146" s="47"/>
      <c r="GD146" s="43">
        <v>0</v>
      </c>
      <c r="GE146" s="46"/>
      <c r="GJ146" s="43">
        <v>0</v>
      </c>
      <c r="GK146" s="46"/>
      <c r="GL146" s="47"/>
      <c r="GP146" s="43">
        <v>0</v>
      </c>
      <c r="GQ146" s="46"/>
      <c r="GV146" s="43">
        <v>0</v>
      </c>
      <c r="GW146" s="46"/>
      <c r="GX146" s="47"/>
      <c r="GZ146" s="43">
        <v>0</v>
      </c>
      <c r="HA146" s="46"/>
      <c r="HB146" s="47"/>
      <c r="HF146" s="43">
        <v>0</v>
      </c>
      <c r="HG146" s="46"/>
      <c r="HH146" s="47"/>
      <c r="HJ146" s="43">
        <v>0</v>
      </c>
      <c r="HK146" s="46"/>
      <c r="HL146" s="47"/>
      <c r="HP146" s="43">
        <v>0</v>
      </c>
      <c r="HQ146" s="46"/>
      <c r="HX146" s="43">
        <v>0</v>
      </c>
      <c r="HY146" s="46"/>
      <c r="HZ146" s="47"/>
      <c r="ID146" s="43">
        <v>0</v>
      </c>
      <c r="IE146" s="46"/>
      <c r="IJ146" s="43">
        <v>0</v>
      </c>
      <c r="IK146" s="49"/>
      <c r="IP146" s="43">
        <v>0</v>
      </c>
      <c r="IQ146" s="49"/>
      <c r="IV146" s="43">
        <v>0</v>
      </c>
      <c r="IW146" s="49"/>
      <c r="JB146" s="43">
        <v>0</v>
      </c>
      <c r="JC146" s="46"/>
      <c r="JF146" s="43">
        <v>0</v>
      </c>
      <c r="JG146" s="49"/>
      <c r="JL146" s="43">
        <v>0</v>
      </c>
      <c r="JM146" s="46"/>
      <c r="JN146" s="50"/>
      <c r="JP146" s="43">
        <v>0</v>
      </c>
      <c r="JQ146" s="49"/>
      <c r="JV146" s="43">
        <v>0</v>
      </c>
      <c r="JW146" s="49"/>
      <c r="KB146" s="43">
        <v>0</v>
      </c>
      <c r="KC146" s="49"/>
      <c r="KH146" s="43">
        <v>0</v>
      </c>
      <c r="KI146" s="49"/>
      <c r="KN146" s="43">
        <v>0</v>
      </c>
      <c r="KO146" s="49"/>
      <c r="KP146" s="50"/>
      <c r="KV146" s="43">
        <v>0</v>
      </c>
      <c r="KW146" s="49"/>
      <c r="KX146" s="48">
        <v>0</v>
      </c>
      <c r="KY146" s="48">
        <v>0</v>
      </c>
      <c r="KZ146" s="48">
        <v>0</v>
      </c>
      <c r="LA146" s="48">
        <v>0</v>
      </c>
      <c r="LB146" s="43">
        <v>0</v>
      </c>
      <c r="LC146" s="49"/>
      <c r="LD146" s="48">
        <v>0</v>
      </c>
      <c r="LE146" s="48">
        <v>0</v>
      </c>
      <c r="LF146" s="48">
        <v>0</v>
      </c>
      <c r="LG146" s="48">
        <v>0</v>
      </c>
      <c r="LH146" s="43">
        <v>0</v>
      </c>
      <c r="LI146" s="49"/>
      <c r="LJ146" s="50">
        <v>0</v>
      </c>
      <c r="LK146" s="48">
        <v>0</v>
      </c>
      <c r="LL146" s="43">
        <v>0</v>
      </c>
      <c r="LM146" s="49"/>
      <c r="LN146" s="50">
        <v>0</v>
      </c>
      <c r="LO146" s="48">
        <v>0</v>
      </c>
      <c r="LP146" s="48">
        <v>0</v>
      </c>
      <c r="LQ146" s="48">
        <v>0</v>
      </c>
      <c r="LR146" s="32">
        <v>60</v>
      </c>
      <c r="LS146" s="43">
        <v>-0.29999999999999721</v>
      </c>
      <c r="LT146" s="49"/>
      <c r="LU146" s="50">
        <v>0</v>
      </c>
      <c r="LV146" s="48">
        <v>0</v>
      </c>
      <c r="LW146" s="48">
        <v>71.650000000000006</v>
      </c>
      <c r="LX146" s="48">
        <v>70</v>
      </c>
      <c r="LY146" s="43">
        <v>1.6500000000000059</v>
      </c>
      <c r="LZ146" s="49"/>
      <c r="MA146" s="50">
        <v>47.8</v>
      </c>
      <c r="MB146" s="48">
        <v>50</v>
      </c>
      <c r="MC146" s="43">
        <v>-2.2000000000000028</v>
      </c>
      <c r="MD146" s="49"/>
      <c r="ME146" s="50">
        <v>12.061999999999999</v>
      </c>
      <c r="MF146" s="48">
        <v>10</v>
      </c>
      <c r="MG146" s="48">
        <v>17.984999999999999</v>
      </c>
      <c r="MH146" s="48">
        <v>20</v>
      </c>
      <c r="MI146" s="43">
        <v>4.6999999999997037E-2</v>
      </c>
      <c r="MJ146" s="49"/>
      <c r="MK146" s="50">
        <v>131.47</v>
      </c>
      <c r="ML146" s="48">
        <v>130</v>
      </c>
      <c r="MM146" s="43">
        <v>1.4699999999999991</v>
      </c>
      <c r="MN146" s="49"/>
      <c r="MO146" s="50">
        <v>0</v>
      </c>
      <c r="MP146" s="48">
        <v>0</v>
      </c>
      <c r="MQ146" s="48">
        <v>0</v>
      </c>
      <c r="MR146" s="48">
        <v>0</v>
      </c>
      <c r="MS146" s="43">
        <v>0</v>
      </c>
      <c r="MT146" s="49"/>
      <c r="MU146" s="48">
        <v>0</v>
      </c>
      <c r="MV146" s="46"/>
      <c r="MW146" s="48">
        <v>72.349999999999994</v>
      </c>
      <c r="MX146" s="48">
        <v>75</v>
      </c>
      <c r="MY146" s="43">
        <v>-2.6500000000000061</v>
      </c>
      <c r="MZ146" s="49"/>
      <c r="NA146" s="50">
        <v>0</v>
      </c>
      <c r="NB146" s="48">
        <v>0</v>
      </c>
      <c r="NC146" s="48">
        <v>42.255000000000003</v>
      </c>
      <c r="ND146" s="48">
        <v>43</v>
      </c>
      <c r="NE146" s="43">
        <v>-0.74499999999999744</v>
      </c>
      <c r="NF146" s="49"/>
      <c r="NG146" s="50">
        <v>0</v>
      </c>
      <c r="NH146" s="48">
        <v>0</v>
      </c>
      <c r="NI146" s="48">
        <v>0</v>
      </c>
      <c r="NJ146" s="48">
        <v>0</v>
      </c>
      <c r="NK146" s="43">
        <v>0</v>
      </c>
      <c r="NL146" s="49"/>
      <c r="NM146" s="50">
        <v>0</v>
      </c>
      <c r="NN146" s="48">
        <v>0</v>
      </c>
      <c r="NO146" s="48">
        <v>0</v>
      </c>
      <c r="NP146" s="48">
        <v>0</v>
      </c>
      <c r="NQ146" s="43">
        <v>0</v>
      </c>
      <c r="NR146" s="49"/>
      <c r="NS146" s="50">
        <v>0</v>
      </c>
      <c r="NT146" s="48">
        <v>0</v>
      </c>
      <c r="NU146" s="48">
        <v>0</v>
      </c>
      <c r="NV146" s="48">
        <v>0</v>
      </c>
      <c r="NW146" s="43">
        <v>0</v>
      </c>
      <c r="NX146" s="49"/>
      <c r="NY146" s="50">
        <v>0</v>
      </c>
      <c r="NZ146" s="48">
        <v>0</v>
      </c>
      <c r="OA146" s="48">
        <v>108.095</v>
      </c>
      <c r="OB146" s="48">
        <v>107</v>
      </c>
      <c r="OC146" s="43">
        <v>1.0949999999999991</v>
      </c>
      <c r="OD146" s="49"/>
      <c r="OE146" s="50">
        <v>150.64500000000001</v>
      </c>
      <c r="OF146" s="48">
        <v>150</v>
      </c>
      <c r="OG146" s="43">
        <v>0.64500000000001023</v>
      </c>
      <c r="OH146" s="49"/>
      <c r="OI146" s="50">
        <v>0</v>
      </c>
      <c r="OJ146" s="48">
        <v>0</v>
      </c>
      <c r="OK146" s="43">
        <v>0</v>
      </c>
      <c r="OL146" s="49"/>
      <c r="OM146" s="50">
        <v>119.65</v>
      </c>
      <c r="ON146" s="48">
        <v>120</v>
      </c>
      <c r="OO146" s="48">
        <v>77.540000000000006</v>
      </c>
      <c r="OP146" s="48">
        <v>80</v>
      </c>
      <c r="OQ146" s="43">
        <v>-2.8100000000000018</v>
      </c>
      <c r="OR146" s="49"/>
      <c r="OS146" s="50">
        <v>0</v>
      </c>
      <c r="OT146" s="48">
        <v>0</v>
      </c>
      <c r="OU146" s="43">
        <v>0</v>
      </c>
      <c r="OV146" s="49"/>
      <c r="OW146" s="50">
        <v>0</v>
      </c>
      <c r="OX146" s="48">
        <v>0</v>
      </c>
      <c r="OY146" s="48">
        <v>0</v>
      </c>
      <c r="OZ146" s="48">
        <v>0</v>
      </c>
      <c r="PA146" s="43">
        <v>0</v>
      </c>
      <c r="PB146" s="49"/>
      <c r="PC146" s="50">
        <v>30.34</v>
      </c>
      <c r="PD146" s="48">
        <v>0</v>
      </c>
      <c r="PE146" s="43">
        <v>30.34</v>
      </c>
      <c r="PF146" s="49"/>
      <c r="PG146" s="50">
        <v>0</v>
      </c>
      <c r="PH146" s="48">
        <v>0</v>
      </c>
      <c r="PI146" s="48">
        <v>0</v>
      </c>
      <c r="PJ146" s="48">
        <v>0</v>
      </c>
      <c r="PK146" s="43">
        <v>0</v>
      </c>
      <c r="PL146" s="49"/>
      <c r="PM146" s="47">
        <v>0</v>
      </c>
      <c r="PN146" s="48">
        <v>0</v>
      </c>
      <c r="PO146" s="17">
        <v>239.185</v>
      </c>
      <c r="PP146" s="48">
        <v>0</v>
      </c>
      <c r="PQ146" s="43">
        <v>0</v>
      </c>
      <c r="PR146" s="49"/>
      <c r="PS146" s="8"/>
      <c r="PU146" s="7"/>
      <c r="PX146" s="46"/>
      <c r="PY146" s="8"/>
      <c r="QB146" s="46"/>
      <c r="QC146" s="8"/>
      <c r="QE146" s="7"/>
      <c r="QH146" s="46"/>
      <c r="QI146" s="47"/>
      <c r="QN146" s="46"/>
      <c r="QO146" s="47"/>
      <c r="QT146" s="46"/>
      <c r="QU146" s="47"/>
      <c r="QX146" s="46"/>
      <c r="QY146" s="47"/>
      <c r="RD146" s="46"/>
    </row>
    <row r="147" spans="1:472" x14ac:dyDescent="0.25">
      <c r="A147" s="43" t="s">
        <v>435</v>
      </c>
      <c r="B147" s="44">
        <v>1</v>
      </c>
      <c r="E147">
        <v>30</v>
      </c>
      <c r="I147" s="45">
        <v>18</v>
      </c>
      <c r="J147" s="52">
        <v>20</v>
      </c>
      <c r="K147" s="52">
        <v>36</v>
      </c>
      <c r="L147" s="52">
        <v>37</v>
      </c>
      <c r="M147" s="51">
        <f t="shared" si="15"/>
        <v>-3</v>
      </c>
      <c r="N147" s="46"/>
      <c r="O147" s="47"/>
      <c r="P147" s="51"/>
      <c r="Q147" s="51"/>
      <c r="R147" s="51"/>
      <c r="S147" s="51">
        <f t="shared" si="16"/>
        <v>0</v>
      </c>
      <c r="T147" s="46"/>
      <c r="U147" s="45">
        <v>12</v>
      </c>
      <c r="V147" s="52">
        <v>10</v>
      </c>
      <c r="W147" s="52">
        <v>12</v>
      </c>
      <c r="X147" s="52">
        <v>14</v>
      </c>
      <c r="Y147" s="51">
        <f t="shared" si="17"/>
        <v>0</v>
      </c>
      <c r="Z147" s="46"/>
      <c r="AA147" s="51"/>
      <c r="AC147">
        <v>35</v>
      </c>
      <c r="AD147">
        <v>37</v>
      </c>
      <c r="AE147" s="43">
        <v>-2</v>
      </c>
      <c r="AF147" s="46"/>
      <c r="AG147" s="45">
        <v>6</v>
      </c>
      <c r="AH147">
        <v>6</v>
      </c>
      <c r="AK147" s="43">
        <v>0</v>
      </c>
      <c r="AL147" s="46"/>
      <c r="AO147">
        <v>31</v>
      </c>
      <c r="AP147">
        <v>32</v>
      </c>
      <c r="AQ147" s="43">
        <v>-1</v>
      </c>
      <c r="AR147" s="46"/>
      <c r="AU147">
        <v>18</v>
      </c>
      <c r="AV147">
        <v>17</v>
      </c>
      <c r="AW147" s="43">
        <v>1</v>
      </c>
      <c r="AX147" s="46"/>
      <c r="AY147" s="47"/>
      <c r="BC147" s="43">
        <v>0</v>
      </c>
      <c r="BD147" s="46"/>
      <c r="BE147" s="47"/>
      <c r="BG147">
        <v>18</v>
      </c>
      <c r="BH147">
        <v>16</v>
      </c>
      <c r="BI147" s="43">
        <v>2</v>
      </c>
      <c r="BJ147" s="46"/>
      <c r="BN147">
        <v>18</v>
      </c>
      <c r="BO147">
        <v>18</v>
      </c>
      <c r="BP147" s="43">
        <v>0</v>
      </c>
      <c r="BQ147" s="46"/>
      <c r="BT147" s="43">
        <v>0</v>
      </c>
      <c r="BU147" s="46"/>
      <c r="BV147" s="47"/>
      <c r="BX147">
        <v>6</v>
      </c>
      <c r="BY147">
        <v>4</v>
      </c>
      <c r="BZ147" s="43">
        <v>2</v>
      </c>
      <c r="CA147" s="46"/>
      <c r="CD147">
        <v>24</v>
      </c>
      <c r="CE147">
        <v>26</v>
      </c>
      <c r="CF147" s="43">
        <v>-2</v>
      </c>
      <c r="CG147" s="46"/>
      <c r="CJ147">
        <v>6</v>
      </c>
      <c r="CK147">
        <v>4</v>
      </c>
      <c r="CL147" s="43">
        <v>2</v>
      </c>
      <c r="CM147" s="46"/>
      <c r="CN147" s="47"/>
      <c r="CR147" s="43">
        <v>0</v>
      </c>
      <c r="CS147" s="46"/>
      <c r="CV147">
        <v>24</v>
      </c>
      <c r="CW147">
        <v>26</v>
      </c>
      <c r="CX147" s="43">
        <v>-2</v>
      </c>
      <c r="CY147" s="46"/>
      <c r="CZ147" s="47"/>
      <c r="DD147" s="43">
        <v>0</v>
      </c>
      <c r="DE147" s="46"/>
      <c r="DF147" s="47"/>
      <c r="DK147">
        <v>40</v>
      </c>
      <c r="DL147" s="42">
        <v>-40</v>
      </c>
      <c r="DM147" s="46">
        <v>40</v>
      </c>
      <c r="DN147" s="47"/>
      <c r="DR147" s="43">
        <v>0</v>
      </c>
      <c r="DS147" s="46"/>
      <c r="DV147">
        <v>48</v>
      </c>
      <c r="DW147">
        <v>50</v>
      </c>
      <c r="DZ147" s="43">
        <v>-2</v>
      </c>
      <c r="EA147" s="46"/>
      <c r="EB147" s="47"/>
      <c r="EF147" s="43">
        <v>0</v>
      </c>
      <c r="EG147" s="46"/>
      <c r="EH147" s="47"/>
      <c r="EL147" s="43">
        <v>0</v>
      </c>
      <c r="EM147" s="46"/>
      <c r="EN147" s="47"/>
      <c r="EP147">
        <v>30</v>
      </c>
      <c r="EQ147">
        <v>32</v>
      </c>
      <c r="ER147" s="43">
        <v>-2</v>
      </c>
      <c r="ES147" s="46"/>
      <c r="EZ147" s="43">
        <v>0</v>
      </c>
      <c r="FA147" s="46"/>
      <c r="FG147" s="43">
        <v>0</v>
      </c>
      <c r="FH147" s="46"/>
      <c r="FI147" s="45">
        <v>30</v>
      </c>
      <c r="FK147" s="48">
        <v>30</v>
      </c>
      <c r="FL147" s="43">
        <v>0</v>
      </c>
      <c r="FM147" s="46"/>
      <c r="FN147" s="45">
        <v>30</v>
      </c>
      <c r="FP147">
        <v>31</v>
      </c>
      <c r="FQ147" s="43">
        <v>-1</v>
      </c>
      <c r="FR147" s="46"/>
      <c r="FW147" s="43">
        <v>0</v>
      </c>
      <c r="FX147" s="46"/>
      <c r="FY147" s="47"/>
      <c r="GD147" s="43">
        <v>0</v>
      </c>
      <c r="GE147" s="46"/>
      <c r="GJ147" s="43">
        <v>0</v>
      </c>
      <c r="GK147" s="46"/>
      <c r="GL147" s="47"/>
      <c r="GN147">
        <v>18</v>
      </c>
      <c r="GO147">
        <v>20</v>
      </c>
      <c r="GP147" s="43">
        <v>-2</v>
      </c>
      <c r="GQ147" s="46"/>
      <c r="GT147">
        <v>60</v>
      </c>
      <c r="GU147">
        <v>60</v>
      </c>
      <c r="GV147" s="43">
        <v>0</v>
      </c>
      <c r="GW147" s="46"/>
      <c r="GX147" s="47"/>
      <c r="GZ147" s="43">
        <v>0</v>
      </c>
      <c r="HA147" s="46"/>
      <c r="HB147" s="47"/>
      <c r="HD147">
        <v>42</v>
      </c>
      <c r="HE147">
        <v>40</v>
      </c>
      <c r="HF147" s="43">
        <v>2</v>
      </c>
      <c r="HG147" s="46"/>
      <c r="HH147" s="47"/>
      <c r="HJ147" s="43">
        <v>0</v>
      </c>
      <c r="HK147" s="46"/>
      <c r="HL147" s="47"/>
      <c r="HP147" s="43">
        <v>0</v>
      </c>
      <c r="HQ147" s="46"/>
      <c r="HV147">
        <v>90</v>
      </c>
      <c r="HW147">
        <v>90</v>
      </c>
      <c r="HX147" s="43">
        <v>0</v>
      </c>
      <c r="HY147" s="46"/>
      <c r="HZ147" s="45">
        <v>18</v>
      </c>
      <c r="IA147">
        <v>20</v>
      </c>
      <c r="ID147" s="43">
        <v>-2</v>
      </c>
      <c r="IE147" s="46"/>
      <c r="IH147">
        <v>6</v>
      </c>
      <c r="II147">
        <v>8</v>
      </c>
      <c r="IJ147" s="43">
        <v>-2</v>
      </c>
      <c r="IK147" s="49"/>
      <c r="IN147">
        <v>60</v>
      </c>
      <c r="IO147">
        <v>60</v>
      </c>
      <c r="IP147" s="43">
        <v>0</v>
      </c>
      <c r="IQ147" s="49"/>
      <c r="IR147">
        <v>6</v>
      </c>
      <c r="IS147">
        <v>4</v>
      </c>
      <c r="IV147" s="43">
        <v>2</v>
      </c>
      <c r="IW147" s="49"/>
      <c r="IX147">
        <v>18</v>
      </c>
      <c r="IY147">
        <v>20</v>
      </c>
      <c r="JB147" s="43">
        <v>-2</v>
      </c>
      <c r="JC147" s="46"/>
      <c r="JD147">
        <v>12</v>
      </c>
      <c r="JE147">
        <v>10</v>
      </c>
      <c r="JF147" s="43">
        <v>2</v>
      </c>
      <c r="JG147" s="49"/>
      <c r="JJ147">
        <v>42</v>
      </c>
      <c r="JK147">
        <v>40</v>
      </c>
      <c r="JL147" s="43">
        <v>2</v>
      </c>
      <c r="JM147" s="46"/>
      <c r="JN147" s="45">
        <v>18</v>
      </c>
      <c r="JO147" s="48">
        <v>20</v>
      </c>
      <c r="JP147" s="43">
        <v>-2</v>
      </c>
      <c r="JQ147" s="49"/>
      <c r="JV147" s="43">
        <v>0</v>
      </c>
      <c r="JW147" s="49"/>
      <c r="KB147" s="43">
        <v>0</v>
      </c>
      <c r="KC147" s="49"/>
      <c r="KF147">
        <v>18</v>
      </c>
      <c r="KG147">
        <v>20</v>
      </c>
      <c r="KH147" s="43">
        <v>-2</v>
      </c>
      <c r="KI147" s="49"/>
      <c r="KN147" s="43">
        <v>0</v>
      </c>
      <c r="KO147" s="49"/>
      <c r="KP147" s="50"/>
      <c r="KV147" s="43">
        <v>0</v>
      </c>
      <c r="KW147" s="49"/>
      <c r="KX147" s="48">
        <v>0</v>
      </c>
      <c r="KY147" s="48">
        <v>0</v>
      </c>
      <c r="KZ147" s="48">
        <v>0</v>
      </c>
      <c r="LA147" s="48">
        <v>0</v>
      </c>
      <c r="LB147" s="43">
        <v>0</v>
      </c>
      <c r="LC147" s="49"/>
      <c r="LD147" s="48">
        <v>0</v>
      </c>
      <c r="LE147" s="48">
        <v>0</v>
      </c>
      <c r="LF147" s="48">
        <v>0</v>
      </c>
      <c r="LG147" s="48">
        <v>0</v>
      </c>
      <c r="LH147" s="43">
        <v>0</v>
      </c>
      <c r="LI147" s="49"/>
      <c r="LJ147" s="50">
        <v>78.525000000000006</v>
      </c>
      <c r="LK147" s="48">
        <v>81</v>
      </c>
      <c r="LL147" s="43">
        <v>-2.4749999999999939</v>
      </c>
      <c r="LM147" s="49"/>
      <c r="LN147" s="50">
        <v>0</v>
      </c>
      <c r="LO147" s="48">
        <v>0</v>
      </c>
      <c r="LP147" s="32">
        <v>59.7</v>
      </c>
      <c r="LQ147" s="48">
        <v>0</v>
      </c>
      <c r="LR147" s="48">
        <v>0</v>
      </c>
      <c r="LS147" s="43">
        <v>0</v>
      </c>
      <c r="LT147" s="49"/>
      <c r="LU147" s="50"/>
      <c r="LZ147" s="49"/>
      <c r="MA147" s="50"/>
      <c r="MD147" s="49"/>
      <c r="ME147" s="50"/>
      <c r="MJ147" s="49"/>
      <c r="MK147" s="50"/>
      <c r="MN147" s="49"/>
      <c r="MO147" s="50"/>
      <c r="MT147" s="49"/>
      <c r="MV147" s="46"/>
      <c r="MZ147" s="49"/>
      <c r="NA147" s="50"/>
      <c r="NF147" s="49"/>
      <c r="NG147" s="50"/>
      <c r="NL147" s="49"/>
      <c r="NM147" s="50"/>
      <c r="NR147" s="49"/>
      <c r="NS147" s="50"/>
      <c r="NX147" s="49"/>
      <c r="NY147" s="50"/>
      <c r="OD147" s="49"/>
      <c r="OE147" s="50"/>
      <c r="OH147" s="49"/>
      <c r="OI147" s="50"/>
      <c r="OL147" s="49"/>
      <c r="OM147" s="50"/>
      <c r="OR147" s="49"/>
      <c r="OS147" s="50"/>
      <c r="OV147" s="49"/>
      <c r="OW147" s="50"/>
      <c r="PB147" s="49"/>
      <c r="PC147" s="50"/>
      <c r="PF147" s="49"/>
      <c r="PG147" s="50"/>
      <c r="PL147" s="49"/>
      <c r="PM147" s="47"/>
      <c r="PN147" s="48"/>
      <c r="PP147" s="48"/>
      <c r="PR147" s="49"/>
      <c r="PS147" s="47"/>
      <c r="PX147" s="46"/>
      <c r="PY147" s="47"/>
      <c r="QB147" s="46"/>
      <c r="QC147" s="47"/>
      <c r="QH147" s="46"/>
      <c r="QI147" s="47"/>
      <c r="QN147" s="46"/>
      <c r="QO147" s="47"/>
      <c r="QT147" s="46"/>
      <c r="QU147" s="47"/>
      <c r="QX147" s="46"/>
      <c r="QY147" s="47"/>
      <c r="RD147" s="46"/>
    </row>
    <row r="148" spans="1:472" x14ac:dyDescent="0.25">
      <c r="A148" s="43" t="s">
        <v>436</v>
      </c>
      <c r="B148" s="44">
        <v>1</v>
      </c>
      <c r="I148" s="47"/>
      <c r="J148" s="51"/>
      <c r="K148" s="51"/>
      <c r="L148" s="51"/>
      <c r="M148" s="51">
        <f t="shared" si="15"/>
        <v>0</v>
      </c>
      <c r="N148" s="46"/>
      <c r="O148" s="47"/>
      <c r="P148" s="51"/>
      <c r="Q148" s="51"/>
      <c r="R148" s="51"/>
      <c r="S148" s="51">
        <f t="shared" si="16"/>
        <v>0</v>
      </c>
      <c r="T148" s="46"/>
      <c r="U148" s="47"/>
      <c r="V148" s="51"/>
      <c r="W148" s="51"/>
      <c r="X148" s="51"/>
      <c r="Y148" s="51">
        <f t="shared" si="17"/>
        <v>0</v>
      </c>
      <c r="Z148" s="46"/>
      <c r="AA148" s="51"/>
      <c r="AE148" s="43">
        <v>0</v>
      </c>
      <c r="AF148" s="46"/>
      <c r="AG148" s="47"/>
      <c r="AK148" s="43">
        <v>0</v>
      </c>
      <c r="AL148" s="46"/>
      <c r="AQ148" s="43">
        <v>0</v>
      </c>
      <c r="AR148" s="46"/>
      <c r="AW148" s="43">
        <v>0</v>
      </c>
      <c r="AX148" s="46"/>
      <c r="AY148" s="47"/>
      <c r="BC148" s="43">
        <v>0</v>
      </c>
      <c r="BD148" s="46"/>
      <c r="BE148" s="47"/>
      <c r="BI148" s="43">
        <v>0</v>
      </c>
      <c r="BJ148" s="46"/>
      <c r="BP148" s="43">
        <v>0</v>
      </c>
      <c r="BQ148" s="46"/>
      <c r="BT148" s="43">
        <v>0</v>
      </c>
      <c r="BU148" s="46"/>
      <c r="BV148" s="47"/>
      <c r="BZ148" s="43">
        <v>0</v>
      </c>
      <c r="CA148" s="46"/>
      <c r="CF148" s="43">
        <v>0</v>
      </c>
      <c r="CG148" s="46"/>
      <c r="CL148" s="43">
        <v>0</v>
      </c>
      <c r="CM148" s="46"/>
      <c r="CN148" s="47"/>
      <c r="CR148" s="43">
        <v>0</v>
      </c>
      <c r="CS148" s="46"/>
      <c r="CX148" s="43">
        <v>0</v>
      </c>
      <c r="CY148" s="46"/>
      <c r="CZ148" s="47"/>
      <c r="DD148" s="43">
        <v>0</v>
      </c>
      <c r="DE148" s="46"/>
      <c r="DF148" s="47"/>
      <c r="DL148" s="43">
        <v>0</v>
      </c>
      <c r="DM148" s="46"/>
      <c r="DN148" s="47"/>
      <c r="DR148" s="43">
        <v>0</v>
      </c>
      <c r="DS148" s="46"/>
      <c r="DZ148" s="43">
        <v>0</v>
      </c>
      <c r="EA148" s="46"/>
      <c r="EB148" s="47"/>
      <c r="EF148" s="43">
        <v>0</v>
      </c>
      <c r="EG148" s="46"/>
      <c r="EH148" s="47"/>
      <c r="EL148" s="43">
        <v>0</v>
      </c>
      <c r="EM148" s="46"/>
      <c r="EN148" s="47"/>
      <c r="ER148" s="43">
        <v>0</v>
      </c>
      <c r="ES148" s="46"/>
      <c r="EZ148" s="43">
        <v>0</v>
      </c>
      <c r="FA148" s="46"/>
      <c r="FG148" s="43">
        <v>0</v>
      </c>
      <c r="FH148" s="46"/>
      <c r="FI148" s="47"/>
      <c r="FL148" s="43">
        <v>0</v>
      </c>
      <c r="FM148" s="46"/>
      <c r="FN148" s="47"/>
      <c r="FQ148" s="43">
        <v>0</v>
      </c>
      <c r="FR148" s="46"/>
      <c r="FW148" s="43">
        <v>0</v>
      </c>
      <c r="FX148" s="46"/>
      <c r="FY148" s="47"/>
      <c r="GD148" s="43">
        <v>0</v>
      </c>
      <c r="GE148" s="46"/>
      <c r="GJ148" s="43">
        <v>0</v>
      </c>
      <c r="GK148" s="46"/>
      <c r="GL148" s="47"/>
      <c r="GP148" s="43">
        <v>0</v>
      </c>
      <c r="GQ148" s="46"/>
      <c r="GV148" s="43">
        <v>0</v>
      </c>
      <c r="GW148" s="46"/>
      <c r="GX148" s="47"/>
      <c r="GZ148" s="43">
        <v>0</v>
      </c>
      <c r="HA148" s="46"/>
      <c r="HB148" s="47"/>
      <c r="HF148" s="43">
        <v>0</v>
      </c>
      <c r="HG148" s="46"/>
      <c r="HH148" s="47"/>
      <c r="HJ148" s="43">
        <v>0</v>
      </c>
      <c r="HK148" s="46"/>
      <c r="HL148" s="47"/>
      <c r="HP148" s="43">
        <v>0</v>
      </c>
      <c r="HQ148" s="46"/>
      <c r="HX148" s="43">
        <v>0</v>
      </c>
      <c r="HY148" s="46"/>
      <c r="HZ148" s="47"/>
      <c r="ID148" s="43">
        <v>0</v>
      </c>
      <c r="IE148" s="46"/>
      <c r="IJ148" s="43">
        <v>0</v>
      </c>
      <c r="IK148" s="49"/>
      <c r="IP148" s="43">
        <v>0</v>
      </c>
      <c r="IQ148" s="49"/>
      <c r="IV148" s="43">
        <v>0</v>
      </c>
      <c r="IW148" s="49"/>
      <c r="JB148" s="43">
        <v>0</v>
      </c>
      <c r="JC148" s="46"/>
      <c r="JF148" s="43">
        <v>0</v>
      </c>
      <c r="JG148" s="49"/>
      <c r="JL148" s="43">
        <v>0</v>
      </c>
      <c r="JM148" s="46"/>
      <c r="JN148" s="50"/>
      <c r="JP148" s="43">
        <v>0</v>
      </c>
      <c r="JQ148" s="49"/>
      <c r="JV148" s="43">
        <v>0</v>
      </c>
      <c r="JW148" s="49"/>
      <c r="KB148" s="43">
        <v>0</v>
      </c>
      <c r="KC148" s="49"/>
      <c r="KH148" s="43">
        <v>0</v>
      </c>
      <c r="KI148" s="49"/>
      <c r="KN148" s="43">
        <v>0</v>
      </c>
      <c r="KO148" s="49"/>
      <c r="KP148" s="50"/>
      <c r="KV148" s="43">
        <v>0</v>
      </c>
      <c r="KW148" s="49"/>
      <c r="KX148" s="48">
        <v>0</v>
      </c>
      <c r="KY148" s="48">
        <v>0</v>
      </c>
      <c r="KZ148" s="48">
        <v>0</v>
      </c>
      <c r="LA148" s="48">
        <v>0</v>
      </c>
      <c r="LB148" s="43">
        <v>0</v>
      </c>
      <c r="LC148" s="49"/>
      <c r="LD148" s="48">
        <v>0</v>
      </c>
      <c r="LE148" s="48">
        <v>0</v>
      </c>
      <c r="LF148" s="48">
        <v>0</v>
      </c>
      <c r="LG148" s="48">
        <v>0</v>
      </c>
      <c r="LH148" s="43">
        <v>0</v>
      </c>
      <c r="LI148" s="49"/>
      <c r="LJ148" s="50">
        <v>0</v>
      </c>
      <c r="LK148" s="48">
        <v>0</v>
      </c>
      <c r="LL148" s="43">
        <v>0</v>
      </c>
      <c r="LM148" s="49"/>
      <c r="LN148" s="50">
        <v>0</v>
      </c>
      <c r="LO148" s="48">
        <v>0</v>
      </c>
      <c r="LP148" s="48">
        <v>0</v>
      </c>
      <c r="LQ148" s="48">
        <v>0</v>
      </c>
      <c r="LR148" s="48">
        <v>0</v>
      </c>
      <c r="LS148" s="43">
        <v>0</v>
      </c>
      <c r="LT148" s="49"/>
      <c r="LU148" s="50">
        <v>0</v>
      </c>
      <c r="LV148" s="48">
        <v>0</v>
      </c>
      <c r="LW148" s="48">
        <v>0</v>
      </c>
      <c r="LX148" s="48">
        <v>0</v>
      </c>
      <c r="LY148" s="43">
        <v>0</v>
      </c>
      <c r="LZ148" s="49"/>
      <c r="MA148" s="50">
        <v>0</v>
      </c>
      <c r="MB148" s="48">
        <v>0</v>
      </c>
      <c r="MC148" s="43">
        <v>0</v>
      </c>
      <c r="MD148" s="49"/>
      <c r="ME148" s="50">
        <v>0</v>
      </c>
      <c r="MF148" s="48">
        <v>0</v>
      </c>
      <c r="MG148" s="48">
        <v>0</v>
      </c>
      <c r="MH148" s="48">
        <v>0</v>
      </c>
      <c r="MI148" s="43">
        <v>0</v>
      </c>
      <c r="MJ148" s="49"/>
      <c r="MK148" s="50">
        <v>0</v>
      </c>
      <c r="ML148" s="48">
        <v>0</v>
      </c>
      <c r="MM148" s="43">
        <v>0</v>
      </c>
      <c r="MN148" s="49"/>
      <c r="MO148" s="50">
        <v>0</v>
      </c>
      <c r="MP148" s="48">
        <v>0</v>
      </c>
      <c r="MQ148" s="48">
        <v>0</v>
      </c>
      <c r="MR148" s="48">
        <v>0</v>
      </c>
      <c r="MS148" s="43">
        <v>0</v>
      </c>
      <c r="MT148" s="49"/>
      <c r="MU148" s="48">
        <v>0</v>
      </c>
      <c r="MV148" s="46"/>
      <c r="MW148" s="48">
        <v>0</v>
      </c>
      <c r="MX148" s="48">
        <v>0</v>
      </c>
      <c r="MY148" s="43">
        <v>0</v>
      </c>
      <c r="MZ148" s="49"/>
      <c r="NA148" s="50">
        <v>0</v>
      </c>
      <c r="NB148" s="48">
        <v>0</v>
      </c>
      <c r="NC148" s="48">
        <v>0</v>
      </c>
      <c r="ND148" s="48">
        <v>0</v>
      </c>
      <c r="NE148" s="43">
        <v>0</v>
      </c>
      <c r="NF148" s="49"/>
      <c r="NG148" s="50">
        <v>0</v>
      </c>
      <c r="NH148" s="48">
        <v>0</v>
      </c>
      <c r="NI148" s="48">
        <v>16.395</v>
      </c>
      <c r="NJ148" s="48">
        <v>16</v>
      </c>
      <c r="NK148" s="43">
        <v>0.39499999999999957</v>
      </c>
      <c r="NL148" s="49"/>
      <c r="NM148" s="50">
        <v>0</v>
      </c>
      <c r="NN148" s="48">
        <v>0</v>
      </c>
      <c r="NO148" s="48">
        <v>0</v>
      </c>
      <c r="NP148" s="48">
        <v>0</v>
      </c>
      <c r="NQ148" s="43">
        <v>0</v>
      </c>
      <c r="NR148" s="49"/>
      <c r="NS148" s="50">
        <v>0</v>
      </c>
      <c r="NT148" s="48">
        <v>0</v>
      </c>
      <c r="NU148" s="48">
        <v>0</v>
      </c>
      <c r="NV148" s="48">
        <v>0</v>
      </c>
      <c r="NW148" s="43">
        <v>0</v>
      </c>
      <c r="NX148" s="49"/>
      <c r="NY148" s="50">
        <v>0</v>
      </c>
      <c r="NZ148" s="48">
        <v>0</v>
      </c>
      <c r="OA148" s="48">
        <v>0</v>
      </c>
      <c r="OB148" s="48">
        <v>0</v>
      </c>
      <c r="OC148" s="43">
        <v>0</v>
      </c>
      <c r="OD148" s="49"/>
      <c r="OE148" s="50">
        <v>65.299000000000007</v>
      </c>
      <c r="OF148" s="48">
        <v>70</v>
      </c>
      <c r="OG148" s="43">
        <v>-4.7009999999999934</v>
      </c>
      <c r="OH148" s="49"/>
      <c r="OI148" s="50">
        <v>65.516000000000005</v>
      </c>
      <c r="OJ148" s="48">
        <v>64</v>
      </c>
      <c r="OK148" s="43">
        <v>1.5160000000000049</v>
      </c>
      <c r="OL148" s="49"/>
      <c r="OM148" s="50">
        <v>0</v>
      </c>
      <c r="ON148" s="48">
        <v>0</v>
      </c>
      <c r="OO148" s="48">
        <v>0</v>
      </c>
      <c r="OP148" s="48">
        <v>0</v>
      </c>
      <c r="OQ148" s="43">
        <v>0</v>
      </c>
      <c r="OR148" s="49"/>
      <c r="OS148" s="50">
        <v>41.164000000000001</v>
      </c>
      <c r="OT148" s="48">
        <v>40</v>
      </c>
      <c r="OU148" s="43">
        <v>1.164000000000001</v>
      </c>
      <c r="OV148" s="49"/>
      <c r="OW148" s="50">
        <v>0</v>
      </c>
      <c r="OX148" s="48">
        <v>0</v>
      </c>
      <c r="OY148" s="48">
        <v>40.631</v>
      </c>
      <c r="OZ148" s="48">
        <v>40</v>
      </c>
      <c r="PA148" s="43">
        <v>0.63100000000000023</v>
      </c>
      <c r="PB148" s="49"/>
      <c r="PC148" s="50"/>
      <c r="PF148" s="49"/>
      <c r="PG148" s="50"/>
      <c r="PL148" s="49"/>
      <c r="PM148" s="47"/>
      <c r="PN148" s="48"/>
      <c r="PP148" s="48"/>
      <c r="PR148" s="49"/>
      <c r="PS148" s="47"/>
      <c r="PX148" s="46"/>
      <c r="PY148" s="47"/>
      <c r="QB148" s="46"/>
      <c r="QC148" s="47"/>
      <c r="QH148" s="46"/>
      <c r="QI148" s="47"/>
      <c r="QN148" s="46"/>
      <c r="QO148" s="47"/>
      <c r="QT148" s="46"/>
      <c r="QU148" s="47"/>
      <c r="QX148" s="46"/>
      <c r="QY148" s="47"/>
      <c r="RD148" s="46"/>
    </row>
    <row r="149" spans="1:472" x14ac:dyDescent="0.25">
      <c r="A149" s="43" t="s">
        <v>437</v>
      </c>
      <c r="B149" s="44">
        <v>1</v>
      </c>
      <c r="I149" s="47"/>
      <c r="J149" s="51"/>
      <c r="K149" s="51"/>
      <c r="L149" s="51"/>
      <c r="M149" s="51">
        <f t="shared" si="15"/>
        <v>0</v>
      </c>
      <c r="N149" s="46"/>
      <c r="O149" s="47"/>
      <c r="P149" s="51"/>
      <c r="Q149" s="51"/>
      <c r="R149" s="51"/>
      <c r="S149" s="51">
        <f t="shared" si="16"/>
        <v>0</v>
      </c>
      <c r="T149" s="46"/>
      <c r="U149" s="47"/>
      <c r="V149" s="51"/>
      <c r="W149" s="51"/>
      <c r="X149" s="51"/>
      <c r="Y149" s="51">
        <f t="shared" si="17"/>
        <v>0</v>
      </c>
      <c r="Z149" s="46"/>
      <c r="AA149" s="51"/>
      <c r="AE149" s="43">
        <v>0</v>
      </c>
      <c r="AF149" s="46"/>
      <c r="AG149" s="47"/>
      <c r="AK149" s="43">
        <v>0</v>
      </c>
      <c r="AL149" s="46"/>
      <c r="AQ149" s="43">
        <v>0</v>
      </c>
      <c r="AR149" s="46"/>
      <c r="AW149" s="43">
        <v>0</v>
      </c>
      <c r="AX149" s="46"/>
      <c r="AY149" s="47"/>
      <c r="BC149" s="43">
        <v>0</v>
      </c>
      <c r="BD149" s="46"/>
      <c r="BE149" s="47"/>
      <c r="BI149" s="43">
        <v>0</v>
      </c>
      <c r="BJ149" s="46"/>
      <c r="BP149" s="43">
        <v>0</v>
      </c>
      <c r="BQ149" s="46"/>
      <c r="BT149" s="43">
        <v>0</v>
      </c>
      <c r="BU149" s="46"/>
      <c r="BV149" s="47"/>
      <c r="BZ149" s="43">
        <v>0</v>
      </c>
      <c r="CA149" s="46"/>
      <c r="CF149" s="43">
        <v>0</v>
      </c>
      <c r="CG149" s="46"/>
      <c r="CL149" s="43">
        <v>0</v>
      </c>
      <c r="CM149" s="46"/>
      <c r="CN149" s="47"/>
      <c r="CR149" s="43">
        <v>0</v>
      </c>
      <c r="CS149" s="46"/>
      <c r="CX149" s="43">
        <v>0</v>
      </c>
      <c r="CY149" s="46"/>
      <c r="CZ149" s="47"/>
      <c r="DD149" s="43">
        <v>0</v>
      </c>
      <c r="DE149" s="46"/>
      <c r="DF149" s="47"/>
      <c r="DL149" s="43">
        <v>0</v>
      </c>
      <c r="DM149" s="46"/>
      <c r="DN149" s="47"/>
      <c r="DR149" s="43">
        <v>0</v>
      </c>
      <c r="DS149" s="46"/>
      <c r="DZ149" s="43">
        <v>0</v>
      </c>
      <c r="EA149" s="46"/>
      <c r="EB149" s="47"/>
      <c r="EF149" s="43">
        <v>0</v>
      </c>
      <c r="EG149" s="46"/>
      <c r="EH149" s="47"/>
      <c r="EL149" s="43">
        <v>0</v>
      </c>
      <c r="EM149" s="46"/>
      <c r="EN149" s="47"/>
      <c r="ER149" s="43">
        <v>0</v>
      </c>
      <c r="ES149" s="46"/>
      <c r="EZ149" s="43">
        <v>0</v>
      </c>
      <c r="FA149" s="46"/>
      <c r="FE149">
        <v>69</v>
      </c>
      <c r="FF149">
        <v>68</v>
      </c>
      <c r="FG149" s="43">
        <v>1</v>
      </c>
      <c r="FH149" s="46"/>
      <c r="FI149" s="47"/>
      <c r="FJ149">
        <v>41</v>
      </c>
      <c r="FK149" s="48">
        <v>40</v>
      </c>
      <c r="FL149" s="43">
        <v>1</v>
      </c>
      <c r="FM149" s="46"/>
      <c r="FN149" s="47"/>
      <c r="FO149">
        <v>21</v>
      </c>
      <c r="FP149" s="43">
        <v>20</v>
      </c>
      <c r="FQ149" s="43">
        <v>1</v>
      </c>
      <c r="FR149" s="46"/>
      <c r="FW149" s="43">
        <v>0</v>
      </c>
      <c r="FX149" s="46"/>
      <c r="FY149" s="47"/>
      <c r="FZ149" s="43">
        <v>40</v>
      </c>
      <c r="GD149" s="43">
        <v>40</v>
      </c>
      <c r="GE149" s="46"/>
      <c r="GK149" s="46"/>
      <c r="GL149" s="47"/>
      <c r="GQ149" s="46"/>
      <c r="GW149" s="46"/>
      <c r="GX149" s="47"/>
      <c r="HA149" s="46"/>
      <c r="HB149" s="47"/>
      <c r="HG149" s="46"/>
      <c r="HH149" s="47"/>
      <c r="HK149" s="46"/>
      <c r="HL149" s="47"/>
      <c r="HQ149" s="46"/>
      <c r="HY149" s="46"/>
      <c r="HZ149" s="47"/>
      <c r="IE149" s="46"/>
      <c r="IK149" s="49"/>
      <c r="IQ149" s="49"/>
      <c r="IW149" s="49"/>
      <c r="JC149" s="46"/>
      <c r="JG149" s="49"/>
      <c r="JM149" s="46"/>
      <c r="JN149" s="50"/>
      <c r="JQ149" s="49"/>
      <c r="JW149" s="49"/>
      <c r="KC149" s="49"/>
      <c r="KI149" s="49"/>
      <c r="KO149" s="49"/>
      <c r="KP149" s="50"/>
      <c r="KW149" s="49"/>
      <c r="LC149" s="49"/>
      <c r="LI149" s="49"/>
      <c r="LJ149" s="50"/>
      <c r="LM149" s="49"/>
      <c r="LN149" s="50"/>
      <c r="LT149" s="49"/>
      <c r="LU149" s="50"/>
      <c r="LZ149" s="49"/>
      <c r="MA149" s="50"/>
      <c r="MD149" s="49"/>
      <c r="ME149" s="50"/>
      <c r="MJ149" s="49"/>
      <c r="MK149" s="50"/>
      <c r="ML149" s="48"/>
      <c r="MN149" s="49"/>
      <c r="MO149" s="50"/>
      <c r="MP149" s="48"/>
      <c r="MQ149" s="48"/>
      <c r="MR149" s="48"/>
      <c r="MT149" s="49"/>
      <c r="MU149" s="48"/>
      <c r="MV149" s="46"/>
      <c r="MW149" s="48"/>
      <c r="MX149" s="48"/>
      <c r="MZ149" s="49"/>
      <c r="NA149" s="50"/>
      <c r="NB149" s="48"/>
      <c r="NC149" s="48"/>
      <c r="ND149" s="48"/>
      <c r="NF149" s="49"/>
      <c r="NG149" s="50"/>
      <c r="NH149" s="48"/>
      <c r="NI149" s="48"/>
      <c r="NJ149" s="48"/>
      <c r="NL149" s="49"/>
      <c r="NM149" s="50"/>
      <c r="NN149" s="48"/>
      <c r="NO149" s="48"/>
      <c r="NP149" s="48"/>
      <c r="NR149" s="49"/>
      <c r="NS149" s="50"/>
      <c r="NT149" s="48"/>
      <c r="NU149" s="48"/>
      <c r="NV149" s="48"/>
      <c r="NX149" s="49"/>
      <c r="NY149" s="50"/>
      <c r="NZ149" s="48"/>
      <c r="OA149" s="48"/>
      <c r="OB149" s="48"/>
      <c r="OD149" s="49"/>
      <c r="OE149" s="50"/>
      <c r="OF149" s="48"/>
      <c r="OH149" s="49"/>
      <c r="OI149" s="50"/>
      <c r="OJ149" s="48"/>
      <c r="OL149" s="49"/>
      <c r="OM149" s="50"/>
      <c r="ON149" s="48"/>
      <c r="OO149" s="48"/>
      <c r="OP149" s="48"/>
      <c r="OR149" s="49"/>
      <c r="OS149" s="50"/>
      <c r="OT149" s="48"/>
      <c r="OV149" s="49"/>
      <c r="OW149" s="50"/>
      <c r="OX149" s="48"/>
      <c r="OY149" s="48"/>
      <c r="OZ149" s="48"/>
      <c r="PB149" s="49"/>
      <c r="PC149" s="50"/>
      <c r="PF149" s="49"/>
      <c r="PG149" s="50"/>
      <c r="PL149" s="49"/>
      <c r="PM149" s="47"/>
      <c r="PN149" s="48"/>
      <c r="PP149" s="48"/>
      <c r="PR149" s="49"/>
      <c r="PS149" s="47"/>
      <c r="PX149" s="46"/>
      <c r="PY149" s="47"/>
      <c r="QB149" s="46"/>
      <c r="QC149" s="47"/>
      <c r="QH149" s="46"/>
      <c r="QI149" s="47"/>
      <c r="QN149" s="46"/>
      <c r="QO149" s="47"/>
      <c r="QT149" s="46"/>
      <c r="QU149" s="47"/>
      <c r="QX149" s="46"/>
      <c r="QY149" s="47"/>
      <c r="RD149" s="46"/>
    </row>
    <row r="150" spans="1:472" x14ac:dyDescent="0.25">
      <c r="A150" s="43" t="s">
        <v>438</v>
      </c>
      <c r="B150" s="44">
        <v>1</v>
      </c>
      <c r="I150" s="47"/>
      <c r="J150" s="51"/>
      <c r="K150" s="51"/>
      <c r="L150" s="51"/>
      <c r="M150" s="51">
        <f t="shared" si="15"/>
        <v>0</v>
      </c>
      <c r="N150" s="46"/>
      <c r="O150" s="47"/>
      <c r="P150" s="51"/>
      <c r="Q150" s="51"/>
      <c r="R150" s="51"/>
      <c r="S150" s="51">
        <f t="shared" si="16"/>
        <v>0</v>
      </c>
      <c r="T150" s="46"/>
      <c r="U150" s="47"/>
      <c r="V150" s="51"/>
      <c r="W150" s="51"/>
      <c r="X150" s="51"/>
      <c r="Y150" s="51">
        <f t="shared" si="17"/>
        <v>0</v>
      </c>
      <c r="Z150" s="46"/>
      <c r="AA150" s="51"/>
      <c r="AE150" s="43">
        <v>0</v>
      </c>
      <c r="AF150" s="46"/>
      <c r="AG150" s="47"/>
      <c r="AK150" s="43">
        <v>0</v>
      </c>
      <c r="AL150" s="46"/>
      <c r="AQ150" s="43">
        <v>0</v>
      </c>
      <c r="AR150" s="46"/>
      <c r="AW150" s="43">
        <v>0</v>
      </c>
      <c r="AX150" s="46"/>
      <c r="AY150" s="47"/>
      <c r="BC150" s="43">
        <v>0</v>
      </c>
      <c r="BD150" s="46"/>
      <c r="BE150" s="47"/>
      <c r="BI150" s="43">
        <v>0</v>
      </c>
      <c r="BJ150" s="46"/>
      <c r="BP150" s="43">
        <v>0</v>
      </c>
      <c r="BQ150" s="46"/>
      <c r="BT150" s="43">
        <v>0</v>
      </c>
      <c r="BU150" s="46"/>
      <c r="BV150" s="47"/>
      <c r="BZ150" s="43">
        <v>0</v>
      </c>
      <c r="CA150" s="46"/>
      <c r="CF150" s="43">
        <v>0</v>
      </c>
      <c r="CG150" s="46"/>
      <c r="CL150" s="43">
        <v>0</v>
      </c>
      <c r="CM150" s="46"/>
      <c r="CN150" s="47"/>
      <c r="CR150" s="43">
        <v>0</v>
      </c>
      <c r="CS150" s="46"/>
      <c r="CX150" s="43">
        <v>0</v>
      </c>
      <c r="CY150" s="46"/>
      <c r="CZ150" s="47"/>
      <c r="DD150" s="43">
        <v>0</v>
      </c>
      <c r="DE150" s="46"/>
      <c r="DF150" s="47"/>
      <c r="DL150" s="43">
        <v>0</v>
      </c>
      <c r="DM150" s="46"/>
      <c r="DN150" s="47"/>
      <c r="DR150" s="43">
        <v>0</v>
      </c>
      <c r="DS150" s="46"/>
      <c r="DZ150" s="43">
        <v>0</v>
      </c>
      <c r="EA150" s="46"/>
      <c r="EB150" s="47"/>
      <c r="EF150" s="43">
        <v>0</v>
      </c>
      <c r="EG150" s="46"/>
      <c r="EH150" s="47"/>
      <c r="EL150" s="43">
        <v>0</v>
      </c>
      <c r="EM150" s="46"/>
      <c r="EN150" s="47"/>
      <c r="ER150" s="43">
        <v>0</v>
      </c>
      <c r="ES150" s="46"/>
      <c r="EZ150" s="43">
        <v>0</v>
      </c>
      <c r="FA150" s="46"/>
      <c r="FG150" s="43">
        <v>0</v>
      </c>
      <c r="FH150" s="46"/>
      <c r="FI150" s="47"/>
      <c r="FL150" s="43">
        <v>0</v>
      </c>
      <c r="FM150" s="46"/>
      <c r="FN150" s="47"/>
      <c r="FQ150" s="43">
        <v>0</v>
      </c>
      <c r="FR150" s="46"/>
      <c r="FW150" s="43">
        <v>0</v>
      </c>
      <c r="FX150" s="46"/>
      <c r="FY150" s="47">
        <v>53</v>
      </c>
      <c r="GA150" s="43">
        <v>52</v>
      </c>
      <c r="GD150" s="43">
        <v>1</v>
      </c>
      <c r="GE150" s="46"/>
      <c r="GJ150" s="43">
        <v>0</v>
      </c>
      <c r="GK150" s="46"/>
      <c r="GL150" s="47"/>
      <c r="GQ150" s="46"/>
      <c r="GW150" s="46"/>
      <c r="GX150" s="47"/>
      <c r="HA150" s="46"/>
      <c r="HB150" s="47"/>
      <c r="HG150" s="46"/>
      <c r="HH150" s="47"/>
      <c r="HK150" s="46"/>
      <c r="HL150" s="47"/>
      <c r="HQ150" s="46"/>
      <c r="HY150" s="46"/>
      <c r="HZ150" s="47"/>
      <c r="IE150" s="46"/>
      <c r="IK150" s="49"/>
      <c r="IQ150" s="49"/>
      <c r="IW150" s="49"/>
      <c r="JC150" s="46"/>
      <c r="JG150" s="49"/>
      <c r="JM150" s="46"/>
      <c r="JN150" s="50"/>
      <c r="JQ150" s="49"/>
      <c r="JW150" s="49"/>
      <c r="KC150" s="49"/>
      <c r="KI150" s="49"/>
      <c r="KO150" s="49"/>
      <c r="KP150" s="50"/>
      <c r="KW150" s="49"/>
      <c r="LC150" s="49"/>
      <c r="LI150" s="49"/>
      <c r="LJ150" s="50"/>
      <c r="LM150" s="49"/>
      <c r="LN150" s="50"/>
      <c r="LT150" s="49"/>
      <c r="LU150" s="50"/>
      <c r="LZ150" s="49"/>
      <c r="MA150" s="50"/>
      <c r="MD150" s="49"/>
      <c r="ME150" s="50"/>
      <c r="MJ150" s="49"/>
      <c r="MK150" s="50"/>
      <c r="MN150" s="49"/>
      <c r="MO150" s="50"/>
      <c r="MP150" s="48"/>
      <c r="MQ150" s="48"/>
      <c r="MR150" s="48"/>
      <c r="MT150" s="49"/>
      <c r="MU150" s="48"/>
      <c r="MV150" s="46"/>
      <c r="MW150" s="48"/>
      <c r="MX150" s="48"/>
      <c r="MZ150" s="49"/>
      <c r="NA150" s="50"/>
      <c r="NB150" s="48"/>
      <c r="NC150" s="48"/>
      <c r="ND150" s="48"/>
      <c r="NF150" s="49"/>
      <c r="NG150" s="50"/>
      <c r="NH150" s="48"/>
      <c r="NI150" s="48"/>
      <c r="NJ150" s="48"/>
      <c r="NL150" s="49"/>
      <c r="NM150" s="50"/>
      <c r="NN150" s="48"/>
      <c r="NO150" s="48"/>
      <c r="NP150" s="48"/>
      <c r="NR150" s="49"/>
      <c r="NS150" s="50"/>
      <c r="NT150" s="48"/>
      <c r="NU150" s="48"/>
      <c r="NV150" s="48"/>
      <c r="NX150" s="49"/>
      <c r="NY150" s="50"/>
      <c r="NZ150" s="48"/>
      <c r="OA150" s="48"/>
      <c r="OB150" s="48"/>
      <c r="OD150" s="49"/>
      <c r="OE150" s="50"/>
      <c r="OF150" s="48"/>
      <c r="OH150" s="49"/>
      <c r="OI150" s="50"/>
      <c r="OJ150" s="48"/>
      <c r="OL150" s="49"/>
      <c r="OM150" s="50"/>
      <c r="ON150" s="48"/>
      <c r="OO150" s="48"/>
      <c r="OP150" s="48"/>
      <c r="OR150" s="49"/>
      <c r="OS150" s="50"/>
      <c r="OT150" s="48"/>
      <c r="OV150" s="49"/>
      <c r="OW150" s="50"/>
      <c r="OX150" s="48"/>
      <c r="OY150" s="48"/>
      <c r="OZ150" s="48"/>
      <c r="PB150" s="49"/>
      <c r="PC150" s="50"/>
      <c r="PF150" s="49"/>
      <c r="PG150" s="50"/>
      <c r="PL150" s="49"/>
      <c r="PM150" s="47"/>
      <c r="PN150" s="48"/>
      <c r="PP150" s="48"/>
      <c r="PR150" s="49"/>
      <c r="PS150" s="47"/>
      <c r="PX150" s="46"/>
      <c r="PY150" s="47"/>
      <c r="QB150" s="46"/>
      <c r="QC150" s="47"/>
      <c r="QH150" s="46"/>
      <c r="QI150" s="47"/>
      <c r="QN150" s="46"/>
      <c r="QO150" s="47"/>
      <c r="QT150" s="46"/>
      <c r="QU150" s="47"/>
      <c r="QX150" s="46"/>
      <c r="QY150" s="47"/>
      <c r="RD150" s="46"/>
    </row>
    <row r="151" spans="1:472" x14ac:dyDescent="0.25">
      <c r="A151" s="43" t="s">
        <v>439</v>
      </c>
      <c r="B151" s="44">
        <v>1</v>
      </c>
      <c r="I151" s="47"/>
      <c r="J151" s="51"/>
      <c r="K151" s="51"/>
      <c r="L151" s="51"/>
      <c r="M151" s="51">
        <f t="shared" si="15"/>
        <v>0</v>
      </c>
      <c r="N151" s="46"/>
      <c r="O151" s="47"/>
      <c r="P151" s="51"/>
      <c r="Q151" s="51"/>
      <c r="R151" s="51"/>
      <c r="S151" s="51">
        <f t="shared" si="16"/>
        <v>0</v>
      </c>
      <c r="T151" s="46"/>
      <c r="U151" s="47"/>
      <c r="V151" s="51"/>
      <c r="W151" s="51"/>
      <c r="X151" s="51"/>
      <c r="Y151" s="51">
        <f t="shared" si="17"/>
        <v>0</v>
      </c>
      <c r="Z151" s="46"/>
      <c r="AA151" s="51"/>
      <c r="AE151" s="43">
        <v>0</v>
      </c>
      <c r="AF151" s="46"/>
      <c r="AG151" s="47"/>
      <c r="AK151" s="43">
        <v>0</v>
      </c>
      <c r="AL151" s="46"/>
      <c r="AQ151" s="43">
        <v>0</v>
      </c>
      <c r="AR151" s="46"/>
      <c r="AW151" s="43">
        <v>0</v>
      </c>
      <c r="AX151" s="46"/>
      <c r="AY151" s="47"/>
      <c r="BC151" s="43">
        <v>0</v>
      </c>
      <c r="BD151" s="46"/>
      <c r="BE151" s="47"/>
      <c r="BI151" s="43">
        <v>0</v>
      </c>
      <c r="BJ151" s="46"/>
      <c r="BP151" s="43">
        <v>0</v>
      </c>
      <c r="BQ151" s="46"/>
      <c r="BT151" s="43">
        <v>0</v>
      </c>
      <c r="BU151" s="46"/>
      <c r="BV151" s="47"/>
      <c r="BZ151" s="43">
        <v>0</v>
      </c>
      <c r="CA151" s="46"/>
      <c r="CF151" s="43">
        <v>0</v>
      </c>
      <c r="CG151" s="46"/>
      <c r="CL151" s="43">
        <v>0</v>
      </c>
      <c r="CM151" s="46"/>
      <c r="CN151" s="47"/>
      <c r="CR151" s="43">
        <v>0</v>
      </c>
      <c r="CS151" s="46"/>
      <c r="CX151" s="43">
        <v>0</v>
      </c>
      <c r="CY151" s="46"/>
      <c r="CZ151" s="47"/>
      <c r="DD151" s="43">
        <v>0</v>
      </c>
      <c r="DE151" s="46"/>
      <c r="DF151" s="47"/>
      <c r="DL151" s="43">
        <v>0</v>
      </c>
      <c r="DM151" s="46"/>
      <c r="DN151" s="47"/>
      <c r="DR151" s="43">
        <v>0</v>
      </c>
      <c r="DS151" s="46"/>
      <c r="DZ151" s="43">
        <v>0</v>
      </c>
      <c r="EA151" s="46"/>
      <c r="EB151" s="47"/>
      <c r="EF151" s="43">
        <v>0</v>
      </c>
      <c r="EG151" s="46"/>
      <c r="EH151" s="47"/>
      <c r="EL151" s="43">
        <v>0</v>
      </c>
      <c r="EM151" s="46"/>
      <c r="EN151" s="47"/>
      <c r="ER151" s="43">
        <v>0</v>
      </c>
      <c r="ES151" s="46"/>
      <c r="EZ151" s="43">
        <v>0</v>
      </c>
      <c r="FA151" s="46"/>
      <c r="FC151">
        <v>10</v>
      </c>
      <c r="FG151" s="42">
        <v>-10</v>
      </c>
      <c r="FH151" s="46">
        <v>10</v>
      </c>
      <c r="FI151" s="47"/>
      <c r="FL151" s="43">
        <v>0</v>
      </c>
      <c r="FM151" s="46"/>
      <c r="FN151" s="47"/>
      <c r="FP151">
        <v>40</v>
      </c>
      <c r="FQ151" s="42">
        <v>-40</v>
      </c>
      <c r="FR151" s="46">
        <v>40</v>
      </c>
      <c r="FW151" s="43">
        <v>0</v>
      </c>
      <c r="FX151" s="46"/>
      <c r="FY151" s="47"/>
      <c r="GA151" s="43">
        <v>52</v>
      </c>
      <c r="GD151" s="42">
        <v>-52</v>
      </c>
      <c r="GE151" s="46">
        <v>52</v>
      </c>
      <c r="GJ151" s="43">
        <v>0</v>
      </c>
      <c r="GK151" s="46"/>
      <c r="GL151" s="47"/>
      <c r="GQ151" s="46"/>
      <c r="GW151" s="46"/>
      <c r="GX151" s="47"/>
      <c r="HA151" s="46"/>
      <c r="HB151" s="47"/>
      <c r="HG151" s="46"/>
      <c r="HH151" s="47"/>
      <c r="HK151" s="46"/>
      <c r="HL151" s="47"/>
      <c r="HQ151" s="46"/>
      <c r="HY151" s="46"/>
      <c r="HZ151" s="47"/>
      <c r="IE151" s="46"/>
      <c r="IK151" s="49"/>
      <c r="IQ151" s="49"/>
      <c r="IW151" s="49"/>
      <c r="JC151" s="46"/>
      <c r="JG151" s="49"/>
      <c r="JM151" s="46"/>
      <c r="JN151" s="50"/>
      <c r="JQ151" s="49"/>
      <c r="JW151" s="49"/>
      <c r="KC151" s="49"/>
      <c r="KI151" s="49"/>
      <c r="KO151" s="49"/>
      <c r="KP151" s="50"/>
      <c r="KW151" s="49"/>
      <c r="LC151" s="49"/>
      <c r="LI151" s="49"/>
      <c r="LJ151" s="50"/>
      <c r="LM151" s="49"/>
      <c r="LN151" s="50"/>
      <c r="LT151" s="49"/>
      <c r="LU151" s="50"/>
      <c r="LZ151" s="49"/>
      <c r="MA151" s="50"/>
      <c r="MD151" s="49"/>
      <c r="ME151" s="50"/>
      <c r="MJ151" s="49"/>
      <c r="MK151" s="50"/>
      <c r="MN151" s="49"/>
      <c r="MO151" s="50"/>
      <c r="MP151" s="48"/>
      <c r="MQ151" s="48"/>
      <c r="MR151" s="48"/>
      <c r="MT151" s="49"/>
      <c r="MU151" s="48"/>
      <c r="MV151" s="46"/>
      <c r="MW151" s="48"/>
      <c r="MX151" s="48"/>
      <c r="MZ151" s="49"/>
      <c r="NA151" s="50"/>
      <c r="NB151" s="48"/>
      <c r="NC151" s="48"/>
      <c r="ND151" s="48"/>
      <c r="NF151" s="49"/>
      <c r="NG151" s="50"/>
      <c r="NH151" s="48"/>
      <c r="NI151" s="48"/>
      <c r="NJ151" s="48"/>
      <c r="NL151" s="49"/>
      <c r="NM151" s="50"/>
      <c r="NN151" s="48"/>
      <c r="NO151" s="48"/>
      <c r="NP151" s="48"/>
      <c r="NR151" s="49"/>
      <c r="NS151" s="50"/>
      <c r="NT151" s="48"/>
      <c r="NU151" s="48"/>
      <c r="NV151" s="48"/>
      <c r="NX151" s="49"/>
      <c r="NY151" s="50"/>
      <c r="NZ151" s="48"/>
      <c r="OA151" s="48"/>
      <c r="OB151" s="48"/>
      <c r="OD151" s="49"/>
      <c r="OE151" s="50"/>
      <c r="OF151" s="48"/>
      <c r="OH151" s="49"/>
      <c r="OI151" s="50"/>
      <c r="OJ151" s="48"/>
      <c r="OL151" s="49"/>
      <c r="OM151" s="50"/>
      <c r="ON151" s="48"/>
      <c r="OO151" s="48"/>
      <c r="OP151" s="48"/>
      <c r="OR151" s="49"/>
      <c r="OS151" s="50"/>
      <c r="OT151" s="48"/>
      <c r="OV151" s="49"/>
      <c r="OW151" s="50"/>
      <c r="OX151" s="48"/>
      <c r="OY151" s="48"/>
      <c r="OZ151" s="48"/>
      <c r="PB151" s="49"/>
      <c r="PC151" s="50"/>
      <c r="PF151" s="49"/>
      <c r="PG151" s="50"/>
      <c r="PL151" s="49"/>
      <c r="PM151" s="47"/>
      <c r="PN151" s="48"/>
      <c r="PP151" s="48"/>
      <c r="PR151" s="49"/>
      <c r="PS151" s="47"/>
      <c r="PX151" s="46"/>
      <c r="PY151" s="47"/>
      <c r="QB151" s="46"/>
      <c r="QC151" s="47"/>
      <c r="QH151" s="46"/>
      <c r="QI151" s="47"/>
      <c r="QN151" s="46"/>
      <c r="QO151" s="47"/>
      <c r="QT151" s="46"/>
      <c r="QU151" s="47"/>
      <c r="QX151" s="46"/>
      <c r="QY151" s="47"/>
      <c r="RD151" s="46"/>
    </row>
    <row r="152" spans="1:472" x14ac:dyDescent="0.25">
      <c r="A152" s="43" t="s">
        <v>440</v>
      </c>
      <c r="B152" s="44">
        <v>0.4</v>
      </c>
      <c r="I152" s="47"/>
      <c r="J152" s="51"/>
      <c r="K152" s="51"/>
      <c r="L152" s="51"/>
      <c r="M152" s="51">
        <f t="shared" si="15"/>
        <v>0</v>
      </c>
      <c r="N152" s="46"/>
      <c r="O152" s="47"/>
      <c r="P152" s="51"/>
      <c r="Q152" s="51"/>
      <c r="R152" s="51"/>
      <c r="S152" s="51">
        <f t="shared" si="16"/>
        <v>0</v>
      </c>
      <c r="T152" s="46"/>
      <c r="U152" s="47"/>
      <c r="V152" s="51"/>
      <c r="W152" s="51"/>
      <c r="X152" s="51"/>
      <c r="Y152" s="51">
        <f t="shared" si="17"/>
        <v>0</v>
      </c>
      <c r="Z152" s="46"/>
      <c r="AA152" s="51"/>
      <c r="AE152" s="43">
        <v>0</v>
      </c>
      <c r="AF152" s="46"/>
      <c r="AG152" s="47"/>
      <c r="AK152" s="43">
        <v>0</v>
      </c>
      <c r="AL152" s="46"/>
      <c r="AQ152" s="43">
        <v>0</v>
      </c>
      <c r="AR152" s="46"/>
      <c r="AW152" s="43">
        <v>0</v>
      </c>
      <c r="AX152" s="46"/>
      <c r="AY152" s="47"/>
      <c r="BC152" s="43">
        <v>0</v>
      </c>
      <c r="BD152" s="46"/>
      <c r="BE152" s="47"/>
      <c r="BI152" s="43">
        <v>0</v>
      </c>
      <c r="BJ152" s="46"/>
      <c r="BP152" s="43">
        <v>0</v>
      </c>
      <c r="BQ152" s="46"/>
      <c r="BT152" s="43">
        <v>0</v>
      </c>
      <c r="BU152" s="46"/>
      <c r="BV152" s="47"/>
      <c r="BZ152" s="43">
        <v>0</v>
      </c>
      <c r="CA152" s="46"/>
      <c r="CF152" s="43">
        <v>0</v>
      </c>
      <c r="CG152" s="46"/>
      <c r="CL152" s="43">
        <v>0</v>
      </c>
      <c r="CM152" s="46"/>
      <c r="CN152" s="47"/>
      <c r="CR152" s="43">
        <v>0</v>
      </c>
      <c r="CS152" s="46"/>
      <c r="CW152">
        <v>16</v>
      </c>
      <c r="CX152" s="42">
        <v>-16</v>
      </c>
      <c r="CY152" s="46">
        <v>6.4</v>
      </c>
      <c r="CZ152" s="47"/>
      <c r="DC152">
        <v>8</v>
      </c>
      <c r="DD152" s="42">
        <v>-8</v>
      </c>
      <c r="DE152" s="46">
        <v>3.2</v>
      </c>
      <c r="DF152" s="47"/>
      <c r="DK152">
        <v>8</v>
      </c>
      <c r="DL152" s="42">
        <v>-8</v>
      </c>
      <c r="DM152" s="46">
        <v>3.2</v>
      </c>
      <c r="DN152" s="47"/>
      <c r="DQ152">
        <v>8</v>
      </c>
      <c r="DR152" s="42">
        <v>-8</v>
      </c>
      <c r="DS152" s="46">
        <v>3.2</v>
      </c>
      <c r="DW152">
        <v>8</v>
      </c>
      <c r="DZ152" s="42">
        <v>-8</v>
      </c>
      <c r="EA152" s="46">
        <v>3.2</v>
      </c>
      <c r="EB152" s="47"/>
      <c r="EE152">
        <v>8</v>
      </c>
      <c r="EF152" s="42">
        <v>-8</v>
      </c>
      <c r="EG152" s="46">
        <v>3.2</v>
      </c>
      <c r="EH152" s="47"/>
      <c r="EK152">
        <v>8</v>
      </c>
      <c r="EL152" s="42">
        <v>-8</v>
      </c>
      <c r="EM152" s="46">
        <v>3.2</v>
      </c>
      <c r="EN152" s="47"/>
      <c r="EQ152">
        <v>8</v>
      </c>
      <c r="ER152" s="42">
        <v>-8</v>
      </c>
      <c r="ES152" s="46">
        <v>3.2</v>
      </c>
      <c r="EZ152" s="43">
        <v>0</v>
      </c>
      <c r="FA152" s="46"/>
      <c r="FC152">
        <v>16</v>
      </c>
      <c r="FG152" s="42">
        <v>-16</v>
      </c>
      <c r="FH152" s="46">
        <v>6.4</v>
      </c>
      <c r="FI152" s="47"/>
      <c r="FL152" s="43">
        <v>0</v>
      </c>
      <c r="FM152" s="46"/>
      <c r="FN152" s="47"/>
      <c r="FP152">
        <v>8</v>
      </c>
      <c r="FQ152" s="42">
        <v>-8</v>
      </c>
      <c r="FR152" s="46">
        <v>3.2</v>
      </c>
      <c r="FW152" s="43">
        <v>0</v>
      </c>
      <c r="FX152" s="46"/>
      <c r="FY152" s="47"/>
      <c r="GD152" s="43">
        <v>0</v>
      </c>
      <c r="GE152" s="46"/>
      <c r="GJ152" s="43">
        <v>0</v>
      </c>
      <c r="GK152" s="46"/>
      <c r="GL152" s="47"/>
      <c r="GP152" s="43">
        <v>0</v>
      </c>
      <c r="GQ152" s="46"/>
      <c r="GV152" s="43">
        <v>0</v>
      </c>
      <c r="GW152" s="46"/>
      <c r="GX152" s="47"/>
      <c r="GZ152" s="43">
        <v>0</v>
      </c>
      <c r="HA152" s="46"/>
      <c r="HB152" s="47"/>
      <c r="HF152" s="43">
        <v>0</v>
      </c>
      <c r="HG152" s="46"/>
      <c r="HH152" s="50">
        <v>16</v>
      </c>
      <c r="HI152" s="43">
        <v>16</v>
      </c>
      <c r="HJ152" s="43">
        <v>0</v>
      </c>
      <c r="HK152" s="46"/>
      <c r="HL152" s="47"/>
      <c r="HP152" s="43">
        <v>0</v>
      </c>
      <c r="HQ152" s="46"/>
      <c r="HX152" s="43">
        <v>0</v>
      </c>
      <c r="HY152" s="49"/>
      <c r="HZ152" s="47"/>
      <c r="IE152" s="46"/>
      <c r="IK152" s="49"/>
      <c r="IQ152" s="49"/>
      <c r="IW152" s="49"/>
      <c r="JC152" s="46"/>
      <c r="JG152" s="49"/>
      <c r="JM152" s="46"/>
      <c r="JN152" s="50"/>
      <c r="JQ152" s="49"/>
      <c r="JW152" s="49"/>
      <c r="KC152" s="49"/>
      <c r="KI152" s="49"/>
      <c r="KO152" s="49"/>
      <c r="KP152" s="50"/>
      <c r="KW152" s="49"/>
      <c r="LC152" s="49"/>
      <c r="LI152" s="49"/>
      <c r="LJ152" s="50"/>
      <c r="LM152" s="49"/>
      <c r="LN152" s="50"/>
      <c r="LT152" s="49"/>
      <c r="LU152" s="50"/>
      <c r="LZ152" s="49"/>
      <c r="MA152" s="50"/>
      <c r="MD152" s="49"/>
      <c r="ME152" s="50"/>
      <c r="MJ152" s="49"/>
      <c r="MK152" s="50"/>
      <c r="MN152" s="49"/>
      <c r="MO152" s="50"/>
      <c r="MT152" s="49"/>
      <c r="MV152" s="46"/>
      <c r="MZ152" s="49"/>
      <c r="NA152" s="50"/>
      <c r="NF152" s="49"/>
      <c r="NG152" s="50"/>
      <c r="NL152" s="49"/>
      <c r="NM152" s="50"/>
      <c r="NN152" s="48"/>
      <c r="NO152" s="48"/>
      <c r="NP152" s="48"/>
      <c r="NR152" s="49"/>
      <c r="NS152" s="50"/>
      <c r="NT152" s="48"/>
      <c r="NU152" s="48"/>
      <c r="NV152" s="48"/>
      <c r="NX152" s="49"/>
      <c r="NY152" s="50"/>
      <c r="NZ152" s="48"/>
      <c r="OA152" s="48"/>
      <c r="OB152" s="48"/>
      <c r="OD152" s="49"/>
      <c r="OE152" s="50"/>
      <c r="OF152" s="48"/>
      <c r="OH152" s="49"/>
      <c r="OI152" s="50"/>
      <c r="OJ152" s="48"/>
      <c r="OL152" s="49"/>
      <c r="OM152" s="50"/>
      <c r="ON152" s="48"/>
      <c r="OO152" s="48"/>
      <c r="OP152" s="48"/>
      <c r="OR152" s="49"/>
      <c r="OS152" s="50"/>
      <c r="OT152" s="48"/>
      <c r="OV152" s="49"/>
      <c r="OW152" s="50"/>
      <c r="OX152" s="48"/>
      <c r="OY152" s="48"/>
      <c r="OZ152" s="48"/>
      <c r="PB152" s="49"/>
      <c r="PC152" s="50"/>
      <c r="PF152" s="49"/>
      <c r="PG152" s="50"/>
      <c r="PL152" s="49"/>
      <c r="PM152" s="47"/>
      <c r="PN152" s="48"/>
      <c r="PP152" s="48"/>
      <c r="PR152" s="49"/>
      <c r="PS152" s="47"/>
      <c r="PX152" s="46"/>
      <c r="PY152" s="47"/>
      <c r="QB152" s="46"/>
      <c r="QC152" s="47"/>
      <c r="QH152" s="46"/>
      <c r="QI152" s="47"/>
      <c r="QN152" s="46"/>
      <c r="QO152" s="47"/>
      <c r="QT152" s="46"/>
      <c r="QU152" s="47"/>
      <c r="QX152" s="46"/>
      <c r="QY152" s="47"/>
      <c r="RD152" s="46"/>
    </row>
    <row r="153" spans="1:472" x14ac:dyDescent="0.25">
      <c r="A153" s="43" t="s">
        <v>441</v>
      </c>
      <c r="B153" s="44">
        <v>0.41</v>
      </c>
      <c r="I153" s="47"/>
      <c r="J153" s="51"/>
      <c r="K153" s="51"/>
      <c r="L153" s="51"/>
      <c r="M153" s="51">
        <f t="shared" si="15"/>
        <v>0</v>
      </c>
      <c r="N153" s="46"/>
      <c r="O153" s="47"/>
      <c r="P153" s="51"/>
      <c r="Q153" s="51"/>
      <c r="R153" s="51"/>
      <c r="S153" s="51">
        <f t="shared" si="16"/>
        <v>0</v>
      </c>
      <c r="T153" s="46"/>
      <c r="U153" s="47"/>
      <c r="V153" s="51"/>
      <c r="W153" s="51"/>
      <c r="X153" s="51"/>
      <c r="Y153" s="51">
        <f t="shared" si="17"/>
        <v>0</v>
      </c>
      <c r="Z153" s="46"/>
      <c r="AA153" s="51"/>
      <c r="AE153" s="43">
        <v>0</v>
      </c>
      <c r="AF153" s="46"/>
      <c r="AG153" s="47"/>
      <c r="AK153" s="43">
        <v>0</v>
      </c>
      <c r="AL153" s="46"/>
      <c r="AQ153" s="43">
        <v>0</v>
      </c>
      <c r="AR153" s="46"/>
      <c r="AW153" s="43">
        <v>0</v>
      </c>
      <c r="AX153" s="46"/>
      <c r="AY153" s="47"/>
      <c r="BC153" s="43">
        <v>0</v>
      </c>
      <c r="BD153" s="46"/>
      <c r="BE153" s="47"/>
      <c r="BI153" s="43">
        <v>0</v>
      </c>
      <c r="BJ153" s="46"/>
      <c r="BP153" s="43">
        <v>0</v>
      </c>
      <c r="BQ153" s="46"/>
      <c r="BT153" s="43">
        <v>0</v>
      </c>
      <c r="BU153" s="46"/>
      <c r="BV153" s="47"/>
      <c r="BZ153" s="43">
        <v>0</v>
      </c>
      <c r="CA153" s="46"/>
      <c r="CF153" s="43">
        <v>0</v>
      </c>
      <c r="CG153" s="46"/>
      <c r="CL153" s="43">
        <v>0</v>
      </c>
      <c r="CM153" s="46"/>
      <c r="CN153" s="47"/>
      <c r="CR153" s="43">
        <v>0</v>
      </c>
      <c r="CS153" s="46"/>
      <c r="CX153" s="43">
        <v>0</v>
      </c>
      <c r="CY153" s="46"/>
      <c r="CZ153" s="47"/>
      <c r="DD153" s="43">
        <v>0</v>
      </c>
      <c r="DE153" s="46"/>
      <c r="DF153" s="47"/>
      <c r="DL153" s="43">
        <v>0</v>
      </c>
      <c r="DM153" s="46"/>
      <c r="DN153" s="47"/>
      <c r="DR153" s="43">
        <v>0</v>
      </c>
      <c r="DS153" s="46"/>
      <c r="DZ153" s="43">
        <v>0</v>
      </c>
      <c r="EA153" s="46"/>
      <c r="EB153" s="47"/>
      <c r="EF153" s="43">
        <v>0</v>
      </c>
      <c r="EG153" s="46"/>
      <c r="EH153" s="47"/>
      <c r="EL153" s="43">
        <v>0</v>
      </c>
      <c r="EM153" s="46"/>
      <c r="EN153" s="47"/>
      <c r="ER153" s="43">
        <v>0</v>
      </c>
      <c r="ES153" s="46"/>
      <c r="EZ153" s="43">
        <v>0</v>
      </c>
      <c r="FA153" s="46"/>
      <c r="FG153" s="43">
        <v>0</v>
      </c>
      <c r="FH153" s="46"/>
      <c r="FI153" s="47"/>
      <c r="FL153" s="43">
        <v>0</v>
      </c>
      <c r="FM153" s="46"/>
      <c r="FN153" s="47"/>
      <c r="FQ153" s="43">
        <v>0</v>
      </c>
      <c r="FR153" s="46"/>
      <c r="FW153" s="43">
        <v>0</v>
      </c>
      <c r="FX153" s="46"/>
      <c r="FY153" s="47"/>
      <c r="GD153" s="43">
        <v>0</v>
      </c>
      <c r="GE153" s="46"/>
      <c r="GJ153" s="43">
        <v>0</v>
      </c>
      <c r="GK153" s="46"/>
      <c r="GL153" s="47"/>
      <c r="GP153" s="43">
        <v>0</v>
      </c>
      <c r="GQ153" s="46"/>
      <c r="GV153" s="43">
        <v>0</v>
      </c>
      <c r="GW153" s="46"/>
      <c r="GX153" s="47"/>
      <c r="GZ153" s="43">
        <v>0</v>
      </c>
      <c r="HA153" s="46"/>
      <c r="HB153" s="47"/>
      <c r="HF153" s="43">
        <v>0</v>
      </c>
      <c r="HG153" s="46"/>
      <c r="HH153" s="47"/>
      <c r="HJ153" s="43">
        <v>0</v>
      </c>
      <c r="HK153" s="46"/>
      <c r="HL153" s="47"/>
      <c r="HP153" s="43">
        <v>0</v>
      </c>
      <c r="HQ153" s="46"/>
      <c r="HX153" s="43">
        <v>0</v>
      </c>
      <c r="HY153" s="46"/>
      <c r="HZ153" s="47"/>
      <c r="ID153" s="43">
        <v>0</v>
      </c>
      <c r="IE153" s="46"/>
      <c r="IJ153" s="43">
        <v>0</v>
      </c>
      <c r="IK153" s="49"/>
      <c r="IP153" s="43">
        <v>0</v>
      </c>
      <c r="IQ153" s="49"/>
      <c r="IV153" s="43">
        <v>0</v>
      </c>
      <c r="IW153" s="49"/>
      <c r="JB153" s="43">
        <v>0</v>
      </c>
      <c r="JC153" s="46"/>
      <c r="JF153" s="43">
        <v>0</v>
      </c>
      <c r="JG153" s="49"/>
      <c r="JL153" s="43">
        <v>0</v>
      </c>
      <c r="JM153" s="46"/>
      <c r="JN153" s="50"/>
      <c r="JP153" s="43">
        <v>0</v>
      </c>
      <c r="JQ153" s="49"/>
      <c r="JV153" s="43">
        <v>0</v>
      </c>
      <c r="JW153" s="49"/>
      <c r="KB153" s="43">
        <v>0</v>
      </c>
      <c r="KC153" s="49"/>
      <c r="KH153" s="43">
        <v>0</v>
      </c>
      <c r="KI153" s="49"/>
      <c r="KN153" s="43">
        <v>0</v>
      </c>
      <c r="KO153" s="49"/>
      <c r="KP153" s="50"/>
      <c r="KV153" s="43">
        <v>0</v>
      </c>
      <c r="KW153" s="49"/>
      <c r="KX153" s="48">
        <v>0</v>
      </c>
      <c r="KY153" s="48">
        <v>0</v>
      </c>
      <c r="KZ153" s="48">
        <v>0</v>
      </c>
      <c r="LA153" s="48">
        <v>0</v>
      </c>
      <c r="LB153" s="43">
        <v>0</v>
      </c>
      <c r="LC153" s="49"/>
      <c r="LD153" s="48">
        <v>0</v>
      </c>
      <c r="LE153" s="48">
        <v>0</v>
      </c>
      <c r="LF153" s="48">
        <v>0</v>
      </c>
      <c r="LG153" s="48">
        <v>0</v>
      </c>
      <c r="LH153" s="43">
        <v>0</v>
      </c>
      <c r="LI153" s="49"/>
      <c r="LJ153" s="50">
        <v>0</v>
      </c>
      <c r="LK153" s="48">
        <v>0</v>
      </c>
      <c r="LL153" s="43">
        <v>0</v>
      </c>
      <c r="LM153" s="49"/>
      <c r="LN153" s="50">
        <v>0</v>
      </c>
      <c r="LO153" s="48">
        <v>0</v>
      </c>
      <c r="LP153" s="48">
        <v>0</v>
      </c>
      <c r="LQ153" s="48">
        <v>0</v>
      </c>
      <c r="LR153" s="48">
        <v>0</v>
      </c>
      <c r="LS153" s="43">
        <v>0</v>
      </c>
      <c r="LT153" s="49"/>
      <c r="LU153" s="50">
        <v>0</v>
      </c>
      <c r="LV153" s="48">
        <v>0</v>
      </c>
      <c r="LW153" s="48">
        <v>0</v>
      </c>
      <c r="LX153" s="48">
        <v>0</v>
      </c>
      <c r="LY153" s="43">
        <v>0</v>
      </c>
      <c r="LZ153" s="49"/>
      <c r="MA153" s="50">
        <v>0</v>
      </c>
      <c r="MB153" s="48">
        <v>0</v>
      </c>
      <c r="MC153" s="43">
        <v>0</v>
      </c>
      <c r="MD153" s="49"/>
      <c r="ME153" s="50">
        <v>0</v>
      </c>
      <c r="MF153" s="48">
        <v>0</v>
      </c>
      <c r="MG153" s="48">
        <v>0</v>
      </c>
      <c r="MH153" s="48">
        <v>0</v>
      </c>
      <c r="MI153" s="43">
        <v>0</v>
      </c>
      <c r="MJ153" s="49"/>
      <c r="MK153" s="50">
        <v>0</v>
      </c>
      <c r="ML153" s="48">
        <v>0</v>
      </c>
      <c r="MM153" s="43">
        <v>0</v>
      </c>
      <c r="MN153" s="49"/>
      <c r="MO153" s="50">
        <v>0</v>
      </c>
      <c r="MP153" s="48">
        <v>0</v>
      </c>
      <c r="MQ153" s="48">
        <v>0</v>
      </c>
      <c r="MR153" s="48">
        <v>0</v>
      </c>
      <c r="MS153" s="43">
        <v>0</v>
      </c>
      <c r="MT153" s="49"/>
      <c r="MU153" s="48">
        <v>0</v>
      </c>
      <c r="MV153" s="46"/>
      <c r="MW153" s="48">
        <v>0</v>
      </c>
      <c r="MX153" s="48">
        <v>0</v>
      </c>
      <c r="MY153" s="43">
        <v>0</v>
      </c>
      <c r="MZ153" s="49"/>
      <c r="NA153" s="50">
        <v>0</v>
      </c>
      <c r="NB153" s="48">
        <v>0</v>
      </c>
      <c r="NC153" s="48">
        <v>0</v>
      </c>
      <c r="ND153" s="48">
        <v>0</v>
      </c>
      <c r="NE153" s="43">
        <v>0</v>
      </c>
      <c r="NF153" s="49"/>
      <c r="NG153" s="50">
        <v>0</v>
      </c>
      <c r="NH153" s="48">
        <v>0</v>
      </c>
      <c r="NI153" s="48">
        <v>0</v>
      </c>
      <c r="NJ153" s="48">
        <v>0</v>
      </c>
      <c r="NK153" s="43">
        <v>0</v>
      </c>
      <c r="NL153" s="49"/>
      <c r="NM153" s="50">
        <v>0</v>
      </c>
      <c r="NN153" s="48">
        <v>0</v>
      </c>
      <c r="NO153" s="48">
        <v>0</v>
      </c>
      <c r="NP153" s="48">
        <v>0</v>
      </c>
      <c r="NQ153" s="43">
        <v>0</v>
      </c>
      <c r="NR153" s="49"/>
      <c r="NS153" s="50">
        <v>0</v>
      </c>
      <c r="NT153" s="48">
        <v>0</v>
      </c>
      <c r="NU153" s="48">
        <v>0</v>
      </c>
      <c r="NV153" s="48">
        <v>0</v>
      </c>
      <c r="NW153" s="43">
        <v>0</v>
      </c>
      <c r="NX153" s="49"/>
      <c r="NY153" s="50">
        <v>0</v>
      </c>
      <c r="NZ153" s="48">
        <v>0</v>
      </c>
      <c r="OA153" s="48">
        <v>0</v>
      </c>
      <c r="OB153" s="48">
        <v>0</v>
      </c>
      <c r="OC153" s="43">
        <v>0</v>
      </c>
      <c r="OD153" s="49"/>
      <c r="OE153" s="50">
        <v>0</v>
      </c>
      <c r="OF153" s="48">
        <v>0</v>
      </c>
      <c r="OG153" s="43">
        <v>0</v>
      </c>
      <c r="OH153" s="49"/>
      <c r="OI153" s="50">
        <v>0</v>
      </c>
      <c r="OJ153" s="48">
        <v>0</v>
      </c>
      <c r="OK153" s="43">
        <v>0</v>
      </c>
      <c r="OL153" s="49"/>
      <c r="OM153" s="50">
        <v>0</v>
      </c>
      <c r="ON153" s="48">
        <v>0</v>
      </c>
      <c r="OO153" s="48">
        <v>0</v>
      </c>
      <c r="OP153" s="48">
        <v>0</v>
      </c>
      <c r="OQ153" s="43">
        <v>0</v>
      </c>
      <c r="OR153" s="49"/>
      <c r="OS153" s="50">
        <v>0</v>
      </c>
      <c r="OT153" s="48">
        <v>0</v>
      </c>
      <c r="OU153" s="43">
        <v>0</v>
      </c>
      <c r="OV153" s="49"/>
      <c r="OW153" s="23">
        <v>510</v>
      </c>
      <c r="OX153" s="48">
        <v>0</v>
      </c>
      <c r="OY153" s="17">
        <v>480</v>
      </c>
      <c r="OZ153" s="48">
        <v>0</v>
      </c>
      <c r="PA153" s="43">
        <v>0</v>
      </c>
      <c r="PB153" s="49"/>
      <c r="PC153" s="50">
        <v>40</v>
      </c>
      <c r="PD153" s="48">
        <v>0</v>
      </c>
      <c r="PE153" s="43">
        <v>40</v>
      </c>
      <c r="PF153" s="49"/>
      <c r="PG153" s="50">
        <v>0</v>
      </c>
      <c r="PH153" s="48">
        <v>0</v>
      </c>
      <c r="PI153" s="48">
        <v>0</v>
      </c>
      <c r="PJ153" s="48">
        <v>0</v>
      </c>
      <c r="PK153" s="43">
        <v>0</v>
      </c>
      <c r="PL153" s="49"/>
      <c r="PM153" s="47">
        <v>0</v>
      </c>
      <c r="PN153" s="48">
        <v>0</v>
      </c>
      <c r="PO153" s="17">
        <v>50</v>
      </c>
      <c r="PP153" s="48">
        <v>0</v>
      </c>
      <c r="PQ153" s="43">
        <v>0</v>
      </c>
      <c r="PR153" s="49"/>
      <c r="PS153" s="8"/>
      <c r="PU153" s="7"/>
      <c r="PX153" s="46"/>
      <c r="PY153" s="8"/>
      <c r="QB153" s="46"/>
      <c r="QC153" s="8"/>
      <c r="QE153" s="7"/>
      <c r="QH153" s="46"/>
      <c r="QI153" s="47"/>
      <c r="QN153" s="46"/>
      <c r="QO153" s="47"/>
      <c r="QT153" s="46"/>
      <c r="QU153" s="47"/>
      <c r="QX153" s="46"/>
      <c r="QY153" s="47"/>
      <c r="RD153" s="46"/>
    </row>
    <row r="154" spans="1:472" x14ac:dyDescent="0.25">
      <c r="A154" s="43" t="s">
        <v>442</v>
      </c>
      <c r="B154" s="44">
        <v>0.33</v>
      </c>
      <c r="I154" s="47"/>
      <c r="J154" s="51"/>
      <c r="K154" s="51"/>
      <c r="L154" s="51"/>
      <c r="M154" s="51">
        <f t="shared" si="15"/>
        <v>0</v>
      </c>
      <c r="N154" s="46"/>
      <c r="O154" s="47"/>
      <c r="P154" s="51"/>
      <c r="Q154" s="51"/>
      <c r="R154" s="51"/>
      <c r="S154" s="51">
        <f t="shared" si="16"/>
        <v>0</v>
      </c>
      <c r="T154" s="46"/>
      <c r="U154" s="47"/>
      <c r="V154" s="51"/>
      <c r="W154" s="51"/>
      <c r="X154" s="51"/>
      <c r="Y154" s="51">
        <f t="shared" si="17"/>
        <v>0</v>
      </c>
      <c r="Z154" s="46"/>
      <c r="AA154" s="51"/>
      <c r="AE154" s="43">
        <v>0</v>
      </c>
      <c r="AF154" s="46"/>
      <c r="AG154" s="47"/>
      <c r="AK154" s="43">
        <v>0</v>
      </c>
      <c r="AL154" s="46"/>
      <c r="AQ154" s="43">
        <v>0</v>
      </c>
      <c r="AR154" s="46"/>
      <c r="AW154" s="43">
        <v>0</v>
      </c>
      <c r="AX154" s="46"/>
      <c r="AY154" s="47"/>
      <c r="BB154">
        <v>24</v>
      </c>
      <c r="BC154" s="43">
        <v>0</v>
      </c>
      <c r="BD154" s="46"/>
      <c r="BE154" s="47"/>
      <c r="BF154">
        <v>10</v>
      </c>
      <c r="BI154" s="42">
        <v>-10</v>
      </c>
      <c r="BJ154" s="46">
        <v>3.3</v>
      </c>
      <c r="BO154">
        <v>8</v>
      </c>
      <c r="BP154" s="43">
        <v>-2</v>
      </c>
      <c r="BQ154" s="46"/>
      <c r="BT154" s="43">
        <v>0</v>
      </c>
      <c r="BU154" s="46"/>
      <c r="BV154" s="47"/>
      <c r="BW154">
        <v>27</v>
      </c>
      <c r="BZ154" s="43">
        <v>-3</v>
      </c>
      <c r="CA154" s="46"/>
      <c r="CF154" s="43">
        <v>0</v>
      </c>
      <c r="CG154" s="46"/>
      <c r="CK154" s="39">
        <v>23</v>
      </c>
      <c r="CL154" s="43">
        <v>1</v>
      </c>
      <c r="CM154" s="46"/>
      <c r="CN154" s="47"/>
      <c r="CQ154">
        <v>16</v>
      </c>
      <c r="CR154" s="43">
        <v>2</v>
      </c>
      <c r="CS154" s="46"/>
      <c r="CW154">
        <v>19</v>
      </c>
      <c r="CX154" s="43">
        <v>-1</v>
      </c>
      <c r="CY154" s="46"/>
      <c r="CZ154" s="47"/>
      <c r="DD154" s="43">
        <v>0</v>
      </c>
      <c r="DE154" s="46"/>
      <c r="DF154" s="47"/>
      <c r="DK154">
        <v>8</v>
      </c>
      <c r="DL154" s="43">
        <v>-2</v>
      </c>
      <c r="DM154" s="46"/>
      <c r="DN154" s="47"/>
      <c r="DQ154">
        <v>16</v>
      </c>
      <c r="DR154" s="43">
        <v>2</v>
      </c>
      <c r="DS154" s="46"/>
      <c r="DW154">
        <v>8</v>
      </c>
      <c r="DZ154" s="42">
        <v>-8</v>
      </c>
      <c r="EA154" s="46">
        <v>2.64</v>
      </c>
      <c r="EB154" s="47"/>
      <c r="EE154">
        <v>6</v>
      </c>
      <c r="EF154" s="43">
        <v>0</v>
      </c>
      <c r="EG154" s="46"/>
      <c r="EH154" s="47"/>
      <c r="EK154">
        <v>8</v>
      </c>
      <c r="EL154" s="43">
        <v>-2</v>
      </c>
      <c r="EM154" s="46"/>
      <c r="EN154" s="47"/>
      <c r="EQ154">
        <v>8</v>
      </c>
      <c r="ER154" s="43">
        <v>-2</v>
      </c>
      <c r="ES154" s="46"/>
      <c r="EZ154" s="43">
        <v>0</v>
      </c>
      <c r="FA154" s="46"/>
      <c r="FG154" s="43">
        <v>0</v>
      </c>
      <c r="FH154" s="46"/>
      <c r="FI154" s="45">
        <v>8</v>
      </c>
      <c r="FK154" s="48">
        <v>10</v>
      </c>
      <c r="FL154" s="43">
        <v>-2</v>
      </c>
      <c r="FM154" s="46"/>
      <c r="FN154" s="47"/>
      <c r="FQ154" s="43">
        <v>0</v>
      </c>
      <c r="FR154" s="46"/>
      <c r="FW154" s="43">
        <v>0</v>
      </c>
      <c r="FX154" s="46"/>
      <c r="FY154" s="47"/>
      <c r="GB154">
        <v>56</v>
      </c>
      <c r="GC154">
        <v>56</v>
      </c>
      <c r="GD154" s="43">
        <v>0</v>
      </c>
      <c r="GE154" s="46"/>
      <c r="GJ154" s="43">
        <v>0</v>
      </c>
      <c r="GK154" s="46"/>
      <c r="GL154" s="47"/>
      <c r="GN154">
        <v>32</v>
      </c>
      <c r="GO154">
        <v>48</v>
      </c>
      <c r="GP154" s="42">
        <v>-16</v>
      </c>
      <c r="GQ154" s="46">
        <v>5.28</v>
      </c>
      <c r="GV154" s="43">
        <v>0</v>
      </c>
      <c r="GW154" s="46"/>
      <c r="GX154" s="47"/>
      <c r="GZ154" s="43">
        <v>0</v>
      </c>
      <c r="HA154" s="46"/>
      <c r="HB154" s="47"/>
      <c r="HD154">
        <v>48</v>
      </c>
      <c r="HE154">
        <v>48</v>
      </c>
      <c r="HF154" s="43">
        <v>0</v>
      </c>
      <c r="HG154" s="46"/>
      <c r="HH154" s="47"/>
      <c r="HJ154" s="43">
        <v>0</v>
      </c>
      <c r="HK154" s="46"/>
      <c r="HL154" s="47"/>
      <c r="HP154" s="43">
        <v>0</v>
      </c>
      <c r="HQ154" s="46"/>
      <c r="HV154">
        <v>32</v>
      </c>
      <c r="HW154">
        <v>30</v>
      </c>
      <c r="HX154" s="43">
        <v>2</v>
      </c>
      <c r="HY154" s="46"/>
      <c r="HZ154" s="47"/>
      <c r="IB154">
        <v>8</v>
      </c>
      <c r="IC154">
        <v>8</v>
      </c>
      <c r="ID154" s="43">
        <v>0</v>
      </c>
      <c r="IE154" s="46"/>
      <c r="IH154">
        <v>16</v>
      </c>
      <c r="II154">
        <v>21</v>
      </c>
      <c r="IJ154" s="43">
        <v>-5</v>
      </c>
      <c r="IK154" s="49"/>
      <c r="IP154" s="43">
        <v>0</v>
      </c>
      <c r="IQ154" s="49"/>
      <c r="IR154">
        <v>8</v>
      </c>
      <c r="IS154">
        <v>8</v>
      </c>
      <c r="IV154" s="43">
        <v>0</v>
      </c>
      <c r="IW154" s="49"/>
      <c r="IX154">
        <v>16</v>
      </c>
      <c r="IY154">
        <v>16</v>
      </c>
      <c r="JB154" s="43">
        <v>0</v>
      </c>
      <c r="JC154" s="46"/>
      <c r="JD154">
        <v>16</v>
      </c>
      <c r="JE154">
        <v>16</v>
      </c>
      <c r="JF154" s="43">
        <v>0</v>
      </c>
      <c r="JG154" s="49"/>
      <c r="JL154" s="43">
        <v>0</v>
      </c>
      <c r="JM154" s="46"/>
      <c r="JN154" s="50"/>
      <c r="JP154" s="43">
        <v>0</v>
      </c>
      <c r="JQ154" s="49"/>
      <c r="JT154">
        <v>32</v>
      </c>
      <c r="JU154">
        <v>32</v>
      </c>
      <c r="JV154" s="43">
        <v>0</v>
      </c>
      <c r="JW154" s="49"/>
      <c r="KB154" s="43">
        <v>0</v>
      </c>
      <c r="KC154" s="49"/>
      <c r="KH154" s="43">
        <v>0</v>
      </c>
      <c r="KI154" s="49"/>
      <c r="KN154" s="43">
        <v>0</v>
      </c>
      <c r="KO154" s="49"/>
      <c r="KP154" s="50"/>
      <c r="KR154">
        <v>72</v>
      </c>
      <c r="KS154">
        <v>70</v>
      </c>
      <c r="KT154">
        <v>56</v>
      </c>
      <c r="KU154">
        <v>60</v>
      </c>
      <c r="KV154" s="43">
        <v>-2</v>
      </c>
      <c r="KW154" s="49"/>
      <c r="KX154" s="48">
        <v>0</v>
      </c>
      <c r="KY154" s="48">
        <v>0</v>
      </c>
      <c r="KZ154" s="48">
        <v>0</v>
      </c>
      <c r="LA154" s="48">
        <v>0</v>
      </c>
      <c r="LB154" s="43">
        <v>0</v>
      </c>
      <c r="LC154" s="49"/>
      <c r="LD154" s="48">
        <v>0</v>
      </c>
      <c r="LE154" s="48">
        <v>0</v>
      </c>
      <c r="LF154" s="48">
        <v>0</v>
      </c>
      <c r="LG154" s="48">
        <v>0</v>
      </c>
      <c r="LH154" s="43">
        <v>0</v>
      </c>
      <c r="LI154" s="49"/>
      <c r="LJ154" s="50">
        <v>40</v>
      </c>
      <c r="LK154" s="48">
        <v>41</v>
      </c>
      <c r="LL154" s="43">
        <v>-1</v>
      </c>
      <c r="LM154" s="49"/>
      <c r="LN154" s="50">
        <v>0</v>
      </c>
      <c r="LO154" s="48">
        <v>0</v>
      </c>
      <c r="LP154" s="48">
        <v>96</v>
      </c>
      <c r="LQ154" s="48">
        <v>0</v>
      </c>
      <c r="LR154" s="48">
        <v>94</v>
      </c>
      <c r="LS154" s="43">
        <v>2</v>
      </c>
      <c r="LT154" s="49"/>
      <c r="LU154" s="50">
        <v>0</v>
      </c>
      <c r="LV154" s="48">
        <v>0</v>
      </c>
      <c r="LW154" s="48">
        <v>0</v>
      </c>
      <c r="LX154" s="48">
        <v>0</v>
      </c>
      <c r="LY154" s="43">
        <v>0</v>
      </c>
      <c r="LZ154" s="49"/>
      <c r="MA154" s="50">
        <v>160</v>
      </c>
      <c r="MB154" s="48">
        <v>158</v>
      </c>
      <c r="MC154" s="43">
        <v>2</v>
      </c>
      <c r="MD154" s="49"/>
      <c r="ME154" s="50">
        <v>0</v>
      </c>
      <c r="MF154" s="48">
        <v>0</v>
      </c>
      <c r="MG154" s="48">
        <v>40</v>
      </c>
      <c r="MH154" s="48">
        <v>40</v>
      </c>
      <c r="MI154" s="43">
        <v>0</v>
      </c>
      <c r="MJ154" s="49"/>
      <c r="MK154" s="50">
        <v>0</v>
      </c>
      <c r="ML154" s="48">
        <v>0</v>
      </c>
      <c r="MM154" s="43">
        <v>0</v>
      </c>
      <c r="MN154" s="49"/>
      <c r="MO154" s="50">
        <v>80</v>
      </c>
      <c r="MP154" s="48">
        <v>80</v>
      </c>
      <c r="MQ154" s="48">
        <v>0</v>
      </c>
      <c r="MR154" s="48">
        <v>0</v>
      </c>
      <c r="MS154" s="43">
        <v>0</v>
      </c>
      <c r="MT154" s="49"/>
      <c r="MU154" s="48">
        <v>0</v>
      </c>
      <c r="MV154" s="46"/>
      <c r="MZ154" s="49"/>
      <c r="NA154" s="50"/>
      <c r="NF154" s="49"/>
      <c r="NG154" s="50"/>
      <c r="NL154" s="49"/>
      <c r="NM154" s="50"/>
      <c r="NR154" s="49"/>
      <c r="NS154" s="50"/>
      <c r="NX154" s="49"/>
      <c r="NY154" s="50"/>
      <c r="OD154" s="49"/>
      <c r="OE154" s="50"/>
      <c r="OH154" s="49"/>
      <c r="OI154" s="50"/>
      <c r="OL154" s="49"/>
      <c r="OM154" s="50"/>
      <c r="OR154" s="49"/>
      <c r="OS154" s="50"/>
      <c r="OV154" s="49"/>
      <c r="OW154" s="50"/>
      <c r="PB154" s="49"/>
      <c r="PC154" s="50"/>
      <c r="PF154" s="49"/>
      <c r="PG154" s="50"/>
      <c r="PL154" s="49"/>
      <c r="PM154" s="47"/>
      <c r="PN154" s="48"/>
      <c r="PP154" s="48"/>
      <c r="PR154" s="49"/>
      <c r="PS154" s="47"/>
      <c r="PX154" s="46"/>
      <c r="PY154" s="47"/>
      <c r="QB154" s="46"/>
      <c r="QC154" s="47"/>
      <c r="QH154" s="46"/>
      <c r="QI154" s="47"/>
      <c r="QN154" s="46"/>
      <c r="QO154" s="47"/>
      <c r="QT154" s="46"/>
      <c r="QU154" s="47"/>
      <c r="QX154" s="46"/>
      <c r="QY154" s="47"/>
      <c r="RD154" s="46"/>
    </row>
    <row r="155" spans="1:472" x14ac:dyDescent="0.25">
      <c r="A155" s="43" t="s">
        <v>443</v>
      </c>
      <c r="B155" s="44">
        <v>0.36</v>
      </c>
      <c r="I155" s="47"/>
      <c r="J155" s="51"/>
      <c r="K155" s="51"/>
      <c r="L155" s="51"/>
      <c r="M155" s="51">
        <f t="shared" si="15"/>
        <v>0</v>
      </c>
      <c r="N155" s="46"/>
      <c r="O155" s="47"/>
      <c r="P155" s="51"/>
      <c r="Q155" s="51"/>
      <c r="R155" s="51"/>
      <c r="S155" s="51">
        <f t="shared" si="16"/>
        <v>0</v>
      </c>
      <c r="T155" s="46"/>
      <c r="U155" s="47"/>
      <c r="V155" s="51"/>
      <c r="W155" s="51"/>
      <c r="X155" s="51"/>
      <c r="Y155" s="51">
        <f t="shared" si="17"/>
        <v>0</v>
      </c>
      <c r="Z155" s="46"/>
      <c r="AA155" s="51"/>
      <c r="AE155" s="43">
        <v>0</v>
      </c>
      <c r="AF155" s="46"/>
      <c r="AG155" s="47"/>
      <c r="AK155" s="43">
        <v>0</v>
      </c>
      <c r="AL155" s="46"/>
      <c r="AQ155" s="43">
        <v>0</v>
      </c>
      <c r="AR155" s="46"/>
      <c r="AW155" s="43">
        <v>0</v>
      </c>
      <c r="AX155" s="46"/>
      <c r="AY155" s="47"/>
      <c r="BC155" s="43">
        <v>0</v>
      </c>
      <c r="BD155" s="46"/>
      <c r="BE155" s="47"/>
      <c r="BI155" s="43">
        <v>0</v>
      </c>
      <c r="BJ155" s="46"/>
      <c r="BP155" s="43">
        <v>0</v>
      </c>
      <c r="BQ155" s="46"/>
      <c r="BT155" s="43">
        <v>0</v>
      </c>
      <c r="BU155" s="46"/>
      <c r="BV155" s="47"/>
      <c r="BZ155" s="43">
        <v>0</v>
      </c>
      <c r="CA155" s="46"/>
      <c r="CF155" s="43">
        <v>0</v>
      </c>
      <c r="CG155" s="46"/>
      <c r="CL155" s="43">
        <v>0</v>
      </c>
      <c r="CM155" s="46"/>
      <c r="CN155" s="47"/>
      <c r="CR155" s="43">
        <v>0</v>
      </c>
      <c r="CS155" s="46"/>
      <c r="CX155" s="43">
        <v>0</v>
      </c>
      <c r="CY155" s="46"/>
      <c r="CZ155" s="47"/>
      <c r="DD155" s="43">
        <v>0</v>
      </c>
      <c r="DE155" s="46"/>
      <c r="DF155" s="47"/>
      <c r="DL155" s="43">
        <v>0</v>
      </c>
      <c r="DM155" s="46"/>
      <c r="DN155" s="47"/>
      <c r="DR155" s="43">
        <v>0</v>
      </c>
      <c r="DS155" s="46"/>
      <c r="DZ155" s="43">
        <v>0</v>
      </c>
      <c r="EA155" s="46"/>
      <c r="EB155" s="47"/>
      <c r="EF155" s="43">
        <v>0</v>
      </c>
      <c r="EG155" s="46"/>
      <c r="EH155" s="47"/>
      <c r="EL155" s="43">
        <v>0</v>
      </c>
      <c r="EM155" s="46"/>
      <c r="EN155" s="47"/>
      <c r="ER155" s="43">
        <v>0</v>
      </c>
      <c r="ES155" s="46"/>
      <c r="EZ155" s="43">
        <v>0</v>
      </c>
      <c r="FA155" s="46"/>
      <c r="FG155" s="43">
        <v>0</v>
      </c>
      <c r="FH155" s="46"/>
      <c r="FI155" s="47"/>
      <c r="FL155" s="43">
        <v>0</v>
      </c>
      <c r="FM155" s="46"/>
      <c r="FN155" s="47"/>
      <c r="FQ155" s="43">
        <v>0</v>
      </c>
      <c r="FR155" s="46"/>
      <c r="FW155" s="43">
        <v>0</v>
      </c>
      <c r="FX155" s="46"/>
      <c r="FY155" s="47"/>
      <c r="GD155" s="43">
        <v>0</v>
      </c>
      <c r="GE155" s="46"/>
      <c r="GJ155" s="43">
        <v>0</v>
      </c>
      <c r="GK155" s="46"/>
      <c r="GL155" s="47"/>
      <c r="GP155" s="43">
        <v>0</v>
      </c>
      <c r="GQ155" s="46"/>
      <c r="GV155" s="43">
        <v>0</v>
      </c>
      <c r="GW155" s="46"/>
      <c r="GX155" s="47"/>
      <c r="GZ155" s="43">
        <v>0</v>
      </c>
      <c r="HA155" s="46"/>
      <c r="HB155" s="47"/>
      <c r="HF155" s="43">
        <v>0</v>
      </c>
      <c r="HG155" s="46"/>
      <c r="HH155" s="47"/>
      <c r="HJ155" s="43">
        <v>0</v>
      </c>
      <c r="HK155" s="46"/>
      <c r="HL155" s="47"/>
      <c r="HP155" s="43">
        <v>0</v>
      </c>
      <c r="HQ155" s="46"/>
      <c r="HX155" s="43">
        <v>0</v>
      </c>
      <c r="HY155" s="46"/>
      <c r="HZ155" s="47"/>
      <c r="ID155" s="43">
        <v>0</v>
      </c>
      <c r="IE155" s="46"/>
      <c r="IJ155" s="43">
        <v>0</v>
      </c>
      <c r="IK155" s="49"/>
      <c r="IP155" s="43">
        <v>0</v>
      </c>
      <c r="IQ155" s="49"/>
      <c r="IV155" s="43">
        <v>0</v>
      </c>
      <c r="IW155" s="49"/>
      <c r="JB155" s="43">
        <v>0</v>
      </c>
      <c r="JC155" s="46"/>
      <c r="JF155" s="43">
        <v>0</v>
      </c>
      <c r="JG155" s="49"/>
      <c r="JL155" s="43">
        <v>0</v>
      </c>
      <c r="JM155" s="46"/>
      <c r="JN155" s="50"/>
      <c r="JP155" s="43">
        <v>0</v>
      </c>
      <c r="JQ155" s="49"/>
      <c r="JV155" s="43">
        <v>0</v>
      </c>
      <c r="JW155" s="49"/>
      <c r="KB155" s="43">
        <v>0</v>
      </c>
      <c r="KC155" s="49"/>
      <c r="KH155" s="43">
        <v>0</v>
      </c>
      <c r="KI155" s="49"/>
      <c r="KN155" s="43">
        <v>0</v>
      </c>
      <c r="KO155" s="49"/>
      <c r="KP155" s="50"/>
      <c r="KV155" s="43">
        <v>0</v>
      </c>
      <c r="KW155" s="49"/>
      <c r="KX155" s="48">
        <v>0</v>
      </c>
      <c r="KY155" s="48">
        <v>0</v>
      </c>
      <c r="KZ155" s="48">
        <v>0</v>
      </c>
      <c r="LA155" s="48">
        <v>0</v>
      </c>
      <c r="LB155" s="43">
        <v>0</v>
      </c>
      <c r="LC155" s="49"/>
      <c r="LD155" s="48">
        <v>0</v>
      </c>
      <c r="LE155" s="48">
        <v>0</v>
      </c>
      <c r="LF155" s="48">
        <v>0</v>
      </c>
      <c r="LG155" s="48">
        <v>0</v>
      </c>
      <c r="LH155" s="43">
        <v>0</v>
      </c>
      <c r="LI155" s="49"/>
      <c r="LJ155" s="50">
        <v>0</v>
      </c>
      <c r="LK155" s="48">
        <v>0</v>
      </c>
      <c r="LL155" s="43">
        <v>0</v>
      </c>
      <c r="LM155" s="49"/>
      <c r="LN155" s="50">
        <v>0</v>
      </c>
      <c r="LO155" s="48">
        <v>0</v>
      </c>
      <c r="LP155" s="48">
        <v>0</v>
      </c>
      <c r="LQ155" s="48">
        <v>0</v>
      </c>
      <c r="LR155" s="48">
        <v>0</v>
      </c>
      <c r="LS155" s="43">
        <v>0</v>
      </c>
      <c r="LT155" s="49"/>
      <c r="LU155" s="50">
        <v>0</v>
      </c>
      <c r="LV155" s="48">
        <v>0</v>
      </c>
      <c r="LW155" s="48">
        <v>0</v>
      </c>
      <c r="LX155" s="48">
        <v>0</v>
      </c>
      <c r="LY155" s="43">
        <v>0</v>
      </c>
      <c r="LZ155" s="49"/>
      <c r="MA155" s="50">
        <v>0</v>
      </c>
      <c r="MB155" s="33">
        <v>100</v>
      </c>
      <c r="MC155" s="43">
        <v>-4</v>
      </c>
      <c r="MD155" s="49"/>
      <c r="ME155" s="50">
        <v>0</v>
      </c>
      <c r="MF155" s="48">
        <v>0</v>
      </c>
      <c r="MG155" s="48">
        <v>0</v>
      </c>
      <c r="MH155" s="33">
        <v>133</v>
      </c>
      <c r="MI155" s="42">
        <v>-133</v>
      </c>
      <c r="MJ155" s="49">
        <v>47.88</v>
      </c>
      <c r="MK155" s="50">
        <v>0</v>
      </c>
      <c r="ML155" s="48">
        <v>40</v>
      </c>
      <c r="MM155" s="42">
        <v>-40</v>
      </c>
      <c r="MN155" s="49">
        <v>14.4</v>
      </c>
      <c r="MO155" s="50">
        <v>0</v>
      </c>
      <c r="MP155" s="48">
        <v>0</v>
      </c>
      <c r="MQ155" s="48">
        <v>0</v>
      </c>
      <c r="MR155" s="28">
        <v>75</v>
      </c>
      <c r="MS155" s="43">
        <v>-3</v>
      </c>
      <c r="MT155" s="49"/>
      <c r="MU155" s="48">
        <v>0</v>
      </c>
      <c r="MV155" s="46"/>
      <c r="MW155" s="48">
        <v>0</v>
      </c>
      <c r="MX155" s="48">
        <v>0</v>
      </c>
      <c r="MY155" s="43">
        <v>0</v>
      </c>
      <c r="MZ155" s="49"/>
      <c r="NA155" s="50">
        <v>0</v>
      </c>
      <c r="NB155" s="48">
        <v>0</v>
      </c>
      <c r="NC155" s="48">
        <v>0</v>
      </c>
      <c r="ND155" s="28">
        <v>25</v>
      </c>
      <c r="NE155" s="43">
        <v>-1</v>
      </c>
      <c r="NF155" s="49"/>
      <c r="NG155" s="50"/>
      <c r="NL155" s="49"/>
      <c r="NM155" s="50"/>
      <c r="NR155" s="49"/>
      <c r="NS155" s="50"/>
      <c r="NX155" s="49"/>
      <c r="NY155" s="50"/>
      <c r="OD155" s="49"/>
      <c r="OE155" s="50"/>
      <c r="OH155" s="49"/>
      <c r="OI155" s="50"/>
      <c r="OL155" s="49"/>
      <c r="OM155" s="50"/>
      <c r="OR155" s="49"/>
      <c r="OS155" s="50"/>
      <c r="OV155" s="49"/>
      <c r="OW155" s="23"/>
      <c r="OY155" s="17"/>
      <c r="PB155" s="49"/>
      <c r="PC155" s="50"/>
      <c r="PF155" s="49"/>
      <c r="PG155" s="50"/>
      <c r="PL155" s="49"/>
      <c r="PM155" s="47"/>
      <c r="PN155" s="48"/>
      <c r="PO155" s="17"/>
      <c r="PP155" s="48"/>
      <c r="PR155" s="49"/>
      <c r="PS155" s="8"/>
      <c r="PU155" s="7"/>
      <c r="PX155" s="46"/>
      <c r="PY155" s="8"/>
      <c r="QB155" s="46"/>
      <c r="QC155" s="8"/>
      <c r="QE155" s="7"/>
      <c r="QH155" s="46"/>
      <c r="QI155" s="47"/>
      <c r="QN155" s="46"/>
      <c r="QO155" s="47"/>
      <c r="QT155" s="46"/>
      <c r="QU155" s="47"/>
      <c r="QX155" s="46"/>
      <c r="QY155" s="47"/>
      <c r="RD155" s="46"/>
    </row>
    <row r="156" spans="1:472" x14ac:dyDescent="0.25">
      <c r="A156" s="43" t="s">
        <v>444</v>
      </c>
      <c r="B156" s="44">
        <v>1</v>
      </c>
      <c r="I156" s="47"/>
      <c r="J156" s="51"/>
      <c r="K156" s="51"/>
      <c r="L156" s="51"/>
      <c r="M156" s="51">
        <f t="shared" si="15"/>
        <v>0</v>
      </c>
      <c r="N156" s="46"/>
      <c r="O156" s="47"/>
      <c r="P156" s="51"/>
      <c r="Q156" s="51"/>
      <c r="R156" s="51"/>
      <c r="S156" s="51">
        <f t="shared" si="16"/>
        <v>0</v>
      </c>
      <c r="T156" s="46"/>
      <c r="U156" s="47"/>
      <c r="V156" s="51"/>
      <c r="W156" s="51"/>
      <c r="X156" s="51"/>
      <c r="Y156" s="51">
        <f t="shared" si="17"/>
        <v>0</v>
      </c>
      <c r="Z156" s="46"/>
      <c r="AA156" s="51"/>
      <c r="AE156" s="43">
        <v>0</v>
      </c>
      <c r="AF156" s="46"/>
      <c r="AG156" s="47"/>
      <c r="AK156" s="43">
        <v>0</v>
      </c>
      <c r="AL156" s="46"/>
      <c r="AQ156" s="43">
        <v>0</v>
      </c>
      <c r="AR156" s="46"/>
      <c r="AW156" s="43">
        <v>0</v>
      </c>
      <c r="AX156" s="46"/>
      <c r="AY156" s="47"/>
      <c r="BC156" s="43">
        <v>0</v>
      </c>
      <c r="BD156" s="46"/>
      <c r="BE156" s="47"/>
      <c r="BI156" s="43">
        <v>0</v>
      </c>
      <c r="BJ156" s="46"/>
      <c r="BP156" s="43">
        <v>0</v>
      </c>
      <c r="BQ156" s="46"/>
      <c r="BT156" s="43">
        <v>0</v>
      </c>
      <c r="BU156" s="46"/>
      <c r="BV156" s="47"/>
      <c r="BZ156" s="43">
        <v>0</v>
      </c>
      <c r="CA156" s="46"/>
      <c r="CF156" s="43">
        <v>0</v>
      </c>
      <c r="CG156" s="46"/>
      <c r="CL156" s="43">
        <v>0</v>
      </c>
      <c r="CM156" s="46"/>
      <c r="CN156" s="47"/>
      <c r="CR156" s="43">
        <v>0</v>
      </c>
      <c r="CS156" s="46"/>
      <c r="CX156" s="43">
        <v>0</v>
      </c>
      <c r="CY156" s="46"/>
      <c r="CZ156" s="47"/>
      <c r="DD156" s="43">
        <v>0</v>
      </c>
      <c r="DE156" s="46"/>
      <c r="DF156" s="47"/>
      <c r="DL156" s="43">
        <v>0</v>
      </c>
      <c r="DM156" s="46"/>
      <c r="DN156" s="47"/>
      <c r="DR156" s="43">
        <v>0</v>
      </c>
      <c r="DS156" s="46"/>
      <c r="DZ156" s="43">
        <v>0</v>
      </c>
      <c r="EA156" s="46"/>
      <c r="EB156" s="47"/>
      <c r="EF156" s="43">
        <v>0</v>
      </c>
      <c r="EG156" s="46"/>
      <c r="EH156" s="47"/>
      <c r="EL156" s="43">
        <v>0</v>
      </c>
      <c r="EM156" s="46"/>
      <c r="EN156" s="47"/>
      <c r="ER156" s="43">
        <v>0</v>
      </c>
      <c r="ES156" s="46"/>
      <c r="EZ156" s="43">
        <v>0</v>
      </c>
      <c r="FA156" s="46"/>
      <c r="FG156" s="43">
        <v>0</v>
      </c>
      <c r="FH156" s="46"/>
      <c r="FI156" s="47"/>
      <c r="FL156" s="43">
        <v>0</v>
      </c>
      <c r="FM156" s="46"/>
      <c r="FN156" s="47"/>
      <c r="FQ156" s="43">
        <v>0</v>
      </c>
      <c r="FR156" s="46"/>
      <c r="FW156" s="43">
        <v>0</v>
      </c>
      <c r="FX156" s="46"/>
      <c r="FY156" s="47"/>
      <c r="GD156" s="43">
        <v>0</v>
      </c>
      <c r="GE156" s="46"/>
      <c r="GJ156" s="43">
        <v>0</v>
      </c>
      <c r="GK156" s="46"/>
      <c r="GL156" s="47"/>
      <c r="GP156" s="43">
        <v>0</v>
      </c>
      <c r="GQ156" s="46"/>
      <c r="GV156" s="43">
        <v>0</v>
      </c>
      <c r="GW156" s="46"/>
      <c r="GX156" s="47"/>
      <c r="GZ156" s="43">
        <v>0</v>
      </c>
      <c r="HA156" s="46"/>
      <c r="HB156" s="47"/>
      <c r="HF156" s="43">
        <v>0</v>
      </c>
      <c r="HG156" s="46"/>
      <c r="HH156" s="47"/>
      <c r="HJ156" s="43">
        <v>0</v>
      </c>
      <c r="HK156" s="46"/>
      <c r="HL156" s="47"/>
      <c r="HP156" s="43">
        <v>0</v>
      </c>
      <c r="HQ156" s="46"/>
      <c r="HX156" s="43">
        <v>0</v>
      </c>
      <c r="HY156" s="46"/>
      <c r="HZ156" s="47"/>
      <c r="ID156" s="43">
        <v>0</v>
      </c>
      <c r="IE156" s="46"/>
      <c r="IJ156" s="43">
        <v>0</v>
      </c>
      <c r="IK156" s="49"/>
      <c r="IP156" s="43">
        <v>0</v>
      </c>
      <c r="IQ156" s="49"/>
      <c r="IS156">
        <v>80</v>
      </c>
      <c r="IT156">
        <v>80</v>
      </c>
      <c r="IU156">
        <v>80</v>
      </c>
      <c r="IV156" s="42">
        <v>-80</v>
      </c>
      <c r="IW156" s="49">
        <v>80</v>
      </c>
      <c r="IX156">
        <v>68</v>
      </c>
      <c r="IY156">
        <v>70</v>
      </c>
      <c r="IZ156">
        <v>49</v>
      </c>
      <c r="JA156">
        <v>50</v>
      </c>
      <c r="JB156" s="43">
        <v>-3</v>
      </c>
      <c r="JC156" s="46"/>
      <c r="JD156">
        <v>18</v>
      </c>
      <c r="JE156">
        <v>20</v>
      </c>
      <c r="JF156" s="43">
        <v>-2</v>
      </c>
      <c r="JG156" s="49"/>
      <c r="JH156">
        <v>81</v>
      </c>
      <c r="JI156">
        <v>80</v>
      </c>
      <c r="JJ156">
        <v>62</v>
      </c>
      <c r="JK156">
        <v>65</v>
      </c>
      <c r="JL156" s="43">
        <v>-2</v>
      </c>
      <c r="JM156" s="46"/>
      <c r="JN156" s="50"/>
      <c r="JP156" s="43">
        <v>0</v>
      </c>
      <c r="JQ156" s="49"/>
      <c r="JV156" s="43">
        <v>0</v>
      </c>
      <c r="JW156" s="49"/>
      <c r="JZ156">
        <v>209</v>
      </c>
      <c r="KA156">
        <v>214</v>
      </c>
      <c r="KB156" s="43">
        <v>-5</v>
      </c>
      <c r="KC156" s="49"/>
      <c r="KH156" s="43">
        <v>0</v>
      </c>
      <c r="KI156" s="49"/>
      <c r="KN156" s="43">
        <v>0</v>
      </c>
      <c r="KO156" s="49"/>
      <c r="KP156" s="50"/>
      <c r="KR156">
        <v>50</v>
      </c>
      <c r="KS156">
        <v>50</v>
      </c>
      <c r="KT156">
        <v>6</v>
      </c>
      <c r="KU156">
        <v>50</v>
      </c>
      <c r="KV156" s="42">
        <v>-44</v>
      </c>
      <c r="KW156" s="49">
        <v>44</v>
      </c>
      <c r="KX156" s="48">
        <v>0</v>
      </c>
      <c r="KY156" s="48">
        <v>0</v>
      </c>
      <c r="KZ156" s="32">
        <v>31.04</v>
      </c>
      <c r="LA156" s="48">
        <v>0</v>
      </c>
      <c r="LB156" s="43">
        <v>0</v>
      </c>
      <c r="LC156" s="49"/>
      <c r="LI156" s="49"/>
      <c r="LJ156" s="50"/>
      <c r="LM156" s="49"/>
      <c r="LN156" s="50"/>
      <c r="LT156" s="49"/>
      <c r="LU156" s="50"/>
      <c r="LZ156" s="49"/>
      <c r="MA156" s="50"/>
      <c r="MD156" s="49"/>
      <c r="ME156" s="50"/>
      <c r="MJ156" s="49"/>
      <c r="MK156" s="50"/>
      <c r="MN156" s="49"/>
      <c r="MO156" s="50"/>
      <c r="MT156" s="49"/>
      <c r="MV156" s="46"/>
      <c r="MZ156" s="49"/>
      <c r="NA156" s="50"/>
      <c r="NF156" s="49"/>
      <c r="NG156" s="50"/>
      <c r="NL156" s="49"/>
      <c r="NM156" s="50"/>
      <c r="NR156" s="49"/>
      <c r="NS156" s="50"/>
      <c r="NX156" s="49"/>
      <c r="NY156" s="50"/>
      <c r="OD156" s="49"/>
      <c r="OE156" s="50"/>
      <c r="OH156" s="49"/>
      <c r="OI156" s="50"/>
      <c r="OL156" s="49"/>
      <c r="OM156" s="50"/>
      <c r="OR156" s="49"/>
      <c r="OS156" s="50"/>
      <c r="OV156" s="49"/>
      <c r="OW156" s="50"/>
      <c r="PB156" s="49"/>
      <c r="PC156" s="50"/>
      <c r="PF156" s="49"/>
      <c r="PG156" s="50"/>
      <c r="PL156" s="49"/>
      <c r="PM156" s="47"/>
      <c r="PN156" s="48"/>
      <c r="PP156" s="48"/>
      <c r="PR156" s="49"/>
      <c r="PS156" s="47"/>
      <c r="PX156" s="46"/>
      <c r="PY156" s="47"/>
      <c r="QB156" s="46"/>
      <c r="QC156" s="47"/>
      <c r="QH156" s="46"/>
      <c r="QI156" s="47"/>
      <c r="QN156" s="46"/>
      <c r="QO156" s="47"/>
      <c r="QT156" s="46"/>
      <c r="QU156" s="47"/>
      <c r="QX156" s="46"/>
      <c r="QY156" s="47"/>
      <c r="RD156" s="46"/>
    </row>
    <row r="157" spans="1:472" x14ac:dyDescent="0.25">
      <c r="A157" s="43" t="s">
        <v>445</v>
      </c>
      <c r="B157" s="44">
        <v>1</v>
      </c>
      <c r="I157" s="47"/>
      <c r="J157" s="51"/>
      <c r="K157" s="51"/>
      <c r="L157" s="51"/>
      <c r="M157" s="51">
        <f t="shared" si="15"/>
        <v>0</v>
      </c>
      <c r="N157" s="46"/>
      <c r="O157" s="47"/>
      <c r="P157" s="51"/>
      <c r="Q157" s="51"/>
      <c r="R157" s="51"/>
      <c r="S157" s="51">
        <f t="shared" si="16"/>
        <v>0</v>
      </c>
      <c r="T157" s="46"/>
      <c r="U157" s="47"/>
      <c r="V157" s="51"/>
      <c r="W157" s="51"/>
      <c r="X157" s="51"/>
      <c r="Y157" s="51">
        <f t="shared" si="17"/>
        <v>0</v>
      </c>
      <c r="Z157" s="46"/>
      <c r="AA157" s="51"/>
      <c r="AE157" s="43">
        <v>0</v>
      </c>
      <c r="AF157" s="46"/>
      <c r="AG157" s="47"/>
      <c r="AK157" s="43">
        <v>0</v>
      </c>
      <c r="AL157" s="46"/>
      <c r="AQ157" s="43">
        <v>0</v>
      </c>
      <c r="AR157" s="46"/>
      <c r="AW157" s="43">
        <v>0</v>
      </c>
      <c r="AX157" s="46"/>
      <c r="AY157" s="47"/>
      <c r="BC157" s="43">
        <v>0</v>
      </c>
      <c r="BD157" s="46"/>
      <c r="BE157" s="47"/>
      <c r="BI157" s="43">
        <v>0</v>
      </c>
      <c r="BJ157" s="46"/>
      <c r="BP157" s="43">
        <v>0</v>
      </c>
      <c r="BQ157" s="46"/>
      <c r="BT157" s="43">
        <v>0</v>
      </c>
      <c r="BU157" s="46"/>
      <c r="BV157" s="47"/>
      <c r="BZ157" s="43">
        <v>0</v>
      </c>
      <c r="CA157" s="46"/>
      <c r="CF157" s="43">
        <v>0</v>
      </c>
      <c r="CG157" s="46"/>
      <c r="CL157" s="43">
        <v>0</v>
      </c>
      <c r="CM157" s="46"/>
      <c r="CN157" s="47"/>
      <c r="CR157" s="43">
        <v>0</v>
      </c>
      <c r="CS157" s="46"/>
      <c r="CX157" s="43">
        <v>0</v>
      </c>
      <c r="CY157" s="46"/>
      <c r="CZ157" s="47"/>
      <c r="DD157" s="43">
        <v>0</v>
      </c>
      <c r="DE157" s="46"/>
      <c r="DF157" s="47"/>
      <c r="DL157" s="43">
        <v>0</v>
      </c>
      <c r="DM157" s="46"/>
      <c r="DN157" s="47"/>
      <c r="DR157" s="43">
        <v>0</v>
      </c>
      <c r="DS157" s="46"/>
      <c r="DZ157" s="43">
        <v>0</v>
      </c>
      <c r="EA157" s="46"/>
      <c r="EB157" s="47"/>
      <c r="EF157" s="43">
        <v>0</v>
      </c>
      <c r="EG157" s="46"/>
      <c r="EH157" s="47"/>
      <c r="EL157" s="43">
        <v>0</v>
      </c>
      <c r="EM157" s="46"/>
      <c r="EN157" s="47"/>
      <c r="ER157" s="43">
        <v>0</v>
      </c>
      <c r="ES157" s="46"/>
      <c r="EZ157" s="43">
        <v>0</v>
      </c>
      <c r="FA157" s="46"/>
      <c r="FG157" s="43">
        <v>0</v>
      </c>
      <c r="FH157" s="46"/>
      <c r="FI157" s="47"/>
      <c r="FL157" s="43">
        <v>0</v>
      </c>
      <c r="FM157" s="46"/>
      <c r="FN157" s="47"/>
      <c r="FQ157" s="43">
        <v>0</v>
      </c>
      <c r="FR157" s="46"/>
      <c r="FW157" s="43">
        <v>0</v>
      </c>
      <c r="FX157" s="46"/>
      <c r="FY157" s="47"/>
      <c r="GD157" s="43">
        <v>0</v>
      </c>
      <c r="GE157" s="46"/>
      <c r="GJ157" s="43">
        <v>0</v>
      </c>
      <c r="GK157" s="46"/>
      <c r="GL157" s="47"/>
      <c r="GP157" s="43">
        <v>0</v>
      </c>
      <c r="GQ157" s="46"/>
      <c r="GV157" s="43">
        <v>0</v>
      </c>
      <c r="GW157" s="46"/>
      <c r="GX157" s="47"/>
      <c r="GZ157" s="43">
        <v>0</v>
      </c>
      <c r="HA157" s="46"/>
      <c r="HB157" s="47"/>
      <c r="HF157" s="43">
        <v>0</v>
      </c>
      <c r="HG157" s="46"/>
      <c r="HH157" s="47"/>
      <c r="HJ157" s="43">
        <v>0</v>
      </c>
      <c r="HK157" s="46"/>
      <c r="HL157" s="47"/>
      <c r="HP157" s="43">
        <v>0</v>
      </c>
      <c r="HQ157" s="46"/>
      <c r="HX157" s="43">
        <v>0</v>
      </c>
      <c r="HY157" s="46"/>
      <c r="HZ157" s="47"/>
      <c r="ID157" s="43">
        <v>0</v>
      </c>
      <c r="IE157" s="46"/>
      <c r="IJ157" s="43">
        <v>0</v>
      </c>
      <c r="IK157" s="49"/>
      <c r="IP157" s="43">
        <v>0</v>
      </c>
      <c r="IQ157" s="49"/>
      <c r="IR157">
        <v>80</v>
      </c>
      <c r="IS157">
        <v>80</v>
      </c>
      <c r="IT157">
        <v>67</v>
      </c>
      <c r="IU157">
        <v>70</v>
      </c>
      <c r="IV157" s="43">
        <v>-3</v>
      </c>
      <c r="IW157" s="49"/>
      <c r="IX157">
        <v>179</v>
      </c>
      <c r="IY157">
        <v>180</v>
      </c>
      <c r="IZ157">
        <v>118</v>
      </c>
      <c r="JA157">
        <v>160</v>
      </c>
      <c r="JB157" s="42">
        <v>-43</v>
      </c>
      <c r="JC157" s="46">
        <v>43</v>
      </c>
      <c r="JD157">
        <v>19</v>
      </c>
      <c r="JE157">
        <v>30</v>
      </c>
      <c r="JF157" s="42">
        <v>-11</v>
      </c>
      <c r="JG157" s="46">
        <v>11</v>
      </c>
      <c r="JH157">
        <v>148</v>
      </c>
      <c r="JI157">
        <v>150</v>
      </c>
      <c r="JJ157">
        <v>130</v>
      </c>
      <c r="JK157">
        <v>130</v>
      </c>
      <c r="JL157" s="43">
        <v>-2</v>
      </c>
      <c r="JM157" s="46"/>
      <c r="JN157" s="45">
        <v>97</v>
      </c>
      <c r="JO157" s="48">
        <v>100</v>
      </c>
      <c r="JP157" s="43">
        <v>-3</v>
      </c>
      <c r="JQ157" s="49"/>
      <c r="JT157">
        <v>131</v>
      </c>
      <c r="JU157">
        <v>130</v>
      </c>
      <c r="JV157" s="43">
        <v>1</v>
      </c>
      <c r="JW157" s="49"/>
      <c r="JZ157">
        <v>119</v>
      </c>
      <c r="KA157">
        <v>120</v>
      </c>
      <c r="KB157" s="43">
        <v>-1</v>
      </c>
      <c r="KC157" s="49"/>
      <c r="KD157">
        <v>50</v>
      </c>
      <c r="KE157">
        <v>50</v>
      </c>
      <c r="KF157">
        <v>129</v>
      </c>
      <c r="KG157">
        <v>130</v>
      </c>
      <c r="KH157" s="43">
        <v>-1</v>
      </c>
      <c r="KI157" s="49"/>
      <c r="KN157" s="43">
        <v>0</v>
      </c>
      <c r="KO157" s="49"/>
      <c r="KP157" s="45">
        <v>99</v>
      </c>
      <c r="KQ157">
        <v>100</v>
      </c>
      <c r="KR157">
        <v>97</v>
      </c>
      <c r="KS157">
        <v>100</v>
      </c>
      <c r="KT157">
        <v>43</v>
      </c>
      <c r="KU157">
        <v>100</v>
      </c>
      <c r="KV157" s="42">
        <v>-61</v>
      </c>
      <c r="KW157" s="49">
        <v>61</v>
      </c>
      <c r="KX157" s="48">
        <v>0</v>
      </c>
      <c r="KY157" s="48">
        <v>0</v>
      </c>
      <c r="KZ157" s="32">
        <v>132.06200000000001</v>
      </c>
      <c r="LA157" s="48">
        <v>0</v>
      </c>
      <c r="LB157" s="43">
        <v>0</v>
      </c>
      <c r="LC157" s="49"/>
      <c r="LI157" s="49"/>
      <c r="LJ157" s="50"/>
      <c r="LM157" s="49"/>
      <c r="LN157" s="50"/>
      <c r="LT157" s="49"/>
      <c r="LU157" s="50"/>
      <c r="LZ157" s="49"/>
      <c r="MA157" s="50"/>
      <c r="MD157" s="49"/>
      <c r="ME157" s="50"/>
      <c r="MJ157" s="49"/>
      <c r="MK157" s="50"/>
      <c r="MN157" s="49"/>
      <c r="MO157" s="50"/>
      <c r="MT157" s="49"/>
      <c r="MV157" s="46"/>
      <c r="MZ157" s="49"/>
      <c r="NA157" s="50"/>
      <c r="NF157" s="49"/>
      <c r="NG157" s="50"/>
      <c r="NL157" s="49"/>
      <c r="NM157" s="50"/>
      <c r="NR157" s="49"/>
      <c r="NS157" s="50"/>
      <c r="NX157" s="49"/>
      <c r="NY157" s="50"/>
      <c r="OD157" s="49"/>
      <c r="OE157" s="50"/>
      <c r="OH157" s="49"/>
      <c r="OI157" s="50"/>
      <c r="OL157" s="49"/>
      <c r="OM157" s="50"/>
      <c r="OR157" s="49"/>
      <c r="OS157" s="50"/>
      <c r="OV157" s="49"/>
      <c r="OW157" s="50"/>
      <c r="PB157" s="49"/>
      <c r="PC157" s="50"/>
      <c r="PF157" s="49"/>
      <c r="PG157" s="50"/>
      <c r="PL157" s="49"/>
      <c r="PM157" s="47"/>
      <c r="PN157" s="48"/>
      <c r="PP157" s="48"/>
      <c r="PR157" s="49"/>
      <c r="PS157" s="47"/>
      <c r="PX157" s="46"/>
      <c r="PY157" s="47"/>
      <c r="QB157" s="46"/>
      <c r="QC157" s="47"/>
      <c r="QH157" s="46"/>
      <c r="QI157" s="47"/>
      <c r="QN157" s="46"/>
      <c r="QO157" s="47"/>
      <c r="QT157" s="46"/>
      <c r="QU157" s="47"/>
      <c r="QX157" s="46"/>
      <c r="QY157" s="47"/>
      <c r="RD157" s="46"/>
    </row>
    <row r="158" spans="1:472" x14ac:dyDescent="0.25">
      <c r="A158" s="43" t="s">
        <v>446</v>
      </c>
      <c r="B158" s="44">
        <v>1</v>
      </c>
      <c r="I158" s="47"/>
      <c r="J158" s="51"/>
      <c r="K158" s="51"/>
      <c r="L158" s="51"/>
      <c r="M158" s="51">
        <f t="shared" si="15"/>
        <v>0</v>
      </c>
      <c r="N158" s="46"/>
      <c r="O158" s="47"/>
      <c r="P158" s="51"/>
      <c r="Q158" s="51"/>
      <c r="R158" s="51"/>
      <c r="S158" s="51">
        <f t="shared" si="16"/>
        <v>0</v>
      </c>
      <c r="T158" s="46"/>
      <c r="U158" s="47"/>
      <c r="V158" s="51"/>
      <c r="W158" s="51"/>
      <c r="X158" s="51"/>
      <c r="Y158" s="51">
        <f t="shared" si="17"/>
        <v>0</v>
      </c>
      <c r="Z158" s="46"/>
      <c r="AA158" s="51"/>
      <c r="AE158" s="43">
        <v>0</v>
      </c>
      <c r="AF158" s="46"/>
      <c r="AG158" s="47"/>
      <c r="AK158" s="43">
        <v>0</v>
      </c>
      <c r="AL158" s="46"/>
      <c r="AQ158" s="43">
        <v>0</v>
      </c>
      <c r="AR158" s="46"/>
      <c r="AW158" s="43">
        <v>0</v>
      </c>
      <c r="AX158" s="46"/>
      <c r="AY158" s="47"/>
      <c r="BC158" s="43">
        <v>0</v>
      </c>
      <c r="BD158" s="46"/>
      <c r="BE158" s="47"/>
      <c r="BI158" s="43">
        <v>0</v>
      </c>
      <c r="BJ158" s="46"/>
      <c r="BP158" s="43">
        <v>0</v>
      </c>
      <c r="BQ158" s="46"/>
      <c r="BT158" s="43">
        <v>0</v>
      </c>
      <c r="BU158" s="46"/>
      <c r="BV158" s="47"/>
      <c r="BZ158" s="43">
        <v>0</v>
      </c>
      <c r="CA158" s="46"/>
      <c r="CF158" s="43">
        <v>0</v>
      </c>
      <c r="CG158" s="46"/>
      <c r="CL158" s="43">
        <v>0</v>
      </c>
      <c r="CM158" s="46"/>
      <c r="CN158" s="47"/>
      <c r="CR158" s="43">
        <v>0</v>
      </c>
      <c r="CS158" s="46"/>
      <c r="CX158" s="43">
        <v>0</v>
      </c>
      <c r="CY158" s="46"/>
      <c r="CZ158" s="47"/>
      <c r="DD158" s="43">
        <v>0</v>
      </c>
      <c r="DE158" s="46"/>
      <c r="DF158" s="47"/>
      <c r="DL158" s="43">
        <v>0</v>
      </c>
      <c r="DM158" s="46"/>
      <c r="DN158" s="47"/>
      <c r="DR158" s="43">
        <v>0</v>
      </c>
      <c r="DS158" s="46"/>
      <c r="DZ158" s="43">
        <v>0</v>
      </c>
      <c r="EA158" s="46"/>
      <c r="EB158" s="47"/>
      <c r="EF158" s="43">
        <v>0</v>
      </c>
      <c r="EG158" s="46"/>
      <c r="EH158" s="47"/>
      <c r="EL158" s="43">
        <v>0</v>
      </c>
      <c r="EM158" s="46"/>
      <c r="EN158" s="47"/>
      <c r="ER158" s="43">
        <v>0</v>
      </c>
      <c r="ES158" s="46"/>
      <c r="EZ158" s="43">
        <v>0</v>
      </c>
      <c r="FA158" s="46"/>
      <c r="FG158" s="43">
        <v>0</v>
      </c>
      <c r="FH158" s="46"/>
      <c r="FI158" s="47"/>
      <c r="FL158" s="43">
        <v>0</v>
      </c>
      <c r="FM158" s="46"/>
      <c r="FN158" s="47"/>
      <c r="FQ158" s="43">
        <v>0</v>
      </c>
      <c r="FR158" s="46"/>
      <c r="FW158" s="43">
        <v>0</v>
      </c>
      <c r="FX158" s="46"/>
      <c r="FY158" s="47"/>
      <c r="GD158" s="43">
        <v>0</v>
      </c>
      <c r="GE158" s="46"/>
      <c r="GJ158" s="43">
        <v>0</v>
      </c>
      <c r="GK158" s="46"/>
      <c r="GL158" s="47"/>
      <c r="GP158" s="43">
        <v>0</v>
      </c>
      <c r="GQ158" s="46"/>
      <c r="GV158" s="43">
        <v>0</v>
      </c>
      <c r="GW158" s="46"/>
      <c r="GX158" s="47"/>
      <c r="GZ158" s="43">
        <v>0</v>
      </c>
      <c r="HA158" s="46"/>
      <c r="HB158" s="47"/>
      <c r="HF158" s="43">
        <v>0</v>
      </c>
      <c r="HG158" s="46"/>
      <c r="HH158" s="47"/>
      <c r="HJ158" s="43">
        <v>0</v>
      </c>
      <c r="HK158" s="46"/>
      <c r="HL158" s="47"/>
      <c r="HP158" s="43">
        <v>0</v>
      </c>
      <c r="HQ158" s="46"/>
      <c r="HX158" s="43">
        <v>0</v>
      </c>
      <c r="HY158" s="46"/>
      <c r="HZ158" s="47"/>
      <c r="ID158" s="43">
        <v>0</v>
      </c>
      <c r="IE158" s="46"/>
      <c r="IJ158" s="43">
        <v>0</v>
      </c>
      <c r="IK158" s="49"/>
      <c r="IP158" s="43">
        <v>0</v>
      </c>
      <c r="IQ158" s="49"/>
      <c r="IR158">
        <v>105</v>
      </c>
      <c r="IS158">
        <v>100</v>
      </c>
      <c r="IT158">
        <v>80</v>
      </c>
      <c r="IU158">
        <v>80</v>
      </c>
      <c r="IV158" s="43">
        <v>5</v>
      </c>
      <c r="IW158" s="49"/>
      <c r="IZ158">
        <v>663</v>
      </c>
      <c r="JA158">
        <v>650</v>
      </c>
      <c r="JB158" s="43">
        <v>13</v>
      </c>
      <c r="JC158" s="46"/>
      <c r="JD158">
        <v>290</v>
      </c>
      <c r="JE158">
        <v>280</v>
      </c>
      <c r="JF158" s="43">
        <v>10</v>
      </c>
      <c r="JG158" s="49"/>
      <c r="JH158">
        <v>62</v>
      </c>
      <c r="JI158">
        <v>60</v>
      </c>
      <c r="JJ158">
        <v>49</v>
      </c>
      <c r="JK158">
        <v>50</v>
      </c>
      <c r="JL158" s="43">
        <v>1</v>
      </c>
      <c r="JM158" s="46"/>
      <c r="JN158" s="45">
        <v>155</v>
      </c>
      <c r="JO158" s="48">
        <v>150</v>
      </c>
      <c r="JP158" s="43">
        <v>5</v>
      </c>
      <c r="JQ158" s="49"/>
      <c r="JT158">
        <v>501</v>
      </c>
      <c r="JU158">
        <v>480</v>
      </c>
      <c r="JV158" s="43">
        <v>21</v>
      </c>
      <c r="JW158" s="49"/>
      <c r="JX158">
        <v>107</v>
      </c>
      <c r="JY158">
        <v>100</v>
      </c>
      <c r="KB158" s="43">
        <v>7</v>
      </c>
      <c r="KC158" s="49"/>
      <c r="KD158">
        <v>209</v>
      </c>
      <c r="KE158">
        <v>200</v>
      </c>
      <c r="KF158">
        <v>314</v>
      </c>
      <c r="KG158">
        <v>300</v>
      </c>
      <c r="KH158" s="43">
        <v>23</v>
      </c>
      <c r="KI158" s="49"/>
      <c r="KJ158">
        <v>50</v>
      </c>
      <c r="KK158" s="44">
        <v>48</v>
      </c>
      <c r="KL158">
        <v>118</v>
      </c>
      <c r="KM158" s="48">
        <v>109</v>
      </c>
      <c r="KN158" s="43">
        <v>11</v>
      </c>
      <c r="KO158" s="49"/>
      <c r="KP158" s="50"/>
      <c r="KV158" s="43">
        <v>0</v>
      </c>
      <c r="KW158" s="49"/>
      <c r="LC158" s="49"/>
      <c r="LI158" s="49"/>
      <c r="LJ158" s="50"/>
      <c r="LM158" s="49"/>
      <c r="LN158" s="50"/>
      <c r="LT158" s="49"/>
      <c r="LU158" s="50"/>
      <c r="LZ158" s="49"/>
      <c r="MA158" s="50"/>
      <c r="MD158" s="49"/>
      <c r="ME158" s="50"/>
      <c r="MJ158" s="49"/>
      <c r="MK158" s="50"/>
      <c r="MN158" s="49"/>
      <c r="MO158" s="50"/>
      <c r="MT158" s="49"/>
      <c r="MV158" s="46"/>
      <c r="MZ158" s="49"/>
      <c r="NA158" s="50"/>
      <c r="NF158" s="49"/>
      <c r="NG158" s="50"/>
      <c r="NL158" s="49"/>
      <c r="NM158" s="50"/>
      <c r="NR158" s="49"/>
      <c r="NS158" s="50"/>
      <c r="NX158" s="49"/>
      <c r="NY158" s="50"/>
      <c r="OD158" s="49"/>
      <c r="OE158" s="50"/>
      <c r="OH158" s="49"/>
      <c r="OI158" s="50"/>
      <c r="OL158" s="49"/>
      <c r="OM158" s="50"/>
      <c r="OR158" s="49"/>
      <c r="OS158" s="50"/>
      <c r="OV158" s="49"/>
      <c r="OW158" s="50"/>
      <c r="PB158" s="49"/>
      <c r="PC158" s="50"/>
      <c r="PF158" s="49"/>
      <c r="PG158" s="50"/>
      <c r="PL158" s="49"/>
      <c r="PM158" s="47"/>
      <c r="PN158" s="48"/>
      <c r="PP158" s="48"/>
      <c r="PR158" s="49"/>
      <c r="PS158" s="47"/>
      <c r="PX158" s="46"/>
      <c r="PY158" s="47"/>
      <c r="QB158" s="46"/>
      <c r="QC158" s="47"/>
      <c r="QH158" s="46"/>
      <c r="QI158" s="47"/>
      <c r="QN158" s="46"/>
      <c r="QO158" s="47"/>
      <c r="QT158" s="46"/>
      <c r="QU158" s="47"/>
      <c r="QX158" s="46"/>
      <c r="QY158" s="47"/>
      <c r="RD158" s="46"/>
    </row>
    <row r="159" spans="1:472" x14ac:dyDescent="0.25">
      <c r="A159" s="43" t="s">
        <v>447</v>
      </c>
      <c r="B159" s="44">
        <v>0.25</v>
      </c>
      <c r="F159">
        <v>32</v>
      </c>
      <c r="I159" s="47"/>
      <c r="J159" s="51"/>
      <c r="K159" s="52">
        <v>64</v>
      </c>
      <c r="L159" s="52">
        <v>67</v>
      </c>
      <c r="M159" s="51">
        <f t="shared" si="15"/>
        <v>-3</v>
      </c>
      <c r="N159" s="46"/>
      <c r="O159" s="47"/>
      <c r="P159" s="51"/>
      <c r="Q159" s="52">
        <v>16</v>
      </c>
      <c r="R159" s="52">
        <v>21</v>
      </c>
      <c r="S159" s="51">
        <f t="shared" si="16"/>
        <v>-5</v>
      </c>
      <c r="T159" s="46"/>
      <c r="U159" s="47"/>
      <c r="V159" s="51"/>
      <c r="W159" s="51"/>
      <c r="X159" s="51"/>
      <c r="Y159" s="51">
        <f t="shared" si="17"/>
        <v>0</v>
      </c>
      <c r="Z159" s="46"/>
      <c r="AA159" s="51"/>
      <c r="AE159" s="43">
        <v>0</v>
      </c>
      <c r="AF159" s="46"/>
      <c r="AG159" s="45">
        <v>16</v>
      </c>
      <c r="AH159" s="43">
        <v>16</v>
      </c>
      <c r="AK159" s="43">
        <v>0</v>
      </c>
      <c r="AL159" s="46"/>
      <c r="AO159">
        <v>64</v>
      </c>
      <c r="AQ159" s="43">
        <v>64</v>
      </c>
      <c r="AR159" s="46"/>
      <c r="AW159" s="43">
        <v>0</v>
      </c>
      <c r="AX159" s="46"/>
      <c r="AY159" s="47"/>
      <c r="BC159" s="43">
        <v>0</v>
      </c>
      <c r="BD159" s="46"/>
      <c r="BE159" s="47"/>
      <c r="BI159" s="43">
        <v>0</v>
      </c>
      <c r="BJ159" s="46"/>
      <c r="BQ159" s="46"/>
      <c r="BU159" s="46"/>
      <c r="BV159" s="47"/>
      <c r="CA159" s="46"/>
      <c r="CG159" s="46"/>
      <c r="CM159" s="46"/>
      <c r="CN159" s="47"/>
      <c r="CS159" s="46"/>
      <c r="CY159" s="46"/>
      <c r="CZ159" s="47"/>
      <c r="DE159" s="46"/>
      <c r="DF159" s="47"/>
      <c r="DM159" s="46"/>
      <c r="DN159" s="47"/>
      <c r="DS159" s="46"/>
      <c r="EA159" s="46"/>
      <c r="EB159" s="47"/>
      <c r="EG159" s="46"/>
      <c r="EH159" s="47"/>
      <c r="EL159" s="43"/>
      <c r="EM159" s="46"/>
      <c r="EN159" s="47"/>
      <c r="ER159" s="43"/>
      <c r="ES159" s="46"/>
      <c r="FA159" s="46"/>
      <c r="FB159" s="43"/>
      <c r="FH159" s="46"/>
      <c r="FI159" s="47"/>
      <c r="FM159" s="46"/>
      <c r="FN159" s="47"/>
      <c r="FR159" s="46"/>
      <c r="FX159" s="46"/>
      <c r="FY159" s="47"/>
      <c r="GE159" s="46"/>
      <c r="GK159" s="46"/>
      <c r="GL159" s="47"/>
      <c r="GP159" s="43"/>
      <c r="GQ159" s="46"/>
      <c r="GW159" s="46"/>
      <c r="GX159" s="47"/>
      <c r="HA159" s="46"/>
      <c r="HB159" s="47"/>
      <c r="HG159" s="46"/>
      <c r="HH159" s="47"/>
      <c r="HJ159" s="43"/>
      <c r="HK159" s="46"/>
      <c r="HL159" s="47"/>
      <c r="HP159" s="43"/>
      <c r="HQ159" s="46"/>
      <c r="HY159" s="46"/>
      <c r="HZ159" s="47"/>
      <c r="IE159" s="46"/>
      <c r="IK159" s="49"/>
      <c r="IQ159" s="49"/>
      <c r="IW159" s="49"/>
      <c r="JC159" s="46"/>
      <c r="JG159" s="49"/>
      <c r="JM159" s="46"/>
      <c r="JN159" s="45"/>
      <c r="JO159" s="48"/>
      <c r="JQ159" s="49"/>
      <c r="JW159" s="49"/>
      <c r="KC159" s="49"/>
      <c r="KI159" s="49"/>
      <c r="KK159" s="44"/>
      <c r="KM159" s="48"/>
      <c r="KO159" s="49"/>
      <c r="KP159" s="50"/>
      <c r="KW159" s="49"/>
      <c r="LC159" s="49"/>
      <c r="LI159" s="49"/>
      <c r="LJ159" s="50"/>
      <c r="LM159" s="49"/>
      <c r="LN159" s="50"/>
      <c r="LT159" s="49"/>
      <c r="LU159" s="50"/>
      <c r="LZ159" s="49"/>
      <c r="MA159" s="50"/>
      <c r="MD159" s="49"/>
      <c r="ME159" s="50"/>
      <c r="MJ159" s="49"/>
      <c r="MK159" s="50"/>
      <c r="MN159" s="49"/>
      <c r="MO159" s="50"/>
      <c r="MT159" s="49"/>
      <c r="MV159" s="46"/>
      <c r="MZ159" s="49"/>
      <c r="NA159" s="50"/>
      <c r="NF159" s="49"/>
      <c r="NG159" s="50"/>
      <c r="NL159" s="49"/>
      <c r="NM159" s="50"/>
      <c r="NR159" s="49"/>
      <c r="NS159" s="50"/>
      <c r="NX159" s="49"/>
      <c r="NY159" s="50"/>
      <c r="OD159" s="49"/>
      <c r="OE159" s="50"/>
      <c r="OH159" s="49"/>
      <c r="OI159" s="50"/>
      <c r="OL159" s="49"/>
      <c r="OM159" s="50"/>
      <c r="OR159" s="49"/>
      <c r="OS159" s="50"/>
      <c r="OV159" s="49"/>
      <c r="OW159" s="50"/>
      <c r="PB159" s="49"/>
      <c r="PC159" s="50"/>
      <c r="PF159" s="49"/>
      <c r="PG159" s="50"/>
      <c r="PL159" s="49"/>
      <c r="PM159" s="47"/>
      <c r="PN159" s="48"/>
      <c r="PP159" s="48"/>
      <c r="PR159" s="49"/>
      <c r="PS159" s="47"/>
      <c r="PX159" s="46"/>
      <c r="PY159" s="47"/>
      <c r="QB159" s="46"/>
      <c r="QC159" s="47"/>
      <c r="QH159" s="46"/>
      <c r="QI159" s="47"/>
      <c r="QN159" s="46"/>
      <c r="QO159" s="47"/>
      <c r="QT159" s="46"/>
      <c r="QU159" s="47"/>
      <c r="QX159" s="46"/>
      <c r="QY159" s="47"/>
      <c r="RD159" s="46"/>
    </row>
    <row r="160" spans="1:472" x14ac:dyDescent="0.25">
      <c r="A160" s="43" t="s">
        <v>448</v>
      </c>
      <c r="B160" s="44">
        <v>1</v>
      </c>
      <c r="E160">
        <v>25</v>
      </c>
      <c r="I160" s="47"/>
      <c r="J160" s="51"/>
      <c r="K160" s="52">
        <v>28</v>
      </c>
      <c r="L160" s="52">
        <v>27</v>
      </c>
      <c r="M160" s="51">
        <f t="shared" si="15"/>
        <v>1</v>
      </c>
      <c r="N160" s="46"/>
      <c r="O160" s="45">
        <v>28</v>
      </c>
      <c r="P160" s="52">
        <v>25</v>
      </c>
      <c r="Q160" s="52">
        <v>34</v>
      </c>
      <c r="R160" s="52">
        <v>31</v>
      </c>
      <c r="S160" s="51">
        <f t="shared" si="16"/>
        <v>6</v>
      </c>
      <c r="T160" s="46"/>
      <c r="U160" s="47"/>
      <c r="V160" s="51"/>
      <c r="W160" s="51"/>
      <c r="X160" s="51"/>
      <c r="Y160" s="51">
        <f t="shared" si="17"/>
        <v>0</v>
      </c>
      <c r="Z160" s="46"/>
      <c r="AA160" s="51"/>
      <c r="AC160">
        <v>31</v>
      </c>
      <c r="AD160">
        <v>29</v>
      </c>
      <c r="AE160" s="43">
        <v>2</v>
      </c>
      <c r="AF160" s="46"/>
      <c r="AG160" s="45">
        <v>13</v>
      </c>
      <c r="AH160">
        <v>10</v>
      </c>
      <c r="AI160">
        <v>12</v>
      </c>
      <c r="AJ160">
        <v>12</v>
      </c>
      <c r="AK160" s="43">
        <v>3</v>
      </c>
      <c r="AL160" s="46"/>
      <c r="AQ160" s="43">
        <v>0</v>
      </c>
      <c r="AR160" s="46"/>
      <c r="AS160">
        <v>28</v>
      </c>
      <c r="AT160">
        <v>26</v>
      </c>
      <c r="AW160" s="43">
        <v>2</v>
      </c>
      <c r="AX160" s="46"/>
      <c r="AY160" s="47"/>
      <c r="BA160">
        <v>50</v>
      </c>
      <c r="BB160">
        <v>46</v>
      </c>
      <c r="BC160" s="43">
        <v>4</v>
      </c>
      <c r="BD160" s="46"/>
      <c r="BE160" s="47"/>
      <c r="BI160" s="43">
        <v>0</v>
      </c>
      <c r="BJ160" s="46"/>
      <c r="BN160">
        <v>35</v>
      </c>
      <c r="BO160">
        <v>31</v>
      </c>
      <c r="BP160" s="43">
        <v>4</v>
      </c>
      <c r="BQ160" s="46"/>
      <c r="BT160" s="43">
        <v>0</v>
      </c>
      <c r="BU160" s="46"/>
      <c r="BV160" s="45">
        <v>60</v>
      </c>
      <c r="BW160">
        <v>55</v>
      </c>
      <c r="BX160">
        <v>15</v>
      </c>
      <c r="BY160">
        <v>14</v>
      </c>
      <c r="BZ160" s="43">
        <v>6</v>
      </c>
      <c r="CA160" s="46"/>
      <c r="CD160">
        <v>6</v>
      </c>
      <c r="CE160">
        <v>6</v>
      </c>
      <c r="CF160" s="43">
        <v>0</v>
      </c>
      <c r="CG160" s="46"/>
      <c r="CL160" s="43">
        <v>0</v>
      </c>
      <c r="CM160" s="46"/>
      <c r="CN160" s="47"/>
      <c r="CP160">
        <v>22</v>
      </c>
      <c r="CQ160">
        <v>20</v>
      </c>
      <c r="CR160" s="43">
        <v>2</v>
      </c>
      <c r="CS160" s="46"/>
      <c r="CV160">
        <v>102</v>
      </c>
      <c r="CW160">
        <v>99</v>
      </c>
      <c r="CX160" s="43">
        <v>3</v>
      </c>
      <c r="CY160" s="46"/>
      <c r="CZ160" s="47"/>
      <c r="DB160">
        <v>15</v>
      </c>
      <c r="DC160">
        <v>18</v>
      </c>
      <c r="DD160" s="43">
        <v>-3</v>
      </c>
      <c r="DE160" s="46"/>
      <c r="DF160" s="47"/>
      <c r="DJ160">
        <v>13</v>
      </c>
      <c r="DK160">
        <v>12</v>
      </c>
      <c r="DL160" s="43">
        <v>1</v>
      </c>
      <c r="DM160" s="46"/>
      <c r="DN160" s="47"/>
      <c r="DR160" s="43">
        <v>0</v>
      </c>
      <c r="DS160" s="46"/>
      <c r="DV160">
        <v>116</v>
      </c>
      <c r="DW160">
        <v>110</v>
      </c>
      <c r="DZ160" s="43">
        <v>6</v>
      </c>
      <c r="EA160" s="46"/>
      <c r="EB160" s="47"/>
      <c r="ED160">
        <v>44</v>
      </c>
      <c r="EE160">
        <v>40</v>
      </c>
      <c r="EF160" s="43">
        <v>4</v>
      </c>
      <c r="EG160" s="46"/>
      <c r="EH160" s="47"/>
      <c r="EJ160">
        <v>22</v>
      </c>
      <c r="EK160">
        <v>21</v>
      </c>
      <c r="EL160" s="43">
        <v>1</v>
      </c>
      <c r="EM160" s="46"/>
      <c r="EN160" s="47"/>
      <c r="EP160">
        <v>25</v>
      </c>
      <c r="EQ160">
        <v>24</v>
      </c>
      <c r="ER160" s="43">
        <v>1</v>
      </c>
      <c r="ES160" s="46"/>
      <c r="EV160">
        <v>31</v>
      </c>
      <c r="EW160">
        <v>30</v>
      </c>
      <c r="EX160">
        <v>52</v>
      </c>
      <c r="EY160">
        <v>51</v>
      </c>
      <c r="EZ160" s="43">
        <v>2</v>
      </c>
      <c r="FA160" s="46"/>
      <c r="FG160" s="43">
        <v>0</v>
      </c>
      <c r="FH160" s="46"/>
      <c r="FI160" s="45">
        <v>31</v>
      </c>
      <c r="FK160" s="48">
        <v>28.4756</v>
      </c>
      <c r="FL160" s="43">
        <v>2.5244</v>
      </c>
      <c r="FM160" s="46"/>
      <c r="FN160" s="45">
        <v>68</v>
      </c>
      <c r="FP160">
        <v>65</v>
      </c>
      <c r="FQ160" s="43">
        <v>3</v>
      </c>
      <c r="FR160" s="46"/>
      <c r="FS160">
        <v>19</v>
      </c>
      <c r="FV160">
        <v>18</v>
      </c>
      <c r="FW160" s="43">
        <v>1</v>
      </c>
      <c r="FX160" s="46"/>
      <c r="FY160" s="47"/>
      <c r="GD160" s="43">
        <v>0</v>
      </c>
      <c r="GE160" s="46"/>
      <c r="GJ160" s="43">
        <v>0</v>
      </c>
      <c r="GK160" s="46"/>
      <c r="GL160" s="47"/>
      <c r="GN160">
        <v>83</v>
      </c>
      <c r="GO160">
        <v>80</v>
      </c>
      <c r="GP160" s="43">
        <v>3</v>
      </c>
      <c r="GQ160" s="46"/>
      <c r="GT160">
        <v>74</v>
      </c>
      <c r="GU160">
        <v>70</v>
      </c>
      <c r="GV160" s="43">
        <v>4</v>
      </c>
      <c r="GW160" s="46"/>
      <c r="GX160" s="47"/>
      <c r="GZ160" s="43">
        <v>0</v>
      </c>
      <c r="HA160" s="46"/>
      <c r="HB160" s="47"/>
      <c r="HD160">
        <v>43</v>
      </c>
      <c r="HE160">
        <v>42</v>
      </c>
      <c r="HF160" s="43">
        <v>1</v>
      </c>
      <c r="HG160" s="46"/>
      <c r="HH160" s="47"/>
      <c r="HJ160" s="43">
        <v>0</v>
      </c>
      <c r="HK160" s="46"/>
      <c r="HL160" s="45">
        <v>25</v>
      </c>
      <c r="HM160">
        <v>22</v>
      </c>
      <c r="HP160" s="43">
        <v>3</v>
      </c>
      <c r="HQ160" s="46"/>
      <c r="HV160">
        <v>71</v>
      </c>
      <c r="HW160">
        <v>65</v>
      </c>
      <c r="HX160" s="43">
        <v>6</v>
      </c>
      <c r="HY160" s="46"/>
      <c r="HZ160" s="47"/>
      <c r="IB160">
        <v>55</v>
      </c>
      <c r="IC160">
        <v>50</v>
      </c>
      <c r="ID160" s="43">
        <v>5</v>
      </c>
      <c r="IE160" s="46"/>
      <c r="IH160">
        <v>77</v>
      </c>
      <c r="II160">
        <v>70</v>
      </c>
      <c r="IJ160" s="43">
        <v>7</v>
      </c>
      <c r="IK160" s="49"/>
      <c r="IN160" s="48">
        <v>97</v>
      </c>
      <c r="IO160" s="48">
        <v>90</v>
      </c>
      <c r="IP160" s="43">
        <v>7</v>
      </c>
      <c r="IQ160" s="49"/>
      <c r="IV160" s="43">
        <v>0</v>
      </c>
      <c r="IW160" s="46"/>
      <c r="JC160" s="46"/>
      <c r="JG160" s="49"/>
      <c r="JM160" s="46"/>
      <c r="JN160" s="45"/>
      <c r="JQ160" s="49"/>
      <c r="JW160" s="49"/>
      <c r="KC160" s="49"/>
      <c r="KI160" s="49"/>
      <c r="KK160" s="44"/>
      <c r="KO160" s="49"/>
      <c r="KP160" s="50"/>
      <c r="KW160" s="49"/>
      <c r="LC160" s="49"/>
      <c r="LI160" s="49"/>
      <c r="LJ160" s="50"/>
      <c r="LM160" s="49"/>
      <c r="LN160" s="50"/>
      <c r="LT160" s="49"/>
      <c r="LU160" s="50"/>
      <c r="LZ160" s="49"/>
      <c r="MA160" s="50"/>
      <c r="MD160" s="49"/>
      <c r="ME160" s="50"/>
      <c r="MJ160" s="49"/>
      <c r="MK160" s="50"/>
      <c r="MN160" s="49"/>
      <c r="MO160" s="50"/>
      <c r="MT160" s="49"/>
      <c r="MV160" s="46"/>
      <c r="MZ160" s="49"/>
      <c r="NA160" s="50"/>
      <c r="NF160" s="49"/>
      <c r="NG160" s="50"/>
      <c r="NL160" s="49"/>
      <c r="NM160" s="50"/>
      <c r="NR160" s="49"/>
      <c r="NS160" s="50"/>
      <c r="NX160" s="49"/>
      <c r="NY160" s="50"/>
      <c r="OB160" s="48"/>
      <c r="OD160" s="49"/>
      <c r="OE160" s="50"/>
      <c r="OH160" s="49"/>
      <c r="OI160" s="50"/>
      <c r="OL160" s="49"/>
      <c r="OM160" s="50"/>
      <c r="OR160" s="49"/>
      <c r="OS160" s="50"/>
      <c r="OV160" s="49"/>
      <c r="OW160" s="50"/>
      <c r="PB160" s="49"/>
      <c r="PC160" s="50"/>
      <c r="PF160" s="49"/>
      <c r="PG160" s="50"/>
      <c r="PL160" s="49"/>
      <c r="PM160" s="47"/>
      <c r="PN160" s="48"/>
      <c r="PP160" s="48"/>
      <c r="PR160" s="49"/>
      <c r="PS160" s="47"/>
      <c r="PX160" s="46"/>
      <c r="PY160" s="47"/>
      <c r="QB160" s="46"/>
      <c r="QC160" s="47"/>
      <c r="QH160" s="46"/>
      <c r="QI160" s="47"/>
      <c r="QN160" s="46"/>
      <c r="QO160" s="47"/>
      <c r="QT160" s="46"/>
      <c r="QU160" s="47"/>
      <c r="QX160" s="46"/>
      <c r="QY160" s="47"/>
      <c r="RD160" s="46"/>
    </row>
    <row r="161" spans="1:472" x14ac:dyDescent="0.25">
      <c r="A161" s="43" t="s">
        <v>449</v>
      </c>
      <c r="B161" s="44">
        <v>0.41</v>
      </c>
      <c r="E161">
        <v>550</v>
      </c>
      <c r="F161">
        <v>544</v>
      </c>
      <c r="I161" s="45">
        <v>370</v>
      </c>
      <c r="J161" s="52">
        <v>370</v>
      </c>
      <c r="K161" s="52">
        <v>400</v>
      </c>
      <c r="L161" s="52">
        <v>398</v>
      </c>
      <c r="M161" s="51">
        <f t="shared" si="15"/>
        <v>2</v>
      </c>
      <c r="N161" s="46"/>
      <c r="O161" s="45">
        <v>750</v>
      </c>
      <c r="P161" s="52">
        <v>750</v>
      </c>
      <c r="Q161" s="52">
        <v>780</v>
      </c>
      <c r="R161" s="52">
        <v>780</v>
      </c>
      <c r="S161" s="51">
        <f t="shared" si="16"/>
        <v>0</v>
      </c>
      <c r="T161" s="46"/>
      <c r="U161" s="47"/>
      <c r="V161" s="51"/>
      <c r="W161" s="51"/>
      <c r="X161" s="51"/>
      <c r="Y161" s="51">
        <f t="shared" si="17"/>
        <v>0</v>
      </c>
      <c r="Z161" s="46"/>
      <c r="AA161" s="52">
        <v>1000</v>
      </c>
      <c r="AB161">
        <v>1000</v>
      </c>
      <c r="AC161">
        <v>1200</v>
      </c>
      <c r="AD161">
        <v>1200</v>
      </c>
      <c r="AE161" s="43">
        <v>0</v>
      </c>
      <c r="AF161" s="46"/>
      <c r="AG161" s="45">
        <v>130</v>
      </c>
      <c r="AH161">
        <v>130</v>
      </c>
      <c r="AI161">
        <v>50</v>
      </c>
      <c r="AJ161">
        <v>51</v>
      </c>
      <c r="AK161" s="43">
        <v>-1</v>
      </c>
      <c r="AL161" s="46"/>
      <c r="AM161">
        <v>150</v>
      </c>
      <c r="AN161">
        <v>150</v>
      </c>
      <c r="AO161">
        <v>150</v>
      </c>
      <c r="AP161">
        <v>150</v>
      </c>
      <c r="AQ161" s="43">
        <v>0</v>
      </c>
      <c r="AR161" s="46"/>
      <c r="AS161">
        <v>650</v>
      </c>
      <c r="AT161">
        <v>650</v>
      </c>
      <c r="AU161">
        <v>1850</v>
      </c>
      <c r="AV161">
        <v>1850</v>
      </c>
      <c r="AW161" s="43">
        <v>0</v>
      </c>
      <c r="AX161" s="46"/>
      <c r="AY161" s="45">
        <v>250</v>
      </c>
      <c r="AZ161">
        <v>250</v>
      </c>
      <c r="BA161">
        <v>310</v>
      </c>
      <c r="BB161">
        <v>309</v>
      </c>
      <c r="BC161" s="43">
        <v>1</v>
      </c>
      <c r="BD161" s="46"/>
      <c r="BE161" s="45">
        <v>700</v>
      </c>
      <c r="BF161">
        <v>700</v>
      </c>
      <c r="BG161">
        <v>560</v>
      </c>
      <c r="BH161">
        <v>567</v>
      </c>
      <c r="BI161" s="43">
        <v>-7</v>
      </c>
      <c r="BJ161" s="46"/>
      <c r="BK161">
        <v>650</v>
      </c>
      <c r="BL161">
        <v>650</v>
      </c>
      <c r="BN161">
        <v>410</v>
      </c>
      <c r="BO161">
        <v>408</v>
      </c>
      <c r="BP161" s="43">
        <v>2</v>
      </c>
      <c r="BQ161" s="46"/>
      <c r="BR161">
        <v>700</v>
      </c>
      <c r="BS161">
        <v>700</v>
      </c>
      <c r="BT161" s="43">
        <v>0</v>
      </c>
      <c r="BU161" s="46"/>
      <c r="BV161" s="45">
        <v>860</v>
      </c>
      <c r="BW161">
        <v>863</v>
      </c>
      <c r="BZ161" s="43">
        <v>-3</v>
      </c>
      <c r="CA161" s="46"/>
      <c r="CB161">
        <v>640</v>
      </c>
      <c r="CC161">
        <v>640</v>
      </c>
      <c r="CD161">
        <v>710</v>
      </c>
      <c r="CE161">
        <v>713</v>
      </c>
      <c r="CF161" s="43">
        <v>-3</v>
      </c>
      <c r="CG161" s="46"/>
      <c r="CL161" s="43">
        <v>0</v>
      </c>
      <c r="CM161" s="46"/>
      <c r="CN161" s="45">
        <v>680</v>
      </c>
      <c r="CO161">
        <v>690</v>
      </c>
      <c r="CP161">
        <v>1330</v>
      </c>
      <c r="CQ161">
        <v>1329</v>
      </c>
      <c r="CR161" s="43">
        <v>-9</v>
      </c>
      <c r="CS161" s="46"/>
      <c r="CX161" s="43">
        <v>0</v>
      </c>
      <c r="CY161" s="46"/>
      <c r="CZ161" s="45">
        <v>490</v>
      </c>
      <c r="DA161">
        <v>490</v>
      </c>
      <c r="DB161">
        <v>530</v>
      </c>
      <c r="DC161">
        <v>533</v>
      </c>
      <c r="DD161" s="43">
        <v>-3</v>
      </c>
      <c r="DE161" s="46"/>
      <c r="DF161" s="47"/>
      <c r="DH161">
        <v>400</v>
      </c>
      <c r="DI161">
        <v>400</v>
      </c>
      <c r="DJ161">
        <v>350</v>
      </c>
      <c r="DK161">
        <v>350</v>
      </c>
      <c r="DL161" s="43">
        <v>0</v>
      </c>
      <c r="DM161" s="46"/>
      <c r="DN161" s="45">
        <v>700</v>
      </c>
      <c r="DO161">
        <v>700</v>
      </c>
      <c r="DP161">
        <v>730</v>
      </c>
      <c r="DQ161">
        <v>730</v>
      </c>
      <c r="DR161" s="43">
        <v>0</v>
      </c>
      <c r="DS161" s="46"/>
      <c r="DT161">
        <v>300</v>
      </c>
      <c r="DU161">
        <v>300</v>
      </c>
      <c r="DV161">
        <v>480</v>
      </c>
      <c r="DW161">
        <v>480</v>
      </c>
      <c r="DX161">
        <v>600</v>
      </c>
      <c r="DY161">
        <v>600</v>
      </c>
      <c r="DZ161" s="43">
        <v>0</v>
      </c>
      <c r="EA161" s="46"/>
      <c r="EB161" s="45">
        <v>100</v>
      </c>
      <c r="EC161">
        <v>100</v>
      </c>
      <c r="ED161">
        <v>470</v>
      </c>
      <c r="EE161">
        <v>470</v>
      </c>
      <c r="EF161" s="43">
        <v>0</v>
      </c>
      <c r="EG161" s="46"/>
      <c r="EH161" s="45">
        <v>400</v>
      </c>
      <c r="EI161">
        <v>400</v>
      </c>
      <c r="EJ161">
        <v>420</v>
      </c>
      <c r="EK161">
        <v>420</v>
      </c>
      <c r="EL161" s="43">
        <v>0</v>
      </c>
      <c r="EM161" s="46"/>
      <c r="EN161" s="45">
        <v>500</v>
      </c>
      <c r="EO161">
        <v>500</v>
      </c>
      <c r="EP161">
        <v>330</v>
      </c>
      <c r="EQ161">
        <v>331</v>
      </c>
      <c r="ER161" s="43">
        <v>-1</v>
      </c>
      <c r="ES161" s="46"/>
      <c r="ET161">
        <v>200</v>
      </c>
      <c r="EU161">
        <v>200</v>
      </c>
      <c r="EV161">
        <v>260</v>
      </c>
      <c r="EW161">
        <v>260</v>
      </c>
      <c r="EX161">
        <v>420</v>
      </c>
      <c r="EY161">
        <v>420</v>
      </c>
      <c r="EZ161" s="43">
        <v>0</v>
      </c>
      <c r="FA161" s="46"/>
      <c r="FD161">
        <v>1200</v>
      </c>
      <c r="FF161">
        <v>1200</v>
      </c>
      <c r="FG161" s="43">
        <v>0</v>
      </c>
      <c r="FH161" s="46"/>
      <c r="FI161" s="47"/>
      <c r="FL161" s="43">
        <v>0</v>
      </c>
      <c r="FM161" s="46"/>
      <c r="FN161" s="45">
        <v>1400</v>
      </c>
      <c r="FP161">
        <v>1398</v>
      </c>
      <c r="FQ161" s="43">
        <v>2</v>
      </c>
      <c r="FR161" s="46"/>
      <c r="FW161" s="43">
        <v>0</v>
      </c>
      <c r="FX161" s="46"/>
      <c r="FY161" s="45">
        <v>330</v>
      </c>
      <c r="GA161">
        <v>330</v>
      </c>
      <c r="GB161">
        <v>370</v>
      </c>
      <c r="GC161">
        <v>370</v>
      </c>
      <c r="GD161" s="43">
        <v>0</v>
      </c>
      <c r="GE161" s="46"/>
      <c r="GH161">
        <v>230</v>
      </c>
      <c r="GI161">
        <v>230</v>
      </c>
      <c r="GJ161" s="43">
        <v>0</v>
      </c>
      <c r="GK161" s="46"/>
      <c r="GL161" s="45">
        <v>600</v>
      </c>
      <c r="GM161">
        <v>600</v>
      </c>
      <c r="GN161">
        <v>600</v>
      </c>
      <c r="GO161">
        <v>600</v>
      </c>
      <c r="GP161" s="43">
        <v>0</v>
      </c>
      <c r="GQ161" s="46"/>
      <c r="GR161">
        <v>400</v>
      </c>
      <c r="GS161">
        <v>400</v>
      </c>
      <c r="GT161">
        <v>450</v>
      </c>
      <c r="GU161">
        <v>450</v>
      </c>
      <c r="GV161" s="43">
        <v>0</v>
      </c>
      <c r="GW161" s="46"/>
      <c r="GX161" s="47"/>
      <c r="GZ161" s="43">
        <v>0</v>
      </c>
      <c r="HA161" s="46"/>
      <c r="HB161" s="45">
        <v>600</v>
      </c>
      <c r="HC161">
        <v>600</v>
      </c>
      <c r="HD161">
        <v>600</v>
      </c>
      <c r="HE161">
        <v>600</v>
      </c>
      <c r="HF161" s="43">
        <v>0</v>
      </c>
      <c r="HG161" s="46"/>
      <c r="HH161" s="47"/>
      <c r="HJ161" s="43">
        <v>0</v>
      </c>
      <c r="HK161" s="46"/>
      <c r="HL161" s="45">
        <v>500</v>
      </c>
      <c r="HM161">
        <v>500</v>
      </c>
      <c r="HN161">
        <v>490</v>
      </c>
      <c r="HO161">
        <v>490</v>
      </c>
      <c r="HP161" s="43">
        <v>0</v>
      </c>
      <c r="HQ161" s="46"/>
      <c r="HR161">
        <v>400</v>
      </c>
      <c r="HS161">
        <v>400</v>
      </c>
      <c r="HT161">
        <v>500</v>
      </c>
      <c r="HU161">
        <v>500</v>
      </c>
      <c r="HX161" s="43">
        <v>0</v>
      </c>
      <c r="HY161" s="46"/>
      <c r="HZ161" s="45">
        <v>150</v>
      </c>
      <c r="IA161">
        <v>150</v>
      </c>
      <c r="IB161">
        <v>200</v>
      </c>
      <c r="IC161">
        <v>200</v>
      </c>
      <c r="ID161" s="43">
        <v>0</v>
      </c>
      <c r="IE161" s="46"/>
      <c r="IF161">
        <v>300</v>
      </c>
      <c r="IG161">
        <v>300</v>
      </c>
      <c r="IH161">
        <v>400</v>
      </c>
      <c r="II161">
        <v>400</v>
      </c>
      <c r="IJ161" s="43">
        <v>0</v>
      </c>
      <c r="IK161" s="49"/>
      <c r="IL161">
        <v>300</v>
      </c>
      <c r="IM161" s="48">
        <v>300</v>
      </c>
      <c r="IN161" s="48">
        <v>300</v>
      </c>
      <c r="IO161" s="48">
        <v>300</v>
      </c>
      <c r="IP161" s="43">
        <v>0</v>
      </c>
      <c r="IQ161" s="49"/>
      <c r="IV161" s="43">
        <v>0</v>
      </c>
      <c r="IW161" s="46"/>
      <c r="JC161" s="46"/>
      <c r="JG161" s="49"/>
      <c r="JM161" s="46"/>
      <c r="JN161" s="45"/>
      <c r="JQ161" s="49"/>
      <c r="JW161" s="49"/>
      <c r="KC161" s="49"/>
      <c r="KI161" s="49"/>
      <c r="KK161" s="44"/>
      <c r="KO161" s="49"/>
      <c r="KP161" s="50"/>
      <c r="KW161" s="49"/>
      <c r="LC161" s="49"/>
      <c r="LI161" s="49"/>
      <c r="LJ161" s="50"/>
      <c r="LM161" s="49"/>
      <c r="LN161" s="50"/>
      <c r="LT161" s="49"/>
      <c r="LU161" s="50"/>
      <c r="LZ161" s="49"/>
      <c r="MA161" s="50"/>
      <c r="MD161" s="49"/>
      <c r="ME161" s="50"/>
      <c r="MJ161" s="49"/>
      <c r="MK161" s="50"/>
      <c r="MN161" s="49"/>
      <c r="MO161" s="50"/>
      <c r="MT161" s="49"/>
      <c r="MV161" s="46"/>
      <c r="MZ161" s="49"/>
      <c r="NA161" s="50"/>
      <c r="NF161" s="49"/>
      <c r="NG161" s="50"/>
      <c r="NL161" s="49"/>
      <c r="NM161" s="50"/>
      <c r="NR161" s="49"/>
      <c r="NS161" s="50"/>
      <c r="NX161" s="49"/>
      <c r="NY161" s="50"/>
      <c r="OB161" s="48"/>
      <c r="OD161" s="49"/>
      <c r="OE161" s="50"/>
      <c r="OH161" s="49"/>
      <c r="OI161" s="50"/>
      <c r="OL161" s="49"/>
      <c r="OM161" s="50"/>
      <c r="OR161" s="49"/>
      <c r="OS161" s="50"/>
      <c r="OV161" s="49"/>
      <c r="OW161" s="50"/>
      <c r="PB161" s="49"/>
      <c r="PC161" s="50"/>
      <c r="PF161" s="49"/>
      <c r="PG161" s="50"/>
      <c r="PL161" s="49"/>
      <c r="PM161" s="47"/>
      <c r="PN161" s="48"/>
      <c r="PP161" s="48"/>
      <c r="PR161" s="49"/>
      <c r="PS161" s="47"/>
      <c r="PX161" s="46"/>
      <c r="PY161" s="47"/>
      <c r="QB161" s="46"/>
      <c r="QC161" s="47"/>
      <c r="QH161" s="46"/>
      <c r="QI161" s="47"/>
      <c r="QN161" s="46"/>
      <c r="QO161" s="47"/>
      <c r="QT161" s="46"/>
      <c r="QU161" s="47"/>
      <c r="QX161" s="46"/>
      <c r="QY161" s="47"/>
      <c r="RD161" s="46"/>
    </row>
    <row r="162" spans="1:472" x14ac:dyDescent="0.25">
      <c r="A162" s="43" t="s">
        <v>450</v>
      </c>
      <c r="B162" s="44">
        <v>1</v>
      </c>
      <c r="E162">
        <v>350</v>
      </c>
      <c r="F162">
        <v>245</v>
      </c>
      <c r="I162" s="45">
        <v>173</v>
      </c>
      <c r="J162" s="52">
        <v>170</v>
      </c>
      <c r="K162" s="52">
        <v>181</v>
      </c>
      <c r="L162" s="52">
        <v>177</v>
      </c>
      <c r="M162" s="51">
        <f t="shared" si="15"/>
        <v>7</v>
      </c>
      <c r="N162" s="46"/>
      <c r="O162" s="45">
        <v>122</v>
      </c>
      <c r="P162" s="52">
        <v>120</v>
      </c>
      <c r="Q162" s="52">
        <v>147</v>
      </c>
      <c r="R162" s="52">
        <v>147</v>
      </c>
      <c r="S162" s="51">
        <f t="shared" si="16"/>
        <v>2</v>
      </c>
      <c r="T162" s="46"/>
      <c r="U162" s="45">
        <v>204</v>
      </c>
      <c r="V162" s="52">
        <v>200</v>
      </c>
      <c r="W162" s="52">
        <v>188</v>
      </c>
      <c r="X162" s="52">
        <v>179</v>
      </c>
      <c r="Y162" s="51">
        <f t="shared" si="17"/>
        <v>13</v>
      </c>
      <c r="Z162" s="46"/>
      <c r="AA162" s="51"/>
      <c r="AE162" s="43">
        <v>0</v>
      </c>
      <c r="AF162" s="46"/>
      <c r="AG162" s="45">
        <v>258</v>
      </c>
      <c r="AH162">
        <v>250</v>
      </c>
      <c r="AI162">
        <v>291</v>
      </c>
      <c r="AJ162">
        <v>282</v>
      </c>
      <c r="AK162" s="43">
        <v>17</v>
      </c>
      <c r="AL162" s="46"/>
      <c r="AM162">
        <v>80</v>
      </c>
      <c r="AN162">
        <v>80</v>
      </c>
      <c r="AQ162" s="43">
        <v>0</v>
      </c>
      <c r="AR162" s="46"/>
      <c r="AS162">
        <v>295</v>
      </c>
      <c r="AT162">
        <v>290</v>
      </c>
      <c r="AU162">
        <v>315</v>
      </c>
      <c r="AV162">
        <v>304</v>
      </c>
      <c r="AW162" s="43">
        <v>16</v>
      </c>
      <c r="AX162" s="46"/>
      <c r="AY162" s="47"/>
      <c r="BC162" s="43">
        <v>0</v>
      </c>
      <c r="BD162" s="46"/>
      <c r="BE162" s="47"/>
      <c r="BF162">
        <v>400</v>
      </c>
      <c r="BG162">
        <v>393</v>
      </c>
      <c r="BH162">
        <v>384</v>
      </c>
      <c r="BI162" s="42">
        <v>-391</v>
      </c>
      <c r="BJ162" s="46">
        <v>391</v>
      </c>
      <c r="BK162">
        <v>106</v>
      </c>
      <c r="BL162">
        <v>100</v>
      </c>
      <c r="BN162">
        <v>19</v>
      </c>
      <c r="BO162">
        <v>21</v>
      </c>
      <c r="BP162" s="43">
        <v>4</v>
      </c>
      <c r="BQ162" s="46"/>
      <c r="BR162">
        <v>209</v>
      </c>
      <c r="BS162">
        <v>200</v>
      </c>
      <c r="BT162" s="43">
        <v>9</v>
      </c>
      <c r="BU162" s="46"/>
      <c r="BV162" s="45">
        <v>373</v>
      </c>
      <c r="BW162">
        <v>358</v>
      </c>
      <c r="BX162">
        <v>361</v>
      </c>
      <c r="BY162">
        <v>350</v>
      </c>
      <c r="BZ162" s="43">
        <v>26</v>
      </c>
      <c r="CA162" s="46"/>
      <c r="CB162">
        <v>75</v>
      </c>
      <c r="CC162">
        <v>70</v>
      </c>
      <c r="CD162">
        <v>105</v>
      </c>
      <c r="CE162">
        <v>102</v>
      </c>
      <c r="CF162" s="43">
        <v>8</v>
      </c>
      <c r="CG162" s="46"/>
      <c r="CH162">
        <v>206</v>
      </c>
      <c r="CI162">
        <v>200</v>
      </c>
      <c r="CJ162">
        <v>346</v>
      </c>
      <c r="CK162">
        <v>338</v>
      </c>
      <c r="CL162" s="43">
        <v>14</v>
      </c>
      <c r="CM162" s="46"/>
      <c r="CN162" s="47"/>
      <c r="CP162">
        <v>169</v>
      </c>
      <c r="CQ162">
        <v>162</v>
      </c>
      <c r="CR162" s="43">
        <v>7</v>
      </c>
      <c r="CS162" s="46"/>
      <c r="CT162">
        <v>107</v>
      </c>
      <c r="CU162">
        <v>100</v>
      </c>
      <c r="CV162">
        <v>99</v>
      </c>
      <c r="CW162">
        <v>99</v>
      </c>
      <c r="CX162" s="43">
        <v>7</v>
      </c>
      <c r="CY162" s="46"/>
      <c r="CZ162" s="45">
        <v>175</v>
      </c>
      <c r="DA162">
        <v>170</v>
      </c>
      <c r="DB162">
        <v>131</v>
      </c>
      <c r="DC162">
        <v>129</v>
      </c>
      <c r="DD162" s="43">
        <v>7</v>
      </c>
      <c r="DE162" s="46"/>
      <c r="DF162" s="47"/>
      <c r="DH162">
        <v>258</v>
      </c>
      <c r="DI162">
        <v>250</v>
      </c>
      <c r="DJ162">
        <v>179</v>
      </c>
      <c r="DK162">
        <v>176</v>
      </c>
      <c r="DL162" s="43">
        <v>11</v>
      </c>
      <c r="DM162" s="46"/>
      <c r="DN162" s="47"/>
      <c r="DP162">
        <v>321</v>
      </c>
      <c r="DQ162">
        <v>310</v>
      </c>
      <c r="DR162" s="43">
        <v>11</v>
      </c>
      <c r="DS162" s="46"/>
      <c r="DV162">
        <v>237</v>
      </c>
      <c r="DW162">
        <v>230</v>
      </c>
      <c r="DX162">
        <v>209</v>
      </c>
      <c r="DY162">
        <v>200</v>
      </c>
      <c r="DZ162" s="43">
        <v>16</v>
      </c>
      <c r="EA162" s="46"/>
      <c r="EB162" s="47"/>
      <c r="ED162">
        <v>122</v>
      </c>
      <c r="EE162">
        <v>120</v>
      </c>
      <c r="EF162" s="43">
        <v>2</v>
      </c>
      <c r="EG162" s="46"/>
      <c r="EH162" s="45">
        <v>203</v>
      </c>
      <c r="EI162">
        <v>200</v>
      </c>
      <c r="EJ162">
        <v>267</v>
      </c>
      <c r="EK162">
        <v>260</v>
      </c>
      <c r="EL162" s="43">
        <v>10</v>
      </c>
      <c r="EM162" s="46"/>
      <c r="EN162" s="45">
        <v>299</v>
      </c>
      <c r="EO162">
        <v>290</v>
      </c>
      <c r="EP162">
        <v>302</v>
      </c>
      <c r="EQ162">
        <v>290</v>
      </c>
      <c r="ER162" s="43">
        <v>21</v>
      </c>
      <c r="ES162" s="46"/>
      <c r="EX162">
        <v>50</v>
      </c>
      <c r="EY162">
        <v>50</v>
      </c>
      <c r="EZ162" s="43">
        <v>0</v>
      </c>
      <c r="FA162" s="46"/>
      <c r="FB162">
        <v>413</v>
      </c>
      <c r="FC162">
        <v>400</v>
      </c>
      <c r="FD162">
        <v>388</v>
      </c>
      <c r="FF162">
        <v>380</v>
      </c>
      <c r="FG162" s="43">
        <v>21</v>
      </c>
      <c r="FH162" s="46"/>
      <c r="FI162" s="45">
        <v>213</v>
      </c>
      <c r="FK162" s="48">
        <v>210.85460000000009</v>
      </c>
      <c r="FL162" s="43">
        <v>2.1453999999999098</v>
      </c>
      <c r="FM162" s="46"/>
      <c r="FN162" s="45">
        <v>49</v>
      </c>
      <c r="FP162">
        <v>48</v>
      </c>
      <c r="FQ162" s="43">
        <v>1</v>
      </c>
      <c r="FR162" s="46"/>
      <c r="FW162" s="43">
        <v>0</v>
      </c>
      <c r="FX162" s="46"/>
      <c r="FY162" s="45">
        <v>106</v>
      </c>
      <c r="GA162">
        <v>100</v>
      </c>
      <c r="GB162">
        <v>137</v>
      </c>
      <c r="GC162">
        <v>130</v>
      </c>
      <c r="GD162" s="43">
        <v>13</v>
      </c>
      <c r="GE162" s="46"/>
      <c r="GF162">
        <v>264</v>
      </c>
      <c r="GG162">
        <v>250</v>
      </c>
      <c r="GH162">
        <v>262</v>
      </c>
      <c r="GI162">
        <v>260</v>
      </c>
      <c r="GJ162" s="43">
        <v>16</v>
      </c>
      <c r="GK162" s="46"/>
      <c r="GL162" s="47"/>
      <c r="GN162">
        <v>324</v>
      </c>
      <c r="GO162">
        <v>320</v>
      </c>
      <c r="GP162" s="43">
        <v>4</v>
      </c>
      <c r="GQ162" s="46"/>
      <c r="GR162">
        <v>314</v>
      </c>
      <c r="GS162">
        <v>300</v>
      </c>
      <c r="GT162">
        <v>311</v>
      </c>
      <c r="GU162">
        <v>300</v>
      </c>
      <c r="GV162" s="43">
        <v>25</v>
      </c>
      <c r="GW162" s="46"/>
      <c r="GX162" s="45">
        <v>119</v>
      </c>
      <c r="GY162" s="48">
        <v>115.0806</v>
      </c>
      <c r="GZ162" s="43">
        <v>3.919399999999996</v>
      </c>
      <c r="HA162" s="46"/>
      <c r="HB162" s="45">
        <v>204</v>
      </c>
      <c r="HC162">
        <v>200</v>
      </c>
      <c r="HD162">
        <v>361</v>
      </c>
      <c r="HE162">
        <v>350</v>
      </c>
      <c r="HF162" s="43">
        <v>15</v>
      </c>
      <c r="HG162" s="46"/>
      <c r="HH162" s="47"/>
      <c r="HJ162" s="43">
        <v>0</v>
      </c>
      <c r="HK162" s="46"/>
      <c r="HL162" s="47"/>
      <c r="HP162" s="43">
        <v>0</v>
      </c>
      <c r="HQ162" s="46"/>
      <c r="HR162">
        <v>625</v>
      </c>
      <c r="HS162">
        <v>600</v>
      </c>
      <c r="HT162">
        <v>513</v>
      </c>
      <c r="HU162">
        <v>500</v>
      </c>
      <c r="HX162" s="43">
        <v>38</v>
      </c>
      <c r="HY162" s="46"/>
      <c r="HZ162" s="47"/>
      <c r="ID162" s="43">
        <v>0</v>
      </c>
      <c r="IE162" s="46"/>
      <c r="IF162">
        <v>206</v>
      </c>
      <c r="IG162">
        <v>200</v>
      </c>
      <c r="IH162">
        <v>361</v>
      </c>
      <c r="II162">
        <v>350</v>
      </c>
      <c r="IJ162" s="43">
        <v>17</v>
      </c>
      <c r="IK162" s="49"/>
      <c r="IL162">
        <v>360</v>
      </c>
      <c r="IM162" s="48">
        <v>450</v>
      </c>
      <c r="IN162" s="48">
        <v>358</v>
      </c>
      <c r="IO162" s="48">
        <v>350</v>
      </c>
      <c r="IP162" s="42">
        <v>-82</v>
      </c>
      <c r="IQ162" s="49">
        <v>82</v>
      </c>
      <c r="IV162" s="43">
        <v>0</v>
      </c>
      <c r="IW162" s="46"/>
      <c r="JC162" s="46"/>
      <c r="JG162" s="49"/>
      <c r="JM162" s="46"/>
      <c r="JN162" s="45"/>
      <c r="JQ162" s="49"/>
      <c r="JW162" s="49"/>
      <c r="KC162" s="49"/>
      <c r="KI162" s="49"/>
      <c r="KK162" s="44"/>
      <c r="KO162" s="49"/>
      <c r="KP162" s="50"/>
      <c r="KW162" s="49"/>
      <c r="LC162" s="49"/>
      <c r="LI162" s="49"/>
      <c r="LJ162" s="50"/>
      <c r="LM162" s="49"/>
      <c r="LN162" s="50"/>
      <c r="LT162" s="49"/>
      <c r="LU162" s="50"/>
      <c r="LZ162" s="49"/>
      <c r="MA162" s="50"/>
      <c r="MD162" s="49"/>
      <c r="ME162" s="50"/>
      <c r="MJ162" s="49"/>
      <c r="MK162" s="50"/>
      <c r="MN162" s="49"/>
      <c r="MO162" s="50"/>
      <c r="MT162" s="49"/>
      <c r="MV162" s="46"/>
      <c r="MZ162" s="49"/>
      <c r="NA162" s="50"/>
      <c r="NF162" s="49"/>
      <c r="NG162" s="50"/>
      <c r="NL162" s="49"/>
      <c r="NM162" s="50"/>
      <c r="NR162" s="49"/>
      <c r="NS162" s="50"/>
      <c r="NX162" s="49"/>
      <c r="NY162" s="50"/>
      <c r="OB162" s="48"/>
      <c r="OD162" s="49"/>
      <c r="OE162" s="50"/>
      <c r="OH162" s="49"/>
      <c r="OI162" s="50"/>
      <c r="OL162" s="49"/>
      <c r="OM162" s="50"/>
      <c r="OR162" s="49"/>
      <c r="OS162" s="50"/>
      <c r="OV162" s="49"/>
      <c r="OW162" s="50"/>
      <c r="PB162" s="49"/>
      <c r="PC162" s="50"/>
      <c r="PF162" s="49"/>
      <c r="PG162" s="50"/>
      <c r="PL162" s="49"/>
      <c r="PM162" s="47"/>
      <c r="PN162" s="48"/>
      <c r="PP162" s="48"/>
      <c r="PR162" s="49"/>
      <c r="PS162" s="47"/>
      <c r="PX162" s="46"/>
      <c r="PY162" s="47"/>
      <c r="QB162" s="46"/>
      <c r="QC162" s="47"/>
      <c r="QH162" s="46"/>
      <c r="QI162" s="47"/>
      <c r="QN162" s="46"/>
      <c r="QO162" s="47"/>
      <c r="QT162" s="46"/>
      <c r="QU162" s="47"/>
      <c r="QX162" s="46"/>
      <c r="QY162" s="47"/>
      <c r="RD162" s="46"/>
    </row>
    <row r="163" spans="1:472" x14ac:dyDescent="0.25">
      <c r="A163" s="43" t="s">
        <v>451</v>
      </c>
      <c r="B163" s="44">
        <v>0.35</v>
      </c>
      <c r="E163">
        <v>170</v>
      </c>
      <c r="F163">
        <v>177</v>
      </c>
      <c r="I163" s="47"/>
      <c r="J163" s="51"/>
      <c r="K163" s="51"/>
      <c r="L163" s="51"/>
      <c r="M163" s="51">
        <f t="shared" si="15"/>
        <v>0</v>
      </c>
      <c r="N163" s="46"/>
      <c r="O163" s="45">
        <v>72</v>
      </c>
      <c r="P163" s="52">
        <v>73</v>
      </c>
      <c r="Q163" s="51"/>
      <c r="R163" s="51"/>
      <c r="S163" s="51">
        <f t="shared" si="16"/>
        <v>-1</v>
      </c>
      <c r="T163" s="46"/>
      <c r="U163" s="45">
        <v>96</v>
      </c>
      <c r="V163" s="52">
        <v>100</v>
      </c>
      <c r="W163" s="52">
        <v>40</v>
      </c>
      <c r="X163" s="52">
        <v>38</v>
      </c>
      <c r="Y163" s="51">
        <f t="shared" si="17"/>
        <v>-2</v>
      </c>
      <c r="Z163" s="46"/>
      <c r="AA163" s="51"/>
      <c r="AE163" s="43">
        <v>0</v>
      </c>
      <c r="AF163" s="46"/>
      <c r="AG163" s="47"/>
      <c r="AK163" s="43">
        <v>0</v>
      </c>
      <c r="AL163" s="46"/>
      <c r="AM163">
        <v>280</v>
      </c>
      <c r="AN163">
        <v>280</v>
      </c>
      <c r="AO163">
        <v>320</v>
      </c>
      <c r="AP163">
        <v>324</v>
      </c>
      <c r="AQ163" s="43">
        <v>-4</v>
      </c>
      <c r="AR163" s="46"/>
      <c r="AS163">
        <v>48</v>
      </c>
      <c r="AT163">
        <v>50</v>
      </c>
      <c r="AU163">
        <v>56</v>
      </c>
      <c r="AV163">
        <v>61</v>
      </c>
      <c r="AW163" s="43">
        <v>-7</v>
      </c>
      <c r="AX163" s="46"/>
      <c r="AY163" s="47"/>
      <c r="BA163">
        <v>80</v>
      </c>
      <c r="BB163">
        <v>78</v>
      </c>
      <c r="BC163" s="43">
        <v>2</v>
      </c>
      <c r="BD163" s="46"/>
      <c r="BE163" s="45">
        <v>120</v>
      </c>
      <c r="BF163">
        <v>120</v>
      </c>
      <c r="BG163">
        <v>112</v>
      </c>
      <c r="BH163">
        <v>113</v>
      </c>
      <c r="BI163" s="43">
        <v>-1</v>
      </c>
      <c r="BJ163" s="46"/>
      <c r="BP163" s="43">
        <v>0</v>
      </c>
      <c r="BQ163" s="46"/>
      <c r="BT163" s="43">
        <v>0</v>
      </c>
      <c r="BU163" s="46"/>
      <c r="BV163" s="45">
        <v>240</v>
      </c>
      <c r="BW163">
        <v>242</v>
      </c>
      <c r="BX163">
        <v>320</v>
      </c>
      <c r="BY163">
        <v>324</v>
      </c>
      <c r="BZ163" s="43">
        <v>-6</v>
      </c>
      <c r="CA163" s="46"/>
      <c r="CF163" s="43">
        <v>0</v>
      </c>
      <c r="CG163" s="46"/>
      <c r="CJ163">
        <v>104</v>
      </c>
      <c r="CK163">
        <v>104</v>
      </c>
      <c r="CL163" s="43">
        <v>0</v>
      </c>
      <c r="CM163" s="46"/>
      <c r="CN163" s="47"/>
      <c r="CP163">
        <v>264</v>
      </c>
      <c r="CQ163">
        <v>268</v>
      </c>
      <c r="CR163" s="43">
        <v>-4</v>
      </c>
      <c r="CS163" s="46"/>
      <c r="CX163" s="43">
        <v>0</v>
      </c>
      <c r="CY163" s="46"/>
      <c r="CZ163" s="47"/>
      <c r="DB163">
        <v>96</v>
      </c>
      <c r="DC163">
        <v>98</v>
      </c>
      <c r="DD163" s="43">
        <v>-2</v>
      </c>
      <c r="DE163" s="46"/>
      <c r="DF163" s="47"/>
      <c r="DJ163">
        <v>208</v>
      </c>
      <c r="DK163">
        <v>210</v>
      </c>
      <c r="DL163" s="43">
        <v>-2</v>
      </c>
      <c r="DM163" s="46"/>
      <c r="DN163" s="47"/>
      <c r="DR163" s="43">
        <v>0</v>
      </c>
      <c r="DS163" s="46"/>
      <c r="DZ163" s="43">
        <v>0</v>
      </c>
      <c r="EA163" s="46"/>
      <c r="EB163" s="47"/>
      <c r="ED163">
        <v>288</v>
      </c>
      <c r="EE163">
        <v>287</v>
      </c>
      <c r="EF163" s="43">
        <v>1</v>
      </c>
      <c r="EG163" s="46"/>
      <c r="EH163" s="47"/>
      <c r="EJ163">
        <v>312</v>
      </c>
      <c r="EK163">
        <v>310</v>
      </c>
      <c r="EL163" s="43">
        <v>2</v>
      </c>
      <c r="EM163" s="46"/>
      <c r="EN163" s="45">
        <v>24</v>
      </c>
      <c r="EO163">
        <v>24</v>
      </c>
      <c r="ER163" s="43">
        <v>0</v>
      </c>
      <c r="ES163" s="46"/>
      <c r="EV163">
        <v>40</v>
      </c>
      <c r="EW163">
        <v>40</v>
      </c>
      <c r="EX163">
        <v>48</v>
      </c>
      <c r="EY163">
        <v>50</v>
      </c>
      <c r="EZ163" s="43">
        <v>-2</v>
      </c>
      <c r="FA163" s="46"/>
      <c r="FG163" s="43">
        <v>0</v>
      </c>
      <c r="FH163" s="46"/>
      <c r="FI163" s="45">
        <v>56</v>
      </c>
      <c r="FK163" s="48">
        <v>60.399999999999977</v>
      </c>
      <c r="FL163" s="43">
        <v>-4.3999999999999773</v>
      </c>
      <c r="FM163" s="46"/>
      <c r="FN163" s="45">
        <v>520</v>
      </c>
      <c r="FP163">
        <v>521</v>
      </c>
      <c r="FQ163" s="43">
        <v>-1</v>
      </c>
      <c r="FR163" s="46"/>
      <c r="FW163" s="43">
        <v>0</v>
      </c>
      <c r="FX163" s="46"/>
      <c r="FY163" s="47"/>
      <c r="GB163">
        <v>72</v>
      </c>
      <c r="GC163">
        <v>70</v>
      </c>
      <c r="GD163" s="43">
        <v>2</v>
      </c>
      <c r="GE163" s="46"/>
      <c r="GF163">
        <v>152</v>
      </c>
      <c r="GG163">
        <v>150</v>
      </c>
      <c r="GH163">
        <v>176</v>
      </c>
      <c r="GI163">
        <v>180</v>
      </c>
      <c r="GJ163" s="43">
        <v>-2</v>
      </c>
      <c r="GK163" s="46"/>
      <c r="GL163" s="47"/>
      <c r="GN163">
        <v>176</v>
      </c>
      <c r="GO163">
        <v>180</v>
      </c>
      <c r="GP163" s="43">
        <v>-4</v>
      </c>
      <c r="GQ163" s="46"/>
      <c r="GT163">
        <v>160</v>
      </c>
      <c r="GU163">
        <v>160</v>
      </c>
      <c r="GV163" s="43">
        <v>0</v>
      </c>
      <c r="GW163" s="46"/>
      <c r="GX163" s="45">
        <v>192</v>
      </c>
      <c r="GY163" s="48">
        <v>190</v>
      </c>
      <c r="GZ163" s="43">
        <v>2</v>
      </c>
      <c r="HA163" s="46"/>
      <c r="HB163" s="47"/>
      <c r="HD163">
        <v>152</v>
      </c>
      <c r="HE163">
        <v>150</v>
      </c>
      <c r="HF163" s="43">
        <v>2</v>
      </c>
      <c r="HG163" s="46"/>
      <c r="HH163" s="45">
        <v>272</v>
      </c>
      <c r="HI163">
        <v>270</v>
      </c>
      <c r="HJ163" s="43">
        <v>2</v>
      </c>
      <c r="HK163" s="46"/>
      <c r="HL163" s="47"/>
      <c r="HP163" s="43">
        <v>0</v>
      </c>
      <c r="HQ163" s="46"/>
      <c r="HT163">
        <v>600</v>
      </c>
      <c r="HU163">
        <v>600</v>
      </c>
      <c r="HX163" s="43">
        <v>0</v>
      </c>
      <c r="HY163" s="46"/>
      <c r="HZ163" s="47"/>
      <c r="ID163" s="43">
        <v>0</v>
      </c>
      <c r="IE163" s="46"/>
      <c r="IH163">
        <v>152</v>
      </c>
      <c r="II163">
        <v>150</v>
      </c>
      <c r="IJ163" s="43">
        <v>2</v>
      </c>
      <c r="IK163" s="49"/>
      <c r="IL163" s="48">
        <v>96</v>
      </c>
      <c r="IM163" s="48">
        <v>100</v>
      </c>
      <c r="IP163" s="43">
        <v>-4</v>
      </c>
      <c r="IQ163" s="49"/>
      <c r="IV163" s="43">
        <v>0</v>
      </c>
      <c r="IW163" s="46"/>
      <c r="JC163" s="46"/>
      <c r="JG163" s="49"/>
      <c r="JM163" s="46"/>
      <c r="JN163" s="45"/>
      <c r="JQ163" s="49"/>
      <c r="JW163" s="49"/>
      <c r="KC163" s="49"/>
      <c r="KI163" s="49"/>
      <c r="KK163" s="44"/>
      <c r="KO163" s="49"/>
      <c r="KP163" s="50"/>
      <c r="KW163" s="49"/>
      <c r="LC163" s="49"/>
      <c r="LI163" s="49"/>
      <c r="LJ163" s="50"/>
      <c r="LM163" s="49"/>
      <c r="LN163" s="50"/>
      <c r="LT163" s="49"/>
      <c r="LU163" s="50"/>
      <c r="LZ163" s="49"/>
      <c r="MA163" s="50"/>
      <c r="MD163" s="49"/>
      <c r="ME163" s="50"/>
      <c r="MJ163" s="49"/>
      <c r="MK163" s="50"/>
      <c r="MN163" s="49"/>
      <c r="MO163" s="50"/>
      <c r="MT163" s="49"/>
      <c r="MV163" s="46"/>
      <c r="MZ163" s="49"/>
      <c r="NA163" s="50"/>
      <c r="NF163" s="49"/>
      <c r="NG163" s="50"/>
      <c r="NL163" s="49"/>
      <c r="NM163" s="50"/>
      <c r="NR163" s="49"/>
      <c r="NS163" s="50"/>
      <c r="NX163" s="49"/>
      <c r="NY163" s="50"/>
      <c r="OB163" s="48"/>
      <c r="OD163" s="49"/>
      <c r="OE163" s="50"/>
      <c r="OH163" s="49"/>
      <c r="OI163" s="50"/>
      <c r="OL163" s="49"/>
      <c r="OM163" s="50"/>
      <c r="OR163" s="49"/>
      <c r="OS163" s="50"/>
      <c r="OV163" s="49"/>
      <c r="OW163" s="50"/>
      <c r="PB163" s="49"/>
      <c r="PC163" s="50"/>
      <c r="PF163" s="49"/>
      <c r="PG163" s="50"/>
      <c r="PL163" s="49"/>
      <c r="PM163" s="47"/>
      <c r="PN163" s="48"/>
      <c r="PP163" s="48"/>
      <c r="PR163" s="49"/>
      <c r="PS163" s="47"/>
      <c r="PX163" s="46"/>
      <c r="PY163" s="47"/>
      <c r="QB163" s="46"/>
      <c r="QC163" s="47"/>
      <c r="QH163" s="46"/>
      <c r="QI163" s="47"/>
      <c r="QN163" s="46"/>
      <c r="QO163" s="47"/>
      <c r="QT163" s="46"/>
      <c r="QU163" s="47"/>
      <c r="QX163" s="46"/>
      <c r="QY163" s="47"/>
      <c r="RD163" s="46"/>
    </row>
    <row r="164" spans="1:472" x14ac:dyDescent="0.25">
      <c r="A164" s="43" t="s">
        <v>452</v>
      </c>
      <c r="B164" s="44">
        <v>1</v>
      </c>
      <c r="I164" s="47"/>
      <c r="J164" s="51"/>
      <c r="K164" s="52">
        <v>19</v>
      </c>
      <c r="L164" s="52">
        <v>16</v>
      </c>
      <c r="M164" s="51">
        <f t="shared" si="15"/>
        <v>3</v>
      </c>
      <c r="N164" s="46"/>
      <c r="O164" s="47"/>
      <c r="P164" s="51"/>
      <c r="Q164" s="51"/>
      <c r="R164" s="51"/>
      <c r="S164" s="51">
        <f t="shared" si="16"/>
        <v>0</v>
      </c>
      <c r="T164" s="46"/>
      <c r="U164" s="47"/>
      <c r="V164" s="51"/>
      <c r="W164" s="51"/>
      <c r="X164" s="51"/>
      <c r="Y164" s="51">
        <f t="shared" si="17"/>
        <v>0</v>
      </c>
      <c r="Z164" s="46"/>
      <c r="AA164" s="51"/>
      <c r="AC164">
        <v>6</v>
      </c>
      <c r="AD164">
        <v>5</v>
      </c>
      <c r="AE164" s="43">
        <v>1</v>
      </c>
      <c r="AF164" s="46"/>
      <c r="AG164" s="47"/>
      <c r="AK164" s="43">
        <v>0</v>
      </c>
      <c r="AL164" s="46"/>
      <c r="AQ164" s="43">
        <v>0</v>
      </c>
      <c r="AR164" s="46"/>
      <c r="AW164" s="43">
        <v>0</v>
      </c>
      <c r="AX164" s="46"/>
      <c r="AY164" s="47"/>
      <c r="BA164">
        <v>25</v>
      </c>
      <c r="BB164">
        <v>26</v>
      </c>
      <c r="BC164" s="43">
        <v>-1</v>
      </c>
      <c r="BD164" s="46"/>
      <c r="BE164" s="47"/>
      <c r="BI164" s="43">
        <v>0</v>
      </c>
      <c r="BJ164" s="46"/>
      <c r="BN164">
        <v>12</v>
      </c>
      <c r="BO164">
        <v>15</v>
      </c>
      <c r="BP164" s="43">
        <v>-3</v>
      </c>
      <c r="BQ164" s="46"/>
      <c r="BT164" s="43">
        <v>0</v>
      </c>
      <c r="BU164" s="46"/>
      <c r="BV164" s="45">
        <v>6</v>
      </c>
      <c r="BW164">
        <v>9</v>
      </c>
      <c r="BZ164" s="43">
        <v>-3</v>
      </c>
      <c r="CA164" s="46"/>
      <c r="CF164" s="43">
        <v>0</v>
      </c>
      <c r="CG164" s="46"/>
      <c r="CJ164">
        <v>6</v>
      </c>
      <c r="CK164">
        <v>6</v>
      </c>
      <c r="CL164" s="43">
        <v>0</v>
      </c>
      <c r="CM164" s="46"/>
      <c r="CN164" s="47"/>
      <c r="CR164" s="43">
        <v>0</v>
      </c>
      <c r="CS164" s="46"/>
      <c r="CV164">
        <v>25</v>
      </c>
      <c r="CW164">
        <v>22</v>
      </c>
      <c r="CX164" s="43">
        <v>3</v>
      </c>
      <c r="CY164" s="46"/>
      <c r="CZ164" s="47"/>
      <c r="DD164" s="43">
        <v>0</v>
      </c>
      <c r="DE164" s="46"/>
      <c r="DF164" s="47"/>
      <c r="DL164" s="43">
        <v>0</v>
      </c>
      <c r="DM164" s="46"/>
      <c r="DN164" s="47"/>
      <c r="DR164" s="43">
        <v>0</v>
      </c>
      <c r="DS164" s="46"/>
      <c r="DZ164" s="43">
        <v>0</v>
      </c>
      <c r="EA164" s="46"/>
      <c r="EB164" s="47"/>
      <c r="ED164">
        <v>43</v>
      </c>
      <c r="EE164">
        <v>40</v>
      </c>
      <c r="EF164" s="43">
        <v>3</v>
      </c>
      <c r="EG164" s="46"/>
      <c r="EH164" s="47"/>
      <c r="EL164" s="43">
        <v>0</v>
      </c>
      <c r="EM164" s="46"/>
      <c r="EN164" s="45">
        <v>43</v>
      </c>
      <c r="EO164">
        <v>40</v>
      </c>
      <c r="EP164">
        <v>31</v>
      </c>
      <c r="EQ164">
        <v>30</v>
      </c>
      <c r="ER164" s="43">
        <v>4</v>
      </c>
      <c r="ES164" s="46"/>
      <c r="EX164">
        <v>6</v>
      </c>
      <c r="EY164">
        <v>8</v>
      </c>
      <c r="EZ164" s="43">
        <v>-2</v>
      </c>
      <c r="FA164" s="46"/>
      <c r="FG164" s="43">
        <v>0</v>
      </c>
      <c r="FH164" s="46"/>
      <c r="FI164" s="47"/>
      <c r="FL164" s="43">
        <v>0</v>
      </c>
      <c r="FM164" s="46"/>
      <c r="FN164" s="47"/>
      <c r="FQ164" s="43">
        <v>0</v>
      </c>
      <c r="FR164" s="46"/>
      <c r="FW164" s="43">
        <v>0</v>
      </c>
      <c r="FX164" s="46"/>
      <c r="FY164" s="45">
        <v>138</v>
      </c>
      <c r="GA164">
        <v>130</v>
      </c>
      <c r="GB164">
        <v>143</v>
      </c>
      <c r="GC164">
        <v>140</v>
      </c>
      <c r="GD164" s="43">
        <v>11</v>
      </c>
      <c r="GE164" s="46"/>
      <c r="GH164">
        <v>50</v>
      </c>
      <c r="GI164">
        <v>50</v>
      </c>
      <c r="GJ164" s="43">
        <v>0</v>
      </c>
      <c r="GK164" s="46"/>
      <c r="GL164" s="47"/>
      <c r="GN164">
        <v>216</v>
      </c>
      <c r="GO164">
        <v>210</v>
      </c>
      <c r="GP164" s="43">
        <v>6</v>
      </c>
      <c r="GQ164" s="46"/>
      <c r="GR164">
        <v>108</v>
      </c>
      <c r="GS164">
        <v>100</v>
      </c>
      <c r="GT164">
        <v>124</v>
      </c>
      <c r="GU164">
        <v>120</v>
      </c>
      <c r="GV164" s="43">
        <v>12</v>
      </c>
      <c r="GW164" s="46"/>
      <c r="GX164" s="47"/>
      <c r="GZ164" s="43">
        <v>0</v>
      </c>
      <c r="HA164" s="46"/>
      <c r="HB164" s="47"/>
      <c r="HD164">
        <v>167</v>
      </c>
      <c r="HE164">
        <v>160</v>
      </c>
      <c r="HF164" s="43">
        <v>7</v>
      </c>
      <c r="HG164" s="46"/>
      <c r="HH164" s="47"/>
      <c r="HJ164" s="43">
        <v>0</v>
      </c>
      <c r="HK164" s="46"/>
      <c r="HL164" s="45">
        <v>80</v>
      </c>
      <c r="HM164">
        <v>80</v>
      </c>
      <c r="HN164">
        <v>50</v>
      </c>
      <c r="HO164">
        <v>50</v>
      </c>
      <c r="HP164" s="43">
        <v>0</v>
      </c>
      <c r="HQ164" s="46"/>
      <c r="HR164">
        <v>106</v>
      </c>
      <c r="HS164">
        <v>100</v>
      </c>
      <c r="HV164">
        <v>175</v>
      </c>
      <c r="HW164">
        <v>170</v>
      </c>
      <c r="HX164" s="43">
        <v>11</v>
      </c>
      <c r="HY164" s="46"/>
      <c r="HZ164" s="47"/>
      <c r="ID164" s="43">
        <v>0</v>
      </c>
      <c r="IE164" s="46"/>
      <c r="IF164">
        <v>156</v>
      </c>
      <c r="IG164">
        <v>150</v>
      </c>
      <c r="IH164">
        <v>208</v>
      </c>
      <c r="II164">
        <v>200</v>
      </c>
      <c r="IJ164" s="43">
        <v>14</v>
      </c>
      <c r="IK164" s="49"/>
      <c r="IL164" s="48">
        <v>13</v>
      </c>
      <c r="IM164" s="48">
        <v>12</v>
      </c>
      <c r="IP164" s="43">
        <v>1</v>
      </c>
      <c r="IQ164" s="49"/>
      <c r="IV164" s="43">
        <v>0</v>
      </c>
      <c r="IW164" s="46"/>
      <c r="JC164" s="46"/>
      <c r="JG164" s="49"/>
      <c r="JM164" s="46"/>
      <c r="JN164" s="45"/>
      <c r="JQ164" s="49"/>
      <c r="JW164" s="49"/>
      <c r="KC164" s="49"/>
      <c r="KI164" s="49"/>
      <c r="KK164" s="44"/>
      <c r="KO164" s="49"/>
      <c r="KP164" s="50"/>
      <c r="KW164" s="49"/>
      <c r="LC164" s="49"/>
      <c r="LI164" s="49"/>
      <c r="LJ164" s="50"/>
      <c r="LM164" s="49"/>
      <c r="LN164" s="50"/>
      <c r="LT164" s="49"/>
      <c r="LU164" s="50"/>
      <c r="LZ164" s="49"/>
      <c r="MA164" s="50"/>
      <c r="MD164" s="49"/>
      <c r="ME164" s="50"/>
      <c r="MJ164" s="49"/>
      <c r="MK164" s="50"/>
      <c r="MN164" s="49"/>
      <c r="MO164" s="50"/>
      <c r="MT164" s="49"/>
      <c r="MV164" s="46"/>
      <c r="MZ164" s="49"/>
      <c r="NA164" s="50"/>
      <c r="NF164" s="49"/>
      <c r="NG164" s="50"/>
      <c r="NL164" s="49"/>
      <c r="NM164" s="50"/>
      <c r="NR164" s="49"/>
      <c r="NS164" s="50"/>
      <c r="NX164" s="49"/>
      <c r="NY164" s="50"/>
      <c r="OB164" s="48"/>
      <c r="OD164" s="49"/>
      <c r="OE164" s="50"/>
      <c r="OH164" s="49"/>
      <c r="OI164" s="50"/>
      <c r="OL164" s="49"/>
      <c r="OM164" s="50"/>
      <c r="OR164" s="49"/>
      <c r="OS164" s="50"/>
      <c r="OV164" s="49"/>
      <c r="OW164" s="50"/>
      <c r="PB164" s="49"/>
      <c r="PC164" s="50"/>
      <c r="PF164" s="49"/>
      <c r="PG164" s="50"/>
      <c r="PL164" s="49"/>
      <c r="PM164" s="47"/>
      <c r="PN164" s="48"/>
      <c r="PP164" s="48"/>
      <c r="PR164" s="49"/>
      <c r="PS164" s="47"/>
      <c r="PX164" s="46"/>
      <c r="PY164" s="47"/>
      <c r="QB164" s="46"/>
      <c r="QC164" s="47"/>
      <c r="QH164" s="46"/>
      <c r="QI164" s="47"/>
      <c r="QN164" s="46"/>
      <c r="QO164" s="47"/>
      <c r="QT164" s="46"/>
      <c r="QU164" s="47"/>
      <c r="QX164" s="46"/>
      <c r="QY164" s="47"/>
      <c r="RD164" s="46"/>
    </row>
    <row r="165" spans="1:472" x14ac:dyDescent="0.25">
      <c r="A165" s="43" t="s">
        <v>453</v>
      </c>
      <c r="B165" s="44">
        <v>0.4</v>
      </c>
      <c r="E165">
        <v>277</v>
      </c>
      <c r="F165">
        <v>4</v>
      </c>
      <c r="I165" s="47"/>
      <c r="J165" s="52">
        <v>350</v>
      </c>
      <c r="K165" s="51"/>
      <c r="L165" s="52">
        <v>389</v>
      </c>
      <c r="M165" s="51">
        <f>I198+K198-J165-L165</f>
        <v>-1</v>
      </c>
      <c r="N165" s="46"/>
      <c r="O165" s="45">
        <v>80</v>
      </c>
      <c r="P165" s="52">
        <v>82</v>
      </c>
      <c r="Q165" s="51"/>
      <c r="R165" s="51"/>
      <c r="S165" s="51">
        <f t="shared" si="16"/>
        <v>-2</v>
      </c>
      <c r="T165" s="46"/>
      <c r="U165" s="45">
        <v>300</v>
      </c>
      <c r="V165" s="52">
        <v>300</v>
      </c>
      <c r="W165" s="52">
        <v>270</v>
      </c>
      <c r="X165" s="52">
        <v>273</v>
      </c>
      <c r="Y165" s="51">
        <f t="shared" si="17"/>
        <v>-3</v>
      </c>
      <c r="Z165" s="46"/>
      <c r="AA165" s="52">
        <v>200</v>
      </c>
      <c r="AB165">
        <v>200</v>
      </c>
      <c r="AC165">
        <v>250</v>
      </c>
      <c r="AD165">
        <v>256</v>
      </c>
      <c r="AE165" s="43">
        <v>-6</v>
      </c>
      <c r="AF165" s="46"/>
      <c r="AG165" s="45">
        <v>230</v>
      </c>
      <c r="AH165">
        <v>230</v>
      </c>
      <c r="AI165">
        <v>110</v>
      </c>
      <c r="AJ165">
        <v>115</v>
      </c>
      <c r="AK165" s="43">
        <v>-5</v>
      </c>
      <c r="AL165" s="46"/>
      <c r="AM165">
        <v>330</v>
      </c>
      <c r="AN165">
        <v>330</v>
      </c>
      <c r="AO165">
        <v>340</v>
      </c>
      <c r="AP165">
        <v>342</v>
      </c>
      <c r="AQ165" s="43">
        <v>-2</v>
      </c>
      <c r="AR165" s="46"/>
      <c r="AS165">
        <v>200</v>
      </c>
      <c r="AT165">
        <v>200</v>
      </c>
      <c r="AU165">
        <v>210</v>
      </c>
      <c r="AV165">
        <v>212</v>
      </c>
      <c r="AW165" s="43">
        <v>-2</v>
      </c>
      <c r="AX165" s="46"/>
      <c r="AY165" s="47"/>
      <c r="BC165" s="43">
        <v>0</v>
      </c>
      <c r="BD165" s="46"/>
      <c r="BE165" s="45">
        <v>380</v>
      </c>
      <c r="BF165">
        <v>380</v>
      </c>
      <c r="BG165">
        <v>400</v>
      </c>
      <c r="BH165">
        <v>401</v>
      </c>
      <c r="BI165" s="43">
        <v>-1</v>
      </c>
      <c r="BJ165" s="46"/>
      <c r="BP165" s="43">
        <v>0</v>
      </c>
      <c r="BQ165" s="46"/>
      <c r="BR165">
        <v>200</v>
      </c>
      <c r="BS165">
        <v>200</v>
      </c>
      <c r="BT165" s="43">
        <v>0</v>
      </c>
      <c r="BU165" s="46"/>
      <c r="BV165" s="45">
        <v>420</v>
      </c>
      <c r="BW165">
        <v>424</v>
      </c>
      <c r="BZ165" s="43">
        <v>-4</v>
      </c>
      <c r="CA165" s="46"/>
      <c r="CB165">
        <v>100</v>
      </c>
      <c r="CC165">
        <v>100</v>
      </c>
      <c r="CD165">
        <v>170</v>
      </c>
      <c r="CE165">
        <v>168</v>
      </c>
      <c r="CF165" s="43">
        <v>2</v>
      </c>
      <c r="CG165" s="46"/>
      <c r="CL165" s="43">
        <v>0</v>
      </c>
      <c r="CM165" s="46"/>
      <c r="CN165" s="47"/>
      <c r="CP165">
        <v>150</v>
      </c>
      <c r="CQ165">
        <v>150</v>
      </c>
      <c r="CR165" s="43">
        <v>0</v>
      </c>
      <c r="CS165" s="46"/>
      <c r="CV165">
        <v>20</v>
      </c>
      <c r="CW165">
        <v>23</v>
      </c>
      <c r="CX165" s="43">
        <v>-3</v>
      </c>
      <c r="CY165" s="46"/>
      <c r="CZ165" s="47"/>
      <c r="DD165" s="43">
        <v>0</v>
      </c>
      <c r="DE165" s="46"/>
      <c r="DF165" s="47"/>
      <c r="DI165">
        <v>1000</v>
      </c>
      <c r="DK165">
        <v>796</v>
      </c>
      <c r="DL165" s="42">
        <v>-1796</v>
      </c>
      <c r="DM165" s="46">
        <v>718.40000000000009</v>
      </c>
      <c r="DN165" s="47"/>
      <c r="DP165">
        <v>90</v>
      </c>
      <c r="DQ165">
        <v>90</v>
      </c>
      <c r="DR165" s="43">
        <v>0</v>
      </c>
      <c r="DS165" s="46"/>
      <c r="DT165">
        <v>100</v>
      </c>
      <c r="DU165">
        <v>100</v>
      </c>
      <c r="DV165">
        <v>150</v>
      </c>
      <c r="DW165">
        <v>150</v>
      </c>
      <c r="DX165">
        <v>100</v>
      </c>
      <c r="DY165">
        <v>100</v>
      </c>
      <c r="DZ165" s="43">
        <v>0</v>
      </c>
      <c r="EA165" s="46"/>
      <c r="EB165" s="45">
        <v>300</v>
      </c>
      <c r="EC165">
        <v>300</v>
      </c>
      <c r="ED165">
        <v>720</v>
      </c>
      <c r="EE165">
        <v>720</v>
      </c>
      <c r="EF165" s="43">
        <v>0</v>
      </c>
      <c r="EG165" s="46"/>
      <c r="EH165" s="47"/>
      <c r="EJ165">
        <v>280</v>
      </c>
      <c r="EK165">
        <v>280</v>
      </c>
      <c r="EL165" s="43">
        <v>0</v>
      </c>
      <c r="EM165" s="46"/>
      <c r="EN165" s="47"/>
      <c r="EO165">
        <v>200</v>
      </c>
      <c r="EP165">
        <v>140</v>
      </c>
      <c r="EQ165">
        <v>140</v>
      </c>
      <c r="ER165" s="42">
        <v>-200</v>
      </c>
      <c r="ES165" s="46">
        <v>80</v>
      </c>
      <c r="ET165">
        <v>200</v>
      </c>
      <c r="EU165">
        <v>200</v>
      </c>
      <c r="EV165">
        <v>300</v>
      </c>
      <c r="EW165">
        <v>300</v>
      </c>
      <c r="EX165">
        <v>400</v>
      </c>
      <c r="EY165">
        <v>400</v>
      </c>
      <c r="EZ165" s="43">
        <v>0</v>
      </c>
      <c r="FA165" s="46"/>
      <c r="FB165">
        <v>280</v>
      </c>
      <c r="FC165">
        <v>280</v>
      </c>
      <c r="FD165">
        <v>240</v>
      </c>
      <c r="FF165">
        <v>240</v>
      </c>
      <c r="FG165" s="43">
        <v>0</v>
      </c>
      <c r="FH165" s="46"/>
      <c r="FI165" s="45">
        <v>310</v>
      </c>
      <c r="FK165" s="48">
        <v>310</v>
      </c>
      <c r="FL165" s="43">
        <v>0</v>
      </c>
      <c r="FM165" s="46"/>
      <c r="FN165" s="45">
        <v>300</v>
      </c>
      <c r="FP165">
        <v>299</v>
      </c>
      <c r="FQ165" s="43">
        <v>1</v>
      </c>
      <c r="FR165" s="46"/>
      <c r="FW165" s="43">
        <v>0</v>
      </c>
      <c r="FX165" s="46"/>
      <c r="FY165" s="45">
        <v>250</v>
      </c>
      <c r="GA165">
        <v>250</v>
      </c>
      <c r="GB165">
        <v>310</v>
      </c>
      <c r="GC165">
        <v>310</v>
      </c>
      <c r="GD165" s="43">
        <v>0</v>
      </c>
      <c r="GE165" s="46"/>
      <c r="GF165">
        <v>110</v>
      </c>
      <c r="GG165">
        <v>110</v>
      </c>
      <c r="GH165">
        <v>120</v>
      </c>
      <c r="GI165">
        <v>120</v>
      </c>
      <c r="GJ165" s="43">
        <v>0</v>
      </c>
      <c r="GK165" s="46"/>
      <c r="GL165" s="47"/>
      <c r="GN165">
        <v>900</v>
      </c>
      <c r="GO165">
        <v>900</v>
      </c>
      <c r="GP165" s="43">
        <v>0</v>
      </c>
      <c r="GQ165" s="46"/>
      <c r="GR165">
        <v>300</v>
      </c>
      <c r="GS165">
        <v>300</v>
      </c>
      <c r="GT165">
        <v>310</v>
      </c>
      <c r="GU165">
        <v>310</v>
      </c>
      <c r="GV165" s="43">
        <v>0</v>
      </c>
      <c r="GW165" s="46"/>
      <c r="GX165" s="47"/>
      <c r="GZ165" s="43">
        <v>0</v>
      </c>
      <c r="HA165" s="46"/>
      <c r="HB165" s="45">
        <v>300</v>
      </c>
      <c r="HC165">
        <v>300</v>
      </c>
      <c r="HD165">
        <v>420</v>
      </c>
      <c r="HE165">
        <v>420</v>
      </c>
      <c r="HF165" s="43">
        <v>0</v>
      </c>
      <c r="HG165" s="46"/>
      <c r="HH165" s="45">
        <v>470</v>
      </c>
      <c r="HI165">
        <v>470</v>
      </c>
      <c r="HJ165" s="43">
        <v>0</v>
      </c>
      <c r="HK165" s="46"/>
      <c r="HL165" s="45">
        <v>400</v>
      </c>
      <c r="HM165">
        <v>400</v>
      </c>
      <c r="HN165">
        <v>370</v>
      </c>
      <c r="HO165">
        <v>370</v>
      </c>
      <c r="HP165" s="43">
        <v>0</v>
      </c>
      <c r="HQ165" s="46"/>
      <c r="HT165">
        <v>320</v>
      </c>
      <c r="HU165">
        <v>320</v>
      </c>
      <c r="HX165" s="43">
        <v>0</v>
      </c>
      <c r="HY165" s="46"/>
      <c r="HZ165" s="45">
        <v>200</v>
      </c>
      <c r="IA165">
        <v>200</v>
      </c>
      <c r="IB165">
        <v>200</v>
      </c>
      <c r="IC165">
        <v>200</v>
      </c>
      <c r="ID165" s="43">
        <v>0</v>
      </c>
      <c r="IE165" s="46"/>
      <c r="IF165">
        <v>300</v>
      </c>
      <c r="IG165">
        <v>300</v>
      </c>
      <c r="IH165">
        <v>400</v>
      </c>
      <c r="II165">
        <v>400</v>
      </c>
      <c r="IJ165" s="43">
        <v>0</v>
      </c>
      <c r="IK165" s="49"/>
      <c r="IL165">
        <v>350</v>
      </c>
      <c r="IM165" s="48">
        <v>350</v>
      </c>
      <c r="IN165" s="48">
        <v>330</v>
      </c>
      <c r="IO165" s="48">
        <v>330</v>
      </c>
      <c r="IP165" s="43">
        <v>0</v>
      </c>
      <c r="IQ165" s="49"/>
      <c r="IV165" s="43">
        <v>0</v>
      </c>
      <c r="IW165" s="46"/>
      <c r="JC165" s="46"/>
      <c r="JG165" s="49"/>
      <c r="JM165" s="46"/>
      <c r="JN165" s="45"/>
      <c r="JQ165" s="49"/>
      <c r="JW165" s="49"/>
      <c r="KC165" s="49"/>
      <c r="KI165" s="49"/>
      <c r="KK165" s="44"/>
      <c r="KO165" s="49"/>
      <c r="KP165" s="50"/>
      <c r="KW165" s="49"/>
      <c r="LC165" s="49"/>
      <c r="LI165" s="49"/>
      <c r="LJ165" s="50"/>
      <c r="LM165" s="49"/>
      <c r="LN165" s="50"/>
      <c r="LT165" s="49"/>
      <c r="LU165" s="50"/>
      <c r="LZ165" s="49"/>
      <c r="MA165" s="50"/>
      <c r="MD165" s="49"/>
      <c r="ME165" s="50"/>
      <c r="MJ165" s="49"/>
      <c r="MK165" s="50"/>
      <c r="MN165" s="49"/>
      <c r="MO165" s="50"/>
      <c r="MT165" s="49"/>
      <c r="MV165" s="46"/>
      <c r="MZ165" s="49"/>
      <c r="NA165" s="50"/>
      <c r="NF165" s="49"/>
      <c r="NG165" s="50"/>
      <c r="NL165" s="49"/>
      <c r="NM165" s="50"/>
      <c r="NR165" s="49"/>
      <c r="NS165" s="50"/>
      <c r="NX165" s="49"/>
      <c r="NY165" s="50"/>
      <c r="OB165" s="48"/>
      <c r="OD165" s="49"/>
      <c r="OE165" s="50"/>
      <c r="OH165" s="49"/>
      <c r="OI165" s="50"/>
      <c r="OL165" s="49"/>
      <c r="OM165" s="50"/>
      <c r="OR165" s="49"/>
      <c r="OS165" s="50"/>
      <c r="OV165" s="49"/>
      <c r="OW165" s="50"/>
      <c r="PB165" s="49"/>
      <c r="PC165" s="50"/>
      <c r="PF165" s="49"/>
      <c r="PG165" s="50"/>
      <c r="PL165" s="49"/>
      <c r="PM165" s="47"/>
      <c r="PN165" s="48"/>
      <c r="PP165" s="48"/>
      <c r="PR165" s="49"/>
      <c r="PS165" s="47"/>
      <c r="PX165" s="46"/>
      <c r="PY165" s="47"/>
      <c r="QB165" s="46"/>
      <c r="QC165" s="47"/>
      <c r="QH165" s="46"/>
      <c r="QI165" s="47"/>
      <c r="QN165" s="46"/>
      <c r="QO165" s="47"/>
      <c r="QT165" s="46"/>
      <c r="QU165" s="47"/>
      <c r="QX165" s="46"/>
      <c r="QY165" s="47"/>
      <c r="RD165" s="46"/>
    </row>
    <row r="166" spans="1:472" x14ac:dyDescent="0.25">
      <c r="A166" s="43" t="s">
        <v>454</v>
      </c>
      <c r="B166" s="44">
        <v>0.41</v>
      </c>
      <c r="E166">
        <v>500</v>
      </c>
      <c r="F166">
        <v>367</v>
      </c>
      <c r="I166" s="45">
        <v>630</v>
      </c>
      <c r="J166" s="52">
        <v>630</v>
      </c>
      <c r="K166" s="52">
        <v>660</v>
      </c>
      <c r="L166" s="52">
        <v>659</v>
      </c>
      <c r="M166" s="51">
        <f t="shared" si="15"/>
        <v>1</v>
      </c>
      <c r="N166" s="46"/>
      <c r="O166" s="45">
        <v>200</v>
      </c>
      <c r="P166" s="52">
        <v>200</v>
      </c>
      <c r="Q166" s="52">
        <v>210</v>
      </c>
      <c r="R166" s="52">
        <v>211</v>
      </c>
      <c r="S166" s="51">
        <f t="shared" si="16"/>
        <v>-1</v>
      </c>
      <c r="T166" s="46"/>
      <c r="U166" s="45">
        <v>300</v>
      </c>
      <c r="V166" s="52">
        <v>300</v>
      </c>
      <c r="W166" s="52">
        <v>150</v>
      </c>
      <c r="X166" s="52">
        <v>157</v>
      </c>
      <c r="Y166" s="51">
        <f t="shared" si="17"/>
        <v>-7</v>
      </c>
      <c r="Z166" s="46"/>
      <c r="AA166" s="52">
        <v>300</v>
      </c>
      <c r="AB166">
        <v>300</v>
      </c>
      <c r="AC166">
        <v>230</v>
      </c>
      <c r="AD166">
        <v>234</v>
      </c>
      <c r="AE166" s="43">
        <v>-4</v>
      </c>
      <c r="AF166" s="46"/>
      <c r="AG166" s="45">
        <v>320</v>
      </c>
      <c r="AH166">
        <v>320</v>
      </c>
      <c r="AI166">
        <v>200</v>
      </c>
      <c r="AJ166">
        <v>205</v>
      </c>
      <c r="AK166" s="43">
        <v>-5</v>
      </c>
      <c r="AL166" s="46"/>
      <c r="AM166">
        <v>370</v>
      </c>
      <c r="AN166">
        <v>370</v>
      </c>
      <c r="AO166">
        <v>390</v>
      </c>
      <c r="AP166">
        <v>395</v>
      </c>
      <c r="AQ166" s="43">
        <v>-5</v>
      </c>
      <c r="AR166" s="46"/>
      <c r="AS166">
        <v>210</v>
      </c>
      <c r="AT166">
        <v>210</v>
      </c>
      <c r="AU166">
        <v>220</v>
      </c>
      <c r="AV166">
        <v>223</v>
      </c>
      <c r="AW166" s="43">
        <v>-3</v>
      </c>
      <c r="AX166" s="46"/>
      <c r="AY166" s="45">
        <v>400</v>
      </c>
      <c r="AZ166">
        <v>400</v>
      </c>
      <c r="BA166">
        <v>520</v>
      </c>
      <c r="BB166">
        <v>526</v>
      </c>
      <c r="BC166" s="43">
        <v>-6</v>
      </c>
      <c r="BD166" s="46"/>
      <c r="BE166" s="47"/>
      <c r="BI166" s="43">
        <v>0</v>
      </c>
      <c r="BJ166" s="46"/>
      <c r="BK166">
        <v>650</v>
      </c>
      <c r="BL166">
        <v>650</v>
      </c>
      <c r="BN166">
        <v>740</v>
      </c>
      <c r="BO166">
        <v>747</v>
      </c>
      <c r="BP166" s="43">
        <v>-7</v>
      </c>
      <c r="BQ166" s="46"/>
      <c r="BR166">
        <v>200</v>
      </c>
      <c r="BS166">
        <v>200</v>
      </c>
      <c r="BT166" s="43">
        <v>0</v>
      </c>
      <c r="BU166" s="46"/>
      <c r="BV166" s="45">
        <v>460</v>
      </c>
      <c r="BW166">
        <v>463</v>
      </c>
      <c r="BZ166" s="43">
        <v>-3</v>
      </c>
      <c r="CA166" s="46"/>
      <c r="CB166">
        <v>250</v>
      </c>
      <c r="CC166">
        <v>250</v>
      </c>
      <c r="CD166">
        <v>360</v>
      </c>
      <c r="CE166">
        <v>364</v>
      </c>
      <c r="CF166" s="43">
        <v>-4</v>
      </c>
      <c r="CG166" s="46"/>
      <c r="CH166">
        <v>300</v>
      </c>
      <c r="CI166">
        <v>300</v>
      </c>
      <c r="CJ166">
        <v>140</v>
      </c>
      <c r="CK166">
        <v>147</v>
      </c>
      <c r="CL166" s="43">
        <v>-7</v>
      </c>
      <c r="CM166" s="46"/>
      <c r="CN166" s="47"/>
      <c r="CP166">
        <v>920</v>
      </c>
      <c r="CQ166">
        <v>925</v>
      </c>
      <c r="CR166" s="43">
        <v>-5</v>
      </c>
      <c r="CS166" s="46"/>
      <c r="CT166">
        <v>140</v>
      </c>
      <c r="CU166">
        <v>140</v>
      </c>
      <c r="CV166">
        <v>100</v>
      </c>
      <c r="CW166">
        <v>104</v>
      </c>
      <c r="CX166" s="43">
        <v>-4</v>
      </c>
      <c r="CY166" s="46"/>
      <c r="CZ166" s="47"/>
      <c r="DD166" s="43">
        <v>0</v>
      </c>
      <c r="DE166" s="46"/>
      <c r="DF166" s="47"/>
      <c r="DH166">
        <v>600</v>
      </c>
      <c r="DI166">
        <v>600</v>
      </c>
      <c r="DJ166">
        <v>500</v>
      </c>
      <c r="DK166">
        <v>504</v>
      </c>
      <c r="DL166" s="43">
        <v>-4</v>
      </c>
      <c r="DM166" s="46"/>
      <c r="DN166" s="45">
        <v>180</v>
      </c>
      <c r="DO166">
        <v>180</v>
      </c>
      <c r="DP166">
        <v>100</v>
      </c>
      <c r="DQ166">
        <v>100</v>
      </c>
      <c r="DR166" s="43">
        <v>0</v>
      </c>
      <c r="DS166" s="46"/>
      <c r="DT166">
        <v>200</v>
      </c>
      <c r="DU166">
        <v>200</v>
      </c>
      <c r="DV166">
        <v>230</v>
      </c>
      <c r="DW166">
        <v>230</v>
      </c>
      <c r="DX166">
        <v>300</v>
      </c>
      <c r="DY166">
        <v>300</v>
      </c>
      <c r="DZ166" s="43">
        <v>0</v>
      </c>
      <c r="EA166" s="46"/>
      <c r="EB166" s="47"/>
      <c r="ED166">
        <v>400</v>
      </c>
      <c r="EE166">
        <v>400</v>
      </c>
      <c r="EF166" s="43">
        <v>0</v>
      </c>
      <c r="EG166" s="46"/>
      <c r="EH166" s="47"/>
      <c r="EL166" s="43">
        <v>0</v>
      </c>
      <c r="EM166" s="46"/>
      <c r="EN166" s="45">
        <v>350</v>
      </c>
      <c r="EO166">
        <v>350</v>
      </c>
      <c r="EP166">
        <v>400</v>
      </c>
      <c r="EQ166">
        <v>400</v>
      </c>
      <c r="ER166" s="43">
        <v>0</v>
      </c>
      <c r="ES166" s="46"/>
      <c r="EV166">
        <v>50</v>
      </c>
      <c r="EW166">
        <v>50</v>
      </c>
      <c r="EX166">
        <v>50</v>
      </c>
      <c r="EY166">
        <v>50</v>
      </c>
      <c r="EZ166" s="43">
        <v>0</v>
      </c>
      <c r="FA166" s="46"/>
      <c r="FD166">
        <v>650</v>
      </c>
      <c r="FF166">
        <v>650</v>
      </c>
      <c r="FG166" s="43">
        <v>0</v>
      </c>
      <c r="FH166" s="46"/>
      <c r="FI166" s="47"/>
      <c r="FL166" s="43">
        <v>0</v>
      </c>
      <c r="FM166" s="46"/>
      <c r="FN166" s="47"/>
      <c r="FQ166" s="43">
        <v>0</v>
      </c>
      <c r="FR166" s="46"/>
      <c r="FS166">
        <v>1600</v>
      </c>
      <c r="FV166">
        <v>1600</v>
      </c>
      <c r="FW166" s="43">
        <v>0</v>
      </c>
      <c r="FX166" s="46"/>
      <c r="FY166" s="47"/>
      <c r="GD166" s="43">
        <v>0</v>
      </c>
      <c r="GE166" s="46"/>
      <c r="GF166">
        <v>410</v>
      </c>
      <c r="GG166">
        <v>410</v>
      </c>
      <c r="GH166">
        <v>410</v>
      </c>
      <c r="GI166">
        <v>410</v>
      </c>
      <c r="GJ166" s="43">
        <v>0</v>
      </c>
      <c r="GK166" s="46"/>
      <c r="GL166" s="47"/>
      <c r="GN166">
        <v>610</v>
      </c>
      <c r="GO166">
        <v>780</v>
      </c>
      <c r="GP166" s="42">
        <v>-170</v>
      </c>
      <c r="GQ166" s="46">
        <v>69.7</v>
      </c>
      <c r="GR166">
        <v>260</v>
      </c>
      <c r="GS166">
        <v>260</v>
      </c>
      <c r="GT166">
        <v>320</v>
      </c>
      <c r="GU166">
        <v>320</v>
      </c>
      <c r="GV166" s="43">
        <v>0</v>
      </c>
      <c r="GW166" s="46"/>
      <c r="GX166" s="47"/>
      <c r="GZ166" s="43">
        <v>0</v>
      </c>
      <c r="HA166" s="46"/>
      <c r="HB166" s="45">
        <v>400</v>
      </c>
      <c r="HC166">
        <v>400</v>
      </c>
      <c r="HD166">
        <v>420</v>
      </c>
      <c r="HE166">
        <v>420</v>
      </c>
      <c r="HF166" s="43">
        <v>0</v>
      </c>
      <c r="HG166" s="46"/>
      <c r="HH166" s="45">
        <v>520</v>
      </c>
      <c r="HI166">
        <v>520</v>
      </c>
      <c r="HJ166" s="43">
        <v>0</v>
      </c>
      <c r="HK166" s="46"/>
      <c r="HL166" s="45">
        <v>200</v>
      </c>
      <c r="HM166">
        <v>200</v>
      </c>
      <c r="HN166">
        <v>200</v>
      </c>
      <c r="HO166">
        <v>200</v>
      </c>
      <c r="HP166" s="43">
        <v>0</v>
      </c>
      <c r="HQ166" s="46"/>
      <c r="HR166">
        <v>400</v>
      </c>
      <c r="HS166">
        <v>400</v>
      </c>
      <c r="HT166">
        <v>650</v>
      </c>
      <c r="HU166">
        <v>650</v>
      </c>
      <c r="HX166" s="43">
        <v>0</v>
      </c>
      <c r="HY166" s="46"/>
      <c r="HZ166" s="45">
        <v>200</v>
      </c>
      <c r="IA166">
        <v>200</v>
      </c>
      <c r="IB166">
        <v>200</v>
      </c>
      <c r="IC166">
        <v>200</v>
      </c>
      <c r="ID166" s="43">
        <v>0</v>
      </c>
      <c r="IE166" s="46"/>
      <c r="IF166">
        <v>150</v>
      </c>
      <c r="IG166">
        <v>150</v>
      </c>
      <c r="IH166">
        <v>250</v>
      </c>
      <c r="II166">
        <v>250</v>
      </c>
      <c r="IJ166" s="43">
        <v>0</v>
      </c>
      <c r="IK166" s="49"/>
      <c r="IL166">
        <v>300</v>
      </c>
      <c r="IM166" s="48">
        <v>300</v>
      </c>
      <c r="IN166" s="48">
        <v>250</v>
      </c>
      <c r="IO166" s="48">
        <v>250</v>
      </c>
      <c r="IP166" s="43">
        <v>0</v>
      </c>
      <c r="IQ166" s="49"/>
      <c r="IV166" s="43">
        <v>0</v>
      </c>
      <c r="IW166" s="46"/>
      <c r="JC166" s="46"/>
      <c r="JG166" s="49"/>
      <c r="JM166" s="46"/>
      <c r="JN166" s="45"/>
      <c r="JQ166" s="49"/>
      <c r="JW166" s="49"/>
      <c r="KC166" s="49"/>
      <c r="KI166" s="49"/>
      <c r="KK166" s="44"/>
      <c r="KO166" s="49"/>
      <c r="KP166" s="50"/>
      <c r="KW166" s="49"/>
      <c r="LC166" s="49"/>
      <c r="LI166" s="49"/>
      <c r="LJ166" s="50"/>
      <c r="LM166" s="49"/>
      <c r="LN166" s="50"/>
      <c r="LT166" s="49"/>
      <c r="LU166" s="50"/>
      <c r="LZ166" s="49"/>
      <c r="MA166" s="50"/>
      <c r="MD166" s="49"/>
      <c r="ME166" s="50"/>
      <c r="MJ166" s="49"/>
      <c r="MK166" s="50"/>
      <c r="MN166" s="49"/>
      <c r="MO166" s="50"/>
      <c r="MT166" s="49"/>
      <c r="MV166" s="46"/>
      <c r="MZ166" s="49"/>
      <c r="NA166" s="50"/>
      <c r="NF166" s="49"/>
      <c r="NG166" s="50"/>
      <c r="NL166" s="49"/>
      <c r="NM166" s="50"/>
      <c r="NR166" s="49"/>
      <c r="NS166" s="50"/>
      <c r="NX166" s="49"/>
      <c r="NY166" s="50"/>
      <c r="OB166" s="48"/>
      <c r="OD166" s="49"/>
      <c r="OE166" s="50"/>
      <c r="OH166" s="49"/>
      <c r="OI166" s="50"/>
      <c r="OL166" s="49"/>
      <c r="OM166" s="50"/>
      <c r="OR166" s="49"/>
      <c r="OS166" s="50"/>
      <c r="OV166" s="49"/>
      <c r="OW166" s="50"/>
      <c r="PB166" s="49"/>
      <c r="PC166" s="50"/>
      <c r="PF166" s="49"/>
      <c r="PG166" s="50"/>
      <c r="PL166" s="49"/>
      <c r="PM166" s="47"/>
      <c r="PN166" s="48"/>
      <c r="PP166" s="48"/>
      <c r="PR166" s="49"/>
      <c r="PS166" s="47"/>
      <c r="PX166" s="46"/>
      <c r="PY166" s="47"/>
      <c r="QB166" s="46"/>
      <c r="QC166" s="47"/>
      <c r="QH166" s="46"/>
      <c r="QI166" s="47"/>
      <c r="QN166" s="46"/>
      <c r="QO166" s="47"/>
      <c r="QT166" s="46"/>
      <c r="QU166" s="47"/>
      <c r="QX166" s="46"/>
      <c r="QY166" s="47"/>
      <c r="RD166" s="46"/>
    </row>
    <row r="167" spans="1:472" x14ac:dyDescent="0.25">
      <c r="A167" s="43" t="s">
        <v>455</v>
      </c>
      <c r="B167" s="44">
        <v>1</v>
      </c>
      <c r="E167">
        <v>160</v>
      </c>
      <c r="F167">
        <v>172</v>
      </c>
      <c r="I167" s="45">
        <v>83</v>
      </c>
      <c r="J167" s="52">
        <v>80</v>
      </c>
      <c r="K167" s="52">
        <v>99</v>
      </c>
      <c r="L167" s="52">
        <v>99</v>
      </c>
      <c r="M167" s="51">
        <f t="shared" si="15"/>
        <v>3</v>
      </c>
      <c r="N167" s="46"/>
      <c r="O167" s="45">
        <v>105</v>
      </c>
      <c r="P167" s="52">
        <v>100</v>
      </c>
      <c r="Q167" s="52">
        <v>113</v>
      </c>
      <c r="R167" s="52">
        <v>106</v>
      </c>
      <c r="S167" s="51">
        <f t="shared" si="16"/>
        <v>12</v>
      </c>
      <c r="T167" s="46"/>
      <c r="U167" s="45">
        <v>75</v>
      </c>
      <c r="V167" s="52">
        <v>70</v>
      </c>
      <c r="W167" s="52">
        <v>86</v>
      </c>
      <c r="X167" s="52">
        <v>82</v>
      </c>
      <c r="Y167" s="51">
        <f t="shared" si="17"/>
        <v>9</v>
      </c>
      <c r="Z167" s="46"/>
      <c r="AA167" s="51"/>
      <c r="AE167" s="43">
        <v>0</v>
      </c>
      <c r="AF167" s="46"/>
      <c r="AG167" s="45">
        <v>124</v>
      </c>
      <c r="AH167">
        <v>120</v>
      </c>
      <c r="AI167">
        <v>174</v>
      </c>
      <c r="AJ167">
        <v>170</v>
      </c>
      <c r="AK167" s="43">
        <v>8</v>
      </c>
      <c r="AL167" s="46"/>
      <c r="AM167">
        <v>137</v>
      </c>
      <c r="AN167">
        <v>130</v>
      </c>
      <c r="AO167">
        <v>146</v>
      </c>
      <c r="AP167">
        <v>145</v>
      </c>
      <c r="AQ167" s="43">
        <v>8</v>
      </c>
      <c r="AR167" s="46"/>
      <c r="AS167">
        <v>49</v>
      </c>
      <c r="AT167">
        <v>50</v>
      </c>
      <c r="AU167">
        <v>63</v>
      </c>
      <c r="AV167">
        <v>63</v>
      </c>
      <c r="AW167" s="43">
        <v>-1</v>
      </c>
      <c r="AX167" s="46"/>
      <c r="AY167" s="45">
        <v>50</v>
      </c>
      <c r="AZ167">
        <v>50</v>
      </c>
      <c r="BA167">
        <v>106</v>
      </c>
      <c r="BB167">
        <v>103</v>
      </c>
      <c r="BC167" s="43">
        <v>3</v>
      </c>
      <c r="BD167" s="46"/>
      <c r="BE167" s="45">
        <v>136</v>
      </c>
      <c r="BF167">
        <v>130</v>
      </c>
      <c r="BG167">
        <v>126</v>
      </c>
      <c r="BH167">
        <v>121</v>
      </c>
      <c r="BI167" s="43">
        <v>11</v>
      </c>
      <c r="BJ167" s="46"/>
      <c r="BK167">
        <v>126</v>
      </c>
      <c r="BL167">
        <v>120</v>
      </c>
      <c r="BM167">
        <v>63</v>
      </c>
      <c r="BO167">
        <v>106</v>
      </c>
      <c r="BP167" s="42">
        <v>-37</v>
      </c>
      <c r="BQ167" s="46">
        <v>37</v>
      </c>
      <c r="BT167" s="43">
        <v>0</v>
      </c>
      <c r="BU167" s="46"/>
      <c r="BV167" s="45">
        <v>136</v>
      </c>
      <c r="BW167">
        <v>134</v>
      </c>
      <c r="BX167">
        <v>282</v>
      </c>
      <c r="BY167">
        <v>273</v>
      </c>
      <c r="BZ167" s="43">
        <v>11</v>
      </c>
      <c r="CA167" s="46"/>
      <c r="CB167">
        <v>158</v>
      </c>
      <c r="CC167">
        <v>150</v>
      </c>
      <c r="CD167">
        <v>239</v>
      </c>
      <c r="CE167">
        <v>231</v>
      </c>
      <c r="CF167" s="43">
        <v>16</v>
      </c>
      <c r="CG167" s="46"/>
      <c r="CJ167">
        <v>118</v>
      </c>
      <c r="CK167">
        <v>117</v>
      </c>
      <c r="CL167" s="43">
        <v>1</v>
      </c>
      <c r="CM167" s="46"/>
      <c r="CN167" s="47"/>
      <c r="CR167" s="43">
        <v>0</v>
      </c>
      <c r="CS167" s="46"/>
      <c r="CT167">
        <v>51</v>
      </c>
      <c r="CU167">
        <v>50</v>
      </c>
      <c r="CX167" s="43">
        <v>1</v>
      </c>
      <c r="CY167" s="46"/>
      <c r="CZ167" s="45">
        <v>151</v>
      </c>
      <c r="DA167">
        <v>150</v>
      </c>
      <c r="DB167">
        <v>107</v>
      </c>
      <c r="DC167">
        <v>103</v>
      </c>
      <c r="DD167" s="43">
        <v>5</v>
      </c>
      <c r="DE167" s="46"/>
      <c r="DF167" s="47"/>
      <c r="DH167">
        <v>205</v>
      </c>
      <c r="DI167">
        <v>200</v>
      </c>
      <c r="DJ167">
        <v>144</v>
      </c>
      <c r="DK167">
        <v>138</v>
      </c>
      <c r="DL167" s="43">
        <v>11</v>
      </c>
      <c r="DM167" s="46"/>
      <c r="DN167" s="45">
        <v>144</v>
      </c>
      <c r="DO167">
        <v>140</v>
      </c>
      <c r="DP167">
        <v>144</v>
      </c>
      <c r="DQ167">
        <v>140</v>
      </c>
      <c r="DR167" s="43">
        <v>8</v>
      </c>
      <c r="DS167" s="46"/>
      <c r="DV167">
        <v>50</v>
      </c>
      <c r="DW167">
        <v>50</v>
      </c>
      <c r="DX167">
        <v>106</v>
      </c>
      <c r="DY167">
        <v>100</v>
      </c>
      <c r="DZ167" s="43">
        <v>6</v>
      </c>
      <c r="EA167" s="46"/>
      <c r="EB167" s="47"/>
      <c r="EF167" s="43">
        <v>0</v>
      </c>
      <c r="EG167" s="46"/>
      <c r="EH167" s="45">
        <v>314</v>
      </c>
      <c r="EI167">
        <v>300</v>
      </c>
      <c r="EJ167">
        <v>483</v>
      </c>
      <c r="EK167">
        <v>470</v>
      </c>
      <c r="EL167" s="43">
        <v>27</v>
      </c>
      <c r="EM167" s="46"/>
      <c r="EN167" s="45">
        <v>125</v>
      </c>
      <c r="EO167">
        <v>120</v>
      </c>
      <c r="EP167">
        <v>81</v>
      </c>
      <c r="EQ167">
        <v>80</v>
      </c>
      <c r="ER167" s="43">
        <v>6</v>
      </c>
      <c r="ES167" s="46"/>
      <c r="EZ167" s="43">
        <v>0</v>
      </c>
      <c r="FA167" s="46"/>
      <c r="FB167">
        <v>297</v>
      </c>
      <c r="FC167">
        <v>290</v>
      </c>
      <c r="FD167">
        <v>168</v>
      </c>
      <c r="FF167">
        <v>160</v>
      </c>
      <c r="FG167" s="43">
        <v>15</v>
      </c>
      <c r="FH167" s="46"/>
      <c r="FI167" s="47"/>
      <c r="FL167" s="43">
        <v>0</v>
      </c>
      <c r="FM167" s="46"/>
      <c r="FN167" s="45">
        <v>158</v>
      </c>
      <c r="FP167">
        <v>150</v>
      </c>
      <c r="FQ167" s="43">
        <v>8</v>
      </c>
      <c r="FR167" s="46"/>
      <c r="FS167">
        <v>113</v>
      </c>
      <c r="FV167">
        <v>110</v>
      </c>
      <c r="FW167" s="43">
        <v>3</v>
      </c>
      <c r="FX167" s="46"/>
      <c r="FY167" s="47"/>
      <c r="GD167" s="43">
        <v>0</v>
      </c>
      <c r="GE167" s="46"/>
      <c r="GH167">
        <v>49</v>
      </c>
      <c r="GI167">
        <v>50</v>
      </c>
      <c r="GJ167" s="43">
        <v>-1</v>
      </c>
      <c r="GK167" s="46"/>
      <c r="GL167" s="47"/>
      <c r="GN167">
        <v>284</v>
      </c>
      <c r="GO167">
        <v>270</v>
      </c>
      <c r="GP167" s="43">
        <v>14</v>
      </c>
      <c r="GQ167" s="46"/>
      <c r="GT167">
        <v>108</v>
      </c>
      <c r="GU167">
        <v>100</v>
      </c>
      <c r="GV167" s="43">
        <v>8</v>
      </c>
      <c r="GW167" s="46"/>
      <c r="GX167" s="47"/>
      <c r="GZ167" s="43">
        <v>0</v>
      </c>
      <c r="HA167" s="46"/>
      <c r="HB167" s="45">
        <v>107</v>
      </c>
      <c r="HC167">
        <v>100</v>
      </c>
      <c r="HD167">
        <v>200</v>
      </c>
      <c r="HE167">
        <v>190</v>
      </c>
      <c r="HF167" s="43">
        <v>17</v>
      </c>
      <c r="HG167" s="46"/>
      <c r="HH167" s="47"/>
      <c r="HJ167" s="43">
        <v>0</v>
      </c>
      <c r="HK167" s="46"/>
      <c r="HL167" s="45">
        <v>106</v>
      </c>
      <c r="HM167">
        <v>100</v>
      </c>
      <c r="HN167">
        <v>50</v>
      </c>
      <c r="HO167">
        <v>50</v>
      </c>
      <c r="HP167" s="43">
        <v>6</v>
      </c>
      <c r="HQ167" s="46"/>
      <c r="HV167">
        <v>157</v>
      </c>
      <c r="HW167">
        <v>150</v>
      </c>
      <c r="HX167" s="43">
        <v>7</v>
      </c>
      <c r="HY167" s="46"/>
      <c r="HZ167" s="45">
        <v>107</v>
      </c>
      <c r="IA167">
        <v>100</v>
      </c>
      <c r="IB167">
        <v>106</v>
      </c>
      <c r="IC167">
        <v>100</v>
      </c>
      <c r="ID167" s="43">
        <v>13</v>
      </c>
      <c r="IE167" s="46"/>
      <c r="IH167">
        <v>158</v>
      </c>
      <c r="II167">
        <v>150</v>
      </c>
      <c r="IJ167" s="43">
        <v>8</v>
      </c>
      <c r="IK167" s="49"/>
      <c r="IL167">
        <v>108</v>
      </c>
      <c r="IM167" s="48">
        <v>100</v>
      </c>
      <c r="IN167" s="48">
        <v>74</v>
      </c>
      <c r="IO167" s="48">
        <v>70</v>
      </c>
      <c r="IP167" s="43">
        <v>12</v>
      </c>
      <c r="IQ167" s="49"/>
      <c r="IV167" s="43">
        <v>0</v>
      </c>
      <c r="IW167" s="46"/>
      <c r="JC167" s="46"/>
      <c r="JG167" s="49"/>
      <c r="JM167" s="46"/>
      <c r="JN167" s="45"/>
      <c r="JQ167" s="49"/>
      <c r="JW167" s="49"/>
      <c r="KC167" s="49"/>
      <c r="KI167" s="49"/>
      <c r="KK167" s="44"/>
      <c r="KO167" s="49"/>
      <c r="KP167" s="50"/>
      <c r="KW167" s="49"/>
      <c r="LC167" s="49"/>
      <c r="LI167" s="49"/>
      <c r="LJ167" s="50"/>
      <c r="LM167" s="49"/>
      <c r="LN167" s="50"/>
      <c r="LT167" s="49"/>
      <c r="LU167" s="50"/>
      <c r="LZ167" s="49"/>
      <c r="MA167" s="50"/>
      <c r="MD167" s="49"/>
      <c r="ME167" s="50"/>
      <c r="MJ167" s="49"/>
      <c r="MK167" s="50"/>
      <c r="MN167" s="49"/>
      <c r="MO167" s="50"/>
      <c r="MT167" s="49"/>
      <c r="MV167" s="46"/>
      <c r="MZ167" s="49"/>
      <c r="NA167" s="50"/>
      <c r="NF167" s="49"/>
      <c r="NG167" s="50"/>
      <c r="NL167" s="49"/>
      <c r="NM167" s="50"/>
      <c r="NR167" s="49"/>
      <c r="NS167" s="50"/>
      <c r="NX167" s="49"/>
      <c r="NY167" s="50"/>
      <c r="OB167" s="48"/>
      <c r="OD167" s="49"/>
      <c r="OE167" s="50"/>
      <c r="OH167" s="49"/>
      <c r="OI167" s="50"/>
      <c r="OL167" s="49"/>
      <c r="OM167" s="50"/>
      <c r="OR167" s="49"/>
      <c r="OS167" s="50"/>
      <c r="OV167" s="49"/>
      <c r="OW167" s="50"/>
      <c r="PB167" s="49"/>
      <c r="PC167" s="50"/>
      <c r="PF167" s="49"/>
      <c r="PG167" s="50"/>
      <c r="PL167" s="49"/>
      <c r="PM167" s="47"/>
      <c r="PN167" s="48"/>
      <c r="PP167" s="48"/>
      <c r="PR167" s="49"/>
      <c r="PS167" s="47"/>
      <c r="PX167" s="46"/>
      <c r="PY167" s="47"/>
      <c r="QB167" s="46"/>
      <c r="QC167" s="47"/>
      <c r="QH167" s="46"/>
      <c r="QI167" s="47"/>
      <c r="QN167" s="46"/>
      <c r="QO167" s="47"/>
      <c r="QT167" s="46"/>
      <c r="QU167" s="47"/>
      <c r="QX167" s="46"/>
      <c r="QY167" s="47"/>
      <c r="RD167" s="46"/>
    </row>
    <row r="168" spans="1:472" x14ac:dyDescent="0.25">
      <c r="A168" s="43" t="s">
        <v>456</v>
      </c>
      <c r="B168" s="44">
        <v>0.3</v>
      </c>
      <c r="E168">
        <v>80</v>
      </c>
      <c r="I168" s="45">
        <v>138</v>
      </c>
      <c r="J168" s="52">
        <v>140</v>
      </c>
      <c r="K168" s="52">
        <v>186</v>
      </c>
      <c r="L168" s="52">
        <v>185</v>
      </c>
      <c r="M168" s="51">
        <f t="shared" si="15"/>
        <v>-1</v>
      </c>
      <c r="N168" s="46"/>
      <c r="O168" s="45">
        <v>60</v>
      </c>
      <c r="P168" s="52">
        <v>60</v>
      </c>
      <c r="Q168" s="52">
        <v>78</v>
      </c>
      <c r="R168" s="52">
        <v>76</v>
      </c>
      <c r="S168" s="51">
        <f t="shared" si="16"/>
        <v>2</v>
      </c>
      <c r="T168" s="46"/>
      <c r="U168" s="45">
        <v>30</v>
      </c>
      <c r="V168" s="52">
        <v>28</v>
      </c>
      <c r="W168" s="51"/>
      <c r="X168" s="51"/>
      <c r="Y168" s="51">
        <f t="shared" si="17"/>
        <v>2</v>
      </c>
      <c r="Z168" s="46"/>
      <c r="AA168" s="52">
        <v>96</v>
      </c>
      <c r="AB168">
        <v>95</v>
      </c>
      <c r="AE168" s="43">
        <v>1</v>
      </c>
      <c r="AF168" s="46"/>
      <c r="AG168" s="45">
        <v>120</v>
      </c>
      <c r="AH168">
        <v>120</v>
      </c>
      <c r="AI168">
        <v>174</v>
      </c>
      <c r="AJ168">
        <v>175</v>
      </c>
      <c r="AK168" s="43">
        <v>-1</v>
      </c>
      <c r="AL168" s="46"/>
      <c r="AQ168" s="43">
        <v>0</v>
      </c>
      <c r="AR168" s="46"/>
      <c r="AS168">
        <v>12</v>
      </c>
      <c r="AT168">
        <v>10</v>
      </c>
      <c r="AW168" s="43">
        <v>2</v>
      </c>
      <c r="AX168" s="46"/>
      <c r="AY168" s="45">
        <v>102</v>
      </c>
      <c r="AZ168">
        <v>100</v>
      </c>
      <c r="BA168">
        <v>228</v>
      </c>
      <c r="BB168">
        <v>229</v>
      </c>
      <c r="BC168" s="43">
        <v>1</v>
      </c>
      <c r="BD168" s="46"/>
      <c r="BE168" s="45">
        <v>30</v>
      </c>
      <c r="BF168">
        <v>32</v>
      </c>
      <c r="BG168">
        <v>72</v>
      </c>
      <c r="BH168">
        <v>70</v>
      </c>
      <c r="BI168" s="43">
        <v>0</v>
      </c>
      <c r="BJ168" s="46"/>
      <c r="BN168">
        <v>108</v>
      </c>
      <c r="BO168">
        <v>108</v>
      </c>
      <c r="BP168" s="43">
        <v>0</v>
      </c>
      <c r="BQ168" s="46"/>
      <c r="BT168" s="43">
        <v>0</v>
      </c>
      <c r="BU168" s="46"/>
      <c r="BV168" s="45">
        <v>156</v>
      </c>
      <c r="BW168">
        <v>158</v>
      </c>
      <c r="BZ168" s="43">
        <v>-2</v>
      </c>
      <c r="CA168" s="46"/>
      <c r="CD168">
        <v>24</v>
      </c>
      <c r="CE168">
        <v>24</v>
      </c>
      <c r="CF168" s="43">
        <v>0</v>
      </c>
      <c r="CG168" s="46"/>
      <c r="CJ168">
        <v>282</v>
      </c>
      <c r="CK168">
        <v>285</v>
      </c>
      <c r="CL168" s="43">
        <v>-3</v>
      </c>
      <c r="CM168" s="46"/>
      <c r="CN168" s="47"/>
      <c r="CP168">
        <v>222</v>
      </c>
      <c r="CQ168">
        <v>224</v>
      </c>
      <c r="CR168" s="43">
        <v>-2</v>
      </c>
      <c r="CS168" s="46"/>
      <c r="CX168" s="43">
        <v>0</v>
      </c>
      <c r="CY168" s="46"/>
      <c r="CZ168" s="45">
        <v>102</v>
      </c>
      <c r="DA168">
        <v>100</v>
      </c>
      <c r="DB168">
        <v>168</v>
      </c>
      <c r="DC168">
        <v>166</v>
      </c>
      <c r="DD168" s="43">
        <v>4</v>
      </c>
      <c r="DE168" s="46"/>
      <c r="DF168" s="47"/>
      <c r="DJ168">
        <v>210</v>
      </c>
      <c r="DK168">
        <v>210</v>
      </c>
      <c r="DL168" s="43">
        <v>0</v>
      </c>
      <c r="DM168" s="46"/>
      <c r="DN168" s="45">
        <v>78</v>
      </c>
      <c r="DO168">
        <v>80</v>
      </c>
      <c r="DP168">
        <v>102</v>
      </c>
      <c r="DQ168">
        <v>100</v>
      </c>
      <c r="DR168" s="43">
        <v>0</v>
      </c>
      <c r="DS168" s="46"/>
      <c r="DV168">
        <v>72</v>
      </c>
      <c r="DW168">
        <v>70</v>
      </c>
      <c r="DZ168" s="43">
        <v>2</v>
      </c>
      <c r="EA168" s="46"/>
      <c r="EB168" s="47"/>
      <c r="ED168">
        <v>192</v>
      </c>
      <c r="EE168">
        <v>190</v>
      </c>
      <c r="EF168" s="43">
        <v>2</v>
      </c>
      <c r="EG168" s="46"/>
      <c r="EH168" s="45">
        <v>102</v>
      </c>
      <c r="EI168">
        <v>100</v>
      </c>
      <c r="EJ168">
        <v>222</v>
      </c>
      <c r="EK168">
        <v>220</v>
      </c>
      <c r="EL168" s="43">
        <v>4</v>
      </c>
      <c r="EM168" s="46"/>
      <c r="EN168" s="47"/>
      <c r="ER168" s="43">
        <v>0</v>
      </c>
      <c r="ES168" s="46"/>
      <c r="EZ168" s="43">
        <v>0</v>
      </c>
      <c r="FA168" s="46"/>
      <c r="FB168">
        <v>402</v>
      </c>
      <c r="FC168">
        <v>400</v>
      </c>
      <c r="FD168">
        <v>300</v>
      </c>
      <c r="FF168">
        <v>300</v>
      </c>
      <c r="FG168" s="43">
        <v>2</v>
      </c>
      <c r="FH168" s="46"/>
      <c r="FI168" s="47"/>
      <c r="FL168" s="43">
        <v>0</v>
      </c>
      <c r="FM168" s="46"/>
      <c r="FN168" s="45">
        <v>600</v>
      </c>
      <c r="FP168">
        <v>600</v>
      </c>
      <c r="FQ168" s="43">
        <v>0</v>
      </c>
      <c r="FR168" s="46"/>
      <c r="FS168">
        <v>288</v>
      </c>
      <c r="FV168">
        <v>290</v>
      </c>
      <c r="FW168" s="43">
        <v>-2</v>
      </c>
      <c r="FX168" s="46"/>
      <c r="FY168" s="47"/>
      <c r="GD168" s="43">
        <v>0</v>
      </c>
      <c r="GE168" s="46"/>
      <c r="GH168">
        <v>180</v>
      </c>
      <c r="GI168">
        <v>180</v>
      </c>
      <c r="GJ168" s="43">
        <v>0</v>
      </c>
      <c r="GK168" s="46"/>
      <c r="GL168" s="47"/>
      <c r="GN168">
        <v>192</v>
      </c>
      <c r="GO168">
        <v>190</v>
      </c>
      <c r="GP168" s="43">
        <v>2</v>
      </c>
      <c r="GQ168" s="46"/>
      <c r="GT168">
        <v>30</v>
      </c>
      <c r="GU168">
        <v>30</v>
      </c>
      <c r="GV168" s="43">
        <v>0</v>
      </c>
      <c r="GW168" s="46"/>
      <c r="GX168" s="45">
        <v>72</v>
      </c>
      <c r="GY168" s="48">
        <v>75</v>
      </c>
      <c r="GZ168" s="43">
        <v>-3</v>
      </c>
      <c r="HA168" s="46"/>
      <c r="HB168" s="45">
        <v>102</v>
      </c>
      <c r="HC168">
        <v>100</v>
      </c>
      <c r="HD168">
        <v>132</v>
      </c>
      <c r="HE168">
        <v>130</v>
      </c>
      <c r="HF168" s="43">
        <v>4</v>
      </c>
      <c r="HG168" s="46"/>
      <c r="HH168" s="45">
        <v>120</v>
      </c>
      <c r="HI168" s="43">
        <v>120</v>
      </c>
      <c r="HJ168" s="43">
        <v>0</v>
      </c>
      <c r="HK168" s="46"/>
      <c r="HL168" s="47"/>
      <c r="HN168">
        <v>132</v>
      </c>
      <c r="HO168">
        <v>130</v>
      </c>
      <c r="HP168" s="43">
        <v>2</v>
      </c>
      <c r="HQ168" s="46"/>
      <c r="HV168">
        <v>132</v>
      </c>
      <c r="HW168">
        <v>130</v>
      </c>
      <c r="HX168" s="43">
        <v>2</v>
      </c>
      <c r="HY168" s="46"/>
      <c r="HZ168" s="47"/>
      <c r="IE168" s="46"/>
      <c r="IK168" s="49"/>
      <c r="IQ168" s="49"/>
      <c r="IW168" s="46"/>
      <c r="JC168" s="46"/>
      <c r="JG168" s="49"/>
      <c r="JM168" s="46"/>
      <c r="JN168" s="45"/>
      <c r="JQ168" s="49"/>
      <c r="JW168" s="49"/>
      <c r="KC168" s="49"/>
      <c r="KI168" s="49"/>
      <c r="KK168" s="44"/>
      <c r="KO168" s="49"/>
      <c r="KP168" s="50"/>
      <c r="KW168" s="49"/>
      <c r="LC168" s="49"/>
      <c r="LI168" s="49"/>
      <c r="LJ168" s="50"/>
      <c r="LM168" s="49"/>
      <c r="LN168" s="50"/>
      <c r="LT168" s="49"/>
      <c r="LU168" s="50"/>
      <c r="LZ168" s="49"/>
      <c r="MA168" s="50"/>
      <c r="MD168" s="49"/>
      <c r="ME168" s="50"/>
      <c r="MJ168" s="49"/>
      <c r="MK168" s="50"/>
      <c r="MN168" s="49"/>
      <c r="MO168" s="50"/>
      <c r="MT168" s="49"/>
      <c r="MV168" s="46"/>
      <c r="MZ168" s="49"/>
      <c r="NA168" s="50"/>
      <c r="NF168" s="49"/>
      <c r="NG168" s="50"/>
      <c r="NL168" s="49"/>
      <c r="NM168" s="50"/>
      <c r="NP168" s="48"/>
      <c r="NR168" s="49"/>
      <c r="NS168" s="50"/>
      <c r="NX168" s="49"/>
      <c r="NY168" s="50"/>
      <c r="OB168" s="48"/>
      <c r="OD168" s="49"/>
      <c r="OE168" s="50"/>
      <c r="OH168" s="49"/>
      <c r="OI168" s="50"/>
      <c r="OL168" s="49"/>
      <c r="OM168" s="50"/>
      <c r="OR168" s="49"/>
      <c r="OS168" s="50"/>
      <c r="OV168" s="49"/>
      <c r="OW168" s="50"/>
      <c r="PB168" s="49"/>
      <c r="PC168" s="50"/>
      <c r="PF168" s="49"/>
      <c r="PG168" s="50"/>
      <c r="PL168" s="49"/>
      <c r="PM168" s="47"/>
      <c r="PN168" s="48"/>
      <c r="PP168" s="48"/>
      <c r="PR168" s="49"/>
      <c r="PS168" s="47"/>
      <c r="PX168" s="46"/>
      <c r="PY168" s="47"/>
      <c r="QB168" s="46"/>
      <c r="QC168" s="47"/>
      <c r="QH168" s="46"/>
      <c r="QI168" s="47"/>
      <c r="QN168" s="46"/>
      <c r="QO168" s="47"/>
      <c r="QT168" s="46"/>
      <c r="QU168" s="47"/>
      <c r="QX168" s="46"/>
      <c r="QY168" s="47"/>
      <c r="RD168" s="46"/>
    </row>
    <row r="169" spans="1:472" x14ac:dyDescent="0.25">
      <c r="A169" s="43" t="s">
        <v>457</v>
      </c>
      <c r="B169" s="44">
        <v>0.14000000000000001</v>
      </c>
      <c r="I169" s="47"/>
      <c r="J169" s="51"/>
      <c r="K169" s="52">
        <v>70</v>
      </c>
      <c r="L169" s="52">
        <v>69</v>
      </c>
      <c r="M169" s="51">
        <f t="shared" si="15"/>
        <v>1</v>
      </c>
      <c r="N169" s="46"/>
      <c r="O169" s="47"/>
      <c r="P169" s="51"/>
      <c r="Q169" s="51"/>
      <c r="R169" s="51"/>
      <c r="S169" s="51">
        <f t="shared" si="16"/>
        <v>0</v>
      </c>
      <c r="T169" s="46"/>
      <c r="U169" s="45">
        <v>40</v>
      </c>
      <c r="V169" s="52">
        <v>40</v>
      </c>
      <c r="W169" s="52">
        <v>50</v>
      </c>
      <c r="X169" s="52">
        <v>53</v>
      </c>
      <c r="Y169" s="51">
        <f t="shared" si="17"/>
        <v>-3</v>
      </c>
      <c r="Z169" s="46"/>
      <c r="AA169" s="52">
        <v>10</v>
      </c>
      <c r="AB169">
        <v>14</v>
      </c>
      <c r="AE169" s="43">
        <v>-4</v>
      </c>
      <c r="AF169" s="46"/>
      <c r="AG169" s="45">
        <v>20</v>
      </c>
      <c r="AH169">
        <v>20</v>
      </c>
      <c r="AI169">
        <v>40</v>
      </c>
      <c r="AJ169">
        <v>39</v>
      </c>
      <c r="AK169" s="43">
        <v>1</v>
      </c>
      <c r="AL169" s="46"/>
      <c r="AQ169" s="43">
        <v>0</v>
      </c>
      <c r="AR169" s="46"/>
      <c r="AW169" s="43">
        <v>0</v>
      </c>
      <c r="AX169" s="46"/>
      <c r="AY169" s="47"/>
      <c r="BA169">
        <v>70</v>
      </c>
      <c r="BB169">
        <v>68</v>
      </c>
      <c r="BC169" s="43">
        <v>2</v>
      </c>
      <c r="BD169" s="46"/>
      <c r="BE169" s="47"/>
      <c r="BI169" s="43">
        <v>0</v>
      </c>
      <c r="BJ169" s="46"/>
      <c r="BN169">
        <v>20</v>
      </c>
      <c r="BO169">
        <v>26</v>
      </c>
      <c r="BP169" s="43">
        <v>-6</v>
      </c>
      <c r="BQ169" s="46"/>
      <c r="BT169" s="43">
        <v>0</v>
      </c>
      <c r="BU169" s="46"/>
      <c r="BV169" s="47"/>
      <c r="BX169">
        <v>40</v>
      </c>
      <c r="BY169">
        <v>38</v>
      </c>
      <c r="BZ169" s="43">
        <v>2</v>
      </c>
      <c r="CA169" s="46"/>
      <c r="CF169" s="43">
        <v>0</v>
      </c>
      <c r="CG169" s="46"/>
      <c r="CL169" s="43">
        <v>0</v>
      </c>
      <c r="CM169" s="46"/>
      <c r="CN169" s="47"/>
      <c r="CP169" s="43">
        <v>50</v>
      </c>
      <c r="CQ169">
        <v>50</v>
      </c>
      <c r="CR169" s="43">
        <v>0</v>
      </c>
      <c r="CS169" s="46"/>
      <c r="CX169" s="43">
        <v>0</v>
      </c>
      <c r="CY169" s="46"/>
      <c r="CZ169" s="47"/>
      <c r="DD169" s="43">
        <v>0</v>
      </c>
      <c r="DE169" s="46"/>
      <c r="DF169" s="47"/>
      <c r="DL169" s="43">
        <v>0</v>
      </c>
      <c r="DM169" s="46"/>
      <c r="DN169" s="47"/>
      <c r="DR169" s="43">
        <v>0</v>
      </c>
      <c r="DS169" s="46"/>
      <c r="EA169" s="46"/>
      <c r="EB169" s="47"/>
      <c r="EG169" s="46"/>
      <c r="EH169" s="45"/>
      <c r="EM169" s="46"/>
      <c r="EN169" s="47"/>
      <c r="ES169" s="46"/>
      <c r="FA169" s="46"/>
      <c r="FH169" s="46"/>
      <c r="FI169" s="47"/>
      <c r="FM169" s="46"/>
      <c r="FN169" s="45"/>
      <c r="FR169" s="46"/>
      <c r="FX169" s="46"/>
      <c r="FY169" s="47"/>
      <c r="GE169" s="46"/>
      <c r="GK169" s="46"/>
      <c r="GL169" s="47"/>
      <c r="GQ169" s="46"/>
      <c r="GW169" s="46"/>
      <c r="GX169" s="45"/>
      <c r="HA169" s="46"/>
      <c r="HB169" s="45"/>
      <c r="HG169" s="46"/>
      <c r="HH169" s="45"/>
      <c r="HK169" s="46"/>
      <c r="HL169" s="47"/>
      <c r="HQ169" s="46"/>
      <c r="HY169" s="46"/>
      <c r="HZ169" s="47"/>
      <c r="IE169" s="46"/>
      <c r="IK169" s="49"/>
      <c r="IQ169" s="49"/>
      <c r="IW169" s="46"/>
      <c r="JC169" s="46"/>
      <c r="JG169" s="49"/>
      <c r="JM169" s="46"/>
      <c r="JN169" s="45"/>
      <c r="JQ169" s="49"/>
      <c r="JW169" s="49"/>
      <c r="KB169" s="48"/>
      <c r="KC169" s="49"/>
      <c r="KD169" s="48"/>
      <c r="KF169" s="48"/>
      <c r="KG169" s="48"/>
      <c r="KH169" s="48"/>
      <c r="KI169" s="49"/>
      <c r="KJ169" s="48"/>
      <c r="KK169" s="44"/>
      <c r="KO169" s="49"/>
      <c r="KP169" s="50"/>
      <c r="KW169" s="49"/>
      <c r="LC169" s="49"/>
      <c r="LI169" s="49"/>
      <c r="LJ169" s="50"/>
      <c r="LM169" s="49"/>
      <c r="LN169" s="50"/>
      <c r="LT169" s="49"/>
      <c r="LU169" s="50"/>
      <c r="LZ169" s="49"/>
      <c r="MA169" s="50"/>
      <c r="MD169" s="49"/>
      <c r="ME169" s="50"/>
      <c r="MJ169" s="49"/>
      <c r="MK169" s="50"/>
      <c r="MN169" s="49"/>
      <c r="MO169" s="50"/>
      <c r="MT169" s="49"/>
      <c r="MV169" s="46"/>
      <c r="MZ169" s="49"/>
      <c r="NA169" s="50"/>
      <c r="NF169" s="49"/>
      <c r="NG169" s="50"/>
      <c r="NL169" s="49"/>
      <c r="NM169" s="50"/>
      <c r="NP169" s="48"/>
      <c r="NR169" s="49"/>
      <c r="NS169" s="50"/>
      <c r="NX169" s="49"/>
      <c r="NY169" s="50"/>
      <c r="OB169" s="48"/>
      <c r="OD169" s="49"/>
      <c r="OE169" s="50"/>
      <c r="OH169" s="49"/>
      <c r="OI169" s="50"/>
      <c r="OL169" s="49"/>
      <c r="OM169" s="50"/>
      <c r="OR169" s="49"/>
      <c r="OS169" s="50"/>
      <c r="OV169" s="49"/>
      <c r="OW169" s="50"/>
      <c r="PB169" s="49"/>
      <c r="PC169" s="50"/>
      <c r="PF169" s="49"/>
      <c r="PG169" s="50"/>
      <c r="PL169" s="49"/>
      <c r="PM169" s="47"/>
      <c r="PN169" s="48"/>
      <c r="PP169" s="48"/>
      <c r="PR169" s="49"/>
      <c r="PS169" s="47"/>
      <c r="PX169" s="46"/>
      <c r="PY169" s="47"/>
      <c r="QB169" s="46"/>
      <c r="QC169" s="47"/>
      <c r="QH169" s="46"/>
      <c r="QI169" s="47"/>
      <c r="QN169" s="46"/>
      <c r="QO169" s="47"/>
      <c r="QT169" s="46"/>
      <c r="QU169" s="47"/>
      <c r="QX169" s="46"/>
      <c r="QY169" s="47"/>
      <c r="RD169" s="46"/>
    </row>
    <row r="170" spans="1:472" x14ac:dyDescent="0.25">
      <c r="A170" s="43" t="s">
        <v>458</v>
      </c>
      <c r="B170" s="44">
        <v>0.18</v>
      </c>
      <c r="E170">
        <v>150</v>
      </c>
      <c r="F170">
        <v>86</v>
      </c>
      <c r="I170" s="45">
        <v>130</v>
      </c>
      <c r="J170" s="52">
        <v>130</v>
      </c>
      <c r="K170" s="52">
        <v>160</v>
      </c>
      <c r="L170" s="52">
        <v>159</v>
      </c>
      <c r="M170" s="51">
        <f t="shared" si="15"/>
        <v>1</v>
      </c>
      <c r="N170" s="46"/>
      <c r="O170" s="45">
        <v>120</v>
      </c>
      <c r="P170" s="52">
        <v>120</v>
      </c>
      <c r="Q170" s="52">
        <v>150</v>
      </c>
      <c r="R170" s="52">
        <v>154</v>
      </c>
      <c r="S170" s="51">
        <f t="shared" si="16"/>
        <v>-4</v>
      </c>
      <c r="T170" s="46"/>
      <c r="U170" s="47"/>
      <c r="V170" s="51"/>
      <c r="W170" s="51"/>
      <c r="X170" s="51"/>
      <c r="Y170" s="51">
        <f t="shared" si="17"/>
        <v>0</v>
      </c>
      <c r="Z170" s="46"/>
      <c r="AA170" s="52">
        <v>150</v>
      </c>
      <c r="AB170">
        <v>150</v>
      </c>
      <c r="AC170">
        <v>100</v>
      </c>
      <c r="AD170">
        <v>98</v>
      </c>
      <c r="AE170" s="43">
        <v>2</v>
      </c>
      <c r="AF170" s="46"/>
      <c r="AG170" s="47"/>
      <c r="AK170" s="43">
        <v>0</v>
      </c>
      <c r="AL170" s="46"/>
      <c r="AM170">
        <v>340</v>
      </c>
      <c r="AN170">
        <v>340</v>
      </c>
      <c r="AO170">
        <v>390</v>
      </c>
      <c r="AP170">
        <v>392</v>
      </c>
      <c r="AQ170" s="43">
        <v>-2</v>
      </c>
      <c r="AR170" s="46"/>
      <c r="AS170">
        <v>70</v>
      </c>
      <c r="AT170">
        <v>70</v>
      </c>
      <c r="AU170">
        <v>80</v>
      </c>
      <c r="AV170">
        <v>82</v>
      </c>
      <c r="AW170" s="43">
        <v>-2</v>
      </c>
      <c r="AX170" s="46"/>
      <c r="AY170" s="45">
        <v>80</v>
      </c>
      <c r="AZ170">
        <v>80</v>
      </c>
      <c r="BA170">
        <v>110</v>
      </c>
      <c r="BB170">
        <v>115</v>
      </c>
      <c r="BC170" s="43">
        <v>-5</v>
      </c>
      <c r="BD170" s="46"/>
      <c r="BE170" s="45">
        <v>240</v>
      </c>
      <c r="BF170">
        <v>240</v>
      </c>
      <c r="BG170">
        <v>230</v>
      </c>
      <c r="BH170">
        <v>230</v>
      </c>
      <c r="BI170" s="43">
        <v>0</v>
      </c>
      <c r="BJ170" s="46"/>
      <c r="BK170">
        <v>100</v>
      </c>
      <c r="BL170">
        <v>100</v>
      </c>
      <c r="BN170">
        <v>90</v>
      </c>
      <c r="BO170">
        <v>88</v>
      </c>
      <c r="BP170" s="43">
        <v>2</v>
      </c>
      <c r="BQ170" s="46"/>
      <c r="BT170" s="43">
        <v>0</v>
      </c>
      <c r="BU170" s="46"/>
      <c r="BV170" s="45">
        <v>70</v>
      </c>
      <c r="BW170">
        <v>72</v>
      </c>
      <c r="BX170">
        <v>80</v>
      </c>
      <c r="BY170">
        <v>86</v>
      </c>
      <c r="BZ170" s="43">
        <v>-8</v>
      </c>
      <c r="CA170" s="46"/>
      <c r="CD170">
        <v>40</v>
      </c>
      <c r="CE170">
        <v>42</v>
      </c>
      <c r="CF170" s="43">
        <v>-2</v>
      </c>
      <c r="CG170" s="46"/>
      <c r="CH170">
        <v>180</v>
      </c>
      <c r="CI170">
        <v>180</v>
      </c>
      <c r="CJ170">
        <v>130</v>
      </c>
      <c r="CK170">
        <v>134</v>
      </c>
      <c r="CL170" s="43">
        <v>-4</v>
      </c>
      <c r="CM170" s="46"/>
      <c r="CN170" s="47"/>
      <c r="CP170">
        <v>620</v>
      </c>
      <c r="CQ170">
        <v>624</v>
      </c>
      <c r="CR170" s="43">
        <v>-4</v>
      </c>
      <c r="CS170" s="46"/>
      <c r="CX170" s="43">
        <v>0</v>
      </c>
      <c r="CY170" s="46"/>
      <c r="CZ170" s="47"/>
      <c r="DD170" s="43">
        <v>0</v>
      </c>
      <c r="DE170" s="46"/>
      <c r="DF170" s="47"/>
      <c r="DH170">
        <v>300</v>
      </c>
      <c r="DI170">
        <v>300</v>
      </c>
      <c r="DJ170">
        <v>250</v>
      </c>
      <c r="DK170">
        <v>249</v>
      </c>
      <c r="DL170" s="43">
        <v>1</v>
      </c>
      <c r="DM170" s="46"/>
      <c r="DN170" s="45">
        <v>100</v>
      </c>
      <c r="DO170">
        <v>100</v>
      </c>
      <c r="DP170">
        <v>160</v>
      </c>
      <c r="DQ170">
        <v>160</v>
      </c>
      <c r="DR170" s="43">
        <v>0</v>
      </c>
      <c r="DS170" s="46"/>
      <c r="DT170">
        <v>100</v>
      </c>
      <c r="DU170">
        <v>100</v>
      </c>
      <c r="DV170">
        <v>220</v>
      </c>
      <c r="DW170">
        <v>220</v>
      </c>
      <c r="DX170">
        <v>100</v>
      </c>
      <c r="DY170">
        <v>100</v>
      </c>
      <c r="DZ170" s="43">
        <v>0</v>
      </c>
      <c r="EA170" s="46"/>
      <c r="EB170" s="47"/>
      <c r="EF170" s="43">
        <v>0</v>
      </c>
      <c r="EG170" s="46"/>
      <c r="EH170" s="45">
        <v>400</v>
      </c>
      <c r="EI170">
        <v>400</v>
      </c>
      <c r="EJ170">
        <v>410</v>
      </c>
      <c r="EK170">
        <v>410</v>
      </c>
      <c r="EL170" s="43">
        <v>0</v>
      </c>
      <c r="EM170" s="46"/>
      <c r="EN170" s="45">
        <v>230</v>
      </c>
      <c r="EO170">
        <v>230</v>
      </c>
      <c r="EP170">
        <v>200</v>
      </c>
      <c r="EQ170">
        <v>200</v>
      </c>
      <c r="ER170" s="43">
        <v>0</v>
      </c>
      <c r="ES170" s="46"/>
      <c r="EX170">
        <v>500</v>
      </c>
      <c r="EY170">
        <v>500</v>
      </c>
      <c r="EZ170" s="43">
        <v>0</v>
      </c>
      <c r="FA170" s="46"/>
      <c r="FD170">
        <v>300</v>
      </c>
      <c r="FF170">
        <v>300</v>
      </c>
      <c r="FG170" s="43">
        <v>0</v>
      </c>
      <c r="FH170" s="46"/>
      <c r="FI170" s="47"/>
      <c r="FL170" s="43">
        <v>0</v>
      </c>
      <c r="FM170" s="46"/>
      <c r="FN170" s="45">
        <v>110</v>
      </c>
      <c r="FP170">
        <v>111</v>
      </c>
      <c r="FQ170" s="43">
        <v>-1</v>
      </c>
      <c r="FR170" s="46"/>
      <c r="FS170">
        <v>480</v>
      </c>
      <c r="FV170">
        <v>490</v>
      </c>
      <c r="FW170" s="43">
        <v>-10</v>
      </c>
      <c r="FX170" s="46"/>
      <c r="FY170" s="47"/>
      <c r="GD170" s="43">
        <v>0</v>
      </c>
      <c r="GE170" s="46"/>
      <c r="GF170">
        <v>160</v>
      </c>
      <c r="GG170">
        <v>160</v>
      </c>
      <c r="GH170">
        <v>190</v>
      </c>
      <c r="GI170">
        <v>190</v>
      </c>
      <c r="GJ170" s="43">
        <v>0</v>
      </c>
      <c r="GK170" s="46"/>
      <c r="GL170" s="47"/>
      <c r="GN170">
        <v>480</v>
      </c>
      <c r="GO170">
        <v>480</v>
      </c>
      <c r="GP170" s="43">
        <v>0</v>
      </c>
      <c r="GQ170" s="46"/>
      <c r="GT170">
        <v>330</v>
      </c>
      <c r="GU170">
        <v>330</v>
      </c>
      <c r="GV170" s="43">
        <v>0</v>
      </c>
      <c r="GW170" s="46"/>
      <c r="GX170" s="45">
        <v>160</v>
      </c>
      <c r="GY170" s="48">
        <v>160</v>
      </c>
      <c r="GZ170" s="43">
        <v>0</v>
      </c>
      <c r="HA170" s="46"/>
      <c r="HB170" s="47"/>
      <c r="HD170">
        <v>120</v>
      </c>
      <c r="HE170">
        <v>120</v>
      </c>
      <c r="HF170" s="43">
        <v>0</v>
      </c>
      <c r="HG170" s="46"/>
      <c r="HH170" s="47"/>
      <c r="HJ170" s="43">
        <v>0</v>
      </c>
      <c r="HK170" s="46"/>
      <c r="HL170" s="47"/>
      <c r="HP170" s="43">
        <v>0</v>
      </c>
      <c r="HQ170" s="46"/>
      <c r="HX170" s="43">
        <v>0</v>
      </c>
      <c r="HY170" s="46"/>
      <c r="HZ170" s="47"/>
      <c r="IB170">
        <v>600</v>
      </c>
      <c r="IC170">
        <v>600</v>
      </c>
      <c r="ID170" s="43">
        <v>0</v>
      </c>
      <c r="IE170" s="46"/>
      <c r="IH170">
        <v>3000</v>
      </c>
      <c r="II170">
        <v>1300</v>
      </c>
      <c r="IJ170" s="43">
        <v>1700</v>
      </c>
      <c r="IK170" s="49"/>
      <c r="IP170" s="43">
        <v>0</v>
      </c>
      <c r="IQ170" s="49"/>
      <c r="IR170">
        <v>350</v>
      </c>
      <c r="IS170" s="43">
        <v>350</v>
      </c>
      <c r="IT170">
        <v>100</v>
      </c>
      <c r="IU170" s="43">
        <v>100</v>
      </c>
      <c r="IV170" s="43">
        <v>0</v>
      </c>
      <c r="IW170" s="49"/>
      <c r="IX170">
        <v>220</v>
      </c>
      <c r="IY170" s="48">
        <v>220</v>
      </c>
      <c r="IZ170">
        <v>200</v>
      </c>
      <c r="JA170">
        <v>200</v>
      </c>
      <c r="JB170" s="43">
        <v>0</v>
      </c>
      <c r="JC170" s="46"/>
      <c r="JG170" s="49"/>
      <c r="JM170" s="46"/>
      <c r="JN170" s="45"/>
      <c r="JQ170" s="49"/>
      <c r="JW170" s="49"/>
      <c r="KC170" s="49"/>
      <c r="KI170" s="49"/>
      <c r="KK170" s="44"/>
      <c r="KO170" s="49"/>
      <c r="KP170" s="50"/>
      <c r="KW170" s="49"/>
      <c r="LC170" s="49"/>
      <c r="LI170" s="49"/>
      <c r="LJ170" s="50"/>
      <c r="LM170" s="49"/>
      <c r="LN170" s="50"/>
      <c r="LT170" s="49"/>
      <c r="LU170" s="50"/>
      <c r="LZ170" s="49"/>
      <c r="MA170" s="50"/>
      <c r="MD170" s="49"/>
      <c r="ME170" s="50"/>
      <c r="MJ170" s="49"/>
      <c r="MK170" s="50"/>
      <c r="MN170" s="49"/>
      <c r="MO170" s="50"/>
      <c r="MT170" s="49"/>
      <c r="MV170" s="46"/>
      <c r="MZ170" s="49"/>
      <c r="NA170" s="50"/>
      <c r="NF170" s="49"/>
      <c r="NG170" s="50"/>
      <c r="NL170" s="49"/>
      <c r="NM170" s="50"/>
      <c r="NR170" s="49"/>
      <c r="NS170" s="50"/>
      <c r="NX170" s="49"/>
      <c r="NY170" s="50"/>
      <c r="OD170" s="49"/>
      <c r="OE170" s="50"/>
      <c r="OH170" s="49"/>
      <c r="OI170" s="50"/>
      <c r="OK170" s="48"/>
      <c r="OL170" s="49"/>
      <c r="OM170" s="50"/>
      <c r="OR170" s="49"/>
      <c r="OS170" s="50"/>
      <c r="OV170" s="49"/>
      <c r="OW170" s="50"/>
      <c r="PB170" s="49"/>
      <c r="PC170" s="50"/>
      <c r="PF170" s="49"/>
      <c r="PG170" s="50"/>
      <c r="PL170" s="49"/>
      <c r="PM170" s="47"/>
      <c r="PN170" s="48"/>
      <c r="PP170" s="48"/>
      <c r="PR170" s="49"/>
      <c r="PS170" s="47"/>
      <c r="PX170" s="46"/>
      <c r="PY170" s="47"/>
      <c r="QB170" s="46"/>
      <c r="QC170" s="47"/>
      <c r="QH170" s="46"/>
      <c r="QI170" s="47"/>
      <c r="QN170" s="46"/>
      <c r="QO170" s="47"/>
      <c r="QT170" s="46"/>
      <c r="QU170" s="47"/>
      <c r="QX170" s="46"/>
      <c r="QY170" s="47"/>
      <c r="RD170" s="46"/>
    </row>
    <row r="171" spans="1:472" x14ac:dyDescent="0.25">
      <c r="A171" s="43" t="s">
        <v>459</v>
      </c>
      <c r="B171" s="44">
        <v>1</v>
      </c>
      <c r="I171" s="47"/>
      <c r="J171" s="51"/>
      <c r="K171" s="51"/>
      <c r="L171" s="51"/>
      <c r="M171" s="51">
        <f t="shared" si="15"/>
        <v>0</v>
      </c>
      <c r="N171" s="46"/>
      <c r="O171" s="47"/>
      <c r="P171" s="51"/>
      <c r="Q171" s="51"/>
      <c r="R171" s="51"/>
      <c r="S171" s="51">
        <f t="shared" si="16"/>
        <v>0</v>
      </c>
      <c r="T171" s="46"/>
      <c r="U171" s="47"/>
      <c r="V171" s="51"/>
      <c r="W171" s="51"/>
      <c r="X171" s="51"/>
      <c r="Y171" s="51">
        <f t="shared" si="17"/>
        <v>0</v>
      </c>
      <c r="Z171" s="46"/>
      <c r="AA171" s="51"/>
      <c r="AE171" s="43">
        <v>0</v>
      </c>
      <c r="AF171" s="46"/>
      <c r="AG171" s="47"/>
      <c r="AK171" s="43">
        <v>0</v>
      </c>
      <c r="AL171" s="46"/>
      <c r="AQ171" s="43">
        <v>0</v>
      </c>
      <c r="AR171" s="46"/>
      <c r="AW171" s="43">
        <v>0</v>
      </c>
      <c r="AX171" s="46"/>
      <c r="AY171" s="47"/>
      <c r="BC171" s="43">
        <v>0</v>
      </c>
      <c r="BD171" s="46"/>
      <c r="BE171" s="47"/>
      <c r="BI171" s="43">
        <v>0</v>
      </c>
      <c r="BJ171" s="46"/>
      <c r="BP171" s="43">
        <v>0</v>
      </c>
      <c r="BQ171" s="46"/>
      <c r="BT171" s="43">
        <v>0</v>
      </c>
      <c r="BU171" s="46"/>
      <c r="BV171" s="47"/>
      <c r="BZ171" s="43">
        <v>0</v>
      </c>
      <c r="CA171" s="46"/>
      <c r="CF171" s="43">
        <v>0</v>
      </c>
      <c r="CG171" s="46"/>
      <c r="CL171" s="43">
        <v>0</v>
      </c>
      <c r="CM171" s="46"/>
      <c r="CN171" s="47"/>
      <c r="CR171" s="43">
        <v>0</v>
      </c>
      <c r="CS171" s="46"/>
      <c r="CX171" s="43">
        <v>0</v>
      </c>
      <c r="CY171" s="46"/>
      <c r="CZ171" s="47"/>
      <c r="DD171" s="43">
        <v>0</v>
      </c>
      <c r="DE171" s="46"/>
      <c r="DF171" s="47"/>
      <c r="DK171">
        <v>8</v>
      </c>
      <c r="DL171" s="42">
        <v>-8</v>
      </c>
      <c r="DM171" s="46">
        <v>8</v>
      </c>
      <c r="DN171" s="47"/>
      <c r="DP171">
        <v>33</v>
      </c>
      <c r="DQ171">
        <v>30</v>
      </c>
      <c r="DR171" s="43">
        <v>3</v>
      </c>
      <c r="DS171" s="46"/>
      <c r="DZ171" s="43">
        <v>0</v>
      </c>
      <c r="EA171" s="46"/>
      <c r="EB171" s="47"/>
      <c r="EF171" s="43">
        <v>0</v>
      </c>
      <c r="EG171" s="46"/>
      <c r="EH171" s="47"/>
      <c r="EL171" s="43">
        <v>0</v>
      </c>
      <c r="EM171" s="46"/>
      <c r="EN171" s="47"/>
      <c r="ER171" s="43">
        <v>0</v>
      </c>
      <c r="ES171" s="46"/>
      <c r="EX171">
        <v>33</v>
      </c>
      <c r="EY171">
        <v>30</v>
      </c>
      <c r="EZ171" s="43">
        <v>3</v>
      </c>
      <c r="FA171" s="46"/>
      <c r="FF171">
        <v>28</v>
      </c>
      <c r="FG171" s="42">
        <v>-28</v>
      </c>
      <c r="FH171" s="46">
        <v>28</v>
      </c>
      <c r="FI171" s="47"/>
      <c r="FL171" s="43">
        <v>0</v>
      </c>
      <c r="FM171" s="46"/>
      <c r="FN171" s="45">
        <v>81</v>
      </c>
      <c r="FP171">
        <v>79</v>
      </c>
      <c r="FQ171" s="43">
        <v>2</v>
      </c>
      <c r="FR171" s="46"/>
      <c r="FS171">
        <v>56</v>
      </c>
      <c r="FV171">
        <v>56</v>
      </c>
      <c r="FW171" s="43">
        <v>0</v>
      </c>
      <c r="FX171" s="46"/>
      <c r="FY171" s="45">
        <v>20</v>
      </c>
      <c r="GA171">
        <v>20</v>
      </c>
      <c r="GB171">
        <v>20</v>
      </c>
      <c r="GC171">
        <v>20</v>
      </c>
      <c r="GD171" s="43">
        <v>0</v>
      </c>
      <c r="GE171" s="46"/>
      <c r="GH171">
        <v>64</v>
      </c>
      <c r="GI171">
        <v>64</v>
      </c>
      <c r="GJ171" s="43">
        <v>0</v>
      </c>
      <c r="GK171" s="46"/>
      <c r="GL171" s="47"/>
      <c r="GP171" s="43">
        <v>0</v>
      </c>
      <c r="GQ171" s="46"/>
      <c r="GV171" s="43">
        <v>0</v>
      </c>
      <c r="GW171" s="46"/>
      <c r="GX171" s="47"/>
      <c r="GZ171" s="43">
        <v>0</v>
      </c>
      <c r="HA171" s="46"/>
      <c r="HB171" s="47"/>
      <c r="HF171" s="43">
        <v>0</v>
      </c>
      <c r="HG171" s="46"/>
      <c r="HH171" s="47"/>
      <c r="HJ171" s="43">
        <v>0</v>
      </c>
      <c r="HK171" s="46"/>
      <c r="HL171" s="47"/>
      <c r="HN171">
        <v>40</v>
      </c>
      <c r="HO171">
        <v>40</v>
      </c>
      <c r="HP171" s="43">
        <v>0</v>
      </c>
      <c r="HQ171" s="46"/>
      <c r="HV171">
        <v>102</v>
      </c>
      <c r="HW171" s="43">
        <v>100</v>
      </c>
      <c r="HX171" s="43">
        <v>2</v>
      </c>
      <c r="HY171" s="46"/>
      <c r="HZ171" s="45">
        <v>20</v>
      </c>
      <c r="IA171" s="43">
        <v>20</v>
      </c>
      <c r="IB171" s="43">
        <v>33</v>
      </c>
      <c r="IC171" s="43">
        <v>30</v>
      </c>
      <c r="ID171" s="43">
        <v>3</v>
      </c>
      <c r="IE171" s="46"/>
      <c r="II171" s="38">
        <v>50</v>
      </c>
      <c r="IJ171" s="43">
        <v>-2</v>
      </c>
      <c r="IK171" s="49"/>
      <c r="IP171" s="43">
        <v>0</v>
      </c>
      <c r="IQ171" s="49"/>
      <c r="IW171" s="49"/>
      <c r="JC171" s="46"/>
      <c r="JG171" s="49"/>
      <c r="JM171" s="46"/>
      <c r="JN171" s="45"/>
      <c r="JQ171" s="49"/>
      <c r="JW171" s="49"/>
      <c r="KC171" s="49"/>
      <c r="KI171" s="49"/>
      <c r="KK171" s="44"/>
      <c r="KO171" s="49"/>
      <c r="KP171" s="50"/>
      <c r="KW171" s="49"/>
      <c r="LC171" s="49"/>
      <c r="LI171" s="49"/>
      <c r="LJ171" s="50"/>
      <c r="LM171" s="49"/>
      <c r="LN171" s="50"/>
      <c r="LT171" s="49"/>
      <c r="LU171" s="50"/>
      <c r="LZ171" s="49"/>
      <c r="MA171" s="50"/>
      <c r="MD171" s="49"/>
      <c r="ME171" s="50"/>
      <c r="MJ171" s="49"/>
      <c r="MK171" s="50"/>
      <c r="MN171" s="49"/>
      <c r="MO171" s="50"/>
      <c r="MT171" s="49"/>
      <c r="MV171" s="46"/>
      <c r="MZ171" s="49"/>
      <c r="NA171" s="50"/>
      <c r="NF171" s="49"/>
      <c r="NG171" s="50"/>
      <c r="NL171" s="49"/>
      <c r="NM171" s="50"/>
      <c r="NR171" s="49"/>
      <c r="NS171" s="50"/>
      <c r="NX171" s="49"/>
      <c r="NY171" s="50"/>
      <c r="OA171" s="48"/>
      <c r="OD171" s="49"/>
      <c r="OE171" s="50"/>
      <c r="OH171" s="49"/>
      <c r="OI171" s="50"/>
      <c r="OK171" s="48"/>
      <c r="OL171" s="49"/>
      <c r="OM171" s="50"/>
      <c r="OR171" s="49"/>
      <c r="OS171" s="50"/>
      <c r="OV171" s="49"/>
      <c r="OW171" s="50"/>
      <c r="PB171" s="49"/>
      <c r="PC171" s="50"/>
      <c r="PF171" s="49"/>
      <c r="PG171" s="50"/>
      <c r="PL171" s="49"/>
      <c r="PM171" s="47"/>
      <c r="PN171" s="48"/>
      <c r="PP171" s="48"/>
      <c r="PR171" s="49"/>
      <c r="PS171" s="47"/>
      <c r="PX171" s="46"/>
      <c r="PY171" s="47"/>
      <c r="QB171" s="46"/>
      <c r="QC171" s="47"/>
      <c r="QH171" s="46"/>
      <c r="QI171" s="47"/>
      <c r="QN171" s="46"/>
      <c r="QO171" s="47"/>
      <c r="QT171" s="46"/>
      <c r="QU171" s="47"/>
      <c r="QX171" s="46"/>
      <c r="QY171" s="47"/>
      <c r="RD171" s="46"/>
    </row>
    <row r="172" spans="1:472" x14ac:dyDescent="0.25">
      <c r="A172" s="43" t="s">
        <v>460</v>
      </c>
      <c r="B172" s="44">
        <v>0.4</v>
      </c>
      <c r="I172" s="47"/>
      <c r="J172" s="51"/>
      <c r="K172" s="51"/>
      <c r="L172" s="52">
        <v>32</v>
      </c>
      <c r="M172" s="56">
        <f t="shared" si="15"/>
        <v>-32</v>
      </c>
      <c r="N172" s="46">
        <f>-1*M172*B172</f>
        <v>12.8</v>
      </c>
      <c r="O172" s="47"/>
      <c r="P172" s="51"/>
      <c r="Q172" s="51"/>
      <c r="R172" s="52">
        <v>32</v>
      </c>
      <c r="S172" s="56">
        <f t="shared" si="16"/>
        <v>-32</v>
      </c>
      <c r="T172" s="46">
        <f>-1*S172*B172</f>
        <v>12.8</v>
      </c>
      <c r="U172" s="47"/>
      <c r="V172" s="52">
        <v>24</v>
      </c>
      <c r="W172" s="51"/>
      <c r="X172" s="52">
        <v>24</v>
      </c>
      <c r="Y172" s="56">
        <f t="shared" si="17"/>
        <v>-48</v>
      </c>
      <c r="Z172" s="46">
        <f>-1*Y172*B172</f>
        <v>19.200000000000003</v>
      </c>
      <c r="AA172" s="51"/>
      <c r="AD172">
        <v>93</v>
      </c>
      <c r="AE172" s="42">
        <v>-93</v>
      </c>
      <c r="AF172" s="46">
        <v>37.200000000000003</v>
      </c>
      <c r="AG172" s="47"/>
      <c r="AH172">
        <v>30</v>
      </c>
      <c r="AJ172">
        <v>51</v>
      </c>
      <c r="AK172" s="42">
        <v>-81</v>
      </c>
      <c r="AL172" s="46">
        <v>32.4</v>
      </c>
      <c r="AQ172" s="43">
        <v>0</v>
      </c>
      <c r="AR172" s="46"/>
      <c r="AW172" s="43">
        <v>0</v>
      </c>
      <c r="AX172" s="46"/>
      <c r="AY172" s="47"/>
      <c r="BA172">
        <v>112</v>
      </c>
      <c r="BB172">
        <v>115</v>
      </c>
      <c r="BC172" s="43">
        <v>-3</v>
      </c>
      <c r="BD172" s="46"/>
      <c r="BE172" s="47"/>
      <c r="BI172" s="43">
        <v>0</v>
      </c>
      <c r="BJ172" s="46"/>
      <c r="BN172">
        <v>72</v>
      </c>
      <c r="BO172">
        <v>70</v>
      </c>
      <c r="BP172" s="43">
        <v>2</v>
      </c>
      <c r="BQ172" s="46"/>
      <c r="BT172" s="43">
        <v>0</v>
      </c>
      <c r="BU172" s="46"/>
      <c r="BV172" s="47"/>
      <c r="BX172">
        <v>16</v>
      </c>
      <c r="BY172">
        <v>19</v>
      </c>
      <c r="BZ172" s="43">
        <v>-3</v>
      </c>
      <c r="CA172" s="46"/>
      <c r="CF172" s="43">
        <v>0</v>
      </c>
      <c r="CG172" s="46"/>
      <c r="CJ172">
        <v>48</v>
      </c>
      <c r="CK172">
        <v>51</v>
      </c>
      <c r="CL172" s="43">
        <v>-3</v>
      </c>
      <c r="CM172" s="46"/>
      <c r="CN172" s="47"/>
      <c r="CP172">
        <v>32</v>
      </c>
      <c r="CQ172">
        <v>32</v>
      </c>
      <c r="CR172" s="43">
        <v>0</v>
      </c>
      <c r="CS172" s="46"/>
      <c r="CX172" s="43">
        <v>0</v>
      </c>
      <c r="CY172" s="46"/>
      <c r="CZ172" s="47"/>
      <c r="DB172">
        <v>48</v>
      </c>
      <c r="DC172">
        <v>50</v>
      </c>
      <c r="DD172" s="43">
        <v>-2</v>
      </c>
      <c r="DE172" s="46"/>
      <c r="DF172" s="47"/>
      <c r="DJ172">
        <v>56</v>
      </c>
      <c r="DK172">
        <v>56</v>
      </c>
      <c r="DL172" s="43">
        <v>0</v>
      </c>
      <c r="DM172" s="46"/>
      <c r="DN172" s="47"/>
      <c r="DR172" s="43">
        <v>0</v>
      </c>
      <c r="DS172" s="46"/>
      <c r="DV172">
        <v>136</v>
      </c>
      <c r="DW172">
        <v>150</v>
      </c>
      <c r="DZ172" s="42">
        <v>-14</v>
      </c>
      <c r="EA172" s="46">
        <v>5.6000000000000014</v>
      </c>
      <c r="EB172" s="47"/>
      <c r="ED172">
        <v>16</v>
      </c>
      <c r="EE172">
        <v>16</v>
      </c>
      <c r="EF172" s="43">
        <v>0</v>
      </c>
      <c r="EG172" s="46"/>
      <c r="EH172" s="47"/>
      <c r="EJ172">
        <v>64</v>
      </c>
      <c r="EK172">
        <v>64</v>
      </c>
      <c r="EL172" s="43">
        <v>0</v>
      </c>
      <c r="EM172" s="46"/>
      <c r="EN172" s="47"/>
      <c r="ER172" s="43">
        <v>0</v>
      </c>
      <c r="ES172" s="46"/>
      <c r="EV172">
        <v>80</v>
      </c>
      <c r="EW172">
        <v>80</v>
      </c>
      <c r="EX172">
        <v>88</v>
      </c>
      <c r="EY172">
        <v>90</v>
      </c>
      <c r="EZ172" s="43">
        <v>-2</v>
      </c>
      <c r="FA172" s="46"/>
      <c r="FD172">
        <v>56</v>
      </c>
      <c r="FF172">
        <v>60</v>
      </c>
      <c r="FG172" s="43">
        <v>-4</v>
      </c>
      <c r="FH172" s="46"/>
      <c r="FI172" s="47"/>
      <c r="FL172" s="43">
        <v>0</v>
      </c>
      <c r="FM172" s="46"/>
      <c r="FN172" s="45">
        <v>184</v>
      </c>
      <c r="FP172">
        <v>187</v>
      </c>
      <c r="FQ172" s="43">
        <v>-3</v>
      </c>
      <c r="FR172" s="46"/>
      <c r="FW172" s="43">
        <v>0</v>
      </c>
      <c r="FX172" s="46"/>
      <c r="FY172" s="47"/>
      <c r="GD172" s="43">
        <v>0</v>
      </c>
      <c r="GE172" s="46"/>
      <c r="GH172">
        <v>136</v>
      </c>
      <c r="GI172">
        <v>140</v>
      </c>
      <c r="GJ172" s="43">
        <v>-4</v>
      </c>
      <c r="GK172" s="46"/>
      <c r="GL172" s="47"/>
      <c r="GN172">
        <v>48</v>
      </c>
      <c r="GO172">
        <v>48</v>
      </c>
      <c r="GP172" s="43">
        <v>0</v>
      </c>
      <c r="GQ172" s="46"/>
      <c r="GT172">
        <v>40</v>
      </c>
      <c r="GU172">
        <v>40</v>
      </c>
      <c r="GV172" s="43">
        <v>0</v>
      </c>
      <c r="GW172" s="46"/>
      <c r="GX172" s="45">
        <v>48</v>
      </c>
      <c r="GY172" s="48">
        <v>52</v>
      </c>
      <c r="GZ172" s="43">
        <v>-4</v>
      </c>
      <c r="HA172" s="46"/>
      <c r="HB172" s="47"/>
      <c r="HD172">
        <v>88</v>
      </c>
      <c r="HE172">
        <v>93</v>
      </c>
      <c r="HF172" s="43">
        <v>-5</v>
      </c>
      <c r="HG172" s="46"/>
      <c r="HH172" s="47"/>
      <c r="HJ172" s="43">
        <v>0</v>
      </c>
      <c r="HK172" s="46"/>
      <c r="HL172" s="47"/>
      <c r="HN172">
        <v>40</v>
      </c>
      <c r="HO172">
        <v>40</v>
      </c>
      <c r="HP172" s="43">
        <v>0</v>
      </c>
      <c r="HQ172" s="46"/>
      <c r="HV172">
        <v>72</v>
      </c>
      <c r="HW172" s="43">
        <v>70</v>
      </c>
      <c r="HX172" s="43">
        <v>2</v>
      </c>
      <c r="HY172" s="46"/>
      <c r="HZ172" s="47">
        <v>24</v>
      </c>
      <c r="IA172">
        <v>24</v>
      </c>
      <c r="ID172" s="43">
        <v>0</v>
      </c>
      <c r="IE172" s="46"/>
      <c r="II172" s="38">
        <v>30</v>
      </c>
      <c r="IJ172" s="43">
        <v>2</v>
      </c>
      <c r="IK172" s="49"/>
      <c r="IP172" s="43">
        <v>0</v>
      </c>
      <c r="IQ172" s="49"/>
      <c r="IW172" s="49"/>
      <c r="JC172" s="46"/>
      <c r="JG172" s="49"/>
      <c r="JM172" s="46"/>
      <c r="JN172" s="45"/>
      <c r="JQ172" s="49"/>
      <c r="JW172" s="49"/>
      <c r="KC172" s="49"/>
      <c r="KI172" s="49"/>
      <c r="KK172" s="44"/>
      <c r="KO172" s="49"/>
      <c r="KP172" s="50"/>
      <c r="KW172" s="49"/>
      <c r="LC172" s="49"/>
      <c r="LI172" s="49"/>
      <c r="LJ172" s="50"/>
      <c r="LM172" s="49"/>
      <c r="LN172" s="50"/>
      <c r="LT172" s="49"/>
      <c r="LU172" s="50"/>
      <c r="LZ172" s="49"/>
      <c r="MA172" s="50"/>
      <c r="MD172" s="49"/>
      <c r="ME172" s="50"/>
      <c r="MJ172" s="49"/>
      <c r="MK172" s="50"/>
      <c r="MN172" s="49"/>
      <c r="MO172" s="50"/>
      <c r="MT172" s="49"/>
      <c r="MV172" s="46"/>
      <c r="MZ172" s="49"/>
      <c r="NA172" s="50"/>
      <c r="NF172" s="49"/>
      <c r="NG172" s="50"/>
      <c r="NL172" s="49"/>
      <c r="NM172" s="50"/>
      <c r="NR172" s="49"/>
      <c r="NS172" s="50"/>
      <c r="NX172" s="49"/>
      <c r="NY172" s="50"/>
      <c r="OA172" s="48"/>
      <c r="OD172" s="49"/>
      <c r="OE172" s="50"/>
      <c r="OH172" s="49"/>
      <c r="OI172" s="50"/>
      <c r="OK172" s="48"/>
      <c r="OL172" s="49"/>
      <c r="OM172" s="50"/>
      <c r="OR172" s="49"/>
      <c r="OS172" s="50"/>
      <c r="OV172" s="49"/>
      <c r="OW172" s="50"/>
      <c r="PB172" s="49"/>
      <c r="PC172" s="50"/>
      <c r="PF172" s="49"/>
      <c r="PG172" s="50"/>
      <c r="PL172" s="49"/>
      <c r="PM172" s="47"/>
      <c r="PN172" s="48"/>
      <c r="PP172" s="48"/>
      <c r="PR172" s="49"/>
      <c r="PS172" s="47"/>
      <c r="PX172" s="46"/>
      <c r="PY172" s="47"/>
      <c r="QB172" s="46"/>
      <c r="QC172" s="47"/>
      <c r="QH172" s="46"/>
      <c r="QI172" s="47"/>
      <c r="QN172" s="46"/>
      <c r="QO172" s="47"/>
      <c r="QT172" s="46"/>
      <c r="QU172" s="47"/>
      <c r="QX172" s="46"/>
      <c r="QY172" s="47"/>
      <c r="RD172" s="46"/>
    </row>
    <row r="173" spans="1:472" x14ac:dyDescent="0.25">
      <c r="A173" s="43" t="s">
        <v>461</v>
      </c>
      <c r="B173" s="44">
        <v>1</v>
      </c>
      <c r="E173">
        <v>10</v>
      </c>
      <c r="F173">
        <v>10</v>
      </c>
      <c r="I173" s="47"/>
      <c r="J173" s="51"/>
      <c r="K173" s="51"/>
      <c r="L173" s="51"/>
      <c r="M173" s="51">
        <f t="shared" si="15"/>
        <v>0</v>
      </c>
      <c r="N173" s="46"/>
      <c r="O173" s="47"/>
      <c r="P173" s="51"/>
      <c r="Q173" s="52">
        <v>10</v>
      </c>
      <c r="R173" s="52">
        <v>8</v>
      </c>
      <c r="S173" s="51">
        <f t="shared" si="16"/>
        <v>2</v>
      </c>
      <c r="T173" s="46"/>
      <c r="U173" s="47"/>
      <c r="V173" s="51"/>
      <c r="W173" s="51"/>
      <c r="X173" s="51"/>
      <c r="Y173" s="51">
        <f t="shared" si="17"/>
        <v>0</v>
      </c>
      <c r="Z173" s="46"/>
      <c r="AA173" s="51"/>
      <c r="AE173" s="43">
        <v>0</v>
      </c>
      <c r="AF173" s="46"/>
      <c r="AG173" s="47"/>
      <c r="AI173">
        <v>10</v>
      </c>
      <c r="AJ173">
        <v>8</v>
      </c>
      <c r="AK173" s="43">
        <v>2</v>
      </c>
      <c r="AL173" s="46"/>
      <c r="AQ173" s="43">
        <v>0</v>
      </c>
      <c r="AR173" s="46"/>
      <c r="AU173">
        <v>5</v>
      </c>
      <c r="AV173">
        <v>4</v>
      </c>
      <c r="AW173" s="43">
        <v>1</v>
      </c>
      <c r="AX173" s="46"/>
      <c r="AY173" s="47"/>
      <c r="BA173">
        <v>5</v>
      </c>
      <c r="BB173">
        <v>7</v>
      </c>
      <c r="BC173" s="43">
        <v>-2</v>
      </c>
      <c r="BD173" s="46"/>
      <c r="BE173" s="47"/>
      <c r="BG173">
        <v>5</v>
      </c>
      <c r="BH173">
        <v>5</v>
      </c>
      <c r="BI173" s="43">
        <v>0</v>
      </c>
      <c r="BJ173" s="46"/>
      <c r="BP173" s="43">
        <v>0</v>
      </c>
      <c r="BQ173" s="46"/>
      <c r="BT173" s="43">
        <v>0</v>
      </c>
      <c r="BU173" s="46"/>
      <c r="BV173" s="47"/>
      <c r="BX173">
        <v>10</v>
      </c>
      <c r="BY173">
        <v>8</v>
      </c>
      <c r="BZ173" s="43">
        <v>2</v>
      </c>
      <c r="CA173" s="46"/>
      <c r="CE173">
        <v>8</v>
      </c>
      <c r="CF173" s="42">
        <v>-8</v>
      </c>
      <c r="CG173" s="46">
        <v>8</v>
      </c>
      <c r="CL173" s="43">
        <v>0</v>
      </c>
      <c r="CM173" s="46"/>
      <c r="CN173" s="47"/>
      <c r="CR173" s="43">
        <v>0</v>
      </c>
      <c r="CS173" s="46"/>
      <c r="CX173" s="43">
        <v>0</v>
      </c>
      <c r="CY173" s="46"/>
      <c r="CZ173" s="47"/>
      <c r="DD173" s="43">
        <v>0</v>
      </c>
      <c r="DE173" s="46"/>
      <c r="DF173" s="47"/>
      <c r="DJ173">
        <v>10</v>
      </c>
      <c r="DK173">
        <v>11</v>
      </c>
      <c r="DL173" s="43">
        <v>-1</v>
      </c>
      <c r="DM173" s="46"/>
      <c r="DN173" s="47"/>
      <c r="DP173">
        <v>10</v>
      </c>
      <c r="DQ173">
        <v>8</v>
      </c>
      <c r="DR173" s="43">
        <v>2</v>
      </c>
      <c r="DS173" s="46"/>
      <c r="DV173">
        <v>10</v>
      </c>
      <c r="DW173" s="43">
        <v>8</v>
      </c>
      <c r="DZ173" s="43">
        <v>2</v>
      </c>
      <c r="EA173" s="46"/>
      <c r="EB173" s="47"/>
      <c r="EF173" s="43">
        <v>0</v>
      </c>
      <c r="EG173" s="46"/>
      <c r="EH173" s="47"/>
      <c r="EL173" s="43">
        <v>0</v>
      </c>
      <c r="EM173" s="46"/>
      <c r="EN173" s="47"/>
      <c r="ER173" s="43">
        <v>0</v>
      </c>
      <c r="ES173" s="46"/>
      <c r="EZ173" s="43">
        <v>0</v>
      </c>
      <c r="FA173" s="46"/>
      <c r="FG173" s="43">
        <v>0</v>
      </c>
      <c r="FH173" s="46"/>
      <c r="FI173" s="47"/>
      <c r="FL173" s="43">
        <v>0</v>
      </c>
      <c r="FM173" s="46"/>
      <c r="FN173" s="47"/>
      <c r="FQ173" s="43">
        <v>0</v>
      </c>
      <c r="FR173" s="46"/>
      <c r="FW173" s="43">
        <v>0</v>
      </c>
      <c r="FX173" s="46"/>
      <c r="FY173" s="47"/>
      <c r="GD173" s="43">
        <v>0</v>
      </c>
      <c r="GE173" s="46"/>
      <c r="GJ173" s="43">
        <v>0</v>
      </c>
      <c r="GK173" s="46"/>
      <c r="GL173" s="47"/>
      <c r="GN173">
        <v>30</v>
      </c>
      <c r="GO173">
        <v>30</v>
      </c>
      <c r="GP173" s="43">
        <v>0</v>
      </c>
      <c r="GQ173" s="46"/>
      <c r="GT173" s="48">
        <v>10</v>
      </c>
      <c r="GU173">
        <v>10</v>
      </c>
      <c r="GV173" s="43">
        <v>0</v>
      </c>
      <c r="GW173" s="46"/>
      <c r="GX173" s="47"/>
      <c r="GZ173" s="43">
        <v>0</v>
      </c>
      <c r="HA173" s="46"/>
      <c r="HB173" s="47"/>
      <c r="HF173" s="43">
        <v>0</v>
      </c>
      <c r="HG173" s="46"/>
      <c r="HH173" s="47"/>
      <c r="HJ173" s="43">
        <v>0</v>
      </c>
      <c r="HK173" s="46"/>
      <c r="HL173" s="47"/>
      <c r="HP173" s="43">
        <v>0</v>
      </c>
      <c r="HQ173" s="46"/>
      <c r="HY173" s="46"/>
      <c r="HZ173" s="47"/>
      <c r="IE173" s="46"/>
      <c r="IK173" s="49"/>
      <c r="IQ173" s="49"/>
      <c r="IW173" s="49"/>
      <c r="JC173" s="46"/>
      <c r="JG173" s="49"/>
      <c r="JM173" s="46"/>
      <c r="JN173" s="45"/>
      <c r="JQ173" s="49"/>
      <c r="JW173" s="49"/>
      <c r="KC173" s="49"/>
      <c r="KI173" s="49"/>
      <c r="KK173" s="44"/>
      <c r="KO173" s="49"/>
      <c r="KP173" s="50"/>
      <c r="KW173" s="49"/>
      <c r="LC173" s="49"/>
      <c r="LI173" s="49"/>
      <c r="LJ173" s="50"/>
      <c r="LM173" s="49"/>
      <c r="LN173" s="50"/>
      <c r="LT173" s="49"/>
      <c r="LU173" s="50"/>
      <c r="LZ173" s="49"/>
      <c r="MA173" s="50"/>
      <c r="MD173" s="49"/>
      <c r="ME173" s="50"/>
      <c r="MJ173" s="49"/>
      <c r="MK173" s="50"/>
      <c r="MN173" s="49"/>
      <c r="MO173" s="50"/>
      <c r="MT173" s="49"/>
      <c r="MV173" s="46"/>
      <c r="MZ173" s="49"/>
      <c r="NA173" s="50"/>
      <c r="ND173" s="48"/>
      <c r="NF173" s="49"/>
      <c r="NG173" s="50"/>
      <c r="NL173" s="49"/>
      <c r="NM173" s="50"/>
      <c r="NR173" s="49"/>
      <c r="NS173" s="50"/>
      <c r="NX173" s="49"/>
      <c r="NY173" s="50"/>
      <c r="OA173" s="48"/>
      <c r="OD173" s="49"/>
      <c r="OE173" s="50"/>
      <c r="OH173" s="49"/>
      <c r="OI173" s="50"/>
      <c r="OK173" s="48"/>
      <c r="OL173" s="49"/>
      <c r="OM173" s="50"/>
      <c r="OR173" s="49"/>
      <c r="OS173" s="50"/>
      <c r="OV173" s="49"/>
      <c r="OW173" s="50"/>
      <c r="PB173" s="49"/>
      <c r="PC173" s="50"/>
      <c r="PF173" s="49"/>
      <c r="PG173" s="50"/>
      <c r="PL173" s="49"/>
      <c r="PM173" s="47"/>
      <c r="PN173" s="48"/>
      <c r="PP173" s="48"/>
      <c r="PR173" s="49"/>
      <c r="PS173" s="47"/>
      <c r="PX173" s="46"/>
      <c r="PY173" s="47"/>
      <c r="QB173" s="46"/>
      <c r="QC173" s="47"/>
      <c r="QH173" s="46"/>
      <c r="QI173" s="47"/>
      <c r="QN173" s="46"/>
      <c r="QO173" s="47"/>
      <c r="QT173" s="46"/>
      <c r="QU173" s="47"/>
      <c r="QX173" s="46"/>
      <c r="QY173" s="47"/>
      <c r="RD173" s="46"/>
    </row>
    <row r="174" spans="1:472" x14ac:dyDescent="0.25">
      <c r="A174" s="43" t="s">
        <v>462</v>
      </c>
      <c r="B174" s="44">
        <v>1</v>
      </c>
      <c r="I174" s="47"/>
      <c r="J174" s="51"/>
      <c r="K174" s="51"/>
      <c r="L174" s="51"/>
      <c r="M174" s="51">
        <f t="shared" si="15"/>
        <v>0</v>
      </c>
      <c r="N174" s="46"/>
      <c r="O174" s="47"/>
      <c r="P174" s="51"/>
      <c r="Q174" s="51"/>
      <c r="R174" s="51"/>
      <c r="S174" s="51">
        <f t="shared" si="16"/>
        <v>0</v>
      </c>
      <c r="T174" s="46"/>
      <c r="U174" s="47"/>
      <c r="V174" s="51"/>
      <c r="W174" s="51"/>
      <c r="X174" s="51"/>
      <c r="Y174" s="51">
        <f t="shared" si="17"/>
        <v>0</v>
      </c>
      <c r="Z174" s="46"/>
      <c r="AA174" s="51"/>
      <c r="AE174" s="43">
        <v>0</v>
      </c>
      <c r="AF174" s="46"/>
      <c r="AG174" s="47"/>
      <c r="AK174" s="43">
        <v>0</v>
      </c>
      <c r="AL174" s="46"/>
      <c r="AQ174" s="43">
        <v>0</v>
      </c>
      <c r="AR174" s="46"/>
      <c r="AW174" s="43">
        <v>0</v>
      </c>
      <c r="AX174" s="46"/>
      <c r="AY174" s="47"/>
      <c r="BC174" s="43">
        <v>0</v>
      </c>
      <c r="BD174" s="46"/>
      <c r="BE174" s="47"/>
      <c r="BI174" s="43">
        <v>0</v>
      </c>
      <c r="BJ174" s="46"/>
      <c r="BP174" s="43">
        <v>0</v>
      </c>
      <c r="BQ174" s="46"/>
      <c r="BT174" s="43">
        <v>0</v>
      </c>
      <c r="BU174" s="46"/>
      <c r="BV174" s="47"/>
      <c r="BZ174" s="43">
        <v>0</v>
      </c>
      <c r="CA174" s="46"/>
      <c r="CF174" s="43">
        <v>0</v>
      </c>
      <c r="CG174" s="46"/>
      <c r="CL174" s="43">
        <v>0</v>
      </c>
      <c r="CM174" s="46"/>
      <c r="CN174" s="47"/>
      <c r="CR174" s="43">
        <v>0</v>
      </c>
      <c r="CS174" s="46"/>
      <c r="CX174" s="43">
        <v>0</v>
      </c>
      <c r="CY174" s="46"/>
      <c r="CZ174" s="47"/>
      <c r="DD174" s="43">
        <v>0</v>
      </c>
      <c r="DE174" s="46"/>
      <c r="DF174" s="47"/>
      <c r="DL174" s="43">
        <v>0</v>
      </c>
      <c r="DM174" s="46"/>
      <c r="DN174" s="47"/>
      <c r="DR174" s="43">
        <v>0</v>
      </c>
      <c r="DS174" s="46"/>
      <c r="DZ174" s="43">
        <v>0</v>
      </c>
      <c r="EA174" s="46"/>
      <c r="EB174" s="47"/>
      <c r="EF174" s="43">
        <v>0</v>
      </c>
      <c r="EG174" s="46"/>
      <c r="EH174" s="47"/>
      <c r="EL174" s="43">
        <v>0</v>
      </c>
      <c r="EM174" s="46"/>
      <c r="EN174" s="47"/>
      <c r="ER174" s="43">
        <v>0</v>
      </c>
      <c r="ES174" s="46"/>
      <c r="EZ174" s="43">
        <v>0</v>
      </c>
      <c r="FA174" s="46"/>
      <c r="FG174" s="43">
        <v>0</v>
      </c>
      <c r="FH174" s="46"/>
      <c r="FI174" s="47"/>
      <c r="FL174" s="43">
        <v>0</v>
      </c>
      <c r="FM174" s="46"/>
      <c r="FN174" s="47"/>
      <c r="FQ174" s="43">
        <v>0</v>
      </c>
      <c r="FR174" s="46"/>
      <c r="FW174" s="43">
        <v>0</v>
      </c>
      <c r="FX174" s="46"/>
      <c r="FY174" s="47"/>
      <c r="GD174" s="43">
        <v>0</v>
      </c>
      <c r="GE174" s="46"/>
      <c r="GJ174" s="43">
        <v>0</v>
      </c>
      <c r="GK174" s="46"/>
      <c r="GL174" s="47"/>
      <c r="GN174">
        <v>26</v>
      </c>
      <c r="GO174" s="43">
        <v>24</v>
      </c>
      <c r="GP174" s="43">
        <v>2</v>
      </c>
      <c r="GQ174" s="46"/>
      <c r="GV174" s="43">
        <v>0</v>
      </c>
      <c r="GW174" s="46"/>
      <c r="GX174" s="45">
        <v>10</v>
      </c>
      <c r="GY174" s="48">
        <v>10</v>
      </c>
      <c r="GZ174" s="43">
        <v>0</v>
      </c>
      <c r="HA174" s="46"/>
      <c r="HB174" s="47"/>
      <c r="HD174">
        <v>5</v>
      </c>
      <c r="HE174">
        <v>5</v>
      </c>
      <c r="HF174" s="43">
        <v>0</v>
      </c>
      <c r="HG174" s="46"/>
      <c r="HH174" s="47"/>
      <c r="HJ174" s="43">
        <v>0</v>
      </c>
      <c r="HK174" s="46"/>
      <c r="HL174" s="47"/>
      <c r="HP174" s="43">
        <v>0</v>
      </c>
      <c r="HQ174" s="46"/>
      <c r="HY174" s="46"/>
      <c r="HZ174" s="47"/>
      <c r="IE174" s="46"/>
      <c r="II174" s="38"/>
      <c r="IK174" s="49"/>
      <c r="IQ174" s="49"/>
      <c r="IW174" s="49"/>
      <c r="JC174" s="46"/>
      <c r="JG174" s="49"/>
      <c r="JM174" s="46"/>
      <c r="JN174" s="45"/>
      <c r="JQ174" s="49"/>
      <c r="JW174" s="49"/>
      <c r="KC174" s="49"/>
      <c r="KI174" s="49"/>
      <c r="KK174" s="44"/>
      <c r="KO174" s="49"/>
      <c r="KP174" s="50"/>
      <c r="KW174" s="49"/>
      <c r="LC174" s="49"/>
      <c r="LI174" s="49"/>
      <c r="LJ174" s="50"/>
      <c r="LM174" s="49"/>
      <c r="LN174" s="50"/>
      <c r="LT174" s="49"/>
      <c r="LU174" s="50"/>
      <c r="LZ174" s="49"/>
      <c r="MA174" s="50"/>
      <c r="MD174" s="49"/>
      <c r="ME174" s="50"/>
      <c r="MJ174" s="49"/>
      <c r="MK174" s="50"/>
      <c r="MN174" s="49"/>
      <c r="MO174" s="50"/>
      <c r="MT174" s="49"/>
      <c r="MV174" s="46"/>
      <c r="MZ174" s="49"/>
      <c r="NA174" s="50"/>
      <c r="NF174" s="49"/>
      <c r="NG174" s="50"/>
      <c r="NL174" s="49"/>
      <c r="NM174" s="50"/>
      <c r="NR174" s="49"/>
      <c r="NS174" s="50"/>
      <c r="NX174" s="49"/>
      <c r="NY174" s="50"/>
      <c r="OA174" s="48"/>
      <c r="OD174" s="49"/>
      <c r="OE174" s="50"/>
      <c r="OH174" s="49"/>
      <c r="OI174" s="50"/>
      <c r="OK174" s="48"/>
      <c r="OL174" s="49"/>
      <c r="OM174" s="50"/>
      <c r="OR174" s="49"/>
      <c r="OS174" s="50"/>
      <c r="OV174" s="49"/>
      <c r="OW174" s="50"/>
      <c r="PB174" s="49"/>
      <c r="PC174" s="50"/>
      <c r="PF174" s="49"/>
      <c r="PG174" s="50"/>
      <c r="PL174" s="49"/>
      <c r="PM174" s="47"/>
      <c r="PN174" s="48"/>
      <c r="PP174" s="48"/>
      <c r="PR174" s="49"/>
      <c r="PS174" s="47"/>
      <c r="PX174" s="46"/>
      <c r="PY174" s="47"/>
      <c r="QB174" s="46"/>
      <c r="QC174" s="47"/>
      <c r="QH174" s="46"/>
      <c r="QI174" s="47"/>
      <c r="QN174" s="46"/>
      <c r="QO174" s="47"/>
      <c r="QT174" s="46"/>
      <c r="QU174" s="47"/>
      <c r="QX174" s="46"/>
      <c r="QY174" s="47"/>
      <c r="RD174" s="46"/>
    </row>
    <row r="175" spans="1:472" x14ac:dyDescent="0.25">
      <c r="A175" s="43" t="s">
        <v>463</v>
      </c>
      <c r="B175" s="44">
        <v>0.84</v>
      </c>
      <c r="I175" s="47"/>
      <c r="J175" s="51"/>
      <c r="K175" s="51"/>
      <c r="L175" s="51"/>
      <c r="M175" s="51">
        <f t="shared" si="15"/>
        <v>0</v>
      </c>
      <c r="N175" s="46"/>
      <c r="O175" s="47"/>
      <c r="P175" s="51"/>
      <c r="Q175" s="51"/>
      <c r="R175" s="51"/>
      <c r="S175" s="51">
        <f t="shared" si="16"/>
        <v>0</v>
      </c>
      <c r="T175" s="46"/>
      <c r="U175" s="47"/>
      <c r="V175" s="51"/>
      <c r="W175" s="51"/>
      <c r="X175" s="51"/>
      <c r="Y175" s="51">
        <f t="shared" si="17"/>
        <v>0</v>
      </c>
      <c r="Z175" s="46"/>
      <c r="AA175" s="51"/>
      <c r="AE175" s="43">
        <v>0</v>
      </c>
      <c r="AF175" s="46"/>
      <c r="AG175" s="47"/>
      <c r="AK175" s="43">
        <v>0</v>
      </c>
      <c r="AL175" s="46"/>
      <c r="AQ175" s="43">
        <v>0</v>
      </c>
      <c r="AR175" s="46"/>
      <c r="AW175" s="43">
        <v>0</v>
      </c>
      <c r="AX175" s="46"/>
      <c r="AY175" s="47"/>
      <c r="BC175" s="43">
        <v>0</v>
      </c>
      <c r="BD175" s="46"/>
      <c r="BE175" s="47"/>
      <c r="BI175" s="43">
        <v>0</v>
      </c>
      <c r="BJ175" s="46"/>
      <c r="BP175" s="43">
        <v>0</v>
      </c>
      <c r="BQ175" s="46"/>
      <c r="BT175" s="43">
        <v>0</v>
      </c>
      <c r="BU175" s="46"/>
      <c r="BV175" s="47"/>
      <c r="BZ175" s="43">
        <v>0</v>
      </c>
      <c r="CA175" s="46"/>
      <c r="CF175" s="43">
        <v>0</v>
      </c>
      <c r="CG175" s="46"/>
      <c r="CL175" s="43">
        <v>0</v>
      </c>
      <c r="CM175" s="46"/>
      <c r="CN175" s="47"/>
      <c r="CR175" s="43">
        <v>0</v>
      </c>
      <c r="CS175" s="46"/>
      <c r="CX175" s="43">
        <v>0</v>
      </c>
      <c r="CY175" s="46"/>
      <c r="CZ175" s="47"/>
      <c r="DD175" s="43">
        <v>0</v>
      </c>
      <c r="DE175" s="46"/>
      <c r="DF175" s="47"/>
      <c r="DL175" s="43">
        <v>0</v>
      </c>
      <c r="DM175" s="46"/>
      <c r="DN175" s="47"/>
      <c r="DR175" s="43">
        <v>0</v>
      </c>
      <c r="DS175" s="46"/>
      <c r="DZ175" s="43">
        <v>0</v>
      </c>
      <c r="EA175" s="46"/>
      <c r="EB175" s="47"/>
      <c r="EF175" s="43">
        <v>0</v>
      </c>
      <c r="EG175" s="46"/>
      <c r="EH175" s="47"/>
      <c r="EL175" s="43">
        <v>0</v>
      </c>
      <c r="EM175" s="46"/>
      <c r="EN175" s="47"/>
      <c r="ER175" s="43">
        <v>0</v>
      </c>
      <c r="ES175" s="46"/>
      <c r="EZ175" s="43">
        <v>0</v>
      </c>
      <c r="FA175" s="46"/>
      <c r="FG175" s="43">
        <v>0</v>
      </c>
      <c r="FH175" s="46"/>
      <c r="FI175" s="47"/>
      <c r="FL175" s="43">
        <v>0</v>
      </c>
      <c r="FM175" s="46"/>
      <c r="FN175" s="47"/>
      <c r="FQ175" s="43">
        <v>0</v>
      </c>
      <c r="FR175" s="46"/>
      <c r="FW175" s="43">
        <v>0</v>
      </c>
      <c r="FX175" s="46"/>
      <c r="FY175" s="47"/>
      <c r="GD175" s="43">
        <v>0</v>
      </c>
      <c r="GE175" s="46"/>
      <c r="GI175">
        <v>12</v>
      </c>
      <c r="GJ175" s="42">
        <v>-12</v>
      </c>
      <c r="GK175" s="46">
        <v>10.08</v>
      </c>
      <c r="GL175" s="47"/>
      <c r="GP175" s="43">
        <v>0</v>
      </c>
      <c r="GQ175" s="46"/>
      <c r="GV175" s="43">
        <v>0</v>
      </c>
      <c r="GW175" s="46"/>
      <c r="GX175" s="47"/>
      <c r="GZ175" s="43">
        <v>0</v>
      </c>
      <c r="HA175" s="46"/>
      <c r="HB175" s="47"/>
      <c r="HF175" s="43">
        <v>0</v>
      </c>
      <c r="HG175" s="46"/>
      <c r="HH175" s="50">
        <v>18</v>
      </c>
      <c r="HI175" s="43">
        <v>20</v>
      </c>
      <c r="HJ175" s="43">
        <v>-2</v>
      </c>
      <c r="HK175" s="46"/>
      <c r="HL175" s="47"/>
      <c r="HP175" s="43">
        <v>0</v>
      </c>
      <c r="HQ175" s="46"/>
      <c r="HX175" s="43">
        <v>0</v>
      </c>
      <c r="HY175" s="49"/>
      <c r="HZ175" s="47"/>
      <c r="IE175" s="46"/>
      <c r="IK175" s="49"/>
      <c r="IQ175" s="49"/>
      <c r="IW175" s="49"/>
      <c r="JC175" s="46"/>
      <c r="JG175" s="49"/>
      <c r="JM175" s="46"/>
      <c r="JN175" s="45"/>
      <c r="JQ175" s="49"/>
      <c r="JW175" s="49"/>
      <c r="KC175" s="49"/>
      <c r="KI175" s="49"/>
      <c r="KK175" s="44"/>
      <c r="KO175" s="49"/>
      <c r="KP175" s="50"/>
      <c r="KW175" s="49"/>
      <c r="LC175" s="49"/>
      <c r="LI175" s="49"/>
      <c r="LJ175" s="50"/>
      <c r="LM175" s="49"/>
      <c r="LN175" s="50"/>
      <c r="LT175" s="49"/>
      <c r="LU175" s="50"/>
      <c r="LZ175" s="49"/>
      <c r="MA175" s="50"/>
      <c r="MD175" s="49"/>
      <c r="ME175" s="50"/>
      <c r="MJ175" s="49"/>
      <c r="MK175" s="50"/>
      <c r="MN175" s="49"/>
      <c r="MO175" s="50"/>
      <c r="MT175" s="49"/>
      <c r="MV175" s="46"/>
      <c r="MZ175" s="49"/>
      <c r="NA175" s="50"/>
      <c r="NF175" s="49"/>
      <c r="NG175" s="50"/>
      <c r="NL175" s="49"/>
      <c r="NM175" s="50"/>
      <c r="NR175" s="49"/>
      <c r="NS175" s="50"/>
      <c r="NX175" s="49"/>
      <c r="NY175" s="50"/>
      <c r="OA175" s="48"/>
      <c r="OD175" s="49"/>
      <c r="OE175" s="50"/>
      <c r="OH175" s="49"/>
      <c r="OI175" s="50"/>
      <c r="OK175" s="48"/>
      <c r="OL175" s="49"/>
      <c r="OM175" s="50"/>
      <c r="OR175" s="49"/>
      <c r="OS175" s="50"/>
      <c r="OV175" s="49"/>
      <c r="OW175" s="50"/>
      <c r="PB175" s="49"/>
      <c r="PC175" s="50"/>
      <c r="PF175" s="49"/>
      <c r="PG175" s="50"/>
      <c r="PL175" s="49"/>
      <c r="PM175" s="47"/>
      <c r="PN175" s="48"/>
      <c r="PP175" s="48"/>
      <c r="PR175" s="49"/>
      <c r="PS175" s="47"/>
      <c r="PX175" s="46"/>
      <c r="PY175" s="47"/>
      <c r="QB175" s="46"/>
      <c r="QC175" s="47"/>
      <c r="QH175" s="46"/>
      <c r="QI175" s="47"/>
      <c r="QN175" s="46"/>
      <c r="QO175" s="47"/>
      <c r="QT175" s="46"/>
      <c r="QU175" s="47"/>
      <c r="QX175" s="46"/>
      <c r="QY175" s="47"/>
      <c r="RD175" s="46"/>
    </row>
    <row r="176" spans="1:472" x14ac:dyDescent="0.25">
      <c r="A176" s="43" t="s">
        <v>464</v>
      </c>
      <c r="B176" s="44">
        <v>0.84</v>
      </c>
      <c r="I176" s="47"/>
      <c r="J176" s="51"/>
      <c r="K176" s="51"/>
      <c r="L176" s="51"/>
      <c r="M176" s="51">
        <f t="shared" si="15"/>
        <v>0</v>
      </c>
      <c r="N176" s="46"/>
      <c r="O176" s="47"/>
      <c r="P176" s="51"/>
      <c r="Q176" s="51"/>
      <c r="R176" s="51"/>
      <c r="S176" s="51">
        <f t="shared" si="16"/>
        <v>0</v>
      </c>
      <c r="T176" s="46"/>
      <c r="U176" s="47"/>
      <c r="V176" s="51"/>
      <c r="W176" s="51"/>
      <c r="X176" s="51"/>
      <c r="Y176" s="51">
        <f t="shared" si="17"/>
        <v>0</v>
      </c>
      <c r="Z176" s="46"/>
      <c r="AA176" s="51"/>
      <c r="AE176" s="43">
        <v>0</v>
      </c>
      <c r="AF176" s="46"/>
      <c r="AG176" s="47"/>
      <c r="AK176" s="43">
        <v>0</v>
      </c>
      <c r="AL176" s="46"/>
      <c r="AQ176" s="43">
        <v>0</v>
      </c>
      <c r="AR176" s="46"/>
      <c r="AW176" s="43">
        <v>0</v>
      </c>
      <c r="AX176" s="46"/>
      <c r="AY176" s="47"/>
      <c r="BC176" s="43">
        <v>0</v>
      </c>
      <c r="BD176" s="46"/>
      <c r="BE176" s="47"/>
      <c r="BI176" s="43">
        <v>0</v>
      </c>
      <c r="BJ176" s="46"/>
      <c r="BP176" s="43">
        <v>0</v>
      </c>
      <c r="BQ176" s="46"/>
      <c r="BT176" s="43">
        <v>0</v>
      </c>
      <c r="BU176" s="46"/>
      <c r="BV176" s="47"/>
      <c r="BZ176" s="43">
        <v>0</v>
      </c>
      <c r="CA176" s="46"/>
      <c r="CF176" s="43">
        <v>0</v>
      </c>
      <c r="CG176" s="46"/>
      <c r="CL176" s="43">
        <v>0</v>
      </c>
      <c r="CM176" s="46"/>
      <c r="CN176" s="47"/>
      <c r="CR176" s="43">
        <v>0</v>
      </c>
      <c r="CS176" s="46"/>
      <c r="CX176" s="43">
        <v>0</v>
      </c>
      <c r="CY176" s="46"/>
      <c r="CZ176" s="47"/>
      <c r="DD176" s="43">
        <v>0</v>
      </c>
      <c r="DE176" s="46"/>
      <c r="DF176" s="47"/>
      <c r="DL176" s="43">
        <v>0</v>
      </c>
      <c r="DM176" s="46"/>
      <c r="DN176" s="47"/>
      <c r="DR176" s="43">
        <v>0</v>
      </c>
      <c r="DS176" s="46"/>
      <c r="DZ176" s="43">
        <v>0</v>
      </c>
      <c r="EA176" s="46"/>
      <c r="EB176" s="47"/>
      <c r="EF176" s="43">
        <v>0</v>
      </c>
      <c r="EG176" s="46"/>
      <c r="EH176" s="47"/>
      <c r="EL176" s="43">
        <v>0</v>
      </c>
      <c r="EM176" s="46"/>
      <c r="EN176" s="47"/>
      <c r="ER176" s="43">
        <v>0</v>
      </c>
      <c r="ES176" s="46"/>
      <c r="EZ176" s="43">
        <v>0</v>
      </c>
      <c r="FA176" s="46"/>
      <c r="FG176" s="43">
        <v>0</v>
      </c>
      <c r="FH176" s="46"/>
      <c r="FI176" s="47"/>
      <c r="FL176" s="43">
        <v>0</v>
      </c>
      <c r="FM176" s="46"/>
      <c r="FN176" s="47"/>
      <c r="FQ176" s="43">
        <v>0</v>
      </c>
      <c r="FR176" s="46"/>
      <c r="FW176" s="43">
        <v>0</v>
      </c>
      <c r="FX176" s="46"/>
      <c r="FY176" s="47"/>
      <c r="GD176" s="43">
        <v>0</v>
      </c>
      <c r="GE176" s="46"/>
      <c r="GJ176" s="43">
        <v>0</v>
      </c>
      <c r="GK176" s="46"/>
      <c r="GL176" s="47"/>
      <c r="GO176">
        <v>24</v>
      </c>
      <c r="GP176" s="42">
        <v>-24</v>
      </c>
      <c r="GQ176" s="46">
        <v>20.16</v>
      </c>
      <c r="GV176" s="43">
        <v>0</v>
      </c>
      <c r="GW176" s="46"/>
      <c r="GX176" s="47"/>
      <c r="GY176" s="48">
        <v>24</v>
      </c>
      <c r="GZ176" s="42">
        <v>-24</v>
      </c>
      <c r="HA176" s="46">
        <v>20.16</v>
      </c>
      <c r="HB176" s="47"/>
      <c r="HF176" s="43">
        <v>0</v>
      </c>
      <c r="HG176" s="46"/>
      <c r="HH176" s="47"/>
      <c r="HI176" s="43">
        <v>6</v>
      </c>
      <c r="HJ176" s="42">
        <v>-6</v>
      </c>
      <c r="HK176" s="46">
        <v>5.04</v>
      </c>
      <c r="HL176" s="47"/>
      <c r="HP176" s="43">
        <v>0</v>
      </c>
      <c r="HQ176" s="46"/>
      <c r="HX176" s="43">
        <v>0</v>
      </c>
      <c r="HY176" s="49"/>
      <c r="HZ176" s="47"/>
      <c r="IE176" s="46"/>
      <c r="IK176" s="49"/>
      <c r="IQ176" s="49"/>
      <c r="IW176" s="49"/>
      <c r="JC176" s="46"/>
      <c r="JG176" s="49"/>
      <c r="JM176" s="46"/>
      <c r="JN176" s="45"/>
      <c r="JQ176" s="49"/>
      <c r="JW176" s="49"/>
      <c r="KC176" s="49"/>
      <c r="KI176" s="49"/>
      <c r="KK176" s="44"/>
      <c r="KO176" s="49"/>
      <c r="KP176" s="50"/>
      <c r="KW176" s="49"/>
      <c r="LC176" s="49"/>
      <c r="LI176" s="49"/>
      <c r="LJ176" s="50"/>
      <c r="LM176" s="49"/>
      <c r="LN176" s="50"/>
      <c r="LT176" s="49"/>
      <c r="LU176" s="50"/>
      <c r="LZ176" s="49"/>
      <c r="MA176" s="50"/>
      <c r="MD176" s="49"/>
      <c r="ME176" s="50"/>
      <c r="MJ176" s="49"/>
      <c r="MK176" s="50"/>
      <c r="MN176" s="49"/>
      <c r="MO176" s="50"/>
      <c r="MT176" s="49"/>
      <c r="MV176" s="46"/>
      <c r="MZ176" s="49"/>
      <c r="NA176" s="50"/>
      <c r="NF176" s="49"/>
      <c r="NG176" s="50"/>
      <c r="NL176" s="49"/>
      <c r="NM176" s="50"/>
      <c r="NR176" s="49"/>
      <c r="NS176" s="50"/>
      <c r="NX176" s="49"/>
      <c r="NY176" s="50"/>
      <c r="OA176" s="48"/>
      <c r="OD176" s="49"/>
      <c r="OE176" s="50"/>
      <c r="OH176" s="49"/>
      <c r="OI176" s="50"/>
      <c r="OK176" s="48"/>
      <c r="OL176" s="49"/>
      <c r="OM176" s="50"/>
      <c r="OR176" s="49"/>
      <c r="OS176" s="50"/>
      <c r="OV176" s="49"/>
      <c r="OW176" s="50"/>
      <c r="PB176" s="49"/>
      <c r="PC176" s="50"/>
      <c r="PF176" s="49"/>
      <c r="PG176" s="50"/>
      <c r="PL176" s="49"/>
      <c r="PM176" s="47"/>
      <c r="PN176" s="48"/>
      <c r="PP176" s="48"/>
      <c r="PR176" s="49"/>
      <c r="PS176" s="47"/>
      <c r="PX176" s="46"/>
      <c r="PY176" s="47"/>
      <c r="QB176" s="46"/>
      <c r="QC176" s="47"/>
      <c r="QH176" s="46"/>
      <c r="QI176" s="47"/>
      <c r="QN176" s="46"/>
      <c r="QO176" s="47"/>
      <c r="QT176" s="46"/>
      <c r="QU176" s="47"/>
      <c r="QX176" s="46"/>
      <c r="QY176" s="47"/>
      <c r="RD176" s="46"/>
    </row>
    <row r="177" spans="1:472" x14ac:dyDescent="0.25">
      <c r="A177" s="43" t="s">
        <v>465</v>
      </c>
      <c r="B177" s="44">
        <v>0.33</v>
      </c>
      <c r="I177" s="47"/>
      <c r="J177" s="51"/>
      <c r="K177" s="51"/>
      <c r="L177" s="51"/>
      <c r="M177" s="51">
        <f t="shared" si="15"/>
        <v>0</v>
      </c>
      <c r="N177" s="46"/>
      <c r="O177" s="47"/>
      <c r="P177" s="51"/>
      <c r="Q177" s="51"/>
      <c r="R177" s="51"/>
      <c r="S177" s="51">
        <f t="shared" si="16"/>
        <v>0</v>
      </c>
      <c r="T177" s="46"/>
      <c r="U177" s="47"/>
      <c r="V177" s="51"/>
      <c r="W177" s="51"/>
      <c r="X177" s="51"/>
      <c r="Y177" s="51">
        <f t="shared" si="17"/>
        <v>0</v>
      </c>
      <c r="Z177" s="46"/>
      <c r="AA177" s="51"/>
      <c r="AE177" s="43">
        <v>0</v>
      </c>
      <c r="AF177" s="46"/>
      <c r="AG177" s="47"/>
      <c r="AK177" s="43">
        <v>0</v>
      </c>
      <c r="AL177" s="46"/>
      <c r="AQ177" s="43">
        <v>0</v>
      </c>
      <c r="AR177" s="46"/>
      <c r="AW177" s="43">
        <v>0</v>
      </c>
      <c r="AX177" s="46"/>
      <c r="AY177" s="47"/>
      <c r="BC177" s="43">
        <v>0</v>
      </c>
      <c r="BD177" s="46"/>
      <c r="BE177" s="47"/>
      <c r="BI177" s="43">
        <v>0</v>
      </c>
      <c r="BJ177" s="46"/>
      <c r="BP177" s="43">
        <v>0</v>
      </c>
      <c r="BQ177" s="46"/>
      <c r="BT177" s="43">
        <v>0</v>
      </c>
      <c r="BU177" s="46"/>
      <c r="BV177" s="47"/>
      <c r="BZ177" s="43">
        <v>0</v>
      </c>
      <c r="CA177" s="46"/>
      <c r="CF177" s="43">
        <v>0</v>
      </c>
      <c r="CG177" s="46"/>
      <c r="CL177" s="43">
        <v>0</v>
      </c>
      <c r="CM177" s="46"/>
      <c r="CN177" s="47"/>
      <c r="CR177" s="43">
        <v>0</v>
      </c>
      <c r="CS177" s="46"/>
      <c r="CX177" s="43">
        <v>0</v>
      </c>
      <c r="CY177" s="46"/>
      <c r="CZ177" s="47"/>
      <c r="DD177" s="43">
        <v>0</v>
      </c>
      <c r="DE177" s="46"/>
      <c r="DF177" s="47"/>
      <c r="DJ177">
        <v>56</v>
      </c>
      <c r="DK177">
        <v>60</v>
      </c>
      <c r="DL177" s="43">
        <v>-4</v>
      </c>
      <c r="DM177" s="46"/>
      <c r="DN177" s="47"/>
      <c r="DR177" s="43">
        <v>0</v>
      </c>
      <c r="DS177" s="46"/>
      <c r="DV177">
        <v>32</v>
      </c>
      <c r="DW177">
        <v>32</v>
      </c>
      <c r="DZ177" s="43">
        <v>0</v>
      </c>
      <c r="EA177" s="46"/>
      <c r="EB177" s="47"/>
      <c r="ED177">
        <v>8</v>
      </c>
      <c r="EE177">
        <v>9</v>
      </c>
      <c r="EF177" s="43">
        <v>-1</v>
      </c>
      <c r="EG177" s="46"/>
      <c r="EH177" s="47"/>
      <c r="EL177" s="43">
        <v>0</v>
      </c>
      <c r="EM177" s="46"/>
      <c r="EN177" s="47"/>
      <c r="EO177">
        <v>24</v>
      </c>
      <c r="EP177">
        <v>32</v>
      </c>
      <c r="EQ177">
        <v>32</v>
      </c>
      <c r="ER177" s="42">
        <v>-24</v>
      </c>
      <c r="ES177" s="46">
        <v>7.92</v>
      </c>
      <c r="EX177">
        <v>8</v>
      </c>
      <c r="EY177">
        <v>9</v>
      </c>
      <c r="EZ177" s="43">
        <v>-1</v>
      </c>
      <c r="FA177" s="46"/>
      <c r="FD177">
        <v>32</v>
      </c>
      <c r="FF177">
        <v>30</v>
      </c>
      <c r="FG177" s="43">
        <v>2</v>
      </c>
      <c r="FH177" s="46"/>
      <c r="FI177" s="45">
        <v>16</v>
      </c>
      <c r="FK177" s="48">
        <v>16</v>
      </c>
      <c r="FL177" s="43">
        <v>0</v>
      </c>
      <c r="FM177" s="46"/>
      <c r="FN177" s="47"/>
      <c r="FQ177" s="43">
        <v>0</v>
      </c>
      <c r="FR177" s="46"/>
      <c r="FW177" s="43">
        <v>0</v>
      </c>
      <c r="FX177" s="46"/>
      <c r="FY177" s="47"/>
      <c r="GB177">
        <v>8</v>
      </c>
      <c r="GC177">
        <v>11</v>
      </c>
      <c r="GD177" s="43">
        <v>-3</v>
      </c>
      <c r="GE177" s="46"/>
      <c r="GH177">
        <v>8</v>
      </c>
      <c r="GI177">
        <v>24</v>
      </c>
      <c r="GJ177" s="42">
        <v>-16</v>
      </c>
      <c r="GK177" s="46">
        <v>5.28</v>
      </c>
      <c r="GL177" s="47"/>
      <c r="GP177" s="43">
        <v>0</v>
      </c>
      <c r="GQ177" s="46"/>
      <c r="GV177" s="43">
        <v>0</v>
      </c>
      <c r="GW177" s="46"/>
      <c r="GX177" s="45">
        <v>16</v>
      </c>
      <c r="GY177" s="48">
        <v>16</v>
      </c>
      <c r="GZ177" s="43">
        <v>0</v>
      </c>
      <c r="HA177" s="46"/>
      <c r="HB177" s="47"/>
      <c r="HF177" s="43">
        <v>0</v>
      </c>
      <c r="HG177" s="46"/>
      <c r="HH177" s="45">
        <v>24</v>
      </c>
      <c r="HI177" s="43">
        <v>24</v>
      </c>
      <c r="HJ177" s="43">
        <v>0</v>
      </c>
      <c r="HK177" s="46"/>
      <c r="HL177" s="47"/>
      <c r="HP177" s="43">
        <v>0</v>
      </c>
      <c r="HQ177" s="46"/>
      <c r="HX177" s="43">
        <v>0</v>
      </c>
      <c r="HY177" s="49"/>
      <c r="HZ177" s="47"/>
      <c r="IE177" s="46"/>
      <c r="IK177" s="49"/>
      <c r="IQ177" s="49"/>
      <c r="IW177" s="49"/>
      <c r="JC177" s="46"/>
      <c r="JG177" s="49"/>
      <c r="JM177" s="46"/>
      <c r="JN177" s="45"/>
      <c r="JQ177" s="49"/>
      <c r="JW177" s="49"/>
      <c r="KC177" s="49"/>
      <c r="KI177" s="49"/>
      <c r="KK177" s="44"/>
      <c r="KO177" s="49"/>
      <c r="KP177" s="50"/>
      <c r="KW177" s="49"/>
      <c r="LC177" s="49"/>
      <c r="LI177" s="49"/>
      <c r="LJ177" s="50"/>
      <c r="LM177" s="49"/>
      <c r="LN177" s="50"/>
      <c r="LT177" s="49"/>
      <c r="LU177" s="50"/>
      <c r="LZ177" s="49"/>
      <c r="MA177" s="50"/>
      <c r="MD177" s="49"/>
      <c r="ME177" s="50"/>
      <c r="MJ177" s="49"/>
      <c r="MK177" s="50"/>
      <c r="MN177" s="49"/>
      <c r="MO177" s="50"/>
      <c r="MT177" s="49"/>
      <c r="MV177" s="46"/>
      <c r="MZ177" s="49"/>
      <c r="NA177" s="50"/>
      <c r="NF177" s="49"/>
      <c r="NG177" s="50"/>
      <c r="NL177" s="49"/>
      <c r="NM177" s="50"/>
      <c r="NR177" s="49"/>
      <c r="NS177" s="50"/>
      <c r="NX177" s="49"/>
      <c r="NY177" s="50"/>
      <c r="OA177" s="48"/>
      <c r="OD177" s="49"/>
      <c r="OE177" s="50"/>
      <c r="OH177" s="49"/>
      <c r="OI177" s="50"/>
      <c r="OK177" s="48"/>
      <c r="OL177" s="49"/>
      <c r="OM177" s="50"/>
      <c r="OR177" s="49"/>
      <c r="OS177" s="50"/>
      <c r="OV177" s="49"/>
      <c r="OW177" s="50"/>
      <c r="PB177" s="49"/>
      <c r="PC177" s="50"/>
      <c r="PF177" s="49"/>
      <c r="PG177" s="50"/>
      <c r="PL177" s="49"/>
      <c r="PM177" s="47"/>
      <c r="PN177" s="48"/>
      <c r="PP177" s="48"/>
      <c r="PR177" s="49"/>
      <c r="PS177" s="47"/>
      <c r="PX177" s="46"/>
      <c r="PY177" s="47"/>
      <c r="QB177" s="46"/>
      <c r="QC177" s="47"/>
      <c r="QH177" s="46"/>
      <c r="QI177" s="47"/>
      <c r="QN177" s="46"/>
      <c r="QO177" s="47"/>
      <c r="QT177" s="46"/>
      <c r="QU177" s="47"/>
      <c r="QX177" s="46"/>
      <c r="QY177" s="47"/>
      <c r="RD177" s="46"/>
    </row>
    <row r="178" spans="1:472" x14ac:dyDescent="0.25">
      <c r="A178" s="43" t="s">
        <v>466</v>
      </c>
      <c r="B178" s="44">
        <v>1</v>
      </c>
      <c r="I178" s="47"/>
      <c r="J178" s="51"/>
      <c r="K178" s="51"/>
      <c r="L178" s="51"/>
      <c r="M178" s="51">
        <f t="shared" si="15"/>
        <v>0</v>
      </c>
      <c r="N178" s="46"/>
      <c r="O178" s="47"/>
      <c r="P178" s="51"/>
      <c r="Q178" s="51"/>
      <c r="R178" s="51"/>
      <c r="S178" s="51">
        <f t="shared" si="16"/>
        <v>0</v>
      </c>
      <c r="T178" s="46"/>
      <c r="U178" s="47"/>
      <c r="V178" s="51"/>
      <c r="W178" s="51"/>
      <c r="X178" s="51"/>
      <c r="Y178" s="51">
        <f t="shared" si="17"/>
        <v>0</v>
      </c>
      <c r="Z178" s="46"/>
      <c r="AA178" s="51"/>
      <c r="AE178" s="43">
        <v>0</v>
      </c>
      <c r="AF178" s="46"/>
      <c r="AG178" s="47"/>
      <c r="AK178" s="43">
        <v>0</v>
      </c>
      <c r="AL178" s="46"/>
      <c r="AQ178" s="43">
        <v>0</v>
      </c>
      <c r="AR178" s="46"/>
      <c r="AW178" s="43">
        <v>0</v>
      </c>
      <c r="AX178" s="46"/>
      <c r="AY178" s="47"/>
      <c r="BC178" s="43">
        <v>0</v>
      </c>
      <c r="BD178" s="46"/>
      <c r="BE178" s="47"/>
      <c r="BI178" s="43">
        <v>0</v>
      </c>
      <c r="BJ178" s="46"/>
      <c r="BP178" s="43">
        <v>0</v>
      </c>
      <c r="BQ178" s="46"/>
      <c r="BT178" s="43">
        <v>0</v>
      </c>
      <c r="BU178" s="46"/>
      <c r="BV178" s="47"/>
      <c r="BZ178" s="43">
        <v>0</v>
      </c>
      <c r="CA178" s="46"/>
      <c r="CF178" s="43">
        <v>0</v>
      </c>
      <c r="CG178" s="46"/>
      <c r="CL178" s="43">
        <v>0</v>
      </c>
      <c r="CM178" s="46"/>
      <c r="CN178" s="47"/>
      <c r="CR178" s="43">
        <v>0</v>
      </c>
      <c r="CS178" s="46"/>
      <c r="CX178" s="43">
        <v>0</v>
      </c>
      <c r="CY178" s="46"/>
      <c r="CZ178" s="47"/>
      <c r="DD178" s="43">
        <v>0</v>
      </c>
      <c r="DE178" s="46"/>
      <c r="DF178" s="47"/>
      <c r="DL178" s="43">
        <v>0</v>
      </c>
      <c r="DM178" s="46"/>
      <c r="DN178" s="47"/>
      <c r="DR178" s="43">
        <v>0</v>
      </c>
      <c r="DS178" s="46"/>
      <c r="DZ178" s="43">
        <v>0</v>
      </c>
      <c r="EA178" s="46"/>
      <c r="EB178" s="47"/>
      <c r="EF178" s="43">
        <v>0</v>
      </c>
      <c r="EG178" s="46"/>
      <c r="EH178" s="47"/>
      <c r="EL178" s="43">
        <v>0</v>
      </c>
      <c r="EM178" s="46"/>
      <c r="EN178" s="47"/>
      <c r="ER178" s="43">
        <v>0</v>
      </c>
      <c r="ES178" s="46"/>
      <c r="EZ178" s="43">
        <v>0</v>
      </c>
      <c r="FA178" s="46"/>
      <c r="FD178">
        <v>41</v>
      </c>
      <c r="FF178">
        <v>40</v>
      </c>
      <c r="FG178" s="43">
        <v>1</v>
      </c>
      <c r="FH178" s="46"/>
      <c r="FI178" s="47"/>
      <c r="FL178" s="43">
        <v>0</v>
      </c>
      <c r="FM178" s="46"/>
      <c r="FN178" s="47"/>
      <c r="FQ178" s="43">
        <v>0</v>
      </c>
      <c r="FR178" s="46"/>
      <c r="FW178" s="43">
        <v>0</v>
      </c>
      <c r="FX178" s="46"/>
      <c r="FY178" s="47"/>
      <c r="GD178" s="43">
        <v>0</v>
      </c>
      <c r="GE178" s="46"/>
      <c r="GH178">
        <v>5</v>
      </c>
      <c r="GI178" s="43">
        <v>4</v>
      </c>
      <c r="GJ178" s="43">
        <v>1</v>
      </c>
      <c r="GK178" s="46"/>
      <c r="GL178" s="47"/>
      <c r="GP178" s="43">
        <v>0</v>
      </c>
      <c r="GQ178" s="46"/>
      <c r="GV178" s="43">
        <v>0</v>
      </c>
      <c r="GW178" s="46"/>
      <c r="GX178" s="50">
        <v>5</v>
      </c>
      <c r="GY178" s="48">
        <v>4</v>
      </c>
      <c r="GZ178" s="43">
        <v>1</v>
      </c>
      <c r="HA178" s="46"/>
      <c r="HB178" s="47"/>
      <c r="HE178" s="43">
        <v>4</v>
      </c>
      <c r="HF178" s="42">
        <v>-4</v>
      </c>
      <c r="HG178" s="46">
        <v>4</v>
      </c>
      <c r="HH178" s="47"/>
      <c r="HJ178" s="43">
        <v>0</v>
      </c>
      <c r="HK178" s="46"/>
      <c r="HL178" s="47"/>
      <c r="HP178" s="43">
        <v>0</v>
      </c>
      <c r="HQ178" s="46"/>
      <c r="HY178" s="49"/>
      <c r="HZ178" s="47"/>
      <c r="IE178" s="46"/>
      <c r="IK178" s="49"/>
      <c r="IQ178" s="49"/>
      <c r="IW178" s="49"/>
      <c r="JC178" s="46"/>
      <c r="JG178" s="49"/>
      <c r="JM178" s="46"/>
      <c r="JN178" s="45"/>
      <c r="JQ178" s="49"/>
      <c r="JW178" s="49"/>
      <c r="KC178" s="49"/>
      <c r="KI178" s="49"/>
      <c r="KK178" s="44"/>
      <c r="KO178" s="49"/>
      <c r="KP178" s="50"/>
      <c r="KW178" s="49"/>
      <c r="LC178" s="49"/>
      <c r="LI178" s="49"/>
      <c r="LJ178" s="50"/>
      <c r="LM178" s="49"/>
      <c r="LN178" s="50"/>
      <c r="LT178" s="49"/>
      <c r="LU178" s="50"/>
      <c r="LZ178" s="49"/>
      <c r="MA178" s="50"/>
      <c r="MD178" s="49"/>
      <c r="ME178" s="50"/>
      <c r="MJ178" s="49"/>
      <c r="MK178" s="50"/>
      <c r="MN178" s="49"/>
      <c r="MO178" s="50"/>
      <c r="MT178" s="49"/>
      <c r="MV178" s="46"/>
      <c r="MZ178" s="49"/>
      <c r="NA178" s="50"/>
      <c r="NE178" s="48"/>
      <c r="NF178" s="49"/>
      <c r="NG178" s="50"/>
      <c r="NL178" s="49"/>
      <c r="NM178" s="50"/>
      <c r="NR178" s="49"/>
      <c r="NS178" s="50"/>
      <c r="NX178" s="49"/>
      <c r="NY178" s="50"/>
      <c r="OA178" s="48"/>
      <c r="OD178" s="49"/>
      <c r="OE178" s="50"/>
      <c r="OH178" s="49"/>
      <c r="OI178" s="50"/>
      <c r="OK178" s="48"/>
      <c r="OL178" s="49"/>
      <c r="OM178" s="50"/>
      <c r="OR178" s="49"/>
      <c r="OS178" s="50"/>
      <c r="OV178" s="49"/>
      <c r="OW178" s="50"/>
      <c r="PB178" s="49"/>
      <c r="PC178" s="50"/>
      <c r="PF178" s="49"/>
      <c r="PG178" s="50"/>
      <c r="PL178" s="49"/>
      <c r="PM178" s="47"/>
      <c r="PN178" s="48"/>
      <c r="PP178" s="48"/>
      <c r="PR178" s="49"/>
      <c r="PS178" s="47"/>
      <c r="PX178" s="46"/>
      <c r="PY178" s="47"/>
      <c r="QB178" s="46"/>
      <c r="QC178" s="47"/>
      <c r="QH178" s="46"/>
      <c r="QI178" s="47"/>
      <c r="QN178" s="46"/>
      <c r="QO178" s="47"/>
      <c r="QT178" s="46"/>
      <c r="QU178" s="47"/>
      <c r="QX178" s="46"/>
      <c r="QY178" s="47"/>
      <c r="RD178" s="46"/>
    </row>
    <row r="179" spans="1:472" x14ac:dyDescent="0.25">
      <c r="A179" s="43" t="s">
        <v>467</v>
      </c>
      <c r="B179" s="44">
        <v>0.22</v>
      </c>
      <c r="F179">
        <v>17</v>
      </c>
      <c r="I179" s="47"/>
      <c r="J179" s="51"/>
      <c r="K179" s="51"/>
      <c r="L179" s="51"/>
      <c r="M179" s="51">
        <f t="shared" si="15"/>
        <v>0</v>
      </c>
      <c r="N179" s="46"/>
      <c r="O179" s="47"/>
      <c r="P179" s="51"/>
      <c r="Q179" s="52">
        <v>16</v>
      </c>
      <c r="R179" s="52">
        <v>16</v>
      </c>
      <c r="S179" s="51">
        <f t="shared" si="16"/>
        <v>0</v>
      </c>
      <c r="T179" s="46"/>
      <c r="U179" s="47"/>
      <c r="V179" s="51"/>
      <c r="W179" s="51"/>
      <c r="X179" s="52">
        <v>11</v>
      </c>
      <c r="Y179" s="56">
        <f t="shared" si="17"/>
        <v>-11</v>
      </c>
      <c r="Z179" s="46">
        <f>-1*Y179*B179</f>
        <v>2.42</v>
      </c>
      <c r="AA179" s="51"/>
      <c r="AE179" s="43">
        <v>0</v>
      </c>
      <c r="AF179" s="46"/>
      <c r="AG179" s="47"/>
      <c r="AJ179">
        <v>16</v>
      </c>
      <c r="AK179" s="42">
        <v>-16</v>
      </c>
      <c r="AL179" s="46">
        <v>3.52</v>
      </c>
      <c r="AQ179" s="43">
        <v>0</v>
      </c>
      <c r="AR179" s="46"/>
      <c r="AW179" s="43">
        <v>0</v>
      </c>
      <c r="AX179" s="46"/>
      <c r="AY179" s="47"/>
      <c r="BA179">
        <v>8</v>
      </c>
      <c r="BB179">
        <v>11</v>
      </c>
      <c r="BC179" s="43">
        <v>-3</v>
      </c>
      <c r="BD179" s="46"/>
      <c r="BE179" s="47"/>
      <c r="BI179" s="43">
        <v>0</v>
      </c>
      <c r="BJ179" s="46"/>
      <c r="BP179" s="43">
        <v>0</v>
      </c>
      <c r="BQ179" s="46"/>
      <c r="BT179" s="43">
        <v>0</v>
      </c>
      <c r="BU179" s="46"/>
      <c r="BV179" s="47"/>
      <c r="BW179">
        <v>8</v>
      </c>
      <c r="BX179">
        <v>16</v>
      </c>
      <c r="BY179">
        <v>20</v>
      </c>
      <c r="BZ179" s="42">
        <v>-12</v>
      </c>
      <c r="CA179" s="46">
        <v>2.64</v>
      </c>
      <c r="CF179" s="43">
        <v>0</v>
      </c>
      <c r="CG179" s="46"/>
      <c r="CK179">
        <v>71</v>
      </c>
      <c r="CL179" s="42">
        <v>-71</v>
      </c>
      <c r="CM179" s="46">
        <v>15.62</v>
      </c>
      <c r="CN179" s="47"/>
      <c r="CR179" s="43">
        <v>0</v>
      </c>
      <c r="CS179" s="46"/>
      <c r="CX179" s="43">
        <v>0</v>
      </c>
      <c r="CY179" s="46"/>
      <c r="CZ179" s="47"/>
      <c r="DD179" s="43">
        <v>0</v>
      </c>
      <c r="DE179" s="46"/>
      <c r="DF179" s="47"/>
      <c r="DL179" s="43">
        <v>0</v>
      </c>
      <c r="DM179" s="46"/>
      <c r="DN179" s="47"/>
      <c r="DR179" s="43">
        <v>0</v>
      </c>
      <c r="DS179" s="46"/>
      <c r="DZ179" s="43">
        <v>0</v>
      </c>
      <c r="EA179" s="46"/>
      <c r="EB179" s="47"/>
      <c r="EF179" s="43">
        <v>0</v>
      </c>
      <c r="EG179" s="46"/>
      <c r="EH179" s="47"/>
      <c r="EL179" s="43">
        <v>0</v>
      </c>
      <c r="EM179" s="46"/>
      <c r="EN179" s="47"/>
      <c r="ER179" s="43">
        <v>0</v>
      </c>
      <c r="ES179" s="46"/>
      <c r="EZ179" s="43">
        <v>0</v>
      </c>
      <c r="FA179" s="46"/>
      <c r="FB179">
        <v>56</v>
      </c>
      <c r="FC179" s="43">
        <v>60</v>
      </c>
      <c r="FG179" s="43">
        <v>-4</v>
      </c>
      <c r="FH179" s="46"/>
      <c r="FI179" s="47">
        <v>128</v>
      </c>
      <c r="FL179" s="43">
        <v>128</v>
      </c>
      <c r="FM179" s="46"/>
      <c r="FN179" s="47"/>
      <c r="FQ179" s="43">
        <v>0</v>
      </c>
      <c r="FR179" s="46"/>
      <c r="FX179" s="46"/>
      <c r="FY179" s="47"/>
      <c r="GE179" s="46"/>
      <c r="GK179" s="46"/>
      <c r="GL179" s="47"/>
      <c r="GQ179" s="46"/>
      <c r="GW179" s="46"/>
      <c r="GX179" s="50"/>
      <c r="HA179" s="46"/>
      <c r="HB179" s="47"/>
      <c r="HG179" s="46"/>
      <c r="HH179" s="47"/>
      <c r="HK179" s="46"/>
      <c r="HL179" s="47"/>
      <c r="HQ179" s="46"/>
      <c r="HY179" s="49"/>
      <c r="HZ179" s="47"/>
      <c r="IE179" s="46"/>
      <c r="IK179" s="49"/>
      <c r="IQ179" s="49"/>
      <c r="IW179" s="49"/>
      <c r="JC179" s="46"/>
      <c r="JG179" s="49"/>
      <c r="JM179" s="46"/>
      <c r="JN179" s="45"/>
      <c r="JQ179" s="49"/>
      <c r="JW179" s="49"/>
      <c r="KC179" s="49"/>
      <c r="KI179" s="49"/>
      <c r="KK179" s="44"/>
      <c r="KO179" s="49"/>
      <c r="KP179" s="50"/>
      <c r="KW179" s="49"/>
      <c r="LC179" s="49"/>
      <c r="LI179" s="49"/>
      <c r="LJ179" s="50"/>
      <c r="LM179" s="49"/>
      <c r="LN179" s="50"/>
      <c r="LT179" s="49"/>
      <c r="LU179" s="50"/>
      <c r="LW179" s="48"/>
      <c r="LY179" s="48"/>
      <c r="LZ179" s="49"/>
      <c r="MA179" s="50"/>
      <c r="MD179" s="49"/>
      <c r="ME179" s="50"/>
      <c r="MJ179" s="49"/>
      <c r="MK179" s="50"/>
      <c r="MN179" s="49"/>
      <c r="MO179" s="50"/>
      <c r="MT179" s="49"/>
      <c r="MV179" s="46"/>
      <c r="MZ179" s="49"/>
      <c r="NA179" s="50"/>
      <c r="NE179" s="48"/>
      <c r="NF179" s="49"/>
      <c r="NG179" s="50"/>
      <c r="NL179" s="49"/>
      <c r="NM179" s="50"/>
      <c r="NR179" s="49"/>
      <c r="NS179" s="50"/>
      <c r="NX179" s="49"/>
      <c r="NY179" s="50"/>
      <c r="OA179" s="48"/>
      <c r="OD179" s="49"/>
      <c r="OE179" s="50"/>
      <c r="OH179" s="49"/>
      <c r="OI179" s="50"/>
      <c r="OK179" s="48"/>
      <c r="OL179" s="49"/>
      <c r="OM179" s="50"/>
      <c r="OR179" s="49"/>
      <c r="OS179" s="50"/>
      <c r="OV179" s="49"/>
      <c r="OW179" s="50"/>
      <c r="PB179" s="49"/>
      <c r="PC179" s="50"/>
      <c r="PF179" s="49"/>
      <c r="PG179" s="50"/>
      <c r="PL179" s="49"/>
      <c r="PM179" s="47"/>
      <c r="PN179" s="48"/>
      <c r="PP179" s="48"/>
      <c r="PR179" s="49"/>
      <c r="PS179" s="47"/>
      <c r="PX179" s="46"/>
      <c r="PY179" s="47"/>
      <c r="QB179" s="46"/>
      <c r="QC179" s="47"/>
      <c r="QH179" s="46"/>
      <c r="QI179" s="47"/>
      <c r="QN179" s="46"/>
      <c r="QO179" s="47"/>
      <c r="QT179" s="46"/>
      <c r="QU179" s="47"/>
      <c r="QX179" s="46"/>
      <c r="QY179" s="47"/>
      <c r="RD179" s="46"/>
    </row>
    <row r="180" spans="1:472" x14ac:dyDescent="0.25">
      <c r="A180" s="43" t="s">
        <v>468</v>
      </c>
      <c r="B180" s="44">
        <v>0.84</v>
      </c>
      <c r="I180" s="47"/>
      <c r="J180" s="51"/>
      <c r="K180" s="51"/>
      <c r="L180" s="51"/>
      <c r="M180" s="51">
        <f t="shared" si="15"/>
        <v>0</v>
      </c>
      <c r="N180" s="46"/>
      <c r="O180" s="47"/>
      <c r="P180" s="51"/>
      <c r="Q180" s="51"/>
      <c r="R180" s="51"/>
      <c r="S180" s="51">
        <f t="shared" si="16"/>
        <v>0</v>
      </c>
      <c r="T180" s="46"/>
      <c r="U180" s="47"/>
      <c r="V180" s="51"/>
      <c r="W180" s="51"/>
      <c r="X180" s="51"/>
      <c r="Y180" s="51">
        <f t="shared" si="17"/>
        <v>0</v>
      </c>
      <c r="Z180" s="46"/>
      <c r="AA180" s="51"/>
      <c r="AE180" s="43">
        <v>0</v>
      </c>
      <c r="AF180" s="46"/>
      <c r="AG180" s="47"/>
      <c r="AK180" s="43">
        <v>0</v>
      </c>
      <c r="AL180" s="46"/>
      <c r="AQ180" s="43">
        <v>0</v>
      </c>
      <c r="AR180" s="46"/>
      <c r="AW180" s="43">
        <v>0</v>
      </c>
      <c r="AX180" s="46"/>
      <c r="AY180" s="47"/>
      <c r="BC180" s="43">
        <v>0</v>
      </c>
      <c r="BD180" s="46"/>
      <c r="BE180" s="47"/>
      <c r="BI180" s="43">
        <v>0</v>
      </c>
      <c r="BJ180" s="46"/>
      <c r="BP180" s="43">
        <v>0</v>
      </c>
      <c r="BQ180" s="46"/>
      <c r="BT180" s="43">
        <v>0</v>
      </c>
      <c r="BU180" s="46"/>
      <c r="BV180" s="47"/>
      <c r="BZ180" s="43">
        <v>0</v>
      </c>
      <c r="CA180" s="46"/>
      <c r="CF180" s="43">
        <v>0</v>
      </c>
      <c r="CG180" s="46"/>
      <c r="CL180" s="43">
        <v>0</v>
      </c>
      <c r="CM180" s="46"/>
      <c r="CN180" s="47"/>
      <c r="CR180" s="43">
        <v>0</v>
      </c>
      <c r="CS180" s="46"/>
      <c r="CX180" s="43">
        <v>0</v>
      </c>
      <c r="CY180" s="46"/>
      <c r="CZ180" s="47"/>
      <c r="DD180" s="43">
        <v>0</v>
      </c>
      <c r="DE180" s="46"/>
      <c r="DF180" s="47"/>
      <c r="DL180" s="43">
        <v>0</v>
      </c>
      <c r="DM180" s="46"/>
      <c r="DN180" s="47"/>
      <c r="DP180">
        <v>6</v>
      </c>
      <c r="DQ180">
        <v>8</v>
      </c>
      <c r="DR180" s="43">
        <v>-2</v>
      </c>
      <c r="DS180" s="46"/>
      <c r="DV180">
        <v>6</v>
      </c>
      <c r="DW180">
        <v>8</v>
      </c>
      <c r="DZ180" s="43">
        <v>-2</v>
      </c>
      <c r="EA180" s="46"/>
      <c r="EB180" s="47"/>
      <c r="EF180" s="43">
        <v>0</v>
      </c>
      <c r="EG180" s="46"/>
      <c r="EH180" s="47"/>
      <c r="EL180" s="43">
        <v>0</v>
      </c>
      <c r="EM180" s="46"/>
      <c r="EN180" s="47"/>
      <c r="ER180" s="43">
        <v>0</v>
      </c>
      <c r="ES180" s="46"/>
      <c r="EZ180" s="43">
        <v>0</v>
      </c>
      <c r="FA180" s="46"/>
      <c r="FG180" s="43">
        <v>0</v>
      </c>
      <c r="FH180" s="46"/>
      <c r="FI180" s="47"/>
      <c r="FL180" s="43">
        <v>0</v>
      </c>
      <c r="FM180" s="46"/>
      <c r="FN180" s="45">
        <v>6</v>
      </c>
      <c r="FP180">
        <v>4</v>
      </c>
      <c r="FQ180" s="43">
        <v>2</v>
      </c>
      <c r="FR180" s="46"/>
      <c r="FW180" s="43">
        <v>0</v>
      </c>
      <c r="FX180" s="46"/>
      <c r="FY180" s="47"/>
      <c r="GD180" s="43">
        <v>0</v>
      </c>
      <c r="GE180" s="46"/>
      <c r="GH180">
        <v>6</v>
      </c>
      <c r="GI180">
        <v>8</v>
      </c>
      <c r="GJ180" s="43">
        <v>-2</v>
      </c>
      <c r="GK180" s="46"/>
      <c r="GL180" s="47"/>
      <c r="GP180" s="43">
        <v>0</v>
      </c>
      <c r="GQ180" s="46"/>
      <c r="GV180" s="43">
        <v>0</v>
      </c>
      <c r="GW180" s="46"/>
      <c r="GX180" s="45">
        <v>12</v>
      </c>
      <c r="GY180" s="48">
        <v>10</v>
      </c>
      <c r="GZ180" s="43">
        <v>2</v>
      </c>
      <c r="HA180" s="46"/>
      <c r="HB180" s="47"/>
      <c r="HD180" s="48">
        <v>12</v>
      </c>
      <c r="HE180" s="43">
        <v>10</v>
      </c>
      <c r="HF180" s="43">
        <v>2</v>
      </c>
      <c r="HG180" s="46"/>
      <c r="HH180" s="47"/>
      <c r="HJ180" s="43">
        <v>0</v>
      </c>
      <c r="HK180" s="46"/>
      <c r="HL180" s="47"/>
      <c r="HP180" s="43">
        <v>0</v>
      </c>
      <c r="HQ180" s="46"/>
      <c r="HY180" s="49"/>
      <c r="HZ180" s="47"/>
      <c r="IE180" s="46"/>
      <c r="IK180" s="49"/>
      <c r="IQ180" s="49"/>
      <c r="IW180" s="49"/>
      <c r="JC180" s="46"/>
      <c r="JG180" s="49"/>
      <c r="JM180" s="46"/>
      <c r="JN180" s="45"/>
      <c r="JQ180" s="49"/>
      <c r="JW180" s="49"/>
      <c r="KC180" s="49"/>
      <c r="KI180" s="49"/>
      <c r="KK180" s="44"/>
      <c r="KO180" s="49"/>
      <c r="KP180" s="50"/>
      <c r="KW180" s="49"/>
      <c r="LC180" s="49"/>
      <c r="LI180" s="49"/>
      <c r="LJ180" s="50"/>
      <c r="LM180" s="49"/>
      <c r="LN180" s="50"/>
      <c r="LT180" s="49"/>
      <c r="LU180" s="50"/>
      <c r="LZ180" s="49"/>
      <c r="MA180" s="50"/>
      <c r="MD180" s="49"/>
      <c r="ME180" s="50"/>
      <c r="MJ180" s="49"/>
      <c r="MK180" s="50"/>
      <c r="MN180" s="49"/>
      <c r="MO180" s="50"/>
      <c r="MT180" s="49"/>
      <c r="MV180" s="46"/>
      <c r="MZ180" s="49"/>
      <c r="NA180" s="50"/>
      <c r="NE180" s="48"/>
      <c r="NF180" s="49"/>
      <c r="NG180" s="50"/>
      <c r="NL180" s="49"/>
      <c r="NM180" s="50"/>
      <c r="NR180" s="49"/>
      <c r="NS180" s="50"/>
      <c r="NX180" s="49"/>
      <c r="NY180" s="50"/>
      <c r="OA180" s="48"/>
      <c r="OD180" s="49"/>
      <c r="OE180" s="50"/>
      <c r="OH180" s="49"/>
      <c r="OI180" s="50"/>
      <c r="OK180" s="48"/>
      <c r="OL180" s="49"/>
      <c r="OM180" s="50"/>
      <c r="OR180" s="49"/>
      <c r="OS180" s="50"/>
      <c r="OV180" s="49"/>
      <c r="OW180" s="50"/>
      <c r="PB180" s="49"/>
      <c r="PC180" s="50"/>
      <c r="PF180" s="49"/>
      <c r="PG180" s="50"/>
      <c r="PL180" s="49"/>
      <c r="PM180" s="47"/>
      <c r="PN180" s="48"/>
      <c r="PP180" s="48"/>
      <c r="PR180" s="49"/>
      <c r="PS180" s="47"/>
      <c r="PX180" s="46"/>
      <c r="PY180" s="47"/>
      <c r="QB180" s="46"/>
      <c r="QC180" s="47"/>
      <c r="QH180" s="46"/>
      <c r="QI180" s="47"/>
      <c r="QN180" s="46"/>
      <c r="QO180" s="47"/>
      <c r="QT180" s="46"/>
      <c r="QU180" s="47"/>
      <c r="QX180" s="46"/>
      <c r="QY180" s="47"/>
      <c r="RD180" s="46"/>
    </row>
    <row r="181" spans="1:472" x14ac:dyDescent="0.25">
      <c r="A181" s="43" t="s">
        <v>469</v>
      </c>
      <c r="B181" s="44">
        <v>1</v>
      </c>
      <c r="I181" s="47"/>
      <c r="J181" s="51"/>
      <c r="K181" s="51"/>
      <c r="L181" s="51"/>
      <c r="M181" s="51">
        <f t="shared" si="15"/>
        <v>0</v>
      </c>
      <c r="N181" s="46"/>
      <c r="O181" s="47"/>
      <c r="P181" s="51"/>
      <c r="Q181" s="51"/>
      <c r="R181" s="51"/>
      <c r="S181" s="51">
        <f t="shared" si="16"/>
        <v>0</v>
      </c>
      <c r="T181" s="46"/>
      <c r="U181" s="47"/>
      <c r="V181" s="51"/>
      <c r="W181" s="51"/>
      <c r="X181" s="51"/>
      <c r="Y181" s="51">
        <f t="shared" si="17"/>
        <v>0</v>
      </c>
      <c r="Z181" s="46"/>
      <c r="AA181" s="51"/>
      <c r="AE181" s="43">
        <v>0</v>
      </c>
      <c r="AF181" s="46"/>
      <c r="AG181" s="47"/>
      <c r="AK181" s="43">
        <v>0</v>
      </c>
      <c r="AL181" s="46"/>
      <c r="AQ181" s="43">
        <v>0</v>
      </c>
      <c r="AR181" s="46"/>
      <c r="AW181" s="43">
        <v>0</v>
      </c>
      <c r="AX181" s="46"/>
      <c r="AY181" s="47"/>
      <c r="BC181" s="43">
        <v>0</v>
      </c>
      <c r="BD181" s="46"/>
      <c r="BE181" s="47"/>
      <c r="BI181" s="43">
        <v>0</v>
      </c>
      <c r="BJ181" s="46"/>
      <c r="BP181" s="43">
        <v>0</v>
      </c>
      <c r="BQ181" s="46"/>
      <c r="BT181" s="43">
        <v>0</v>
      </c>
      <c r="BU181" s="46"/>
      <c r="BV181" s="47"/>
      <c r="BZ181" s="43">
        <v>0</v>
      </c>
      <c r="CA181" s="46"/>
      <c r="CF181" s="43">
        <v>0</v>
      </c>
      <c r="CG181" s="46"/>
      <c r="CL181" s="43">
        <v>0</v>
      </c>
      <c r="CM181" s="46"/>
      <c r="CN181" s="47"/>
      <c r="CR181" s="43">
        <v>0</v>
      </c>
      <c r="CS181" s="46"/>
      <c r="CX181" s="43">
        <v>0</v>
      </c>
      <c r="CY181" s="46"/>
      <c r="CZ181" s="47"/>
      <c r="DD181" s="43">
        <v>0</v>
      </c>
      <c r="DE181" s="46"/>
      <c r="DF181" s="47"/>
      <c r="DL181" s="43">
        <v>0</v>
      </c>
      <c r="DM181" s="46"/>
      <c r="DN181" s="47"/>
      <c r="DR181" s="43">
        <v>0</v>
      </c>
      <c r="DS181" s="46"/>
      <c r="DZ181" s="43">
        <v>0</v>
      </c>
      <c r="EA181" s="46"/>
      <c r="EB181" s="47"/>
      <c r="EF181" s="43">
        <v>0</v>
      </c>
      <c r="EG181" s="46"/>
      <c r="EH181" s="47"/>
      <c r="EL181" s="43">
        <v>0</v>
      </c>
      <c r="EM181" s="46"/>
      <c r="EN181" s="47">
        <v>12</v>
      </c>
      <c r="EO181" s="43">
        <v>10</v>
      </c>
      <c r="ER181" s="43">
        <v>2</v>
      </c>
      <c r="ES181" s="46"/>
      <c r="EZ181" s="43">
        <v>0</v>
      </c>
      <c r="FA181" s="46"/>
      <c r="FG181" s="43">
        <v>0</v>
      </c>
      <c r="FH181" s="46"/>
      <c r="FI181" s="47"/>
      <c r="FL181" s="43">
        <v>0</v>
      </c>
      <c r="FM181" s="46"/>
      <c r="FN181" s="47"/>
      <c r="FQ181" s="43">
        <v>0</v>
      </c>
      <c r="FR181" s="46"/>
      <c r="FX181" s="46"/>
      <c r="FY181" s="47"/>
      <c r="GE181" s="46"/>
      <c r="GK181" s="46"/>
      <c r="GL181" s="47"/>
      <c r="GQ181" s="46"/>
      <c r="GW181" s="46"/>
      <c r="GX181" s="45"/>
      <c r="HA181" s="46"/>
      <c r="HB181" s="47"/>
      <c r="HG181" s="46"/>
      <c r="HH181" s="47"/>
      <c r="HK181" s="46"/>
      <c r="HL181" s="47"/>
      <c r="HQ181" s="46"/>
      <c r="HY181" s="49"/>
      <c r="HZ181" s="47"/>
      <c r="IE181" s="46"/>
      <c r="IK181" s="49"/>
      <c r="IQ181" s="49"/>
      <c r="IW181" s="49"/>
      <c r="JC181" s="46"/>
      <c r="JG181" s="49"/>
      <c r="JM181" s="46"/>
      <c r="JN181" s="45"/>
      <c r="JQ181" s="49"/>
      <c r="JW181" s="49"/>
      <c r="KC181" s="49"/>
      <c r="KI181" s="49"/>
      <c r="KK181" s="44"/>
      <c r="KO181" s="49"/>
      <c r="KP181" s="50"/>
      <c r="KW181" s="49"/>
      <c r="LC181" s="49"/>
      <c r="LI181" s="49"/>
      <c r="LJ181" s="50"/>
      <c r="LM181" s="49"/>
      <c r="LN181" s="50"/>
      <c r="LT181" s="49"/>
      <c r="LU181" s="50"/>
      <c r="LV181" s="48"/>
      <c r="LZ181" s="49"/>
      <c r="MA181" s="50"/>
      <c r="MD181" s="49"/>
      <c r="ME181" s="50"/>
      <c r="MJ181" s="49"/>
      <c r="MK181" s="50"/>
      <c r="MN181" s="49"/>
      <c r="MO181" s="50"/>
      <c r="MT181" s="49"/>
      <c r="MV181" s="46"/>
      <c r="MZ181" s="49"/>
      <c r="NA181" s="50"/>
      <c r="NE181" s="48"/>
      <c r="NF181" s="49"/>
      <c r="NG181" s="50"/>
      <c r="NL181" s="49"/>
      <c r="NM181" s="50"/>
      <c r="NR181" s="49"/>
      <c r="NS181" s="50"/>
      <c r="NX181" s="49"/>
      <c r="NY181" s="50"/>
      <c r="OA181" s="48"/>
      <c r="OD181" s="49"/>
      <c r="OE181" s="50"/>
      <c r="OH181" s="49"/>
      <c r="OI181" s="50"/>
      <c r="OK181" s="48"/>
      <c r="OL181" s="49"/>
      <c r="OM181" s="50"/>
      <c r="OR181" s="49"/>
      <c r="OS181" s="50"/>
      <c r="OV181" s="49"/>
      <c r="OW181" s="50"/>
      <c r="PB181" s="49"/>
      <c r="PC181" s="50"/>
      <c r="PF181" s="49"/>
      <c r="PG181" s="50"/>
      <c r="PL181" s="49"/>
      <c r="PM181" s="47"/>
      <c r="PN181" s="48"/>
      <c r="PP181" s="48"/>
      <c r="PR181" s="49"/>
      <c r="PS181" s="47"/>
      <c r="PX181" s="46"/>
      <c r="PY181" s="47"/>
      <c r="QB181" s="46"/>
      <c r="QC181" s="47"/>
      <c r="QH181" s="46"/>
      <c r="QI181" s="47"/>
      <c r="QN181" s="46"/>
      <c r="QO181" s="47"/>
      <c r="QT181" s="46"/>
      <c r="QU181" s="47"/>
      <c r="QX181" s="46"/>
      <c r="QY181" s="47"/>
      <c r="RD181" s="46"/>
    </row>
    <row r="182" spans="1:472" x14ac:dyDescent="0.25">
      <c r="A182" s="43" t="s">
        <v>470</v>
      </c>
      <c r="B182" s="44">
        <v>0.35</v>
      </c>
      <c r="E182">
        <v>300</v>
      </c>
      <c r="F182">
        <v>290</v>
      </c>
      <c r="I182" s="45">
        <v>400</v>
      </c>
      <c r="J182" s="52">
        <v>400</v>
      </c>
      <c r="K182" s="52">
        <v>480</v>
      </c>
      <c r="L182" s="52">
        <v>481</v>
      </c>
      <c r="M182" s="51">
        <f t="shared" si="15"/>
        <v>-1</v>
      </c>
      <c r="N182" s="46"/>
      <c r="O182" s="47"/>
      <c r="P182" s="51"/>
      <c r="Q182" s="51"/>
      <c r="R182" s="51"/>
      <c r="S182" s="51">
        <f t="shared" si="16"/>
        <v>0</v>
      </c>
      <c r="T182" s="46"/>
      <c r="U182" s="47"/>
      <c r="V182" s="51"/>
      <c r="W182" s="52">
        <v>296</v>
      </c>
      <c r="X182" s="52">
        <v>300</v>
      </c>
      <c r="Y182" s="51">
        <f t="shared" si="17"/>
        <v>-4</v>
      </c>
      <c r="Z182" s="46"/>
      <c r="AA182" s="51"/>
      <c r="AC182">
        <v>1600</v>
      </c>
      <c r="AD182">
        <v>1600</v>
      </c>
      <c r="AE182" s="43">
        <v>0</v>
      </c>
      <c r="AF182" s="46"/>
      <c r="AG182" s="45">
        <v>688</v>
      </c>
      <c r="AH182">
        <v>90</v>
      </c>
      <c r="AI182">
        <v>48</v>
      </c>
      <c r="AJ182">
        <v>48</v>
      </c>
      <c r="AK182" s="43">
        <v>598</v>
      </c>
      <c r="AL182" s="46"/>
      <c r="AM182">
        <v>168</v>
      </c>
      <c r="AN182">
        <v>170</v>
      </c>
      <c r="AO182">
        <v>176</v>
      </c>
      <c r="AP182">
        <v>175</v>
      </c>
      <c r="AQ182" s="43">
        <v>-1</v>
      </c>
      <c r="AR182" s="46"/>
      <c r="AW182" s="43">
        <v>0</v>
      </c>
      <c r="AX182" s="46"/>
      <c r="AY182" s="45">
        <v>496</v>
      </c>
      <c r="AZ182">
        <v>500</v>
      </c>
      <c r="BA182">
        <v>568</v>
      </c>
      <c r="BB182">
        <v>570</v>
      </c>
      <c r="BC182" s="43">
        <v>-6</v>
      </c>
      <c r="BD182" s="46"/>
      <c r="BE182" s="47"/>
      <c r="BI182" s="43">
        <v>0</v>
      </c>
      <c r="BJ182" s="46"/>
      <c r="BP182" s="43">
        <v>0</v>
      </c>
      <c r="BQ182" s="46"/>
      <c r="BT182" s="43">
        <v>0</v>
      </c>
      <c r="BU182" s="46"/>
      <c r="BV182" s="45">
        <v>1200</v>
      </c>
      <c r="BW182">
        <v>1200</v>
      </c>
      <c r="BX182">
        <v>1000</v>
      </c>
      <c r="BY182">
        <v>1000</v>
      </c>
      <c r="BZ182" s="43">
        <v>0</v>
      </c>
      <c r="CA182" s="46"/>
      <c r="CF182" s="43">
        <v>0</v>
      </c>
      <c r="CG182" s="46"/>
      <c r="CH182">
        <v>248</v>
      </c>
      <c r="CI182">
        <v>250</v>
      </c>
      <c r="CJ182">
        <v>304</v>
      </c>
      <c r="CK182">
        <v>309</v>
      </c>
      <c r="CL182" s="43">
        <v>-7</v>
      </c>
      <c r="CM182" s="46"/>
      <c r="CN182" s="47"/>
      <c r="CP182">
        <v>696</v>
      </c>
      <c r="CQ182">
        <v>700</v>
      </c>
      <c r="CR182" s="43">
        <v>-4</v>
      </c>
      <c r="CS182" s="46"/>
      <c r="CX182" s="43">
        <v>0</v>
      </c>
      <c r="CY182" s="46"/>
      <c r="CZ182" s="47"/>
      <c r="DD182" s="43">
        <v>0</v>
      </c>
      <c r="DE182" s="46"/>
      <c r="DF182" s="47"/>
      <c r="DJ182">
        <v>496</v>
      </c>
      <c r="DK182">
        <v>500</v>
      </c>
      <c r="DL182" s="43">
        <v>-4</v>
      </c>
      <c r="DM182" s="46"/>
      <c r="DN182" s="47"/>
      <c r="DP182">
        <v>1856</v>
      </c>
      <c r="DQ182">
        <v>1860</v>
      </c>
      <c r="DR182" s="43">
        <v>-4</v>
      </c>
      <c r="DS182" s="46"/>
      <c r="DZ182" s="43">
        <v>0</v>
      </c>
      <c r="EA182" s="46"/>
      <c r="EB182" s="47"/>
      <c r="EF182" s="43">
        <v>0</v>
      </c>
      <c r="EG182" s="46"/>
      <c r="EH182" s="45">
        <v>88</v>
      </c>
      <c r="EI182">
        <v>90</v>
      </c>
      <c r="EJ182">
        <v>152</v>
      </c>
      <c r="EK182">
        <v>150</v>
      </c>
      <c r="EL182" s="43">
        <v>0</v>
      </c>
      <c r="EM182" s="46"/>
      <c r="EN182" s="45">
        <v>600</v>
      </c>
      <c r="EO182">
        <v>600</v>
      </c>
      <c r="EP182">
        <v>496</v>
      </c>
      <c r="EQ182">
        <v>500</v>
      </c>
      <c r="ER182" s="43">
        <v>-4</v>
      </c>
      <c r="ES182" s="46"/>
      <c r="EX182">
        <v>448</v>
      </c>
      <c r="EY182">
        <v>450</v>
      </c>
      <c r="EZ182" s="43">
        <v>-2</v>
      </c>
      <c r="FA182" s="46"/>
      <c r="FD182">
        <v>320</v>
      </c>
      <c r="FF182">
        <v>320</v>
      </c>
      <c r="FG182" s="43">
        <v>0</v>
      </c>
      <c r="FH182" s="46"/>
      <c r="FI182" s="47"/>
      <c r="FL182" s="43">
        <v>0</v>
      </c>
      <c r="FM182" s="46"/>
      <c r="FN182" s="45">
        <v>352</v>
      </c>
      <c r="FP182">
        <v>353</v>
      </c>
      <c r="FQ182" s="43">
        <v>-1</v>
      </c>
      <c r="FR182" s="46"/>
      <c r="FS182">
        <v>480</v>
      </c>
      <c r="FV182">
        <v>480</v>
      </c>
      <c r="FW182" s="43">
        <v>0</v>
      </c>
      <c r="FX182" s="46"/>
      <c r="FY182" s="45">
        <v>40</v>
      </c>
      <c r="GA182">
        <v>40</v>
      </c>
      <c r="GB182">
        <v>80</v>
      </c>
      <c r="GC182">
        <v>80</v>
      </c>
      <c r="GD182" s="43">
        <v>0</v>
      </c>
      <c r="GE182" s="46"/>
      <c r="GF182">
        <v>152</v>
      </c>
      <c r="GG182">
        <v>150</v>
      </c>
      <c r="GH182">
        <v>152</v>
      </c>
      <c r="GI182">
        <v>150</v>
      </c>
      <c r="GJ182" s="43">
        <v>4</v>
      </c>
      <c r="GK182" s="46"/>
      <c r="GL182" s="47"/>
      <c r="GN182">
        <v>176</v>
      </c>
      <c r="GO182">
        <v>180</v>
      </c>
      <c r="GP182" s="43">
        <v>-4</v>
      </c>
      <c r="GQ182" s="46"/>
      <c r="GT182">
        <v>496</v>
      </c>
      <c r="GU182">
        <v>500</v>
      </c>
      <c r="GV182" s="43">
        <v>-4</v>
      </c>
      <c r="GW182" s="46"/>
      <c r="GX182" s="45">
        <v>200</v>
      </c>
      <c r="GY182" s="48">
        <v>200</v>
      </c>
      <c r="GZ182" s="43">
        <v>0</v>
      </c>
      <c r="HA182" s="46"/>
      <c r="HB182" s="47"/>
      <c r="HD182">
        <v>2000</v>
      </c>
      <c r="HE182">
        <v>2000</v>
      </c>
      <c r="HF182" s="43">
        <v>0</v>
      </c>
      <c r="HG182" s="46"/>
      <c r="HH182" s="45">
        <v>96</v>
      </c>
      <c r="HI182" s="43">
        <v>100</v>
      </c>
      <c r="HJ182" s="43">
        <v>-4</v>
      </c>
      <c r="HK182" s="46"/>
      <c r="HL182" s="45">
        <v>176</v>
      </c>
      <c r="HM182" s="43">
        <v>180</v>
      </c>
      <c r="HN182">
        <v>96</v>
      </c>
      <c r="HO182">
        <v>100</v>
      </c>
      <c r="HP182" s="43">
        <v>-8</v>
      </c>
      <c r="HQ182" s="46"/>
      <c r="HX182" s="43">
        <v>0</v>
      </c>
      <c r="HY182" s="46"/>
      <c r="HZ182" s="47"/>
      <c r="IE182" s="46"/>
      <c r="IK182" s="49"/>
      <c r="IQ182" s="49"/>
      <c r="IW182" s="49"/>
      <c r="JC182" s="46"/>
      <c r="JG182" s="49"/>
      <c r="JM182" s="46"/>
      <c r="JN182" s="45"/>
      <c r="JQ182" s="49"/>
      <c r="JW182" s="49"/>
      <c r="KC182" s="49"/>
      <c r="KI182" s="49"/>
      <c r="KK182" s="44"/>
      <c r="KO182" s="49"/>
      <c r="KP182" s="50"/>
      <c r="KW182" s="49"/>
      <c r="LC182" s="49"/>
      <c r="LI182" s="49"/>
      <c r="LJ182" s="50"/>
      <c r="LM182" s="49"/>
      <c r="LN182" s="50"/>
      <c r="LT182" s="49"/>
      <c r="LU182" s="50"/>
      <c r="LZ182" s="49"/>
      <c r="MA182" s="50"/>
      <c r="MD182" s="49"/>
      <c r="ME182" s="50"/>
      <c r="MJ182" s="49"/>
      <c r="MK182" s="50"/>
      <c r="MN182" s="49"/>
      <c r="MO182" s="50"/>
      <c r="MT182" s="49"/>
      <c r="MV182" s="46"/>
      <c r="MZ182" s="49"/>
      <c r="NA182" s="50"/>
      <c r="NF182" s="49"/>
      <c r="NG182" s="50"/>
      <c r="NL182" s="49"/>
      <c r="NM182" s="50"/>
      <c r="NN182" s="48"/>
      <c r="NR182" s="49"/>
      <c r="NS182" s="50"/>
      <c r="NX182" s="49"/>
      <c r="NY182" s="50"/>
      <c r="OA182" s="48"/>
      <c r="OD182" s="49"/>
      <c r="OE182" s="50"/>
      <c r="OH182" s="49"/>
      <c r="OI182" s="50"/>
      <c r="OK182" s="48"/>
      <c r="OL182" s="49"/>
      <c r="OM182" s="50"/>
      <c r="OR182" s="49"/>
      <c r="OS182" s="50"/>
      <c r="OV182" s="49"/>
      <c r="OW182" s="50"/>
      <c r="PB182" s="49"/>
      <c r="PC182" s="50"/>
      <c r="PF182" s="49"/>
      <c r="PG182" s="50"/>
      <c r="PL182" s="49"/>
      <c r="PM182" s="47"/>
      <c r="PN182" s="48"/>
      <c r="PP182" s="48"/>
      <c r="PR182" s="49"/>
      <c r="PS182" s="47"/>
      <c r="PX182" s="46"/>
      <c r="PY182" s="47"/>
      <c r="QB182" s="46"/>
      <c r="QC182" s="47"/>
      <c r="QH182" s="46"/>
      <c r="QI182" s="47"/>
      <c r="QN182" s="46"/>
      <c r="QO182" s="47"/>
      <c r="QT182" s="46"/>
      <c r="QU182" s="47"/>
      <c r="QX182" s="46"/>
      <c r="QY182" s="47"/>
      <c r="RD182" s="46"/>
    </row>
    <row r="183" spans="1:472" x14ac:dyDescent="0.25">
      <c r="A183" s="43" t="s">
        <v>471</v>
      </c>
      <c r="B183" s="44">
        <v>1</v>
      </c>
      <c r="F183">
        <v>4</v>
      </c>
      <c r="I183" s="47"/>
      <c r="J183" s="51"/>
      <c r="K183" s="52">
        <v>32</v>
      </c>
      <c r="L183" s="52">
        <v>30</v>
      </c>
      <c r="M183" s="51">
        <f t="shared" si="15"/>
        <v>2</v>
      </c>
      <c r="N183" s="46"/>
      <c r="O183" s="47"/>
      <c r="P183" s="51"/>
      <c r="Q183" s="51"/>
      <c r="R183" s="51"/>
      <c r="S183" s="51">
        <f t="shared" si="16"/>
        <v>0</v>
      </c>
      <c r="T183" s="46"/>
      <c r="U183" s="47"/>
      <c r="V183" s="51"/>
      <c r="W183" s="52">
        <v>17</v>
      </c>
      <c r="X183" s="51">
        <v>14</v>
      </c>
      <c r="Y183" s="51">
        <f t="shared" si="17"/>
        <v>3</v>
      </c>
      <c r="Z183" s="46"/>
      <c r="AA183" s="51"/>
      <c r="AE183" s="43">
        <v>0</v>
      </c>
      <c r="AF183" s="46"/>
      <c r="AG183" s="45">
        <v>11</v>
      </c>
      <c r="AH183">
        <v>10</v>
      </c>
      <c r="AK183" s="43">
        <v>1</v>
      </c>
      <c r="AL183" s="46"/>
      <c r="AQ183" s="43">
        <v>0</v>
      </c>
      <c r="AR183" s="46"/>
      <c r="AW183" s="43">
        <v>0</v>
      </c>
      <c r="AX183" s="46"/>
      <c r="AY183" s="47"/>
      <c r="BC183" s="43">
        <v>0</v>
      </c>
      <c r="BD183" s="46"/>
      <c r="BE183" s="47"/>
      <c r="BI183" s="43">
        <v>0</v>
      </c>
      <c r="BJ183" s="46"/>
      <c r="BQ183" s="46"/>
      <c r="BU183" s="46"/>
      <c r="BV183" s="45"/>
      <c r="CA183" s="46"/>
      <c r="CG183" s="46"/>
      <c r="CM183" s="46"/>
      <c r="CN183" s="47"/>
      <c r="CS183" s="46"/>
      <c r="CY183" s="46"/>
      <c r="CZ183" s="47"/>
      <c r="DE183" s="46"/>
      <c r="DF183" s="47"/>
      <c r="DM183" s="46"/>
      <c r="DN183" s="47"/>
      <c r="DS183" s="46"/>
      <c r="EA183" s="46"/>
      <c r="EB183" s="47"/>
      <c r="EG183" s="46"/>
      <c r="EH183" s="45"/>
      <c r="EL183" s="43"/>
      <c r="EM183" s="46"/>
      <c r="EN183" s="45"/>
      <c r="ER183" s="43"/>
      <c r="ES183" s="46"/>
      <c r="FA183" s="46"/>
      <c r="FB183" s="43"/>
      <c r="FH183" s="46"/>
      <c r="FI183" s="47"/>
      <c r="FM183" s="46"/>
      <c r="FN183" s="45"/>
      <c r="FR183" s="46"/>
      <c r="FX183" s="46"/>
      <c r="FY183" s="45"/>
      <c r="GE183" s="46"/>
      <c r="GF183" s="43"/>
      <c r="GK183" s="46"/>
      <c r="GL183" s="47"/>
      <c r="GP183" s="43"/>
      <c r="GQ183" s="46"/>
      <c r="GW183" s="46"/>
      <c r="GX183" s="45"/>
      <c r="HA183" s="46"/>
      <c r="HB183" s="47"/>
      <c r="HG183" s="46"/>
      <c r="HH183" s="45"/>
      <c r="HJ183" s="43"/>
      <c r="HK183" s="46"/>
      <c r="HL183" s="45"/>
      <c r="HP183" s="43"/>
      <c r="HQ183" s="46"/>
      <c r="HY183" s="46"/>
      <c r="HZ183" s="47"/>
      <c r="IE183" s="46"/>
      <c r="IK183" s="49"/>
      <c r="IQ183" s="49"/>
      <c r="IR183" s="48"/>
      <c r="IS183" s="48"/>
      <c r="IU183" s="48"/>
      <c r="IW183" s="49"/>
      <c r="JC183" s="46"/>
      <c r="JG183" s="49"/>
      <c r="JM183" s="46"/>
      <c r="JN183" s="45"/>
      <c r="JQ183" s="49"/>
      <c r="JW183" s="49"/>
      <c r="KC183" s="49"/>
      <c r="KI183" s="49"/>
      <c r="KK183" s="44"/>
      <c r="KO183" s="49"/>
      <c r="KP183" s="50"/>
      <c r="KW183" s="49"/>
      <c r="LC183" s="49"/>
      <c r="LI183" s="49"/>
      <c r="LJ183" s="50"/>
      <c r="LM183" s="49"/>
      <c r="LN183" s="50"/>
      <c r="LT183" s="49"/>
      <c r="LU183" s="50"/>
      <c r="LZ183" s="49"/>
      <c r="MA183" s="50"/>
      <c r="MD183" s="49"/>
      <c r="ME183" s="50"/>
      <c r="MJ183" s="49"/>
      <c r="MK183" s="50"/>
      <c r="MN183" s="49"/>
      <c r="MO183" s="50"/>
      <c r="MT183" s="49"/>
      <c r="MV183" s="46"/>
      <c r="MZ183" s="49"/>
      <c r="NA183" s="50"/>
      <c r="NF183" s="49"/>
      <c r="NG183" s="50"/>
      <c r="NL183" s="49"/>
      <c r="NM183" s="50"/>
      <c r="NN183" s="48"/>
      <c r="NR183" s="49"/>
      <c r="NS183" s="50"/>
      <c r="NX183" s="49"/>
      <c r="NY183" s="50"/>
      <c r="OA183" s="48"/>
      <c r="OD183" s="49"/>
      <c r="OE183" s="50"/>
      <c r="OH183" s="49"/>
      <c r="OI183" s="50"/>
      <c r="OK183" s="48"/>
      <c r="OL183" s="49"/>
      <c r="OM183" s="50"/>
      <c r="OR183" s="49"/>
      <c r="OS183" s="50"/>
      <c r="OV183" s="49"/>
      <c r="OW183" s="50"/>
      <c r="PB183" s="49"/>
      <c r="PC183" s="50"/>
      <c r="PF183" s="49"/>
      <c r="PG183" s="50"/>
      <c r="PL183" s="49"/>
      <c r="PM183" s="47"/>
      <c r="PN183" s="48"/>
      <c r="PP183" s="48"/>
      <c r="PR183" s="49"/>
      <c r="PS183" s="47"/>
      <c r="PX183" s="46"/>
      <c r="PY183" s="47"/>
      <c r="QB183" s="46"/>
      <c r="QC183" s="47"/>
      <c r="QH183" s="46"/>
      <c r="QI183" s="47"/>
      <c r="QN183" s="46"/>
      <c r="QO183" s="47"/>
      <c r="QT183" s="46"/>
      <c r="QU183" s="47"/>
      <c r="QX183" s="46"/>
      <c r="QY183" s="47"/>
      <c r="RD183" s="46"/>
    </row>
    <row r="184" spans="1:472" x14ac:dyDescent="0.25">
      <c r="A184" s="43" t="s">
        <v>472</v>
      </c>
      <c r="B184" s="44">
        <v>1</v>
      </c>
      <c r="E184">
        <v>214</v>
      </c>
      <c r="F184">
        <v>3</v>
      </c>
      <c r="I184" s="45">
        <v>201</v>
      </c>
      <c r="J184" s="52">
        <v>200</v>
      </c>
      <c r="K184" s="52">
        <v>224</v>
      </c>
      <c r="L184" s="52">
        <v>223</v>
      </c>
      <c r="M184" s="51">
        <f t="shared" si="15"/>
        <v>2</v>
      </c>
      <c r="N184" s="46"/>
      <c r="O184" s="45">
        <v>118</v>
      </c>
      <c r="P184" s="52">
        <v>120</v>
      </c>
      <c r="Q184" s="52">
        <v>137</v>
      </c>
      <c r="R184" s="52">
        <v>141</v>
      </c>
      <c r="S184" s="51">
        <f t="shared" si="16"/>
        <v>-6</v>
      </c>
      <c r="T184" s="46"/>
      <c r="U184" s="45">
        <v>218</v>
      </c>
      <c r="V184" s="52">
        <v>220</v>
      </c>
      <c r="W184" s="52">
        <v>203</v>
      </c>
      <c r="X184" s="52">
        <v>200</v>
      </c>
      <c r="Y184" s="51">
        <f t="shared" si="17"/>
        <v>1</v>
      </c>
      <c r="Z184" s="46"/>
      <c r="AA184" s="52">
        <v>41</v>
      </c>
      <c r="AB184">
        <v>38</v>
      </c>
      <c r="AE184" s="43">
        <v>3</v>
      </c>
      <c r="AF184" s="46"/>
      <c r="AG184" s="45">
        <v>217</v>
      </c>
      <c r="AH184">
        <v>220</v>
      </c>
      <c r="AI184">
        <v>277</v>
      </c>
      <c r="AJ184">
        <v>277</v>
      </c>
      <c r="AK184" s="43">
        <v>-3</v>
      </c>
      <c r="AL184" s="46"/>
      <c r="AM184">
        <v>90</v>
      </c>
      <c r="AN184">
        <v>89</v>
      </c>
      <c r="AO184">
        <v>100</v>
      </c>
      <c r="AP184">
        <v>100</v>
      </c>
      <c r="AQ184" s="43">
        <v>1</v>
      </c>
      <c r="AR184" s="46"/>
      <c r="AS184">
        <v>180</v>
      </c>
      <c r="AT184">
        <v>180</v>
      </c>
      <c r="AU184">
        <v>178</v>
      </c>
      <c r="AV184">
        <v>179</v>
      </c>
      <c r="AW184" s="43">
        <v>-1</v>
      </c>
      <c r="AX184" s="46"/>
      <c r="AY184" s="47"/>
      <c r="BA184">
        <v>51</v>
      </c>
      <c r="BB184">
        <v>51</v>
      </c>
      <c r="BC184" s="43">
        <v>0</v>
      </c>
      <c r="BD184" s="46"/>
      <c r="BE184" s="45">
        <v>257</v>
      </c>
      <c r="BF184">
        <v>260</v>
      </c>
      <c r="BG184">
        <v>247</v>
      </c>
      <c r="BH184">
        <v>245</v>
      </c>
      <c r="BI184" s="43">
        <v>-1</v>
      </c>
      <c r="BJ184" s="46"/>
      <c r="BN184">
        <v>96</v>
      </c>
      <c r="BO184">
        <v>95</v>
      </c>
      <c r="BP184" s="43">
        <v>1</v>
      </c>
      <c r="BQ184" s="46"/>
      <c r="BR184">
        <v>203</v>
      </c>
      <c r="BS184">
        <v>200</v>
      </c>
      <c r="BT184" s="43">
        <v>3</v>
      </c>
      <c r="BU184" s="46"/>
      <c r="BV184" s="45">
        <v>294</v>
      </c>
      <c r="BW184">
        <v>289</v>
      </c>
      <c r="BX184">
        <v>302</v>
      </c>
      <c r="BY184">
        <v>305</v>
      </c>
      <c r="BZ184" s="43">
        <v>2</v>
      </c>
      <c r="CA184" s="46"/>
      <c r="CB184">
        <v>117</v>
      </c>
      <c r="CC184">
        <v>120</v>
      </c>
      <c r="CD184">
        <v>180</v>
      </c>
      <c r="CE184">
        <v>177</v>
      </c>
      <c r="CF184" s="43">
        <v>0</v>
      </c>
      <c r="CG184" s="46"/>
      <c r="CJ184">
        <v>180</v>
      </c>
      <c r="CK184">
        <v>179</v>
      </c>
      <c r="CL184" s="43">
        <v>1</v>
      </c>
      <c r="CM184" s="46"/>
      <c r="CN184" s="47"/>
      <c r="CP184">
        <v>163</v>
      </c>
      <c r="CQ184">
        <v>164</v>
      </c>
      <c r="CR184" s="43">
        <v>-1</v>
      </c>
      <c r="CS184" s="46"/>
      <c r="CT184">
        <v>90</v>
      </c>
      <c r="CU184">
        <v>87</v>
      </c>
      <c r="CX184" s="43">
        <v>3</v>
      </c>
      <c r="CY184" s="46"/>
      <c r="CZ184" s="47"/>
      <c r="DD184" s="43">
        <v>0</v>
      </c>
      <c r="DE184" s="46"/>
      <c r="DF184" s="45">
        <v>154</v>
      </c>
      <c r="DG184">
        <v>150</v>
      </c>
      <c r="DH184">
        <v>282</v>
      </c>
      <c r="DI184">
        <v>280</v>
      </c>
      <c r="DJ184">
        <v>204</v>
      </c>
      <c r="DK184">
        <v>200</v>
      </c>
      <c r="DL184" s="43">
        <v>10</v>
      </c>
      <c r="DM184" s="46"/>
      <c r="DN184" s="45">
        <v>90</v>
      </c>
      <c r="DO184">
        <v>90</v>
      </c>
      <c r="DP184">
        <v>102</v>
      </c>
      <c r="DQ184">
        <v>100</v>
      </c>
      <c r="DR184" s="43">
        <v>2</v>
      </c>
      <c r="DS184" s="46"/>
      <c r="DT184">
        <v>102</v>
      </c>
      <c r="DU184">
        <v>100</v>
      </c>
      <c r="DV184">
        <v>274</v>
      </c>
      <c r="DW184">
        <v>270</v>
      </c>
      <c r="DX184">
        <v>101</v>
      </c>
      <c r="DY184">
        <v>100</v>
      </c>
      <c r="DZ184" s="43">
        <v>7</v>
      </c>
      <c r="EA184" s="46"/>
      <c r="EB184" s="47"/>
      <c r="EF184" s="43">
        <v>0</v>
      </c>
      <c r="EG184" s="46"/>
      <c r="EH184" s="47"/>
      <c r="EJ184">
        <v>345</v>
      </c>
      <c r="EK184">
        <v>340</v>
      </c>
      <c r="EL184" s="43">
        <v>5</v>
      </c>
      <c r="EM184" s="46"/>
      <c r="EN184" s="47"/>
      <c r="ER184" s="43">
        <v>0</v>
      </c>
      <c r="ES184" s="46"/>
      <c r="ET184">
        <v>102</v>
      </c>
      <c r="EU184">
        <v>100</v>
      </c>
      <c r="EV184">
        <v>102</v>
      </c>
      <c r="EW184">
        <v>100</v>
      </c>
      <c r="EX184">
        <v>214</v>
      </c>
      <c r="EY184">
        <v>210</v>
      </c>
      <c r="EZ184" s="43">
        <v>8</v>
      </c>
      <c r="FA184" s="46"/>
      <c r="FB184">
        <v>101</v>
      </c>
      <c r="FC184">
        <v>100</v>
      </c>
      <c r="FD184">
        <v>118</v>
      </c>
      <c r="FF184">
        <v>120</v>
      </c>
      <c r="FG184" s="43">
        <v>-1</v>
      </c>
      <c r="FH184" s="46"/>
      <c r="FI184" s="47"/>
      <c r="FL184" s="43">
        <v>0</v>
      </c>
      <c r="FM184" s="46"/>
      <c r="FN184" s="45">
        <v>169</v>
      </c>
      <c r="FP184">
        <v>168</v>
      </c>
      <c r="FQ184" s="43">
        <v>1</v>
      </c>
      <c r="FR184" s="46"/>
      <c r="FS184">
        <v>119</v>
      </c>
      <c r="FV184">
        <v>120</v>
      </c>
      <c r="FW184" s="43">
        <v>-1</v>
      </c>
      <c r="FX184" s="46"/>
      <c r="FY184" s="45">
        <v>130</v>
      </c>
      <c r="GA184">
        <v>130</v>
      </c>
      <c r="GB184">
        <v>130</v>
      </c>
      <c r="GC184">
        <v>130</v>
      </c>
      <c r="GD184" s="43">
        <v>0</v>
      </c>
      <c r="GE184" s="46"/>
      <c r="GH184">
        <v>50</v>
      </c>
      <c r="GI184">
        <v>50</v>
      </c>
      <c r="GJ184" s="43">
        <v>0</v>
      </c>
      <c r="GK184" s="46"/>
      <c r="GL184" s="47"/>
      <c r="GN184">
        <v>282</v>
      </c>
      <c r="GO184">
        <v>280</v>
      </c>
      <c r="GP184" s="43">
        <v>2</v>
      </c>
      <c r="GQ184" s="46"/>
      <c r="GR184">
        <v>73</v>
      </c>
      <c r="GS184">
        <v>70</v>
      </c>
      <c r="GT184">
        <v>79</v>
      </c>
      <c r="GU184">
        <v>80</v>
      </c>
      <c r="GV184" s="43">
        <v>2</v>
      </c>
      <c r="GW184" s="46"/>
      <c r="GX184" s="47"/>
      <c r="GZ184" s="43">
        <v>0</v>
      </c>
      <c r="HA184" s="46"/>
      <c r="HB184" s="47"/>
      <c r="HD184">
        <v>101</v>
      </c>
      <c r="HE184">
        <v>100</v>
      </c>
      <c r="HF184" s="43">
        <v>1</v>
      </c>
      <c r="HG184" s="46"/>
      <c r="HH184" s="45">
        <v>23</v>
      </c>
      <c r="HI184" s="43">
        <v>20</v>
      </c>
      <c r="HJ184" s="43">
        <v>3</v>
      </c>
      <c r="HK184" s="46"/>
      <c r="HL184" s="45">
        <v>151</v>
      </c>
      <c r="HM184" s="43">
        <v>150</v>
      </c>
      <c r="HN184">
        <v>97</v>
      </c>
      <c r="HO184">
        <v>100</v>
      </c>
      <c r="HP184" s="43">
        <v>-2</v>
      </c>
      <c r="HQ184" s="46"/>
      <c r="HX184" s="43">
        <v>0</v>
      </c>
      <c r="HY184" s="46"/>
      <c r="HZ184" s="47"/>
      <c r="IE184" s="46"/>
      <c r="IK184" s="49"/>
      <c r="IQ184" s="49"/>
      <c r="IW184" s="49"/>
      <c r="JC184" s="46"/>
      <c r="JG184" s="49"/>
      <c r="JM184" s="46"/>
      <c r="JN184" s="45"/>
      <c r="JQ184" s="49"/>
      <c r="JW184" s="49"/>
      <c r="KC184" s="49"/>
      <c r="KI184" s="49"/>
      <c r="KK184" s="44"/>
      <c r="KO184" s="49"/>
      <c r="KP184" s="50"/>
      <c r="KW184" s="49"/>
      <c r="LC184" s="49"/>
      <c r="LI184" s="49"/>
      <c r="LJ184" s="50"/>
      <c r="LM184" s="49"/>
      <c r="LN184" s="50"/>
      <c r="LT184" s="49"/>
      <c r="LU184" s="50"/>
      <c r="LZ184" s="49"/>
      <c r="MA184" s="50"/>
      <c r="MD184" s="49"/>
      <c r="ME184" s="50"/>
      <c r="MJ184" s="49"/>
      <c r="MK184" s="50"/>
      <c r="MN184" s="49"/>
      <c r="MO184" s="50"/>
      <c r="MT184" s="49"/>
      <c r="MV184" s="46"/>
      <c r="MZ184" s="49"/>
      <c r="NA184" s="50"/>
      <c r="NF184" s="49"/>
      <c r="NG184" s="50"/>
      <c r="NL184" s="49"/>
      <c r="NM184" s="50"/>
      <c r="NN184" s="48"/>
      <c r="NR184" s="49"/>
      <c r="NS184" s="50"/>
      <c r="NX184" s="49"/>
      <c r="NY184" s="50"/>
      <c r="OA184" s="48"/>
      <c r="OD184" s="49"/>
      <c r="OE184" s="50"/>
      <c r="OH184" s="49"/>
      <c r="OI184" s="50"/>
      <c r="OK184" s="48"/>
      <c r="OL184" s="49"/>
      <c r="OM184" s="50"/>
      <c r="OR184" s="49"/>
      <c r="OS184" s="50"/>
      <c r="OV184" s="49"/>
      <c r="OW184" s="50"/>
      <c r="PB184" s="49"/>
      <c r="PC184" s="50"/>
      <c r="PF184" s="49"/>
      <c r="PG184" s="50"/>
      <c r="PL184" s="49"/>
      <c r="PM184" s="47"/>
      <c r="PN184" s="48"/>
      <c r="PP184" s="48"/>
      <c r="PR184" s="49"/>
      <c r="PS184" s="47"/>
      <c r="PX184" s="46"/>
      <c r="PY184" s="47"/>
      <c r="QB184" s="46"/>
      <c r="QC184" s="47"/>
      <c r="QH184" s="46"/>
      <c r="QI184" s="47"/>
      <c r="QN184" s="46"/>
      <c r="QO184" s="47"/>
      <c r="QT184" s="46"/>
      <c r="QU184" s="47"/>
      <c r="QX184" s="46"/>
      <c r="QY184" s="47"/>
      <c r="RD184" s="46"/>
    </row>
    <row r="185" spans="1:472" x14ac:dyDescent="0.25">
      <c r="A185" s="43" t="s">
        <v>473</v>
      </c>
      <c r="B185" s="44">
        <v>0.35</v>
      </c>
      <c r="E185">
        <v>550</v>
      </c>
      <c r="F185">
        <v>448</v>
      </c>
      <c r="I185" s="45">
        <v>456</v>
      </c>
      <c r="J185" s="52">
        <v>460</v>
      </c>
      <c r="K185" s="52">
        <v>520</v>
      </c>
      <c r="L185" s="52">
        <v>522</v>
      </c>
      <c r="M185" s="51">
        <f t="shared" si="15"/>
        <v>-6</v>
      </c>
      <c r="N185" s="46"/>
      <c r="O185" s="45">
        <v>216</v>
      </c>
      <c r="P185" s="52">
        <v>220</v>
      </c>
      <c r="Q185" s="52">
        <v>192</v>
      </c>
      <c r="R185" s="52">
        <v>191</v>
      </c>
      <c r="S185" s="51">
        <f t="shared" si="16"/>
        <v>-3</v>
      </c>
      <c r="T185" s="46"/>
      <c r="U185" s="47"/>
      <c r="V185" s="51"/>
      <c r="W185" s="51"/>
      <c r="X185" s="51"/>
      <c r="Y185" s="51">
        <f t="shared" si="17"/>
        <v>0</v>
      </c>
      <c r="Z185" s="46"/>
      <c r="AA185" s="52">
        <v>600</v>
      </c>
      <c r="AB185">
        <v>600</v>
      </c>
      <c r="AC185">
        <v>776</v>
      </c>
      <c r="AD185">
        <v>776</v>
      </c>
      <c r="AE185" s="43">
        <v>0</v>
      </c>
      <c r="AF185" s="46"/>
      <c r="AG185" s="45">
        <v>152</v>
      </c>
      <c r="AH185">
        <v>150</v>
      </c>
      <c r="AI185">
        <v>64</v>
      </c>
      <c r="AJ185">
        <v>64</v>
      </c>
      <c r="AK185" s="43">
        <v>2</v>
      </c>
      <c r="AL185" s="46"/>
      <c r="AM185">
        <v>848</v>
      </c>
      <c r="AN185">
        <v>850</v>
      </c>
      <c r="AO185">
        <v>904</v>
      </c>
      <c r="AP185">
        <v>902</v>
      </c>
      <c r="AQ185" s="43">
        <v>0</v>
      </c>
      <c r="AR185" s="46"/>
      <c r="AS185">
        <v>120</v>
      </c>
      <c r="AT185">
        <v>120</v>
      </c>
      <c r="AU185">
        <v>128</v>
      </c>
      <c r="AV185">
        <v>129</v>
      </c>
      <c r="AW185" s="43">
        <v>-1</v>
      </c>
      <c r="AX185" s="46"/>
      <c r="AY185" s="45">
        <v>120</v>
      </c>
      <c r="AZ185">
        <v>120</v>
      </c>
      <c r="BA185">
        <v>160</v>
      </c>
      <c r="BB185">
        <v>162</v>
      </c>
      <c r="BC185" s="43">
        <v>-2</v>
      </c>
      <c r="BD185" s="46"/>
      <c r="BE185" s="45">
        <v>400</v>
      </c>
      <c r="BF185">
        <v>400</v>
      </c>
      <c r="BG185">
        <v>312</v>
      </c>
      <c r="BH185">
        <v>310</v>
      </c>
      <c r="BI185" s="43">
        <v>2</v>
      </c>
      <c r="BJ185" s="46"/>
      <c r="BK185">
        <v>480</v>
      </c>
      <c r="BL185">
        <v>480</v>
      </c>
      <c r="BN185">
        <v>480</v>
      </c>
      <c r="BO185">
        <v>485</v>
      </c>
      <c r="BP185" s="43">
        <v>-5</v>
      </c>
      <c r="BQ185" s="46"/>
      <c r="BR185">
        <v>400</v>
      </c>
      <c r="BS185">
        <v>400</v>
      </c>
      <c r="BT185" s="43">
        <v>0</v>
      </c>
      <c r="BU185" s="46"/>
      <c r="BV185" s="45">
        <v>528</v>
      </c>
      <c r="BW185">
        <v>530</v>
      </c>
      <c r="BX185">
        <v>904</v>
      </c>
      <c r="BY185">
        <v>906</v>
      </c>
      <c r="BZ185" s="43">
        <v>-4</v>
      </c>
      <c r="CA185" s="46"/>
      <c r="CB185">
        <v>152</v>
      </c>
      <c r="CC185">
        <v>150</v>
      </c>
      <c r="CD185">
        <v>240</v>
      </c>
      <c r="CE185">
        <v>244</v>
      </c>
      <c r="CF185" s="43">
        <v>-2</v>
      </c>
      <c r="CG185" s="46"/>
      <c r="CH185">
        <v>344</v>
      </c>
      <c r="CI185">
        <v>343</v>
      </c>
      <c r="CL185" s="43">
        <v>1</v>
      </c>
      <c r="CM185" s="46"/>
      <c r="CN185" s="45">
        <v>288</v>
      </c>
      <c r="CO185">
        <v>290</v>
      </c>
      <c r="CP185">
        <v>784</v>
      </c>
      <c r="CQ185">
        <v>784</v>
      </c>
      <c r="CR185" s="43">
        <v>-2</v>
      </c>
      <c r="CS185" s="46"/>
      <c r="CX185" s="43">
        <v>0</v>
      </c>
      <c r="CY185" s="46"/>
      <c r="CZ185" s="47"/>
      <c r="DB185">
        <v>376</v>
      </c>
      <c r="DC185">
        <v>381</v>
      </c>
      <c r="DD185" s="43">
        <v>-5</v>
      </c>
      <c r="DE185" s="46"/>
      <c r="DF185" s="47"/>
      <c r="DH185">
        <v>696</v>
      </c>
      <c r="DI185">
        <v>700</v>
      </c>
      <c r="DJ185">
        <v>560</v>
      </c>
      <c r="DK185">
        <v>561</v>
      </c>
      <c r="DL185" s="43">
        <v>-5</v>
      </c>
      <c r="DM185" s="46"/>
      <c r="DN185" s="45">
        <v>320</v>
      </c>
      <c r="DO185">
        <v>320</v>
      </c>
      <c r="DP185">
        <v>360</v>
      </c>
      <c r="DQ185">
        <v>360</v>
      </c>
      <c r="DR185" s="43">
        <v>0</v>
      </c>
      <c r="DS185" s="46"/>
      <c r="DT185">
        <v>96</v>
      </c>
      <c r="DU185">
        <v>100</v>
      </c>
      <c r="DV185">
        <v>248</v>
      </c>
      <c r="DW185">
        <v>250</v>
      </c>
      <c r="DX185">
        <v>96</v>
      </c>
      <c r="DY185">
        <v>100</v>
      </c>
      <c r="DZ185" s="43">
        <v>-10</v>
      </c>
      <c r="EA185" s="46"/>
      <c r="EB185" s="45">
        <v>112</v>
      </c>
      <c r="EC185">
        <v>110</v>
      </c>
      <c r="ED185">
        <v>792</v>
      </c>
      <c r="EE185">
        <v>790</v>
      </c>
      <c r="EF185" s="43">
        <v>4</v>
      </c>
      <c r="EG185" s="46"/>
      <c r="EH185" s="47"/>
      <c r="EJ185">
        <v>232</v>
      </c>
      <c r="EK185">
        <v>230</v>
      </c>
      <c r="EL185" s="43">
        <v>2</v>
      </c>
      <c r="EM185" s="46"/>
      <c r="EN185" s="45">
        <v>296</v>
      </c>
      <c r="EO185">
        <v>300</v>
      </c>
      <c r="EP185">
        <v>208</v>
      </c>
      <c r="EQ185">
        <v>210</v>
      </c>
      <c r="ER185" s="43">
        <v>-6</v>
      </c>
      <c r="ES185" s="46"/>
      <c r="ET185">
        <v>160</v>
      </c>
      <c r="EU185">
        <v>160</v>
      </c>
      <c r="EV185">
        <v>400</v>
      </c>
      <c r="EW185">
        <v>400</v>
      </c>
      <c r="EX185">
        <v>640</v>
      </c>
      <c r="EY185">
        <v>640</v>
      </c>
      <c r="EZ185" s="43">
        <v>0</v>
      </c>
      <c r="FA185" s="46"/>
      <c r="FD185">
        <v>400</v>
      </c>
      <c r="FF185">
        <v>400</v>
      </c>
      <c r="FG185" s="43">
        <v>0</v>
      </c>
      <c r="FH185" s="46"/>
      <c r="FI185" s="45">
        <v>560</v>
      </c>
      <c r="FK185" s="48">
        <v>557.9</v>
      </c>
      <c r="FL185" s="43">
        <v>2.1000000000000232</v>
      </c>
      <c r="FM185" s="46"/>
      <c r="FN185" s="45">
        <v>160</v>
      </c>
      <c r="FP185">
        <v>159</v>
      </c>
      <c r="FQ185" s="43">
        <v>1</v>
      </c>
      <c r="FR185" s="46"/>
      <c r="FS185">
        <v>368</v>
      </c>
      <c r="FV185">
        <v>370</v>
      </c>
      <c r="FW185" s="43">
        <v>-2</v>
      </c>
      <c r="FX185" s="46"/>
      <c r="FY185" s="45">
        <v>448</v>
      </c>
      <c r="GA185">
        <v>450</v>
      </c>
      <c r="GB185">
        <v>456</v>
      </c>
      <c r="GC185">
        <v>460</v>
      </c>
      <c r="GD185" s="43">
        <v>-6</v>
      </c>
      <c r="GE185" s="46"/>
      <c r="GF185">
        <v>112</v>
      </c>
      <c r="GG185">
        <v>110</v>
      </c>
      <c r="GH185">
        <v>112</v>
      </c>
      <c r="GI185">
        <v>110</v>
      </c>
      <c r="GJ185" s="43">
        <v>4</v>
      </c>
      <c r="GK185" s="46"/>
      <c r="GL185" s="45">
        <v>352</v>
      </c>
      <c r="GM185">
        <v>350</v>
      </c>
      <c r="GN185">
        <v>432</v>
      </c>
      <c r="GO185">
        <v>430</v>
      </c>
      <c r="GP185" s="43">
        <v>4</v>
      </c>
      <c r="GQ185" s="46"/>
      <c r="GR185">
        <v>248</v>
      </c>
      <c r="GS185">
        <v>250</v>
      </c>
      <c r="GT185">
        <v>248</v>
      </c>
      <c r="GU185">
        <v>250</v>
      </c>
      <c r="GV185" s="43">
        <v>-4</v>
      </c>
      <c r="GW185" s="46"/>
      <c r="GX185" s="45">
        <v>296</v>
      </c>
      <c r="GY185" s="48">
        <v>300</v>
      </c>
      <c r="GZ185" s="43">
        <v>-4</v>
      </c>
      <c r="HA185" s="46"/>
      <c r="HB185" s="45">
        <v>200</v>
      </c>
      <c r="HC185">
        <v>200</v>
      </c>
      <c r="HD185">
        <v>200</v>
      </c>
      <c r="HE185">
        <v>200</v>
      </c>
      <c r="HF185" s="43">
        <v>0</v>
      </c>
      <c r="HG185" s="46"/>
      <c r="HH185" s="45">
        <v>96</v>
      </c>
      <c r="HI185" s="43">
        <v>100</v>
      </c>
      <c r="HJ185" s="43">
        <v>-4</v>
      </c>
      <c r="HK185" s="46"/>
      <c r="HL185" s="45">
        <v>152</v>
      </c>
      <c r="HM185" s="43">
        <v>150</v>
      </c>
      <c r="HN185">
        <v>152</v>
      </c>
      <c r="HO185">
        <v>150</v>
      </c>
      <c r="HP185" s="43">
        <v>4</v>
      </c>
      <c r="HQ185" s="46"/>
      <c r="HX185" s="43">
        <v>0</v>
      </c>
      <c r="HY185" s="46"/>
      <c r="HZ185" s="47"/>
      <c r="IE185" s="46"/>
      <c r="IK185" s="49"/>
      <c r="IQ185" s="49"/>
      <c r="IW185" s="49"/>
      <c r="JC185" s="46"/>
      <c r="JG185" s="49"/>
      <c r="JM185" s="46"/>
      <c r="JN185" s="45"/>
      <c r="JQ185" s="49"/>
      <c r="JW185" s="49"/>
      <c r="KC185" s="49"/>
      <c r="KI185" s="49"/>
      <c r="KK185" s="44"/>
      <c r="KO185" s="49"/>
      <c r="KP185" s="50"/>
      <c r="KW185" s="49"/>
      <c r="LC185" s="49"/>
      <c r="LI185" s="49"/>
      <c r="LJ185" s="50"/>
      <c r="LM185" s="49"/>
      <c r="LN185" s="50"/>
      <c r="LT185" s="49"/>
      <c r="LU185" s="50"/>
      <c r="LZ185" s="49"/>
      <c r="MA185" s="50"/>
      <c r="MD185" s="49"/>
      <c r="ME185" s="50"/>
      <c r="MJ185" s="49"/>
      <c r="MK185" s="50"/>
      <c r="MN185" s="49"/>
      <c r="MO185" s="50"/>
      <c r="MT185" s="49"/>
      <c r="MV185" s="46"/>
      <c r="MZ185" s="49"/>
      <c r="NA185" s="50"/>
      <c r="NF185" s="49"/>
      <c r="NG185" s="50"/>
      <c r="NL185" s="49"/>
      <c r="NM185" s="50"/>
      <c r="NN185" s="48"/>
      <c r="NR185" s="49"/>
      <c r="NS185" s="50"/>
      <c r="NX185" s="49"/>
      <c r="NY185" s="50"/>
      <c r="OA185" s="48"/>
      <c r="OD185" s="49"/>
      <c r="OE185" s="50"/>
      <c r="OH185" s="49"/>
      <c r="OI185" s="50"/>
      <c r="OK185" s="48"/>
      <c r="OL185" s="49"/>
      <c r="OM185" s="50"/>
      <c r="OR185" s="49"/>
      <c r="OS185" s="50"/>
      <c r="OV185" s="49"/>
      <c r="OW185" s="50"/>
      <c r="PB185" s="49"/>
      <c r="PC185" s="50"/>
      <c r="PF185" s="49"/>
      <c r="PG185" s="50"/>
      <c r="PL185" s="49"/>
      <c r="PM185" s="47"/>
      <c r="PN185" s="48"/>
      <c r="PP185" s="48"/>
      <c r="PR185" s="49"/>
      <c r="PS185" s="47"/>
      <c r="PX185" s="46"/>
      <c r="PY185" s="47"/>
      <c r="QB185" s="46"/>
      <c r="QC185" s="47"/>
      <c r="QH185" s="46"/>
      <c r="QI185" s="47"/>
      <c r="QN185" s="46"/>
      <c r="QO185" s="47"/>
      <c r="QT185" s="46"/>
      <c r="QU185" s="47"/>
      <c r="QX185" s="46"/>
      <c r="QY185" s="47"/>
      <c r="RD185" s="46"/>
    </row>
    <row r="186" spans="1:472" x14ac:dyDescent="0.25">
      <c r="A186" s="43" t="s">
        <v>474</v>
      </c>
      <c r="B186" s="44">
        <v>0.28000000000000003</v>
      </c>
      <c r="I186" s="47"/>
      <c r="J186" s="51"/>
      <c r="K186" s="51"/>
      <c r="L186" s="51"/>
      <c r="M186" s="51">
        <f t="shared" si="15"/>
        <v>0</v>
      </c>
      <c r="N186" s="46"/>
      <c r="O186" s="47"/>
      <c r="P186" s="51"/>
      <c r="Q186" s="51"/>
      <c r="R186" s="51"/>
      <c r="S186" s="51">
        <f t="shared" si="16"/>
        <v>0</v>
      </c>
      <c r="T186" s="46"/>
      <c r="U186" s="47"/>
      <c r="V186" s="51"/>
      <c r="W186" s="51"/>
      <c r="X186" s="51"/>
      <c r="Y186" s="51">
        <f t="shared" si="17"/>
        <v>0</v>
      </c>
      <c r="Z186" s="46"/>
      <c r="AA186" s="51"/>
      <c r="AE186" s="43">
        <v>0</v>
      </c>
      <c r="AF186" s="46"/>
      <c r="AG186" s="47"/>
      <c r="AK186" s="43">
        <v>0</v>
      </c>
      <c r="AL186" s="46"/>
      <c r="AQ186" s="43">
        <v>0</v>
      </c>
      <c r="AR186" s="46"/>
      <c r="AW186" s="43">
        <v>0</v>
      </c>
      <c r="AX186" s="46"/>
      <c r="AY186" s="47"/>
      <c r="BC186" s="43">
        <v>0</v>
      </c>
      <c r="BD186" s="46"/>
      <c r="BE186" s="47"/>
      <c r="BI186" s="43">
        <v>0</v>
      </c>
      <c r="BJ186" s="46"/>
      <c r="BP186" s="43">
        <v>0</v>
      </c>
      <c r="BQ186" s="46"/>
      <c r="BT186" s="43">
        <v>0</v>
      </c>
      <c r="BU186" s="46"/>
      <c r="BV186" s="47"/>
      <c r="BZ186" s="43">
        <v>0</v>
      </c>
      <c r="CA186" s="46"/>
      <c r="CF186" s="43">
        <v>0</v>
      </c>
      <c r="CG186" s="46"/>
      <c r="CL186" s="43">
        <v>0</v>
      </c>
      <c r="CM186" s="46"/>
      <c r="CN186" s="47"/>
      <c r="CR186" s="43">
        <v>0</v>
      </c>
      <c r="CS186" s="46"/>
      <c r="CX186" s="43">
        <v>0</v>
      </c>
      <c r="CY186" s="46"/>
      <c r="CZ186" s="47"/>
      <c r="DD186" s="43">
        <v>0</v>
      </c>
      <c r="DE186" s="46"/>
      <c r="DF186" s="47"/>
      <c r="DL186" s="43">
        <v>0</v>
      </c>
      <c r="DM186" s="46"/>
      <c r="DN186" s="47"/>
      <c r="DR186" s="43">
        <v>0</v>
      </c>
      <c r="DS186" s="46"/>
      <c r="DZ186" s="43">
        <v>0</v>
      </c>
      <c r="EA186" s="46"/>
      <c r="EB186" s="47"/>
      <c r="EF186" s="43">
        <v>0</v>
      </c>
      <c r="EG186" s="46"/>
      <c r="EH186" s="47"/>
      <c r="EL186" s="43">
        <v>0</v>
      </c>
      <c r="EM186" s="46"/>
      <c r="EN186" s="47"/>
      <c r="ER186" s="43">
        <v>0</v>
      </c>
      <c r="ES186" s="46"/>
      <c r="EZ186" s="43">
        <v>0</v>
      </c>
      <c r="FA186" s="46"/>
      <c r="FG186" s="43">
        <v>0</v>
      </c>
      <c r="FH186" s="46"/>
      <c r="FI186" s="47"/>
      <c r="FL186" s="43">
        <v>0</v>
      </c>
      <c r="FM186" s="46"/>
      <c r="FN186" s="47"/>
      <c r="FQ186" s="43">
        <v>0</v>
      </c>
      <c r="FR186" s="46"/>
      <c r="FW186" s="43">
        <v>0</v>
      </c>
      <c r="FX186" s="46"/>
      <c r="FY186" s="47"/>
      <c r="GC186">
        <v>160</v>
      </c>
      <c r="GD186" s="43">
        <v>0</v>
      </c>
      <c r="GE186" s="46"/>
      <c r="GI186" s="38">
        <v>64</v>
      </c>
      <c r="GJ186" s="43">
        <v>0</v>
      </c>
      <c r="GK186" s="46"/>
      <c r="GL186" s="47"/>
      <c r="GP186" s="43">
        <v>0</v>
      </c>
      <c r="GQ186" s="46"/>
      <c r="GR186">
        <v>80</v>
      </c>
      <c r="GS186">
        <v>80</v>
      </c>
      <c r="GT186">
        <v>80</v>
      </c>
      <c r="GU186">
        <v>80</v>
      </c>
      <c r="GV186" s="43">
        <v>0</v>
      </c>
      <c r="GW186" s="46"/>
      <c r="GX186" s="47"/>
      <c r="GZ186" s="43">
        <v>0</v>
      </c>
      <c r="HA186" s="46"/>
      <c r="HB186" s="47"/>
      <c r="HD186">
        <v>120</v>
      </c>
      <c r="HE186" s="43">
        <v>120</v>
      </c>
      <c r="HF186" s="43">
        <v>0</v>
      </c>
      <c r="HG186" s="46"/>
      <c r="HH186" s="45">
        <v>48</v>
      </c>
      <c r="HI186" s="43">
        <v>50</v>
      </c>
      <c r="HJ186" s="43">
        <v>-2</v>
      </c>
      <c r="HK186" s="46"/>
      <c r="HL186" s="47"/>
      <c r="HP186" s="43">
        <v>0</v>
      </c>
      <c r="HQ186" s="46"/>
      <c r="HX186" s="43">
        <v>0</v>
      </c>
      <c r="HY186" s="46"/>
      <c r="HZ186" s="47"/>
      <c r="IE186" s="46"/>
      <c r="IK186" s="49"/>
      <c r="IQ186" s="49"/>
      <c r="IW186" s="49"/>
      <c r="JC186" s="46"/>
      <c r="JG186" s="49"/>
      <c r="JM186" s="46"/>
      <c r="JN186" s="45"/>
      <c r="JQ186" s="49"/>
      <c r="JW186" s="49"/>
      <c r="KC186" s="49"/>
      <c r="KI186" s="49"/>
      <c r="KK186" s="44"/>
      <c r="KO186" s="49"/>
      <c r="KP186" s="50"/>
      <c r="KW186" s="49"/>
      <c r="LC186" s="49"/>
      <c r="LI186" s="49"/>
      <c r="LJ186" s="50"/>
      <c r="LM186" s="49"/>
      <c r="LN186" s="50"/>
      <c r="LT186" s="49"/>
      <c r="LU186" s="50"/>
      <c r="LZ186" s="49"/>
      <c r="MA186" s="50"/>
      <c r="MD186" s="49"/>
      <c r="ME186" s="50"/>
      <c r="MJ186" s="49"/>
      <c r="MK186" s="50"/>
      <c r="MN186" s="49"/>
      <c r="MO186" s="50"/>
      <c r="MT186" s="49"/>
      <c r="MV186" s="46"/>
      <c r="MZ186" s="49"/>
      <c r="NA186" s="50"/>
      <c r="NF186" s="49"/>
      <c r="NG186" s="50"/>
      <c r="NL186" s="49"/>
      <c r="NM186" s="50"/>
      <c r="NN186" s="48"/>
      <c r="NR186" s="49"/>
      <c r="NS186" s="50"/>
      <c r="NX186" s="49"/>
      <c r="NY186" s="50"/>
      <c r="OA186" s="48"/>
      <c r="OD186" s="49"/>
      <c r="OE186" s="50"/>
      <c r="OH186" s="49"/>
      <c r="OI186" s="50"/>
      <c r="OK186" s="48"/>
      <c r="OL186" s="49"/>
      <c r="OM186" s="50"/>
      <c r="OR186" s="49"/>
      <c r="OS186" s="50"/>
      <c r="OV186" s="49"/>
      <c r="OW186" s="50"/>
      <c r="PB186" s="49"/>
      <c r="PC186" s="50"/>
      <c r="PF186" s="49"/>
      <c r="PG186" s="50"/>
      <c r="PL186" s="49"/>
      <c r="PM186" s="47"/>
      <c r="PN186" s="48"/>
      <c r="PP186" s="48"/>
      <c r="PR186" s="49"/>
      <c r="PS186" s="47"/>
      <c r="PX186" s="46"/>
      <c r="PY186" s="47"/>
      <c r="QB186" s="46"/>
      <c r="QC186" s="47"/>
      <c r="QH186" s="46"/>
      <c r="QI186" s="47"/>
      <c r="QN186" s="46"/>
      <c r="QO186" s="47"/>
      <c r="QT186" s="46"/>
      <c r="QU186" s="47"/>
      <c r="QX186" s="46"/>
      <c r="QY186" s="47"/>
      <c r="RD186" s="46"/>
    </row>
    <row r="187" spans="1:472" x14ac:dyDescent="0.25">
      <c r="A187" s="43" t="s">
        <v>475</v>
      </c>
      <c r="B187" s="44">
        <v>0.3</v>
      </c>
      <c r="I187" s="47"/>
      <c r="J187" s="51"/>
      <c r="K187" s="52">
        <v>6</v>
      </c>
      <c r="L187" s="52">
        <v>7</v>
      </c>
      <c r="M187" s="51">
        <f t="shared" si="15"/>
        <v>-1</v>
      </c>
      <c r="N187" s="46"/>
      <c r="O187" s="47"/>
      <c r="P187" s="51"/>
      <c r="Q187" s="52">
        <v>18</v>
      </c>
      <c r="R187" s="52">
        <v>18</v>
      </c>
      <c r="S187" s="51">
        <f t="shared" si="16"/>
        <v>0</v>
      </c>
      <c r="T187" s="46"/>
      <c r="U187" s="47"/>
      <c r="V187" s="51"/>
      <c r="W187" s="51"/>
      <c r="X187" s="51"/>
      <c r="Y187" s="51">
        <f t="shared" si="17"/>
        <v>0</v>
      </c>
      <c r="Z187" s="46"/>
      <c r="AA187" s="51"/>
      <c r="AC187">
        <v>6</v>
      </c>
      <c r="AD187">
        <v>6</v>
      </c>
      <c r="AE187" s="43">
        <v>0</v>
      </c>
      <c r="AF187" s="46"/>
      <c r="AG187" s="47"/>
      <c r="AI187">
        <v>12</v>
      </c>
      <c r="AJ187">
        <v>10</v>
      </c>
      <c r="AK187" s="43">
        <v>2</v>
      </c>
      <c r="AL187" s="46"/>
      <c r="AQ187" s="43">
        <v>0</v>
      </c>
      <c r="AR187" s="46"/>
      <c r="AU187">
        <v>6</v>
      </c>
      <c r="AV187">
        <v>4</v>
      </c>
      <c r="AW187" s="43">
        <v>2</v>
      </c>
      <c r="AX187" s="46"/>
      <c r="AY187" s="47"/>
      <c r="BA187">
        <v>6</v>
      </c>
      <c r="BB187">
        <v>9</v>
      </c>
      <c r="BC187" s="43">
        <v>-3</v>
      </c>
      <c r="BD187" s="46"/>
      <c r="BE187" s="47"/>
      <c r="BG187">
        <v>6</v>
      </c>
      <c r="BH187">
        <v>8</v>
      </c>
      <c r="BI187" s="43">
        <v>-2</v>
      </c>
      <c r="BJ187" s="46"/>
      <c r="BN187">
        <v>6</v>
      </c>
      <c r="BO187">
        <v>8</v>
      </c>
      <c r="BP187" s="43">
        <v>-2</v>
      </c>
      <c r="BQ187" s="46"/>
      <c r="BT187" s="43">
        <v>0</v>
      </c>
      <c r="BU187" s="46"/>
      <c r="BV187" s="47"/>
      <c r="BW187">
        <v>7</v>
      </c>
      <c r="BZ187" s="42">
        <v>-7</v>
      </c>
      <c r="CA187" s="46">
        <v>2.1</v>
      </c>
      <c r="CD187">
        <v>6</v>
      </c>
      <c r="CE187">
        <v>8</v>
      </c>
      <c r="CF187" s="43">
        <v>-2</v>
      </c>
      <c r="CG187" s="46"/>
      <c r="CL187" s="43">
        <v>0</v>
      </c>
      <c r="CM187" s="46"/>
      <c r="CN187" s="47"/>
      <c r="CQ187">
        <v>24</v>
      </c>
      <c r="CR187" s="42">
        <v>-24</v>
      </c>
      <c r="CS187" s="46">
        <v>7.1999999999999993</v>
      </c>
      <c r="CV187">
        <v>6</v>
      </c>
      <c r="CW187">
        <v>8</v>
      </c>
      <c r="CX187" s="43">
        <v>-2</v>
      </c>
      <c r="CY187" s="46"/>
      <c r="CZ187" s="47"/>
      <c r="DD187" s="43">
        <v>0</v>
      </c>
      <c r="DE187" s="46"/>
      <c r="DF187" s="47"/>
      <c r="DK187">
        <v>16</v>
      </c>
      <c r="DL187" s="42">
        <v>-16</v>
      </c>
      <c r="DM187" s="46">
        <v>4.8</v>
      </c>
      <c r="DN187" s="47"/>
      <c r="DR187" s="43">
        <v>0</v>
      </c>
      <c r="DS187" s="46"/>
      <c r="DZ187" s="43">
        <v>0</v>
      </c>
      <c r="EA187" s="46"/>
      <c r="EB187" s="47"/>
      <c r="EF187" s="43">
        <v>0</v>
      </c>
      <c r="EG187" s="46"/>
      <c r="EH187" s="47"/>
      <c r="EL187" s="43">
        <v>0</v>
      </c>
      <c r="EM187" s="46"/>
      <c r="EN187" s="45">
        <v>24</v>
      </c>
      <c r="EO187">
        <v>24</v>
      </c>
      <c r="EP187">
        <v>30</v>
      </c>
      <c r="EQ187">
        <v>32</v>
      </c>
      <c r="ER187" s="43">
        <v>-2</v>
      </c>
      <c r="ES187" s="46"/>
      <c r="EZ187" s="43">
        <v>0</v>
      </c>
      <c r="FA187" s="46"/>
      <c r="FG187" s="43">
        <v>0</v>
      </c>
      <c r="FH187" s="46"/>
      <c r="FI187" s="45">
        <v>60</v>
      </c>
      <c r="FK187" s="48">
        <v>58.8</v>
      </c>
      <c r="FL187" s="43">
        <v>1.2000000000000031</v>
      </c>
      <c r="FM187" s="46"/>
      <c r="FN187" s="47"/>
      <c r="FQ187" s="43">
        <v>0</v>
      </c>
      <c r="FR187" s="46"/>
      <c r="FW187" s="43">
        <v>0</v>
      </c>
      <c r="FX187" s="46"/>
      <c r="FY187" s="47">
        <v>42</v>
      </c>
      <c r="GA187" s="43">
        <v>42</v>
      </c>
      <c r="GD187" s="43">
        <v>0</v>
      </c>
      <c r="GE187" s="46"/>
      <c r="GJ187" s="43">
        <v>0</v>
      </c>
      <c r="GK187" s="46"/>
      <c r="GL187" s="47"/>
      <c r="GQ187" s="46"/>
      <c r="GW187" s="46"/>
      <c r="GX187" s="47"/>
      <c r="HA187" s="46"/>
      <c r="HB187" s="47"/>
      <c r="HG187" s="46"/>
      <c r="HH187" s="45"/>
      <c r="HK187" s="46"/>
      <c r="HL187" s="47"/>
      <c r="HQ187" s="46"/>
      <c r="HY187" s="46"/>
      <c r="HZ187" s="47"/>
      <c r="IE187" s="46"/>
      <c r="IK187" s="49"/>
      <c r="IQ187" s="49"/>
      <c r="IW187" s="49"/>
      <c r="JC187" s="46"/>
      <c r="JG187" s="49"/>
      <c r="JM187" s="46"/>
      <c r="JN187" s="45"/>
      <c r="JQ187" s="49"/>
      <c r="JW187" s="49"/>
      <c r="KC187" s="49"/>
      <c r="KI187" s="49"/>
      <c r="KK187" s="44"/>
      <c r="KO187" s="49"/>
      <c r="KP187" s="50"/>
      <c r="KW187" s="49"/>
      <c r="LC187" s="49"/>
      <c r="LI187" s="49"/>
      <c r="LJ187" s="50"/>
      <c r="LM187" s="49"/>
      <c r="LN187" s="50"/>
      <c r="LT187" s="49"/>
      <c r="LU187" s="50"/>
      <c r="LZ187" s="49"/>
      <c r="MA187" s="50"/>
      <c r="MD187" s="49"/>
      <c r="ME187" s="50"/>
      <c r="MJ187" s="49"/>
      <c r="MK187" s="50"/>
      <c r="MN187" s="49"/>
      <c r="MO187" s="50"/>
      <c r="MT187" s="49"/>
      <c r="MV187" s="46"/>
      <c r="MZ187" s="49"/>
      <c r="NA187" s="50"/>
      <c r="NF187" s="49"/>
      <c r="NG187" s="50"/>
      <c r="NL187" s="49"/>
      <c r="NM187" s="50"/>
      <c r="NN187" s="48"/>
      <c r="NR187" s="49"/>
      <c r="NS187" s="50"/>
      <c r="NX187" s="49"/>
      <c r="NY187" s="50"/>
      <c r="OA187" s="48"/>
      <c r="OD187" s="49"/>
      <c r="OE187" s="50"/>
      <c r="OH187" s="49"/>
      <c r="OI187" s="50"/>
      <c r="OK187" s="48"/>
      <c r="OL187" s="49"/>
      <c r="OM187" s="50"/>
      <c r="OR187" s="49"/>
      <c r="OS187" s="50"/>
      <c r="OV187" s="49"/>
      <c r="OW187" s="50"/>
      <c r="PB187" s="49"/>
      <c r="PC187" s="50"/>
      <c r="PF187" s="49"/>
      <c r="PG187" s="50"/>
      <c r="PL187" s="49"/>
      <c r="PM187" s="47"/>
      <c r="PN187" s="48"/>
      <c r="PP187" s="48"/>
      <c r="PR187" s="49"/>
      <c r="PS187" s="47"/>
      <c r="PX187" s="46"/>
      <c r="PY187" s="47"/>
      <c r="QB187" s="46"/>
      <c r="QC187" s="47"/>
      <c r="QH187" s="46"/>
      <c r="QI187" s="47"/>
      <c r="QN187" s="46"/>
      <c r="QO187" s="47"/>
      <c r="QT187" s="46"/>
      <c r="QU187" s="47"/>
      <c r="QX187" s="46"/>
      <c r="QY187" s="47"/>
      <c r="RD187" s="46"/>
    </row>
    <row r="188" spans="1:472" x14ac:dyDescent="0.25">
      <c r="A188" s="43" t="s">
        <v>476</v>
      </c>
      <c r="B188" s="44">
        <v>0.18</v>
      </c>
      <c r="I188" s="47"/>
      <c r="J188" s="51"/>
      <c r="K188" s="51"/>
      <c r="L188" s="51"/>
      <c r="M188" s="51">
        <f t="shared" si="15"/>
        <v>0</v>
      </c>
      <c r="N188" s="46"/>
      <c r="O188" s="47"/>
      <c r="P188" s="51"/>
      <c r="Q188" s="51"/>
      <c r="R188" s="51"/>
      <c r="S188" s="51">
        <f t="shared" si="16"/>
        <v>0</v>
      </c>
      <c r="T188" s="46"/>
      <c r="U188" s="47"/>
      <c r="V188" s="51"/>
      <c r="W188" s="51"/>
      <c r="X188" s="51"/>
      <c r="Y188" s="51">
        <f t="shared" si="17"/>
        <v>0</v>
      </c>
      <c r="Z188" s="46"/>
      <c r="AA188" s="51"/>
      <c r="AE188" s="43">
        <v>0</v>
      </c>
      <c r="AF188" s="46"/>
      <c r="AG188" s="47"/>
      <c r="AK188" s="43">
        <v>0</v>
      </c>
      <c r="AL188" s="46"/>
      <c r="AP188">
        <v>20</v>
      </c>
      <c r="AQ188" s="42">
        <v>-20</v>
      </c>
      <c r="AR188" s="46">
        <v>3.6</v>
      </c>
      <c r="AT188">
        <v>20</v>
      </c>
      <c r="AW188" s="42">
        <v>-20</v>
      </c>
      <c r="AX188" s="46">
        <v>3.6</v>
      </c>
      <c r="AY188" s="47"/>
      <c r="BB188">
        <v>20</v>
      </c>
      <c r="BC188" s="42">
        <v>-20</v>
      </c>
      <c r="BD188" s="46">
        <v>3.6</v>
      </c>
      <c r="BE188" s="47"/>
      <c r="BI188" s="43">
        <v>0</v>
      </c>
      <c r="BJ188" s="46"/>
      <c r="BO188">
        <v>20</v>
      </c>
      <c r="BP188" s="42">
        <v>-20</v>
      </c>
      <c r="BQ188" s="46">
        <v>3.6</v>
      </c>
      <c r="BT188" s="43">
        <v>0</v>
      </c>
      <c r="BU188" s="46"/>
      <c r="BV188" s="47"/>
      <c r="BY188">
        <v>20</v>
      </c>
      <c r="BZ188" s="42">
        <v>-20</v>
      </c>
      <c r="CA188" s="46">
        <v>3.6</v>
      </c>
      <c r="CF188" s="43">
        <v>0</v>
      </c>
      <c r="CG188" s="46"/>
      <c r="CK188">
        <v>20</v>
      </c>
      <c r="CL188" s="42">
        <v>-20</v>
      </c>
      <c r="CM188" s="46">
        <v>3.6</v>
      </c>
      <c r="CN188" s="47"/>
      <c r="CR188" s="43">
        <v>0</v>
      </c>
      <c r="CS188" s="46"/>
      <c r="CU188">
        <v>20</v>
      </c>
      <c r="CX188" s="42">
        <v>-20</v>
      </c>
      <c r="CY188" s="46">
        <v>3.6</v>
      </c>
      <c r="CZ188" s="47"/>
      <c r="DC188">
        <v>20</v>
      </c>
      <c r="DD188" s="42">
        <v>-20</v>
      </c>
      <c r="DE188" s="46">
        <v>3.6</v>
      </c>
      <c r="DF188" s="47"/>
      <c r="DL188" s="43">
        <v>0</v>
      </c>
      <c r="DM188" s="46"/>
      <c r="DN188" s="47"/>
      <c r="DQ188">
        <v>40</v>
      </c>
      <c r="DR188" s="42">
        <v>-40</v>
      </c>
      <c r="DS188" s="46">
        <v>7.1999999999999993</v>
      </c>
      <c r="DZ188" s="43">
        <v>0</v>
      </c>
      <c r="EA188" s="46"/>
      <c r="EB188" s="47"/>
      <c r="EF188" s="43">
        <v>0</v>
      </c>
      <c r="EG188" s="46"/>
      <c r="EH188" s="47"/>
      <c r="EK188">
        <v>19</v>
      </c>
      <c r="EL188" s="42">
        <v>-19</v>
      </c>
      <c r="EM188" s="46">
        <v>3.42</v>
      </c>
      <c r="EN188" s="47"/>
      <c r="EO188" s="43">
        <v>50</v>
      </c>
      <c r="EQ188" s="43">
        <v>50</v>
      </c>
      <c r="ER188" s="42">
        <v>-100</v>
      </c>
      <c r="ES188" s="46">
        <v>18</v>
      </c>
      <c r="EZ188" s="43">
        <v>0</v>
      </c>
      <c r="FA188" s="46"/>
      <c r="FC188" s="43">
        <v>60</v>
      </c>
      <c r="FG188" s="42">
        <v>-60</v>
      </c>
      <c r="FH188" s="46">
        <v>10.8</v>
      </c>
      <c r="FI188" s="45">
        <v>128</v>
      </c>
      <c r="FL188" s="43">
        <v>128</v>
      </c>
      <c r="FM188" s="46"/>
      <c r="FN188" s="47"/>
      <c r="FQ188" s="43">
        <v>0</v>
      </c>
      <c r="FR188" s="46"/>
      <c r="FX188" s="46"/>
      <c r="FY188" s="47"/>
      <c r="GE188" s="46"/>
      <c r="GK188" s="46"/>
      <c r="GL188" s="47"/>
      <c r="GQ188" s="46"/>
      <c r="GW188" s="46"/>
      <c r="GX188" s="47"/>
      <c r="HA188" s="46"/>
      <c r="HB188" s="47"/>
      <c r="HG188" s="46"/>
      <c r="HH188" s="45"/>
      <c r="HK188" s="46"/>
      <c r="HL188" s="47"/>
      <c r="HQ188" s="46"/>
      <c r="HY188" s="46"/>
      <c r="HZ188" s="47"/>
      <c r="IE188" s="46"/>
      <c r="IK188" s="49"/>
      <c r="IQ188" s="49"/>
      <c r="IW188" s="49"/>
      <c r="JC188" s="46"/>
      <c r="JG188" s="49"/>
      <c r="JM188" s="46"/>
      <c r="JN188" s="45"/>
      <c r="JQ188" s="49"/>
      <c r="JW188" s="49"/>
      <c r="KC188" s="49"/>
      <c r="KI188" s="49"/>
      <c r="KK188" s="44"/>
      <c r="KO188" s="49"/>
      <c r="KP188" s="50"/>
      <c r="KW188" s="49"/>
      <c r="LC188" s="49"/>
      <c r="LI188" s="49"/>
      <c r="LJ188" s="50"/>
      <c r="LM188" s="49"/>
      <c r="LN188" s="50"/>
      <c r="LT188" s="49"/>
      <c r="LU188" s="50"/>
      <c r="LZ188" s="49"/>
      <c r="MA188" s="50"/>
      <c r="MD188" s="49"/>
      <c r="ME188" s="50"/>
      <c r="MJ188" s="49"/>
      <c r="MK188" s="50"/>
      <c r="MN188" s="49"/>
      <c r="MO188" s="50"/>
      <c r="MT188" s="49"/>
      <c r="MV188" s="46"/>
      <c r="MZ188" s="49"/>
      <c r="NA188" s="50"/>
      <c r="NF188" s="49"/>
      <c r="NG188" s="50"/>
      <c r="NL188" s="49"/>
      <c r="NM188" s="50"/>
      <c r="NN188" s="48"/>
      <c r="NR188" s="49"/>
      <c r="NS188" s="50"/>
      <c r="NX188" s="49"/>
      <c r="NY188" s="50"/>
      <c r="OA188" s="48"/>
      <c r="OD188" s="49"/>
      <c r="OE188" s="50"/>
      <c r="OH188" s="49"/>
      <c r="OI188" s="50"/>
      <c r="OK188" s="48"/>
      <c r="OL188" s="49"/>
      <c r="OM188" s="50"/>
      <c r="OR188" s="49"/>
      <c r="OS188" s="50"/>
      <c r="OV188" s="49"/>
      <c r="OW188" s="50"/>
      <c r="PB188" s="49"/>
      <c r="PC188" s="50"/>
      <c r="PF188" s="49"/>
      <c r="PG188" s="50"/>
      <c r="PL188" s="49"/>
      <c r="PM188" s="47"/>
      <c r="PN188" s="48"/>
      <c r="PP188" s="48"/>
      <c r="PR188" s="49"/>
      <c r="PS188" s="47"/>
      <c r="PX188" s="46"/>
      <c r="PY188" s="47"/>
      <c r="QB188" s="46"/>
      <c r="QC188" s="47"/>
      <c r="QH188" s="46"/>
      <c r="QI188" s="47"/>
      <c r="QN188" s="46"/>
      <c r="QO188" s="47"/>
      <c r="QT188" s="46"/>
      <c r="QU188" s="47"/>
      <c r="QX188" s="46"/>
      <c r="QY188" s="47"/>
      <c r="RD188" s="46"/>
    </row>
    <row r="189" spans="1:472" x14ac:dyDescent="0.25">
      <c r="A189" s="43" t="s">
        <v>477</v>
      </c>
      <c r="B189" s="44">
        <v>0.18</v>
      </c>
      <c r="I189" s="47"/>
      <c r="J189" s="51"/>
      <c r="K189" s="51"/>
      <c r="L189" s="52">
        <v>20</v>
      </c>
      <c r="M189" s="56">
        <f t="shared" si="15"/>
        <v>-20</v>
      </c>
      <c r="N189" s="46">
        <f>-1*M189*B189</f>
        <v>3.5999999999999996</v>
      </c>
      <c r="O189" s="47"/>
      <c r="P189" s="51"/>
      <c r="Q189" s="51"/>
      <c r="R189" s="52">
        <v>20</v>
      </c>
      <c r="S189" s="56">
        <f t="shared" si="16"/>
        <v>-20</v>
      </c>
      <c r="T189" s="46">
        <f>-1*S189*B189</f>
        <v>3.5999999999999996</v>
      </c>
      <c r="U189" s="47"/>
      <c r="V189" s="52">
        <v>20</v>
      </c>
      <c r="W189" s="51"/>
      <c r="X189" s="51"/>
      <c r="Y189" s="56">
        <f t="shared" si="17"/>
        <v>-20</v>
      </c>
      <c r="Z189" s="46">
        <f>-1*Y189*B189</f>
        <v>3.5999999999999996</v>
      </c>
      <c r="AA189" s="51"/>
      <c r="AE189" s="43">
        <v>0</v>
      </c>
      <c r="AF189" s="46"/>
      <c r="AG189" s="47"/>
      <c r="AH189">
        <v>20</v>
      </c>
      <c r="AK189" s="42">
        <v>-20</v>
      </c>
      <c r="AL189" s="46">
        <v>3.6</v>
      </c>
      <c r="AP189">
        <v>20</v>
      </c>
      <c r="AQ189" s="42">
        <v>-20</v>
      </c>
      <c r="AR189" s="46">
        <v>3.6</v>
      </c>
      <c r="AT189">
        <v>20</v>
      </c>
      <c r="AW189" s="42">
        <v>-20</v>
      </c>
      <c r="AX189" s="46">
        <v>3.6</v>
      </c>
      <c r="AY189" s="47"/>
      <c r="BB189">
        <v>20</v>
      </c>
      <c r="BC189" s="42">
        <v>-20</v>
      </c>
      <c r="BD189" s="46">
        <v>3.6</v>
      </c>
      <c r="BE189" s="47"/>
      <c r="BI189" s="43">
        <v>0</v>
      </c>
      <c r="BJ189" s="46"/>
      <c r="BO189">
        <v>20</v>
      </c>
      <c r="BP189" s="42">
        <v>-20</v>
      </c>
      <c r="BQ189" s="46">
        <v>3.6</v>
      </c>
      <c r="BT189" s="43">
        <v>0</v>
      </c>
      <c r="BU189" s="46"/>
      <c r="BV189" s="47"/>
      <c r="BY189">
        <v>20</v>
      </c>
      <c r="BZ189" s="42">
        <v>-20</v>
      </c>
      <c r="CA189" s="46">
        <v>3.6</v>
      </c>
      <c r="CF189" s="43">
        <v>0</v>
      </c>
      <c r="CG189" s="46"/>
      <c r="CK189">
        <v>20</v>
      </c>
      <c r="CL189" s="42">
        <v>-20</v>
      </c>
      <c r="CM189" s="46">
        <v>3.6</v>
      </c>
      <c r="CN189" s="47"/>
      <c r="CR189" s="43">
        <v>0</v>
      </c>
      <c r="CS189" s="46"/>
      <c r="CU189">
        <v>20</v>
      </c>
      <c r="CX189" s="42">
        <v>-20</v>
      </c>
      <c r="CY189" s="46">
        <v>3.6</v>
      </c>
      <c r="CZ189" s="47"/>
      <c r="DC189">
        <v>20</v>
      </c>
      <c r="DD189" s="42">
        <v>-20</v>
      </c>
      <c r="DE189" s="46">
        <v>3.6</v>
      </c>
      <c r="DF189" s="47"/>
      <c r="DL189" s="43">
        <v>0</v>
      </c>
      <c r="DM189" s="46"/>
      <c r="DN189" s="47"/>
      <c r="DQ189">
        <v>40</v>
      </c>
      <c r="DR189" s="42">
        <v>-40</v>
      </c>
      <c r="DS189" s="46">
        <v>7.1999999999999993</v>
      </c>
      <c r="DZ189" s="43">
        <v>0</v>
      </c>
      <c r="EA189" s="46"/>
      <c r="EB189" s="47"/>
      <c r="EF189" s="43">
        <v>0</v>
      </c>
      <c r="EG189" s="46"/>
      <c r="EH189" s="47"/>
      <c r="EK189">
        <v>170</v>
      </c>
      <c r="EL189" s="42">
        <v>-170</v>
      </c>
      <c r="EM189" s="46">
        <v>30.6</v>
      </c>
      <c r="EN189" s="47"/>
      <c r="EO189" s="43">
        <v>40</v>
      </c>
      <c r="EQ189" s="43">
        <v>40</v>
      </c>
      <c r="ER189" s="42">
        <v>-80</v>
      </c>
      <c r="ES189" s="46">
        <v>14.4</v>
      </c>
      <c r="EZ189" s="43">
        <v>0</v>
      </c>
      <c r="FA189" s="46"/>
      <c r="FB189">
        <v>56</v>
      </c>
      <c r="FC189" s="43">
        <v>60</v>
      </c>
      <c r="FG189" s="43">
        <v>-4</v>
      </c>
      <c r="FH189" s="46"/>
      <c r="FI189" s="45">
        <v>128</v>
      </c>
      <c r="FL189" s="43">
        <v>128</v>
      </c>
      <c r="FM189" s="46"/>
      <c r="FN189" s="47"/>
      <c r="FQ189" s="43">
        <v>0</v>
      </c>
      <c r="FR189" s="46"/>
      <c r="FX189" s="46"/>
      <c r="FY189" s="47"/>
      <c r="GE189" s="46"/>
      <c r="GK189" s="46"/>
      <c r="GL189" s="47"/>
      <c r="GQ189" s="46"/>
      <c r="GW189" s="46"/>
      <c r="GX189" s="47"/>
      <c r="HA189" s="46"/>
      <c r="HB189" s="47"/>
      <c r="HG189" s="46"/>
      <c r="HH189" s="45"/>
      <c r="HK189" s="46"/>
      <c r="HL189" s="47"/>
      <c r="HQ189" s="46"/>
      <c r="HY189" s="46"/>
      <c r="HZ189" s="47"/>
      <c r="IE189" s="46"/>
      <c r="IK189" s="49"/>
      <c r="IQ189" s="49"/>
      <c r="IW189" s="49"/>
      <c r="JC189" s="46"/>
      <c r="JG189" s="49"/>
      <c r="JM189" s="46"/>
      <c r="JN189" s="45"/>
      <c r="JQ189" s="49"/>
      <c r="JW189" s="49"/>
      <c r="KC189" s="49"/>
      <c r="KI189" s="49"/>
      <c r="KK189" s="44"/>
      <c r="KO189" s="49"/>
      <c r="KP189" s="50"/>
      <c r="KW189" s="49"/>
      <c r="LC189" s="49"/>
      <c r="LI189" s="49"/>
      <c r="LJ189" s="50"/>
      <c r="LM189" s="49"/>
      <c r="LN189" s="50"/>
      <c r="LT189" s="49"/>
      <c r="LU189" s="50"/>
      <c r="LZ189" s="49"/>
      <c r="MA189" s="50"/>
      <c r="MD189" s="49"/>
      <c r="ME189" s="50"/>
      <c r="MJ189" s="49"/>
      <c r="MK189" s="50"/>
      <c r="MN189" s="49"/>
      <c r="MO189" s="50"/>
      <c r="MT189" s="49"/>
      <c r="MV189" s="46"/>
      <c r="MZ189" s="49"/>
      <c r="NA189" s="50"/>
      <c r="NF189" s="49"/>
      <c r="NG189" s="50"/>
      <c r="NL189" s="49"/>
      <c r="NM189" s="50"/>
      <c r="NN189" s="48"/>
      <c r="NR189" s="49"/>
      <c r="NS189" s="50"/>
      <c r="NX189" s="49"/>
      <c r="NY189" s="50"/>
      <c r="OA189" s="48"/>
      <c r="OD189" s="49"/>
      <c r="OE189" s="50"/>
      <c r="OH189" s="49"/>
      <c r="OI189" s="50"/>
      <c r="OK189" s="48"/>
      <c r="OL189" s="49"/>
      <c r="OM189" s="50"/>
      <c r="OR189" s="49"/>
      <c r="OS189" s="50"/>
      <c r="OV189" s="49"/>
      <c r="OW189" s="50"/>
      <c r="PB189" s="49"/>
      <c r="PC189" s="50"/>
      <c r="PF189" s="49"/>
      <c r="PG189" s="50"/>
      <c r="PL189" s="49"/>
      <c r="PM189" s="47"/>
      <c r="PN189" s="48"/>
      <c r="PP189" s="48"/>
      <c r="PR189" s="49"/>
      <c r="PS189" s="47"/>
      <c r="PX189" s="46"/>
      <c r="PY189" s="47"/>
      <c r="QB189" s="46"/>
      <c r="QC189" s="47"/>
      <c r="QH189" s="46"/>
      <c r="QI189" s="47"/>
      <c r="QN189" s="46"/>
      <c r="QO189" s="47"/>
      <c r="QT189" s="46"/>
      <c r="QU189" s="47"/>
      <c r="QX189" s="46"/>
      <c r="QY189" s="47"/>
      <c r="RD189" s="46"/>
    </row>
    <row r="190" spans="1:472" x14ac:dyDescent="0.25">
      <c r="A190" s="43" t="s">
        <v>478</v>
      </c>
      <c r="B190" s="44">
        <v>0.18</v>
      </c>
      <c r="I190" s="47"/>
      <c r="J190" s="51"/>
      <c r="K190" s="51"/>
      <c r="L190" s="51"/>
      <c r="M190" s="51">
        <f t="shared" si="15"/>
        <v>0</v>
      </c>
      <c r="N190" s="46"/>
      <c r="O190" s="47"/>
      <c r="P190" s="51"/>
      <c r="Q190" s="51"/>
      <c r="R190" s="51"/>
      <c r="S190" s="51">
        <f t="shared" si="16"/>
        <v>0</v>
      </c>
      <c r="T190" s="46"/>
      <c r="U190" s="47"/>
      <c r="V190" s="51"/>
      <c r="W190" s="51"/>
      <c r="X190" s="51"/>
      <c r="Y190" s="51">
        <f t="shared" si="17"/>
        <v>0</v>
      </c>
      <c r="Z190" s="46"/>
      <c r="AA190" s="51"/>
      <c r="AE190" s="43">
        <v>0</v>
      </c>
      <c r="AF190" s="46"/>
      <c r="AG190" s="47"/>
      <c r="AK190" s="43">
        <v>0</v>
      </c>
      <c r="AL190" s="46"/>
      <c r="AO190">
        <v>16</v>
      </c>
      <c r="AP190">
        <v>20</v>
      </c>
      <c r="AQ190" s="43">
        <v>-4</v>
      </c>
      <c r="AR190" s="46"/>
      <c r="AS190">
        <v>16</v>
      </c>
      <c r="AT190">
        <v>20</v>
      </c>
      <c r="AW190" s="43">
        <v>-4</v>
      </c>
      <c r="AX190" s="46"/>
      <c r="AY190" s="47"/>
      <c r="BB190">
        <v>20</v>
      </c>
      <c r="BC190" s="42">
        <v>-20</v>
      </c>
      <c r="BD190" s="46">
        <v>3.6</v>
      </c>
      <c r="BE190" s="47"/>
      <c r="BI190" s="43">
        <v>0</v>
      </c>
      <c r="BJ190" s="46"/>
      <c r="BO190">
        <v>20</v>
      </c>
      <c r="BP190" s="42">
        <v>-20</v>
      </c>
      <c r="BQ190" s="46">
        <v>3.6</v>
      </c>
      <c r="BT190" s="43">
        <v>0</v>
      </c>
      <c r="BU190" s="46"/>
      <c r="BV190" s="47"/>
      <c r="BY190">
        <v>20</v>
      </c>
      <c r="BZ190" s="42">
        <v>-20</v>
      </c>
      <c r="CA190" s="46">
        <v>3.6</v>
      </c>
      <c r="CF190" s="43">
        <v>0</v>
      </c>
      <c r="CG190" s="46"/>
      <c r="CJ190">
        <v>16</v>
      </c>
      <c r="CK190">
        <v>20</v>
      </c>
      <c r="CL190" s="43">
        <v>-4</v>
      </c>
      <c r="CM190" s="46"/>
      <c r="CN190" s="47"/>
      <c r="CR190" s="43">
        <v>0</v>
      </c>
      <c r="CS190" s="46"/>
      <c r="CU190">
        <v>20</v>
      </c>
      <c r="CX190" s="42">
        <v>-20</v>
      </c>
      <c r="CY190" s="46">
        <v>3.6</v>
      </c>
      <c r="CZ190" s="47"/>
      <c r="DC190">
        <v>20</v>
      </c>
      <c r="DD190" s="42">
        <v>-20</v>
      </c>
      <c r="DE190" s="46">
        <v>3.6</v>
      </c>
      <c r="DF190" s="47"/>
      <c r="DL190" s="43">
        <v>0</v>
      </c>
      <c r="DM190" s="46"/>
      <c r="DN190" s="47"/>
      <c r="DQ190">
        <v>40</v>
      </c>
      <c r="DR190" s="42">
        <v>-40</v>
      </c>
      <c r="DS190" s="46">
        <v>7.1999999999999993</v>
      </c>
      <c r="DZ190" s="43">
        <v>0</v>
      </c>
      <c r="EA190" s="46"/>
      <c r="EB190" s="47"/>
      <c r="EE190">
        <v>43</v>
      </c>
      <c r="EF190" s="42">
        <v>-43</v>
      </c>
      <c r="EG190" s="46">
        <v>7.7399999999999993</v>
      </c>
      <c r="EH190" s="47"/>
      <c r="EK190">
        <v>17</v>
      </c>
      <c r="EL190" s="42">
        <v>-17</v>
      </c>
      <c r="EM190" s="46">
        <v>3.06</v>
      </c>
      <c r="EN190" s="47"/>
      <c r="EO190" s="43">
        <v>20</v>
      </c>
      <c r="EQ190" s="43">
        <v>20</v>
      </c>
      <c r="ER190" s="42">
        <v>-40</v>
      </c>
      <c r="ES190" s="46">
        <v>7.1999999999999993</v>
      </c>
      <c r="EZ190" s="43">
        <v>0</v>
      </c>
      <c r="FA190" s="46"/>
      <c r="FC190" s="43">
        <v>60</v>
      </c>
      <c r="FG190" s="42">
        <v>-60</v>
      </c>
      <c r="FH190" s="46">
        <v>10.8</v>
      </c>
      <c r="FI190" s="45">
        <v>128</v>
      </c>
      <c r="FL190" s="43">
        <v>128</v>
      </c>
      <c r="FM190" s="46"/>
      <c r="FN190" s="47"/>
      <c r="FQ190" s="43">
        <v>0</v>
      </c>
      <c r="FR190" s="46"/>
      <c r="FX190" s="46"/>
      <c r="FY190" s="47"/>
      <c r="GE190" s="46"/>
      <c r="GK190" s="46"/>
      <c r="GL190" s="47"/>
      <c r="GQ190" s="46"/>
      <c r="GW190" s="46"/>
      <c r="GX190" s="47"/>
      <c r="HA190" s="46"/>
      <c r="HB190" s="47"/>
      <c r="HG190" s="46"/>
      <c r="HH190" s="45"/>
      <c r="HK190" s="46"/>
      <c r="HL190" s="47"/>
      <c r="HQ190" s="46"/>
      <c r="HY190" s="46"/>
      <c r="HZ190" s="47"/>
      <c r="IE190" s="46"/>
      <c r="IK190" s="49"/>
      <c r="IQ190" s="49"/>
      <c r="IW190" s="49"/>
      <c r="JC190" s="46"/>
      <c r="JG190" s="49"/>
      <c r="JM190" s="46"/>
      <c r="JN190" s="45"/>
      <c r="JQ190" s="49"/>
      <c r="JW190" s="49"/>
      <c r="KC190" s="49"/>
      <c r="KI190" s="49"/>
      <c r="KK190" s="44"/>
      <c r="KO190" s="49"/>
      <c r="KP190" s="50"/>
      <c r="KW190" s="49"/>
      <c r="LC190" s="49"/>
      <c r="LI190" s="49"/>
      <c r="LJ190" s="50"/>
      <c r="LM190" s="49"/>
      <c r="LN190" s="50"/>
      <c r="LT190" s="49"/>
      <c r="LU190" s="50"/>
      <c r="LZ190" s="49"/>
      <c r="MA190" s="50"/>
      <c r="MD190" s="49"/>
      <c r="ME190" s="50"/>
      <c r="MJ190" s="49"/>
      <c r="MK190" s="50"/>
      <c r="MN190" s="49"/>
      <c r="MO190" s="50"/>
      <c r="MT190" s="49"/>
      <c r="MV190" s="46"/>
      <c r="MZ190" s="49"/>
      <c r="NA190" s="50"/>
      <c r="NF190" s="49"/>
      <c r="NG190" s="50"/>
      <c r="NL190" s="49"/>
      <c r="NM190" s="50"/>
      <c r="NN190" s="48"/>
      <c r="NR190" s="49"/>
      <c r="NS190" s="50"/>
      <c r="NX190" s="49"/>
      <c r="NY190" s="50"/>
      <c r="OA190" s="48"/>
      <c r="OD190" s="49"/>
      <c r="OE190" s="50"/>
      <c r="OH190" s="49"/>
      <c r="OI190" s="50"/>
      <c r="OK190" s="48"/>
      <c r="OL190" s="49"/>
      <c r="OM190" s="50"/>
      <c r="OR190" s="49"/>
      <c r="OS190" s="50"/>
      <c r="OV190" s="49"/>
      <c r="OW190" s="50"/>
      <c r="PB190" s="49"/>
      <c r="PC190" s="50"/>
      <c r="PF190" s="49"/>
      <c r="PG190" s="50"/>
      <c r="PL190" s="49"/>
      <c r="PM190" s="47"/>
      <c r="PN190" s="48"/>
      <c r="PP190" s="48"/>
      <c r="PR190" s="49"/>
      <c r="PS190" s="47"/>
      <c r="PX190" s="46"/>
      <c r="PY190" s="47"/>
      <c r="QB190" s="46"/>
      <c r="QC190" s="47"/>
      <c r="QH190" s="46"/>
      <c r="QI190" s="47"/>
      <c r="QN190" s="46"/>
      <c r="QO190" s="47"/>
      <c r="QT190" s="46"/>
      <c r="QU190" s="47"/>
      <c r="QX190" s="46"/>
      <c r="QY190" s="47"/>
      <c r="RD190" s="46"/>
    </row>
    <row r="191" spans="1:472" x14ac:dyDescent="0.25">
      <c r="A191" s="43" t="s">
        <v>479</v>
      </c>
      <c r="B191" s="44">
        <v>0.18</v>
      </c>
      <c r="I191" s="47"/>
      <c r="J191" s="51"/>
      <c r="K191" s="51"/>
      <c r="L191" s="51"/>
      <c r="M191" s="51">
        <f t="shared" si="15"/>
        <v>0</v>
      </c>
      <c r="N191" s="46"/>
      <c r="O191" s="47"/>
      <c r="P191" s="51"/>
      <c r="Q191" s="51"/>
      <c r="R191" s="51"/>
      <c r="S191" s="51">
        <f t="shared" si="16"/>
        <v>0</v>
      </c>
      <c r="T191" s="46"/>
      <c r="U191" s="47"/>
      <c r="V191" s="51"/>
      <c r="W191" s="51"/>
      <c r="X191" s="51"/>
      <c r="Y191" s="51">
        <f t="shared" si="17"/>
        <v>0</v>
      </c>
      <c r="Z191" s="46"/>
      <c r="AA191" s="51"/>
      <c r="AE191" s="43">
        <v>0</v>
      </c>
      <c r="AF191" s="46"/>
      <c r="AG191" s="47"/>
      <c r="AK191" s="43">
        <v>0</v>
      </c>
      <c r="AL191" s="46"/>
      <c r="AP191">
        <v>20</v>
      </c>
      <c r="AQ191" s="42">
        <v>-20</v>
      </c>
      <c r="AR191" s="46">
        <v>3.6</v>
      </c>
      <c r="AT191">
        <v>20</v>
      </c>
      <c r="AW191" s="42">
        <v>-20</v>
      </c>
      <c r="AX191" s="46">
        <v>3.6</v>
      </c>
      <c r="AY191" s="47"/>
      <c r="BB191">
        <v>20</v>
      </c>
      <c r="BC191" s="42">
        <v>-20</v>
      </c>
      <c r="BD191" s="46">
        <v>3.6</v>
      </c>
      <c r="BE191" s="47"/>
      <c r="BI191" s="43">
        <v>0</v>
      </c>
      <c r="BJ191" s="46"/>
      <c r="BO191">
        <v>20</v>
      </c>
      <c r="BP191" s="42">
        <v>-20</v>
      </c>
      <c r="BQ191" s="46">
        <v>3.6</v>
      </c>
      <c r="BT191" s="43">
        <v>0</v>
      </c>
      <c r="BU191" s="46"/>
      <c r="BV191" s="47"/>
      <c r="BY191">
        <v>20</v>
      </c>
      <c r="BZ191" s="42">
        <v>-20</v>
      </c>
      <c r="CA191" s="46">
        <v>3.6</v>
      </c>
      <c r="CF191" s="43">
        <v>0</v>
      </c>
      <c r="CG191" s="46"/>
      <c r="CK191">
        <v>20</v>
      </c>
      <c r="CL191" s="42">
        <v>-20</v>
      </c>
      <c r="CM191" s="46">
        <v>3.6</v>
      </c>
      <c r="CN191" s="47"/>
      <c r="CR191" s="43">
        <v>0</v>
      </c>
      <c r="CS191" s="46"/>
      <c r="CU191">
        <v>20</v>
      </c>
      <c r="CX191" s="42">
        <v>-20</v>
      </c>
      <c r="CY191" s="46">
        <v>3.6</v>
      </c>
      <c r="CZ191" s="47"/>
      <c r="DC191">
        <v>20</v>
      </c>
      <c r="DD191" s="42">
        <v>-20</v>
      </c>
      <c r="DE191" s="46">
        <v>3.6</v>
      </c>
      <c r="DF191" s="47"/>
      <c r="DL191" s="43">
        <v>0</v>
      </c>
      <c r="DM191" s="46"/>
      <c r="DN191" s="47"/>
      <c r="DQ191">
        <v>40</v>
      </c>
      <c r="DR191" s="42">
        <v>-40</v>
      </c>
      <c r="DS191" s="46">
        <v>7.1999999999999993</v>
      </c>
      <c r="DZ191" s="43">
        <v>0</v>
      </c>
      <c r="EA191" s="46"/>
      <c r="EB191" s="47"/>
      <c r="EE191">
        <v>40</v>
      </c>
      <c r="EF191" s="42">
        <v>-40</v>
      </c>
      <c r="EG191" s="46">
        <v>7.1999999999999993</v>
      </c>
      <c r="EH191" s="47"/>
      <c r="EL191" s="43">
        <v>0</v>
      </c>
      <c r="EM191" s="46"/>
      <c r="EN191" s="47"/>
      <c r="EO191">
        <v>30</v>
      </c>
      <c r="ER191" s="42">
        <v>-30</v>
      </c>
      <c r="ES191" s="46">
        <v>5.3999999999999986</v>
      </c>
      <c r="EZ191" s="43">
        <v>0</v>
      </c>
      <c r="FA191" s="46"/>
      <c r="FC191" s="43">
        <v>60</v>
      </c>
      <c r="FG191" s="42">
        <v>-60</v>
      </c>
      <c r="FH191" s="46">
        <v>10.8</v>
      </c>
      <c r="FI191" s="47"/>
      <c r="FL191" s="43">
        <v>0</v>
      </c>
      <c r="FM191" s="46"/>
      <c r="FN191" s="47"/>
      <c r="FQ191" s="43">
        <v>0</v>
      </c>
      <c r="FR191" s="46"/>
      <c r="FX191" s="46"/>
      <c r="FY191" s="47"/>
      <c r="GE191" s="46"/>
      <c r="GK191" s="46"/>
      <c r="GL191" s="47"/>
      <c r="GQ191" s="46"/>
      <c r="GW191" s="46"/>
      <c r="GX191" s="47"/>
      <c r="HA191" s="46"/>
      <c r="HB191" s="47"/>
      <c r="HG191" s="46"/>
      <c r="HH191" s="45"/>
      <c r="HK191" s="46"/>
      <c r="HL191" s="47"/>
      <c r="HQ191" s="46"/>
      <c r="HY191" s="46"/>
      <c r="HZ191" s="47"/>
      <c r="IE191" s="46"/>
      <c r="IK191" s="49"/>
      <c r="IQ191" s="49"/>
      <c r="IW191" s="49"/>
      <c r="JC191" s="46"/>
      <c r="JG191" s="49"/>
      <c r="JM191" s="46"/>
      <c r="JN191" s="45"/>
      <c r="JQ191" s="49"/>
      <c r="JW191" s="49"/>
      <c r="KC191" s="49"/>
      <c r="KI191" s="49"/>
      <c r="KK191" s="44"/>
      <c r="KO191" s="49"/>
      <c r="KP191" s="50"/>
      <c r="KW191" s="49"/>
      <c r="LC191" s="49"/>
      <c r="LI191" s="49"/>
      <c r="LJ191" s="50"/>
      <c r="LM191" s="49"/>
      <c r="LN191" s="50"/>
      <c r="LT191" s="49"/>
      <c r="LU191" s="50"/>
      <c r="LZ191" s="49"/>
      <c r="MA191" s="50"/>
      <c r="MD191" s="49"/>
      <c r="ME191" s="50"/>
      <c r="MJ191" s="49"/>
      <c r="MK191" s="50"/>
      <c r="MN191" s="49"/>
      <c r="MO191" s="50"/>
      <c r="MT191" s="49"/>
      <c r="MV191" s="46"/>
      <c r="MZ191" s="49"/>
      <c r="NA191" s="50"/>
      <c r="NF191" s="49"/>
      <c r="NG191" s="50"/>
      <c r="NL191" s="49"/>
      <c r="NM191" s="50"/>
      <c r="NN191" s="48"/>
      <c r="NR191" s="49"/>
      <c r="NS191" s="50"/>
      <c r="NX191" s="49"/>
      <c r="NY191" s="50"/>
      <c r="OA191" s="48"/>
      <c r="OD191" s="49"/>
      <c r="OE191" s="50"/>
      <c r="OH191" s="49"/>
      <c r="OI191" s="50"/>
      <c r="OK191" s="48"/>
      <c r="OL191" s="49"/>
      <c r="OM191" s="50"/>
      <c r="OR191" s="49"/>
      <c r="OS191" s="50"/>
      <c r="OV191" s="49"/>
      <c r="OW191" s="50"/>
      <c r="PB191" s="49"/>
      <c r="PC191" s="50"/>
      <c r="PF191" s="49"/>
      <c r="PG191" s="50"/>
      <c r="PL191" s="49"/>
      <c r="PM191" s="47"/>
      <c r="PN191" s="48"/>
      <c r="PP191" s="48"/>
      <c r="PR191" s="49"/>
      <c r="PS191" s="47"/>
      <c r="PX191" s="46"/>
      <c r="PY191" s="47"/>
      <c r="QB191" s="46"/>
      <c r="QC191" s="47"/>
      <c r="QH191" s="46"/>
      <c r="QI191" s="47"/>
      <c r="QN191" s="46"/>
      <c r="QO191" s="47"/>
      <c r="QT191" s="46"/>
      <c r="QU191" s="47"/>
      <c r="QX191" s="46"/>
      <c r="QY191" s="47"/>
      <c r="RD191" s="46"/>
    </row>
    <row r="192" spans="1:472" x14ac:dyDescent="0.25">
      <c r="A192" s="43" t="s">
        <v>480</v>
      </c>
      <c r="B192" s="44">
        <v>0.18</v>
      </c>
      <c r="I192" s="47"/>
      <c r="J192" s="51"/>
      <c r="K192" s="51"/>
      <c r="L192" s="51"/>
      <c r="M192" s="51">
        <f t="shared" si="15"/>
        <v>0</v>
      </c>
      <c r="N192" s="46"/>
      <c r="O192" s="47"/>
      <c r="P192" s="51"/>
      <c r="Q192" s="51"/>
      <c r="R192" s="51"/>
      <c r="S192" s="51">
        <f t="shared" si="16"/>
        <v>0</v>
      </c>
      <c r="T192" s="46"/>
      <c r="U192" s="47"/>
      <c r="V192" s="51"/>
      <c r="W192" s="51"/>
      <c r="X192" s="51"/>
      <c r="Y192" s="51">
        <f t="shared" si="17"/>
        <v>0</v>
      </c>
      <c r="Z192" s="46"/>
      <c r="AA192" s="51"/>
      <c r="AE192" s="43">
        <v>0</v>
      </c>
      <c r="AF192" s="46"/>
      <c r="AG192" s="47"/>
      <c r="AK192" s="43">
        <v>0</v>
      </c>
      <c r="AL192" s="46"/>
      <c r="AP192">
        <v>20</v>
      </c>
      <c r="AQ192" s="42">
        <v>-20</v>
      </c>
      <c r="AR192" s="46">
        <v>3.6</v>
      </c>
      <c r="AT192">
        <v>20</v>
      </c>
      <c r="AW192" s="42">
        <v>-20</v>
      </c>
      <c r="AX192" s="46">
        <v>3.6</v>
      </c>
      <c r="AY192" s="47"/>
      <c r="BB192">
        <v>20</v>
      </c>
      <c r="BC192" s="42">
        <v>-20</v>
      </c>
      <c r="BD192" s="46">
        <v>3.6</v>
      </c>
      <c r="BE192" s="47"/>
      <c r="BI192" s="43">
        <v>0</v>
      </c>
      <c r="BJ192" s="46"/>
      <c r="BO192">
        <v>20</v>
      </c>
      <c r="BP192" s="42">
        <v>-20</v>
      </c>
      <c r="BQ192" s="46">
        <v>3.6</v>
      </c>
      <c r="BT192" s="43">
        <v>0</v>
      </c>
      <c r="BU192" s="46"/>
      <c r="BV192" s="47"/>
      <c r="BY192">
        <v>20</v>
      </c>
      <c r="BZ192" s="42">
        <v>-20</v>
      </c>
      <c r="CA192" s="46">
        <v>3.6</v>
      </c>
      <c r="CE192">
        <v>16</v>
      </c>
      <c r="CF192" s="42">
        <v>-16</v>
      </c>
      <c r="CG192" s="46">
        <v>2.88</v>
      </c>
      <c r="CL192" s="43">
        <v>0</v>
      </c>
      <c r="CM192" s="46"/>
      <c r="CN192" s="47"/>
      <c r="CR192" s="43">
        <v>0</v>
      </c>
      <c r="CS192" s="46"/>
      <c r="CT192">
        <v>16</v>
      </c>
      <c r="CU192">
        <v>20</v>
      </c>
      <c r="CX192" s="43">
        <v>-4</v>
      </c>
      <c r="CY192" s="46"/>
      <c r="CZ192" s="47"/>
      <c r="DC192">
        <v>10</v>
      </c>
      <c r="DD192" s="42">
        <v>-10</v>
      </c>
      <c r="DE192" s="46">
        <v>1.8</v>
      </c>
      <c r="DF192" s="47"/>
      <c r="DK192">
        <v>20</v>
      </c>
      <c r="DL192" s="42">
        <v>-20</v>
      </c>
      <c r="DM192" s="46">
        <v>3.6</v>
      </c>
      <c r="DN192" s="47"/>
      <c r="DQ192">
        <v>50</v>
      </c>
      <c r="DR192" s="42">
        <v>-50</v>
      </c>
      <c r="DS192" s="46">
        <v>9</v>
      </c>
      <c r="DZ192" s="43">
        <v>0</v>
      </c>
      <c r="EA192" s="46"/>
      <c r="EB192" s="47"/>
      <c r="EF192" s="43">
        <v>0</v>
      </c>
      <c r="EG192" s="46"/>
      <c r="EH192" s="47"/>
      <c r="EL192" s="43">
        <v>0</v>
      </c>
      <c r="EM192" s="46"/>
      <c r="EN192" s="47">
        <v>48</v>
      </c>
      <c r="EO192" s="43">
        <v>50</v>
      </c>
      <c r="ER192" s="43">
        <v>-2</v>
      </c>
      <c r="ES192" s="46"/>
      <c r="EZ192" s="43">
        <v>0</v>
      </c>
      <c r="FA192" s="46"/>
      <c r="FG192" s="43">
        <v>0</v>
      </c>
      <c r="FH192" s="46"/>
      <c r="FI192" s="47"/>
      <c r="FL192" s="43">
        <v>0</v>
      </c>
      <c r="FM192" s="46"/>
      <c r="FN192" s="47"/>
      <c r="FQ192" s="43">
        <v>0</v>
      </c>
      <c r="FR192" s="46"/>
      <c r="FX192" s="46"/>
      <c r="FY192" s="47"/>
      <c r="GE192" s="46"/>
      <c r="GK192" s="46"/>
      <c r="GL192" s="47"/>
      <c r="GQ192" s="46"/>
      <c r="GW192" s="46"/>
      <c r="GX192" s="47"/>
      <c r="HA192" s="46"/>
      <c r="HB192" s="47"/>
      <c r="HG192" s="46"/>
      <c r="HH192" s="45"/>
      <c r="HK192" s="46"/>
      <c r="HL192" s="47"/>
      <c r="HQ192" s="46"/>
      <c r="HY192" s="46"/>
      <c r="HZ192" s="47"/>
      <c r="IE192" s="46"/>
      <c r="IK192" s="49"/>
      <c r="IQ192" s="49"/>
      <c r="IW192" s="49"/>
      <c r="JC192" s="46"/>
      <c r="JG192" s="49"/>
      <c r="JM192" s="46"/>
      <c r="JN192" s="45"/>
      <c r="JQ192" s="49"/>
      <c r="JW192" s="49"/>
      <c r="KC192" s="49"/>
      <c r="KI192" s="49"/>
      <c r="KK192" s="44"/>
      <c r="KO192" s="49"/>
      <c r="KP192" s="50"/>
      <c r="KW192" s="49"/>
      <c r="LC192" s="49"/>
      <c r="LI192" s="49"/>
      <c r="LJ192" s="50"/>
      <c r="LM192" s="49"/>
      <c r="LN192" s="50"/>
      <c r="LT192" s="49"/>
      <c r="LU192" s="50"/>
      <c r="LV192" s="48"/>
      <c r="LZ192" s="49"/>
      <c r="MA192" s="50"/>
      <c r="MD192" s="49"/>
      <c r="ME192" s="50"/>
      <c r="MJ192" s="49"/>
      <c r="MK192" s="50"/>
      <c r="MN192" s="49"/>
      <c r="MO192" s="50"/>
      <c r="MT192" s="49"/>
      <c r="MV192" s="46"/>
      <c r="MZ192" s="49"/>
      <c r="NA192" s="50"/>
      <c r="NF192" s="49"/>
      <c r="NG192" s="50"/>
      <c r="NL192" s="49"/>
      <c r="NM192" s="50"/>
      <c r="NN192" s="48"/>
      <c r="NR192" s="49"/>
      <c r="NS192" s="50"/>
      <c r="NX192" s="49"/>
      <c r="NY192" s="50"/>
      <c r="OA192" s="48"/>
      <c r="OD192" s="49"/>
      <c r="OE192" s="50"/>
      <c r="OH192" s="49"/>
      <c r="OI192" s="50"/>
      <c r="OK192" s="48"/>
      <c r="OL192" s="49"/>
      <c r="OM192" s="50"/>
      <c r="OR192" s="49"/>
      <c r="OS192" s="50"/>
      <c r="OV192" s="49"/>
      <c r="OW192" s="50"/>
      <c r="PB192" s="49"/>
      <c r="PC192" s="50"/>
      <c r="PF192" s="49"/>
      <c r="PG192" s="50"/>
      <c r="PL192" s="49"/>
      <c r="PM192" s="47"/>
      <c r="PN192" s="48"/>
      <c r="PP192" s="48"/>
      <c r="PR192" s="49"/>
      <c r="PS192" s="47"/>
      <c r="PX192" s="46"/>
      <c r="PY192" s="47"/>
      <c r="QB192" s="46"/>
      <c r="QC192" s="47"/>
      <c r="QH192" s="46"/>
      <c r="QI192" s="47"/>
      <c r="QN192" s="46"/>
      <c r="QO192" s="47"/>
      <c r="QT192" s="46"/>
      <c r="QU192" s="47"/>
      <c r="QX192" s="46"/>
      <c r="QY192" s="47"/>
      <c r="RD192" s="46"/>
    </row>
    <row r="193" spans="1:472" x14ac:dyDescent="0.25">
      <c r="A193" s="43" t="s">
        <v>481</v>
      </c>
      <c r="B193" s="44">
        <v>0.3</v>
      </c>
      <c r="F193">
        <v>30</v>
      </c>
      <c r="I193" s="47"/>
      <c r="J193" s="51"/>
      <c r="K193" s="51"/>
      <c r="L193" s="51"/>
      <c r="M193" s="51">
        <f t="shared" si="15"/>
        <v>0</v>
      </c>
      <c r="N193" s="46"/>
      <c r="O193" s="47"/>
      <c r="P193" s="51"/>
      <c r="Q193" s="52">
        <v>32</v>
      </c>
      <c r="R193" s="52">
        <v>32</v>
      </c>
      <c r="S193" s="51">
        <f t="shared" si="16"/>
        <v>0</v>
      </c>
      <c r="T193" s="46"/>
      <c r="U193" s="47"/>
      <c r="V193" s="51"/>
      <c r="W193" s="52">
        <v>24</v>
      </c>
      <c r="X193" s="52">
        <v>25</v>
      </c>
      <c r="Y193" s="51">
        <f t="shared" si="17"/>
        <v>-1</v>
      </c>
      <c r="Z193" s="46"/>
      <c r="AA193" s="51"/>
      <c r="AC193">
        <v>32</v>
      </c>
      <c r="AD193">
        <v>32</v>
      </c>
      <c r="AE193" s="43">
        <v>0</v>
      </c>
      <c r="AF193" s="46"/>
      <c r="AG193" s="47"/>
      <c r="AI193">
        <v>24</v>
      </c>
      <c r="AJ193">
        <v>24</v>
      </c>
      <c r="AK193" s="43">
        <v>0</v>
      </c>
      <c r="AL193" s="46"/>
      <c r="AO193">
        <v>8</v>
      </c>
      <c r="AP193">
        <v>7</v>
      </c>
      <c r="AQ193" s="43">
        <v>1</v>
      </c>
      <c r="AR193" s="46"/>
      <c r="AU193">
        <v>8</v>
      </c>
      <c r="AV193">
        <v>13</v>
      </c>
      <c r="AW193" s="43">
        <v>-5</v>
      </c>
      <c r="AX193" s="46"/>
      <c r="AY193" s="47"/>
      <c r="BA193">
        <v>8</v>
      </c>
      <c r="BB193">
        <v>8</v>
      </c>
      <c r="BC193" s="43">
        <v>0</v>
      </c>
      <c r="BD193" s="46"/>
      <c r="BE193" s="47"/>
      <c r="BI193" s="43">
        <v>0</v>
      </c>
      <c r="BJ193" s="46"/>
      <c r="BP193" s="43">
        <v>0</v>
      </c>
      <c r="BQ193" s="46"/>
      <c r="BT193" s="43">
        <v>0</v>
      </c>
      <c r="BU193" s="46"/>
      <c r="BV193" s="45">
        <v>16</v>
      </c>
      <c r="BW193">
        <v>18</v>
      </c>
      <c r="BX193">
        <v>8</v>
      </c>
      <c r="BY193">
        <v>6</v>
      </c>
      <c r="BZ193" s="43">
        <v>0</v>
      </c>
      <c r="CA193" s="46"/>
      <c r="CD193">
        <v>8</v>
      </c>
      <c r="CE193">
        <v>8</v>
      </c>
      <c r="CF193" s="43">
        <v>0</v>
      </c>
      <c r="CG193" s="46"/>
      <c r="CL193" s="43">
        <v>0</v>
      </c>
      <c r="CM193" s="46"/>
      <c r="CN193" s="47"/>
      <c r="CP193" s="43">
        <v>40</v>
      </c>
      <c r="CQ193" s="43">
        <v>40</v>
      </c>
      <c r="CR193" s="43">
        <v>0</v>
      </c>
      <c r="CS193" s="46"/>
      <c r="CX193" s="43">
        <v>0</v>
      </c>
      <c r="CY193" s="46"/>
      <c r="CZ193" s="47"/>
      <c r="DD193" s="43">
        <v>0</v>
      </c>
      <c r="DE193" s="46"/>
      <c r="DF193" s="47"/>
      <c r="DL193" s="43">
        <v>0</v>
      </c>
      <c r="DM193" s="46"/>
      <c r="DN193" s="47"/>
      <c r="DR193" s="43">
        <v>0</v>
      </c>
      <c r="DS193" s="46"/>
      <c r="EA193" s="46"/>
      <c r="EB193" s="47"/>
      <c r="EG193" s="46"/>
      <c r="EH193" s="47"/>
      <c r="EM193" s="46"/>
      <c r="EN193" s="47"/>
      <c r="ES193" s="46"/>
      <c r="FA193" s="46"/>
      <c r="FH193" s="46"/>
      <c r="FI193" s="47"/>
      <c r="FM193" s="46"/>
      <c r="FN193" s="47"/>
      <c r="FR193" s="46"/>
      <c r="FX193" s="46"/>
      <c r="FY193" s="47"/>
      <c r="GE193" s="46"/>
      <c r="GK193" s="46"/>
      <c r="GL193" s="47"/>
      <c r="GQ193" s="46"/>
      <c r="GW193" s="46"/>
      <c r="GX193" s="47"/>
      <c r="HA193" s="46"/>
      <c r="HB193" s="47"/>
      <c r="HG193" s="46"/>
      <c r="HH193" s="45"/>
      <c r="HK193" s="46"/>
      <c r="HL193" s="47"/>
      <c r="HQ193" s="46"/>
      <c r="HY193" s="46"/>
      <c r="HZ193" s="47"/>
      <c r="IE193" s="46"/>
      <c r="IK193" s="49"/>
      <c r="IQ193" s="49"/>
      <c r="IW193" s="49"/>
      <c r="JC193" s="46"/>
      <c r="JG193" s="49"/>
      <c r="JM193" s="46"/>
      <c r="JN193" s="45"/>
      <c r="JQ193" s="49"/>
      <c r="JW193" s="49"/>
      <c r="KC193" s="49"/>
      <c r="KI193" s="49"/>
      <c r="KK193" s="44"/>
      <c r="KO193" s="49"/>
      <c r="KP193" s="50"/>
      <c r="KW193" s="49"/>
      <c r="LC193" s="49"/>
      <c r="LI193" s="49"/>
      <c r="LJ193" s="50"/>
      <c r="LM193" s="49"/>
      <c r="LN193" s="50"/>
      <c r="LT193" s="49"/>
      <c r="LU193" s="50"/>
      <c r="LV193" s="48"/>
      <c r="LZ193" s="49"/>
      <c r="MA193" s="50"/>
      <c r="MD193" s="49"/>
      <c r="ME193" s="50"/>
      <c r="MJ193" s="49"/>
      <c r="MK193" s="50"/>
      <c r="MN193" s="49"/>
      <c r="MO193" s="50"/>
      <c r="MT193" s="49"/>
      <c r="MV193" s="46"/>
      <c r="MZ193" s="49"/>
      <c r="NA193" s="50"/>
      <c r="NF193" s="49"/>
      <c r="NG193" s="50"/>
      <c r="NL193" s="49"/>
      <c r="NM193" s="50"/>
      <c r="NN193" s="48"/>
      <c r="NR193" s="49"/>
      <c r="NS193" s="50"/>
      <c r="NX193" s="49"/>
      <c r="NY193" s="50"/>
      <c r="OA193" s="48"/>
      <c r="OD193" s="49"/>
      <c r="OE193" s="50"/>
      <c r="OH193" s="49"/>
      <c r="OI193" s="50"/>
      <c r="OK193" s="48"/>
      <c r="OL193" s="49"/>
      <c r="OM193" s="50"/>
      <c r="OR193" s="49"/>
      <c r="OS193" s="50"/>
      <c r="OV193" s="49"/>
      <c r="OW193" s="50"/>
      <c r="PB193" s="49"/>
      <c r="PC193" s="50"/>
      <c r="PF193" s="49"/>
      <c r="PG193" s="50"/>
      <c r="PL193" s="49"/>
      <c r="PM193" s="47"/>
      <c r="PN193" s="48"/>
      <c r="PP193" s="48"/>
      <c r="PR193" s="49"/>
      <c r="PS193" s="47"/>
      <c r="PX193" s="46"/>
      <c r="PY193" s="47"/>
      <c r="QB193" s="46"/>
      <c r="QC193" s="47"/>
      <c r="QH193" s="46"/>
      <c r="QI193" s="47"/>
      <c r="QN193" s="46"/>
      <c r="QO193" s="47"/>
      <c r="QT193" s="46"/>
      <c r="QU193" s="47"/>
      <c r="QX193" s="46"/>
      <c r="QY193" s="47"/>
      <c r="RD193" s="46"/>
    </row>
    <row r="194" spans="1:472" x14ac:dyDescent="0.25">
      <c r="A194" s="43" t="s">
        <v>482</v>
      </c>
      <c r="B194" s="44">
        <v>0.28000000000000003</v>
      </c>
      <c r="F194">
        <v>53</v>
      </c>
      <c r="I194" s="45">
        <v>120</v>
      </c>
      <c r="J194" s="52">
        <v>120</v>
      </c>
      <c r="K194" s="52">
        <v>160</v>
      </c>
      <c r="L194" s="52">
        <v>159</v>
      </c>
      <c r="M194" s="51">
        <f t="shared" si="15"/>
        <v>1</v>
      </c>
      <c r="N194" s="46"/>
      <c r="O194" s="47"/>
      <c r="P194" s="51"/>
      <c r="Q194" s="51"/>
      <c r="R194" s="51"/>
      <c r="S194" s="51">
        <f t="shared" si="16"/>
        <v>0</v>
      </c>
      <c r="T194" s="46"/>
      <c r="U194" s="47"/>
      <c r="V194" s="51"/>
      <c r="W194" s="51"/>
      <c r="X194" s="51"/>
      <c r="Y194" s="51">
        <f t="shared" si="17"/>
        <v>0</v>
      </c>
      <c r="Z194" s="46"/>
      <c r="AA194" s="52">
        <v>96</v>
      </c>
      <c r="AB194">
        <v>100</v>
      </c>
      <c r="AC194">
        <v>136</v>
      </c>
      <c r="AD194">
        <v>136</v>
      </c>
      <c r="AE194" s="43">
        <v>-4</v>
      </c>
      <c r="AF194" s="46"/>
      <c r="AG194" s="45">
        <v>96</v>
      </c>
      <c r="AH194">
        <v>100</v>
      </c>
      <c r="AI194">
        <v>120</v>
      </c>
      <c r="AJ194">
        <v>123</v>
      </c>
      <c r="AK194" s="43">
        <v>-7</v>
      </c>
      <c r="AL194" s="46"/>
      <c r="AM194">
        <v>80</v>
      </c>
      <c r="AN194">
        <v>80</v>
      </c>
      <c r="AO194">
        <v>80</v>
      </c>
      <c r="AP194">
        <v>81</v>
      </c>
      <c r="AQ194" s="43">
        <v>-1</v>
      </c>
      <c r="AR194" s="46"/>
      <c r="AW194" s="43">
        <v>0</v>
      </c>
      <c r="AX194" s="46"/>
      <c r="AY194" s="45">
        <v>152</v>
      </c>
      <c r="AZ194">
        <v>150</v>
      </c>
      <c r="BA194">
        <v>120</v>
      </c>
      <c r="BB194">
        <v>118</v>
      </c>
      <c r="BC194" s="43">
        <v>4</v>
      </c>
      <c r="BD194" s="46"/>
      <c r="BE194" s="47"/>
      <c r="BI194" s="43">
        <v>0</v>
      </c>
      <c r="BJ194" s="46"/>
      <c r="BK194">
        <v>96</v>
      </c>
      <c r="BL194">
        <v>100</v>
      </c>
      <c r="BN194">
        <v>104</v>
      </c>
      <c r="BO194">
        <v>107</v>
      </c>
      <c r="BP194" s="43">
        <v>-7</v>
      </c>
      <c r="BQ194" s="46"/>
      <c r="BT194" s="43">
        <v>0</v>
      </c>
      <c r="BU194" s="46"/>
      <c r="BV194" s="45">
        <v>80</v>
      </c>
      <c r="BW194">
        <v>80</v>
      </c>
      <c r="BX194">
        <v>216</v>
      </c>
      <c r="BY194">
        <v>221</v>
      </c>
      <c r="BZ194" s="43">
        <v>-5</v>
      </c>
      <c r="CA194" s="46"/>
      <c r="CF194" s="43">
        <v>0</v>
      </c>
      <c r="CG194" s="46"/>
      <c r="CH194">
        <v>48</v>
      </c>
      <c r="CI194">
        <v>50</v>
      </c>
      <c r="CJ194">
        <v>184</v>
      </c>
      <c r="CK194">
        <v>185</v>
      </c>
      <c r="CL194" s="43">
        <v>-3</v>
      </c>
      <c r="CM194" s="46"/>
      <c r="CN194" s="47"/>
      <c r="CP194">
        <v>96</v>
      </c>
      <c r="CQ194">
        <v>100</v>
      </c>
      <c r="CR194" s="43">
        <v>-4</v>
      </c>
      <c r="CS194" s="46"/>
      <c r="CX194" s="43">
        <v>0</v>
      </c>
      <c r="CY194" s="46"/>
      <c r="CZ194" s="47"/>
      <c r="DD194" s="43">
        <v>0</v>
      </c>
      <c r="DE194" s="46"/>
      <c r="DF194" s="47"/>
      <c r="DH194">
        <v>200</v>
      </c>
      <c r="DI194">
        <v>200</v>
      </c>
      <c r="DJ194">
        <v>96</v>
      </c>
      <c r="DK194">
        <v>100</v>
      </c>
      <c r="DL194" s="43">
        <v>-4</v>
      </c>
      <c r="DM194" s="46"/>
      <c r="DN194" s="47"/>
      <c r="DR194" s="43">
        <v>0</v>
      </c>
      <c r="DS194" s="46"/>
      <c r="DV194">
        <v>96</v>
      </c>
      <c r="DW194">
        <v>100</v>
      </c>
      <c r="DX194">
        <v>96</v>
      </c>
      <c r="DY194">
        <v>100</v>
      </c>
      <c r="DZ194" s="43">
        <v>-8</v>
      </c>
      <c r="EA194" s="46"/>
      <c r="EB194" s="47"/>
      <c r="ED194">
        <v>96</v>
      </c>
      <c r="EE194">
        <v>100</v>
      </c>
      <c r="EF194" s="43">
        <v>-4</v>
      </c>
      <c r="EG194" s="46"/>
      <c r="EH194" s="47"/>
      <c r="EL194" s="43">
        <v>0</v>
      </c>
      <c r="EM194" s="46"/>
      <c r="EN194" s="45">
        <v>80</v>
      </c>
      <c r="EO194">
        <v>80</v>
      </c>
      <c r="EP194">
        <v>88</v>
      </c>
      <c r="EQ194">
        <v>90</v>
      </c>
      <c r="ER194" s="43">
        <v>-2</v>
      </c>
      <c r="ES194" s="46"/>
      <c r="EZ194" s="43">
        <v>0</v>
      </c>
      <c r="FA194" s="46"/>
      <c r="FD194">
        <v>64</v>
      </c>
      <c r="FF194">
        <v>64</v>
      </c>
      <c r="FG194" s="43">
        <v>0</v>
      </c>
      <c r="FH194" s="46"/>
      <c r="FI194" s="47"/>
      <c r="FL194" s="43">
        <v>0</v>
      </c>
      <c r="FM194" s="46"/>
      <c r="FN194" s="47"/>
      <c r="FQ194" s="43">
        <v>0</v>
      </c>
      <c r="FR194" s="46"/>
      <c r="FW194" s="43">
        <v>0</v>
      </c>
      <c r="FX194" s="46"/>
      <c r="FY194" s="47"/>
      <c r="GB194">
        <v>160</v>
      </c>
      <c r="GD194" s="43">
        <v>0</v>
      </c>
      <c r="GE194" s="46"/>
      <c r="GH194" s="37">
        <v>64</v>
      </c>
      <c r="GJ194" s="43">
        <v>0</v>
      </c>
      <c r="GK194" s="46"/>
      <c r="GL194" s="47"/>
      <c r="GQ194" s="46"/>
      <c r="GW194" s="46"/>
      <c r="GX194" s="47"/>
      <c r="HA194" s="46"/>
      <c r="HB194" s="47"/>
      <c r="HG194" s="46"/>
      <c r="HH194" s="45"/>
      <c r="HK194" s="46"/>
      <c r="HL194" s="47"/>
      <c r="HQ194" s="46"/>
      <c r="HY194" s="46"/>
      <c r="HZ194" s="47"/>
      <c r="IE194" s="46"/>
      <c r="IK194" s="49"/>
      <c r="IQ194" s="49"/>
      <c r="IW194" s="49"/>
      <c r="JC194" s="46"/>
      <c r="JG194" s="49"/>
      <c r="JM194" s="46"/>
      <c r="JN194" s="45"/>
      <c r="JQ194" s="49"/>
      <c r="JW194" s="49"/>
      <c r="KC194" s="49"/>
      <c r="KI194" s="49"/>
      <c r="KK194" s="44"/>
      <c r="KO194" s="49"/>
      <c r="KP194" s="50"/>
      <c r="KW194" s="49"/>
      <c r="LC194" s="49"/>
      <c r="LI194" s="49"/>
      <c r="LJ194" s="50"/>
      <c r="LM194" s="49"/>
      <c r="LN194" s="50"/>
      <c r="LT194" s="49"/>
      <c r="LU194" s="50"/>
      <c r="LZ194" s="49"/>
      <c r="MA194" s="50"/>
      <c r="MD194" s="49"/>
      <c r="ME194" s="50"/>
      <c r="MJ194" s="49"/>
      <c r="MK194" s="50"/>
      <c r="ML194" s="48"/>
      <c r="MN194" s="49"/>
      <c r="MO194" s="50"/>
      <c r="MT194" s="49"/>
      <c r="MV194" s="46"/>
      <c r="MZ194" s="49"/>
      <c r="NA194" s="50"/>
      <c r="NF194" s="49"/>
      <c r="NG194" s="50"/>
      <c r="NL194" s="49"/>
      <c r="NM194" s="50"/>
      <c r="NN194" s="48"/>
      <c r="NR194" s="49"/>
      <c r="NS194" s="50"/>
      <c r="NX194" s="49"/>
      <c r="NY194" s="50"/>
      <c r="OA194" s="48"/>
      <c r="OD194" s="49"/>
      <c r="OE194" s="50"/>
      <c r="OH194" s="49"/>
      <c r="OI194" s="50"/>
      <c r="OK194" s="48"/>
      <c r="OL194" s="49"/>
      <c r="OM194" s="50"/>
      <c r="OR194" s="49"/>
      <c r="OS194" s="50"/>
      <c r="OV194" s="49"/>
      <c r="OW194" s="50"/>
      <c r="PB194" s="49"/>
      <c r="PC194" s="50"/>
      <c r="PF194" s="49"/>
      <c r="PG194" s="50"/>
      <c r="PL194" s="49"/>
      <c r="PM194" s="47"/>
      <c r="PN194" s="48"/>
      <c r="PP194" s="48"/>
      <c r="PR194" s="49"/>
      <c r="PS194" s="47"/>
      <c r="PX194" s="46"/>
      <c r="PY194" s="47"/>
      <c r="QB194" s="46"/>
      <c r="QC194" s="47"/>
      <c r="QH194" s="46"/>
      <c r="QI194" s="47"/>
      <c r="QN194" s="46"/>
      <c r="QO194" s="47"/>
      <c r="QT194" s="46"/>
      <c r="QU194" s="47"/>
      <c r="QX194" s="46"/>
      <c r="QY194" s="47"/>
      <c r="RD194" s="46"/>
    </row>
    <row r="195" spans="1:472" x14ac:dyDescent="0.25">
      <c r="A195" s="43" t="s">
        <v>483</v>
      </c>
      <c r="B195" s="44">
        <v>0.28000000000000003</v>
      </c>
      <c r="E195">
        <v>370</v>
      </c>
      <c r="F195">
        <v>408</v>
      </c>
      <c r="I195" s="45">
        <v>56</v>
      </c>
      <c r="J195" s="52">
        <v>60</v>
      </c>
      <c r="K195" s="52">
        <v>96</v>
      </c>
      <c r="L195" s="52">
        <v>100</v>
      </c>
      <c r="M195" s="51">
        <f t="shared" si="15"/>
        <v>-8</v>
      </c>
      <c r="N195" s="46"/>
      <c r="O195" s="45">
        <v>200</v>
      </c>
      <c r="P195" s="52">
        <v>200</v>
      </c>
      <c r="Q195" s="52">
        <v>248</v>
      </c>
      <c r="R195" s="52">
        <v>251</v>
      </c>
      <c r="S195" s="51">
        <f t="shared" si="16"/>
        <v>-3</v>
      </c>
      <c r="T195" s="46"/>
      <c r="U195" s="45">
        <v>24</v>
      </c>
      <c r="V195" s="52">
        <v>24</v>
      </c>
      <c r="W195" s="51"/>
      <c r="X195" s="51"/>
      <c r="Y195" s="51">
        <f t="shared" si="17"/>
        <v>0</v>
      </c>
      <c r="Z195" s="46"/>
      <c r="AA195" s="52">
        <v>96</v>
      </c>
      <c r="AB195">
        <v>100</v>
      </c>
      <c r="AC195">
        <v>136</v>
      </c>
      <c r="AD195">
        <v>139</v>
      </c>
      <c r="AE195" s="43">
        <v>-7</v>
      </c>
      <c r="AF195" s="46"/>
      <c r="AG195" s="45">
        <v>96</v>
      </c>
      <c r="AH195">
        <v>100</v>
      </c>
      <c r="AI195">
        <v>128</v>
      </c>
      <c r="AJ195">
        <v>129</v>
      </c>
      <c r="AK195" s="43">
        <v>-5</v>
      </c>
      <c r="AL195" s="46"/>
      <c r="AM195">
        <v>200</v>
      </c>
      <c r="AN195">
        <v>200</v>
      </c>
      <c r="AO195">
        <v>208</v>
      </c>
      <c r="AP195">
        <v>212</v>
      </c>
      <c r="AQ195" s="43">
        <v>-4</v>
      </c>
      <c r="AR195" s="46"/>
      <c r="AS195">
        <v>40</v>
      </c>
      <c r="AT195">
        <v>39</v>
      </c>
      <c r="AW195" s="43">
        <v>1</v>
      </c>
      <c r="AX195" s="46"/>
      <c r="AY195" s="47"/>
      <c r="BC195" s="43">
        <v>0</v>
      </c>
      <c r="BD195" s="46"/>
      <c r="BE195" s="45">
        <v>248</v>
      </c>
      <c r="BF195">
        <v>250</v>
      </c>
      <c r="BG195">
        <v>288</v>
      </c>
      <c r="BH195">
        <v>290</v>
      </c>
      <c r="BI195" s="43">
        <v>-4</v>
      </c>
      <c r="BJ195" s="46"/>
      <c r="BK195">
        <v>96</v>
      </c>
      <c r="BL195">
        <v>100</v>
      </c>
      <c r="BN195">
        <v>200</v>
      </c>
      <c r="BO195">
        <v>199</v>
      </c>
      <c r="BP195" s="43">
        <v>-3</v>
      </c>
      <c r="BQ195" s="46"/>
      <c r="BR195">
        <v>96</v>
      </c>
      <c r="BS195">
        <v>100</v>
      </c>
      <c r="BT195" s="43">
        <v>-4</v>
      </c>
      <c r="BU195" s="46"/>
      <c r="BV195" s="45">
        <v>224</v>
      </c>
      <c r="BW195">
        <v>222</v>
      </c>
      <c r="BX195">
        <v>152</v>
      </c>
      <c r="BY195">
        <v>152</v>
      </c>
      <c r="BZ195" s="43">
        <v>2</v>
      </c>
      <c r="CA195" s="46"/>
      <c r="CB195">
        <v>72</v>
      </c>
      <c r="CC195">
        <v>70</v>
      </c>
      <c r="CD195">
        <v>120</v>
      </c>
      <c r="CE195">
        <v>118</v>
      </c>
      <c r="CF195" s="43">
        <v>4</v>
      </c>
      <c r="CG195" s="46"/>
      <c r="CH195">
        <v>48</v>
      </c>
      <c r="CI195">
        <v>50</v>
      </c>
      <c r="CJ195">
        <v>152</v>
      </c>
      <c r="CK195">
        <v>151</v>
      </c>
      <c r="CL195" s="43">
        <v>-1</v>
      </c>
      <c r="CM195" s="46"/>
      <c r="CN195" s="47"/>
      <c r="CP195">
        <v>208</v>
      </c>
      <c r="CQ195">
        <v>207</v>
      </c>
      <c r="CR195" s="43">
        <v>1</v>
      </c>
      <c r="CS195" s="46"/>
      <c r="CX195" s="43">
        <v>0</v>
      </c>
      <c r="CY195" s="46"/>
      <c r="CZ195" s="47"/>
      <c r="DB195">
        <v>192</v>
      </c>
      <c r="DC195">
        <v>191</v>
      </c>
      <c r="DD195" s="43">
        <v>1</v>
      </c>
      <c r="DE195" s="46"/>
      <c r="DF195" s="47"/>
      <c r="DH195">
        <v>200</v>
      </c>
      <c r="DI195">
        <v>200</v>
      </c>
      <c r="DJ195">
        <v>176</v>
      </c>
      <c r="DK195">
        <v>180</v>
      </c>
      <c r="DL195" s="43">
        <v>-4</v>
      </c>
      <c r="DM195" s="46"/>
      <c r="DN195" s="47"/>
      <c r="DR195" s="43">
        <v>0</v>
      </c>
      <c r="DS195" s="46"/>
      <c r="DT195">
        <v>96</v>
      </c>
      <c r="DU195">
        <v>100</v>
      </c>
      <c r="DV195">
        <v>216</v>
      </c>
      <c r="DW195">
        <v>220</v>
      </c>
      <c r="DX195">
        <v>96</v>
      </c>
      <c r="DY195">
        <v>100</v>
      </c>
      <c r="DZ195" s="43">
        <v>-12</v>
      </c>
      <c r="EA195" s="46"/>
      <c r="EB195" s="47"/>
      <c r="ED195">
        <v>88</v>
      </c>
      <c r="EE195">
        <v>90</v>
      </c>
      <c r="EF195" s="43">
        <v>-2</v>
      </c>
      <c r="EG195" s="46"/>
      <c r="EH195" s="47"/>
      <c r="EJ195">
        <v>120</v>
      </c>
      <c r="EK195">
        <v>120</v>
      </c>
      <c r="EL195" s="43">
        <v>0</v>
      </c>
      <c r="EM195" s="46"/>
      <c r="EN195" s="47"/>
      <c r="ER195" s="43">
        <v>0</v>
      </c>
      <c r="ES195" s="46"/>
      <c r="EZ195" s="43">
        <v>0</v>
      </c>
      <c r="FA195" s="46"/>
      <c r="FD195">
        <v>32</v>
      </c>
      <c r="FF195">
        <v>32</v>
      </c>
      <c r="FG195" s="43">
        <v>0</v>
      </c>
      <c r="FH195" s="46"/>
      <c r="FI195" s="45">
        <v>24</v>
      </c>
      <c r="FK195" s="48">
        <v>22.599999999999991</v>
      </c>
      <c r="FL195" s="43">
        <v>1.400000000000009</v>
      </c>
      <c r="FM195" s="46"/>
      <c r="FN195" s="45">
        <v>288</v>
      </c>
      <c r="FQ195" s="43">
        <v>0</v>
      </c>
      <c r="FR195" s="46"/>
      <c r="FS195">
        <v>232</v>
      </c>
      <c r="FW195" s="43">
        <v>0</v>
      </c>
      <c r="FX195" s="46"/>
      <c r="FY195" s="47"/>
      <c r="GB195">
        <v>80</v>
      </c>
      <c r="GD195" s="43">
        <v>0</v>
      </c>
      <c r="GE195" s="46"/>
      <c r="GK195" s="46"/>
      <c r="GL195" s="47"/>
      <c r="GQ195" s="46"/>
      <c r="GW195" s="46"/>
      <c r="GX195" s="47"/>
      <c r="HA195" s="46"/>
      <c r="HB195" s="47"/>
      <c r="HG195" s="46"/>
      <c r="HH195" s="45"/>
      <c r="HK195" s="46"/>
      <c r="HL195" s="47"/>
      <c r="HQ195" s="46"/>
      <c r="HY195" s="46"/>
      <c r="HZ195" s="47"/>
      <c r="IE195" s="46"/>
      <c r="IK195" s="49"/>
      <c r="IQ195" s="49"/>
      <c r="IW195" s="49"/>
      <c r="JC195" s="46"/>
      <c r="JG195" s="49"/>
      <c r="JM195" s="46"/>
      <c r="JN195" s="45"/>
      <c r="JQ195" s="49"/>
      <c r="JW195" s="49"/>
      <c r="KC195" s="49"/>
      <c r="KI195" s="49"/>
      <c r="KK195" s="44"/>
      <c r="KO195" s="49"/>
      <c r="KP195" s="50"/>
      <c r="KW195" s="49"/>
      <c r="LC195" s="49"/>
      <c r="LI195" s="49"/>
      <c r="LJ195" s="50"/>
      <c r="LM195" s="49"/>
      <c r="LN195" s="50"/>
      <c r="LT195" s="49"/>
      <c r="LU195" s="50"/>
      <c r="LZ195" s="49"/>
      <c r="MA195" s="50"/>
      <c r="MD195" s="49"/>
      <c r="ME195" s="50"/>
      <c r="MI195" s="48"/>
      <c r="MJ195" s="49"/>
      <c r="MK195" s="50"/>
      <c r="ML195" s="48"/>
      <c r="MN195" s="49"/>
      <c r="MO195" s="50"/>
      <c r="MT195" s="49"/>
      <c r="MV195" s="46"/>
      <c r="MZ195" s="49"/>
      <c r="NA195" s="50"/>
      <c r="NF195" s="49"/>
      <c r="NG195" s="50"/>
      <c r="NL195" s="49"/>
      <c r="NM195" s="50"/>
      <c r="NN195" s="48"/>
      <c r="NR195" s="49"/>
      <c r="NS195" s="50"/>
      <c r="NX195" s="49"/>
      <c r="NY195" s="50"/>
      <c r="OA195" s="48"/>
      <c r="OD195" s="49"/>
      <c r="OE195" s="50"/>
      <c r="OH195" s="49"/>
      <c r="OI195" s="50"/>
      <c r="OK195" s="48"/>
      <c r="OL195" s="49"/>
      <c r="OM195" s="50"/>
      <c r="OR195" s="49"/>
      <c r="OS195" s="50"/>
      <c r="OV195" s="49"/>
      <c r="OW195" s="50"/>
      <c r="PB195" s="49"/>
      <c r="PC195" s="50"/>
      <c r="PF195" s="49"/>
      <c r="PG195" s="50"/>
      <c r="PL195" s="49"/>
      <c r="PM195" s="47"/>
      <c r="PN195" s="48"/>
      <c r="PP195" s="48"/>
      <c r="PR195" s="49"/>
      <c r="PS195" s="47"/>
      <c r="PX195" s="46"/>
      <c r="PY195" s="47"/>
      <c r="QB195" s="46"/>
      <c r="QC195" s="47"/>
      <c r="QH195" s="46"/>
      <c r="QI195" s="47"/>
      <c r="QN195" s="46"/>
      <c r="QO195" s="47"/>
      <c r="QT195" s="46"/>
      <c r="QU195" s="47"/>
      <c r="QX195" s="46"/>
      <c r="QY195" s="47"/>
      <c r="RD195" s="46"/>
    </row>
    <row r="196" spans="1:472" x14ac:dyDescent="0.25">
      <c r="A196" s="43" t="s">
        <v>484</v>
      </c>
      <c r="B196" s="44">
        <v>0.28000000000000003</v>
      </c>
      <c r="E196">
        <v>110</v>
      </c>
      <c r="F196">
        <v>128</v>
      </c>
      <c r="I196" s="45">
        <v>96</v>
      </c>
      <c r="J196" s="52">
        <v>100</v>
      </c>
      <c r="K196" s="52">
        <v>128</v>
      </c>
      <c r="L196" s="52">
        <v>132</v>
      </c>
      <c r="M196" s="51">
        <f t="shared" ref="M196:M206" si="18">I196+K196-J196-L196</f>
        <v>-8</v>
      </c>
      <c r="N196" s="46"/>
      <c r="O196" s="47"/>
      <c r="P196" s="51"/>
      <c r="Q196" s="52">
        <v>16</v>
      </c>
      <c r="R196" s="52">
        <v>15</v>
      </c>
      <c r="S196" s="51">
        <f t="shared" ref="S196:S206" si="19">O196+Q196-P196-R196</f>
        <v>1</v>
      </c>
      <c r="T196" s="46"/>
      <c r="U196" s="47"/>
      <c r="V196" s="51"/>
      <c r="W196" s="51"/>
      <c r="X196" s="51"/>
      <c r="Y196" s="51">
        <f t="shared" ref="Y196:Y206" si="20">U196+W196-V196-X196</f>
        <v>0</v>
      </c>
      <c r="Z196" s="46"/>
      <c r="AA196" s="52">
        <v>152</v>
      </c>
      <c r="AB196">
        <v>150</v>
      </c>
      <c r="AC196">
        <v>208</v>
      </c>
      <c r="AD196">
        <v>213</v>
      </c>
      <c r="AE196" s="43">
        <v>-3</v>
      </c>
      <c r="AF196" s="46"/>
      <c r="AG196" s="45">
        <v>16</v>
      </c>
      <c r="AH196">
        <v>16</v>
      </c>
      <c r="AK196" s="43">
        <v>0</v>
      </c>
      <c r="AL196" s="46"/>
      <c r="AM196">
        <v>136</v>
      </c>
      <c r="AN196">
        <v>140</v>
      </c>
      <c r="AO196">
        <v>136</v>
      </c>
      <c r="AP196">
        <v>140</v>
      </c>
      <c r="AQ196" s="43">
        <v>-8</v>
      </c>
      <c r="AR196" s="46"/>
      <c r="AS196">
        <v>32</v>
      </c>
      <c r="AT196">
        <v>30</v>
      </c>
      <c r="AU196">
        <v>40</v>
      </c>
      <c r="AV196">
        <v>41</v>
      </c>
      <c r="AW196" s="43">
        <v>1</v>
      </c>
      <c r="AX196" s="46"/>
      <c r="AY196" s="47"/>
      <c r="BA196">
        <v>24</v>
      </c>
      <c r="BB196">
        <v>29</v>
      </c>
      <c r="BC196" s="43">
        <v>-5</v>
      </c>
      <c r="BD196" s="46"/>
      <c r="BE196" s="45">
        <v>48</v>
      </c>
      <c r="BF196">
        <v>48</v>
      </c>
      <c r="BG196">
        <v>80</v>
      </c>
      <c r="BH196">
        <v>78</v>
      </c>
      <c r="BI196" s="43">
        <v>2</v>
      </c>
      <c r="BJ196" s="46"/>
      <c r="BK196">
        <v>96</v>
      </c>
      <c r="BL196">
        <v>100</v>
      </c>
      <c r="BN196">
        <v>144</v>
      </c>
      <c r="BO196">
        <v>144</v>
      </c>
      <c r="BP196" s="43">
        <v>-4</v>
      </c>
      <c r="BQ196" s="46"/>
      <c r="BT196" s="43">
        <v>0</v>
      </c>
      <c r="BU196" s="46"/>
      <c r="BV196" s="47"/>
      <c r="BX196">
        <v>288</v>
      </c>
      <c r="BY196">
        <v>289</v>
      </c>
      <c r="BZ196" s="43">
        <v>-1</v>
      </c>
      <c r="CA196" s="46"/>
      <c r="CF196" s="43">
        <v>0</v>
      </c>
      <c r="CG196" s="46"/>
      <c r="CJ196">
        <v>72</v>
      </c>
      <c r="CK196">
        <v>75</v>
      </c>
      <c r="CL196" s="43">
        <v>-3</v>
      </c>
      <c r="CM196" s="46"/>
      <c r="CN196" s="47"/>
      <c r="CP196">
        <v>240</v>
      </c>
      <c r="CQ196">
        <v>241</v>
      </c>
      <c r="CR196" s="43">
        <v>-1</v>
      </c>
      <c r="CS196" s="46"/>
      <c r="CX196" s="43">
        <v>0</v>
      </c>
      <c r="CY196" s="46"/>
      <c r="CZ196" s="47"/>
      <c r="DB196">
        <v>40</v>
      </c>
      <c r="DC196">
        <v>38</v>
      </c>
      <c r="DD196" s="43">
        <v>2</v>
      </c>
      <c r="DE196" s="46"/>
      <c r="DF196" s="47"/>
      <c r="DH196">
        <v>96</v>
      </c>
      <c r="DI196">
        <v>100</v>
      </c>
      <c r="DJ196">
        <v>136</v>
      </c>
      <c r="DK196">
        <v>140</v>
      </c>
      <c r="DL196" s="43">
        <v>-8</v>
      </c>
      <c r="DM196" s="46"/>
      <c r="DN196" s="47"/>
      <c r="DR196" s="43">
        <v>0</v>
      </c>
      <c r="DS196" s="46"/>
      <c r="DV196">
        <v>152</v>
      </c>
      <c r="DW196">
        <v>150</v>
      </c>
      <c r="DX196">
        <v>96</v>
      </c>
      <c r="DY196">
        <v>100</v>
      </c>
      <c r="DZ196" s="43">
        <v>-2</v>
      </c>
      <c r="EA196" s="46"/>
      <c r="EB196" s="47"/>
      <c r="EF196" s="43">
        <v>0</v>
      </c>
      <c r="EG196" s="46"/>
      <c r="EH196" s="47"/>
      <c r="EL196" s="43">
        <v>0</v>
      </c>
      <c r="EM196" s="46"/>
      <c r="EN196" s="45">
        <v>120</v>
      </c>
      <c r="EO196">
        <v>120</v>
      </c>
      <c r="EP196">
        <v>120</v>
      </c>
      <c r="EQ196">
        <v>120</v>
      </c>
      <c r="ER196" s="43">
        <v>0</v>
      </c>
      <c r="ES196" s="46"/>
      <c r="EZ196" s="43">
        <v>0</v>
      </c>
      <c r="FA196" s="46"/>
      <c r="FD196">
        <v>112</v>
      </c>
      <c r="FF196">
        <v>112</v>
      </c>
      <c r="FG196" s="43">
        <v>0</v>
      </c>
      <c r="FH196" s="46"/>
      <c r="FI196" s="47"/>
      <c r="FL196" s="43">
        <v>0</v>
      </c>
      <c r="FM196" s="46"/>
      <c r="FN196" s="47"/>
      <c r="FQ196" s="43">
        <v>0</v>
      </c>
      <c r="FR196" s="46"/>
      <c r="FW196" s="43">
        <v>0</v>
      </c>
      <c r="FX196" s="46"/>
      <c r="FY196" s="47"/>
      <c r="GD196" s="43">
        <v>0</v>
      </c>
      <c r="GE196" s="46"/>
      <c r="GF196" s="38">
        <v>128</v>
      </c>
      <c r="GH196" s="37">
        <v>128</v>
      </c>
      <c r="GJ196" s="43">
        <v>0</v>
      </c>
      <c r="GK196" s="46"/>
      <c r="GL196" s="47"/>
      <c r="GQ196" s="46"/>
      <c r="GW196" s="46"/>
      <c r="GX196" s="47"/>
      <c r="HA196" s="46"/>
      <c r="HB196" s="47"/>
      <c r="HG196" s="46"/>
      <c r="HH196" s="45"/>
      <c r="HK196" s="46"/>
      <c r="HL196" s="47"/>
      <c r="HQ196" s="46"/>
      <c r="HY196" s="46"/>
      <c r="HZ196" s="47"/>
      <c r="IE196" s="46"/>
      <c r="IK196" s="49"/>
      <c r="IQ196" s="49"/>
      <c r="IW196" s="49"/>
      <c r="JC196" s="46"/>
      <c r="JG196" s="49"/>
      <c r="JM196" s="46"/>
      <c r="JN196" s="45"/>
      <c r="JQ196" s="49"/>
      <c r="JW196" s="49"/>
      <c r="KC196" s="49"/>
      <c r="KI196" s="49"/>
      <c r="KK196" s="44"/>
      <c r="KO196" s="49"/>
      <c r="KP196" s="50"/>
      <c r="KW196" s="49"/>
      <c r="LC196" s="49"/>
      <c r="LI196" s="49"/>
      <c r="LJ196" s="50"/>
      <c r="LM196" s="49"/>
      <c r="LN196" s="50"/>
      <c r="LT196" s="49"/>
      <c r="LU196" s="50"/>
      <c r="LZ196" s="49"/>
      <c r="MA196" s="50"/>
      <c r="MD196" s="49"/>
      <c r="ME196" s="50"/>
      <c r="MJ196" s="49"/>
      <c r="MK196" s="50"/>
      <c r="ML196" s="48"/>
      <c r="MN196" s="49"/>
      <c r="MO196" s="50"/>
      <c r="MT196" s="49"/>
      <c r="MV196" s="46"/>
      <c r="MZ196" s="49"/>
      <c r="NA196" s="50"/>
      <c r="NF196" s="49"/>
      <c r="NG196" s="50"/>
      <c r="NL196" s="49"/>
      <c r="NM196" s="50"/>
      <c r="NN196" s="48"/>
      <c r="NR196" s="49"/>
      <c r="NS196" s="50"/>
      <c r="NX196" s="49"/>
      <c r="NY196" s="50"/>
      <c r="OA196" s="48"/>
      <c r="OD196" s="49"/>
      <c r="OE196" s="50"/>
      <c r="OH196" s="49"/>
      <c r="OI196" s="50"/>
      <c r="OK196" s="48"/>
      <c r="OL196" s="49"/>
      <c r="OM196" s="50"/>
      <c r="OR196" s="49"/>
      <c r="OS196" s="50"/>
      <c r="OV196" s="49"/>
      <c r="OW196" s="50"/>
      <c r="PB196" s="49"/>
      <c r="PC196" s="50"/>
      <c r="PF196" s="49"/>
      <c r="PG196" s="50"/>
      <c r="PL196" s="49"/>
      <c r="PM196" s="47"/>
      <c r="PN196" s="48"/>
      <c r="PP196" s="48"/>
      <c r="PR196" s="49"/>
      <c r="PS196" s="47"/>
      <c r="PX196" s="46"/>
      <c r="PY196" s="47"/>
      <c r="QB196" s="46"/>
      <c r="QC196" s="47"/>
      <c r="QH196" s="46"/>
      <c r="QI196" s="47"/>
      <c r="QN196" s="46"/>
      <c r="QO196" s="47"/>
      <c r="QT196" s="46"/>
      <c r="QU196" s="47"/>
      <c r="QX196" s="46"/>
      <c r="QY196" s="47"/>
      <c r="RD196" s="46"/>
    </row>
    <row r="197" spans="1:472" x14ac:dyDescent="0.25">
      <c r="A197" s="43" t="s">
        <v>485</v>
      </c>
      <c r="B197" s="44">
        <v>0.28000000000000003</v>
      </c>
      <c r="E197">
        <v>110</v>
      </c>
      <c r="F197">
        <v>111</v>
      </c>
      <c r="I197" s="45">
        <v>56</v>
      </c>
      <c r="J197" s="52">
        <v>60</v>
      </c>
      <c r="K197" s="52">
        <v>80</v>
      </c>
      <c r="L197" s="52">
        <v>83</v>
      </c>
      <c r="M197" s="51">
        <f t="shared" si="18"/>
        <v>-7</v>
      </c>
      <c r="N197" s="46"/>
      <c r="O197" s="45">
        <v>16</v>
      </c>
      <c r="P197" s="52">
        <v>20</v>
      </c>
      <c r="Q197" s="52">
        <v>24</v>
      </c>
      <c r="R197" s="52">
        <v>23</v>
      </c>
      <c r="S197" s="51">
        <f t="shared" si="19"/>
        <v>-3</v>
      </c>
      <c r="T197" s="46"/>
      <c r="U197" s="45">
        <v>56</v>
      </c>
      <c r="V197" s="52">
        <v>54</v>
      </c>
      <c r="W197" s="51"/>
      <c r="X197" s="51"/>
      <c r="Y197" s="51">
        <f t="shared" si="20"/>
        <v>2</v>
      </c>
      <c r="Z197" s="46"/>
      <c r="AA197" s="52">
        <v>40</v>
      </c>
      <c r="AB197">
        <v>40</v>
      </c>
      <c r="AC197">
        <v>32</v>
      </c>
      <c r="AD197">
        <v>35</v>
      </c>
      <c r="AE197" s="43">
        <v>-3</v>
      </c>
      <c r="AF197" s="46"/>
      <c r="AG197" s="47"/>
      <c r="AK197" s="43">
        <v>0</v>
      </c>
      <c r="AL197" s="46"/>
      <c r="AM197">
        <v>152</v>
      </c>
      <c r="AN197">
        <v>150</v>
      </c>
      <c r="AO197">
        <v>184</v>
      </c>
      <c r="AP197">
        <v>188</v>
      </c>
      <c r="AQ197" s="43">
        <v>-2</v>
      </c>
      <c r="AR197" s="46"/>
      <c r="AW197" s="43">
        <v>0</v>
      </c>
      <c r="AX197" s="46"/>
      <c r="AY197" s="47"/>
      <c r="BA197">
        <v>32</v>
      </c>
      <c r="BB197">
        <v>33</v>
      </c>
      <c r="BC197" s="43">
        <v>-1</v>
      </c>
      <c r="BD197" s="46"/>
      <c r="BE197" s="47"/>
      <c r="BG197">
        <v>48</v>
      </c>
      <c r="BH197">
        <v>53</v>
      </c>
      <c r="BI197" s="43">
        <v>-5</v>
      </c>
      <c r="BJ197" s="46"/>
      <c r="BK197">
        <v>96</v>
      </c>
      <c r="BL197">
        <v>100</v>
      </c>
      <c r="BN197">
        <v>200</v>
      </c>
      <c r="BO197">
        <v>203</v>
      </c>
      <c r="BP197" s="43">
        <v>-7</v>
      </c>
      <c r="BQ197" s="46"/>
      <c r="BT197" s="43">
        <v>0</v>
      </c>
      <c r="BU197" s="46"/>
      <c r="BV197" s="47"/>
      <c r="BZ197" s="43">
        <v>0</v>
      </c>
      <c r="CA197" s="46"/>
      <c r="CB197">
        <v>120</v>
      </c>
      <c r="CC197">
        <v>120</v>
      </c>
      <c r="CD197">
        <v>232</v>
      </c>
      <c r="CE197">
        <v>230</v>
      </c>
      <c r="CF197" s="43">
        <v>2</v>
      </c>
      <c r="CG197" s="46"/>
      <c r="CJ197">
        <v>96</v>
      </c>
      <c r="CK197">
        <v>101</v>
      </c>
      <c r="CL197" s="43">
        <v>-5</v>
      </c>
      <c r="CM197" s="46"/>
      <c r="CN197" s="47"/>
      <c r="CR197" s="43">
        <v>0</v>
      </c>
      <c r="CS197" s="46"/>
      <c r="CT197">
        <v>96</v>
      </c>
      <c r="CU197">
        <v>100</v>
      </c>
      <c r="CV197">
        <v>128</v>
      </c>
      <c r="CW197">
        <v>131</v>
      </c>
      <c r="CX197" s="43">
        <v>-7</v>
      </c>
      <c r="CY197" s="46"/>
      <c r="CZ197" s="47"/>
      <c r="DB197">
        <v>248</v>
      </c>
      <c r="DC197">
        <v>247</v>
      </c>
      <c r="DD197" s="43">
        <v>1</v>
      </c>
      <c r="DE197" s="46"/>
      <c r="DF197" s="47"/>
      <c r="DJ197">
        <v>96</v>
      </c>
      <c r="DK197">
        <v>100</v>
      </c>
      <c r="DL197" s="43">
        <v>-4</v>
      </c>
      <c r="DM197" s="46"/>
      <c r="DN197" s="47"/>
      <c r="DP197">
        <v>248</v>
      </c>
      <c r="DQ197">
        <v>250</v>
      </c>
      <c r="DR197" s="43">
        <v>-2</v>
      </c>
      <c r="DS197" s="46"/>
      <c r="DV197">
        <v>88</v>
      </c>
      <c r="DW197">
        <v>90</v>
      </c>
      <c r="DZ197" s="43">
        <v>-2</v>
      </c>
      <c r="EA197" s="46"/>
      <c r="EB197" s="47"/>
      <c r="ED197">
        <v>72</v>
      </c>
      <c r="EE197">
        <v>70</v>
      </c>
      <c r="EF197" s="43">
        <v>2</v>
      </c>
      <c r="EG197" s="46"/>
      <c r="EH197" s="47"/>
      <c r="EJ197">
        <v>72</v>
      </c>
      <c r="EK197">
        <v>70</v>
      </c>
      <c r="EL197" s="43">
        <v>2</v>
      </c>
      <c r="EM197" s="46"/>
      <c r="EN197" s="45">
        <v>32</v>
      </c>
      <c r="EO197">
        <v>32</v>
      </c>
      <c r="EP197">
        <v>32</v>
      </c>
      <c r="EQ197">
        <v>32</v>
      </c>
      <c r="ER197" s="43">
        <v>0</v>
      </c>
      <c r="ES197" s="46"/>
      <c r="EZ197" s="43">
        <v>0</v>
      </c>
      <c r="FA197" s="46"/>
      <c r="FD197">
        <v>144</v>
      </c>
      <c r="FF197">
        <v>149</v>
      </c>
      <c r="FG197" s="43">
        <v>-5</v>
      </c>
      <c r="FH197" s="46"/>
      <c r="FI197" s="45">
        <v>16</v>
      </c>
      <c r="FK197" s="48">
        <v>18.199999999999989</v>
      </c>
      <c r="FL197" s="43">
        <v>-2.1999999999999891</v>
      </c>
      <c r="FM197" s="46"/>
      <c r="FN197" s="47"/>
      <c r="FQ197" s="43">
        <v>0</v>
      </c>
      <c r="FR197" s="46"/>
      <c r="FS197">
        <v>96</v>
      </c>
      <c r="FV197">
        <v>96</v>
      </c>
      <c r="FW197" s="43">
        <v>0</v>
      </c>
      <c r="FX197" s="46"/>
      <c r="FY197" s="47"/>
      <c r="GB197">
        <v>32</v>
      </c>
      <c r="GD197" s="43">
        <v>0</v>
      </c>
      <c r="GE197" s="46"/>
      <c r="GF197" s="38">
        <v>80</v>
      </c>
      <c r="GH197" s="37">
        <v>88</v>
      </c>
      <c r="GJ197" s="43">
        <v>0</v>
      </c>
      <c r="GK197" s="46"/>
      <c r="GL197" s="47"/>
      <c r="GQ197" s="46"/>
      <c r="GW197" s="46"/>
      <c r="GX197" s="47"/>
      <c r="HA197" s="46"/>
      <c r="HB197" s="47"/>
      <c r="HG197" s="46"/>
      <c r="HH197" s="45"/>
      <c r="HK197" s="46"/>
      <c r="HL197" s="47"/>
      <c r="HQ197" s="46"/>
      <c r="HY197" s="46"/>
      <c r="HZ197" s="47"/>
      <c r="IE197" s="46"/>
      <c r="IK197" s="49"/>
      <c r="IQ197" s="49"/>
      <c r="IW197" s="49"/>
      <c r="JC197" s="46"/>
      <c r="JG197" s="49"/>
      <c r="JM197" s="46"/>
      <c r="JN197" s="45"/>
      <c r="JQ197" s="49"/>
      <c r="JW197" s="49"/>
      <c r="KC197" s="49"/>
      <c r="KI197" s="49"/>
      <c r="KK197" s="44"/>
      <c r="KO197" s="49"/>
      <c r="KP197" s="50"/>
      <c r="KW197" s="49"/>
      <c r="LC197" s="49"/>
      <c r="LI197" s="49"/>
      <c r="LJ197" s="50"/>
      <c r="LM197" s="49"/>
      <c r="LN197" s="50"/>
      <c r="LT197" s="49"/>
      <c r="LU197" s="50"/>
      <c r="LZ197" s="49"/>
      <c r="MA197" s="50"/>
      <c r="MD197" s="49"/>
      <c r="ME197" s="50"/>
      <c r="MJ197" s="49"/>
      <c r="MK197" s="50"/>
      <c r="ML197" s="48"/>
      <c r="MN197" s="49"/>
      <c r="MO197" s="50"/>
      <c r="MT197" s="49"/>
      <c r="MV197" s="46"/>
      <c r="MZ197" s="49"/>
      <c r="NA197" s="50"/>
      <c r="NF197" s="49"/>
      <c r="NG197" s="50"/>
      <c r="NL197" s="49"/>
      <c r="NM197" s="50"/>
      <c r="NN197" s="48"/>
      <c r="NR197" s="49"/>
      <c r="NS197" s="50"/>
      <c r="NX197" s="49"/>
      <c r="NY197" s="50"/>
      <c r="OA197" s="48"/>
      <c r="OD197" s="49"/>
      <c r="OE197" s="50"/>
      <c r="OH197" s="49"/>
      <c r="OI197" s="50"/>
      <c r="OK197" s="48"/>
      <c r="OL197" s="49"/>
      <c r="OM197" s="50"/>
      <c r="OR197" s="49"/>
      <c r="OS197" s="50"/>
      <c r="OV197" s="49"/>
      <c r="OW197" s="50"/>
      <c r="PB197" s="49"/>
      <c r="PC197" s="50"/>
      <c r="PF197" s="49"/>
      <c r="PG197" s="50"/>
      <c r="PL197" s="49"/>
      <c r="PM197" s="47"/>
      <c r="PN197" s="48"/>
      <c r="PP197" s="48"/>
      <c r="PR197" s="49"/>
      <c r="PS197" s="47"/>
      <c r="PX197" s="46"/>
      <c r="PY197" s="47"/>
      <c r="QB197" s="46"/>
      <c r="QC197" s="47"/>
      <c r="QH197" s="46"/>
      <c r="QI197" s="47"/>
      <c r="QN197" s="46"/>
      <c r="QO197" s="47"/>
      <c r="QT197" s="46"/>
      <c r="QU197" s="47"/>
      <c r="QX197" s="46"/>
      <c r="QY197" s="47"/>
      <c r="RD197" s="46"/>
    </row>
    <row r="198" spans="1:472" x14ac:dyDescent="0.25">
      <c r="A198" s="43" t="s">
        <v>486</v>
      </c>
      <c r="B198" s="44">
        <v>0.4</v>
      </c>
      <c r="I198" s="45">
        <v>348</v>
      </c>
      <c r="J198" s="51"/>
      <c r="K198" s="52">
        <v>390</v>
      </c>
      <c r="L198" s="51"/>
      <c r="M198" s="51">
        <v>0</v>
      </c>
      <c r="N198" s="46"/>
      <c r="O198" s="47"/>
      <c r="P198" s="51"/>
      <c r="Q198" s="51"/>
      <c r="R198" s="51"/>
      <c r="S198" s="51">
        <f t="shared" si="19"/>
        <v>0</v>
      </c>
      <c r="T198" s="46"/>
      <c r="U198" s="47"/>
      <c r="V198" s="51"/>
      <c r="W198" s="51"/>
      <c r="X198" s="51"/>
      <c r="Y198" s="51">
        <f t="shared" si="20"/>
        <v>0</v>
      </c>
      <c r="Z198" s="46"/>
      <c r="AA198" s="52"/>
      <c r="AF198" s="46"/>
      <c r="AG198" s="47"/>
      <c r="AL198" s="46"/>
      <c r="AR198" s="46"/>
      <c r="AX198" s="46"/>
      <c r="AY198" s="47"/>
      <c r="BD198" s="46"/>
      <c r="BE198" s="47"/>
      <c r="BJ198" s="46"/>
      <c r="BQ198" s="46"/>
      <c r="BR198" s="43"/>
      <c r="BS198" s="48"/>
      <c r="BU198" s="46"/>
      <c r="BV198" s="47"/>
      <c r="CA198" s="46"/>
      <c r="CG198" s="46"/>
      <c r="CK198" s="43"/>
      <c r="CM198" s="46"/>
      <c r="CN198" s="47"/>
      <c r="CQ198" s="43"/>
      <c r="CS198" s="46"/>
      <c r="CT198" s="43"/>
      <c r="CU198" s="43"/>
      <c r="CW198" s="43"/>
      <c r="CY198" s="46"/>
      <c r="CZ198" s="47"/>
      <c r="DB198" s="43"/>
      <c r="DD198" s="43"/>
      <c r="DE198" s="46"/>
      <c r="DF198" s="47"/>
      <c r="DH198" s="48"/>
      <c r="DI198" s="43"/>
      <c r="DJ198" s="43"/>
      <c r="DL198" s="43"/>
      <c r="DM198" s="46"/>
      <c r="DN198" s="47"/>
      <c r="DP198" s="43"/>
      <c r="DQ198" s="43"/>
      <c r="DR198" s="43"/>
      <c r="DS198" s="46"/>
      <c r="DT198" s="48"/>
      <c r="DU198" s="43"/>
      <c r="DV198" s="43"/>
      <c r="DW198" s="43"/>
      <c r="EA198" s="46"/>
      <c r="EB198" s="47"/>
      <c r="EE198" s="43"/>
      <c r="EF198" s="43"/>
      <c r="EG198" s="46"/>
      <c r="EH198" s="47"/>
      <c r="EK198" s="43"/>
      <c r="EL198" s="43"/>
      <c r="EM198" s="46"/>
      <c r="EN198" s="45"/>
      <c r="EO198" s="43"/>
      <c r="EP198" s="43"/>
      <c r="EQ198" s="43"/>
      <c r="ER198" s="43"/>
      <c r="ES198" s="46"/>
      <c r="ET198" s="48"/>
      <c r="EU198" s="43"/>
      <c r="EW198" s="48"/>
      <c r="EX198" s="43"/>
      <c r="FA198" s="46"/>
      <c r="FD198" s="43"/>
      <c r="FG198" s="43"/>
      <c r="FH198" s="46"/>
      <c r="FI198" s="45"/>
      <c r="FM198" s="46"/>
      <c r="FN198" s="47"/>
      <c r="FQ198" s="43"/>
      <c r="FR198" s="46"/>
      <c r="FS198" s="43"/>
      <c r="FV198" s="43"/>
      <c r="FW198" s="43"/>
      <c r="FX198" s="46"/>
      <c r="FY198" s="47"/>
      <c r="GB198" s="43"/>
      <c r="GE198" s="46"/>
      <c r="GF198" s="43"/>
      <c r="GI198" s="43"/>
      <c r="GJ198" s="43"/>
      <c r="GK198" s="46"/>
      <c r="GL198" s="47"/>
      <c r="GM198" s="43"/>
      <c r="GQ198" s="46"/>
      <c r="GR198" s="48"/>
      <c r="GS198" s="43"/>
      <c r="GV198" s="48"/>
      <c r="GW198" s="46"/>
      <c r="GX198" s="47"/>
      <c r="HA198" s="46"/>
      <c r="HB198" s="47"/>
      <c r="HC198" s="43"/>
      <c r="HF198" s="48"/>
      <c r="HG198" s="46"/>
      <c r="HH198" s="45"/>
      <c r="HK198" s="46"/>
      <c r="HL198" s="47"/>
      <c r="HM198" s="43"/>
      <c r="HN198" s="48"/>
      <c r="HO198" s="43"/>
      <c r="HQ198" s="46"/>
      <c r="HR198" s="48"/>
      <c r="HS198" s="43"/>
      <c r="HT198" s="48"/>
      <c r="HY198" s="46"/>
      <c r="HZ198" s="47"/>
      <c r="IE198" s="46"/>
      <c r="IK198" s="49"/>
      <c r="IQ198" s="49"/>
      <c r="IW198" s="49"/>
      <c r="JC198" s="46"/>
      <c r="JG198" s="49"/>
      <c r="JM198" s="46"/>
      <c r="JN198" s="45"/>
      <c r="JQ198" s="49"/>
      <c r="JW198" s="49"/>
      <c r="KC198" s="49"/>
      <c r="KI198" s="49"/>
      <c r="KK198" s="44"/>
      <c r="KO198" s="49"/>
      <c r="KP198" s="50"/>
      <c r="KW198" s="49"/>
      <c r="LC198" s="49"/>
      <c r="LI198" s="49"/>
      <c r="LJ198" s="50"/>
      <c r="LM198" s="49"/>
      <c r="LN198" s="50"/>
      <c r="LT198" s="49"/>
      <c r="LU198" s="50"/>
      <c r="LZ198" s="49"/>
      <c r="MA198" s="50"/>
      <c r="MD198" s="49"/>
      <c r="ME198" s="50"/>
      <c r="MJ198" s="49"/>
      <c r="MK198" s="50"/>
      <c r="ML198" s="48"/>
      <c r="MN198" s="49"/>
      <c r="MO198" s="50"/>
      <c r="MT198" s="49"/>
      <c r="MV198" s="46"/>
      <c r="MZ198" s="49"/>
      <c r="NA198" s="50"/>
      <c r="NF198" s="49"/>
      <c r="NG198" s="50"/>
      <c r="NL198" s="49"/>
      <c r="NM198" s="50"/>
      <c r="NN198" s="48"/>
      <c r="NR198" s="49"/>
      <c r="NS198" s="50"/>
      <c r="NX198" s="49"/>
      <c r="NY198" s="50"/>
      <c r="OA198" s="48"/>
      <c r="OD198" s="49"/>
      <c r="OE198" s="50"/>
      <c r="OH198" s="49"/>
      <c r="OI198" s="50"/>
      <c r="OK198" s="48"/>
      <c r="OL198" s="49"/>
      <c r="OM198" s="50"/>
      <c r="OR198" s="49"/>
      <c r="OS198" s="50"/>
      <c r="OV198" s="49"/>
      <c r="OW198" s="50"/>
      <c r="PB198" s="49"/>
      <c r="PC198" s="50"/>
      <c r="PF198" s="49"/>
      <c r="PG198" s="50"/>
      <c r="PL198" s="49"/>
      <c r="PM198" s="47"/>
      <c r="PN198" s="48"/>
      <c r="PP198" s="48"/>
      <c r="PR198" s="49"/>
      <c r="PS198" s="47"/>
      <c r="PX198" s="46"/>
      <c r="PY198" s="47"/>
      <c r="QB198" s="46"/>
      <c r="QC198" s="47"/>
      <c r="QH198" s="46"/>
      <c r="QI198" s="47"/>
      <c r="QN198" s="46"/>
      <c r="QO198" s="47"/>
      <c r="QT198" s="46"/>
      <c r="QU198" s="47"/>
      <c r="QX198" s="46"/>
      <c r="QY198" s="47"/>
      <c r="RD198" s="46"/>
    </row>
    <row r="199" spans="1:472" x14ac:dyDescent="0.25">
      <c r="A199" s="43" t="s">
        <v>487</v>
      </c>
      <c r="B199" s="44">
        <v>0.33</v>
      </c>
      <c r="I199" s="47"/>
      <c r="J199" s="51"/>
      <c r="K199" s="51"/>
      <c r="L199" s="51"/>
      <c r="M199" s="51">
        <f t="shared" si="18"/>
        <v>0</v>
      </c>
      <c r="N199" s="46"/>
      <c r="O199" s="47"/>
      <c r="P199" s="51"/>
      <c r="Q199" s="51"/>
      <c r="R199" s="51"/>
      <c r="S199" s="51">
        <f t="shared" si="19"/>
        <v>0</v>
      </c>
      <c r="T199" s="46"/>
      <c r="U199" s="47"/>
      <c r="V199" s="51"/>
      <c r="W199" s="51"/>
      <c r="X199" s="51"/>
      <c r="Y199" s="51">
        <f t="shared" si="20"/>
        <v>0</v>
      </c>
      <c r="Z199" s="46"/>
      <c r="AA199" s="51"/>
      <c r="AE199" s="43">
        <v>0</v>
      </c>
      <c r="AF199" s="46"/>
      <c r="AG199" s="47"/>
      <c r="AK199" s="43">
        <v>0</v>
      </c>
      <c r="AL199" s="46"/>
      <c r="AQ199" s="43">
        <v>0</v>
      </c>
      <c r="AR199" s="46"/>
      <c r="AW199" s="43">
        <v>0</v>
      </c>
      <c r="AX199" s="46"/>
      <c r="AY199" s="47"/>
      <c r="BC199" s="43">
        <v>0</v>
      </c>
      <c r="BD199" s="46"/>
      <c r="BE199" s="47"/>
      <c r="BI199" s="43">
        <v>0</v>
      </c>
      <c r="BJ199" s="46"/>
      <c r="BP199" s="43">
        <v>0</v>
      </c>
      <c r="BQ199" s="46"/>
      <c r="BT199" s="43">
        <v>0</v>
      </c>
      <c r="BU199" s="46"/>
      <c r="BV199" s="47"/>
      <c r="BZ199" s="43">
        <v>0</v>
      </c>
      <c r="CA199" s="46"/>
      <c r="CF199" s="43">
        <v>0</v>
      </c>
      <c r="CG199" s="46"/>
      <c r="CL199" s="43">
        <v>0</v>
      </c>
      <c r="CM199" s="46"/>
      <c r="CN199" s="47"/>
      <c r="CR199" s="43">
        <v>0</v>
      </c>
      <c r="CS199" s="46"/>
      <c r="CX199" s="43">
        <v>0</v>
      </c>
      <c r="CY199" s="46"/>
      <c r="CZ199" s="47"/>
      <c r="DD199" s="43">
        <v>0</v>
      </c>
      <c r="DE199" s="46"/>
      <c r="DF199" s="47"/>
      <c r="DH199">
        <v>296</v>
      </c>
      <c r="DI199">
        <v>300</v>
      </c>
      <c r="DJ199">
        <v>176</v>
      </c>
      <c r="DK199">
        <v>180</v>
      </c>
      <c r="DL199" s="43">
        <v>-8</v>
      </c>
      <c r="DM199" s="46"/>
      <c r="DN199" s="47"/>
      <c r="DR199" s="43">
        <v>0</v>
      </c>
      <c r="DS199" s="46"/>
      <c r="DT199">
        <v>96</v>
      </c>
      <c r="DU199">
        <v>100</v>
      </c>
      <c r="DV199">
        <v>128</v>
      </c>
      <c r="DW199">
        <v>130</v>
      </c>
      <c r="DX199">
        <v>96</v>
      </c>
      <c r="DY199">
        <v>100</v>
      </c>
      <c r="DZ199" s="43">
        <v>-10</v>
      </c>
      <c r="EA199" s="46"/>
      <c r="EB199" s="47"/>
      <c r="EF199" s="43">
        <v>0</v>
      </c>
      <c r="EG199" s="46"/>
      <c r="EH199" s="47"/>
      <c r="EJ199">
        <v>216</v>
      </c>
      <c r="EK199">
        <v>220</v>
      </c>
      <c r="EL199" s="43">
        <v>-4</v>
      </c>
      <c r="EM199" s="46"/>
      <c r="EN199" s="47"/>
      <c r="ER199" s="43">
        <v>0</v>
      </c>
      <c r="ES199" s="46"/>
      <c r="EZ199" s="43">
        <v>0</v>
      </c>
      <c r="FA199" s="46"/>
      <c r="FD199">
        <v>192</v>
      </c>
      <c r="FF199">
        <v>190</v>
      </c>
      <c r="FG199" s="43">
        <v>2</v>
      </c>
      <c r="FH199" s="46"/>
      <c r="FI199" s="47"/>
      <c r="FL199" s="43">
        <v>0</v>
      </c>
      <c r="FM199" s="46"/>
      <c r="FN199" s="45">
        <v>288</v>
      </c>
      <c r="FQ199" s="43">
        <v>0</v>
      </c>
      <c r="FR199" s="46"/>
      <c r="FX199" s="46"/>
      <c r="FY199" s="47"/>
      <c r="GE199" s="46"/>
      <c r="GF199" s="38"/>
      <c r="GH199" s="37"/>
      <c r="GK199" s="46"/>
      <c r="GL199" s="47"/>
      <c r="GQ199" s="46"/>
      <c r="GW199" s="46"/>
      <c r="GX199" s="47"/>
      <c r="HA199" s="46"/>
      <c r="HB199" s="47"/>
      <c r="HG199" s="46"/>
      <c r="HH199" s="45"/>
      <c r="HK199" s="46"/>
      <c r="HL199" s="47"/>
      <c r="HQ199" s="46"/>
      <c r="HY199" s="46"/>
      <c r="HZ199" s="47"/>
      <c r="IE199" s="46"/>
      <c r="IK199" s="49"/>
      <c r="IQ199" s="49"/>
      <c r="IW199" s="49"/>
      <c r="JC199" s="46"/>
      <c r="JG199" s="49"/>
      <c r="JM199" s="46"/>
      <c r="JN199" s="45"/>
      <c r="JQ199" s="49"/>
      <c r="JW199" s="49"/>
      <c r="KC199" s="49"/>
      <c r="KI199" s="49"/>
      <c r="KK199" s="44"/>
      <c r="KO199" s="49"/>
      <c r="KP199" s="50"/>
      <c r="KW199" s="49"/>
      <c r="LC199" s="49"/>
      <c r="LI199" s="49"/>
      <c r="LJ199" s="50"/>
      <c r="LM199" s="49"/>
      <c r="LN199" s="50"/>
      <c r="LT199" s="49"/>
      <c r="LU199" s="50"/>
      <c r="LZ199" s="49"/>
      <c r="MA199" s="50"/>
      <c r="MD199" s="49"/>
      <c r="ME199" s="50"/>
      <c r="MJ199" s="49"/>
      <c r="MK199" s="50"/>
      <c r="ML199" s="48"/>
      <c r="MN199" s="49"/>
      <c r="MO199" s="50"/>
      <c r="MT199" s="49"/>
      <c r="MV199" s="46"/>
      <c r="MZ199" s="49"/>
      <c r="NA199" s="50"/>
      <c r="NF199" s="49"/>
      <c r="NG199" s="50"/>
      <c r="NL199" s="49"/>
      <c r="NM199" s="50"/>
      <c r="NN199" s="48"/>
      <c r="NR199" s="49"/>
      <c r="NS199" s="50"/>
      <c r="NX199" s="49"/>
      <c r="NY199" s="50"/>
      <c r="OA199" s="48"/>
      <c r="OD199" s="49"/>
      <c r="OE199" s="50"/>
      <c r="OH199" s="49"/>
      <c r="OI199" s="50"/>
      <c r="OK199" s="48"/>
      <c r="OL199" s="49"/>
      <c r="OM199" s="50"/>
      <c r="OR199" s="49"/>
      <c r="OS199" s="50"/>
      <c r="OV199" s="49"/>
      <c r="OW199" s="50"/>
      <c r="PB199" s="49"/>
      <c r="PC199" s="50"/>
      <c r="PF199" s="49"/>
      <c r="PG199" s="50"/>
      <c r="PL199" s="49"/>
      <c r="PM199" s="47"/>
      <c r="PN199" s="48"/>
      <c r="PP199" s="48"/>
      <c r="PR199" s="49"/>
      <c r="PS199" s="47"/>
      <c r="PX199" s="46"/>
      <c r="PY199" s="47"/>
      <c r="QB199" s="46"/>
      <c r="QC199" s="47"/>
      <c r="QH199" s="46"/>
      <c r="QI199" s="47"/>
      <c r="QN199" s="46"/>
      <c r="QO199" s="47"/>
      <c r="QT199" s="46"/>
      <c r="QU199" s="47"/>
      <c r="QX199" s="46"/>
      <c r="QY199" s="47"/>
      <c r="RD199" s="46"/>
    </row>
    <row r="200" spans="1:472" x14ac:dyDescent="0.25">
      <c r="A200" s="43" t="s">
        <v>488</v>
      </c>
      <c r="B200" s="44">
        <v>0.3</v>
      </c>
      <c r="F200">
        <v>35</v>
      </c>
      <c r="I200" s="47"/>
      <c r="J200" s="51"/>
      <c r="K200" s="51"/>
      <c r="L200" s="51"/>
      <c r="M200" s="51">
        <f t="shared" si="18"/>
        <v>0</v>
      </c>
      <c r="N200" s="46"/>
      <c r="O200" s="47"/>
      <c r="P200" s="51"/>
      <c r="Q200" s="52">
        <v>42</v>
      </c>
      <c r="R200" s="52">
        <v>40</v>
      </c>
      <c r="S200" s="51">
        <f t="shared" si="19"/>
        <v>2</v>
      </c>
      <c r="T200" s="46"/>
      <c r="U200" s="47"/>
      <c r="V200" s="52">
        <v>7</v>
      </c>
      <c r="W200" s="51"/>
      <c r="X200" s="51"/>
      <c r="Y200" s="51">
        <f t="shared" si="20"/>
        <v>-7</v>
      </c>
      <c r="Z200" s="46"/>
      <c r="AA200" s="51"/>
      <c r="AC200">
        <v>35</v>
      </c>
      <c r="AD200">
        <v>34</v>
      </c>
      <c r="AE200" s="43">
        <v>1</v>
      </c>
      <c r="AF200" s="46"/>
      <c r="AG200" s="45">
        <v>7</v>
      </c>
      <c r="AH200">
        <v>7</v>
      </c>
      <c r="AI200">
        <v>7</v>
      </c>
      <c r="AJ200">
        <v>8</v>
      </c>
      <c r="AK200" s="43">
        <v>-1</v>
      </c>
      <c r="AL200" s="46"/>
      <c r="AO200">
        <v>7</v>
      </c>
      <c r="AP200">
        <v>11</v>
      </c>
      <c r="AQ200" s="43">
        <v>-4</v>
      </c>
      <c r="AR200" s="46"/>
      <c r="AS200">
        <v>42</v>
      </c>
      <c r="AT200">
        <v>42</v>
      </c>
      <c r="AU200">
        <v>49</v>
      </c>
      <c r="AV200">
        <v>47</v>
      </c>
      <c r="AW200" s="43">
        <v>2</v>
      </c>
      <c r="AX200" s="46"/>
      <c r="AY200" s="47"/>
      <c r="BA200">
        <v>7</v>
      </c>
      <c r="BB200">
        <v>9</v>
      </c>
      <c r="BC200" s="43">
        <v>-2</v>
      </c>
      <c r="BD200" s="46"/>
      <c r="BE200" s="47"/>
      <c r="BG200">
        <v>56</v>
      </c>
      <c r="BH200">
        <v>60</v>
      </c>
      <c r="BI200" s="43">
        <v>-4</v>
      </c>
      <c r="BJ200" s="46"/>
      <c r="BP200" s="43">
        <v>0</v>
      </c>
      <c r="BQ200" s="46"/>
      <c r="BT200" s="43">
        <v>0</v>
      </c>
      <c r="BU200" s="46"/>
      <c r="BV200" s="47"/>
      <c r="BX200">
        <v>77</v>
      </c>
      <c r="BY200">
        <v>77</v>
      </c>
      <c r="BZ200" s="43">
        <v>0</v>
      </c>
      <c r="CA200" s="46"/>
      <c r="CD200">
        <v>56</v>
      </c>
      <c r="CE200">
        <v>60</v>
      </c>
      <c r="CF200" s="43">
        <v>-4</v>
      </c>
      <c r="CG200" s="46"/>
      <c r="CL200" s="43">
        <v>0</v>
      </c>
      <c r="CM200" s="46"/>
      <c r="CN200" s="47"/>
      <c r="CR200" s="43">
        <v>0</v>
      </c>
      <c r="CS200" s="46"/>
      <c r="CX200" s="43">
        <v>0</v>
      </c>
      <c r="CY200" s="46"/>
      <c r="CZ200" s="47"/>
      <c r="DD200" s="43">
        <v>0</v>
      </c>
      <c r="DE200" s="46"/>
      <c r="DF200" s="47"/>
      <c r="DL200" s="43">
        <v>0</v>
      </c>
      <c r="DM200" s="46"/>
      <c r="DN200" s="47"/>
      <c r="DP200">
        <v>392</v>
      </c>
      <c r="DQ200">
        <v>390</v>
      </c>
      <c r="DR200" s="43">
        <v>2</v>
      </c>
      <c r="DS200" s="46"/>
      <c r="DZ200" s="43">
        <v>0</v>
      </c>
      <c r="EA200" s="46"/>
      <c r="EB200" s="47"/>
      <c r="EF200" s="43">
        <v>0</v>
      </c>
      <c r="EG200" s="46"/>
      <c r="EH200" s="47"/>
      <c r="EK200" s="43">
        <v>200</v>
      </c>
      <c r="EL200" s="42">
        <v>-200</v>
      </c>
      <c r="EM200" s="46">
        <v>60</v>
      </c>
      <c r="EN200" s="47">
        <v>497</v>
      </c>
      <c r="EO200" s="43">
        <v>500</v>
      </c>
      <c r="ER200" s="43">
        <v>-3</v>
      </c>
      <c r="ES200" s="46"/>
      <c r="EZ200" s="43">
        <v>0</v>
      </c>
      <c r="FA200" s="46"/>
      <c r="FG200" s="43">
        <v>0</v>
      </c>
      <c r="FH200" s="46"/>
      <c r="FI200" s="47"/>
      <c r="FL200" s="43">
        <v>0</v>
      </c>
      <c r="FM200" s="46"/>
      <c r="FN200" s="47"/>
      <c r="FQ200" s="43">
        <v>0</v>
      </c>
      <c r="FR200" s="46"/>
      <c r="FX200" s="46"/>
      <c r="FY200" s="47"/>
      <c r="GE200" s="46"/>
      <c r="GF200" s="38"/>
      <c r="GH200" s="37"/>
      <c r="GK200" s="46"/>
      <c r="GL200" s="47"/>
      <c r="GQ200" s="46"/>
      <c r="GW200" s="46"/>
      <c r="GX200" s="47"/>
      <c r="HA200" s="46"/>
      <c r="HB200" s="47"/>
      <c r="HG200" s="46"/>
      <c r="HH200" s="45"/>
      <c r="HK200" s="46"/>
      <c r="HL200" s="47"/>
      <c r="HQ200" s="46"/>
      <c r="HY200" s="46"/>
      <c r="HZ200" s="47"/>
      <c r="IE200" s="46"/>
      <c r="IK200" s="49"/>
      <c r="IQ200" s="49"/>
      <c r="IW200" s="49"/>
      <c r="JC200" s="46"/>
      <c r="JG200" s="49"/>
      <c r="JM200" s="46"/>
      <c r="JN200" s="45"/>
      <c r="JQ200" s="49"/>
      <c r="JW200" s="49"/>
      <c r="KC200" s="49"/>
      <c r="KI200" s="49"/>
      <c r="KK200" s="44"/>
      <c r="KO200" s="49"/>
      <c r="KP200" s="50"/>
      <c r="KW200" s="49"/>
      <c r="LC200" s="49"/>
      <c r="LI200" s="49"/>
      <c r="LJ200" s="50"/>
      <c r="LM200" s="49"/>
      <c r="LN200" s="50"/>
      <c r="LT200" s="49"/>
      <c r="LU200" s="50"/>
      <c r="LZ200" s="49"/>
      <c r="MA200" s="50"/>
      <c r="MD200" s="49"/>
      <c r="ME200" s="50"/>
      <c r="MJ200" s="49"/>
      <c r="MK200" s="50"/>
      <c r="ML200" s="48"/>
      <c r="MN200" s="49"/>
      <c r="MO200" s="50"/>
      <c r="MT200" s="49"/>
      <c r="MV200" s="46"/>
      <c r="MZ200" s="49"/>
      <c r="NA200" s="50"/>
      <c r="NF200" s="49"/>
      <c r="NG200" s="50"/>
      <c r="NL200" s="49"/>
      <c r="NM200" s="50"/>
      <c r="NN200" s="48"/>
      <c r="NR200" s="49"/>
      <c r="NS200" s="50"/>
      <c r="NX200" s="49"/>
      <c r="NY200" s="50"/>
      <c r="OA200" s="48"/>
      <c r="OD200" s="49"/>
      <c r="OE200" s="50"/>
      <c r="OH200" s="49"/>
      <c r="OI200" s="50"/>
      <c r="OK200" s="48"/>
      <c r="OL200" s="49"/>
      <c r="OM200" s="50"/>
      <c r="OR200" s="49"/>
      <c r="OS200" s="50"/>
      <c r="OV200" s="49"/>
      <c r="OW200" s="50"/>
      <c r="PB200" s="49"/>
      <c r="PC200" s="50"/>
      <c r="PF200" s="49"/>
      <c r="PG200" s="50"/>
      <c r="PL200" s="49"/>
      <c r="PM200" s="47"/>
      <c r="PN200" s="48"/>
      <c r="PP200" s="48"/>
      <c r="PR200" s="49"/>
      <c r="PS200" s="47"/>
      <c r="PX200" s="46"/>
      <c r="PY200" s="47"/>
      <c r="QB200" s="46"/>
      <c r="QC200" s="47"/>
      <c r="QH200" s="46"/>
      <c r="QI200" s="47"/>
      <c r="QN200" s="46"/>
      <c r="QO200" s="47"/>
      <c r="QT200" s="46"/>
      <c r="QU200" s="47"/>
      <c r="QX200" s="46"/>
      <c r="QY200" s="47"/>
      <c r="RD200" s="46"/>
    </row>
    <row r="201" spans="1:472" x14ac:dyDescent="0.25">
      <c r="A201" s="43" t="s">
        <v>489</v>
      </c>
      <c r="B201" s="44">
        <v>0.33</v>
      </c>
      <c r="I201" s="47"/>
      <c r="J201" s="51"/>
      <c r="K201" s="52">
        <v>42</v>
      </c>
      <c r="L201" s="52">
        <v>43</v>
      </c>
      <c r="M201" s="51">
        <f t="shared" si="18"/>
        <v>-1</v>
      </c>
      <c r="N201" s="46"/>
      <c r="O201" s="47"/>
      <c r="P201" s="51"/>
      <c r="Q201" s="52">
        <v>6</v>
      </c>
      <c r="R201" s="52">
        <v>6</v>
      </c>
      <c r="S201" s="51">
        <f t="shared" si="19"/>
        <v>0</v>
      </c>
      <c r="T201" s="46"/>
      <c r="U201" s="47"/>
      <c r="V201" s="51"/>
      <c r="W201" s="52">
        <v>30</v>
      </c>
      <c r="X201" s="52">
        <v>31</v>
      </c>
      <c r="Y201" s="51">
        <f t="shared" si="20"/>
        <v>-1</v>
      </c>
      <c r="Z201" s="46"/>
      <c r="AA201" s="51"/>
      <c r="AE201" s="43">
        <v>0</v>
      </c>
      <c r="AF201" s="46"/>
      <c r="AG201" s="47"/>
      <c r="AI201">
        <v>18</v>
      </c>
      <c r="AJ201">
        <v>19</v>
      </c>
      <c r="AK201" s="43">
        <v>-1</v>
      </c>
      <c r="AL201" s="46"/>
      <c r="AQ201" s="43">
        <v>0</v>
      </c>
      <c r="AR201" s="46"/>
      <c r="AW201" s="43">
        <v>0</v>
      </c>
      <c r="AX201" s="46"/>
      <c r="AY201" s="47"/>
      <c r="BA201">
        <v>24</v>
      </c>
      <c r="BC201" s="43">
        <v>0</v>
      </c>
      <c r="BD201" s="46"/>
      <c r="BE201" s="47"/>
      <c r="BI201" s="43">
        <v>0</v>
      </c>
      <c r="BJ201" s="46"/>
      <c r="BN201">
        <v>6</v>
      </c>
      <c r="BP201" s="43">
        <v>0</v>
      </c>
      <c r="BQ201" s="46"/>
      <c r="BT201" s="43">
        <v>0</v>
      </c>
      <c r="BU201" s="46"/>
      <c r="BV201" s="45">
        <v>24</v>
      </c>
      <c r="BZ201" s="43">
        <v>0</v>
      </c>
      <c r="CA201" s="46"/>
      <c r="CF201" s="43">
        <v>0</v>
      </c>
      <c r="CG201" s="46"/>
      <c r="CJ201" s="39">
        <v>24</v>
      </c>
      <c r="CL201" s="43">
        <v>0</v>
      </c>
      <c r="CM201" s="46"/>
      <c r="CN201" s="47"/>
      <c r="CP201">
        <v>18</v>
      </c>
      <c r="CR201" s="43">
        <v>0</v>
      </c>
      <c r="CS201" s="46"/>
      <c r="CV201">
        <v>18</v>
      </c>
      <c r="CX201" s="43">
        <v>0</v>
      </c>
      <c r="CY201" s="46"/>
      <c r="CZ201" s="47"/>
      <c r="DD201" s="43">
        <v>0</v>
      </c>
      <c r="DE201" s="46"/>
      <c r="DF201" s="47"/>
      <c r="DJ201">
        <v>6</v>
      </c>
      <c r="DL201" s="43">
        <v>0</v>
      </c>
      <c r="DM201" s="46"/>
      <c r="DN201" s="47"/>
      <c r="DP201">
        <v>18</v>
      </c>
      <c r="DR201" s="43">
        <v>0</v>
      </c>
      <c r="DS201" s="46"/>
      <c r="DZ201" s="43">
        <v>0</v>
      </c>
      <c r="EA201" s="46"/>
      <c r="EB201" s="47"/>
      <c r="ED201">
        <v>6</v>
      </c>
      <c r="EF201" s="43">
        <v>0</v>
      </c>
      <c r="EG201" s="46"/>
      <c r="EH201" s="47"/>
      <c r="EJ201">
        <v>6</v>
      </c>
      <c r="EL201" s="43">
        <v>0</v>
      </c>
      <c r="EM201" s="46"/>
      <c r="EN201" s="47"/>
      <c r="EP201" s="43">
        <v>6</v>
      </c>
      <c r="ER201" s="43">
        <v>0</v>
      </c>
      <c r="ES201" s="46"/>
      <c r="FA201" s="46"/>
      <c r="FH201" s="46"/>
      <c r="FI201" s="47"/>
      <c r="FM201" s="46"/>
      <c r="FN201" s="47"/>
      <c r="FR201" s="46"/>
      <c r="FX201" s="46"/>
      <c r="FY201" s="47"/>
      <c r="GE201" s="46"/>
      <c r="GF201" s="38"/>
      <c r="GH201" s="37"/>
      <c r="GK201" s="46"/>
      <c r="GL201" s="47"/>
      <c r="GQ201" s="46"/>
      <c r="GW201" s="46"/>
      <c r="GX201" s="47"/>
      <c r="HA201" s="46"/>
      <c r="HB201" s="47"/>
      <c r="HG201" s="46"/>
      <c r="HH201" s="45"/>
      <c r="HK201" s="46"/>
      <c r="HL201" s="47"/>
      <c r="HQ201" s="46"/>
      <c r="HY201" s="46"/>
      <c r="HZ201" s="47"/>
      <c r="IE201" s="46"/>
      <c r="IK201" s="49"/>
      <c r="IQ201" s="49"/>
      <c r="IW201" s="49"/>
      <c r="JC201" s="46"/>
      <c r="JG201" s="49"/>
      <c r="JM201" s="46"/>
      <c r="JN201" s="45"/>
      <c r="JQ201" s="49"/>
      <c r="JW201" s="49"/>
      <c r="KC201" s="49"/>
      <c r="KI201" s="49"/>
      <c r="KK201" s="44"/>
      <c r="KO201" s="49"/>
      <c r="KP201" s="50"/>
      <c r="KW201" s="49"/>
      <c r="LC201" s="49"/>
      <c r="LI201" s="49"/>
      <c r="LJ201" s="50"/>
      <c r="LM201" s="49"/>
      <c r="LN201" s="50"/>
      <c r="LT201" s="49"/>
      <c r="LU201" s="50"/>
      <c r="LZ201" s="49"/>
      <c r="MA201" s="50"/>
      <c r="MD201" s="49"/>
      <c r="ME201" s="50"/>
      <c r="MJ201" s="49"/>
      <c r="MK201" s="50"/>
      <c r="ML201" s="48"/>
      <c r="MN201" s="49"/>
      <c r="MO201" s="50"/>
      <c r="MT201" s="49"/>
      <c r="MV201" s="46"/>
      <c r="MZ201" s="49"/>
      <c r="NA201" s="50"/>
      <c r="NF201" s="49"/>
      <c r="NG201" s="50"/>
      <c r="NL201" s="49"/>
      <c r="NM201" s="50"/>
      <c r="NN201" s="48"/>
      <c r="NR201" s="49"/>
      <c r="NS201" s="50"/>
      <c r="NX201" s="49"/>
      <c r="NY201" s="50"/>
      <c r="OA201" s="48"/>
      <c r="OD201" s="49"/>
      <c r="OE201" s="50"/>
      <c r="OH201" s="49"/>
      <c r="OI201" s="50"/>
      <c r="OK201" s="48"/>
      <c r="OL201" s="49"/>
      <c r="OM201" s="50"/>
      <c r="OR201" s="49"/>
      <c r="OS201" s="50"/>
      <c r="OV201" s="49"/>
      <c r="OW201" s="50"/>
      <c r="PB201" s="49"/>
      <c r="PC201" s="50"/>
      <c r="PF201" s="49"/>
      <c r="PG201" s="50"/>
      <c r="PL201" s="49"/>
      <c r="PM201" s="47"/>
      <c r="PN201" s="48"/>
      <c r="PP201" s="48"/>
      <c r="PR201" s="49"/>
      <c r="PS201" s="47"/>
      <c r="PX201" s="46"/>
      <c r="PY201" s="47"/>
      <c r="QB201" s="46"/>
      <c r="QC201" s="47"/>
      <c r="QH201" s="46"/>
      <c r="QI201" s="47"/>
      <c r="QN201" s="46"/>
      <c r="QO201" s="47"/>
      <c r="QT201" s="46"/>
      <c r="QU201" s="47"/>
      <c r="QX201" s="46"/>
      <c r="QY201" s="47"/>
      <c r="RD201" s="46"/>
    </row>
    <row r="202" spans="1:472" x14ac:dyDescent="0.25">
      <c r="A202" s="43" t="s">
        <v>490</v>
      </c>
      <c r="B202" s="44">
        <v>1</v>
      </c>
      <c r="I202" s="47"/>
      <c r="J202" s="51"/>
      <c r="K202" s="52">
        <v>50</v>
      </c>
      <c r="L202" s="51"/>
      <c r="M202" s="51">
        <f t="shared" si="18"/>
        <v>50</v>
      </c>
      <c r="N202" s="46"/>
      <c r="O202" s="47"/>
      <c r="P202" s="51"/>
      <c r="Q202" s="51"/>
      <c r="R202" s="51"/>
      <c r="S202" s="51">
        <f t="shared" si="19"/>
        <v>0</v>
      </c>
      <c r="T202" s="46"/>
      <c r="U202" s="47"/>
      <c r="V202" s="51"/>
      <c r="W202" s="51"/>
      <c r="X202" s="51"/>
      <c r="Y202" s="51">
        <f t="shared" si="20"/>
        <v>0</v>
      </c>
      <c r="Z202" s="46"/>
      <c r="AA202" s="51"/>
      <c r="AF202" s="46"/>
      <c r="AG202" s="47"/>
      <c r="AL202" s="46"/>
      <c r="AR202" s="46"/>
      <c r="AX202" s="46"/>
      <c r="AY202" s="47"/>
      <c r="BD202" s="46"/>
      <c r="BE202" s="47"/>
      <c r="BJ202" s="46"/>
      <c r="BQ202" s="46"/>
      <c r="BR202" s="43"/>
      <c r="BS202" s="48"/>
      <c r="BU202" s="46"/>
      <c r="BV202" s="45"/>
      <c r="CA202" s="46"/>
      <c r="CB202" s="48"/>
      <c r="CG202" s="46"/>
      <c r="CK202" s="43"/>
      <c r="CM202" s="46"/>
      <c r="CN202" s="47"/>
      <c r="CQ202" s="43"/>
      <c r="CS202" s="46"/>
      <c r="CT202" s="43"/>
      <c r="CW202" s="43"/>
      <c r="CY202" s="46"/>
      <c r="CZ202" s="47"/>
      <c r="DC202" s="48"/>
      <c r="DD202" s="43"/>
      <c r="DE202" s="46"/>
      <c r="DF202" s="47"/>
      <c r="DH202" s="48"/>
      <c r="DI202" s="43"/>
      <c r="DJ202" s="43"/>
      <c r="DK202" s="48"/>
      <c r="DL202" s="43"/>
      <c r="DM202" s="46"/>
      <c r="DN202" s="47"/>
      <c r="DP202" s="43"/>
      <c r="DR202" s="43"/>
      <c r="DS202" s="46"/>
      <c r="DT202" s="48"/>
      <c r="DU202" s="43"/>
      <c r="EA202" s="46"/>
      <c r="EB202" s="47"/>
      <c r="EE202" s="43"/>
      <c r="EF202" s="43"/>
      <c r="EG202" s="46"/>
      <c r="EH202" s="47"/>
      <c r="EK202" s="43"/>
      <c r="EL202" s="43"/>
      <c r="EM202" s="46"/>
      <c r="EN202" s="47"/>
      <c r="EO202" s="43"/>
      <c r="EP202" s="43"/>
      <c r="ER202" s="43"/>
      <c r="ES202" s="46"/>
      <c r="ET202" s="48"/>
      <c r="EU202" s="43"/>
      <c r="EW202" s="48"/>
      <c r="EX202" s="43"/>
      <c r="EZ202" s="48"/>
      <c r="FA202" s="46"/>
      <c r="FF202" s="48"/>
      <c r="FG202" s="43"/>
      <c r="FH202" s="46"/>
      <c r="FI202" s="47"/>
      <c r="FL202" s="48"/>
      <c r="FM202" s="46"/>
      <c r="FN202" s="47"/>
      <c r="FR202" s="46"/>
      <c r="FS202" s="43"/>
      <c r="FX202" s="46"/>
      <c r="FY202" s="47"/>
      <c r="GD202" s="48"/>
      <c r="GE202" s="46"/>
      <c r="GF202" s="43"/>
      <c r="GI202" s="43"/>
      <c r="GK202" s="46"/>
      <c r="GL202" s="47"/>
      <c r="GM202" s="43"/>
      <c r="GQ202" s="46"/>
      <c r="GR202" s="48"/>
      <c r="GS202" s="43"/>
      <c r="GV202" s="48"/>
      <c r="GW202" s="46"/>
      <c r="GX202" s="47"/>
      <c r="HA202" s="46"/>
      <c r="HB202" s="47"/>
      <c r="HC202" s="43"/>
      <c r="HF202" s="48"/>
      <c r="HG202" s="46"/>
      <c r="HH202" s="45"/>
      <c r="HK202" s="46"/>
      <c r="HL202" s="47"/>
      <c r="HM202" s="43"/>
      <c r="HN202" s="48"/>
      <c r="HO202" s="43"/>
      <c r="HQ202" s="46"/>
      <c r="HR202" s="48"/>
      <c r="HS202" s="43"/>
      <c r="HT202" s="48"/>
      <c r="HY202" s="46"/>
      <c r="HZ202" s="47"/>
      <c r="IE202" s="46"/>
      <c r="IK202" s="49"/>
      <c r="IQ202" s="49"/>
      <c r="IW202" s="49"/>
      <c r="JC202" s="46"/>
      <c r="JG202" s="49"/>
      <c r="JM202" s="46"/>
      <c r="JN202" s="45"/>
      <c r="JQ202" s="49"/>
      <c r="JW202" s="49"/>
      <c r="KC202" s="49"/>
      <c r="KI202" s="49"/>
      <c r="KK202" s="44"/>
      <c r="KO202" s="49"/>
      <c r="KP202" s="50"/>
      <c r="KW202" s="49"/>
      <c r="LC202" s="49"/>
      <c r="LI202" s="49"/>
      <c r="LJ202" s="50"/>
      <c r="LM202" s="49"/>
      <c r="LN202" s="50"/>
      <c r="LT202" s="49"/>
      <c r="LU202" s="50"/>
      <c r="LZ202" s="49"/>
      <c r="MA202" s="50"/>
      <c r="MD202" s="49"/>
      <c r="ME202" s="50"/>
      <c r="MJ202" s="49"/>
      <c r="MK202" s="50"/>
      <c r="ML202" s="48"/>
      <c r="MN202" s="49"/>
      <c r="MO202" s="50"/>
      <c r="MT202" s="49"/>
      <c r="MV202" s="46"/>
      <c r="MZ202" s="49"/>
      <c r="NA202" s="50"/>
      <c r="NF202" s="49"/>
      <c r="NG202" s="50"/>
      <c r="NL202" s="49"/>
      <c r="NM202" s="50"/>
      <c r="NN202" s="48"/>
      <c r="NR202" s="49"/>
      <c r="NS202" s="50"/>
      <c r="NX202" s="49"/>
      <c r="NY202" s="50"/>
      <c r="OA202" s="48"/>
      <c r="OD202" s="49"/>
      <c r="OE202" s="50"/>
      <c r="OH202" s="49"/>
      <c r="OI202" s="50"/>
      <c r="OK202" s="48"/>
      <c r="OL202" s="49"/>
      <c r="OM202" s="50"/>
      <c r="OR202" s="49"/>
      <c r="OS202" s="50"/>
      <c r="OV202" s="49"/>
      <c r="OW202" s="50"/>
      <c r="PB202" s="49"/>
      <c r="PC202" s="50"/>
      <c r="PF202" s="49"/>
      <c r="PG202" s="50"/>
      <c r="PL202" s="49"/>
      <c r="PM202" s="47"/>
      <c r="PN202" s="48"/>
      <c r="PP202" s="48"/>
      <c r="PR202" s="49"/>
      <c r="PS202" s="47"/>
      <c r="PX202" s="46"/>
      <c r="PY202" s="47"/>
      <c r="QB202" s="46"/>
      <c r="QC202" s="47"/>
      <c r="QH202" s="46"/>
      <c r="QI202" s="47"/>
      <c r="QN202" s="46"/>
      <c r="QO202" s="47"/>
      <c r="QT202" s="46"/>
      <c r="QU202" s="47"/>
      <c r="QX202" s="46"/>
      <c r="QY202" s="47"/>
      <c r="RD202" s="46"/>
    </row>
    <row r="203" spans="1:472" x14ac:dyDescent="0.25">
      <c r="A203" s="43" t="s">
        <v>491</v>
      </c>
      <c r="B203" s="44">
        <v>0.28000000000000003</v>
      </c>
      <c r="I203" s="45">
        <v>8</v>
      </c>
      <c r="J203" s="52">
        <v>8</v>
      </c>
      <c r="K203" s="51"/>
      <c r="L203" s="51"/>
      <c r="M203" s="51">
        <f t="shared" si="18"/>
        <v>0</v>
      </c>
      <c r="N203" s="46"/>
      <c r="O203" s="47"/>
      <c r="P203" s="51"/>
      <c r="Q203" s="52">
        <v>8</v>
      </c>
      <c r="R203" s="52">
        <v>7</v>
      </c>
      <c r="S203" s="51">
        <f t="shared" si="19"/>
        <v>1</v>
      </c>
      <c r="T203" s="46"/>
      <c r="U203" s="47"/>
      <c r="V203" s="51"/>
      <c r="W203" s="51"/>
      <c r="X203" s="51"/>
      <c r="Y203" s="51">
        <f t="shared" si="20"/>
        <v>0</v>
      </c>
      <c r="Z203" s="46"/>
      <c r="AA203" s="51"/>
      <c r="AE203" s="43">
        <v>0</v>
      </c>
      <c r="AF203" s="46"/>
      <c r="AG203" s="47">
        <v>16</v>
      </c>
      <c r="AH203" s="43">
        <v>20</v>
      </c>
      <c r="AK203" s="43">
        <v>-4</v>
      </c>
      <c r="AL203" s="46"/>
      <c r="AQ203" s="43">
        <v>0</v>
      </c>
      <c r="AR203" s="46"/>
      <c r="AW203" s="43">
        <v>0</v>
      </c>
      <c r="AX203" s="46"/>
      <c r="AY203" s="47"/>
      <c r="BC203" s="43">
        <v>0</v>
      </c>
      <c r="BD203" s="46"/>
      <c r="BE203" s="47"/>
      <c r="BI203" s="43">
        <v>0</v>
      </c>
      <c r="BJ203" s="46"/>
      <c r="BQ203" s="46"/>
      <c r="BU203" s="46"/>
      <c r="BV203" s="45"/>
      <c r="CA203" s="46"/>
      <c r="CG203" s="46"/>
      <c r="CM203" s="46"/>
      <c r="CN203" s="47"/>
      <c r="CS203" s="46"/>
      <c r="CY203" s="46"/>
      <c r="CZ203" s="47"/>
      <c r="DE203" s="46"/>
      <c r="DF203" s="47"/>
      <c r="DM203" s="46"/>
      <c r="DN203" s="47"/>
      <c r="DS203" s="46"/>
      <c r="EA203" s="46"/>
      <c r="EB203" s="47"/>
      <c r="EG203" s="46"/>
      <c r="EH203" s="47"/>
      <c r="EL203" s="43"/>
      <c r="EM203" s="46"/>
      <c r="EN203" s="47"/>
      <c r="ER203" s="43"/>
      <c r="ES203" s="46"/>
      <c r="FA203" s="46"/>
      <c r="FB203" s="43"/>
      <c r="FH203" s="46"/>
      <c r="FI203" s="47"/>
      <c r="FM203" s="46"/>
      <c r="FN203" s="47"/>
      <c r="FR203" s="46"/>
      <c r="FX203" s="46"/>
      <c r="FY203" s="47"/>
      <c r="GE203" s="46"/>
      <c r="GF203" s="43"/>
      <c r="GK203" s="46"/>
      <c r="GL203" s="47"/>
      <c r="GQ203" s="46"/>
      <c r="GW203" s="46"/>
      <c r="GX203" s="47"/>
      <c r="HA203" s="46"/>
      <c r="HB203" s="47"/>
      <c r="HG203" s="46"/>
      <c r="HH203" s="45"/>
      <c r="HJ203" s="43"/>
      <c r="HK203" s="46"/>
      <c r="HL203" s="47"/>
      <c r="HQ203" s="46"/>
      <c r="HY203" s="46"/>
      <c r="HZ203" s="47"/>
      <c r="IE203" s="46"/>
      <c r="IK203" s="49"/>
      <c r="IQ203" s="49"/>
      <c r="IR203" s="48"/>
      <c r="IS203" s="48"/>
      <c r="IU203" s="48"/>
      <c r="IW203" s="49"/>
      <c r="JC203" s="46"/>
      <c r="JG203" s="49"/>
      <c r="JM203" s="46"/>
      <c r="JN203" s="45"/>
      <c r="JQ203" s="49"/>
      <c r="JW203" s="49"/>
      <c r="KC203" s="49"/>
      <c r="KI203" s="49"/>
      <c r="KK203" s="44"/>
      <c r="KO203" s="49"/>
      <c r="KP203" s="50"/>
      <c r="KW203" s="49"/>
      <c r="LC203" s="49"/>
      <c r="LI203" s="49"/>
      <c r="LJ203" s="50"/>
      <c r="LM203" s="49"/>
      <c r="LN203" s="50"/>
      <c r="LT203" s="49"/>
      <c r="LU203" s="50"/>
      <c r="LZ203" s="49"/>
      <c r="MA203" s="50"/>
      <c r="MD203" s="49"/>
      <c r="ME203" s="50"/>
      <c r="MJ203" s="49"/>
      <c r="MK203" s="50"/>
      <c r="ML203" s="48"/>
      <c r="MN203" s="49"/>
      <c r="MO203" s="50"/>
      <c r="MT203" s="49"/>
      <c r="MV203" s="46"/>
      <c r="MZ203" s="49"/>
      <c r="NA203" s="50"/>
      <c r="NF203" s="49"/>
      <c r="NG203" s="50"/>
      <c r="NL203" s="49"/>
      <c r="NM203" s="50"/>
      <c r="NN203" s="48"/>
      <c r="NR203" s="49"/>
      <c r="NS203" s="50"/>
      <c r="NX203" s="49"/>
      <c r="NY203" s="50"/>
      <c r="OA203" s="48"/>
      <c r="OD203" s="49"/>
      <c r="OE203" s="50"/>
      <c r="OH203" s="49"/>
      <c r="OI203" s="50"/>
      <c r="OK203" s="48"/>
      <c r="OL203" s="49"/>
      <c r="OM203" s="50"/>
      <c r="OR203" s="49"/>
      <c r="OS203" s="50"/>
      <c r="OV203" s="49"/>
      <c r="OW203" s="50"/>
      <c r="PB203" s="49"/>
      <c r="PC203" s="50"/>
      <c r="PF203" s="49"/>
      <c r="PG203" s="50"/>
      <c r="PL203" s="49"/>
      <c r="PM203" s="47"/>
      <c r="PN203" s="48"/>
      <c r="PP203" s="48"/>
      <c r="PR203" s="49"/>
      <c r="PS203" s="47"/>
      <c r="PX203" s="46"/>
      <c r="PY203" s="47"/>
      <c r="QB203" s="46"/>
      <c r="QC203" s="47"/>
      <c r="QH203" s="46"/>
      <c r="QI203" s="47"/>
      <c r="QN203" s="46"/>
      <c r="QO203" s="47"/>
      <c r="QT203" s="46"/>
      <c r="QU203" s="47"/>
      <c r="QX203" s="46"/>
      <c r="QY203" s="47"/>
      <c r="RD203" s="46"/>
    </row>
    <row r="204" spans="1:472" x14ac:dyDescent="0.25">
      <c r="A204" s="43" t="s">
        <v>492</v>
      </c>
      <c r="B204" s="44">
        <v>0.28000000000000003</v>
      </c>
      <c r="F204">
        <v>4</v>
      </c>
      <c r="I204" s="47"/>
      <c r="J204" s="51"/>
      <c r="K204" s="51"/>
      <c r="L204" s="51"/>
      <c r="M204" s="51">
        <f t="shared" si="18"/>
        <v>0</v>
      </c>
      <c r="N204" s="46"/>
      <c r="O204" s="47"/>
      <c r="P204" s="51"/>
      <c r="Q204" s="52">
        <v>16</v>
      </c>
      <c r="R204" s="52">
        <v>16</v>
      </c>
      <c r="S204" s="51">
        <f t="shared" si="19"/>
        <v>0</v>
      </c>
      <c r="T204" s="46"/>
      <c r="U204" s="47"/>
      <c r="V204" s="51"/>
      <c r="W204" s="51"/>
      <c r="X204" s="51"/>
      <c r="Y204" s="51">
        <f t="shared" si="20"/>
        <v>0</v>
      </c>
      <c r="Z204" s="46"/>
      <c r="AA204" s="51"/>
      <c r="AE204" s="43">
        <v>0</v>
      </c>
      <c r="AF204" s="46"/>
      <c r="AG204" s="47">
        <v>16</v>
      </c>
      <c r="AH204" s="43">
        <v>20</v>
      </c>
      <c r="AK204" s="43">
        <v>-4</v>
      </c>
      <c r="AL204" s="46"/>
      <c r="AQ204" s="43">
        <v>0</v>
      </c>
      <c r="AR204" s="46"/>
      <c r="AW204" s="43">
        <v>0</v>
      </c>
      <c r="AX204" s="46"/>
      <c r="AY204" s="47"/>
      <c r="BC204" s="43">
        <v>0</v>
      </c>
      <c r="BD204" s="46"/>
      <c r="BE204" s="47"/>
      <c r="BI204" s="43">
        <v>0</v>
      </c>
      <c r="BJ204" s="46"/>
      <c r="BQ204" s="46"/>
      <c r="BU204" s="46"/>
      <c r="BV204" s="45"/>
      <c r="CA204" s="46"/>
      <c r="CG204" s="46"/>
      <c r="CM204" s="46"/>
      <c r="CN204" s="47"/>
      <c r="CS204" s="46"/>
      <c r="CY204" s="46"/>
      <c r="CZ204" s="47"/>
      <c r="DE204" s="46"/>
      <c r="DF204" s="47"/>
      <c r="DM204" s="46"/>
      <c r="DN204" s="47"/>
      <c r="DS204" s="46"/>
      <c r="EA204" s="46"/>
      <c r="EB204" s="47"/>
      <c r="EG204" s="46"/>
      <c r="EH204" s="47"/>
      <c r="EL204" s="43"/>
      <c r="EM204" s="46"/>
      <c r="EN204" s="47"/>
      <c r="ER204" s="43"/>
      <c r="ES204" s="46"/>
      <c r="FA204" s="46"/>
      <c r="FB204" s="43"/>
      <c r="FH204" s="46"/>
      <c r="FI204" s="47"/>
      <c r="FM204" s="46"/>
      <c r="FN204" s="47"/>
      <c r="FR204" s="46"/>
      <c r="FX204" s="46"/>
      <c r="FY204" s="47"/>
      <c r="GE204" s="46"/>
      <c r="GF204" s="43"/>
      <c r="GK204" s="46"/>
      <c r="GL204" s="47"/>
      <c r="GQ204" s="46"/>
      <c r="GW204" s="46"/>
      <c r="GX204" s="47"/>
      <c r="HA204" s="46"/>
      <c r="HB204" s="47"/>
      <c r="HG204" s="46"/>
      <c r="HH204" s="45"/>
      <c r="HJ204" s="43"/>
      <c r="HK204" s="46"/>
      <c r="HL204" s="47"/>
      <c r="HQ204" s="46"/>
      <c r="HY204" s="46"/>
      <c r="HZ204" s="47"/>
      <c r="IE204" s="46"/>
      <c r="IK204" s="49"/>
      <c r="IQ204" s="49"/>
      <c r="IR204" s="48"/>
      <c r="IS204" s="48"/>
      <c r="IU204" s="48"/>
      <c r="IW204" s="49"/>
      <c r="JC204" s="46"/>
      <c r="JG204" s="49"/>
      <c r="JM204" s="46"/>
      <c r="JN204" s="45"/>
      <c r="JQ204" s="49"/>
      <c r="JW204" s="49"/>
      <c r="KC204" s="49"/>
      <c r="KI204" s="49"/>
      <c r="KK204" s="44"/>
      <c r="KO204" s="49"/>
      <c r="KP204" s="50"/>
      <c r="KW204" s="49"/>
      <c r="LC204" s="49"/>
      <c r="LI204" s="49"/>
      <c r="LJ204" s="50"/>
      <c r="LM204" s="49"/>
      <c r="LN204" s="50"/>
      <c r="LT204" s="49"/>
      <c r="LU204" s="50"/>
      <c r="LZ204" s="49"/>
      <c r="MA204" s="50"/>
      <c r="MD204" s="49"/>
      <c r="ME204" s="50"/>
      <c r="MJ204" s="49"/>
      <c r="MK204" s="50"/>
      <c r="ML204" s="48"/>
      <c r="MN204" s="49"/>
      <c r="MO204" s="50"/>
      <c r="MT204" s="49"/>
      <c r="MV204" s="46"/>
      <c r="MZ204" s="49"/>
      <c r="NA204" s="50"/>
      <c r="NF204" s="49"/>
      <c r="NG204" s="50"/>
      <c r="NL204" s="49"/>
      <c r="NM204" s="50"/>
      <c r="NN204" s="48"/>
      <c r="NR204" s="49"/>
      <c r="NS204" s="50"/>
      <c r="NX204" s="49"/>
      <c r="NY204" s="50"/>
      <c r="OA204" s="48"/>
      <c r="OD204" s="49"/>
      <c r="OE204" s="50"/>
      <c r="OH204" s="49"/>
      <c r="OI204" s="50"/>
      <c r="OK204" s="48"/>
      <c r="OL204" s="49"/>
      <c r="OM204" s="50"/>
      <c r="OR204" s="49"/>
      <c r="OS204" s="50"/>
      <c r="OV204" s="49"/>
      <c r="OW204" s="50"/>
      <c r="PB204" s="49"/>
      <c r="PC204" s="50"/>
      <c r="PF204" s="49"/>
      <c r="PG204" s="50"/>
      <c r="PL204" s="49"/>
      <c r="PM204" s="47"/>
      <c r="PN204" s="48"/>
      <c r="PP204" s="48"/>
      <c r="PR204" s="49"/>
      <c r="PS204" s="47"/>
      <c r="PX204" s="46"/>
      <c r="PY204" s="47"/>
      <c r="QB204" s="46"/>
      <c r="QC204" s="47"/>
      <c r="QH204" s="46"/>
      <c r="QI204" s="47"/>
      <c r="QN204" s="46"/>
      <c r="QO204" s="47"/>
      <c r="QT204" s="46"/>
      <c r="QU204" s="47"/>
      <c r="QX204" s="46"/>
      <c r="QY204" s="47"/>
      <c r="RD204" s="46"/>
    </row>
    <row r="205" spans="1:472" x14ac:dyDescent="0.25">
      <c r="A205" s="43" t="s">
        <v>493</v>
      </c>
      <c r="B205" s="44">
        <v>0.4</v>
      </c>
      <c r="F205">
        <v>8</v>
      </c>
      <c r="I205" s="47"/>
      <c r="J205" s="51"/>
      <c r="K205" s="52">
        <v>16</v>
      </c>
      <c r="L205" s="51"/>
      <c r="M205" s="51">
        <v>0</v>
      </c>
      <c r="N205" s="46"/>
      <c r="O205" s="47"/>
      <c r="P205" s="51"/>
      <c r="Q205" s="52">
        <v>16</v>
      </c>
      <c r="R205" s="51"/>
      <c r="S205" s="51">
        <v>0</v>
      </c>
      <c r="T205" s="46"/>
      <c r="U205" s="45">
        <v>8</v>
      </c>
      <c r="V205" s="51"/>
      <c r="W205" s="51"/>
      <c r="X205" s="51"/>
      <c r="Y205" s="51">
        <v>0</v>
      </c>
      <c r="Z205" s="46"/>
      <c r="AA205" s="51"/>
      <c r="AF205" s="46"/>
      <c r="AG205" s="47"/>
      <c r="AL205" s="46"/>
      <c r="AR205" s="46"/>
      <c r="AX205" s="46"/>
      <c r="AY205" s="47"/>
      <c r="BD205" s="46"/>
      <c r="BE205" s="47"/>
      <c r="BJ205" s="46"/>
      <c r="BQ205" s="46"/>
      <c r="BU205" s="46"/>
      <c r="BV205" s="45"/>
      <c r="BY205" s="48"/>
      <c r="CA205" s="46"/>
      <c r="CG205" s="46"/>
      <c r="CH205" s="48"/>
      <c r="CM205" s="46"/>
      <c r="CN205" s="47"/>
      <c r="CS205" s="46"/>
      <c r="CY205" s="46"/>
      <c r="CZ205" s="47"/>
      <c r="DE205" s="46"/>
      <c r="DF205" s="47"/>
      <c r="DJ205" s="43"/>
      <c r="DM205" s="46"/>
      <c r="DN205" s="47"/>
      <c r="DO205" s="43"/>
      <c r="DR205" s="43"/>
      <c r="DS205" s="46"/>
      <c r="EA205" s="46"/>
      <c r="EB205" s="47"/>
      <c r="EG205" s="46"/>
      <c r="EH205" s="47"/>
      <c r="EL205" s="43"/>
      <c r="EM205" s="46"/>
      <c r="EN205" s="47"/>
      <c r="EQ205" s="43"/>
      <c r="ER205" s="43"/>
      <c r="ES205" s="46"/>
      <c r="FA205" s="46"/>
      <c r="FB205" s="43"/>
      <c r="FD205" s="43"/>
      <c r="FH205" s="46"/>
      <c r="FI205" s="47"/>
      <c r="FM205" s="46"/>
      <c r="FN205" s="47"/>
      <c r="FR205" s="46"/>
      <c r="FX205" s="46"/>
      <c r="FY205" s="47"/>
      <c r="GE205" s="46"/>
      <c r="GF205" s="43"/>
      <c r="GK205" s="46"/>
      <c r="GL205" s="47"/>
      <c r="GO205" s="43"/>
      <c r="GQ205" s="46"/>
      <c r="GW205" s="46"/>
      <c r="GX205" s="47"/>
      <c r="GY205" s="43"/>
      <c r="HA205" s="46"/>
      <c r="HB205" s="47"/>
      <c r="HG205" s="46"/>
      <c r="HH205" s="45"/>
      <c r="HI205" s="43"/>
      <c r="HJ205" s="43"/>
      <c r="HK205" s="46"/>
      <c r="HL205" s="47"/>
      <c r="HQ205" s="46"/>
      <c r="HX205" s="48"/>
      <c r="HY205" s="46"/>
      <c r="HZ205" s="47"/>
      <c r="IE205" s="46"/>
      <c r="IK205" s="49"/>
      <c r="IQ205" s="49"/>
      <c r="IR205" s="48"/>
      <c r="IS205" s="48"/>
      <c r="IU205" s="48"/>
      <c r="IW205" s="49"/>
      <c r="JC205" s="46"/>
      <c r="JG205" s="49"/>
      <c r="JM205" s="46"/>
      <c r="JN205" s="45"/>
      <c r="JQ205" s="49"/>
      <c r="JW205" s="49"/>
      <c r="KC205" s="49"/>
      <c r="KI205" s="49"/>
      <c r="KK205" s="44"/>
      <c r="KO205" s="49"/>
      <c r="KP205" s="50"/>
      <c r="KW205" s="49"/>
      <c r="LC205" s="49"/>
      <c r="LI205" s="49"/>
      <c r="LJ205" s="50"/>
      <c r="LM205" s="49"/>
      <c r="LN205" s="50"/>
      <c r="LT205" s="49"/>
      <c r="LU205" s="50"/>
      <c r="LZ205" s="49"/>
      <c r="MA205" s="50"/>
      <c r="MD205" s="49"/>
      <c r="ME205" s="50"/>
      <c r="MJ205" s="49"/>
      <c r="MK205" s="50"/>
      <c r="ML205" s="48"/>
      <c r="MN205" s="49"/>
      <c r="MO205" s="50"/>
      <c r="MT205" s="49"/>
      <c r="MV205" s="46"/>
      <c r="MZ205" s="49"/>
      <c r="NA205" s="50"/>
      <c r="NF205" s="49"/>
      <c r="NG205" s="50"/>
      <c r="NL205" s="49"/>
      <c r="NM205" s="50"/>
      <c r="NN205" s="48"/>
      <c r="NR205" s="49"/>
      <c r="NS205" s="50"/>
      <c r="NX205" s="49"/>
      <c r="NY205" s="50"/>
      <c r="OA205" s="48"/>
      <c r="OD205" s="49"/>
      <c r="OE205" s="50"/>
      <c r="OH205" s="49"/>
      <c r="OI205" s="50"/>
      <c r="OK205" s="48"/>
      <c r="OL205" s="49"/>
      <c r="OM205" s="50"/>
      <c r="OR205" s="49"/>
      <c r="OS205" s="50"/>
      <c r="OV205" s="49"/>
      <c r="OW205" s="50"/>
      <c r="PB205" s="49"/>
      <c r="PC205" s="50"/>
      <c r="PF205" s="49"/>
      <c r="PG205" s="50"/>
      <c r="PL205" s="49"/>
      <c r="PM205" s="47"/>
      <c r="PN205" s="48"/>
      <c r="PP205" s="48"/>
      <c r="PR205" s="49"/>
      <c r="PS205" s="47"/>
      <c r="PX205" s="46"/>
      <c r="PY205" s="47"/>
      <c r="QB205" s="46"/>
      <c r="QC205" s="47"/>
      <c r="QH205" s="46"/>
      <c r="QI205" s="47"/>
      <c r="QN205" s="46"/>
      <c r="QO205" s="47"/>
      <c r="QT205" s="46"/>
      <c r="QU205" s="47"/>
      <c r="QX205" s="46"/>
      <c r="QY205" s="47"/>
      <c r="RD205" s="46"/>
    </row>
    <row r="206" spans="1:472" ht="15.75" customHeight="1" thickBot="1" x14ac:dyDescent="0.3">
      <c r="A206" s="43" t="s">
        <v>494</v>
      </c>
      <c r="B206" s="44">
        <v>0.18</v>
      </c>
      <c r="I206" s="14"/>
      <c r="J206" s="5"/>
      <c r="K206" s="5"/>
      <c r="L206" s="5"/>
      <c r="M206" s="5">
        <f t="shared" si="18"/>
        <v>0</v>
      </c>
      <c r="N206" s="6"/>
      <c r="O206" s="14"/>
      <c r="P206" s="5"/>
      <c r="Q206" s="5"/>
      <c r="R206" s="5"/>
      <c r="S206" s="5">
        <f t="shared" si="19"/>
        <v>0</v>
      </c>
      <c r="T206" s="6"/>
      <c r="U206" s="14"/>
      <c r="V206" s="5"/>
      <c r="W206" s="5"/>
      <c r="X206" s="5"/>
      <c r="Y206" s="5">
        <f t="shared" si="20"/>
        <v>0</v>
      </c>
      <c r="Z206" s="6"/>
      <c r="AA206" s="5"/>
      <c r="AB206" s="5"/>
      <c r="AC206" s="5"/>
      <c r="AD206" s="5"/>
      <c r="AE206" s="5">
        <v>0</v>
      </c>
      <c r="AF206" s="6"/>
      <c r="AG206" s="14"/>
      <c r="AH206" s="5"/>
      <c r="AI206" s="5"/>
      <c r="AJ206" s="5"/>
      <c r="AK206" s="5">
        <v>0</v>
      </c>
      <c r="AL206" s="6"/>
      <c r="AM206" s="5"/>
      <c r="AN206" s="5"/>
      <c r="AO206" s="5"/>
      <c r="AP206" s="5"/>
      <c r="AQ206" s="5">
        <v>0</v>
      </c>
      <c r="AR206" s="6"/>
      <c r="AS206" s="5"/>
      <c r="AT206" s="5"/>
      <c r="AU206" s="5"/>
      <c r="AV206" s="5"/>
      <c r="AW206" s="5">
        <v>0</v>
      </c>
      <c r="AX206" s="6"/>
      <c r="AY206" s="14"/>
      <c r="AZ206" s="5"/>
      <c r="BA206" s="5"/>
      <c r="BB206" s="5"/>
      <c r="BC206" s="5">
        <v>0</v>
      </c>
      <c r="BD206" s="6"/>
      <c r="BE206" s="14"/>
      <c r="BF206" s="5"/>
      <c r="BG206" s="5"/>
      <c r="BH206" s="5"/>
      <c r="BI206" s="5">
        <v>0</v>
      </c>
      <c r="BJ206" s="6"/>
      <c r="BK206" s="5"/>
      <c r="BL206" s="5"/>
      <c r="BM206" s="5"/>
      <c r="BN206" s="5"/>
      <c r="BO206" s="5"/>
      <c r="BP206" s="5">
        <v>0</v>
      </c>
      <c r="BQ206" s="6"/>
      <c r="BR206" s="5"/>
      <c r="BS206" s="5"/>
      <c r="BT206" s="5">
        <v>0</v>
      </c>
      <c r="BU206" s="6"/>
      <c r="BV206" s="14"/>
      <c r="BW206" s="5"/>
      <c r="BX206" s="5"/>
      <c r="BY206" s="5"/>
      <c r="BZ206" s="5">
        <v>0</v>
      </c>
      <c r="CA206" s="6"/>
      <c r="CB206" s="5"/>
      <c r="CC206" s="5"/>
      <c r="CD206" s="5"/>
      <c r="CE206" s="5"/>
      <c r="CF206" s="5">
        <v>0</v>
      </c>
      <c r="CG206" s="6"/>
      <c r="CH206" s="5"/>
      <c r="CI206" s="5"/>
      <c r="CJ206" s="5"/>
      <c r="CK206" s="5"/>
      <c r="CL206" s="5">
        <v>0</v>
      </c>
      <c r="CM206" s="6"/>
      <c r="CN206" s="14"/>
      <c r="CO206" s="5"/>
      <c r="CP206" s="5"/>
      <c r="CQ206" s="5"/>
      <c r="CR206" s="5">
        <v>0</v>
      </c>
      <c r="CS206" s="6"/>
      <c r="CT206" s="5"/>
      <c r="CU206" s="5"/>
      <c r="CV206" s="5"/>
      <c r="CW206" s="5"/>
      <c r="CX206" s="5">
        <v>0</v>
      </c>
      <c r="CY206" s="6"/>
      <c r="CZ206" s="14"/>
      <c r="DA206" s="5"/>
      <c r="DB206" s="5"/>
      <c r="DC206" s="5"/>
      <c r="DD206" s="5">
        <v>0</v>
      </c>
      <c r="DE206" s="6"/>
      <c r="DF206" s="14"/>
      <c r="DG206" s="5"/>
      <c r="DH206" s="5"/>
      <c r="DI206" s="5"/>
      <c r="DJ206" s="5"/>
      <c r="DK206" s="5"/>
      <c r="DL206" s="5">
        <v>0</v>
      </c>
      <c r="DM206" s="6"/>
      <c r="DN206" s="14"/>
      <c r="DO206" s="5"/>
      <c r="DP206" s="5"/>
      <c r="DQ206" s="5"/>
      <c r="DR206" s="5">
        <v>0</v>
      </c>
      <c r="DS206" s="6"/>
      <c r="DT206" s="5"/>
      <c r="DU206" s="5"/>
      <c r="DV206" s="5"/>
      <c r="DW206" s="5"/>
      <c r="DX206" s="5"/>
      <c r="DY206" s="5"/>
      <c r="DZ206" s="5">
        <v>0</v>
      </c>
      <c r="EA206" s="6"/>
      <c r="EB206" s="14"/>
      <c r="EC206" s="5"/>
      <c r="ED206" s="5"/>
      <c r="EE206" s="5"/>
      <c r="EF206" s="5">
        <v>0</v>
      </c>
      <c r="EG206" s="6"/>
      <c r="EH206" s="14"/>
      <c r="EI206" s="5"/>
      <c r="EJ206" s="5"/>
      <c r="EK206" s="5"/>
      <c r="EL206" s="5">
        <v>0</v>
      </c>
      <c r="EM206" s="6"/>
      <c r="EN206" s="14"/>
      <c r="EO206" s="5"/>
      <c r="EP206" s="5"/>
      <c r="EQ206" s="5"/>
      <c r="ER206" s="5">
        <v>0</v>
      </c>
      <c r="ES206" s="6"/>
      <c r="ET206" s="5"/>
      <c r="EU206" s="5"/>
      <c r="EV206" s="5"/>
      <c r="EW206" s="5"/>
      <c r="EX206" s="5"/>
      <c r="EY206" s="5"/>
      <c r="EZ206" s="5">
        <v>0</v>
      </c>
      <c r="FA206" s="6"/>
      <c r="FB206" s="5"/>
      <c r="FC206" s="5"/>
      <c r="FD206" s="5"/>
      <c r="FE206" s="5"/>
      <c r="FF206" s="5"/>
      <c r="FG206" s="5">
        <v>0</v>
      </c>
      <c r="FH206" s="6"/>
      <c r="FI206" s="14"/>
      <c r="FJ206" s="5"/>
      <c r="FK206" s="19"/>
      <c r="FL206" s="5">
        <v>0</v>
      </c>
      <c r="FM206" s="6"/>
      <c r="FN206" s="14"/>
      <c r="FO206" s="5"/>
      <c r="FP206" s="5"/>
      <c r="FQ206" s="5">
        <v>0</v>
      </c>
      <c r="FR206" s="6"/>
      <c r="FS206" s="5"/>
      <c r="FT206" s="5"/>
      <c r="FU206" s="5"/>
      <c r="FV206" s="5"/>
      <c r="FW206" s="5">
        <v>0</v>
      </c>
      <c r="FX206" s="6"/>
      <c r="FY206" s="14"/>
      <c r="FZ206" s="5"/>
      <c r="GA206" s="5"/>
      <c r="GB206" s="5"/>
      <c r="GC206" s="5"/>
      <c r="GD206" s="5">
        <v>0</v>
      </c>
      <c r="GE206" s="6"/>
      <c r="GF206" s="5"/>
      <c r="GG206" s="5"/>
      <c r="GH206" s="5"/>
      <c r="GI206" s="5"/>
      <c r="GJ206" s="5">
        <v>0</v>
      </c>
      <c r="GK206" s="6"/>
      <c r="GL206" s="14"/>
      <c r="GM206" s="5"/>
      <c r="GN206" s="5"/>
      <c r="GO206" s="5"/>
      <c r="GP206" s="5">
        <v>0</v>
      </c>
      <c r="GQ206" s="6"/>
      <c r="GR206" s="19"/>
      <c r="GS206" s="5"/>
      <c r="GT206" s="5"/>
      <c r="GU206" s="5"/>
      <c r="GV206" s="5">
        <v>0</v>
      </c>
      <c r="GW206" s="6"/>
      <c r="GX206" s="14"/>
      <c r="GY206" s="5"/>
      <c r="GZ206" s="5">
        <v>0</v>
      </c>
      <c r="HA206" s="6"/>
      <c r="HB206" s="14"/>
      <c r="HC206" s="19"/>
      <c r="HD206" s="5"/>
      <c r="HE206" s="5"/>
      <c r="HF206" s="5">
        <v>0</v>
      </c>
      <c r="HG206" s="6"/>
      <c r="HH206" s="14"/>
      <c r="HI206" s="5"/>
      <c r="HJ206" s="5">
        <v>0</v>
      </c>
      <c r="HK206" s="6"/>
      <c r="HL206" s="14"/>
      <c r="HM206" s="19"/>
      <c r="HN206" s="5"/>
      <c r="HO206" s="19"/>
      <c r="HP206" s="5">
        <v>0</v>
      </c>
      <c r="HQ206" s="6"/>
      <c r="HR206" s="5"/>
      <c r="HS206" s="19"/>
      <c r="HT206" s="19"/>
      <c r="HU206" s="5"/>
      <c r="HV206" s="5"/>
      <c r="HW206" s="5"/>
      <c r="HX206" s="5">
        <v>0</v>
      </c>
      <c r="HY206" s="6"/>
      <c r="HZ206" s="14"/>
      <c r="IA206" s="19"/>
      <c r="IB206" s="5"/>
      <c r="IC206" s="19"/>
      <c r="ID206" s="5">
        <v>0</v>
      </c>
      <c r="IE206" s="6"/>
      <c r="IF206" s="5"/>
      <c r="IG206" s="5"/>
      <c r="IH206" s="5"/>
      <c r="II206" s="5"/>
      <c r="IJ206" s="5">
        <v>0</v>
      </c>
      <c r="IK206" s="20"/>
      <c r="IL206" s="19"/>
      <c r="IM206" s="19"/>
      <c r="IN206" s="5"/>
      <c r="IO206" s="5"/>
      <c r="IP206" s="5">
        <v>0</v>
      </c>
      <c r="IQ206" s="20"/>
      <c r="IR206" s="19"/>
      <c r="IS206" s="5"/>
      <c r="IT206" s="5"/>
      <c r="IU206" s="19"/>
      <c r="IV206" s="5">
        <v>0</v>
      </c>
      <c r="IW206" s="20"/>
      <c r="IX206" s="19"/>
      <c r="IY206" s="5"/>
      <c r="IZ206" s="19"/>
      <c r="JA206" s="19"/>
      <c r="JB206" s="5">
        <v>0</v>
      </c>
      <c r="JC206" s="6"/>
      <c r="JD206" s="35">
        <v>30</v>
      </c>
      <c r="JE206" s="35">
        <v>30</v>
      </c>
      <c r="JF206" s="5">
        <v>0</v>
      </c>
      <c r="JG206" s="20"/>
      <c r="JH206" s="35">
        <v>350</v>
      </c>
      <c r="JI206" s="35">
        <v>350</v>
      </c>
      <c r="JJ206" s="35">
        <v>340</v>
      </c>
      <c r="JK206" s="35">
        <v>339</v>
      </c>
      <c r="JL206" s="5">
        <v>1</v>
      </c>
      <c r="JM206" s="6"/>
      <c r="JN206" s="34">
        <v>400</v>
      </c>
      <c r="JO206" s="19">
        <v>400</v>
      </c>
      <c r="JP206" s="5">
        <v>0</v>
      </c>
      <c r="JQ206" s="20"/>
      <c r="JR206" s="19"/>
      <c r="JS206" s="19"/>
      <c r="JT206" s="19"/>
      <c r="JU206" s="19"/>
      <c r="JV206" s="5">
        <v>0</v>
      </c>
      <c r="JW206" s="20"/>
      <c r="JX206" s="19"/>
      <c r="JY206" s="19"/>
      <c r="JZ206" s="35">
        <v>700</v>
      </c>
      <c r="KA206" s="35">
        <v>700</v>
      </c>
      <c r="KB206" s="5">
        <v>0</v>
      </c>
      <c r="KC206" s="20"/>
      <c r="KD206" s="35">
        <v>70</v>
      </c>
      <c r="KE206" s="35">
        <v>70</v>
      </c>
      <c r="KF206" s="19"/>
      <c r="KG206" s="5"/>
      <c r="KH206" s="5">
        <v>0</v>
      </c>
      <c r="KI206" s="20"/>
      <c r="KJ206" s="19"/>
      <c r="KK206" s="19"/>
      <c r="KL206" s="19"/>
      <c r="KM206" s="19"/>
      <c r="KN206" s="5">
        <v>0</v>
      </c>
      <c r="KO206" s="20"/>
      <c r="KP206" s="34">
        <v>250</v>
      </c>
      <c r="KQ206" s="35">
        <v>250</v>
      </c>
      <c r="KR206" s="35">
        <v>400</v>
      </c>
      <c r="KS206" s="35">
        <v>400</v>
      </c>
      <c r="KT206" s="35">
        <v>280</v>
      </c>
      <c r="KU206" s="35">
        <v>280</v>
      </c>
      <c r="KV206" s="5">
        <v>0</v>
      </c>
      <c r="KW206" s="20"/>
      <c r="KX206" s="19">
        <v>0</v>
      </c>
      <c r="KY206" s="19">
        <v>0</v>
      </c>
      <c r="KZ206" s="19">
        <v>0</v>
      </c>
      <c r="LA206" s="19">
        <v>0</v>
      </c>
      <c r="LB206" s="5">
        <v>0</v>
      </c>
      <c r="LC206" s="20"/>
      <c r="LD206" s="19">
        <v>0</v>
      </c>
      <c r="LE206" s="19">
        <v>0</v>
      </c>
      <c r="LF206" s="19">
        <v>0</v>
      </c>
      <c r="LG206" s="19">
        <v>0</v>
      </c>
      <c r="LH206" s="5">
        <v>0</v>
      </c>
      <c r="LI206" s="20"/>
      <c r="LJ206" s="21">
        <v>700</v>
      </c>
      <c r="LK206" s="19">
        <v>700</v>
      </c>
      <c r="LL206" s="5">
        <v>0</v>
      </c>
      <c r="LM206" s="20"/>
      <c r="LN206" s="21">
        <v>200</v>
      </c>
      <c r="LO206" s="19">
        <v>200</v>
      </c>
      <c r="LP206" s="19">
        <v>120</v>
      </c>
      <c r="LQ206" s="19">
        <v>0</v>
      </c>
      <c r="LR206" s="19">
        <v>120</v>
      </c>
      <c r="LS206" s="5">
        <v>0</v>
      </c>
      <c r="LT206" s="20"/>
      <c r="LU206" s="21">
        <v>80</v>
      </c>
      <c r="LV206" s="19">
        <v>80</v>
      </c>
      <c r="LW206" s="19">
        <v>70</v>
      </c>
      <c r="LX206" s="19">
        <v>70</v>
      </c>
      <c r="LY206" s="5">
        <v>0</v>
      </c>
      <c r="LZ206" s="20"/>
      <c r="MA206" s="21">
        <v>700</v>
      </c>
      <c r="MB206" s="19">
        <v>700</v>
      </c>
      <c r="MC206" s="5">
        <v>0</v>
      </c>
      <c r="MD206" s="20"/>
      <c r="ME206" s="21">
        <v>0</v>
      </c>
      <c r="MF206" s="19">
        <v>0</v>
      </c>
      <c r="MG206" s="19">
        <v>0</v>
      </c>
      <c r="MH206" s="22">
        <v>420</v>
      </c>
      <c r="MI206" s="9">
        <v>-420</v>
      </c>
      <c r="MJ206" s="20">
        <v>75.599999999999994</v>
      </c>
      <c r="MK206" s="21">
        <v>120</v>
      </c>
      <c r="ML206" s="19">
        <v>120</v>
      </c>
      <c r="MM206" s="5">
        <v>0</v>
      </c>
      <c r="MN206" s="20"/>
      <c r="MO206" s="21">
        <v>0</v>
      </c>
      <c r="MP206" s="19">
        <v>0</v>
      </c>
      <c r="MQ206" s="19">
        <v>0</v>
      </c>
      <c r="MR206" s="22">
        <v>72</v>
      </c>
      <c r="MS206" s="9">
        <v>-72</v>
      </c>
      <c r="MT206" s="20">
        <v>12.96</v>
      </c>
      <c r="MU206" s="19">
        <v>0</v>
      </c>
      <c r="MV206" s="6"/>
      <c r="MW206" s="19">
        <v>420</v>
      </c>
      <c r="MX206" s="19">
        <v>420</v>
      </c>
      <c r="MY206" s="5">
        <v>0</v>
      </c>
      <c r="MZ206" s="20"/>
      <c r="NA206" s="21">
        <v>0</v>
      </c>
      <c r="NB206" s="19">
        <v>0</v>
      </c>
      <c r="NC206" s="19">
        <v>30</v>
      </c>
      <c r="ND206" s="19">
        <v>30</v>
      </c>
      <c r="NE206" s="5">
        <v>0</v>
      </c>
      <c r="NF206" s="20"/>
      <c r="NG206" s="21">
        <v>0</v>
      </c>
      <c r="NH206" s="19">
        <v>0</v>
      </c>
      <c r="NI206" s="19">
        <v>0</v>
      </c>
      <c r="NJ206" s="19">
        <v>0</v>
      </c>
      <c r="NK206" s="5">
        <v>0</v>
      </c>
      <c r="NL206" s="20"/>
      <c r="NM206" s="21">
        <v>220</v>
      </c>
      <c r="NN206" s="19">
        <v>220</v>
      </c>
      <c r="NO206" s="19">
        <v>220</v>
      </c>
      <c r="NP206" s="19">
        <v>220</v>
      </c>
      <c r="NQ206" s="5">
        <v>0</v>
      </c>
      <c r="NR206" s="20"/>
      <c r="NS206" s="21">
        <v>0</v>
      </c>
      <c r="NT206" s="19">
        <v>0</v>
      </c>
      <c r="NU206" s="19">
        <v>0</v>
      </c>
      <c r="NV206" s="22">
        <v>100</v>
      </c>
      <c r="NW206" s="9">
        <v>-100</v>
      </c>
      <c r="NX206" s="20">
        <v>18</v>
      </c>
      <c r="NY206" s="21">
        <v>0</v>
      </c>
      <c r="NZ206" s="19">
        <v>0</v>
      </c>
      <c r="OA206" s="19">
        <v>150</v>
      </c>
      <c r="OB206" s="19">
        <v>150</v>
      </c>
      <c r="OC206" s="5">
        <v>0</v>
      </c>
      <c r="OD206" s="20"/>
      <c r="OE206" s="21">
        <v>150</v>
      </c>
      <c r="OF206" s="19">
        <v>150</v>
      </c>
      <c r="OG206" s="5">
        <v>0</v>
      </c>
      <c r="OH206" s="20"/>
      <c r="OI206" s="21">
        <v>130</v>
      </c>
      <c r="OJ206" s="19">
        <v>130</v>
      </c>
      <c r="OK206" s="5">
        <v>0</v>
      </c>
      <c r="OL206" s="20"/>
      <c r="OM206" s="21">
        <v>0</v>
      </c>
      <c r="ON206" s="19">
        <v>0</v>
      </c>
      <c r="OO206" s="19">
        <v>60</v>
      </c>
      <c r="OP206" s="19">
        <v>60</v>
      </c>
      <c r="OQ206" s="5">
        <v>0</v>
      </c>
      <c r="OR206" s="20"/>
      <c r="OS206" s="21">
        <v>120</v>
      </c>
      <c r="OT206" s="19">
        <v>120</v>
      </c>
      <c r="OU206" s="5">
        <v>0</v>
      </c>
      <c r="OV206" s="20"/>
      <c r="OW206" s="21">
        <v>0</v>
      </c>
      <c r="OX206" s="19">
        <v>0</v>
      </c>
      <c r="OY206" s="19">
        <v>40</v>
      </c>
      <c r="OZ206" s="19">
        <v>40</v>
      </c>
      <c r="PA206" s="5">
        <v>0</v>
      </c>
      <c r="PB206" s="20"/>
      <c r="PC206" s="21">
        <v>50</v>
      </c>
      <c r="PD206" s="19">
        <v>50</v>
      </c>
      <c r="PE206" s="5">
        <v>0</v>
      </c>
      <c r="PF206" s="20"/>
      <c r="PG206" s="21">
        <v>0</v>
      </c>
      <c r="PH206" s="19">
        <v>0</v>
      </c>
      <c r="PI206" s="19">
        <v>0</v>
      </c>
      <c r="PJ206" s="22">
        <v>50</v>
      </c>
      <c r="PK206" s="9">
        <v>-50</v>
      </c>
      <c r="PL206" s="20">
        <v>9</v>
      </c>
      <c r="PM206" s="14">
        <v>0</v>
      </c>
      <c r="PN206" s="19">
        <v>0</v>
      </c>
      <c r="PO206" s="19">
        <v>0</v>
      </c>
      <c r="PP206" s="19">
        <v>0</v>
      </c>
      <c r="PQ206" s="5">
        <v>0</v>
      </c>
      <c r="PR206" s="20"/>
      <c r="PS206" s="14">
        <v>0</v>
      </c>
      <c r="PT206" s="5">
        <v>0</v>
      </c>
      <c r="PU206" s="5">
        <v>0</v>
      </c>
      <c r="PV206" s="15">
        <v>100</v>
      </c>
      <c r="PW206" s="9">
        <v>-100</v>
      </c>
      <c r="PX206" s="6">
        <v>18</v>
      </c>
      <c r="PY206" s="14">
        <v>0</v>
      </c>
      <c r="PZ206" s="5">
        <v>80</v>
      </c>
      <c r="QA206" s="9">
        <v>-80</v>
      </c>
      <c r="QB206" s="6">
        <v>14.4</v>
      </c>
      <c r="QC206" s="14">
        <v>0</v>
      </c>
      <c r="QD206" s="5">
        <v>0</v>
      </c>
      <c r="QE206" s="5">
        <v>0</v>
      </c>
      <c r="QF206" s="5">
        <v>0</v>
      </c>
      <c r="QG206" s="5">
        <v>0</v>
      </c>
      <c r="QH206" s="6"/>
      <c r="QI206" s="14">
        <v>0</v>
      </c>
      <c r="QJ206" s="5">
        <v>0</v>
      </c>
      <c r="QK206" s="5">
        <v>0</v>
      </c>
      <c r="QL206" s="5">
        <v>0</v>
      </c>
      <c r="QM206" s="5">
        <v>0</v>
      </c>
      <c r="QN206" s="6"/>
      <c r="QO206" s="14">
        <v>0</v>
      </c>
      <c r="QP206" s="5">
        <v>0</v>
      </c>
      <c r="QQ206" s="5">
        <v>0</v>
      </c>
      <c r="QR206" s="5">
        <v>0</v>
      </c>
      <c r="QS206" s="5">
        <v>0</v>
      </c>
      <c r="QT206" s="6"/>
      <c r="QU206" s="14">
        <v>0</v>
      </c>
      <c r="QV206" s="5">
        <v>0</v>
      </c>
      <c r="QW206" s="5">
        <v>0</v>
      </c>
      <c r="QX206" s="6"/>
      <c r="QY206" s="14">
        <v>0</v>
      </c>
      <c r="QZ206" s="5">
        <v>0</v>
      </c>
      <c r="RA206" s="5">
        <v>0</v>
      </c>
      <c r="RB206" s="5">
        <v>0</v>
      </c>
      <c r="RC206" s="5">
        <v>0</v>
      </c>
      <c r="RD206" s="6"/>
    </row>
  </sheetData>
  <autoFilter ref="A1:JE206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2025-11-07T10:59:28Z</dcterms:modified>
</cp:coreProperties>
</file>