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отчеты Останкино (поставки)\Останкино_недогрузы\"/>
    </mc:Choice>
  </mc:AlternateContent>
  <xr:revisionPtr revIDLastSave="0" documentId="13_ncr:1_{372EFD47-F243-4646-A904-0408310A171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онецк" sheetId="1" r:id="rId1"/>
  </sheets>
  <definedNames>
    <definedName name="_xlnm._FilterDatabase" localSheetId="0" hidden="1">Донецк!$A$1:$JS$208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185" i="1" l="1"/>
  <c r="O57" i="1"/>
  <c r="O32" i="1"/>
  <c r="O1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3" i="1"/>
  <c r="U180" i="1"/>
  <c r="U174" i="1"/>
  <c r="U6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3" i="1"/>
  <c r="AA196" i="1"/>
  <c r="AA183" i="1"/>
  <c r="AA122" i="1"/>
  <c r="AA67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3" i="1"/>
  <c r="D2" i="1" l="1"/>
  <c r="C2" i="1"/>
  <c r="SU2" i="1" l="1"/>
  <c r="ST2" i="1"/>
  <c r="SS2" i="1"/>
  <c r="SR2" i="1"/>
  <c r="SQ2" i="1"/>
  <c r="SP2" i="1"/>
  <c r="SO2" i="1"/>
  <c r="SN2" i="1"/>
  <c r="SM2" i="1"/>
  <c r="SL2" i="1"/>
  <c r="SK2" i="1"/>
  <c r="SJ2" i="1"/>
  <c r="SI2" i="1"/>
  <c r="SH2" i="1"/>
  <c r="SG2" i="1"/>
  <c r="SF2" i="1"/>
  <c r="SE2" i="1"/>
  <c r="SD2" i="1"/>
  <c r="SC2" i="1"/>
  <c r="SB2" i="1"/>
  <c r="SA2" i="1"/>
  <c r="RZ2" i="1"/>
  <c r="RY2" i="1"/>
  <c r="RX2" i="1"/>
  <c r="RW2" i="1"/>
  <c r="RV2" i="1"/>
  <c r="RU2" i="1"/>
  <c r="RT2" i="1"/>
  <c r="RS2" i="1"/>
  <c r="RR2" i="1"/>
  <c r="RQ2" i="1"/>
  <c r="RP2" i="1"/>
  <c r="RO2" i="1"/>
  <c r="RN2" i="1"/>
  <c r="RM2" i="1"/>
  <c r="RL2" i="1"/>
  <c r="RK2" i="1"/>
  <c r="RJ2" i="1"/>
  <c r="RI2" i="1"/>
  <c r="RH2" i="1"/>
  <c r="RG2" i="1"/>
  <c r="RF2" i="1"/>
  <c r="RE2" i="1"/>
  <c r="RD2" i="1"/>
  <c r="RC2" i="1"/>
  <c r="RB2" i="1"/>
  <c r="RA2" i="1"/>
  <c r="QZ2" i="1"/>
  <c r="QY2" i="1"/>
  <c r="QX2" i="1"/>
  <c r="QW2" i="1"/>
  <c r="QV2" i="1"/>
  <c r="QU2" i="1"/>
  <c r="QT2" i="1"/>
  <c r="QS2" i="1"/>
  <c r="QR2" i="1"/>
  <c r="QQ2" i="1"/>
  <c r="QP2" i="1"/>
  <c r="QO2" i="1"/>
  <c r="QN2" i="1"/>
  <c r="QM2" i="1"/>
  <c r="QL2" i="1"/>
  <c r="QK2" i="1"/>
  <c r="QJ2" i="1"/>
  <c r="QI2" i="1"/>
  <c r="QH2" i="1"/>
  <c r="QG2" i="1"/>
  <c r="QF2" i="1"/>
  <c r="QE2" i="1"/>
  <c r="QD2" i="1"/>
  <c r="QC2" i="1"/>
  <c r="QB2" i="1"/>
  <c r="QA2" i="1"/>
  <c r="PZ2" i="1"/>
  <c r="PY2" i="1"/>
  <c r="PX2" i="1"/>
  <c r="PW2" i="1"/>
  <c r="PV2" i="1"/>
  <c r="PU2" i="1"/>
  <c r="PT2" i="1"/>
  <c r="PS2" i="1"/>
  <c r="PR2" i="1"/>
  <c r="PQ2" i="1"/>
  <c r="PP2" i="1"/>
  <c r="PO2" i="1"/>
  <c r="PN2" i="1"/>
  <c r="PM2" i="1"/>
  <c r="PL2" i="1"/>
  <c r="PK2" i="1"/>
  <c r="PJ2" i="1"/>
  <c r="PI2" i="1"/>
  <c r="PH2" i="1"/>
  <c r="PG2" i="1"/>
  <c r="PF2" i="1"/>
  <c r="PE2" i="1"/>
  <c r="PD2" i="1"/>
  <c r="PC2" i="1"/>
  <c r="PB2" i="1"/>
  <c r="PA2" i="1"/>
  <c r="OZ2" i="1"/>
  <c r="OY2" i="1"/>
  <c r="OX2" i="1"/>
  <c r="OW2" i="1"/>
  <c r="OV2" i="1"/>
  <c r="OU2" i="1"/>
  <c r="OT2" i="1"/>
  <c r="OS2" i="1"/>
  <c r="OR2" i="1"/>
  <c r="OQ2" i="1"/>
  <c r="OP2" i="1"/>
  <c r="OO2" i="1"/>
  <c r="ON2" i="1"/>
  <c r="OM2" i="1"/>
  <c r="OL2" i="1"/>
  <c r="OK2" i="1"/>
  <c r="OJ2" i="1"/>
  <c r="OI2" i="1"/>
  <c r="OH2" i="1"/>
  <c r="OG2" i="1"/>
  <c r="OF2" i="1"/>
  <c r="OE2" i="1"/>
  <c r="OD2" i="1"/>
  <c r="OC2" i="1"/>
  <c r="OB2" i="1"/>
  <c r="OA2" i="1"/>
  <c r="NZ2" i="1"/>
  <c r="NY2" i="1"/>
  <c r="NX2" i="1"/>
  <c r="NW2" i="1"/>
  <c r="NV2" i="1"/>
  <c r="NU2" i="1"/>
  <c r="NT2" i="1"/>
  <c r="NS2" i="1"/>
  <c r="NR2" i="1"/>
  <c r="NQ2" i="1"/>
  <c r="NP2" i="1"/>
  <c r="NO2" i="1"/>
  <c r="NN2" i="1"/>
  <c r="NM2" i="1"/>
  <c r="NL2" i="1"/>
  <c r="NK2" i="1"/>
  <c r="NJ2" i="1"/>
  <c r="NI2" i="1"/>
  <c r="NH2" i="1"/>
  <c r="NG2" i="1"/>
  <c r="NF2" i="1"/>
  <c r="NE2" i="1"/>
  <c r="ND2" i="1"/>
  <c r="NC2" i="1"/>
  <c r="NB2" i="1"/>
  <c r="NA2" i="1"/>
  <c r="MZ2" i="1"/>
  <c r="MY2" i="1"/>
  <c r="MX2" i="1"/>
  <c r="MW2" i="1"/>
  <c r="MV2" i="1"/>
  <c r="MU2" i="1"/>
  <c r="MT2" i="1"/>
  <c r="MS2" i="1"/>
  <c r="MR2" i="1"/>
  <c r="MQ2" i="1"/>
  <c r="MP2" i="1"/>
  <c r="MO2" i="1"/>
  <c r="MN2" i="1"/>
  <c r="MM2" i="1"/>
  <c r="ML2" i="1"/>
  <c r="MK2" i="1"/>
  <c r="MJ2" i="1"/>
  <c r="MI2" i="1"/>
  <c r="MH2" i="1"/>
  <c r="MG2" i="1"/>
  <c r="MF2" i="1"/>
  <c r="ME2" i="1"/>
  <c r="MD2" i="1"/>
  <c r="MC2" i="1"/>
  <c r="MB2" i="1"/>
  <c r="MA2" i="1"/>
  <c r="LZ2" i="1"/>
  <c r="LY2" i="1"/>
  <c r="LX2" i="1"/>
  <c r="LW2" i="1"/>
  <c r="LV2" i="1"/>
  <c r="LU2" i="1"/>
  <c r="LT2" i="1"/>
  <c r="LS2" i="1"/>
  <c r="LR2" i="1"/>
  <c r="LQ2" i="1"/>
  <c r="LP2" i="1"/>
  <c r="LO2" i="1"/>
  <c r="LN2" i="1"/>
  <c r="LM2" i="1"/>
  <c r="LL2" i="1"/>
  <c r="LK2" i="1"/>
  <c r="LJ2" i="1"/>
  <c r="LI2" i="1"/>
  <c r="LH2" i="1"/>
  <c r="LG2" i="1"/>
  <c r="LF2" i="1"/>
  <c r="LE2" i="1"/>
  <c r="LD2" i="1"/>
  <c r="LC2" i="1"/>
  <c r="LB2" i="1"/>
  <c r="LA2" i="1"/>
  <c r="KZ2" i="1"/>
  <c r="KY2" i="1"/>
  <c r="KX2" i="1"/>
  <c r="KW2" i="1"/>
  <c r="KV2" i="1"/>
  <c r="KU2" i="1"/>
  <c r="KT2" i="1"/>
  <c r="KS2" i="1"/>
  <c r="KR2" i="1"/>
  <c r="KQ2" i="1"/>
  <c r="KP2" i="1"/>
  <c r="KO2" i="1"/>
  <c r="KN2" i="1"/>
  <c r="KM2" i="1"/>
  <c r="KL2" i="1"/>
  <c r="KK2" i="1"/>
  <c r="KJ2" i="1"/>
  <c r="KI2" i="1"/>
  <c r="KH2" i="1"/>
  <c r="KG2" i="1"/>
  <c r="KF2" i="1"/>
  <c r="KE2" i="1"/>
  <c r="KD2" i="1"/>
  <c r="KC2" i="1"/>
  <c r="KB2" i="1"/>
  <c r="KA2" i="1"/>
  <c r="JZ2" i="1"/>
  <c r="JY2" i="1"/>
  <c r="JX2" i="1"/>
  <c r="JW2" i="1"/>
  <c r="JV2" i="1"/>
  <c r="JU2" i="1"/>
  <c r="JT2" i="1"/>
  <c r="JS2" i="1"/>
  <c r="JR2" i="1"/>
  <c r="JQ2" i="1"/>
  <c r="JP2" i="1"/>
  <c r="JO2" i="1"/>
  <c r="JN2" i="1"/>
  <c r="JM2" i="1"/>
  <c r="JL2" i="1"/>
  <c r="JK2" i="1"/>
  <c r="JJ2" i="1"/>
  <c r="JI2" i="1"/>
  <c r="JH2" i="1"/>
  <c r="JG2" i="1"/>
  <c r="JF2" i="1"/>
  <c r="JE2" i="1"/>
  <c r="JD2" i="1"/>
  <c r="JC2" i="1"/>
  <c r="JB2" i="1"/>
  <c r="JA2" i="1"/>
  <c r="IZ2" i="1"/>
  <c r="IY2" i="1"/>
  <c r="IX2" i="1"/>
  <c r="IW2" i="1"/>
  <c r="IV2" i="1"/>
  <c r="IU2" i="1"/>
  <c r="IT2" i="1"/>
  <c r="IS2" i="1"/>
  <c r="IR2" i="1"/>
  <c r="IQ2" i="1"/>
  <c r="IP2" i="1"/>
  <c r="IO2" i="1"/>
  <c r="IN2" i="1"/>
  <c r="IM2" i="1"/>
  <c r="IL2" i="1"/>
  <c r="IK2" i="1"/>
  <c r="IJ2" i="1"/>
  <c r="II2" i="1"/>
  <c r="IH2" i="1"/>
  <c r="IG2" i="1"/>
  <c r="IF2" i="1"/>
  <c r="IE2" i="1"/>
  <c r="ID2" i="1"/>
  <c r="IC2" i="1"/>
  <c r="IB2" i="1"/>
  <c r="IA2" i="1"/>
  <c r="HZ2" i="1"/>
  <c r="HY2" i="1"/>
  <c r="HX2" i="1"/>
  <c r="HW2" i="1"/>
  <c r="HV2" i="1"/>
  <c r="HU2" i="1"/>
  <c r="HT2" i="1"/>
  <c r="HS2" i="1"/>
  <c r="HR2" i="1"/>
  <c r="HQ2" i="1"/>
  <c r="HP2" i="1"/>
  <c r="HO2" i="1"/>
  <c r="HN2" i="1"/>
  <c r="HM2" i="1"/>
  <c r="HL2" i="1"/>
  <c r="HK2" i="1"/>
  <c r="HJ2" i="1"/>
  <c r="HI2" i="1"/>
  <c r="HH2" i="1"/>
  <c r="HG2" i="1"/>
  <c r="HF2" i="1"/>
  <c r="HE2" i="1"/>
  <c r="HD2" i="1"/>
  <c r="HC2" i="1"/>
  <c r="HB2" i="1"/>
  <c r="HA2" i="1"/>
  <c r="GZ2" i="1"/>
  <c r="GY2" i="1"/>
  <c r="GX2" i="1"/>
  <c r="GW2" i="1"/>
  <c r="GV2" i="1"/>
  <c r="GU2" i="1"/>
  <c r="GT2" i="1"/>
  <c r="GS2" i="1"/>
  <c r="GR2" i="1"/>
  <c r="GQ2" i="1"/>
  <c r="GP2" i="1"/>
  <c r="GO2" i="1"/>
  <c r="GN2" i="1"/>
  <c r="GM2" i="1"/>
  <c r="GL2" i="1"/>
  <c r="GK2" i="1"/>
  <c r="GJ2" i="1"/>
  <c r="GI2" i="1"/>
  <c r="GH2" i="1"/>
  <c r="GG2" i="1"/>
  <c r="GF2" i="1"/>
  <c r="GE2" i="1"/>
  <c r="GD2" i="1"/>
  <c r="GC2" i="1"/>
  <c r="GB2" i="1"/>
  <c r="GA2" i="1"/>
  <c r="FZ2" i="1"/>
  <c r="FY2" i="1"/>
  <c r="FX2" i="1"/>
  <c r="FW2" i="1"/>
  <c r="FV2" i="1"/>
  <c r="FU2" i="1"/>
  <c r="FT2" i="1"/>
  <c r="FS2" i="1"/>
  <c r="FR2" i="1"/>
  <c r="FQ2" i="1"/>
  <c r="FP2" i="1"/>
  <c r="FO2" i="1"/>
  <c r="FN2" i="1"/>
  <c r="FM2" i="1"/>
  <c r="FL2" i="1"/>
  <c r="FK2" i="1"/>
  <c r="FJ2" i="1"/>
  <c r="FI2" i="1"/>
  <c r="FH2" i="1"/>
  <c r="FG2" i="1"/>
  <c r="FF2" i="1"/>
  <c r="FE2" i="1"/>
  <c r="FD2" i="1"/>
  <c r="FC2" i="1"/>
  <c r="FB2" i="1"/>
  <c r="FA2" i="1"/>
  <c r="EZ2" i="1"/>
  <c r="EY2" i="1"/>
  <c r="EX2" i="1"/>
  <c r="EW2" i="1"/>
  <c r="EV2" i="1"/>
  <c r="EU2" i="1"/>
  <c r="ET2" i="1"/>
  <c r="ES2" i="1"/>
  <c r="ER2" i="1"/>
  <c r="EQ2" i="1"/>
  <c r="EP2" i="1"/>
  <c r="EO2" i="1"/>
  <c r="EN2" i="1"/>
  <c r="EM2" i="1"/>
  <c r="EL2" i="1"/>
  <c r="EK2" i="1"/>
  <c r="EJ2" i="1"/>
  <c r="EI2" i="1"/>
  <c r="EH2" i="1"/>
  <c r="EG2" i="1"/>
  <c r="EF2" i="1"/>
  <c r="EE2" i="1"/>
  <c r="ED2" i="1"/>
  <c r="EC2" i="1"/>
  <c r="EB2" i="1"/>
  <c r="EA2" i="1"/>
  <c r="DZ2" i="1"/>
  <c r="DY2" i="1"/>
  <c r="DX2" i="1"/>
  <c r="DW2" i="1"/>
  <c r="DV2" i="1"/>
  <c r="DU2" i="1"/>
  <c r="DT2" i="1"/>
  <c r="DS2" i="1"/>
  <c r="DR2" i="1"/>
  <c r="DQ2" i="1"/>
  <c r="DP2" i="1"/>
  <c r="DO2" i="1"/>
  <c r="DN2" i="1"/>
  <c r="DM2" i="1"/>
  <c r="DL2" i="1"/>
  <c r="DK2" i="1"/>
  <c r="DJ2" i="1"/>
  <c r="DI2" i="1"/>
  <c r="DH2" i="1"/>
  <c r="DG2" i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CK2" i="1"/>
  <c r="CJ2" i="1"/>
  <c r="CI2" i="1"/>
  <c r="CH2" i="1"/>
  <c r="CG2" i="1"/>
  <c r="CF2" i="1"/>
  <c r="CE2" i="1"/>
  <c r="CD2" i="1"/>
  <c r="CC2" i="1"/>
  <c r="CB2" i="1"/>
  <c r="CA2" i="1"/>
  <c r="BZ2" i="1"/>
  <c r="BY2" i="1"/>
  <c r="BX2" i="1"/>
  <c r="BW2" i="1"/>
  <c r="BV2" i="1"/>
  <c r="BU2" i="1"/>
  <c r="BT2" i="1"/>
  <c r="BS2" i="1"/>
  <c r="BR2" i="1"/>
  <c r="BQ2" i="1"/>
  <c r="BP2" i="1"/>
  <c r="BO2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O2" i="1"/>
  <c r="N2" i="1"/>
  <c r="M2" i="1"/>
  <c r="K2" i="1"/>
  <c r="I2" i="1"/>
  <c r="H2" i="1"/>
  <c r="G2" i="1"/>
  <c r="E2" i="1"/>
  <c r="P2" i="1"/>
  <c r="L2" i="1"/>
  <c r="J2" i="1"/>
  <c r="F2" i="1"/>
</calcChain>
</file>

<file path=xl/sharedStrings.xml><?xml version="1.0" encoding="utf-8"?>
<sst xmlns="http://schemas.openxmlformats.org/spreadsheetml/2006/main" count="721" uniqueCount="516">
  <si>
    <t>Номенклатура</t>
  </si>
  <si>
    <t>кооф</t>
  </si>
  <si>
    <t>29,12,пр</t>
  </si>
  <si>
    <t>26,12,пр</t>
  </si>
  <si>
    <t>23,12,пр</t>
  </si>
  <si>
    <t>17,12,пр</t>
  </si>
  <si>
    <t>05,01,</t>
  </si>
  <si>
    <t>28,12,</t>
  </si>
  <si>
    <t>разн.шт.</t>
  </si>
  <si>
    <t>недогруз вес</t>
  </si>
  <si>
    <t>22,12,</t>
  </si>
  <si>
    <t>21,12,</t>
  </si>
  <si>
    <t>15,12,</t>
  </si>
  <si>
    <t>16,12,пр</t>
  </si>
  <si>
    <t>14,12,</t>
  </si>
  <si>
    <t>15,12,пр</t>
  </si>
  <si>
    <t>08,12,</t>
  </si>
  <si>
    <t>09,12,пр</t>
  </si>
  <si>
    <t>07,12,</t>
  </si>
  <si>
    <t>04,12,пр</t>
  </si>
  <si>
    <t>01,12,</t>
  </si>
  <si>
    <t>02,12,пр</t>
  </si>
  <si>
    <t>30,11,</t>
  </si>
  <si>
    <t>27,11,пр</t>
  </si>
  <si>
    <t>24,11,</t>
  </si>
  <si>
    <t>25,11,пр</t>
  </si>
  <si>
    <t>23,11,</t>
  </si>
  <si>
    <t>20,11,пр</t>
  </si>
  <si>
    <t>17,11,</t>
  </si>
  <si>
    <t>20,11(2),пр</t>
  </si>
  <si>
    <t>15,11,</t>
  </si>
  <si>
    <t>13,11,пр</t>
  </si>
  <si>
    <t>10,11,</t>
  </si>
  <si>
    <t>11,11,пр</t>
  </si>
  <si>
    <t>08,11,</t>
  </si>
  <si>
    <t>05,11,пр</t>
  </si>
  <si>
    <t>03,11,</t>
  </si>
  <si>
    <t>04,11,пр</t>
  </si>
  <si>
    <t>01,11,</t>
  </si>
  <si>
    <t>29,10,пр</t>
  </si>
  <si>
    <t>27,10,</t>
  </si>
  <si>
    <t>28,10,пр</t>
  </si>
  <si>
    <t>25,10,</t>
  </si>
  <si>
    <t>21,10,пр</t>
  </si>
  <si>
    <t>20,10,</t>
  </si>
  <si>
    <t>20,10,пр</t>
  </si>
  <si>
    <t>18,10,</t>
  </si>
  <si>
    <t>15,10,пр</t>
  </si>
  <si>
    <t>13,10,</t>
  </si>
  <si>
    <t>14,10,пр</t>
  </si>
  <si>
    <t>11,10,</t>
  </si>
  <si>
    <t>08,10,пр</t>
  </si>
  <si>
    <t>06,10,</t>
  </si>
  <si>
    <t>07,10,пр</t>
  </si>
  <si>
    <t>04,10,</t>
  </si>
  <si>
    <t>01,10,пр</t>
  </si>
  <si>
    <t>29,09,</t>
  </si>
  <si>
    <t>30,09,пр</t>
  </si>
  <si>
    <t>27,09,</t>
  </si>
  <si>
    <t>24,09,пр</t>
  </si>
  <si>
    <t>22,09,</t>
  </si>
  <si>
    <t>23,09,пр</t>
  </si>
  <si>
    <t>20,09,</t>
  </si>
  <si>
    <t>18,09,пр</t>
  </si>
  <si>
    <t>15,09,</t>
  </si>
  <si>
    <t>19,09,пр</t>
  </si>
  <si>
    <t>13,09,</t>
  </si>
  <si>
    <t>11,09,пр</t>
  </si>
  <si>
    <t>08,09,</t>
  </si>
  <si>
    <t>06,09,</t>
  </si>
  <si>
    <t>05,09,пр</t>
  </si>
  <si>
    <t>01,09,</t>
  </si>
  <si>
    <t>04,09,пр</t>
  </si>
  <si>
    <t>02,09,пр</t>
  </si>
  <si>
    <t>30,08,</t>
  </si>
  <si>
    <t>25,08,пр</t>
  </si>
  <si>
    <t>23,08,(2)</t>
  </si>
  <si>
    <t>27,08,пр</t>
  </si>
  <si>
    <t>23,08,(1)</t>
  </si>
  <si>
    <t>19,08,пр</t>
  </si>
  <si>
    <t>16,08,</t>
  </si>
  <si>
    <t>14,08,пр</t>
  </si>
  <si>
    <t>11,08,</t>
  </si>
  <si>
    <t>12,08,пр</t>
  </si>
  <si>
    <t>09,08,</t>
  </si>
  <si>
    <t>08,08,пр</t>
  </si>
  <si>
    <t>04,08,</t>
  </si>
  <si>
    <t>06,08,пр</t>
  </si>
  <si>
    <t>02,08,</t>
  </si>
  <si>
    <t>31,07,пр</t>
  </si>
  <si>
    <t>28,07,</t>
  </si>
  <si>
    <t>29,07,пр</t>
  </si>
  <si>
    <t>26,07,</t>
  </si>
  <si>
    <t>24,07,пр</t>
  </si>
  <si>
    <t>21,07,</t>
  </si>
  <si>
    <t>23,07,пр</t>
  </si>
  <si>
    <t>19,07,</t>
  </si>
  <si>
    <t>21,07,пр</t>
  </si>
  <si>
    <t>14,07,</t>
  </si>
  <si>
    <t>15,07,пр</t>
  </si>
  <si>
    <t>12,07,</t>
  </si>
  <si>
    <t>10,07(2),пр</t>
  </si>
  <si>
    <t>07,07,</t>
  </si>
  <si>
    <t>08,07,пр</t>
  </si>
  <si>
    <t>05,07,(2)</t>
  </si>
  <si>
    <t>10,07,пр</t>
  </si>
  <si>
    <t>05,07,(1)</t>
  </si>
  <si>
    <t>04,07,пр</t>
  </si>
  <si>
    <t>30,06,</t>
  </si>
  <si>
    <t>02,07,пр</t>
  </si>
  <si>
    <t>28,06,</t>
  </si>
  <si>
    <t>26,06,пр</t>
  </si>
  <si>
    <t>23,06,</t>
  </si>
  <si>
    <t>24,06(2),пр</t>
  </si>
  <si>
    <t>21,06,(2)</t>
  </si>
  <si>
    <t>24,06(1),пр</t>
  </si>
  <si>
    <t>21,06,(1)</t>
  </si>
  <si>
    <t>20,06,пр</t>
  </si>
  <si>
    <t>16,06,</t>
  </si>
  <si>
    <t>17,06,пр</t>
  </si>
  <si>
    <t>14,06,</t>
  </si>
  <si>
    <t>11,06,пр</t>
  </si>
  <si>
    <t>09,06,</t>
  </si>
  <si>
    <t>09,06,пр</t>
  </si>
  <si>
    <t>07,06,</t>
  </si>
  <si>
    <t>06,06,пр</t>
  </si>
  <si>
    <t>02,06,</t>
  </si>
  <si>
    <t>04,06,пр</t>
  </si>
  <si>
    <t>31,05,</t>
  </si>
  <si>
    <t>30,05,пр</t>
  </si>
  <si>
    <t>26,05,(2)</t>
  </si>
  <si>
    <t>29,05,пр</t>
  </si>
  <si>
    <t>26,05,(1)</t>
  </si>
  <si>
    <t>27,05,пр</t>
  </si>
  <si>
    <t>24,05,</t>
  </si>
  <si>
    <t>22,05,пр</t>
  </si>
  <si>
    <t>19,05,</t>
  </si>
  <si>
    <t>20,05(2),пр</t>
  </si>
  <si>
    <t>20,05,пр</t>
  </si>
  <si>
    <t>17,05,</t>
  </si>
  <si>
    <t>14,05(2),пр</t>
  </si>
  <si>
    <t>14,05,пр</t>
  </si>
  <si>
    <t>10,05,</t>
  </si>
  <si>
    <t>06,05,пр</t>
  </si>
  <si>
    <t>05,05,пр</t>
  </si>
  <si>
    <t>03,05,</t>
  </si>
  <si>
    <t>01,05,пр</t>
  </si>
  <si>
    <t>28,04,</t>
  </si>
  <si>
    <t>30,04,пр</t>
  </si>
  <si>
    <t>26,04,</t>
  </si>
  <si>
    <t>24,04,(2),пр</t>
  </si>
  <si>
    <t>24,04,пр</t>
  </si>
  <si>
    <t>21,04,</t>
  </si>
  <si>
    <t>23,04,пр</t>
  </si>
  <si>
    <t>19,04,</t>
  </si>
  <si>
    <t>17,04,пр</t>
  </si>
  <si>
    <t>14,04,</t>
  </si>
  <si>
    <t>15,04,пр</t>
  </si>
  <si>
    <t>12,04,</t>
  </si>
  <si>
    <t>10,04,пр</t>
  </si>
  <si>
    <t>07,04,</t>
  </si>
  <si>
    <t>09,04,пр</t>
  </si>
  <si>
    <t>05,04,</t>
  </si>
  <si>
    <t>02,04,пр</t>
  </si>
  <si>
    <t>31,03,</t>
  </si>
  <si>
    <t>01,04,пр</t>
  </si>
  <si>
    <t>29,03,</t>
  </si>
  <si>
    <t>25,03,пр</t>
  </si>
  <si>
    <t>23,03,</t>
  </si>
  <si>
    <t>20,03,пр</t>
  </si>
  <si>
    <t>17,03,</t>
  </si>
  <si>
    <t>19,03,пр</t>
  </si>
  <si>
    <t>15,03,</t>
  </si>
  <si>
    <t>10,03,пр</t>
  </si>
  <si>
    <t>08,03,</t>
  </si>
  <si>
    <t>07,03,пр</t>
  </si>
  <si>
    <t>03,03,</t>
  </si>
  <si>
    <t>04,03,пр</t>
  </si>
  <si>
    <t>01,03,</t>
  </si>
  <si>
    <t>28,02,пр</t>
  </si>
  <si>
    <t>24,02,</t>
  </si>
  <si>
    <t>24,02,пр</t>
  </si>
  <si>
    <t>22,02,(2)</t>
  </si>
  <si>
    <t>26,02,пр</t>
  </si>
  <si>
    <t>22,02,(1)</t>
  </si>
  <si>
    <t>20,02,пр</t>
  </si>
  <si>
    <t>17,02,</t>
  </si>
  <si>
    <t>18,02,пр</t>
  </si>
  <si>
    <t>15,02,</t>
  </si>
  <si>
    <t>12,02,пр</t>
  </si>
  <si>
    <t>10,02,</t>
  </si>
  <si>
    <t>10,02,пр</t>
  </si>
  <si>
    <t>08,02,</t>
  </si>
  <si>
    <t>06,02,пр</t>
  </si>
  <si>
    <t>03,02,</t>
  </si>
  <si>
    <t>04,02,пр</t>
  </si>
  <si>
    <t>01,02,</t>
  </si>
  <si>
    <t>28,01,пр</t>
  </si>
  <si>
    <t>27,01,</t>
  </si>
  <si>
    <t>27,01,пр</t>
  </si>
  <si>
    <t>25,01,</t>
  </si>
  <si>
    <t>23,01,пр</t>
  </si>
  <si>
    <t>20,01,</t>
  </si>
  <si>
    <t>21,01,пр</t>
  </si>
  <si>
    <t>18,01,</t>
  </si>
  <si>
    <t>14,01,пр</t>
  </si>
  <si>
    <t>11,01,</t>
  </si>
  <si>
    <t>10,01,пр</t>
  </si>
  <si>
    <t>06,01,</t>
  </si>
  <si>
    <t>07,01,пр</t>
  </si>
  <si>
    <t>04,01,</t>
  </si>
  <si>
    <t>03,01,пр</t>
  </si>
  <si>
    <t>30,12,</t>
  </si>
  <si>
    <t>23,12,</t>
  </si>
  <si>
    <t>25,12,пр</t>
  </si>
  <si>
    <t>20,12,пр</t>
  </si>
  <si>
    <t>16,12,</t>
  </si>
  <si>
    <t>13,12,пр</t>
  </si>
  <si>
    <t>09,12,</t>
  </si>
  <si>
    <t>05,12,пр</t>
  </si>
  <si>
    <t>02,12,</t>
  </si>
  <si>
    <t>03,12,пр</t>
  </si>
  <si>
    <t>28,11,пр</t>
  </si>
  <si>
    <t>25,11,(2)</t>
  </si>
  <si>
    <t>29,11,пр</t>
  </si>
  <si>
    <t>25,11,(1)</t>
  </si>
  <si>
    <t>21,11,пр</t>
  </si>
  <si>
    <t>18,11,</t>
  </si>
  <si>
    <t>18,11,пр</t>
  </si>
  <si>
    <t>16,11,</t>
  </si>
  <si>
    <t>14,11,пр</t>
  </si>
  <si>
    <t>11,11,</t>
  </si>
  <si>
    <t>09,11,</t>
  </si>
  <si>
    <t>02,11,</t>
  </si>
  <si>
    <t>01,11,пр</t>
  </si>
  <si>
    <t>28,10,</t>
  </si>
  <si>
    <t>26,10,д</t>
  </si>
  <si>
    <t>26,10,</t>
  </si>
  <si>
    <t>23,10,пр</t>
  </si>
  <si>
    <t>21,10,</t>
  </si>
  <si>
    <t>22,10,пр</t>
  </si>
  <si>
    <t>19,10,</t>
  </si>
  <si>
    <t>12,10,</t>
  </si>
  <si>
    <t>16,10,пр</t>
  </si>
  <si>
    <t>07,10,</t>
  </si>
  <si>
    <t>05,10,</t>
  </si>
  <si>
    <t>02,10,пр</t>
  </si>
  <si>
    <t>28,09,</t>
  </si>
  <si>
    <t>26,09,пр</t>
  </si>
  <si>
    <t>23,09,</t>
  </si>
  <si>
    <t>21,09,</t>
  </si>
  <si>
    <t>24,09,(2)пр</t>
  </si>
  <si>
    <t>17,09,пр</t>
  </si>
  <si>
    <t>14,09,</t>
  </si>
  <si>
    <t>11,09,</t>
  </si>
  <si>
    <t>09,09,</t>
  </si>
  <si>
    <t>10,09,</t>
  </si>
  <si>
    <t>07,09,</t>
  </si>
  <si>
    <t>06,09,пр</t>
  </si>
  <si>
    <t>02,09,</t>
  </si>
  <si>
    <t>31,08,</t>
  </si>
  <si>
    <t>29,08,пр</t>
  </si>
  <si>
    <t>25,08,д</t>
  </si>
  <si>
    <t>24,08,</t>
  </si>
  <si>
    <t>23,08,пр</t>
  </si>
  <si>
    <t>17,08,(2)</t>
  </si>
  <si>
    <t>20,08,пр</t>
  </si>
  <si>
    <t>17,08,(1)</t>
  </si>
  <si>
    <t>10,08,(2)</t>
  </si>
  <si>
    <t>10,08,(1)</t>
  </si>
  <si>
    <t>09,08,пр</t>
  </si>
  <si>
    <t>03,08,</t>
  </si>
  <si>
    <t>27,07,</t>
  </si>
  <si>
    <t>22,07,пр</t>
  </si>
  <si>
    <t>20,07,</t>
  </si>
  <si>
    <t>16,07,пр</t>
  </si>
  <si>
    <t>13,07,</t>
  </si>
  <si>
    <t>11,07,пр</t>
  </si>
  <si>
    <t>08,07,</t>
  </si>
  <si>
    <t>06,07,</t>
  </si>
  <si>
    <t>01,07,пр</t>
  </si>
  <si>
    <t>29,06,</t>
  </si>
  <si>
    <t>25,06,пр</t>
  </si>
  <si>
    <t>22,06,(2)</t>
  </si>
  <si>
    <t>22,06,(1)</t>
  </si>
  <si>
    <t>21,06,пр</t>
  </si>
  <si>
    <t>18,06,пр</t>
  </si>
  <si>
    <t>15,06,</t>
  </si>
  <si>
    <t>13,06,пр</t>
  </si>
  <si>
    <t>08,06,(1)</t>
  </si>
  <si>
    <t>14,06,пр</t>
  </si>
  <si>
    <t>08,06,(2)</t>
  </si>
  <si>
    <t>01,06,</t>
  </si>
  <si>
    <t>28,05,пр</t>
  </si>
  <si>
    <t>25,05,(1)</t>
  </si>
  <si>
    <t>25,05,(2)</t>
  </si>
  <si>
    <t>21,05,пр(1)</t>
  </si>
  <si>
    <t>18,03,(1)</t>
  </si>
  <si>
    <t>21,05,пр(2)</t>
  </si>
  <si>
    <t>18,03,(2)</t>
  </si>
  <si>
    <t>14,05,пр(1)</t>
  </si>
  <si>
    <t>11,05,(1)</t>
  </si>
  <si>
    <t>14,05,пр(2)</t>
  </si>
  <si>
    <t>11,05,(2)</t>
  </si>
  <si>
    <t>07,05,пр</t>
  </si>
  <si>
    <t>04,05,</t>
  </si>
  <si>
    <t>02,05,пр</t>
  </si>
  <si>
    <t>29,04,</t>
  </si>
  <si>
    <t>29,04,пр</t>
  </si>
  <si>
    <t>27,04,</t>
  </si>
  <si>
    <t>2675 РУССКАЯ ГОСТ вар п/о  Останкино</t>
  </si>
  <si>
    <t>3215 ВЕТЧ.МЯСНАЯ Папа может п/о 0.4кг 8шт.    ОСТАНКИНО</t>
  </si>
  <si>
    <t>3287 САЛЯМИ ИТАЛЬЯНСКАЯ с/к в/у ОСТАНКИНО</t>
  </si>
  <si>
    <t>3297 СЫТНЫЕ Папа может сар б/о мгс 1*3_СНГ  Останкино</t>
  </si>
  <si>
    <t>3812 СОЧНЫЕ сос п/о мгс 2*2 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</si>
  <si>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</si>
  <si>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</si>
  <si>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</si>
  <si>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4558 ДОКТОРСКАЯ ГОСТ вар п/о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</si>
  <si>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</si>
  <si>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</si>
  <si>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</si>
  <si>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5159 Нежный пашт п/о 1/150 16шт.   ОСТАНКИНО</t>
  </si>
  <si>
    <t>5160 Мясной пашт п/о 0,150 ОСТАНКИНО</t>
  </si>
  <si>
    <t>5161 Печеночный пашт 0,150 ОСТАНКИНО</t>
  </si>
  <si>
    <t>5206 Ладожская с/к в/у ОСТАНКИНО</t>
  </si>
  <si>
    <t>5224 ВЕТЧ.ИЗ ЛОПАТКИ Папа может п/о  ОСТАНКИНО</t>
  </si>
  <si>
    <t>5336 ОСОБАЯ вар п/о  ОСТАНКИНО</t>
  </si>
  <si>
    <t>5337 ОСОБАЯ СО ШПИКОМ вар п/о  ОСТАНКИНО</t>
  </si>
  <si>
    <t>5341 СЕРВЕЛАТ ОХОТНИЧИЙ в/к в/у 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</si>
  <si>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</si>
  <si>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</si>
  <si>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</si>
  <si>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</si>
  <si>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</si>
  <si>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5698 СЫТНЫЕ Папа может сар б/о мгс 1*3_Маяк  Останкино</t>
  </si>
  <si>
    <t>5706 АРОМАТНАЯ Папа может с/к в/у 1/250 8шт.  ОСТАНКИНО</t>
  </si>
  <si>
    <t>5707 ЮБИЛЕЙНАЯ Папа может с/к в/у 1/250 8шт.    ОСТАНКИНО</t>
  </si>
  <si>
    <t>5708 ПОСОЛЬСКАЯ Папа может с/к в/у ОСТАНКИНО</t>
  </si>
  <si>
    <t>5819 Сосиски Папа может 400г Мясные  ОСТАНКИНО</t>
  </si>
  <si>
    <t>5820 СЛИВОЧНЫЕ Папа может сос п/о мгс 2*2_45с   ОСТАНКИНО</t>
  </si>
  <si>
    <t>5851 ЭКСТРА Папа может вар п/о   ОСТАНКИНО</t>
  </si>
  <si>
    <t>5931 ОХОТНИЧЬЯ Папа может с/к в/у 1/220 8шт.   ОСТАНКИНО</t>
  </si>
  <si>
    <t>5981 МОЛОЧНЫЕ ТРАДИЦ. сос п/о мгс 1*6_45с   ОСТАНКИНО</t>
  </si>
  <si>
    <t>5992 ВРЕМЯ ОКРОШКИ Папа может вар п/о 0.4кг   ОСТАНКИНО</t>
  </si>
  <si>
    <t>5993 ВРЕМЯ ОКРОШКИ Папа может вар п/о   ОСТАНКИНО</t>
  </si>
  <si>
    <t>5997 ОСОБАЯ Коровино вар п/о  ОСТАНКИНО</t>
  </si>
  <si>
    <t>6027 ВЕТЧ.ИЗ ЛОПАТКИ Папа может п/о 400*6  ОСТАНКИНО</t>
  </si>
  <si>
    <t>6069 ФИЛЕЙНЫЕ Папа может сос ц/о мгс 0,33кг  Останкино</t>
  </si>
  <si>
    <t>6113 СОЧНЫЕ сос п/о мгс 1*6_Ашан  ОСТАНКИНО</t>
  </si>
  <si>
    <t>6123 МОЛОЧНЫЕ КЛАССИЧЕСКИЕ ПМ сос п/о мгс 2*4   ОСТАНКИНО</t>
  </si>
  <si>
    <t>6144 МОЛОЧНЫЕ ТРАДИЦ. сос п/о в/у 1/360 (1+1)  Останкино</t>
  </si>
  <si>
    <t>6206 СВИНИНА ПО-ДОМАШНЕМУ к/в мл/к в/у 0,3кг  Останкино</t>
  </si>
  <si>
    <t>6208 ДЫМОВИЦА ИЗ ЛОПАТКИ ПМ к/в с/н в/у 1/150  Останкино</t>
  </si>
  <si>
    <t>6213 СЕРВЕЛАТ ФИНСКИЙ СН в/к в/у 0,35кг 8шт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</si>
  <si>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</si>
  <si>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</si>
  <si>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</si>
  <si>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</si>
  <si>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</si>
  <si>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6281 СВИНИНА ДЕЛИКАТ. к/в мл/к в/у 0.3кг 45с  ОСТАНКИНО</t>
  </si>
  <si>
    <t>6297 ФИЛЕЙНЫЕ сос ц/о в/у 1/270 12шт_45с  ОСТАНКИНО</t>
  </si>
  <si>
    <t>6303 Мясные Папа может сос п/о мгс 1,5*3  Останкино</t>
  </si>
  <si>
    <t>6308 С ИНДЕЙКОЙ ПМ сар б/о мгс 1*3_СНГ  Останкино</t>
  </si>
  <si>
    <t>6324 ДОКТОРСКАЯ ГОСТ вар п/о 0,4кг 8шт  Останкино</t>
  </si>
  <si>
    <t>6325 ДОКТОРСКАЯ ПРЕМИУМ вар п/о 0.4кг 8шт.  ОСТАНКИНО</t>
  </si>
  <si>
    <t>6332 МЯСНАЯ Папа может вар п/о 0,5кг 8шт  Останкино</t>
  </si>
  <si>
    <t>6333 МЯСНАЯ Папа может вар п/о 0.4кг 8шт.  ОСТАНКИНО</t>
  </si>
  <si>
    <t>6340 ДОМАШНИЙ РЕЦЕПТ Коровино 0,5кг 8шт.  Останкино</t>
  </si>
  <si>
    <t>6341 ДОМАШНИЙ РЕЦЕПТ СО ШПИКОМ Коровино 0,5кг  Останкино</t>
  </si>
  <si>
    <t>6345 ФИЛЕЙНАЯ Папа может вар п/о 0,5кг 8шт  Останкино</t>
  </si>
  <si>
    <t>6353 ЭКСТРА Папа может вар п/о 0.4кг 8шт.  ОСТАНКИНО</t>
  </si>
  <si>
    <t>6392 ФИЛЕЙНАЯ Папа может вар п/о 0,4кг  ОСТАНКИНО</t>
  </si>
  <si>
    <t>6415 БАЛЫКОВАЯ Коровино п/к в/у 0.84кг 6шт.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</si>
  <si>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</si>
  <si>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</si>
  <si>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</si>
  <si>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</si>
  <si>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</si>
  <si>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</si>
  <si>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</si>
  <si>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</si>
  <si>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</si>
  <si>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6555 ПОСОЛЬСКАЯ с/к с/н в/у 1/100 10шт.  ОСТАНКИНО</t>
  </si>
  <si>
    <t>6563 СЛИВОЧНЫЕ СН сос п/о мгс 1*6  ОСТАНКИНО</t>
  </si>
  <si>
    <t>6586 МРАМОРНАЯ И БАЛЫКОВАЯ в/к с/н мгс 1/90  Останкино</t>
  </si>
  <si>
    <t>6592 ДОКТОРСКАЯ СН вар п/о  ОСТАНКИНО</t>
  </si>
  <si>
    <t>6594 МОЛОЧНАЯ СН вар п/о  ОСТАНКИНО</t>
  </si>
  <si>
    <t>6602 БАВАРСКИЕ ПМ сос ц/о мгс 0,35кг 8шт  Останкино</t>
  </si>
  <si>
    <t>6607 С ГОВЯДИНОЙ ПМ сар б/о мгс 1*3_45с</t>
  </si>
  <si>
    <t>6608 С ГОВЯДИНОЙ ОРИГИН. сар б/о мгс 1*3_45с  ОСТАНКИНО</t>
  </si>
  <si>
    <t>6609 С ГОВЯДИНОЙ ПМ сар б/о мгс 0,4 кг_45с</t>
  </si>
  <si>
    <t>6616 МОЛОЧНЫЕ КЛАССИЧЕСКИЕ сос п/о в/у 0,3 кг  Останкино</t>
  </si>
  <si>
    <t>6620 РЕБРЫШКИ к/в в/у_30с  Останкино</t>
  </si>
  <si>
    <t>6656 ГОВЯЖЬИ СН сос п/о мгс 2*2  ОСТАНКИНО</t>
  </si>
  <si>
    <t>6661 СОЧНЫЙ ГРИЛЬ ПМ сос п/о мгс 1,5*4_Маяк Останкино</t>
  </si>
  <si>
    <t>6666 БОЯNСКАЯ Папа может п/к в/у 0,28кг 8шт  ОСТАНКИНО</t>
  </si>
  <si>
    <t>6669 ВЕНСКАЯ САЛЯМИ п/к в/у 0,28кг 8шт  ОСТАНКИНО</t>
  </si>
  <si>
    <t>6683 СЕРВЕЛАТ ЗЕРНИСТЫЙ ПМ в/к в/у 0,35кг  ОСТАНКИНО</t>
  </si>
  <si>
    <t>6684 СЕРВЕЛАТ КАРЕЛЬСКИЙ ПМ в/к в/у 0,28кг  ОСТАНКИНО</t>
  </si>
  <si>
    <t>6689 СЕРВЕЛАТ ОХОТНИЧИЙ ПМ в/к в/у 0,35кг 8шт  ОСТАНКИНО</t>
  </si>
  <si>
    <t>6692 СЕРВЕЛАТ ПРИМА в/к в/у 0.28кг 8шт.  ОСТАНКИНО</t>
  </si>
  <si>
    <t>6697 СЕРВЕЛАТ ФИНСКИЙ ПМ в/к в/у 0,35кг 8шт  ОСТАНКИНО</t>
  </si>
  <si>
    <t>6701 СЕРВЕЛАТ ШВАРЦЕР ПМ в/к в/у 0.28кг 8шт.  ОСТАНКИНО</t>
  </si>
  <si>
    <t>6713 СОЧНЫЙ ГРИЛЬ ПМ сос п/о мгс 0,41кг 8 шт.  ОСТАНКИНО</t>
  </si>
  <si>
    <t>6716 ОСОБАЯ Коровино ( в сетке) 0,5кг 8шт  Останкино</t>
  </si>
  <si>
    <t>6722 СОЧНЫЕ ПМ сос п/о мгс 0,41кг 10шт  ОСТАНКИНО</t>
  </si>
  <si>
    <t>6724 МОЛОЧНЫЕ ПМ сос п/о мгс 0,41кг 10шт  Останкино</t>
  </si>
  <si>
    <t>6726 СЛИВОЧНЫЕ ПМ сос п/о мгс 0,41кг 10шт  Останкино</t>
  </si>
  <si>
    <t>6734 ОСОБАЯ СО ШПИКОМ Коровино(в сетке) 0,5кг  Останкино</t>
  </si>
  <si>
    <t>6751 СЛИВОЧНЫЕ СН сос п/о мгс 0,41 кг 10шт.  Останкино</t>
  </si>
  <si>
    <t>6755 ВЕТЧ.ЛЮБИТЕЛЬСКАЯ п/о 0,4кг 10шт.  Останкино</t>
  </si>
  <si>
    <t>6756 ВЕТЧ.ЛЮБИТЕЛЬСКАЯ п/о  Останкино</t>
  </si>
  <si>
    <t>6759 МОЛОЧНЫЕ ГОСТ сос ц/о мгс 0,4кг 7 шт  Останкино</t>
  </si>
  <si>
    <t>6761 МОЛОЧНЫЕ ГОСТ сос ц/о мгс 1*4  Останкино</t>
  </si>
  <si>
    <t>6762 СЛИВОЧНЫЕ сос ц/о мгс 0,41кг 8шт  Останкино</t>
  </si>
  <si>
    <t>6764 СЛИИВОЧНЫЕ сос ц/о мгс 1*4  Останкино</t>
  </si>
  <si>
    <t>6765 РУБЛЕНЫЕ сос ц/о мгс 0,36кг 6шт  Останкино</t>
  </si>
  <si>
    <t>6767 РУБЛЕНЫЕ сос ц/о мгс 1*4  Останкино</t>
  </si>
  <si>
    <t>6768 С СЫРОМ сос ц/о мгс 0,41кг 6шт  Останкино</t>
  </si>
  <si>
    <t>6769 СЕМЕЙНАЯ вар п/о  Останкино</t>
  </si>
  <si>
    <t>6770 ИСПАНСКИЕ сос ц/о мгс 0,41кг 6шт  Останкино</t>
  </si>
  <si>
    <t>6773 САЛЯМИ Папа может п/к в/у 0,28кг 8шт  Останкино</t>
  </si>
  <si>
    <t>6776 ХОТ-ДОГ Папа может сос п/о мгс 0,35кг  Останкино</t>
  </si>
  <si>
    <t>6777 МЯСНЫЕ С ГОВЯДИНОЙ ПМ сос п/о мгс 0,4кг  Останкино</t>
  </si>
  <si>
    <t>6778 МЯСНИКС Папа Может сос б/о мгс 1/160  Останкино</t>
  </si>
  <si>
    <t>6780 ЛАДОЖСКАЯ с/к в/у 0,5кг 8шт  Останкино</t>
  </si>
  <si>
    <t>6787 СЕРВЕЛАТ КРЕМЛЕВСКИЙ в/к в/у 0,33кг 8шт  Останкино</t>
  </si>
  <si>
    <t>6790 СЕРВЕЛАТ ЕВРОПЕЙСКИЙ в/к в/у  Останкино</t>
  </si>
  <si>
    <t>6791 СЕРВЕЛАТ ПРЕМИУМ в/к в/у 0,33кг 8шт  Останкино</t>
  </si>
  <si>
    <t>6792 СЕРВЕЛАТ ПРЕМИУМ в/к в/у  Останкино</t>
  </si>
  <si>
    <t>6793 БАЛЫКОВАЯ в/к в/у 0,33кг 8шт  Останкино</t>
  </si>
  <si>
    <t>6794 БАЛЫКОВАЯ в/к в/у  Останкино</t>
  </si>
  <si>
    <t>6795 ОСТАНКИНСКАЯ в/к в/у 0,33кг 8шт  Останкино</t>
  </si>
  <si>
    <t>6796 ОСТАНКИНСКАЯ в/к в/у  Останкино</t>
  </si>
  <si>
    <t>6798 ВРЕМЯ ОКРОШКИ Папа может вар п/о 0,75 кг  Останкино</t>
  </si>
  <si>
    <t>6801 ОСТАНКИНСКАЯ вар п/о 0,4кг 8 шт  Останкино</t>
  </si>
  <si>
    <t>6802 ОСТАНКИНСКАЯ вар п/о  Останкино</t>
  </si>
  <si>
    <t>6803 ВЕНСКАЯ САЛЯМИ п/к в/у 0,66кг 8шт  Останкино</t>
  </si>
  <si>
    <t>6804 СЕРВЕЛАТ КРЕМЛЕВСКИЙ в/к в/у 0,66кг 8шт  Останкино</t>
  </si>
  <si>
    <t>6806 СЕРВЕЛАТ ЕВРОПЕЙСКИЙ в/к в/у 0,66кг 8шт  Останкино</t>
  </si>
  <si>
    <t>6807 СЕРВЕЛАТ ЕВРОПЕЙСКИЙ в/к в/у 0,33кг 8шт  Останкино</t>
  </si>
  <si>
    <t>6822 ИЗ ОТБОРНОГО МЯСА ПМ сос п/о мгс 0,36кг  Останкино</t>
  </si>
  <si>
    <t>6826 МЯСНОЙ пашт п/о 1/150 12шт  Останкино</t>
  </si>
  <si>
    <t>6827 НЕЖНЫЙ пашт п/о 1/150 12шт  Останкино</t>
  </si>
  <si>
    <t>6828 ПЕЧЕНОЧНЫЙ пашт п/о 1/150 12шт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</si>
  <si>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</si>
  <si>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</si>
  <si>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</si>
  <si>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</si>
  <si>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6853 МОЛОЧНЫЕ ПРЕМИУМ ПМ сос п/о мгс 1*6  Останкино</t>
  </si>
  <si>
    <t>6854 МОЛОЧНЫЕ ПРЕМИУМ ПМ сос п/о мгс 0,6кг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</si>
  <si>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</si>
  <si>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</si>
  <si>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6865 ВЕТЧ.НЕЖНАЯ Коровино п/о  Останкино</t>
  </si>
  <si>
    <t>6866 ВЕТЧ.НЕЖНАЯ Коровино п/о_Маяк  Останкино</t>
  </si>
  <si>
    <t>6868 МОЛОЧНЫЕ ПРЕМИУМ ПМ сос п/о мгс 2*4  Останкино</t>
  </si>
  <si>
    <t>6872 ШАШЛЫК ИЗ СВИНИНЫ зам.  Останкино</t>
  </si>
  <si>
    <t>6877 В ОБВЯЗКЕ вар п/о  Останкино</t>
  </si>
  <si>
    <t>6878 В ОБВЯЗКЕ СО ШПИКОМ вар п/о</t>
  </si>
  <si>
    <t>6888 С ГРУДИНОЙ вар п/о в/у срез 0,4 кг 8 шт  Останкино</t>
  </si>
  <si>
    <t>6903 СОЧНЫЕ ПМ сос п/о мгс 0,41кг_osu  Останкино</t>
  </si>
  <si>
    <t>6909 ДЛЯ ДЕТЕЙ сос п/о мгс 0,33кг 8шт  Останкино</t>
  </si>
  <si>
    <t>6931 ИЗ ОТБОРНОГО МЯСА ПМ сос п/о мгс 1/360  Останкино</t>
  </si>
  <si>
    <t>6948 МОЛОЧНЫЕ ПРЕМИУМ ПМ сос п/о мгс 1,5*4_О  Останкино</t>
  </si>
  <si>
    <t>6951 СЛИВОЧНЫЕ Папа может сос п/о мгс 1,5*4  Останкино</t>
  </si>
  <si>
    <t>6955 СОЧНЫЕ Папа может сос п/о мгс 1,5*4 А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</si>
  <si>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</si>
  <si>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</si>
  <si>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</si>
  <si>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</si>
  <si>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</si>
  <si>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</si>
  <si>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</si>
  <si>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</si>
  <si>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</si>
  <si>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</si>
  <si>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</si>
  <si>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</si>
  <si>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7125 МОЛОЧНАЯ Останкино вар п/о  Останкино</t>
  </si>
  <si>
    <t>7126 МОЛОЧНАЯ Останкино вар п/о 0,4кг 8шт  Останкино</t>
  </si>
  <si>
    <t>7131 БАЛЫКОВАЯ в/к в/у 0,84кг  Останкино</t>
  </si>
  <si>
    <t>7133 СЕРВЕЛАТ ЕВРОПЕЙСКИЙ в/к в/у 0,84кг  Останкино</t>
  </si>
  <si>
    <t>7134 САЛЯМИ ВЕНСКАЯ п/к в/у 0,84кг 6шт  Останкино</t>
  </si>
  <si>
    <t>7135 СЕРВЕЛАТ КРЕМЛЕВСКИЙ в/к в/у 0.84кг 6шт.</t>
  </si>
  <si>
    <t>7144 МРАМОРНАЯ ПРЕМИУМ в/к в/у 0,33кг 8 шт  Останкино</t>
  </si>
  <si>
    <t>7146 МРАМОРНАЯ ПРЕМИУМ в/к в/у  Останкино</t>
  </si>
  <si>
    <t>7147 САЛЬЧИЧОН Останкино с/к в/у 1/220 8 шт  Останкино</t>
  </si>
  <si>
    <t>7149 БАЛЫКОВАЯ Коровино п/к в/у 0,84кг_50с  Останкино</t>
  </si>
  <si>
    <t>7150 САЛЬЧИЧОН папа может с/к в/у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</si>
  <si>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</si>
  <si>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</si>
  <si>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</si>
  <si>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</si>
  <si>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7173 БОЯNСКАЯ ПМ п/к в/у 0,28кг 8шт_50с  Останкино</t>
  </si>
  <si>
    <t>7187 ГРУДИНКА ПРЕМИУМ к/в мл/к в/у 0,3кг_50с  Останкино</t>
  </si>
  <si>
    <t>7225 ТОСКАНО ПРЕМИУМ Останкино с/к в/у 1/180  Останкино</t>
  </si>
  <si>
    <t>7226 ЧОРИЗО ПРЕМИУМ Останкино с/к в/у 1/180  Останкино</t>
  </si>
  <si>
    <t>7227 САЛЯМИ ФИНСКАЯ Папа может с/к в/у 1/180  Останкино</t>
  </si>
  <si>
    <t>7228 МИЛАНО ПРЕМИУМ Останкино с/к в/у 1/180</t>
  </si>
  <si>
    <t>7229 САЛЬЧИЧОН Останкино с/к в/у 1/180 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</si>
  <si>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</si>
  <si>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</si>
  <si>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</si>
  <si>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</si>
  <si>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</si>
  <si>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</si>
  <si>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7257 ФИЛЕЙНЫЕ ПМ сос ц/о мгс 0,33кг 8шт  Останкино</t>
  </si>
  <si>
    <t>7276 СЛИВОЧНЫЕ ПМ сос п/о мгс 0,3кг 7шт  Останкино</t>
  </si>
  <si>
    <t>7284 ДЛЯ ДЕТЕЙ сос п/о мгс 0,33кг 6шт  Останкино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</si>
  <si>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</si>
  <si>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</si>
  <si>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</si>
  <si>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</si>
  <si>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7382  САЛЯМИ МЕЛКОЗЕРНЕНАЯ с/к в/у1/120 8шт.  ОСТАНКИНО</t>
  </si>
  <si>
    <t>6919 БЕКОН Останкино с/к с/н в/у 1/180 10шт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</si>
</sst>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3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Arial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8">
    <xf numFmtId="0" fontId="0" fillId="0" borderId="0" xfId="0"/>
    <xf numFmtId="164" fontId="0" fillId="0" borderId="1" xfId="0" applyNumberFormat="1" applyBorder="1"/>
    <xf numFmtId="164" fontId="2" fillId="4" borderId="1" xfId="1" applyNumberFormat="1" applyFill="1" applyBorder="1"/>
    <xf numFmtId="164" fontId="2" fillId="4" borderId="4" xfId="1" applyNumberFormat="1" applyFill="1" applyBorder="1"/>
    <xf numFmtId="164" fontId="1" fillId="2" borderId="1" xfId="1" applyNumberFormat="1" applyFont="1" applyFill="1" applyBorder="1"/>
    <xf numFmtId="164" fontId="0" fillId="0" borderId="7" xfId="0" applyNumberFormat="1" applyBorder="1"/>
    <xf numFmtId="164" fontId="0" fillId="0" borderId="8" xfId="0" applyNumberFormat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5" borderId="7" xfId="0" applyNumberFormat="1" applyFill="1" applyBorder="1"/>
    <xf numFmtId="164" fontId="0" fillId="7" borderId="2" xfId="0" applyNumberFormat="1" applyFill="1" applyBorder="1"/>
    <xf numFmtId="164" fontId="1" fillId="4" borderId="1" xfId="1" applyNumberFormat="1" applyFont="1" applyFill="1" applyBorder="1"/>
    <xf numFmtId="164" fontId="1" fillId="4" borderId="4" xfId="1" applyNumberFormat="1" applyFont="1" applyFill="1" applyBorder="1"/>
    <xf numFmtId="164" fontId="0" fillId="7" borderId="0" xfId="0" applyNumberFormat="1" applyFill="1"/>
    <xf numFmtId="164" fontId="0" fillId="0" borderId="6" xfId="0" applyNumberFormat="1" applyBorder="1"/>
    <xf numFmtId="164" fontId="0" fillId="7" borderId="7" xfId="0" applyNumberFormat="1" applyFill="1" applyBorder="1"/>
    <xf numFmtId="1" fontId="1" fillId="2" borderId="1" xfId="1" applyNumberFormat="1" applyFont="1" applyFill="1" applyBorder="1"/>
    <xf numFmtId="1" fontId="0" fillId="6" borderId="0" xfId="0" applyNumberFormat="1" applyFill="1"/>
    <xf numFmtId="164" fontId="0" fillId="8" borderId="5" xfId="0" applyNumberFormat="1" applyFill="1" applyBorder="1"/>
    <xf numFmtId="1" fontId="0" fillId="0" borderId="7" xfId="0" applyNumberFormat="1" applyBorder="1"/>
    <xf numFmtId="1" fontId="0" fillId="0" borderId="8" xfId="0" applyNumberFormat="1" applyBorder="1"/>
    <xf numFmtId="1" fontId="0" fillId="0" borderId="6" xfId="0" applyNumberFormat="1" applyBorder="1"/>
    <xf numFmtId="1" fontId="0" fillId="7" borderId="7" xfId="0" applyNumberFormat="1" applyFill="1" applyBorder="1"/>
    <xf numFmtId="1" fontId="0" fillId="6" borderId="5" xfId="0" applyNumberFormat="1" applyFill="1" applyBorder="1"/>
    <xf numFmtId="1" fontId="0" fillId="0" borderId="2" xfId="0" applyNumberFormat="1" applyBorder="1"/>
    <xf numFmtId="1" fontId="0" fillId="10" borderId="5" xfId="0" applyNumberFormat="1" applyFill="1" applyBorder="1"/>
    <xf numFmtId="1" fontId="0" fillId="10" borderId="0" xfId="0" applyNumberFormat="1" applyFill="1"/>
    <xf numFmtId="1" fontId="0" fillId="11" borderId="0" xfId="0" applyNumberFormat="1" applyFill="1"/>
    <xf numFmtId="1" fontId="0" fillId="12" borderId="0" xfId="0" applyNumberFormat="1" applyFill="1"/>
    <xf numFmtId="164" fontId="0" fillId="10" borderId="0" xfId="0" applyNumberFormat="1" applyFill="1"/>
    <xf numFmtId="164" fontId="0" fillId="0" borderId="2" xfId="0" applyNumberFormat="1" applyBorder="1"/>
    <xf numFmtId="1" fontId="0" fillId="7" borderId="5" xfId="0" applyNumberFormat="1" applyFill="1" applyBorder="1"/>
    <xf numFmtId="1" fontId="0" fillId="9" borderId="0" xfId="0" applyNumberFormat="1" applyFill="1"/>
    <xf numFmtId="1" fontId="0" fillId="7" borderId="0" xfId="0" applyNumberFormat="1" applyFill="1"/>
    <xf numFmtId="0" fontId="0" fillId="0" borderId="6" xfId="0" applyBorder="1"/>
    <xf numFmtId="0" fontId="0" fillId="0" borderId="7" xfId="0" applyBorder="1"/>
    <xf numFmtId="2" fontId="0" fillId="0" borderId="0" xfId="0" applyNumberFormat="1"/>
    <xf numFmtId="164" fontId="0" fillId="9" borderId="0" xfId="0" applyNumberFormat="1" applyFill="1"/>
    <xf numFmtId="0" fontId="0" fillId="7" borderId="0" xfId="0" applyFill="1"/>
    <xf numFmtId="0" fontId="0" fillId="12" borderId="0" xfId="0" applyFill="1"/>
    <xf numFmtId="0" fontId="0" fillId="0" borderId="5" xfId="0" applyBorder="1"/>
    <xf numFmtId="165" fontId="0" fillId="0" borderId="0" xfId="0" applyNumberFormat="1"/>
    <xf numFmtId="164" fontId="0" fillId="0" borderId="5" xfId="0" applyNumberFormat="1" applyBorder="1"/>
    <xf numFmtId="164" fontId="0" fillId="0" borderId="3" xfId="0" applyNumberFormat="1" applyBorder="1"/>
    <xf numFmtId="1" fontId="0" fillId="0" borderId="0" xfId="0" applyNumberFormat="1"/>
    <xf numFmtId="1" fontId="0" fillId="0" borderId="3" xfId="0" applyNumberFormat="1" applyBorder="1"/>
    <xf numFmtId="1" fontId="0" fillId="0" borderId="5" xfId="0" applyNumberFormat="1" applyBorder="1"/>
    <xf numFmtId="164" fontId="0" fillId="0" borderId="0" xfId="0" applyNumberFormat="1"/>
    <xf numFmtId="0" fontId="0" fillId="9" borderId="0" xfId="0" applyFill="1"/>
    <xf numFmtId="164" fontId="1" fillId="3" borderId="0" xfId="1" applyNumberFormat="1" applyFont="1" applyFill="1"/>
    <xf numFmtId="164" fontId="0" fillId="5" borderId="0" xfId="0" applyNumberFormat="1" applyFill="1"/>
    <xf numFmtId="164" fontId="0" fillId="0" borderId="0" xfId="0" applyNumberFormat="1" applyBorder="1"/>
    <xf numFmtId="0" fontId="0" fillId="0" borderId="0" xfId="0" applyBorder="1"/>
    <xf numFmtId="164" fontId="1" fillId="3" borderId="5" xfId="1" applyNumberFormat="1" applyFont="1" applyFill="1" applyBorder="1"/>
    <xf numFmtId="164" fontId="1" fillId="3" borderId="0" xfId="1" applyNumberFormat="1" applyFont="1" applyFill="1" applyBorder="1"/>
    <xf numFmtId="164" fontId="1" fillId="3" borderId="3" xfId="1" applyNumberFormat="1" applyFont="1" applyFill="1" applyBorder="1"/>
    <xf numFmtId="1" fontId="0" fillId="0" borderId="0" xfId="0" applyNumberFormat="1" applyBorder="1"/>
    <xf numFmtId="164" fontId="0" fillId="5" borderId="0" xfId="0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U208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5" x14ac:dyDescent="0.25"/>
  <cols>
    <col min="1" max="1" width="62.5703125" style="47" bestFit="1" customWidth="1"/>
    <col min="2" max="2" width="6.85546875" style="41" customWidth="1"/>
    <col min="3" max="3" width="10.7109375" style="47" customWidth="1"/>
    <col min="4" max="4" width="10.7109375" style="44" customWidth="1"/>
    <col min="5" max="8" width="10.7109375" style="47" customWidth="1"/>
    <col min="9" max="9" width="10.7109375" style="44" customWidth="1"/>
    <col min="10" max="15" width="10.7109375" style="47" customWidth="1"/>
    <col min="16" max="16" width="10.7109375" style="44" customWidth="1"/>
    <col min="17" max="83" width="10.7109375" style="47" customWidth="1"/>
    <col min="84" max="84" width="10.7109375" style="44" customWidth="1"/>
    <col min="85" max="92" width="10.7109375" style="47" customWidth="1"/>
    <col min="93" max="93" width="10.7109375" style="44" customWidth="1"/>
    <col min="94" max="102" width="10.7109375" style="47" customWidth="1"/>
    <col min="103" max="103" width="10.7109375" style="44" customWidth="1"/>
    <col min="104" max="104" width="10.7109375" style="47" customWidth="1"/>
    <col min="105" max="105" width="10.7109375" style="44" customWidth="1"/>
    <col min="106" max="108" width="10.7109375" style="47" customWidth="1"/>
    <col min="109" max="109" width="10.7109375" style="44" customWidth="1"/>
    <col min="110" max="111" width="10.7109375" style="47" customWidth="1"/>
    <col min="112" max="113" width="10.7109375" style="44" customWidth="1"/>
    <col min="114" max="114" width="10.7109375" style="47" customWidth="1"/>
    <col min="115" max="115" width="10.7109375" style="44" customWidth="1"/>
    <col min="116" max="117" width="10.7109375" style="47" customWidth="1"/>
    <col min="118" max="120" width="10.7109375" style="44" customWidth="1"/>
    <col min="121" max="121" width="10.7109375" style="47" customWidth="1"/>
    <col min="122" max="125" width="10.7109375" style="44" customWidth="1"/>
    <col min="126" max="126" width="10.7109375" style="47" customWidth="1"/>
    <col min="127" max="128" width="10.7109375" style="44" customWidth="1"/>
    <col min="129" max="129" width="10.7109375" style="47" customWidth="1"/>
    <col min="130" max="130" width="10.7109375" style="44" customWidth="1"/>
    <col min="131" max="131" width="10.7109375" style="47" customWidth="1"/>
    <col min="132" max="137" width="10.7109375" style="44" customWidth="1"/>
    <col min="138" max="138" width="10.7109375" style="47" customWidth="1"/>
    <col min="139" max="143" width="10.7109375" style="44" customWidth="1"/>
    <col min="144" max="144" width="10.7109375" style="47" customWidth="1"/>
    <col min="145" max="147" width="10.7109375" style="44" customWidth="1"/>
    <col min="148" max="148" width="10.7109375" style="47" customWidth="1"/>
    <col min="149" max="153" width="10.7109375" style="44" customWidth="1"/>
    <col min="154" max="154" width="10.7109375" style="47" customWidth="1"/>
    <col min="155" max="157" width="10.7109375" style="44" customWidth="1"/>
    <col min="158" max="158" width="10.7109375" style="47" customWidth="1"/>
    <col min="159" max="163" width="10.7109375" style="44" customWidth="1"/>
    <col min="164" max="164" width="10.7109375" style="47" customWidth="1"/>
    <col min="165" max="166" width="10.7109375" style="44" customWidth="1"/>
    <col min="167" max="167" width="10.7109375" style="47" customWidth="1"/>
    <col min="168" max="169" width="10.7109375" style="44" customWidth="1"/>
    <col min="170" max="170" width="10.7109375" style="47" customWidth="1"/>
    <col min="171" max="175" width="10.7109375" style="44" customWidth="1"/>
    <col min="176" max="176" width="10.7109375" style="47" customWidth="1"/>
    <col min="177" max="181" width="10.7109375" style="44" customWidth="1"/>
    <col min="182" max="182" width="10.7109375" style="47" customWidth="1"/>
    <col min="183" max="187" width="10.7109375" style="44" customWidth="1"/>
    <col min="188" max="188" width="10.7109375" style="47" customWidth="1"/>
    <col min="189" max="193" width="10.7109375" style="44" customWidth="1"/>
    <col min="194" max="194" width="10.7109375" style="47" customWidth="1"/>
    <col min="195" max="199" width="10.7109375" style="44" customWidth="1"/>
    <col min="200" max="200" width="10.7109375" style="47" customWidth="1"/>
    <col min="201" max="203" width="10.7109375" style="44" customWidth="1"/>
    <col min="204" max="204" width="10.7109375" style="47" customWidth="1"/>
    <col min="205" max="207" width="10.7109375" style="44" customWidth="1"/>
    <col min="208" max="208" width="10.7109375" style="47" customWidth="1"/>
    <col min="209" max="213" width="10.7109375" style="44" customWidth="1"/>
    <col min="214" max="214" width="10.7109375" style="47" customWidth="1"/>
    <col min="215" max="217" width="10.7109375" style="44" customWidth="1"/>
    <col min="218" max="218" width="10.7109375" style="47" customWidth="1"/>
    <col min="219" max="223" width="10.7109375" style="44" customWidth="1"/>
    <col min="224" max="224" width="10.7109375" style="47" customWidth="1"/>
    <col min="225" max="227" width="10.7109375" style="44" customWidth="1"/>
    <col min="228" max="228" width="10.7109375" style="47" customWidth="1"/>
    <col min="229" max="233" width="10.7109375" style="44" customWidth="1"/>
    <col min="234" max="234" width="10.7109375" style="47" customWidth="1"/>
    <col min="235" max="235" width="10.7109375" style="44" customWidth="1"/>
    <col min="236" max="236" width="10.7109375" style="47" customWidth="1"/>
    <col min="237" max="239" width="10.7109375" style="44" customWidth="1"/>
    <col min="240" max="240" width="10.7109375" style="47" customWidth="1"/>
    <col min="241" max="241" width="10.7109375" style="44" customWidth="1"/>
    <col min="242" max="282" width="10.7109375" style="47" customWidth="1"/>
    <col min="283" max="405" width="9.140625" style="47" customWidth="1"/>
    <col min="406" max="16384" width="9.140625" style="47"/>
  </cols>
  <sheetData>
    <row r="1" spans="1:515" x14ac:dyDescent="0.25">
      <c r="A1" s="47" t="s">
        <v>0</v>
      </c>
      <c r="B1" s="41" t="s">
        <v>1</v>
      </c>
      <c r="C1" s="1" t="s">
        <v>8</v>
      </c>
      <c r="D1" s="1" t="s">
        <v>9</v>
      </c>
      <c r="E1" s="16" t="s">
        <v>6</v>
      </c>
      <c r="F1" s="11" t="s">
        <v>2</v>
      </c>
      <c r="G1" s="16" t="s">
        <v>7</v>
      </c>
      <c r="H1" s="1" t="s">
        <v>8</v>
      </c>
      <c r="I1" s="1" t="s">
        <v>9</v>
      </c>
      <c r="J1" s="12" t="s">
        <v>3</v>
      </c>
      <c r="K1" s="16" t="s">
        <v>10</v>
      </c>
      <c r="L1" s="11" t="s">
        <v>4</v>
      </c>
      <c r="M1" s="16" t="s">
        <v>11</v>
      </c>
      <c r="N1" s="1" t="s">
        <v>8</v>
      </c>
      <c r="O1" s="30" t="s">
        <v>9</v>
      </c>
      <c r="P1" s="12" t="s">
        <v>5</v>
      </c>
      <c r="Q1" s="16" t="s">
        <v>12</v>
      </c>
      <c r="R1" s="11" t="s">
        <v>13</v>
      </c>
      <c r="S1" s="16" t="s">
        <v>14</v>
      </c>
      <c r="T1" s="1" t="s">
        <v>8</v>
      </c>
      <c r="U1" s="30" t="s">
        <v>9</v>
      </c>
      <c r="V1" s="12" t="s">
        <v>15</v>
      </c>
      <c r="W1" s="16" t="s">
        <v>16</v>
      </c>
      <c r="X1" s="11" t="s">
        <v>17</v>
      </c>
      <c r="Y1" s="16" t="s">
        <v>18</v>
      </c>
      <c r="Z1" s="1" t="s">
        <v>8</v>
      </c>
      <c r="AA1" s="30" t="s">
        <v>9</v>
      </c>
      <c r="AB1" s="12" t="s">
        <v>19</v>
      </c>
      <c r="AC1" s="16" t="s">
        <v>20</v>
      </c>
      <c r="AD1" s="11" t="s">
        <v>21</v>
      </c>
      <c r="AE1" s="16" t="s">
        <v>22</v>
      </c>
      <c r="AF1" s="1" t="s">
        <v>8</v>
      </c>
      <c r="AG1" s="30" t="s">
        <v>9</v>
      </c>
      <c r="AH1" s="11" t="s">
        <v>23</v>
      </c>
      <c r="AI1" s="16" t="s">
        <v>24</v>
      </c>
      <c r="AJ1" s="11" t="s">
        <v>25</v>
      </c>
      <c r="AK1" s="16" t="s">
        <v>26</v>
      </c>
      <c r="AL1" s="1" t="s">
        <v>8</v>
      </c>
      <c r="AM1" s="30" t="s">
        <v>9</v>
      </c>
      <c r="AN1" s="12" t="s">
        <v>27</v>
      </c>
      <c r="AO1" s="16" t="s">
        <v>28</v>
      </c>
      <c r="AP1" s="11" t="s">
        <v>29</v>
      </c>
      <c r="AQ1" s="16" t="s">
        <v>30</v>
      </c>
      <c r="AR1" s="1" t="s">
        <v>8</v>
      </c>
      <c r="AS1" s="30" t="s">
        <v>9</v>
      </c>
      <c r="AT1" s="11" t="s">
        <v>31</v>
      </c>
      <c r="AU1" s="16" t="s">
        <v>32</v>
      </c>
      <c r="AV1" s="11" t="s">
        <v>33</v>
      </c>
      <c r="AW1" s="16" t="s">
        <v>34</v>
      </c>
      <c r="AX1" s="1" t="s">
        <v>8</v>
      </c>
      <c r="AY1" s="30" t="s">
        <v>9</v>
      </c>
      <c r="AZ1" s="11" t="s">
        <v>35</v>
      </c>
      <c r="BA1" s="16" t="s">
        <v>36</v>
      </c>
      <c r="BB1" s="11" t="s">
        <v>37</v>
      </c>
      <c r="BC1" s="16" t="s">
        <v>38</v>
      </c>
      <c r="BD1" s="1" t="s">
        <v>8</v>
      </c>
      <c r="BE1" s="30" t="s">
        <v>9</v>
      </c>
      <c r="BF1" s="12" t="s">
        <v>39</v>
      </c>
      <c r="BG1" s="16" t="s">
        <v>40</v>
      </c>
      <c r="BH1" s="11" t="s">
        <v>41</v>
      </c>
      <c r="BI1" s="16" t="s">
        <v>42</v>
      </c>
      <c r="BJ1" s="1" t="s">
        <v>8</v>
      </c>
      <c r="BK1" s="30" t="s">
        <v>9</v>
      </c>
      <c r="BL1" s="12" t="s">
        <v>43</v>
      </c>
      <c r="BM1" s="16" t="s">
        <v>44</v>
      </c>
      <c r="BN1" s="11" t="s">
        <v>45</v>
      </c>
      <c r="BO1" s="16" t="s">
        <v>46</v>
      </c>
      <c r="BP1" s="1" t="s">
        <v>8</v>
      </c>
      <c r="BQ1" s="30" t="s">
        <v>9</v>
      </c>
      <c r="BR1" s="11" t="s">
        <v>47</v>
      </c>
      <c r="BS1" s="16" t="s">
        <v>48</v>
      </c>
      <c r="BT1" s="11" t="s">
        <v>49</v>
      </c>
      <c r="BU1" s="16" t="s">
        <v>50</v>
      </c>
      <c r="BV1" s="1" t="s">
        <v>8</v>
      </c>
      <c r="BW1" s="30" t="s">
        <v>9</v>
      </c>
      <c r="BX1" s="12" t="s">
        <v>51</v>
      </c>
      <c r="BY1" s="16" t="s">
        <v>52</v>
      </c>
      <c r="BZ1" s="11" t="s">
        <v>53</v>
      </c>
      <c r="CA1" s="16" t="s">
        <v>54</v>
      </c>
      <c r="CB1" s="1" t="s">
        <v>8</v>
      </c>
      <c r="CC1" s="30" t="s">
        <v>9</v>
      </c>
      <c r="CD1" s="11" t="s">
        <v>55</v>
      </c>
      <c r="CE1" s="16" t="s">
        <v>56</v>
      </c>
      <c r="CF1" s="11" t="s">
        <v>57</v>
      </c>
      <c r="CG1" s="16" t="s">
        <v>58</v>
      </c>
      <c r="CH1" s="1" t="s">
        <v>8</v>
      </c>
      <c r="CI1" s="30" t="s">
        <v>9</v>
      </c>
      <c r="CJ1" s="11" t="s">
        <v>59</v>
      </c>
      <c r="CK1" s="16" t="s">
        <v>60</v>
      </c>
      <c r="CL1" s="11" t="s">
        <v>61</v>
      </c>
      <c r="CM1" s="16" t="s">
        <v>62</v>
      </c>
      <c r="CN1" s="1" t="s">
        <v>8</v>
      </c>
      <c r="CO1" s="30" t="s">
        <v>9</v>
      </c>
      <c r="CP1" s="12" t="s">
        <v>63</v>
      </c>
      <c r="CQ1" s="16" t="s">
        <v>64</v>
      </c>
      <c r="CR1" s="11" t="s">
        <v>65</v>
      </c>
      <c r="CS1" s="16" t="s">
        <v>66</v>
      </c>
      <c r="CT1" s="1" t="s">
        <v>8</v>
      </c>
      <c r="CU1" s="30" t="s">
        <v>9</v>
      </c>
      <c r="CV1" s="12" t="s">
        <v>67</v>
      </c>
      <c r="CW1" s="16" t="s">
        <v>68</v>
      </c>
      <c r="CX1" s="11" t="s">
        <v>67</v>
      </c>
      <c r="CY1" s="16" t="s">
        <v>69</v>
      </c>
      <c r="CZ1" s="1" t="s">
        <v>8</v>
      </c>
      <c r="DA1" s="30" t="s">
        <v>9</v>
      </c>
      <c r="DB1" s="11" t="s">
        <v>70</v>
      </c>
      <c r="DC1" s="16" t="s">
        <v>71</v>
      </c>
      <c r="DD1" s="11" t="s">
        <v>72</v>
      </c>
      <c r="DE1" s="11" t="s">
        <v>73</v>
      </c>
      <c r="DF1" s="16" t="s">
        <v>74</v>
      </c>
      <c r="DG1" s="1" t="s">
        <v>8</v>
      </c>
      <c r="DH1" s="30" t="s">
        <v>9</v>
      </c>
      <c r="DI1" s="11" t="s">
        <v>75</v>
      </c>
      <c r="DJ1" s="16" t="s">
        <v>76</v>
      </c>
      <c r="DK1" s="1" t="s">
        <v>8</v>
      </c>
      <c r="DL1" s="30" t="s">
        <v>9</v>
      </c>
      <c r="DM1" s="12" t="s">
        <v>77</v>
      </c>
      <c r="DN1" s="16" t="s">
        <v>78</v>
      </c>
      <c r="DO1" s="11" t="s">
        <v>79</v>
      </c>
      <c r="DP1" s="16" t="s">
        <v>80</v>
      </c>
      <c r="DQ1" s="1" t="s">
        <v>8</v>
      </c>
      <c r="DR1" s="30" t="s">
        <v>9</v>
      </c>
      <c r="DS1" s="11" t="s">
        <v>81</v>
      </c>
      <c r="DT1" s="16" t="s">
        <v>82</v>
      </c>
      <c r="DU1" s="11" t="s">
        <v>83</v>
      </c>
      <c r="DV1" s="16" t="s">
        <v>84</v>
      </c>
      <c r="DW1" s="1" t="s">
        <v>8</v>
      </c>
      <c r="DX1" s="30" t="s">
        <v>9</v>
      </c>
      <c r="DY1" s="11" t="s">
        <v>85</v>
      </c>
      <c r="DZ1" s="16" t="s">
        <v>86</v>
      </c>
      <c r="EA1" s="11" t="s">
        <v>87</v>
      </c>
      <c r="EB1" s="16" t="s">
        <v>88</v>
      </c>
      <c r="EC1" s="1" t="s">
        <v>8</v>
      </c>
      <c r="ED1" s="30" t="s">
        <v>9</v>
      </c>
      <c r="EE1" s="12" t="s">
        <v>89</v>
      </c>
      <c r="EF1" s="16" t="s">
        <v>90</v>
      </c>
      <c r="EG1" s="11" t="s">
        <v>91</v>
      </c>
      <c r="EH1" s="16" t="s">
        <v>92</v>
      </c>
      <c r="EI1" s="1" t="s">
        <v>8</v>
      </c>
      <c r="EJ1" s="30" t="s">
        <v>9</v>
      </c>
      <c r="EK1" s="11" t="s">
        <v>93</v>
      </c>
      <c r="EL1" s="16" t="s">
        <v>94</v>
      </c>
      <c r="EM1" s="11" t="s">
        <v>95</v>
      </c>
      <c r="EN1" s="16" t="s">
        <v>96</v>
      </c>
      <c r="EO1" s="1" t="s">
        <v>8</v>
      </c>
      <c r="EP1" s="30" t="s">
        <v>9</v>
      </c>
      <c r="EQ1" s="12" t="s">
        <v>97</v>
      </c>
      <c r="ER1" s="16" t="s">
        <v>98</v>
      </c>
      <c r="ES1" s="11" t="s">
        <v>99</v>
      </c>
      <c r="ET1" s="16" t="s">
        <v>100</v>
      </c>
      <c r="EU1" s="1" t="s">
        <v>8</v>
      </c>
      <c r="EV1" s="30" t="s">
        <v>9</v>
      </c>
      <c r="EW1" s="12" t="s">
        <v>101</v>
      </c>
      <c r="EX1" s="16" t="s">
        <v>102</v>
      </c>
      <c r="EY1" s="11" t="s">
        <v>103</v>
      </c>
      <c r="EZ1" s="16" t="s">
        <v>104</v>
      </c>
      <c r="FA1" s="11" t="s">
        <v>105</v>
      </c>
      <c r="FB1" s="16" t="s">
        <v>106</v>
      </c>
      <c r="FC1" s="1" t="s">
        <v>8</v>
      </c>
      <c r="FD1" s="30" t="s">
        <v>9</v>
      </c>
      <c r="FE1" s="12" t="s">
        <v>107</v>
      </c>
      <c r="FF1" s="16" t="s">
        <v>108</v>
      </c>
      <c r="FG1" s="11" t="s">
        <v>109</v>
      </c>
      <c r="FH1" s="16" t="s">
        <v>110</v>
      </c>
      <c r="FI1" s="1" t="s">
        <v>8</v>
      </c>
      <c r="FJ1" s="30" t="s">
        <v>9</v>
      </c>
      <c r="FK1" s="11" t="s">
        <v>111</v>
      </c>
      <c r="FL1" s="16" t="s">
        <v>112</v>
      </c>
      <c r="FM1" s="11" t="s">
        <v>113</v>
      </c>
      <c r="FN1" s="16" t="s">
        <v>114</v>
      </c>
      <c r="FO1" s="11" t="s">
        <v>115</v>
      </c>
      <c r="FP1" s="16" t="s">
        <v>116</v>
      </c>
      <c r="FQ1" s="1" t="s">
        <v>8</v>
      </c>
      <c r="FR1" s="30" t="s">
        <v>9</v>
      </c>
      <c r="FS1" s="12" t="s">
        <v>117</v>
      </c>
      <c r="FT1" s="16" t="s">
        <v>118</v>
      </c>
      <c r="FU1" s="11" t="s">
        <v>119</v>
      </c>
      <c r="FV1" s="16" t="s">
        <v>120</v>
      </c>
      <c r="FW1" s="1" t="s">
        <v>8</v>
      </c>
      <c r="FX1" s="30" t="s">
        <v>9</v>
      </c>
      <c r="FY1" s="12" t="s">
        <v>121</v>
      </c>
      <c r="FZ1" s="16" t="s">
        <v>122</v>
      </c>
      <c r="GA1" s="11" t="s">
        <v>123</v>
      </c>
      <c r="GB1" s="16" t="s">
        <v>124</v>
      </c>
      <c r="GC1" s="1" t="s">
        <v>8</v>
      </c>
      <c r="GD1" s="30" t="s">
        <v>9</v>
      </c>
      <c r="GE1" s="12" t="s">
        <v>125</v>
      </c>
      <c r="GF1" s="16" t="s">
        <v>126</v>
      </c>
      <c r="GG1" s="11" t="s">
        <v>127</v>
      </c>
      <c r="GH1" s="16" t="s">
        <v>128</v>
      </c>
      <c r="GI1" s="1" t="s">
        <v>8</v>
      </c>
      <c r="GJ1" s="30" t="s">
        <v>9</v>
      </c>
      <c r="GK1" s="11" t="s">
        <v>129</v>
      </c>
      <c r="GL1" s="16" t="s">
        <v>130</v>
      </c>
      <c r="GM1" s="11" t="s">
        <v>131</v>
      </c>
      <c r="GN1" s="16" t="s">
        <v>132</v>
      </c>
      <c r="GO1" s="11" t="s">
        <v>133</v>
      </c>
      <c r="GP1" s="16" t="s">
        <v>134</v>
      </c>
      <c r="GQ1" s="1" t="s">
        <v>8</v>
      </c>
      <c r="GR1" s="30" t="s">
        <v>9</v>
      </c>
      <c r="GS1" s="11" t="s">
        <v>135</v>
      </c>
      <c r="GT1" s="16" t="s">
        <v>136</v>
      </c>
      <c r="GU1" s="11" t="s">
        <v>137</v>
      </c>
      <c r="GV1" s="11" t="s">
        <v>138</v>
      </c>
      <c r="GW1" s="16" t="s">
        <v>139</v>
      </c>
      <c r="GX1" s="1" t="s">
        <v>8</v>
      </c>
      <c r="GY1" s="30" t="s">
        <v>9</v>
      </c>
      <c r="GZ1" s="12" t="s">
        <v>140</v>
      </c>
      <c r="HA1" s="11" t="s">
        <v>141</v>
      </c>
      <c r="HB1" s="16" t="s">
        <v>142</v>
      </c>
      <c r="HC1" s="1" t="s">
        <v>8</v>
      </c>
      <c r="HD1" s="30" t="s">
        <v>9</v>
      </c>
      <c r="HE1" s="12" t="s">
        <v>143</v>
      </c>
      <c r="HF1" s="11" t="s">
        <v>144</v>
      </c>
      <c r="HG1" s="16" t="s">
        <v>145</v>
      </c>
      <c r="HH1" s="1" t="s">
        <v>8</v>
      </c>
      <c r="HI1" s="30" t="s">
        <v>9</v>
      </c>
      <c r="HJ1" s="11" t="s">
        <v>146</v>
      </c>
      <c r="HK1" s="16" t="s">
        <v>147</v>
      </c>
      <c r="HL1" s="11" t="s">
        <v>148</v>
      </c>
      <c r="HM1" s="16" t="s">
        <v>149</v>
      </c>
      <c r="HN1" s="1" t="s">
        <v>8</v>
      </c>
      <c r="HO1" s="30" t="s">
        <v>9</v>
      </c>
      <c r="HP1" s="12" t="s">
        <v>150</v>
      </c>
      <c r="HQ1" s="11" t="s">
        <v>151</v>
      </c>
      <c r="HR1" s="16" t="s">
        <v>152</v>
      </c>
      <c r="HS1" s="11" t="s">
        <v>153</v>
      </c>
      <c r="HT1" s="16" t="s">
        <v>154</v>
      </c>
      <c r="HU1" s="1" t="s">
        <v>8</v>
      </c>
      <c r="HV1" s="30" t="s">
        <v>9</v>
      </c>
      <c r="HW1" s="11" t="s">
        <v>155</v>
      </c>
      <c r="HX1" s="16" t="s">
        <v>156</v>
      </c>
      <c r="HY1" s="11" t="s">
        <v>157</v>
      </c>
      <c r="HZ1" s="16" t="s">
        <v>158</v>
      </c>
      <c r="IA1" s="1" t="s">
        <v>8</v>
      </c>
      <c r="IB1" s="30" t="s">
        <v>9</v>
      </c>
      <c r="IC1" s="12" t="s">
        <v>159</v>
      </c>
      <c r="ID1" s="16" t="s">
        <v>160</v>
      </c>
      <c r="IE1" s="11" t="s">
        <v>161</v>
      </c>
      <c r="IF1" s="16" t="s">
        <v>162</v>
      </c>
      <c r="IG1" s="1" t="s">
        <v>8</v>
      </c>
      <c r="IH1" s="30" t="s">
        <v>9</v>
      </c>
      <c r="II1" s="11" t="s">
        <v>163</v>
      </c>
      <c r="IJ1" s="16" t="s">
        <v>164</v>
      </c>
      <c r="IK1" s="11" t="s">
        <v>165</v>
      </c>
      <c r="IL1" s="16" t="s">
        <v>166</v>
      </c>
      <c r="IM1" s="1" t="s">
        <v>8</v>
      </c>
      <c r="IN1" s="30" t="s">
        <v>9</v>
      </c>
      <c r="IO1" s="12" t="s">
        <v>167</v>
      </c>
      <c r="IP1" s="16" t="s">
        <v>168</v>
      </c>
      <c r="IQ1" s="1" t="s">
        <v>8</v>
      </c>
      <c r="IR1" s="30" t="s">
        <v>9</v>
      </c>
      <c r="IS1" s="12" t="s">
        <v>169</v>
      </c>
      <c r="IT1" s="16" t="s">
        <v>170</v>
      </c>
      <c r="IU1" s="11" t="s">
        <v>171</v>
      </c>
      <c r="IV1" s="16" t="s">
        <v>172</v>
      </c>
      <c r="IW1" s="1" t="s">
        <v>8</v>
      </c>
      <c r="IX1" s="30" t="s">
        <v>9</v>
      </c>
      <c r="IY1" s="12" t="s">
        <v>173</v>
      </c>
      <c r="IZ1" s="16" t="s">
        <v>174</v>
      </c>
      <c r="JA1" s="1" t="s">
        <v>8</v>
      </c>
      <c r="JB1" s="30" t="s">
        <v>9</v>
      </c>
      <c r="JC1" s="12" t="s">
        <v>175</v>
      </c>
      <c r="JD1" s="16" t="s">
        <v>176</v>
      </c>
      <c r="JE1" s="11" t="s">
        <v>177</v>
      </c>
      <c r="JF1" s="16" t="s">
        <v>178</v>
      </c>
      <c r="JG1" s="1" t="s">
        <v>8</v>
      </c>
      <c r="JH1" s="30" t="s">
        <v>9</v>
      </c>
      <c r="JI1" s="11" t="s">
        <v>179</v>
      </c>
      <c r="JJ1" s="16" t="s">
        <v>180</v>
      </c>
      <c r="JK1" s="11" t="s">
        <v>181</v>
      </c>
      <c r="JL1" s="16" t="s">
        <v>182</v>
      </c>
      <c r="JM1" s="11" t="s">
        <v>183</v>
      </c>
      <c r="JN1" s="16" t="s">
        <v>184</v>
      </c>
      <c r="JO1" s="1" t="s">
        <v>8</v>
      </c>
      <c r="JP1" s="30" t="s">
        <v>9</v>
      </c>
      <c r="JQ1" s="12" t="s">
        <v>185</v>
      </c>
      <c r="JR1" s="16" t="s">
        <v>186</v>
      </c>
      <c r="JS1" s="11" t="s">
        <v>187</v>
      </c>
      <c r="JT1" s="16" t="s">
        <v>188</v>
      </c>
      <c r="JU1" s="1" t="s">
        <v>8</v>
      </c>
      <c r="JV1" s="30" t="s">
        <v>9</v>
      </c>
      <c r="JW1" s="11" t="s">
        <v>189</v>
      </c>
      <c r="JX1" s="16" t="s">
        <v>190</v>
      </c>
      <c r="JY1" s="11" t="s">
        <v>191</v>
      </c>
      <c r="JZ1" s="16" t="s">
        <v>192</v>
      </c>
      <c r="KA1" s="1" t="s">
        <v>8</v>
      </c>
      <c r="KB1" s="30" t="s">
        <v>9</v>
      </c>
      <c r="KC1" s="11" t="s">
        <v>193</v>
      </c>
      <c r="KD1" s="16" t="s">
        <v>194</v>
      </c>
      <c r="KE1" s="11" t="s">
        <v>195</v>
      </c>
      <c r="KF1" s="16" t="s">
        <v>196</v>
      </c>
      <c r="KG1" s="1" t="s">
        <v>8</v>
      </c>
      <c r="KH1" s="30" t="s">
        <v>9</v>
      </c>
      <c r="KI1" s="11" t="s">
        <v>197</v>
      </c>
      <c r="KJ1" s="16" t="s">
        <v>198</v>
      </c>
      <c r="KK1" s="11" t="s">
        <v>199</v>
      </c>
      <c r="KL1" s="16" t="s">
        <v>200</v>
      </c>
      <c r="KM1" s="1" t="s">
        <v>8</v>
      </c>
      <c r="KN1" s="30" t="s">
        <v>9</v>
      </c>
      <c r="KO1" s="11" t="s">
        <v>201</v>
      </c>
      <c r="KP1" s="16" t="s">
        <v>202</v>
      </c>
      <c r="KQ1" s="11" t="s">
        <v>203</v>
      </c>
      <c r="KR1" s="16" t="s">
        <v>204</v>
      </c>
      <c r="KS1" s="1" t="s">
        <v>8</v>
      </c>
      <c r="KT1" s="30" t="s">
        <v>9</v>
      </c>
      <c r="KU1" s="11" t="s">
        <v>205</v>
      </c>
      <c r="KV1" s="16" t="s">
        <v>206</v>
      </c>
      <c r="KW1" s="1" t="s">
        <v>8</v>
      </c>
      <c r="KX1" s="30" t="s">
        <v>9</v>
      </c>
      <c r="KY1" s="11" t="s">
        <v>207</v>
      </c>
      <c r="KZ1" s="16" t="s">
        <v>208</v>
      </c>
      <c r="LA1" s="11" t="s">
        <v>209</v>
      </c>
      <c r="LB1" s="16" t="s">
        <v>210</v>
      </c>
      <c r="LC1" s="1" t="s">
        <v>8</v>
      </c>
      <c r="LD1" s="30" t="s">
        <v>9</v>
      </c>
      <c r="LE1" s="12" t="s">
        <v>211</v>
      </c>
      <c r="LF1" s="16" t="s">
        <v>212</v>
      </c>
      <c r="LG1" s="1" t="s">
        <v>8</v>
      </c>
      <c r="LH1" s="24" t="s">
        <v>9</v>
      </c>
      <c r="LI1" s="11" t="s">
        <v>3</v>
      </c>
      <c r="LJ1" s="16" t="s">
        <v>213</v>
      </c>
      <c r="LK1" s="11" t="s">
        <v>214</v>
      </c>
      <c r="LL1" s="16" t="s">
        <v>11</v>
      </c>
      <c r="LM1" s="1" t="s">
        <v>8</v>
      </c>
      <c r="LN1" s="24" t="s">
        <v>9</v>
      </c>
      <c r="LO1" s="11" t="s">
        <v>215</v>
      </c>
      <c r="LP1" s="16" t="s">
        <v>216</v>
      </c>
      <c r="LQ1" s="11" t="s">
        <v>5</v>
      </c>
      <c r="LR1" s="16" t="s">
        <v>14</v>
      </c>
      <c r="LS1" s="1" t="s">
        <v>8</v>
      </c>
      <c r="LT1" s="24" t="s">
        <v>9</v>
      </c>
      <c r="LU1" s="11" t="s">
        <v>217</v>
      </c>
      <c r="LV1" s="16" t="s">
        <v>218</v>
      </c>
      <c r="LW1" s="11" t="s">
        <v>17</v>
      </c>
      <c r="LX1" s="16" t="s">
        <v>18</v>
      </c>
      <c r="LY1" s="1" t="s">
        <v>8</v>
      </c>
      <c r="LZ1" s="24" t="s">
        <v>9</v>
      </c>
      <c r="MA1" s="11" t="s">
        <v>219</v>
      </c>
      <c r="MB1" s="16" t="s">
        <v>220</v>
      </c>
      <c r="MC1" s="11" t="s">
        <v>221</v>
      </c>
      <c r="MD1" s="16" t="s">
        <v>22</v>
      </c>
      <c r="ME1" s="1" t="s">
        <v>8</v>
      </c>
      <c r="MF1" s="24" t="s">
        <v>9</v>
      </c>
      <c r="MG1" s="12" t="s">
        <v>222</v>
      </c>
      <c r="MH1" s="16" t="s">
        <v>223</v>
      </c>
      <c r="MI1" s="11" t="s">
        <v>224</v>
      </c>
      <c r="MJ1" s="16" t="s">
        <v>225</v>
      </c>
      <c r="MK1" s="11" t="s">
        <v>23</v>
      </c>
      <c r="ML1" s="16" t="s">
        <v>26</v>
      </c>
      <c r="MM1" s="1" t="s">
        <v>8</v>
      </c>
      <c r="MN1" s="24" t="s">
        <v>9</v>
      </c>
      <c r="MO1" s="11" t="s">
        <v>226</v>
      </c>
      <c r="MP1" s="16" t="s">
        <v>227</v>
      </c>
      <c r="MQ1" s="11" t="s">
        <v>228</v>
      </c>
      <c r="MR1" s="16" t="s">
        <v>229</v>
      </c>
      <c r="MS1" s="1" t="s">
        <v>8</v>
      </c>
      <c r="MT1" s="24" t="s">
        <v>9</v>
      </c>
      <c r="MU1" s="11" t="s">
        <v>230</v>
      </c>
      <c r="MV1" s="16" t="s">
        <v>231</v>
      </c>
      <c r="MW1" s="11" t="s">
        <v>230</v>
      </c>
      <c r="MX1" s="16" t="s">
        <v>232</v>
      </c>
      <c r="MY1" s="1" t="s">
        <v>8</v>
      </c>
      <c r="MZ1" s="24" t="s">
        <v>9</v>
      </c>
      <c r="NA1" s="12" t="s">
        <v>33</v>
      </c>
      <c r="NB1" s="16" t="s">
        <v>233</v>
      </c>
      <c r="NC1" s="1" t="s">
        <v>8</v>
      </c>
      <c r="ND1" s="24" t="s">
        <v>9</v>
      </c>
      <c r="NE1" s="12" t="s">
        <v>234</v>
      </c>
      <c r="NF1" s="16" t="s">
        <v>235</v>
      </c>
      <c r="NG1" s="11" t="s">
        <v>39</v>
      </c>
      <c r="NH1" s="16" t="s">
        <v>236</v>
      </c>
      <c r="NI1" s="16" t="s">
        <v>237</v>
      </c>
      <c r="NJ1" s="1" t="s">
        <v>8</v>
      </c>
      <c r="NK1" s="24" t="s">
        <v>9</v>
      </c>
      <c r="NL1" s="12" t="s">
        <v>238</v>
      </c>
      <c r="NM1" s="16" t="s">
        <v>239</v>
      </c>
      <c r="NN1" s="11" t="s">
        <v>240</v>
      </c>
      <c r="NO1" s="16" t="s">
        <v>241</v>
      </c>
      <c r="NP1" s="1" t="s">
        <v>8</v>
      </c>
      <c r="NQ1" s="24" t="s">
        <v>9</v>
      </c>
      <c r="NR1" s="12" t="s">
        <v>47</v>
      </c>
      <c r="NS1" s="16" t="s">
        <v>242</v>
      </c>
      <c r="NT1" s="1" t="s">
        <v>8</v>
      </c>
      <c r="NU1" s="24" t="s">
        <v>9</v>
      </c>
      <c r="NV1" s="12" t="s">
        <v>243</v>
      </c>
      <c r="NW1" s="16" t="s">
        <v>244</v>
      </c>
      <c r="NX1" s="11" t="s">
        <v>51</v>
      </c>
      <c r="NY1" s="16" t="s">
        <v>245</v>
      </c>
      <c r="NZ1" s="1" t="s">
        <v>8</v>
      </c>
      <c r="OA1" s="24" t="s">
        <v>9</v>
      </c>
      <c r="OB1" s="12" t="s">
        <v>246</v>
      </c>
      <c r="OC1" s="16" t="s">
        <v>247</v>
      </c>
      <c r="OD1" s="1" t="s">
        <v>8</v>
      </c>
      <c r="OE1" s="24" t="s">
        <v>9</v>
      </c>
      <c r="OF1" s="12" t="s">
        <v>248</v>
      </c>
      <c r="OG1" s="16" t="s">
        <v>249</v>
      </c>
      <c r="OH1" s="11" t="s">
        <v>59</v>
      </c>
      <c r="OI1" s="16" t="s">
        <v>250</v>
      </c>
      <c r="OJ1" s="1" t="s">
        <v>8</v>
      </c>
      <c r="OK1" s="24" t="s">
        <v>9</v>
      </c>
      <c r="OL1" s="11" t="s">
        <v>251</v>
      </c>
      <c r="OM1" s="30" t="s">
        <v>9</v>
      </c>
      <c r="ON1" s="11" t="s">
        <v>252</v>
      </c>
      <c r="OO1" s="16" t="s">
        <v>253</v>
      </c>
      <c r="OP1" s="1" t="s">
        <v>8</v>
      </c>
      <c r="OQ1" s="24" t="s">
        <v>9</v>
      </c>
      <c r="OR1" s="12" t="s">
        <v>254</v>
      </c>
      <c r="OS1" s="16" t="s">
        <v>255</v>
      </c>
      <c r="OT1" s="11" t="s">
        <v>256</v>
      </c>
      <c r="OU1" s="16" t="s">
        <v>257</v>
      </c>
      <c r="OV1" s="1" t="s">
        <v>8</v>
      </c>
      <c r="OW1" s="24" t="s">
        <v>9</v>
      </c>
      <c r="OX1" s="12" t="s">
        <v>258</v>
      </c>
      <c r="OY1" s="16" t="s">
        <v>259</v>
      </c>
      <c r="OZ1" s="11" t="s">
        <v>72</v>
      </c>
      <c r="PA1" s="16" t="s">
        <v>260</v>
      </c>
      <c r="PB1" s="1" t="s">
        <v>8</v>
      </c>
      <c r="PC1" s="24" t="s">
        <v>9</v>
      </c>
      <c r="PD1" s="12" t="s">
        <v>261</v>
      </c>
      <c r="PE1" s="16" t="s">
        <v>262</v>
      </c>
      <c r="PF1" s="11" t="s">
        <v>77</v>
      </c>
      <c r="PG1" s="16" t="s">
        <v>263</v>
      </c>
      <c r="PH1" s="1" t="s">
        <v>8</v>
      </c>
      <c r="PI1" s="24" t="s">
        <v>9</v>
      </c>
      <c r="PJ1" s="12" t="s">
        <v>264</v>
      </c>
      <c r="PK1" s="16" t="s">
        <v>265</v>
      </c>
      <c r="PL1" s="11" t="s">
        <v>266</v>
      </c>
      <c r="PM1" s="16" t="s">
        <v>267</v>
      </c>
      <c r="PN1" s="1" t="s">
        <v>8</v>
      </c>
      <c r="PO1" s="24" t="s">
        <v>9</v>
      </c>
      <c r="PP1" s="12" t="s">
        <v>83</v>
      </c>
      <c r="PQ1" s="16" t="s">
        <v>268</v>
      </c>
      <c r="PR1" s="11" t="s">
        <v>81</v>
      </c>
      <c r="PS1" s="16" t="s">
        <v>269</v>
      </c>
      <c r="PT1" s="1" t="s">
        <v>8</v>
      </c>
      <c r="PU1" s="24" t="s">
        <v>9</v>
      </c>
      <c r="PV1" s="12" t="s">
        <v>270</v>
      </c>
      <c r="PW1" s="16" t="s">
        <v>271</v>
      </c>
      <c r="PX1" s="1" t="s">
        <v>8</v>
      </c>
      <c r="PY1" s="24" t="s">
        <v>9</v>
      </c>
      <c r="PZ1" s="12" t="s">
        <v>272</v>
      </c>
      <c r="QA1" s="16" t="s">
        <v>272</v>
      </c>
      <c r="QB1" s="1" t="s">
        <v>8</v>
      </c>
      <c r="QC1" s="24" t="s">
        <v>9</v>
      </c>
      <c r="QD1" s="12" t="s">
        <v>93</v>
      </c>
      <c r="QE1" s="16" t="s">
        <v>94</v>
      </c>
      <c r="QF1" s="11" t="s">
        <v>273</v>
      </c>
      <c r="QG1" s="16" t="s">
        <v>274</v>
      </c>
      <c r="QH1" s="1" t="s">
        <v>8</v>
      </c>
      <c r="QI1" s="24" t="s">
        <v>9</v>
      </c>
      <c r="QJ1" s="12" t="s">
        <v>275</v>
      </c>
      <c r="QK1" s="16" t="s">
        <v>276</v>
      </c>
      <c r="QL1" s="1" t="s">
        <v>8</v>
      </c>
      <c r="QM1" s="24" t="s">
        <v>9</v>
      </c>
      <c r="QN1" s="12" t="s">
        <v>277</v>
      </c>
      <c r="QO1" s="16" t="s">
        <v>278</v>
      </c>
      <c r="QP1" s="11" t="s">
        <v>277</v>
      </c>
      <c r="QQ1" s="16" t="s">
        <v>279</v>
      </c>
      <c r="QR1" s="1" t="s">
        <v>8</v>
      </c>
      <c r="QS1" s="24" t="s">
        <v>9</v>
      </c>
      <c r="QT1" s="12" t="s">
        <v>280</v>
      </c>
      <c r="QU1" s="16" t="s">
        <v>281</v>
      </c>
      <c r="QV1" s="1" t="s">
        <v>8</v>
      </c>
      <c r="QW1" s="24" t="s">
        <v>9</v>
      </c>
      <c r="QX1" s="12" t="s">
        <v>282</v>
      </c>
      <c r="QY1" s="16" t="s">
        <v>283</v>
      </c>
      <c r="QZ1" s="11" t="s">
        <v>111</v>
      </c>
      <c r="RA1" s="16" t="s">
        <v>284</v>
      </c>
      <c r="RB1" s="1" t="s">
        <v>8</v>
      </c>
      <c r="RC1" s="24" t="s">
        <v>9</v>
      </c>
      <c r="RD1" s="12" t="s">
        <v>285</v>
      </c>
      <c r="RE1" s="16" t="s">
        <v>118</v>
      </c>
      <c r="RF1" s="11" t="s">
        <v>286</v>
      </c>
      <c r="RG1" s="16" t="s">
        <v>287</v>
      </c>
      <c r="RH1" s="1" t="s">
        <v>8</v>
      </c>
      <c r="RI1" s="24" t="s">
        <v>9</v>
      </c>
      <c r="RJ1" s="12" t="s">
        <v>288</v>
      </c>
      <c r="RK1" s="4" t="s">
        <v>289</v>
      </c>
      <c r="RL1" s="11" t="s">
        <v>290</v>
      </c>
      <c r="RM1" s="4" t="s">
        <v>291</v>
      </c>
      <c r="RN1" s="1" t="s">
        <v>8</v>
      </c>
      <c r="RO1" s="30" t="s">
        <v>9</v>
      </c>
      <c r="RP1" s="3" t="s">
        <v>125</v>
      </c>
      <c r="RQ1" s="4" t="s">
        <v>292</v>
      </c>
      <c r="RR1" s="1" t="s">
        <v>8</v>
      </c>
      <c r="RS1" s="10" t="s">
        <v>9</v>
      </c>
      <c r="RT1" s="3" t="s">
        <v>293</v>
      </c>
      <c r="RU1" s="4" t="s">
        <v>294</v>
      </c>
      <c r="RV1" s="2" t="s">
        <v>131</v>
      </c>
      <c r="RW1" s="4" t="s">
        <v>295</v>
      </c>
      <c r="RX1" s="1" t="s">
        <v>8</v>
      </c>
      <c r="RY1" s="10" t="s">
        <v>9</v>
      </c>
      <c r="RZ1" s="3" t="s">
        <v>296</v>
      </c>
      <c r="SA1" s="4" t="s">
        <v>297</v>
      </c>
      <c r="SB1" s="2" t="s">
        <v>298</v>
      </c>
      <c r="SC1" s="4" t="s">
        <v>299</v>
      </c>
      <c r="SD1" s="1" t="s">
        <v>8</v>
      </c>
      <c r="SE1" s="10" t="s">
        <v>9</v>
      </c>
      <c r="SF1" s="3" t="s">
        <v>300</v>
      </c>
      <c r="SG1" s="4" t="s">
        <v>301</v>
      </c>
      <c r="SH1" s="2" t="s">
        <v>302</v>
      </c>
      <c r="SI1" s="4" t="s">
        <v>303</v>
      </c>
      <c r="SJ1" s="1" t="s">
        <v>8</v>
      </c>
      <c r="SK1" s="10" t="s">
        <v>9</v>
      </c>
      <c r="SL1" s="3" t="s">
        <v>304</v>
      </c>
      <c r="SM1" s="4" t="s">
        <v>305</v>
      </c>
      <c r="SN1" s="1" t="s">
        <v>8</v>
      </c>
      <c r="SO1" s="10" t="s">
        <v>9</v>
      </c>
      <c r="SP1" s="3" t="s">
        <v>306</v>
      </c>
      <c r="SQ1" s="4" t="s">
        <v>307</v>
      </c>
      <c r="SR1" s="2" t="s">
        <v>308</v>
      </c>
      <c r="SS1" s="4" t="s">
        <v>309</v>
      </c>
      <c r="ST1" s="1" t="s">
        <v>8</v>
      </c>
      <c r="SU1" s="10" t="s">
        <v>9</v>
      </c>
    </row>
    <row r="2" spans="1:515" x14ac:dyDescent="0.25">
      <c r="C2" s="49">
        <f t="shared" ref="C2:D2" si="0">SUM(C3:C208)</f>
        <v>0</v>
      </c>
      <c r="D2" s="49">
        <f t="shared" si="0"/>
        <v>0</v>
      </c>
      <c r="E2" s="49">
        <f t="shared" ref="E2:BQ2" si="1">SUM(E3:E208)</f>
        <v>7737</v>
      </c>
      <c r="F2" s="49">
        <f>SUM(F3:F208)</f>
        <v>7976</v>
      </c>
      <c r="G2" s="49">
        <f t="shared" si="1"/>
        <v>8331</v>
      </c>
      <c r="H2" s="49">
        <f t="shared" si="1"/>
        <v>0</v>
      </c>
      <c r="I2" s="49">
        <f t="shared" si="1"/>
        <v>0</v>
      </c>
      <c r="J2" s="53">
        <f>SUM(J3:J208)</f>
        <v>10611</v>
      </c>
      <c r="K2" s="54">
        <f t="shared" si="1"/>
        <v>10947</v>
      </c>
      <c r="L2" s="54">
        <f>SUM(L3:L208)</f>
        <v>12682</v>
      </c>
      <c r="M2" s="54">
        <f t="shared" si="1"/>
        <v>12868</v>
      </c>
      <c r="N2" s="54">
        <f t="shared" si="1"/>
        <v>-522</v>
      </c>
      <c r="O2" s="55">
        <f t="shared" si="1"/>
        <v>214.6</v>
      </c>
      <c r="P2" s="53">
        <f>SUM(P3:P208)</f>
        <v>7610</v>
      </c>
      <c r="Q2" s="54">
        <f t="shared" si="1"/>
        <v>7713</v>
      </c>
      <c r="R2" s="54">
        <f t="shared" si="1"/>
        <v>7127</v>
      </c>
      <c r="S2" s="54">
        <f t="shared" si="1"/>
        <v>7392</v>
      </c>
      <c r="T2" s="54">
        <f t="shared" si="1"/>
        <v>-368</v>
      </c>
      <c r="U2" s="55">
        <f t="shared" si="1"/>
        <v>70.64</v>
      </c>
      <c r="V2" s="53">
        <f t="shared" si="1"/>
        <v>5440</v>
      </c>
      <c r="W2" s="54">
        <f t="shared" si="1"/>
        <v>5772</v>
      </c>
      <c r="X2" s="54">
        <f t="shared" si="1"/>
        <v>9313</v>
      </c>
      <c r="Y2" s="54">
        <f t="shared" si="1"/>
        <v>9462</v>
      </c>
      <c r="Z2" s="54">
        <f t="shared" si="1"/>
        <v>-481</v>
      </c>
      <c r="AA2" s="55">
        <f t="shared" si="1"/>
        <v>79.75</v>
      </c>
      <c r="AB2" s="53">
        <f t="shared" si="1"/>
        <v>5640</v>
      </c>
      <c r="AC2" s="54">
        <f t="shared" si="1"/>
        <v>5682.9813664596268</v>
      </c>
      <c r="AD2" s="54">
        <f t="shared" si="1"/>
        <v>7368</v>
      </c>
      <c r="AE2" s="54">
        <f t="shared" si="1"/>
        <v>7711.0186335403732</v>
      </c>
      <c r="AF2" s="54">
        <f t="shared" si="1"/>
        <v>-386</v>
      </c>
      <c r="AG2" s="55">
        <f t="shared" si="1"/>
        <v>36.680000000000035</v>
      </c>
      <c r="AH2" s="49">
        <f t="shared" si="1"/>
        <v>5906</v>
      </c>
      <c r="AI2" s="49">
        <f t="shared" si="1"/>
        <v>6049</v>
      </c>
      <c r="AJ2" s="49">
        <f t="shared" si="1"/>
        <v>7453</v>
      </c>
      <c r="AK2" s="49">
        <f t="shared" si="1"/>
        <v>7568</v>
      </c>
      <c r="AL2" s="49">
        <f t="shared" si="1"/>
        <v>-258</v>
      </c>
      <c r="AM2" s="49">
        <f t="shared" si="1"/>
        <v>41.72</v>
      </c>
      <c r="AN2" s="49">
        <f t="shared" si="1"/>
        <v>4024</v>
      </c>
      <c r="AO2" s="49">
        <f t="shared" si="1"/>
        <v>4113</v>
      </c>
      <c r="AP2" s="49">
        <f t="shared" si="1"/>
        <v>9846</v>
      </c>
      <c r="AQ2" s="49">
        <f t="shared" si="1"/>
        <v>9933</v>
      </c>
      <c r="AR2" s="49">
        <f t="shared" si="1"/>
        <v>-176</v>
      </c>
      <c r="AS2" s="49">
        <f t="shared" si="1"/>
        <v>21.36</v>
      </c>
      <c r="AT2" s="49">
        <f t="shared" si="1"/>
        <v>9237</v>
      </c>
      <c r="AU2" s="49">
        <f t="shared" si="1"/>
        <v>9282</v>
      </c>
      <c r="AV2" s="49">
        <f t="shared" si="1"/>
        <v>9554</v>
      </c>
      <c r="AW2" s="49">
        <f t="shared" si="1"/>
        <v>9634</v>
      </c>
      <c r="AX2" s="49">
        <f t="shared" si="1"/>
        <v>-125</v>
      </c>
      <c r="AY2" s="49">
        <f t="shared" si="1"/>
        <v>4.5</v>
      </c>
      <c r="AZ2" s="49">
        <f t="shared" si="1"/>
        <v>7542</v>
      </c>
      <c r="BA2" s="49">
        <f t="shared" si="1"/>
        <v>7595</v>
      </c>
      <c r="BB2" s="49">
        <f t="shared" si="1"/>
        <v>9087</v>
      </c>
      <c r="BC2" s="49">
        <f t="shared" si="1"/>
        <v>9197</v>
      </c>
      <c r="BD2" s="49">
        <f t="shared" si="1"/>
        <v>-163</v>
      </c>
      <c r="BE2" s="49">
        <f t="shared" si="1"/>
        <v>68.339999999999989</v>
      </c>
      <c r="BF2" s="49">
        <f t="shared" si="1"/>
        <v>5282</v>
      </c>
      <c r="BG2" s="49">
        <f t="shared" si="1"/>
        <v>5384</v>
      </c>
      <c r="BH2" s="49">
        <f t="shared" si="1"/>
        <v>7080</v>
      </c>
      <c r="BI2" s="49">
        <f t="shared" si="1"/>
        <v>7387</v>
      </c>
      <c r="BJ2" s="49">
        <f t="shared" si="1"/>
        <v>-409</v>
      </c>
      <c r="BK2" s="49">
        <f t="shared" si="1"/>
        <v>229.88</v>
      </c>
      <c r="BL2" s="49">
        <f t="shared" si="1"/>
        <v>5841</v>
      </c>
      <c r="BM2" s="49">
        <f t="shared" si="1"/>
        <v>5939</v>
      </c>
      <c r="BN2" s="49">
        <f t="shared" si="1"/>
        <v>7482</v>
      </c>
      <c r="BO2" s="49">
        <f t="shared" si="1"/>
        <v>7744</v>
      </c>
      <c r="BP2" s="49">
        <f t="shared" si="1"/>
        <v>-360</v>
      </c>
      <c r="BQ2" s="49">
        <f t="shared" si="1"/>
        <v>173.74999999999997</v>
      </c>
      <c r="BR2" s="49">
        <f t="shared" ref="BR2:EC2" si="2">SUM(BR3:BR208)</f>
        <v>7156</v>
      </c>
      <c r="BS2" s="49">
        <f t="shared" si="2"/>
        <v>7435</v>
      </c>
      <c r="BT2" s="49">
        <f t="shared" si="2"/>
        <v>10074</v>
      </c>
      <c r="BU2" s="49">
        <f t="shared" si="2"/>
        <v>10499</v>
      </c>
      <c r="BV2" s="49">
        <f t="shared" si="2"/>
        <v>-704</v>
      </c>
      <c r="BW2" s="49">
        <f t="shared" si="2"/>
        <v>209.84000000000003</v>
      </c>
      <c r="BX2" s="49">
        <f t="shared" si="2"/>
        <v>7588</v>
      </c>
      <c r="BY2" s="49">
        <f t="shared" si="2"/>
        <v>7095</v>
      </c>
      <c r="BZ2" s="49">
        <f t="shared" si="2"/>
        <v>8092</v>
      </c>
      <c r="CA2" s="49">
        <f t="shared" si="2"/>
        <v>7832</v>
      </c>
      <c r="CB2" s="49">
        <f t="shared" si="2"/>
        <v>753</v>
      </c>
      <c r="CC2" s="49">
        <f t="shared" si="2"/>
        <v>133.38</v>
      </c>
      <c r="CD2" s="49">
        <f t="shared" si="2"/>
        <v>7802</v>
      </c>
      <c r="CE2" s="49">
        <f t="shared" si="2"/>
        <v>7915</v>
      </c>
      <c r="CF2" s="49">
        <f t="shared" si="2"/>
        <v>8913</v>
      </c>
      <c r="CG2" s="49">
        <f t="shared" si="2"/>
        <v>8941</v>
      </c>
      <c r="CH2" s="49">
        <f t="shared" si="2"/>
        <v>-141</v>
      </c>
      <c r="CI2" s="49">
        <f t="shared" si="2"/>
        <v>52.2</v>
      </c>
      <c r="CJ2" s="49">
        <f t="shared" si="2"/>
        <v>5754</v>
      </c>
      <c r="CK2" s="49">
        <f t="shared" si="2"/>
        <v>6008</v>
      </c>
      <c r="CL2" s="49">
        <f t="shared" si="2"/>
        <v>7611</v>
      </c>
      <c r="CM2" s="49">
        <f t="shared" si="2"/>
        <v>7766</v>
      </c>
      <c r="CN2" s="49">
        <f t="shared" si="2"/>
        <v>-409</v>
      </c>
      <c r="CO2" s="49">
        <f t="shared" si="2"/>
        <v>110.05999999999997</v>
      </c>
      <c r="CP2" s="49">
        <f t="shared" si="2"/>
        <v>4401</v>
      </c>
      <c r="CQ2" s="49">
        <f t="shared" si="2"/>
        <v>4525</v>
      </c>
      <c r="CR2" s="49">
        <f t="shared" si="2"/>
        <v>7021</v>
      </c>
      <c r="CS2" s="49">
        <f t="shared" si="2"/>
        <v>7486</v>
      </c>
      <c r="CT2" s="49">
        <f t="shared" si="2"/>
        <v>-589</v>
      </c>
      <c r="CU2" s="49">
        <f t="shared" si="2"/>
        <v>189.87999999999997</v>
      </c>
      <c r="CV2" s="49">
        <f t="shared" si="2"/>
        <v>7612</v>
      </c>
      <c r="CW2" s="49">
        <f t="shared" si="2"/>
        <v>8454</v>
      </c>
      <c r="CX2" s="49">
        <f t="shared" si="2"/>
        <v>8451</v>
      </c>
      <c r="CY2" s="49">
        <f t="shared" si="2"/>
        <v>8464</v>
      </c>
      <c r="CZ2" s="49">
        <f t="shared" si="2"/>
        <v>-855</v>
      </c>
      <c r="DA2" s="49">
        <f t="shared" si="2"/>
        <v>702.25</v>
      </c>
      <c r="DB2" s="49">
        <f t="shared" si="2"/>
        <v>7237</v>
      </c>
      <c r="DC2" s="49">
        <f t="shared" si="2"/>
        <v>7241</v>
      </c>
      <c r="DD2" s="49">
        <f t="shared" si="2"/>
        <v>419</v>
      </c>
      <c r="DE2" s="49">
        <f t="shared" si="2"/>
        <v>7257</v>
      </c>
      <c r="DF2" s="49">
        <f t="shared" si="2"/>
        <v>8050</v>
      </c>
      <c r="DG2" s="49">
        <f t="shared" si="2"/>
        <v>-378</v>
      </c>
      <c r="DH2" s="49">
        <f t="shared" si="2"/>
        <v>128.79999999999998</v>
      </c>
      <c r="DI2" s="49">
        <f t="shared" si="2"/>
        <v>5455</v>
      </c>
      <c r="DJ2" s="49">
        <f t="shared" si="2"/>
        <v>5460</v>
      </c>
      <c r="DK2" s="49">
        <f t="shared" si="2"/>
        <v>-5</v>
      </c>
      <c r="DL2" s="49">
        <f t="shared" si="2"/>
        <v>16</v>
      </c>
      <c r="DM2" s="49">
        <f t="shared" si="2"/>
        <v>13068</v>
      </c>
      <c r="DN2" s="49">
        <f t="shared" si="2"/>
        <v>13336</v>
      </c>
      <c r="DO2" s="49">
        <f t="shared" si="2"/>
        <v>13605</v>
      </c>
      <c r="DP2" s="49">
        <f t="shared" si="2"/>
        <v>13617</v>
      </c>
      <c r="DQ2" s="49">
        <f t="shared" si="2"/>
        <v>-280</v>
      </c>
      <c r="DR2" s="49">
        <f t="shared" si="2"/>
        <v>353.94000000000011</v>
      </c>
      <c r="DS2" s="49">
        <f t="shared" si="2"/>
        <v>4569</v>
      </c>
      <c r="DT2" s="49">
        <f t="shared" si="2"/>
        <v>4562</v>
      </c>
      <c r="DU2" s="49">
        <f t="shared" si="2"/>
        <v>7309</v>
      </c>
      <c r="DV2" s="49">
        <f t="shared" si="2"/>
        <v>7432</v>
      </c>
      <c r="DW2" s="49">
        <f t="shared" si="2"/>
        <v>-116</v>
      </c>
      <c r="DX2" s="49">
        <f t="shared" si="2"/>
        <v>29.24</v>
      </c>
      <c r="DY2" s="49">
        <f t="shared" si="2"/>
        <v>2771</v>
      </c>
      <c r="DZ2" s="49">
        <f t="shared" si="2"/>
        <v>2813</v>
      </c>
      <c r="EA2" s="49">
        <f t="shared" si="2"/>
        <v>6162</v>
      </c>
      <c r="EB2" s="49">
        <f t="shared" si="2"/>
        <v>6346</v>
      </c>
      <c r="EC2" s="49">
        <f t="shared" si="2"/>
        <v>-226</v>
      </c>
      <c r="ED2" s="49">
        <f t="shared" ref="ED2:GO2" si="3">SUM(ED3:ED208)</f>
        <v>52.22</v>
      </c>
      <c r="EE2" s="49">
        <f t="shared" si="3"/>
        <v>1940</v>
      </c>
      <c r="EF2" s="49">
        <f t="shared" si="3"/>
        <v>1960</v>
      </c>
      <c r="EG2" s="49">
        <f t="shared" si="3"/>
        <v>17383</v>
      </c>
      <c r="EH2" s="49">
        <f t="shared" si="3"/>
        <v>17498</v>
      </c>
      <c r="EI2" s="49">
        <f t="shared" si="3"/>
        <v>-135</v>
      </c>
      <c r="EJ2" s="49">
        <f t="shared" si="3"/>
        <v>21.7</v>
      </c>
      <c r="EK2" s="49">
        <f t="shared" si="3"/>
        <v>2056</v>
      </c>
      <c r="EL2" s="49">
        <f t="shared" si="3"/>
        <v>2132</v>
      </c>
      <c r="EM2" s="49">
        <f t="shared" si="3"/>
        <v>4293</v>
      </c>
      <c r="EN2" s="49">
        <f t="shared" si="3"/>
        <v>4299</v>
      </c>
      <c r="EO2" s="49">
        <f t="shared" si="3"/>
        <v>-82</v>
      </c>
      <c r="EP2" s="49">
        <f t="shared" si="3"/>
        <v>20.8</v>
      </c>
      <c r="EQ2" s="49">
        <f t="shared" si="3"/>
        <v>1983</v>
      </c>
      <c r="ER2" s="49">
        <f t="shared" si="3"/>
        <v>1990</v>
      </c>
      <c r="ES2" s="49">
        <f t="shared" si="3"/>
        <v>5212</v>
      </c>
      <c r="ET2" s="49">
        <f t="shared" si="3"/>
        <v>5564</v>
      </c>
      <c r="EU2" s="49">
        <f t="shared" si="3"/>
        <v>-359</v>
      </c>
      <c r="EV2" s="49">
        <f t="shared" si="3"/>
        <v>163.79999999999998</v>
      </c>
      <c r="EW2" s="49">
        <f t="shared" si="3"/>
        <v>955</v>
      </c>
      <c r="EX2" s="49">
        <f t="shared" si="3"/>
        <v>950</v>
      </c>
      <c r="EY2" s="49">
        <f t="shared" si="3"/>
        <v>9963</v>
      </c>
      <c r="EZ2" s="49">
        <f t="shared" si="3"/>
        <v>10980</v>
      </c>
      <c r="FA2" s="49">
        <f t="shared" si="3"/>
        <v>11059</v>
      </c>
      <c r="FB2" s="49">
        <f t="shared" si="3"/>
        <v>12537</v>
      </c>
      <c r="FC2" s="49">
        <f t="shared" si="3"/>
        <v>-2490</v>
      </c>
      <c r="FD2" s="49">
        <f t="shared" si="3"/>
        <v>992.00000000000011</v>
      </c>
      <c r="FE2" s="49">
        <f t="shared" si="3"/>
        <v>4427</v>
      </c>
      <c r="FF2" s="49">
        <f t="shared" si="3"/>
        <v>4374</v>
      </c>
      <c r="FG2" s="49">
        <f t="shared" si="3"/>
        <v>9321</v>
      </c>
      <c r="FH2" s="49">
        <f t="shared" si="3"/>
        <v>9509</v>
      </c>
      <c r="FI2" s="49">
        <f t="shared" si="3"/>
        <v>-135</v>
      </c>
      <c r="FJ2" s="49">
        <f t="shared" si="3"/>
        <v>41</v>
      </c>
      <c r="FK2" s="49">
        <f t="shared" si="3"/>
        <v>4253</v>
      </c>
      <c r="FL2" s="49">
        <f t="shared" si="3"/>
        <v>4250</v>
      </c>
      <c r="FM2" s="49">
        <f t="shared" si="3"/>
        <v>11228</v>
      </c>
      <c r="FN2" s="49">
        <f t="shared" si="3"/>
        <v>11192</v>
      </c>
      <c r="FO2" s="49">
        <f t="shared" si="3"/>
        <v>6348</v>
      </c>
      <c r="FP2" s="49">
        <f t="shared" si="3"/>
        <v>6340</v>
      </c>
      <c r="FQ2" s="49">
        <f t="shared" si="3"/>
        <v>47</v>
      </c>
      <c r="FR2" s="49">
        <f t="shared" si="3"/>
        <v>11.440000000000001</v>
      </c>
      <c r="FS2" s="49">
        <f t="shared" si="3"/>
        <v>1922</v>
      </c>
      <c r="FT2" s="49">
        <f t="shared" si="3"/>
        <v>1920</v>
      </c>
      <c r="FU2" s="49">
        <f t="shared" si="3"/>
        <v>13515</v>
      </c>
      <c r="FV2" s="49">
        <f t="shared" si="3"/>
        <v>13692</v>
      </c>
      <c r="FW2" s="49">
        <f t="shared" si="3"/>
        <v>-175</v>
      </c>
      <c r="FX2" s="49">
        <f t="shared" si="3"/>
        <v>37.64</v>
      </c>
      <c r="FY2" s="49">
        <f t="shared" si="3"/>
        <v>3605</v>
      </c>
      <c r="FZ2" s="49">
        <f t="shared" si="3"/>
        <v>4480</v>
      </c>
      <c r="GA2" s="49">
        <f t="shared" si="3"/>
        <v>9593</v>
      </c>
      <c r="GB2" s="49">
        <f t="shared" si="3"/>
        <v>10119</v>
      </c>
      <c r="GC2" s="49">
        <f t="shared" si="3"/>
        <v>-1401</v>
      </c>
      <c r="GD2" s="49">
        <f t="shared" si="3"/>
        <v>1025.3800000000001</v>
      </c>
      <c r="GE2" s="49">
        <f t="shared" si="3"/>
        <v>8880</v>
      </c>
      <c r="GF2" s="49">
        <f t="shared" si="3"/>
        <v>9228</v>
      </c>
      <c r="GG2" s="49">
        <f t="shared" si="3"/>
        <v>10326</v>
      </c>
      <c r="GH2" s="49">
        <f t="shared" si="3"/>
        <v>10545</v>
      </c>
      <c r="GI2" s="49">
        <f t="shared" si="3"/>
        <v>-567</v>
      </c>
      <c r="GJ2" s="49">
        <f t="shared" si="3"/>
        <v>142.41999999999999</v>
      </c>
      <c r="GK2" s="49">
        <f t="shared" si="3"/>
        <v>3503</v>
      </c>
      <c r="GL2" s="49">
        <f t="shared" si="3"/>
        <v>3976</v>
      </c>
      <c r="GM2" s="49">
        <f t="shared" si="3"/>
        <v>5029</v>
      </c>
      <c r="GN2" s="49">
        <f t="shared" si="3"/>
        <v>5011</v>
      </c>
      <c r="GO2" s="49">
        <f t="shared" si="3"/>
        <v>7917</v>
      </c>
      <c r="GP2" s="49">
        <f t="shared" ref="GP2:JA2" si="4">SUM(GP3:GP208)</f>
        <v>7898</v>
      </c>
      <c r="GQ2" s="49">
        <f t="shared" si="4"/>
        <v>-436</v>
      </c>
      <c r="GR2" s="49">
        <f t="shared" si="4"/>
        <v>491</v>
      </c>
      <c r="GS2" s="49">
        <f t="shared" si="4"/>
        <v>4676</v>
      </c>
      <c r="GT2" s="49">
        <f t="shared" si="4"/>
        <v>4858</v>
      </c>
      <c r="GU2" s="49">
        <f t="shared" si="4"/>
        <v>12037</v>
      </c>
      <c r="GV2" s="49">
        <f t="shared" si="4"/>
        <v>69</v>
      </c>
      <c r="GW2" s="49">
        <f t="shared" si="4"/>
        <v>12116</v>
      </c>
      <c r="GX2" s="49">
        <f t="shared" si="4"/>
        <v>-192</v>
      </c>
      <c r="GY2" s="49">
        <f t="shared" si="4"/>
        <v>76.8</v>
      </c>
      <c r="GZ2" s="49">
        <f t="shared" si="4"/>
        <v>5615</v>
      </c>
      <c r="HA2" s="49">
        <f t="shared" si="4"/>
        <v>41</v>
      </c>
      <c r="HB2" s="49">
        <f t="shared" si="4"/>
        <v>5079.8280000000004</v>
      </c>
      <c r="HC2" s="49">
        <f t="shared" si="4"/>
        <v>576.17199999999991</v>
      </c>
      <c r="HD2" s="49">
        <f t="shared" si="4"/>
        <v>0</v>
      </c>
      <c r="HE2" s="49">
        <f t="shared" si="4"/>
        <v>16871</v>
      </c>
      <c r="HF2" s="49">
        <f t="shared" si="4"/>
        <v>21</v>
      </c>
      <c r="HG2" s="49">
        <f t="shared" si="4"/>
        <v>16933</v>
      </c>
      <c r="HH2" s="49">
        <f t="shared" si="4"/>
        <v>-41</v>
      </c>
      <c r="HI2" s="49">
        <f t="shared" si="4"/>
        <v>43.2</v>
      </c>
      <c r="HJ2" s="49">
        <f t="shared" si="4"/>
        <v>11966</v>
      </c>
      <c r="HK2" s="49">
        <f t="shared" si="4"/>
        <v>1590</v>
      </c>
      <c r="HL2" s="49">
        <f t="shared" si="4"/>
        <v>1601</v>
      </c>
      <c r="HM2" s="49">
        <f t="shared" si="4"/>
        <v>11957</v>
      </c>
      <c r="HN2" s="49">
        <f t="shared" si="4"/>
        <v>20</v>
      </c>
      <c r="HO2" s="49">
        <f t="shared" si="4"/>
        <v>0</v>
      </c>
      <c r="HP2" s="49">
        <f t="shared" si="4"/>
        <v>3534</v>
      </c>
      <c r="HQ2" s="49">
        <f t="shared" si="4"/>
        <v>40</v>
      </c>
      <c r="HR2" s="49">
        <f t="shared" si="4"/>
        <v>4146</v>
      </c>
      <c r="HS2" s="49">
        <f t="shared" si="4"/>
        <v>5421</v>
      </c>
      <c r="HT2" s="49">
        <f t="shared" si="4"/>
        <v>5418</v>
      </c>
      <c r="HU2" s="49">
        <f t="shared" si="4"/>
        <v>-569</v>
      </c>
      <c r="HV2" s="49">
        <f t="shared" si="4"/>
        <v>491.9</v>
      </c>
      <c r="HW2" s="49">
        <f t="shared" si="4"/>
        <v>5864</v>
      </c>
      <c r="HX2" s="49">
        <f t="shared" si="4"/>
        <v>5844</v>
      </c>
      <c r="HY2" s="49">
        <f t="shared" si="4"/>
        <v>7440</v>
      </c>
      <c r="HZ2" s="49">
        <f t="shared" si="4"/>
        <v>7448</v>
      </c>
      <c r="IA2" s="49">
        <f t="shared" si="4"/>
        <v>12</v>
      </c>
      <c r="IB2" s="49">
        <f t="shared" si="4"/>
        <v>15.36</v>
      </c>
      <c r="IC2" s="49">
        <f t="shared" si="4"/>
        <v>4345</v>
      </c>
      <c r="ID2" s="49">
        <f t="shared" si="4"/>
        <v>4330</v>
      </c>
      <c r="IE2" s="49">
        <f t="shared" si="4"/>
        <v>13583</v>
      </c>
      <c r="IF2" s="49">
        <f t="shared" si="4"/>
        <v>13746</v>
      </c>
      <c r="IG2" s="49">
        <f t="shared" si="4"/>
        <v>-148</v>
      </c>
      <c r="IH2" s="49">
        <f t="shared" si="4"/>
        <v>95.14</v>
      </c>
      <c r="II2" s="49">
        <f t="shared" si="4"/>
        <v>4631</v>
      </c>
      <c r="IJ2" s="49">
        <f t="shared" si="4"/>
        <v>4564</v>
      </c>
      <c r="IK2" s="49">
        <f t="shared" si="4"/>
        <v>8147</v>
      </c>
      <c r="IL2" s="49">
        <f t="shared" si="4"/>
        <v>8082</v>
      </c>
      <c r="IM2" s="49">
        <f t="shared" si="4"/>
        <v>132</v>
      </c>
      <c r="IN2" s="49">
        <f t="shared" si="4"/>
        <v>0</v>
      </c>
      <c r="IO2" s="49">
        <f t="shared" si="4"/>
        <v>5999</v>
      </c>
      <c r="IP2" s="49">
        <f t="shared" si="4"/>
        <v>6040.4212000000007</v>
      </c>
      <c r="IQ2" s="49">
        <f t="shared" si="4"/>
        <v>-41.421200000000013</v>
      </c>
      <c r="IR2" s="49">
        <f t="shared" si="4"/>
        <v>20.16</v>
      </c>
      <c r="IS2" s="49">
        <f t="shared" si="4"/>
        <v>8081</v>
      </c>
      <c r="IT2" s="49">
        <f t="shared" si="4"/>
        <v>8060</v>
      </c>
      <c r="IU2" s="49">
        <f t="shared" si="4"/>
        <v>17375</v>
      </c>
      <c r="IV2" s="49">
        <f t="shared" si="4"/>
        <v>17327</v>
      </c>
      <c r="IW2" s="49">
        <f t="shared" si="4"/>
        <v>69</v>
      </c>
      <c r="IX2" s="49">
        <f t="shared" si="4"/>
        <v>4</v>
      </c>
      <c r="IY2" s="49">
        <f t="shared" si="4"/>
        <v>5468</v>
      </c>
      <c r="IZ2" s="49">
        <f t="shared" si="4"/>
        <v>5494</v>
      </c>
      <c r="JA2" s="49">
        <f t="shared" si="4"/>
        <v>-26</v>
      </c>
      <c r="JB2" s="49">
        <f t="shared" ref="JB2:LM2" si="5">SUM(JB3:JB208)</f>
        <v>5.04</v>
      </c>
      <c r="JC2" s="49">
        <f t="shared" si="5"/>
        <v>5549</v>
      </c>
      <c r="JD2" s="49">
        <f t="shared" si="5"/>
        <v>5572</v>
      </c>
      <c r="JE2" s="49">
        <f t="shared" si="5"/>
        <v>12494</v>
      </c>
      <c r="JF2" s="49">
        <f t="shared" si="5"/>
        <v>12489</v>
      </c>
      <c r="JG2" s="49">
        <f t="shared" si="5"/>
        <v>-18</v>
      </c>
      <c r="JH2" s="49">
        <f t="shared" si="5"/>
        <v>10.4</v>
      </c>
      <c r="JI2" s="49">
        <f t="shared" si="5"/>
        <v>4879</v>
      </c>
      <c r="JJ2" s="49">
        <f t="shared" si="5"/>
        <v>4870</v>
      </c>
      <c r="JK2" s="49">
        <f t="shared" si="5"/>
        <v>9383</v>
      </c>
      <c r="JL2" s="49">
        <f t="shared" si="5"/>
        <v>9380</v>
      </c>
      <c r="JM2" s="49">
        <f t="shared" si="5"/>
        <v>7960</v>
      </c>
      <c r="JN2" s="49">
        <f t="shared" si="5"/>
        <v>7994</v>
      </c>
      <c r="JO2" s="49">
        <f t="shared" si="5"/>
        <v>-22</v>
      </c>
      <c r="JP2" s="49">
        <f t="shared" si="5"/>
        <v>24.200000000000003</v>
      </c>
      <c r="JQ2" s="49">
        <f t="shared" si="5"/>
        <v>6316</v>
      </c>
      <c r="JR2" s="49">
        <f t="shared" si="5"/>
        <v>6508</v>
      </c>
      <c r="JS2" s="49">
        <f t="shared" si="5"/>
        <v>7717</v>
      </c>
      <c r="JT2" s="49">
        <f t="shared" si="5"/>
        <v>7705</v>
      </c>
      <c r="JU2" s="49">
        <f t="shared" si="5"/>
        <v>-180</v>
      </c>
      <c r="JV2" s="49">
        <f t="shared" si="5"/>
        <v>75.900000000000006</v>
      </c>
      <c r="JW2" s="49">
        <f t="shared" si="5"/>
        <v>4834</v>
      </c>
      <c r="JX2" s="49">
        <f t="shared" si="5"/>
        <v>4840</v>
      </c>
      <c r="JY2" s="49">
        <f t="shared" si="5"/>
        <v>16340</v>
      </c>
      <c r="JZ2" s="49">
        <f t="shared" si="5"/>
        <v>12750</v>
      </c>
      <c r="KA2" s="49">
        <f t="shared" si="5"/>
        <v>3584</v>
      </c>
      <c r="KB2" s="49">
        <f t="shared" si="5"/>
        <v>39.6</v>
      </c>
      <c r="KC2" s="49">
        <f t="shared" si="5"/>
        <v>7927</v>
      </c>
      <c r="KD2" s="49">
        <f t="shared" si="5"/>
        <v>8273</v>
      </c>
      <c r="KE2" s="49">
        <f t="shared" si="5"/>
        <v>11937</v>
      </c>
      <c r="KF2" s="49">
        <f t="shared" si="5"/>
        <v>11938</v>
      </c>
      <c r="KG2" s="49">
        <f t="shared" si="5"/>
        <v>-347</v>
      </c>
      <c r="KH2" s="49">
        <f t="shared" si="5"/>
        <v>170.2</v>
      </c>
      <c r="KI2" s="49">
        <f t="shared" si="5"/>
        <v>8098</v>
      </c>
      <c r="KJ2" s="49">
        <f t="shared" si="5"/>
        <v>8876</v>
      </c>
      <c r="KK2" s="49">
        <f t="shared" si="5"/>
        <v>9718</v>
      </c>
      <c r="KL2" s="49">
        <f t="shared" si="5"/>
        <v>9751</v>
      </c>
      <c r="KM2" s="49">
        <f t="shared" si="5"/>
        <v>-811</v>
      </c>
      <c r="KN2" s="49">
        <f t="shared" si="5"/>
        <v>529.5</v>
      </c>
      <c r="KO2" s="49">
        <f t="shared" si="5"/>
        <v>9732</v>
      </c>
      <c r="KP2" s="49">
        <f t="shared" si="5"/>
        <v>10329</v>
      </c>
      <c r="KQ2" s="49">
        <f t="shared" si="5"/>
        <v>9136</v>
      </c>
      <c r="KR2" s="49">
        <f t="shared" si="5"/>
        <v>9255</v>
      </c>
      <c r="KS2" s="49">
        <f t="shared" si="5"/>
        <v>-716</v>
      </c>
      <c r="KT2" s="49">
        <f t="shared" si="5"/>
        <v>506.79999999999995</v>
      </c>
      <c r="KU2" s="49">
        <f t="shared" si="5"/>
        <v>6559</v>
      </c>
      <c r="KV2" s="49">
        <f t="shared" si="5"/>
        <v>6883</v>
      </c>
      <c r="KW2" s="49">
        <f t="shared" si="5"/>
        <v>-324</v>
      </c>
      <c r="KX2" s="49">
        <f t="shared" si="5"/>
        <v>121.38</v>
      </c>
      <c r="KY2" s="49">
        <f t="shared" si="5"/>
        <v>10380</v>
      </c>
      <c r="KZ2" s="49">
        <f t="shared" si="5"/>
        <v>10458</v>
      </c>
      <c r="LA2" s="49">
        <f t="shared" si="5"/>
        <v>8595</v>
      </c>
      <c r="LB2" s="49">
        <f t="shared" si="5"/>
        <v>8778</v>
      </c>
      <c r="LC2" s="49">
        <f t="shared" si="5"/>
        <v>-261</v>
      </c>
      <c r="LD2" s="49">
        <f t="shared" si="5"/>
        <v>74.460000000000008</v>
      </c>
      <c r="LE2" s="49">
        <f t="shared" si="5"/>
        <v>12383</v>
      </c>
      <c r="LF2" s="49">
        <f t="shared" si="5"/>
        <v>12469.9236</v>
      </c>
      <c r="LG2" s="49">
        <f t="shared" si="5"/>
        <v>-86.923599999999993</v>
      </c>
      <c r="LH2" s="49">
        <f t="shared" si="5"/>
        <v>55</v>
      </c>
      <c r="LI2" s="49">
        <f t="shared" si="5"/>
        <v>1473</v>
      </c>
      <c r="LJ2" s="49">
        <f t="shared" si="5"/>
        <v>1470</v>
      </c>
      <c r="LK2" s="49">
        <f t="shared" si="5"/>
        <v>12648</v>
      </c>
      <c r="LL2" s="49">
        <f t="shared" si="5"/>
        <v>12660</v>
      </c>
      <c r="LM2" s="49">
        <f t="shared" si="5"/>
        <v>-9</v>
      </c>
      <c r="LN2" s="49">
        <f t="shared" ref="LN2:NY2" si="6">SUM(LN3:LN208)</f>
        <v>5</v>
      </c>
      <c r="LO2" s="49">
        <f t="shared" si="6"/>
        <v>4665</v>
      </c>
      <c r="LP2" s="49">
        <f t="shared" si="6"/>
        <v>6047</v>
      </c>
      <c r="LQ2" s="49">
        <f t="shared" si="6"/>
        <v>7713</v>
      </c>
      <c r="LR2" s="49">
        <f t="shared" si="6"/>
        <v>7761</v>
      </c>
      <c r="LS2" s="49">
        <f t="shared" si="6"/>
        <v>-1430</v>
      </c>
      <c r="LT2" s="49">
        <f t="shared" si="6"/>
        <v>1333.4</v>
      </c>
      <c r="LU2" s="49">
        <f t="shared" si="6"/>
        <v>2834</v>
      </c>
      <c r="LV2" s="49">
        <f t="shared" si="6"/>
        <v>3970</v>
      </c>
      <c r="LW2" s="49">
        <f t="shared" si="6"/>
        <v>7452</v>
      </c>
      <c r="LX2" s="49">
        <f t="shared" si="6"/>
        <v>7541</v>
      </c>
      <c r="LY2" s="49">
        <f t="shared" si="6"/>
        <v>-1225</v>
      </c>
      <c r="LZ2" s="49">
        <f t="shared" si="6"/>
        <v>1150.9000000000001</v>
      </c>
      <c r="MA2" s="49">
        <f t="shared" si="6"/>
        <v>5259</v>
      </c>
      <c r="MB2" s="49">
        <f t="shared" si="6"/>
        <v>5270</v>
      </c>
      <c r="MC2" s="49">
        <f t="shared" si="6"/>
        <v>10233</v>
      </c>
      <c r="MD2" s="49">
        <f t="shared" si="6"/>
        <v>11069</v>
      </c>
      <c r="ME2" s="49">
        <f t="shared" si="6"/>
        <v>-847</v>
      </c>
      <c r="MF2" s="49">
        <f t="shared" si="6"/>
        <v>735.63</v>
      </c>
      <c r="MG2" s="49">
        <f t="shared" si="6"/>
        <v>6246</v>
      </c>
      <c r="MH2" s="49">
        <f t="shared" si="6"/>
        <v>6590</v>
      </c>
      <c r="MI2" s="49">
        <f t="shared" si="6"/>
        <v>7805</v>
      </c>
      <c r="MJ2" s="49">
        <f t="shared" si="6"/>
        <v>8105</v>
      </c>
      <c r="MK2" s="49">
        <f t="shared" si="6"/>
        <v>4642</v>
      </c>
      <c r="ML2" s="49">
        <f t="shared" si="6"/>
        <v>6806</v>
      </c>
      <c r="MM2" s="49">
        <f t="shared" si="6"/>
        <v>-2808</v>
      </c>
      <c r="MN2" s="49">
        <f t="shared" si="6"/>
        <v>1762.41</v>
      </c>
      <c r="MO2" s="49">
        <f t="shared" si="6"/>
        <v>3052.085</v>
      </c>
      <c r="MP2" s="49">
        <f t="shared" si="6"/>
        <v>3100</v>
      </c>
      <c r="MQ2" s="49">
        <f t="shared" si="6"/>
        <v>7044.9550000000008</v>
      </c>
      <c r="MR2" s="49">
        <f t="shared" si="6"/>
        <v>7187</v>
      </c>
      <c r="MS2" s="49">
        <f t="shared" si="6"/>
        <v>-189.95999999999998</v>
      </c>
      <c r="MT2" s="49">
        <f t="shared" si="6"/>
        <v>77.12</v>
      </c>
      <c r="MU2" s="49">
        <f t="shared" si="6"/>
        <v>3555.4589999999998</v>
      </c>
      <c r="MV2" s="49">
        <f t="shared" si="6"/>
        <v>3590</v>
      </c>
      <c r="MW2" s="49">
        <f t="shared" si="6"/>
        <v>6460.9460000000008</v>
      </c>
      <c r="MX2" s="49">
        <f t="shared" si="6"/>
        <v>6513</v>
      </c>
      <c r="MY2" s="49">
        <f t="shared" si="6"/>
        <v>-86.594999999999786</v>
      </c>
      <c r="MZ2" s="49">
        <f t="shared" si="6"/>
        <v>27.09</v>
      </c>
      <c r="NA2" s="49">
        <f t="shared" si="6"/>
        <v>10752.035999999998</v>
      </c>
      <c r="NB2" s="49">
        <f t="shared" si="6"/>
        <v>11326</v>
      </c>
      <c r="NC2" s="49">
        <f t="shared" si="6"/>
        <v>-573.96400000000006</v>
      </c>
      <c r="ND2" s="49">
        <f t="shared" si="6"/>
        <v>205.56</v>
      </c>
      <c r="NE2" s="49">
        <f t="shared" si="6"/>
        <v>14520.89</v>
      </c>
      <c r="NF2" s="49">
        <f t="shared" si="6"/>
        <v>14672</v>
      </c>
      <c r="NG2" s="49">
        <f t="shared" si="6"/>
        <v>13271.834000000004</v>
      </c>
      <c r="NH2" s="49">
        <f t="shared" si="6"/>
        <v>700</v>
      </c>
      <c r="NI2" s="49">
        <f t="shared" si="6"/>
        <v>12718</v>
      </c>
      <c r="NJ2" s="49">
        <f t="shared" si="6"/>
        <v>-297.27600000000012</v>
      </c>
      <c r="NK2" s="49">
        <f t="shared" si="6"/>
        <v>301.24800000000005</v>
      </c>
      <c r="NL2" s="49">
        <f t="shared" si="6"/>
        <v>7520.3099999999986</v>
      </c>
      <c r="NM2" s="49">
        <f t="shared" si="6"/>
        <v>7528</v>
      </c>
      <c r="NN2" s="49">
        <f t="shared" si="6"/>
        <v>7846.5219999999999</v>
      </c>
      <c r="NO2" s="49">
        <f t="shared" si="6"/>
        <v>7878</v>
      </c>
      <c r="NP2" s="49">
        <f t="shared" si="6"/>
        <v>-39.167999999999935</v>
      </c>
      <c r="NQ2" s="49">
        <f t="shared" si="6"/>
        <v>8</v>
      </c>
      <c r="NR2" s="49">
        <f t="shared" si="6"/>
        <v>11817.294</v>
      </c>
      <c r="NS2" s="49">
        <f t="shared" si="6"/>
        <v>11887</v>
      </c>
      <c r="NT2" s="49">
        <f t="shared" si="6"/>
        <v>-69.70600000000006</v>
      </c>
      <c r="NU2" s="49">
        <f t="shared" si="6"/>
        <v>44.423000000000016</v>
      </c>
      <c r="NV2" s="49">
        <f t="shared" si="6"/>
        <v>2850.105</v>
      </c>
      <c r="NW2" s="49">
        <f t="shared" si="6"/>
        <v>2828</v>
      </c>
      <c r="NX2" s="49">
        <f t="shared" si="6"/>
        <v>9853.2250000000004</v>
      </c>
      <c r="NY2" s="49">
        <f t="shared" si="6"/>
        <v>10437</v>
      </c>
      <c r="NZ2" s="49">
        <f t="shared" ref="NZ2:QK2" si="7">SUM(NZ3:NZ208)</f>
        <v>-561.67000000000019</v>
      </c>
      <c r="OA2" s="49">
        <f t="shared" si="7"/>
        <v>141.12400000000022</v>
      </c>
      <c r="OB2" s="49">
        <f t="shared" si="7"/>
        <v>19442.900000000001</v>
      </c>
      <c r="OC2" s="49">
        <f t="shared" si="7"/>
        <v>19480</v>
      </c>
      <c r="OD2" s="49">
        <f t="shared" si="7"/>
        <v>-37.100000000000122</v>
      </c>
      <c r="OE2" s="49">
        <f t="shared" si="7"/>
        <v>23.282000000000004</v>
      </c>
      <c r="OF2" s="49">
        <f t="shared" si="7"/>
        <v>4526.9580000000005</v>
      </c>
      <c r="OG2" s="49">
        <f t="shared" si="7"/>
        <v>4538</v>
      </c>
      <c r="OH2" s="49">
        <f t="shared" si="7"/>
        <v>10441.040000000001</v>
      </c>
      <c r="OI2" s="49">
        <f t="shared" si="7"/>
        <v>10539</v>
      </c>
      <c r="OJ2" s="49">
        <f t="shared" si="7"/>
        <v>-109.00199999999991</v>
      </c>
      <c r="OK2" s="49">
        <f t="shared" si="7"/>
        <v>37.768000000000022</v>
      </c>
      <c r="OL2" s="49">
        <f t="shared" si="7"/>
        <v>745.37799999999993</v>
      </c>
      <c r="OM2" s="49">
        <f t="shared" si="7"/>
        <v>-330.95800000000003</v>
      </c>
      <c r="ON2" s="49">
        <f t="shared" si="7"/>
        <v>14772.694000000001</v>
      </c>
      <c r="OO2" s="49">
        <f t="shared" si="7"/>
        <v>15505</v>
      </c>
      <c r="OP2" s="49">
        <f t="shared" si="7"/>
        <v>-732.3059999999997</v>
      </c>
      <c r="OQ2" s="49">
        <f t="shared" si="7"/>
        <v>332.55400000000003</v>
      </c>
      <c r="OR2" s="49">
        <f t="shared" si="7"/>
        <v>3651.9540000000002</v>
      </c>
      <c r="OS2" s="49">
        <f t="shared" si="7"/>
        <v>2560</v>
      </c>
      <c r="OT2" s="49">
        <f t="shared" si="7"/>
        <v>7940.5399999999981</v>
      </c>
      <c r="OU2" s="49">
        <f t="shared" si="7"/>
        <v>7941</v>
      </c>
      <c r="OV2" s="49">
        <f t="shared" si="7"/>
        <v>1091.4939999999999</v>
      </c>
      <c r="OW2" s="49">
        <f t="shared" si="7"/>
        <v>0</v>
      </c>
      <c r="OX2" s="49">
        <f t="shared" si="7"/>
        <v>3355.5880000000002</v>
      </c>
      <c r="OY2" s="49">
        <f t="shared" si="7"/>
        <v>2890</v>
      </c>
      <c r="OZ2" s="49">
        <f t="shared" si="7"/>
        <v>6269.16</v>
      </c>
      <c r="PA2" s="49">
        <f t="shared" si="7"/>
        <v>6670</v>
      </c>
      <c r="PB2" s="49">
        <f t="shared" si="7"/>
        <v>64.748000000000033</v>
      </c>
      <c r="PC2" s="49">
        <f t="shared" si="7"/>
        <v>1629.9829999999999</v>
      </c>
      <c r="PD2" s="49">
        <f t="shared" si="7"/>
        <v>8983.5930000000008</v>
      </c>
      <c r="PE2" s="49">
        <f t="shared" si="7"/>
        <v>9000</v>
      </c>
      <c r="PF2" s="49">
        <f t="shared" si="7"/>
        <v>11472.396999999999</v>
      </c>
      <c r="PG2" s="49">
        <f t="shared" si="7"/>
        <v>12183</v>
      </c>
      <c r="PH2" s="49">
        <f t="shared" si="7"/>
        <v>-727.01</v>
      </c>
      <c r="PI2" s="49">
        <f t="shared" si="7"/>
        <v>510.77499999999998</v>
      </c>
      <c r="PJ2" s="49">
        <f t="shared" si="7"/>
        <v>4178.04</v>
      </c>
      <c r="PK2" s="49">
        <f t="shared" si="7"/>
        <v>4090</v>
      </c>
      <c r="PL2" s="49">
        <f t="shared" si="7"/>
        <v>8636.0500000000011</v>
      </c>
      <c r="PM2" s="49">
        <f t="shared" si="7"/>
        <v>9210</v>
      </c>
      <c r="PN2" s="49">
        <f t="shared" si="7"/>
        <v>-485.91</v>
      </c>
      <c r="PO2" s="49">
        <f t="shared" si="7"/>
        <v>1469.614</v>
      </c>
      <c r="PP2" s="49">
        <f t="shared" si="7"/>
        <v>5050.2259999999997</v>
      </c>
      <c r="PQ2" s="49">
        <f t="shared" si="7"/>
        <v>5130</v>
      </c>
      <c r="PR2" s="49">
        <f t="shared" si="7"/>
        <v>10619.572</v>
      </c>
      <c r="PS2" s="49">
        <f t="shared" si="7"/>
        <v>8979</v>
      </c>
      <c r="PT2" s="49">
        <f t="shared" si="7"/>
        <v>1560.7980000000005</v>
      </c>
      <c r="PU2" s="49">
        <f t="shared" si="7"/>
        <v>80.34</v>
      </c>
      <c r="PV2" s="49">
        <f t="shared" si="7"/>
        <v>19296.893</v>
      </c>
      <c r="PW2" s="49">
        <f t="shared" si="7"/>
        <v>19377</v>
      </c>
      <c r="PX2" s="49">
        <f t="shared" si="7"/>
        <v>-80.106999999999786</v>
      </c>
      <c r="PY2" s="49">
        <f t="shared" si="7"/>
        <v>70.414999999999992</v>
      </c>
      <c r="PZ2" s="49">
        <f t="shared" si="7"/>
        <v>10555.578000000001</v>
      </c>
      <c r="QA2" s="49">
        <f t="shared" si="7"/>
        <v>10591</v>
      </c>
      <c r="QB2" s="49">
        <f t="shared" si="7"/>
        <v>-35.42199999999994</v>
      </c>
      <c r="QC2" s="49">
        <f t="shared" si="7"/>
        <v>0</v>
      </c>
      <c r="QD2" s="49">
        <f t="shared" si="7"/>
        <v>4632.4739999999993</v>
      </c>
      <c r="QE2" s="49">
        <f t="shared" si="7"/>
        <v>4760</v>
      </c>
      <c r="QF2" s="49">
        <f t="shared" si="7"/>
        <v>6516.5819999999985</v>
      </c>
      <c r="QG2" s="49">
        <f t="shared" si="7"/>
        <v>6567.0879999999997</v>
      </c>
      <c r="QH2" s="49">
        <f t="shared" si="7"/>
        <v>-178.03200000000007</v>
      </c>
      <c r="QI2" s="49">
        <f t="shared" si="7"/>
        <v>155.4980000000001</v>
      </c>
      <c r="QJ2" s="49">
        <f t="shared" si="7"/>
        <v>7272.985999999999</v>
      </c>
      <c r="QK2" s="49">
        <f t="shared" si="7"/>
        <v>7479</v>
      </c>
      <c r="QL2" s="49">
        <f t="shared" ref="QL2:SU2" si="8">SUM(QL3:QL208)</f>
        <v>-206.01400000000004</v>
      </c>
      <c r="QM2" s="49">
        <f t="shared" si="8"/>
        <v>46.000000000000007</v>
      </c>
      <c r="QN2" s="49">
        <f t="shared" si="8"/>
        <v>8429.9789999999994</v>
      </c>
      <c r="QO2" s="49">
        <f t="shared" si="8"/>
        <v>9350</v>
      </c>
      <c r="QP2" s="49">
        <f t="shared" si="8"/>
        <v>8706.5980000000018</v>
      </c>
      <c r="QQ2" s="49">
        <f t="shared" si="8"/>
        <v>9005</v>
      </c>
      <c r="QR2" s="49">
        <f t="shared" si="8"/>
        <v>-1218.4230000000005</v>
      </c>
      <c r="QS2" s="49">
        <f t="shared" si="8"/>
        <v>924.56</v>
      </c>
      <c r="QT2" s="49">
        <f t="shared" si="8"/>
        <v>3315.4879999999998</v>
      </c>
      <c r="QU2" s="49">
        <f t="shared" si="8"/>
        <v>2618</v>
      </c>
      <c r="QV2" s="49">
        <f t="shared" si="8"/>
        <v>705.3309999999999</v>
      </c>
      <c r="QW2" s="49">
        <f t="shared" si="8"/>
        <v>5.5</v>
      </c>
      <c r="QX2" s="49">
        <f t="shared" si="8"/>
        <v>630.31399999999996</v>
      </c>
      <c r="QY2" s="49">
        <f t="shared" si="8"/>
        <v>1200</v>
      </c>
      <c r="QZ2" s="49">
        <f t="shared" si="8"/>
        <v>4377.0659999999998</v>
      </c>
      <c r="RA2" s="49">
        <f t="shared" si="8"/>
        <v>5548</v>
      </c>
      <c r="RB2" s="49">
        <f t="shared" si="8"/>
        <v>-1740.6200000000001</v>
      </c>
      <c r="RC2" s="49">
        <f t="shared" si="8"/>
        <v>1490.0320000000002</v>
      </c>
      <c r="RD2" s="49">
        <f t="shared" si="8"/>
        <v>3745.6579999999999</v>
      </c>
      <c r="RE2" s="49">
        <f t="shared" si="8"/>
        <v>4080</v>
      </c>
      <c r="RF2" s="49">
        <f t="shared" si="8"/>
        <v>7992.9810000000007</v>
      </c>
      <c r="RG2" s="49">
        <f t="shared" si="8"/>
        <v>8390</v>
      </c>
      <c r="RH2" s="49">
        <f t="shared" si="8"/>
        <v>-731.36099999999976</v>
      </c>
      <c r="RI2" s="49">
        <f t="shared" si="8"/>
        <v>818.09899999999959</v>
      </c>
      <c r="RJ2" s="49">
        <f t="shared" si="8"/>
        <v>5480.902</v>
      </c>
      <c r="RK2" s="49">
        <f t="shared" si="8"/>
        <v>6256</v>
      </c>
      <c r="RL2" s="49">
        <f t="shared" si="8"/>
        <v>5160.7360000000008</v>
      </c>
      <c r="RM2" s="49">
        <f t="shared" si="8"/>
        <v>5750</v>
      </c>
      <c r="RN2" s="49">
        <f t="shared" si="8"/>
        <v>-1364.3620000000005</v>
      </c>
      <c r="RO2" s="49">
        <f t="shared" si="8"/>
        <v>1031.875</v>
      </c>
      <c r="RP2" s="49">
        <f t="shared" si="8"/>
        <v>13320.652</v>
      </c>
      <c r="RQ2" s="49">
        <f t="shared" si="8"/>
        <v>14510</v>
      </c>
      <c r="RR2" s="49">
        <f t="shared" si="8"/>
        <v>-1189.348</v>
      </c>
      <c r="RS2" s="49">
        <f t="shared" si="8"/>
        <v>994.83399999999995</v>
      </c>
      <c r="RT2" s="49">
        <f t="shared" si="8"/>
        <v>5603.2420000000002</v>
      </c>
      <c r="RU2" s="49">
        <f t="shared" si="8"/>
        <v>5666</v>
      </c>
      <c r="RV2" s="49">
        <f t="shared" si="8"/>
        <v>7222.965000000002</v>
      </c>
      <c r="RW2" s="49">
        <f t="shared" si="8"/>
        <v>7240</v>
      </c>
      <c r="RX2" s="49">
        <f t="shared" si="8"/>
        <v>-79.793000000000134</v>
      </c>
      <c r="RY2" s="49">
        <f t="shared" si="8"/>
        <v>158.51699999999994</v>
      </c>
      <c r="RZ2" s="49">
        <f t="shared" si="8"/>
        <v>5665.1159999999991</v>
      </c>
      <c r="SA2" s="49">
        <f t="shared" si="8"/>
        <v>5825</v>
      </c>
      <c r="SB2" s="49">
        <f t="shared" si="8"/>
        <v>7295.597999999999</v>
      </c>
      <c r="SC2" s="49">
        <f t="shared" si="8"/>
        <v>7410</v>
      </c>
      <c r="SD2" s="49">
        <f t="shared" si="8"/>
        <v>-274.286</v>
      </c>
      <c r="SE2" s="49">
        <f t="shared" si="8"/>
        <v>203.363</v>
      </c>
      <c r="SF2" s="49">
        <f t="shared" si="8"/>
        <v>5215.2129999999997</v>
      </c>
      <c r="SG2" s="49">
        <f t="shared" si="8"/>
        <v>6182</v>
      </c>
      <c r="SH2" s="49">
        <f t="shared" si="8"/>
        <v>9505.7470000000012</v>
      </c>
      <c r="SI2" s="49">
        <f t="shared" si="8"/>
        <v>6480</v>
      </c>
      <c r="SJ2" s="49">
        <f t="shared" si="8"/>
        <v>2058.9599999999996</v>
      </c>
      <c r="SK2" s="49">
        <f t="shared" si="8"/>
        <v>3981.7309999999993</v>
      </c>
      <c r="SL2" s="49">
        <f t="shared" si="8"/>
        <v>7650.1540000000005</v>
      </c>
      <c r="SM2" s="49">
        <f t="shared" si="8"/>
        <v>9053</v>
      </c>
      <c r="SN2" s="49">
        <f t="shared" si="8"/>
        <v>-1402.8459999999995</v>
      </c>
      <c r="SO2" s="49">
        <f t="shared" si="8"/>
        <v>1018.5869999999999</v>
      </c>
      <c r="SP2" s="49">
        <f t="shared" si="8"/>
        <v>4274.6959999999999</v>
      </c>
      <c r="SQ2" s="49">
        <f t="shared" si="8"/>
        <v>4870</v>
      </c>
      <c r="SR2" s="49">
        <f t="shared" si="8"/>
        <v>12157.065000000001</v>
      </c>
      <c r="SS2" s="49">
        <f t="shared" si="8"/>
        <v>14037</v>
      </c>
      <c r="ST2" s="49">
        <f t="shared" si="8"/>
        <v>-2475.2389999999991</v>
      </c>
      <c r="SU2" s="49">
        <f t="shared" si="8"/>
        <v>2208.1320000000001</v>
      </c>
    </row>
    <row r="3" spans="1:515" x14ac:dyDescent="0.25">
      <c r="A3" s="47" t="s">
        <v>310</v>
      </c>
      <c r="B3" s="41">
        <v>1</v>
      </c>
      <c r="J3" s="42"/>
      <c r="K3" s="51"/>
      <c r="L3" s="51"/>
      <c r="M3" s="51"/>
      <c r="N3" s="51">
        <f>J3+L3-K3-M3</f>
        <v>0</v>
      </c>
      <c r="O3" s="43"/>
      <c r="P3" s="46"/>
      <c r="Q3" s="51"/>
      <c r="R3" s="51"/>
      <c r="S3" s="51"/>
      <c r="T3" s="51">
        <f>P3+R3-Q3-S3</f>
        <v>0</v>
      </c>
      <c r="U3" s="43"/>
      <c r="V3" s="42"/>
      <c r="W3" s="51"/>
      <c r="X3" s="51"/>
      <c r="Y3" s="51"/>
      <c r="Z3" s="51">
        <f>V3+X3-W3-Y3</f>
        <v>0</v>
      </c>
      <c r="AA3" s="43"/>
      <c r="AB3" s="42"/>
      <c r="AC3" s="51"/>
      <c r="AD3" s="51"/>
      <c r="AE3" s="51"/>
      <c r="AF3" s="51">
        <v>0</v>
      </c>
      <c r="AG3" s="43"/>
      <c r="AH3" s="51"/>
      <c r="AL3" s="47">
        <v>0</v>
      </c>
      <c r="AM3" s="43"/>
      <c r="AN3" s="42"/>
      <c r="AR3" s="47">
        <v>0</v>
      </c>
      <c r="AS3" s="43"/>
      <c r="AX3" s="47">
        <v>0</v>
      </c>
      <c r="AY3" s="43"/>
      <c r="BD3" s="47">
        <v>0</v>
      </c>
      <c r="BE3" s="43"/>
      <c r="BF3" s="42"/>
      <c r="BJ3" s="47">
        <v>0</v>
      </c>
      <c r="BK3" s="43"/>
      <c r="BL3" s="42"/>
      <c r="BP3" s="47">
        <v>0</v>
      </c>
      <c r="BQ3" s="43"/>
      <c r="BV3" s="47">
        <v>0</v>
      </c>
      <c r="BW3" s="43"/>
      <c r="BX3" s="42"/>
      <c r="CB3" s="47">
        <v>0</v>
      </c>
      <c r="CC3" s="43"/>
      <c r="CH3" s="47">
        <v>0</v>
      </c>
      <c r="CI3" s="43"/>
      <c r="CN3" s="47">
        <v>0</v>
      </c>
      <c r="CO3" s="43"/>
      <c r="CP3" s="42"/>
      <c r="CT3" s="47">
        <v>0</v>
      </c>
      <c r="CU3" s="43"/>
      <c r="CV3" s="42"/>
      <c r="CZ3" s="47">
        <v>0</v>
      </c>
      <c r="DA3" s="43"/>
      <c r="DG3" s="47">
        <v>0</v>
      </c>
      <c r="DH3" s="43"/>
      <c r="DK3" s="47">
        <v>0</v>
      </c>
      <c r="DL3" s="43"/>
      <c r="DM3" s="42"/>
      <c r="DQ3" s="47">
        <v>0</v>
      </c>
      <c r="DR3" s="43"/>
      <c r="DW3" s="47">
        <v>0</v>
      </c>
      <c r="DX3" s="43"/>
      <c r="EC3" s="47">
        <v>0</v>
      </c>
      <c r="ED3" s="43"/>
      <c r="EE3" s="42"/>
      <c r="EI3" s="47">
        <v>0</v>
      </c>
      <c r="EJ3" s="43"/>
      <c r="EO3" s="47">
        <v>0</v>
      </c>
      <c r="EP3" s="43"/>
      <c r="EQ3" s="42"/>
      <c r="EU3" s="47">
        <v>0</v>
      </c>
      <c r="EV3" s="43"/>
      <c r="EW3" s="42"/>
      <c r="FC3" s="47">
        <v>0</v>
      </c>
      <c r="FD3" s="43"/>
      <c r="FE3" s="42"/>
      <c r="FI3" s="47">
        <v>0</v>
      </c>
      <c r="FJ3" s="43"/>
      <c r="FQ3" s="47">
        <v>0</v>
      </c>
      <c r="FR3" s="43"/>
      <c r="FS3" s="42"/>
      <c r="FW3" s="47">
        <v>0</v>
      </c>
      <c r="FX3" s="43"/>
      <c r="FY3" s="42"/>
      <c r="GC3" s="47">
        <v>0</v>
      </c>
      <c r="GD3" s="43"/>
      <c r="GE3" s="42"/>
      <c r="GI3" s="47">
        <v>0</v>
      </c>
      <c r="GJ3" s="43"/>
      <c r="GQ3" s="47">
        <v>0</v>
      </c>
      <c r="GR3" s="43"/>
      <c r="GX3" s="47">
        <v>0</v>
      </c>
      <c r="GY3" s="43"/>
      <c r="GZ3" s="42"/>
      <c r="HC3" s="47">
        <v>0</v>
      </c>
      <c r="HD3" s="43"/>
      <c r="HE3" s="42"/>
      <c r="HH3" s="47">
        <v>0</v>
      </c>
      <c r="HI3" s="43"/>
      <c r="HN3" s="47">
        <v>0</v>
      </c>
      <c r="HO3" s="43"/>
      <c r="HP3" s="42"/>
      <c r="HU3" s="47">
        <v>0</v>
      </c>
      <c r="HV3" s="43"/>
      <c r="IA3" s="47">
        <v>0</v>
      </c>
      <c r="IB3" s="43"/>
      <c r="IC3" s="42"/>
      <c r="IG3" s="47">
        <v>0</v>
      </c>
      <c r="IH3" s="43"/>
      <c r="IM3" s="47">
        <v>0</v>
      </c>
      <c r="IN3" s="43"/>
      <c r="IO3" s="42"/>
      <c r="IQ3" s="47">
        <v>0</v>
      </c>
      <c r="IR3" s="43"/>
      <c r="IS3" s="42"/>
      <c r="IW3" s="47">
        <v>0</v>
      </c>
      <c r="IX3" s="43"/>
      <c r="IY3" s="42"/>
      <c r="JA3" s="47">
        <v>0</v>
      </c>
      <c r="JB3" s="43"/>
      <c r="JC3" s="42"/>
      <c r="JG3" s="47">
        <v>0</v>
      </c>
      <c r="JH3" s="43"/>
      <c r="JO3" s="47">
        <v>0</v>
      </c>
      <c r="JP3" s="43"/>
      <c r="JQ3" s="42"/>
      <c r="JU3" s="47">
        <v>0</v>
      </c>
      <c r="JV3" s="43"/>
      <c r="KA3" s="47">
        <v>0</v>
      </c>
      <c r="KB3" s="45"/>
      <c r="KG3" s="47">
        <v>0</v>
      </c>
      <c r="KH3" s="45"/>
      <c r="KM3" s="47">
        <v>0</v>
      </c>
      <c r="KN3" s="45"/>
      <c r="KQ3" s="44">
        <v>61</v>
      </c>
      <c r="KR3">
        <v>60</v>
      </c>
      <c r="KS3" s="47">
        <v>1</v>
      </c>
      <c r="KT3" s="43"/>
      <c r="KX3" s="45"/>
      <c r="LD3" s="43"/>
      <c r="LE3" s="40"/>
      <c r="LH3" s="45"/>
      <c r="LN3" s="45"/>
      <c r="LT3" s="45"/>
      <c r="LZ3" s="45"/>
      <c r="MF3" s="45"/>
      <c r="MG3" s="46"/>
      <c r="MN3" s="45"/>
      <c r="MT3" s="45"/>
      <c r="MZ3" s="45"/>
      <c r="NA3" s="46"/>
      <c r="ND3" s="45"/>
      <c r="NE3" s="46"/>
      <c r="NK3" s="45"/>
      <c r="NL3" s="46"/>
      <c r="NQ3" s="45"/>
      <c r="NR3" s="46"/>
      <c r="NU3" s="45"/>
      <c r="NV3" s="46"/>
      <c r="OA3" s="45"/>
      <c r="OB3" s="46"/>
      <c r="OE3" s="45"/>
      <c r="OF3" s="46"/>
      <c r="OK3" s="45"/>
      <c r="OM3" s="43"/>
      <c r="OQ3" s="45"/>
      <c r="OR3" s="46"/>
      <c r="OW3" s="45"/>
      <c r="OX3" s="46"/>
      <c r="PC3" s="45"/>
      <c r="PD3" s="46"/>
      <c r="PI3" s="45"/>
      <c r="PJ3" s="46"/>
      <c r="PO3" s="45"/>
      <c r="PP3" s="46"/>
      <c r="PU3" s="45"/>
      <c r="PV3" s="46"/>
      <c r="PY3" s="45"/>
      <c r="PZ3" s="46"/>
      <c r="QA3" s="44"/>
      <c r="QC3" s="45"/>
      <c r="QD3" s="46"/>
      <c r="QE3" s="44"/>
      <c r="QF3" s="44"/>
      <c r="QG3" s="44"/>
      <c r="QI3" s="45"/>
      <c r="QJ3" s="46"/>
      <c r="QK3" s="44"/>
      <c r="QM3" s="45"/>
      <c r="QN3" s="46"/>
      <c r="QO3" s="44"/>
      <c r="QP3" s="44"/>
      <c r="QQ3" s="44"/>
      <c r="QS3" s="45"/>
      <c r="QT3" s="46"/>
      <c r="QU3" s="44"/>
      <c r="QW3" s="45"/>
      <c r="QX3" s="46"/>
      <c r="QY3" s="44"/>
      <c r="QZ3" s="44"/>
      <c r="RA3" s="44"/>
      <c r="RC3" s="45"/>
      <c r="RD3" s="42"/>
      <c r="RE3" s="44"/>
      <c r="RF3" s="44"/>
      <c r="RG3" s="44"/>
      <c r="RI3" s="45"/>
      <c r="RJ3" s="42"/>
      <c r="RO3" s="43"/>
      <c r="RP3" s="42"/>
      <c r="RS3" s="43"/>
      <c r="RT3" s="42"/>
      <c r="RY3" s="43"/>
      <c r="RZ3" s="42"/>
      <c r="SE3" s="43"/>
      <c r="SF3" s="42"/>
      <c r="SK3" s="43"/>
      <c r="SL3" s="42"/>
      <c r="SO3" s="43"/>
      <c r="SP3" s="42"/>
      <c r="SU3" s="43"/>
    </row>
    <row r="4" spans="1:515" x14ac:dyDescent="0.25">
      <c r="A4" s="47" t="s">
        <v>311</v>
      </c>
      <c r="B4" s="41">
        <v>0.4</v>
      </c>
      <c r="E4">
        <v>222</v>
      </c>
      <c r="F4">
        <v>272</v>
      </c>
      <c r="G4">
        <v>272</v>
      </c>
      <c r="J4" s="40">
        <v>128</v>
      </c>
      <c r="K4" s="52">
        <v>134</v>
      </c>
      <c r="L4" s="52">
        <v>104</v>
      </c>
      <c r="M4" s="52">
        <v>110</v>
      </c>
      <c r="N4" s="51">
        <f t="shared" ref="N4:N67" si="9">J4+L4-K4-M4</f>
        <v>-12</v>
      </c>
      <c r="O4" s="43"/>
      <c r="P4" s="40">
        <v>48</v>
      </c>
      <c r="Q4" s="52">
        <v>50</v>
      </c>
      <c r="R4" s="52">
        <v>40</v>
      </c>
      <c r="S4" s="52">
        <v>43</v>
      </c>
      <c r="T4" s="51">
        <f t="shared" ref="T4:T67" si="10">P4+R4-Q4-S4</f>
        <v>-5</v>
      </c>
      <c r="U4" s="43"/>
      <c r="V4" s="42"/>
      <c r="W4" s="51"/>
      <c r="X4" s="51"/>
      <c r="Y4" s="51"/>
      <c r="Z4" s="51">
        <f t="shared" ref="Z4:Z67" si="11">V4+X4-W4-Y4</f>
        <v>0</v>
      </c>
      <c r="AA4" s="43"/>
      <c r="AB4" s="40">
        <v>184</v>
      </c>
      <c r="AC4" s="56">
        <v>190.86956521739131</v>
      </c>
      <c r="AD4" s="52">
        <v>248</v>
      </c>
      <c r="AE4" s="56">
        <v>248.13043478260869</v>
      </c>
      <c r="AF4" s="51">
        <v>-7</v>
      </c>
      <c r="AG4" s="43"/>
      <c r="AH4" s="52">
        <v>32</v>
      </c>
      <c r="AI4">
        <v>39</v>
      </c>
      <c r="AL4" s="47">
        <v>-7</v>
      </c>
      <c r="AM4" s="43"/>
      <c r="AN4" s="40">
        <v>128</v>
      </c>
      <c r="AO4">
        <v>134</v>
      </c>
      <c r="AR4" s="47">
        <v>-6</v>
      </c>
      <c r="AS4" s="43"/>
      <c r="AT4">
        <v>120</v>
      </c>
      <c r="AU4">
        <v>120</v>
      </c>
      <c r="AV4">
        <v>80</v>
      </c>
      <c r="AW4">
        <v>83</v>
      </c>
      <c r="AX4" s="47">
        <v>-3</v>
      </c>
      <c r="AY4" s="43"/>
      <c r="AZ4">
        <v>112</v>
      </c>
      <c r="BA4">
        <v>110</v>
      </c>
      <c r="BB4">
        <v>120</v>
      </c>
      <c r="BC4">
        <v>122</v>
      </c>
      <c r="BD4" s="47">
        <v>0</v>
      </c>
      <c r="BE4" s="43"/>
      <c r="BF4" s="40">
        <v>96</v>
      </c>
      <c r="BG4">
        <v>96</v>
      </c>
      <c r="BH4">
        <v>128</v>
      </c>
      <c r="BI4">
        <v>126</v>
      </c>
      <c r="BJ4" s="47">
        <v>2</v>
      </c>
      <c r="BK4" s="43"/>
      <c r="BL4" s="40">
        <v>160</v>
      </c>
      <c r="BM4">
        <v>160</v>
      </c>
      <c r="BN4">
        <v>128</v>
      </c>
      <c r="BO4">
        <v>130</v>
      </c>
      <c r="BP4" s="47">
        <v>-2</v>
      </c>
      <c r="BQ4" s="43"/>
      <c r="BR4">
        <v>104</v>
      </c>
      <c r="BS4">
        <v>103</v>
      </c>
      <c r="BV4" s="47">
        <v>1</v>
      </c>
      <c r="BW4" s="43"/>
      <c r="BX4" s="42"/>
      <c r="CB4" s="47">
        <v>0</v>
      </c>
      <c r="CC4" s="43"/>
      <c r="CD4">
        <v>296</v>
      </c>
      <c r="CE4">
        <v>300</v>
      </c>
      <c r="CF4">
        <v>304</v>
      </c>
      <c r="CG4">
        <v>305</v>
      </c>
      <c r="CH4" s="47">
        <v>-5</v>
      </c>
      <c r="CI4" s="43"/>
      <c r="CJ4">
        <v>96</v>
      </c>
      <c r="CK4">
        <v>96</v>
      </c>
      <c r="CL4">
        <v>104</v>
      </c>
      <c r="CM4">
        <v>107</v>
      </c>
      <c r="CN4" s="47">
        <v>-3</v>
      </c>
      <c r="CO4" s="43"/>
      <c r="CP4" s="42"/>
      <c r="CT4" s="47">
        <v>0</v>
      </c>
      <c r="CU4" s="43"/>
      <c r="CV4" s="40">
        <v>200</v>
      </c>
      <c r="CW4">
        <v>200</v>
      </c>
      <c r="CX4">
        <v>200</v>
      </c>
      <c r="CY4">
        <v>203</v>
      </c>
      <c r="CZ4" s="47">
        <v>-3</v>
      </c>
      <c r="DA4" s="43"/>
      <c r="DB4">
        <v>120</v>
      </c>
      <c r="DC4">
        <v>120</v>
      </c>
      <c r="DE4">
        <v>40</v>
      </c>
      <c r="DF4">
        <v>40</v>
      </c>
      <c r="DG4" s="47">
        <v>0</v>
      </c>
      <c r="DH4" s="43"/>
      <c r="DI4">
        <v>48</v>
      </c>
      <c r="DJ4">
        <v>48</v>
      </c>
      <c r="DK4" s="47">
        <v>0</v>
      </c>
      <c r="DL4" s="43"/>
      <c r="DM4" s="40">
        <v>104</v>
      </c>
      <c r="DN4">
        <v>105</v>
      </c>
      <c r="DO4">
        <v>264</v>
      </c>
      <c r="DP4">
        <v>268</v>
      </c>
      <c r="DQ4" s="47">
        <v>-5</v>
      </c>
      <c r="DR4" s="43"/>
      <c r="DS4">
        <v>64</v>
      </c>
      <c r="DT4">
        <v>64</v>
      </c>
      <c r="DU4">
        <v>64</v>
      </c>
      <c r="DV4">
        <v>68</v>
      </c>
      <c r="DW4" s="47">
        <v>-4</v>
      </c>
      <c r="DX4" s="43"/>
      <c r="EC4" s="47">
        <v>0</v>
      </c>
      <c r="ED4" s="43"/>
      <c r="EE4" s="42"/>
      <c r="EG4">
        <v>400</v>
      </c>
      <c r="EH4">
        <v>400</v>
      </c>
      <c r="EI4" s="47">
        <v>0</v>
      </c>
      <c r="EJ4" s="43"/>
      <c r="EM4">
        <v>64</v>
      </c>
      <c r="EN4">
        <v>67</v>
      </c>
      <c r="EO4" s="47">
        <v>-3</v>
      </c>
      <c r="EP4" s="43"/>
      <c r="EQ4" s="40">
        <v>80</v>
      </c>
      <c r="ER4">
        <v>80</v>
      </c>
      <c r="ES4">
        <v>80</v>
      </c>
      <c r="ET4">
        <v>79</v>
      </c>
      <c r="EU4" s="47">
        <v>1</v>
      </c>
      <c r="EV4" s="43"/>
      <c r="EW4" s="42"/>
      <c r="FC4" s="47">
        <v>0</v>
      </c>
      <c r="FD4" s="43"/>
      <c r="FE4" s="40">
        <v>160</v>
      </c>
      <c r="FF4">
        <v>160</v>
      </c>
      <c r="FG4">
        <v>216</v>
      </c>
      <c r="FH4">
        <v>220</v>
      </c>
      <c r="FI4" s="47">
        <v>-4</v>
      </c>
      <c r="FJ4" s="43"/>
      <c r="FM4">
        <v>240</v>
      </c>
      <c r="FN4">
        <v>240</v>
      </c>
      <c r="FQ4" s="47">
        <v>0</v>
      </c>
      <c r="FR4" s="43"/>
      <c r="FS4" s="42"/>
      <c r="FU4">
        <v>8</v>
      </c>
      <c r="FV4">
        <v>10</v>
      </c>
      <c r="FW4" s="47">
        <v>-2</v>
      </c>
      <c r="FX4" s="43"/>
      <c r="FY4" s="42"/>
      <c r="GC4" s="47">
        <v>0</v>
      </c>
      <c r="GD4" s="43"/>
      <c r="GE4" s="40">
        <v>240</v>
      </c>
      <c r="GF4">
        <v>240</v>
      </c>
      <c r="GG4">
        <v>256</v>
      </c>
      <c r="GH4">
        <v>260</v>
      </c>
      <c r="GI4" s="47">
        <v>-4</v>
      </c>
      <c r="GJ4" s="43"/>
      <c r="GM4">
        <v>48</v>
      </c>
      <c r="GN4">
        <v>48</v>
      </c>
      <c r="GO4">
        <v>48</v>
      </c>
      <c r="GP4">
        <v>52</v>
      </c>
      <c r="GQ4" s="47">
        <v>-4</v>
      </c>
      <c r="GR4" s="43"/>
      <c r="GS4">
        <v>80</v>
      </c>
      <c r="GT4">
        <v>80</v>
      </c>
      <c r="GU4">
        <v>72</v>
      </c>
      <c r="GW4">
        <v>70</v>
      </c>
      <c r="GX4" s="47">
        <v>2</v>
      </c>
      <c r="GY4" s="43"/>
      <c r="GZ4" s="40">
        <v>192</v>
      </c>
      <c r="HB4" s="44">
        <v>196</v>
      </c>
      <c r="HC4" s="47">
        <v>-4</v>
      </c>
      <c r="HD4" s="43"/>
      <c r="HE4" s="42"/>
      <c r="HH4" s="47">
        <v>0</v>
      </c>
      <c r="HI4" s="43"/>
      <c r="HJ4">
        <v>168</v>
      </c>
      <c r="HM4">
        <v>170</v>
      </c>
      <c r="HN4" s="47">
        <v>-2</v>
      </c>
      <c r="HO4" s="43"/>
      <c r="HP4" s="40">
        <v>72</v>
      </c>
      <c r="HR4">
        <v>70</v>
      </c>
      <c r="HS4">
        <v>96</v>
      </c>
      <c r="HT4">
        <v>100</v>
      </c>
      <c r="HU4" s="47">
        <v>-2</v>
      </c>
      <c r="HV4" s="43"/>
      <c r="HW4">
        <v>136</v>
      </c>
      <c r="HX4">
        <v>140</v>
      </c>
      <c r="HY4">
        <v>128</v>
      </c>
      <c r="HZ4">
        <v>130</v>
      </c>
      <c r="IA4" s="47">
        <v>-6</v>
      </c>
      <c r="IB4" s="43"/>
      <c r="IC4" s="42"/>
      <c r="IE4">
        <v>136</v>
      </c>
      <c r="IF4">
        <v>140</v>
      </c>
      <c r="IG4" s="47">
        <v>-4</v>
      </c>
      <c r="IH4" s="43"/>
      <c r="IK4">
        <v>112</v>
      </c>
      <c r="IL4">
        <v>110</v>
      </c>
      <c r="IM4" s="47">
        <v>2</v>
      </c>
      <c r="IN4" s="43"/>
      <c r="IO4" s="40">
        <v>24</v>
      </c>
      <c r="IP4" s="44">
        <v>27</v>
      </c>
      <c r="IQ4" s="47">
        <v>-3</v>
      </c>
      <c r="IR4" s="43"/>
      <c r="IS4" s="40">
        <v>96</v>
      </c>
      <c r="IT4">
        <v>100</v>
      </c>
      <c r="IU4">
        <v>128</v>
      </c>
      <c r="IV4">
        <v>130</v>
      </c>
      <c r="IW4" s="47">
        <v>-6</v>
      </c>
      <c r="IX4" s="43"/>
      <c r="IY4" s="40">
        <v>328</v>
      </c>
      <c r="IZ4">
        <v>330</v>
      </c>
      <c r="JA4" s="47">
        <v>-2</v>
      </c>
      <c r="JB4" s="43"/>
      <c r="JC4" s="42"/>
      <c r="JG4" s="47">
        <v>0</v>
      </c>
      <c r="JH4" s="43"/>
      <c r="JI4">
        <v>200</v>
      </c>
      <c r="JJ4">
        <v>200</v>
      </c>
      <c r="JK4">
        <v>200</v>
      </c>
      <c r="JL4">
        <v>200</v>
      </c>
      <c r="JO4" s="47">
        <v>0</v>
      </c>
      <c r="JP4" s="43"/>
      <c r="JQ4" s="42"/>
      <c r="JS4">
        <v>96</v>
      </c>
      <c r="JT4">
        <v>100</v>
      </c>
      <c r="JU4" s="47">
        <v>-4</v>
      </c>
      <c r="JV4" s="43"/>
      <c r="JY4">
        <v>128</v>
      </c>
      <c r="JZ4">
        <v>130</v>
      </c>
      <c r="KA4" s="47">
        <v>-2</v>
      </c>
      <c r="KB4" s="45"/>
      <c r="KC4">
        <v>40</v>
      </c>
      <c r="KD4">
        <v>40</v>
      </c>
      <c r="KE4">
        <v>40</v>
      </c>
      <c r="KF4">
        <v>40</v>
      </c>
      <c r="KG4" s="47">
        <v>0</v>
      </c>
      <c r="KH4" s="45"/>
      <c r="KM4" s="47">
        <v>0</v>
      </c>
      <c r="KN4" s="45"/>
      <c r="KO4">
        <v>112</v>
      </c>
      <c r="KP4">
        <v>110</v>
      </c>
      <c r="KQ4">
        <v>88</v>
      </c>
      <c r="KR4">
        <v>90</v>
      </c>
      <c r="KS4" s="47">
        <v>0</v>
      </c>
      <c r="KT4" s="43"/>
      <c r="KW4" s="47">
        <v>0</v>
      </c>
      <c r="KX4" s="45"/>
      <c r="KY4">
        <v>80</v>
      </c>
      <c r="KZ4">
        <v>80</v>
      </c>
      <c r="LA4">
        <v>72</v>
      </c>
      <c r="LB4">
        <v>76</v>
      </c>
      <c r="LC4" s="47">
        <v>-4</v>
      </c>
      <c r="LD4" s="43"/>
      <c r="LE4" s="40">
        <v>88</v>
      </c>
      <c r="LF4" s="44">
        <v>90</v>
      </c>
      <c r="LG4" s="47">
        <v>-2</v>
      </c>
      <c r="LH4" s="45"/>
      <c r="LK4">
        <v>16</v>
      </c>
      <c r="LL4">
        <v>20</v>
      </c>
      <c r="LM4" s="47">
        <v>-4</v>
      </c>
      <c r="LN4" s="45"/>
      <c r="LS4" s="47">
        <v>0</v>
      </c>
      <c r="LT4" s="45"/>
      <c r="LW4">
        <v>96</v>
      </c>
      <c r="LX4">
        <v>100</v>
      </c>
      <c r="LY4" s="47">
        <v>-4</v>
      </c>
      <c r="LZ4" s="45"/>
      <c r="ME4" s="47">
        <v>0</v>
      </c>
      <c r="MF4" s="45"/>
      <c r="MG4" s="46"/>
      <c r="MI4">
        <v>40</v>
      </c>
      <c r="MJ4">
        <v>40</v>
      </c>
      <c r="MK4">
        <v>40</v>
      </c>
      <c r="ML4">
        <v>40</v>
      </c>
      <c r="MM4" s="47">
        <v>0</v>
      </c>
      <c r="MN4" s="45"/>
      <c r="MO4" s="44">
        <v>0</v>
      </c>
      <c r="MP4" s="44">
        <v>0</v>
      </c>
      <c r="MQ4" s="44">
        <v>32</v>
      </c>
      <c r="MR4" s="44">
        <v>32</v>
      </c>
      <c r="MS4" s="47">
        <v>0</v>
      </c>
      <c r="MT4" s="45"/>
      <c r="MU4" s="44">
        <v>0</v>
      </c>
      <c r="MV4" s="44">
        <v>0</v>
      </c>
      <c r="MW4" s="44">
        <v>0</v>
      </c>
      <c r="MX4" s="44">
        <v>0</v>
      </c>
      <c r="MY4" s="47">
        <v>0</v>
      </c>
      <c r="MZ4" s="45"/>
      <c r="NA4" s="46">
        <v>72</v>
      </c>
      <c r="NB4" s="44">
        <v>70</v>
      </c>
      <c r="NC4" s="47">
        <v>2</v>
      </c>
      <c r="ND4" s="45"/>
      <c r="NE4" s="46">
        <v>200</v>
      </c>
      <c r="NF4" s="44">
        <v>200</v>
      </c>
      <c r="NG4" s="44">
        <v>0</v>
      </c>
      <c r="NH4" s="44">
        <v>0</v>
      </c>
      <c r="NI4" s="44">
        <v>150</v>
      </c>
      <c r="NJ4" s="50">
        <v>-150</v>
      </c>
      <c r="NK4" s="45">
        <v>60</v>
      </c>
      <c r="NL4" s="46">
        <v>48</v>
      </c>
      <c r="NM4" s="44">
        <v>48</v>
      </c>
      <c r="NN4" s="44">
        <v>48</v>
      </c>
      <c r="NO4" s="44">
        <v>52</v>
      </c>
      <c r="NP4" s="47">
        <v>-4</v>
      </c>
      <c r="NQ4" s="45"/>
      <c r="NR4" s="46">
        <v>88</v>
      </c>
      <c r="NS4" s="44">
        <v>90</v>
      </c>
      <c r="NT4" s="47">
        <v>-2</v>
      </c>
      <c r="NU4" s="45"/>
      <c r="NV4" s="46">
        <v>0</v>
      </c>
      <c r="NW4" s="44">
        <v>0</v>
      </c>
      <c r="NX4" s="44">
        <v>16</v>
      </c>
      <c r="NY4" s="44">
        <v>20</v>
      </c>
      <c r="NZ4" s="47">
        <v>-4</v>
      </c>
      <c r="OA4" s="45"/>
      <c r="OB4" s="46">
        <v>272</v>
      </c>
      <c r="OC4" s="44">
        <v>270</v>
      </c>
      <c r="OD4" s="47">
        <v>2</v>
      </c>
      <c r="OE4" s="45"/>
      <c r="OF4" s="46">
        <v>32</v>
      </c>
      <c r="OG4" s="44">
        <v>32</v>
      </c>
      <c r="OH4" s="44">
        <v>40</v>
      </c>
      <c r="OI4" s="44">
        <v>38</v>
      </c>
      <c r="OJ4" s="47">
        <v>2</v>
      </c>
      <c r="OK4" s="45"/>
      <c r="OL4" s="44">
        <v>0</v>
      </c>
      <c r="OM4" s="43"/>
      <c r="ON4" s="44">
        <v>56</v>
      </c>
      <c r="OO4" s="44">
        <v>60</v>
      </c>
      <c r="OP4" s="47">
        <v>-4</v>
      </c>
      <c r="OQ4" s="45"/>
      <c r="OR4" s="46">
        <v>0</v>
      </c>
      <c r="OS4" s="44">
        <v>0</v>
      </c>
      <c r="OT4" s="44">
        <v>56</v>
      </c>
      <c r="OU4" s="44">
        <v>60</v>
      </c>
      <c r="OV4" s="47">
        <v>-4</v>
      </c>
      <c r="OW4" s="45"/>
      <c r="OX4" s="46">
        <v>96</v>
      </c>
      <c r="OY4" s="44">
        <v>25</v>
      </c>
      <c r="OZ4" s="44">
        <v>0</v>
      </c>
      <c r="PA4" s="44">
        <v>0</v>
      </c>
      <c r="PB4" s="47">
        <v>71</v>
      </c>
      <c r="PC4" s="45"/>
      <c r="PD4" s="46">
        <v>0</v>
      </c>
      <c r="PE4" s="44">
        <v>0</v>
      </c>
      <c r="PF4" s="44">
        <v>0</v>
      </c>
      <c r="PG4" s="44">
        <v>0</v>
      </c>
      <c r="PH4" s="47">
        <v>0</v>
      </c>
      <c r="PI4" s="45"/>
      <c r="PJ4" s="25">
        <v>128</v>
      </c>
      <c r="PK4" s="44">
        <v>0</v>
      </c>
      <c r="PL4" s="44">
        <v>152</v>
      </c>
      <c r="PM4" s="44">
        <v>150</v>
      </c>
      <c r="PN4" s="47">
        <v>130</v>
      </c>
      <c r="PO4" s="45"/>
      <c r="PP4" s="46">
        <v>0</v>
      </c>
      <c r="PQ4" s="44">
        <v>0</v>
      </c>
      <c r="PR4" s="44">
        <v>168</v>
      </c>
      <c r="PS4" s="44">
        <v>170</v>
      </c>
      <c r="PT4" s="47">
        <v>-2</v>
      </c>
      <c r="PU4" s="45"/>
      <c r="PV4" s="46">
        <v>16</v>
      </c>
      <c r="PW4" s="44">
        <v>50</v>
      </c>
      <c r="PX4" s="50">
        <v>-34</v>
      </c>
      <c r="PY4" s="45">
        <v>13.6</v>
      </c>
      <c r="PZ4" s="46">
        <v>168</v>
      </c>
      <c r="QA4" s="44">
        <v>170</v>
      </c>
      <c r="QB4" s="47">
        <v>-2</v>
      </c>
      <c r="QC4" s="45"/>
      <c r="QD4" s="46">
        <v>0</v>
      </c>
      <c r="QE4" s="44">
        <v>0</v>
      </c>
      <c r="QF4" s="44">
        <v>40</v>
      </c>
      <c r="QG4" s="44">
        <v>40</v>
      </c>
      <c r="QH4" s="47">
        <v>0</v>
      </c>
      <c r="QI4" s="45"/>
      <c r="QJ4" s="46">
        <v>0</v>
      </c>
      <c r="QK4" s="44">
        <v>0</v>
      </c>
      <c r="QL4" s="47">
        <v>0</v>
      </c>
      <c r="QM4" s="45"/>
      <c r="QN4" s="46">
        <v>80</v>
      </c>
      <c r="QO4" s="44">
        <v>80</v>
      </c>
      <c r="QP4" s="44">
        <v>72</v>
      </c>
      <c r="QQ4" s="44">
        <v>70</v>
      </c>
      <c r="QR4" s="47">
        <v>2</v>
      </c>
      <c r="QS4" s="45"/>
      <c r="QT4" s="46">
        <v>0</v>
      </c>
      <c r="QU4" s="44">
        <v>0</v>
      </c>
      <c r="QV4" s="47">
        <v>0</v>
      </c>
      <c r="QW4" s="45"/>
      <c r="QX4" s="46">
        <v>0</v>
      </c>
      <c r="QY4" s="44">
        <v>0</v>
      </c>
      <c r="QZ4" s="44">
        <v>0</v>
      </c>
      <c r="RA4" s="44">
        <v>0</v>
      </c>
      <c r="RB4" s="47">
        <v>0</v>
      </c>
      <c r="RC4" s="45"/>
      <c r="RD4" s="42">
        <v>0</v>
      </c>
      <c r="RE4" s="44">
        <v>0</v>
      </c>
      <c r="RF4" s="44">
        <v>0</v>
      </c>
      <c r="RG4" s="44">
        <v>0</v>
      </c>
      <c r="RH4" s="47">
        <v>0</v>
      </c>
      <c r="RI4" s="45"/>
      <c r="RJ4" s="42">
        <v>48</v>
      </c>
      <c r="RK4" s="47">
        <v>50</v>
      </c>
      <c r="RL4" s="47">
        <v>48</v>
      </c>
      <c r="RM4" s="47">
        <v>50</v>
      </c>
      <c r="RN4" s="47">
        <v>-4</v>
      </c>
      <c r="RO4" s="43"/>
      <c r="RP4" s="42">
        <v>48</v>
      </c>
      <c r="RQ4" s="47">
        <v>50</v>
      </c>
      <c r="RR4" s="47">
        <v>-2</v>
      </c>
      <c r="RS4" s="43"/>
      <c r="RT4" s="42">
        <v>0</v>
      </c>
      <c r="RU4" s="47">
        <v>0</v>
      </c>
      <c r="RV4" s="47">
        <v>0</v>
      </c>
      <c r="RW4" s="47">
        <v>0</v>
      </c>
      <c r="RX4" s="47">
        <v>0</v>
      </c>
      <c r="RY4" s="43"/>
      <c r="RZ4" s="42">
        <v>0</v>
      </c>
      <c r="SA4" s="47">
        <v>0</v>
      </c>
      <c r="SB4" s="47">
        <v>0</v>
      </c>
      <c r="SC4" s="47">
        <v>0</v>
      </c>
      <c r="SD4" s="47">
        <v>0</v>
      </c>
      <c r="SE4" s="43"/>
      <c r="SF4" s="42">
        <v>0</v>
      </c>
      <c r="SG4" s="47">
        <v>0</v>
      </c>
      <c r="SH4" s="47">
        <v>0</v>
      </c>
      <c r="SI4" s="47">
        <v>0</v>
      </c>
      <c r="SJ4" s="47">
        <v>0</v>
      </c>
      <c r="SK4" s="43"/>
      <c r="SL4" s="42">
        <v>0</v>
      </c>
      <c r="SM4" s="47">
        <v>70</v>
      </c>
      <c r="SN4" s="50">
        <v>-70</v>
      </c>
      <c r="SO4" s="43">
        <v>28</v>
      </c>
      <c r="SP4" s="42">
        <v>0</v>
      </c>
      <c r="SQ4" s="47">
        <v>0</v>
      </c>
      <c r="SR4" s="47">
        <v>112</v>
      </c>
      <c r="SS4" s="47">
        <v>111</v>
      </c>
      <c r="ST4" s="47">
        <v>1</v>
      </c>
      <c r="SU4" s="43"/>
    </row>
    <row r="5" spans="1:515" x14ac:dyDescent="0.25">
      <c r="A5" s="47" t="s">
        <v>312</v>
      </c>
      <c r="B5" s="41">
        <v>1</v>
      </c>
      <c r="F5">
        <v>94</v>
      </c>
      <c r="G5">
        <v>90</v>
      </c>
      <c r="J5" s="42"/>
      <c r="K5" s="51"/>
      <c r="L5" s="52">
        <v>72</v>
      </c>
      <c r="M5" s="52">
        <v>70</v>
      </c>
      <c r="N5" s="51">
        <f t="shared" si="9"/>
        <v>2</v>
      </c>
      <c r="O5" s="43"/>
      <c r="P5" s="46"/>
      <c r="Q5" s="51"/>
      <c r="R5" s="52">
        <v>12</v>
      </c>
      <c r="S5" s="52">
        <v>13</v>
      </c>
      <c r="T5" s="51">
        <f t="shared" si="10"/>
        <v>-1</v>
      </c>
      <c r="U5" s="43"/>
      <c r="V5" s="42"/>
      <c r="W5" s="51"/>
      <c r="X5" s="51"/>
      <c r="Y5" s="51"/>
      <c r="Z5" s="51">
        <f t="shared" si="11"/>
        <v>0</v>
      </c>
      <c r="AA5" s="43"/>
      <c r="AB5" s="42"/>
      <c r="AC5" s="51"/>
      <c r="AD5" s="51"/>
      <c r="AE5" s="51"/>
      <c r="AF5" s="51">
        <v>0</v>
      </c>
      <c r="AG5" s="43"/>
      <c r="AH5" s="51"/>
      <c r="AL5" s="47">
        <v>0</v>
      </c>
      <c r="AM5" s="43"/>
      <c r="AN5" s="42"/>
      <c r="AP5">
        <v>8</v>
      </c>
      <c r="AQ5">
        <v>11</v>
      </c>
      <c r="AR5" s="47">
        <v>-3</v>
      </c>
      <c r="AS5" s="43"/>
      <c r="AV5">
        <v>28</v>
      </c>
      <c r="AW5">
        <v>28</v>
      </c>
      <c r="AX5" s="47">
        <v>0</v>
      </c>
      <c r="AY5" s="43"/>
      <c r="BD5" s="47">
        <v>0</v>
      </c>
      <c r="BE5" s="43"/>
      <c r="BF5" s="42"/>
      <c r="BH5">
        <v>12</v>
      </c>
      <c r="BI5">
        <v>13</v>
      </c>
      <c r="BJ5" s="47">
        <v>-1</v>
      </c>
      <c r="BK5" s="43"/>
      <c r="BL5" s="42"/>
      <c r="BP5" s="47">
        <v>0</v>
      </c>
      <c r="BQ5" s="43"/>
      <c r="BT5">
        <v>12</v>
      </c>
      <c r="BU5">
        <v>10</v>
      </c>
      <c r="BV5" s="47">
        <v>2</v>
      </c>
      <c r="BW5" s="43"/>
      <c r="BX5" s="42"/>
      <c r="BZ5">
        <v>24</v>
      </c>
      <c r="CA5">
        <v>25</v>
      </c>
      <c r="CB5" s="47">
        <v>-1</v>
      </c>
      <c r="CC5" s="43"/>
      <c r="CH5" s="47">
        <v>0</v>
      </c>
      <c r="CI5" s="43"/>
      <c r="CN5" s="47">
        <v>0</v>
      </c>
      <c r="CO5" s="43"/>
      <c r="CP5" s="42"/>
      <c r="CR5">
        <v>19</v>
      </c>
      <c r="CS5">
        <v>21</v>
      </c>
      <c r="CT5" s="47">
        <v>-2</v>
      </c>
      <c r="CU5" s="43"/>
      <c r="CV5" s="42"/>
      <c r="CX5">
        <v>8</v>
      </c>
      <c r="CY5">
        <v>6</v>
      </c>
      <c r="CZ5" s="47">
        <v>2</v>
      </c>
      <c r="DA5" s="43"/>
      <c r="DG5" s="47">
        <v>0</v>
      </c>
      <c r="DH5" s="43"/>
      <c r="DK5" s="47">
        <v>0</v>
      </c>
      <c r="DL5" s="43"/>
      <c r="DM5" s="42"/>
      <c r="DQ5" s="47">
        <v>0</v>
      </c>
      <c r="DR5" s="43"/>
      <c r="DU5">
        <v>31</v>
      </c>
      <c r="DV5">
        <v>30</v>
      </c>
      <c r="DW5" s="47">
        <v>1</v>
      </c>
      <c r="DX5" s="43"/>
      <c r="EC5" s="47">
        <v>0</v>
      </c>
      <c r="ED5" s="43"/>
      <c r="EE5" s="42"/>
      <c r="EI5" s="47">
        <v>0</v>
      </c>
      <c r="EJ5" s="43"/>
      <c r="EO5" s="47">
        <v>0</v>
      </c>
      <c r="EP5" s="43"/>
      <c r="EQ5" s="42"/>
      <c r="EU5" s="47">
        <v>0</v>
      </c>
      <c r="EV5" s="43"/>
      <c r="EW5" s="42"/>
      <c r="FA5">
        <v>43</v>
      </c>
      <c r="FB5">
        <v>42</v>
      </c>
      <c r="FC5" s="47">
        <v>1</v>
      </c>
      <c r="FD5" s="43"/>
      <c r="FE5" s="42"/>
      <c r="FI5" s="47">
        <v>0</v>
      </c>
      <c r="FJ5" s="43"/>
      <c r="FM5">
        <v>16</v>
      </c>
      <c r="FN5">
        <v>14</v>
      </c>
      <c r="FQ5" s="47">
        <v>2</v>
      </c>
      <c r="FR5" s="43"/>
      <c r="FS5" s="42"/>
      <c r="FU5">
        <v>20</v>
      </c>
      <c r="FV5">
        <v>20</v>
      </c>
      <c r="FW5" s="47">
        <v>0</v>
      </c>
      <c r="FX5" s="43"/>
      <c r="FY5" s="42"/>
      <c r="GC5" s="47">
        <v>0</v>
      </c>
      <c r="GD5" s="43"/>
      <c r="GE5" s="42"/>
      <c r="GG5">
        <v>8</v>
      </c>
      <c r="GH5">
        <v>12</v>
      </c>
      <c r="GI5" s="47">
        <v>-4</v>
      </c>
      <c r="GJ5" s="43"/>
      <c r="GO5">
        <v>12</v>
      </c>
      <c r="GP5">
        <v>12</v>
      </c>
      <c r="GQ5" s="47">
        <v>0</v>
      </c>
      <c r="GR5" s="43"/>
      <c r="GX5" s="47">
        <v>0</v>
      </c>
      <c r="GY5" s="43"/>
      <c r="GZ5" s="42"/>
      <c r="HC5" s="47">
        <v>0</v>
      </c>
      <c r="HD5" s="43"/>
      <c r="HE5" s="40">
        <v>24</v>
      </c>
      <c r="HG5">
        <v>21</v>
      </c>
      <c r="HH5" s="47">
        <v>3</v>
      </c>
      <c r="HI5" s="43"/>
      <c r="HJ5">
        <v>8</v>
      </c>
      <c r="HM5">
        <v>9</v>
      </c>
      <c r="HN5" s="47">
        <v>-1</v>
      </c>
      <c r="HO5" s="43"/>
      <c r="HP5" s="42"/>
      <c r="HS5">
        <v>12</v>
      </c>
      <c r="HT5">
        <v>12</v>
      </c>
      <c r="HU5" s="47">
        <v>0</v>
      </c>
      <c r="HV5" s="43"/>
      <c r="IA5" s="47">
        <v>0</v>
      </c>
      <c r="IB5" s="43"/>
      <c r="IC5" s="42"/>
      <c r="IE5">
        <v>16</v>
      </c>
      <c r="IF5">
        <v>14</v>
      </c>
      <c r="IG5" s="47">
        <v>2</v>
      </c>
      <c r="IH5" s="43"/>
      <c r="IM5" s="47">
        <v>0</v>
      </c>
      <c r="IN5" s="43"/>
      <c r="IO5" s="40">
        <v>20</v>
      </c>
      <c r="IP5" s="44">
        <v>17.3034</v>
      </c>
      <c r="IQ5" s="47">
        <v>2.6966000000000001</v>
      </c>
      <c r="IR5" s="43"/>
      <c r="IS5" s="42"/>
      <c r="IW5" s="47">
        <v>0</v>
      </c>
      <c r="IX5" s="43"/>
      <c r="IY5" s="40">
        <v>12</v>
      </c>
      <c r="IZ5">
        <v>11</v>
      </c>
      <c r="JA5" s="47">
        <v>1</v>
      </c>
      <c r="JB5" s="43"/>
      <c r="JC5" s="42"/>
      <c r="JG5" s="47">
        <v>0</v>
      </c>
      <c r="JH5" s="43"/>
      <c r="JM5">
        <v>8</v>
      </c>
      <c r="JN5">
        <v>10</v>
      </c>
      <c r="JO5" s="47">
        <v>-2</v>
      </c>
      <c r="JP5" s="43"/>
      <c r="JQ5" s="42"/>
      <c r="JU5" s="47">
        <v>0</v>
      </c>
      <c r="JV5" s="43"/>
      <c r="KA5" s="47">
        <v>0</v>
      </c>
      <c r="KB5" s="45"/>
      <c r="KG5" s="47">
        <v>0</v>
      </c>
      <c r="KH5" s="45"/>
      <c r="KM5" s="47">
        <v>0</v>
      </c>
      <c r="KN5" s="45"/>
      <c r="KS5" s="47">
        <v>0</v>
      </c>
      <c r="KT5" s="43"/>
      <c r="KU5">
        <v>12</v>
      </c>
      <c r="KV5">
        <v>10</v>
      </c>
      <c r="KW5" s="47">
        <v>2</v>
      </c>
      <c r="KX5" s="45"/>
      <c r="LA5">
        <v>32</v>
      </c>
      <c r="LB5">
        <v>30</v>
      </c>
      <c r="LC5" s="47">
        <v>2</v>
      </c>
      <c r="LD5" s="43"/>
      <c r="LE5" s="40">
        <v>31</v>
      </c>
      <c r="LF5" s="44">
        <v>30</v>
      </c>
      <c r="LG5" s="47">
        <v>1</v>
      </c>
      <c r="LH5" s="45"/>
      <c r="LM5" s="47">
        <v>0</v>
      </c>
      <c r="LN5" s="45"/>
      <c r="LS5" s="47">
        <v>0</v>
      </c>
      <c r="LT5" s="45"/>
      <c r="LW5">
        <v>12</v>
      </c>
      <c r="LX5">
        <v>10</v>
      </c>
      <c r="LY5" s="47">
        <v>2</v>
      </c>
      <c r="LZ5" s="45"/>
      <c r="MC5">
        <v>27</v>
      </c>
      <c r="MD5">
        <v>30</v>
      </c>
      <c r="ME5" s="47">
        <v>-3</v>
      </c>
      <c r="MF5" s="45"/>
      <c r="MG5" s="46"/>
      <c r="MM5" s="47">
        <v>0</v>
      </c>
      <c r="MN5" s="45"/>
      <c r="MO5" s="44">
        <v>0</v>
      </c>
      <c r="MP5" s="44">
        <v>0</v>
      </c>
      <c r="MQ5" s="44">
        <v>0</v>
      </c>
      <c r="MR5" s="44">
        <v>0</v>
      </c>
      <c r="MS5" s="47">
        <v>0</v>
      </c>
      <c r="MT5" s="45"/>
      <c r="MU5" s="44">
        <v>0</v>
      </c>
      <c r="MV5" s="44">
        <v>0</v>
      </c>
      <c r="MW5" s="44">
        <v>0</v>
      </c>
      <c r="MX5" s="44">
        <v>0</v>
      </c>
      <c r="MY5" s="47">
        <v>0</v>
      </c>
      <c r="MZ5" s="45"/>
      <c r="NA5" s="46">
        <v>23.518000000000001</v>
      </c>
      <c r="NB5" s="44">
        <v>22</v>
      </c>
      <c r="NC5" s="47">
        <v>1.5180000000000009</v>
      </c>
      <c r="ND5" s="45"/>
      <c r="NE5" s="46">
        <v>0</v>
      </c>
      <c r="NF5" s="44">
        <v>0</v>
      </c>
      <c r="NG5" s="44">
        <v>19.88</v>
      </c>
      <c r="NH5" s="44">
        <v>0</v>
      </c>
      <c r="NI5" s="44">
        <v>20</v>
      </c>
      <c r="NJ5" s="47">
        <v>-0.12000000000000099</v>
      </c>
      <c r="NK5" s="45"/>
      <c r="NL5" s="46">
        <v>0</v>
      </c>
      <c r="NM5" s="44">
        <v>0</v>
      </c>
      <c r="NN5" s="44">
        <v>31.047000000000001</v>
      </c>
      <c r="NO5" s="44">
        <v>30</v>
      </c>
      <c r="NP5" s="47">
        <v>1.047000000000001</v>
      </c>
      <c r="NQ5" s="45"/>
      <c r="NR5" s="46">
        <v>16.033999999999999</v>
      </c>
      <c r="NS5" s="44">
        <v>17</v>
      </c>
      <c r="NT5" s="47">
        <v>-0.96600000000000108</v>
      </c>
      <c r="NU5" s="45"/>
      <c r="NV5" s="46">
        <v>0</v>
      </c>
      <c r="NW5" s="44">
        <v>0</v>
      </c>
      <c r="NX5" s="44">
        <v>0</v>
      </c>
      <c r="NY5" s="44">
        <v>0</v>
      </c>
      <c r="NZ5" s="47">
        <v>0</v>
      </c>
      <c r="OA5" s="45"/>
      <c r="OB5" s="46">
        <v>11.917999999999999</v>
      </c>
      <c r="OC5" s="44">
        <v>10</v>
      </c>
      <c r="OD5" s="47">
        <v>1.917999999999999</v>
      </c>
      <c r="OE5" s="45"/>
      <c r="OF5" s="46">
        <v>0</v>
      </c>
      <c r="OG5" s="44">
        <v>0</v>
      </c>
      <c r="OH5" s="44">
        <v>0</v>
      </c>
      <c r="OI5" s="44">
        <v>0</v>
      </c>
      <c r="OJ5" s="47">
        <v>0</v>
      </c>
      <c r="OK5" s="45"/>
      <c r="OL5" s="44">
        <v>0</v>
      </c>
      <c r="OM5" s="43"/>
      <c r="ON5" s="44">
        <v>11.938000000000001</v>
      </c>
      <c r="OO5" s="44">
        <v>10</v>
      </c>
      <c r="OP5" s="47">
        <v>1.9380000000000011</v>
      </c>
      <c r="OQ5" s="45"/>
      <c r="OR5" s="46">
        <v>0</v>
      </c>
      <c r="OS5" s="44">
        <v>0</v>
      </c>
      <c r="OT5" s="44">
        <v>0</v>
      </c>
      <c r="OU5" s="44">
        <v>0</v>
      </c>
      <c r="OV5" s="47">
        <v>0</v>
      </c>
      <c r="OW5" s="45"/>
      <c r="OX5" s="46">
        <v>0</v>
      </c>
      <c r="OY5" s="44">
        <v>0</v>
      </c>
      <c r="OZ5" s="44">
        <v>0</v>
      </c>
      <c r="PA5" s="44">
        <v>0</v>
      </c>
      <c r="PB5" s="47">
        <v>0</v>
      </c>
      <c r="PC5" s="45"/>
      <c r="PD5" s="46">
        <v>0</v>
      </c>
      <c r="PE5" s="44">
        <v>0</v>
      </c>
      <c r="PF5" s="44">
        <v>20.552</v>
      </c>
      <c r="PG5" s="44">
        <v>20</v>
      </c>
      <c r="PH5" s="47">
        <v>0.5519999999999996</v>
      </c>
      <c r="PI5" s="45"/>
      <c r="PJ5" s="46">
        <v>0</v>
      </c>
      <c r="PK5" s="44">
        <v>0</v>
      </c>
      <c r="PL5" s="44">
        <v>19.988</v>
      </c>
      <c r="PM5" s="44">
        <v>20</v>
      </c>
      <c r="PN5" s="47">
        <v>-1.200000000000045E-2</v>
      </c>
      <c r="PO5" s="45"/>
      <c r="PP5" s="46">
        <v>0</v>
      </c>
      <c r="PQ5" s="44">
        <v>0</v>
      </c>
      <c r="PR5" s="44">
        <v>31.934000000000001</v>
      </c>
      <c r="PS5" s="44">
        <v>30</v>
      </c>
      <c r="PT5" s="47">
        <v>1.9340000000000011</v>
      </c>
      <c r="PU5" s="45"/>
      <c r="PV5" s="46">
        <v>32.256999999999998</v>
      </c>
      <c r="PW5" s="44">
        <v>30</v>
      </c>
      <c r="PX5" s="47">
        <v>2.2569999999999979</v>
      </c>
      <c r="PY5" s="45"/>
      <c r="PZ5" s="46">
        <v>12.308</v>
      </c>
      <c r="QA5" s="44">
        <v>10</v>
      </c>
      <c r="QB5" s="47">
        <v>2.3079999999999998</v>
      </c>
      <c r="QC5" s="45"/>
      <c r="QD5" s="46">
        <v>0</v>
      </c>
      <c r="QE5" s="44">
        <v>0</v>
      </c>
      <c r="QF5" s="44">
        <v>0</v>
      </c>
      <c r="QG5" s="44">
        <v>0</v>
      </c>
      <c r="QH5" s="47">
        <v>0</v>
      </c>
      <c r="QI5" s="45"/>
      <c r="QJ5" s="46">
        <v>36.506</v>
      </c>
      <c r="QK5" s="44">
        <v>35</v>
      </c>
      <c r="QL5" s="47">
        <v>1.506</v>
      </c>
      <c r="QM5" s="45"/>
      <c r="QN5" s="46">
        <v>0</v>
      </c>
      <c r="QO5" s="44">
        <v>0</v>
      </c>
      <c r="QP5" s="44">
        <v>19.934000000000001</v>
      </c>
      <c r="QQ5" s="44">
        <v>18</v>
      </c>
      <c r="QR5" s="47">
        <v>1.9340000000000011</v>
      </c>
      <c r="QS5" s="45"/>
      <c r="QT5" s="46">
        <v>0</v>
      </c>
      <c r="QU5" s="44">
        <v>0</v>
      </c>
      <c r="QV5" s="47">
        <v>0</v>
      </c>
      <c r="QW5" s="45"/>
      <c r="QX5" s="46">
        <v>0</v>
      </c>
      <c r="QY5" s="44">
        <v>0</v>
      </c>
      <c r="QZ5" s="44">
        <v>12.064</v>
      </c>
      <c r="RA5" s="44">
        <v>10</v>
      </c>
      <c r="RB5" s="47">
        <v>2.0640000000000001</v>
      </c>
      <c r="RC5" s="45"/>
      <c r="RD5" s="42">
        <v>0</v>
      </c>
      <c r="RE5" s="44">
        <v>0</v>
      </c>
      <c r="RF5" s="44">
        <v>0</v>
      </c>
      <c r="RG5" s="44">
        <v>0</v>
      </c>
      <c r="RH5" s="47">
        <v>0</v>
      </c>
      <c r="RI5" s="45"/>
      <c r="RJ5" s="42">
        <v>51.072000000000003</v>
      </c>
      <c r="RK5" s="47">
        <v>50</v>
      </c>
      <c r="RL5" s="47">
        <v>0</v>
      </c>
      <c r="RM5" s="47">
        <v>0</v>
      </c>
      <c r="RN5" s="47">
        <v>1.072000000000003</v>
      </c>
      <c r="RO5" s="43"/>
      <c r="RP5" s="42">
        <v>48.344999999999999</v>
      </c>
      <c r="RQ5" s="47">
        <v>48</v>
      </c>
      <c r="RR5" s="47">
        <v>0.34499999999999892</v>
      </c>
      <c r="RS5" s="43"/>
      <c r="RT5" s="42">
        <v>0</v>
      </c>
      <c r="RU5" s="47">
        <v>0</v>
      </c>
      <c r="RV5" s="47">
        <v>0</v>
      </c>
      <c r="RW5" s="47">
        <v>0</v>
      </c>
      <c r="RX5" s="47">
        <v>0</v>
      </c>
      <c r="RY5" s="43"/>
      <c r="RZ5" s="42">
        <v>0</v>
      </c>
      <c r="SA5" s="47">
        <v>0</v>
      </c>
      <c r="SB5" s="47">
        <v>0</v>
      </c>
      <c r="SC5" s="47">
        <v>0</v>
      </c>
      <c r="SD5" s="47">
        <v>0</v>
      </c>
      <c r="SE5" s="43"/>
      <c r="SF5" s="42">
        <v>0</v>
      </c>
      <c r="SG5" s="47">
        <v>0</v>
      </c>
      <c r="SH5" s="47">
        <v>52.109000000000002</v>
      </c>
      <c r="SI5" s="47">
        <v>0</v>
      </c>
      <c r="SJ5" s="47">
        <v>52.109000000000002</v>
      </c>
      <c r="SK5" s="43"/>
      <c r="SL5" s="42">
        <v>0</v>
      </c>
      <c r="SM5" s="47">
        <v>0</v>
      </c>
      <c r="SN5" s="47">
        <v>0</v>
      </c>
      <c r="SO5" s="43"/>
      <c r="SP5" s="42">
        <v>0</v>
      </c>
      <c r="SQ5" s="47">
        <v>0</v>
      </c>
      <c r="SR5" s="47">
        <v>0</v>
      </c>
      <c r="SS5" s="47">
        <v>0</v>
      </c>
      <c r="ST5" s="47">
        <v>0</v>
      </c>
      <c r="SU5" s="43"/>
    </row>
    <row r="6" spans="1:515" x14ac:dyDescent="0.25">
      <c r="A6" s="47" t="s">
        <v>313</v>
      </c>
      <c r="B6" s="41">
        <v>1</v>
      </c>
      <c r="J6" s="42"/>
      <c r="K6" s="51"/>
      <c r="L6" s="51"/>
      <c r="M6" s="51"/>
      <c r="N6" s="51">
        <f t="shared" si="9"/>
        <v>0</v>
      </c>
      <c r="O6" s="43"/>
      <c r="P6" s="46"/>
      <c r="Q6" s="51"/>
      <c r="R6" s="51"/>
      <c r="S6" s="51"/>
      <c r="T6" s="51">
        <f t="shared" si="10"/>
        <v>0</v>
      </c>
      <c r="U6" s="43"/>
      <c r="V6" s="42"/>
      <c r="W6" s="51"/>
      <c r="X6" s="51"/>
      <c r="Y6" s="51"/>
      <c r="Z6" s="51">
        <f t="shared" si="11"/>
        <v>0</v>
      </c>
      <c r="AA6" s="43"/>
      <c r="AB6" s="42"/>
      <c r="AC6" s="51"/>
      <c r="AD6" s="51"/>
      <c r="AE6" s="51"/>
      <c r="AF6" s="51">
        <v>0</v>
      </c>
      <c r="AG6" s="43"/>
      <c r="AH6" s="51"/>
      <c r="AL6" s="47">
        <v>0</v>
      </c>
      <c r="AM6" s="43"/>
      <c r="AN6" s="42"/>
      <c r="AR6" s="47">
        <v>0</v>
      </c>
      <c r="AS6" s="43"/>
      <c r="AX6" s="47">
        <v>0</v>
      </c>
      <c r="AY6" s="43"/>
      <c r="BD6" s="47">
        <v>0</v>
      </c>
      <c r="BE6" s="43"/>
      <c r="BF6" s="42"/>
      <c r="BJ6" s="47">
        <v>0</v>
      </c>
      <c r="BK6" s="43"/>
      <c r="BL6" s="42"/>
      <c r="BP6" s="47">
        <v>0</v>
      </c>
      <c r="BQ6" s="43"/>
      <c r="BV6" s="47">
        <v>0</v>
      </c>
      <c r="BW6" s="43"/>
      <c r="BX6" s="42"/>
      <c r="CB6" s="47">
        <v>0</v>
      </c>
      <c r="CC6" s="43"/>
      <c r="CH6" s="47">
        <v>0</v>
      </c>
      <c r="CI6" s="43"/>
      <c r="CN6" s="47">
        <v>0</v>
      </c>
      <c r="CO6" s="43"/>
      <c r="CP6" s="42"/>
      <c r="CT6" s="47">
        <v>0</v>
      </c>
      <c r="CU6" s="43"/>
      <c r="CV6" s="42"/>
      <c r="CZ6" s="47">
        <v>0</v>
      </c>
      <c r="DA6" s="43"/>
      <c r="DG6" s="47">
        <v>0</v>
      </c>
      <c r="DH6" s="43"/>
      <c r="DK6" s="47">
        <v>0</v>
      </c>
      <c r="DL6" s="43"/>
      <c r="DM6" s="42"/>
      <c r="DQ6" s="47">
        <v>0</v>
      </c>
      <c r="DR6" s="43"/>
      <c r="DW6" s="47">
        <v>0</v>
      </c>
      <c r="DX6" s="43"/>
      <c r="EC6" s="47">
        <v>0</v>
      </c>
      <c r="ED6" s="43"/>
      <c r="EE6" s="42"/>
      <c r="EI6" s="47">
        <v>0</v>
      </c>
      <c r="EJ6" s="43"/>
      <c r="EO6" s="47">
        <v>0</v>
      </c>
      <c r="EP6" s="43"/>
      <c r="EQ6" s="42"/>
      <c r="EU6" s="47">
        <v>0</v>
      </c>
      <c r="EV6" s="43"/>
      <c r="EW6" s="42"/>
      <c r="FC6" s="47">
        <v>0</v>
      </c>
      <c r="FD6" s="43"/>
      <c r="FE6" s="42"/>
      <c r="FI6" s="47">
        <v>0</v>
      </c>
      <c r="FJ6" s="43"/>
      <c r="FQ6" s="47">
        <v>0</v>
      </c>
      <c r="FR6" s="43"/>
      <c r="FS6" s="42"/>
      <c r="FW6" s="47">
        <v>0</v>
      </c>
      <c r="FX6" s="43"/>
      <c r="FY6" s="42"/>
      <c r="GC6" s="47">
        <v>0</v>
      </c>
      <c r="GD6" s="43"/>
      <c r="GE6" s="42"/>
      <c r="GI6" s="47">
        <v>0</v>
      </c>
      <c r="GJ6" s="43"/>
      <c r="GQ6" s="47">
        <v>0</v>
      </c>
      <c r="GR6" s="43"/>
      <c r="GX6" s="47">
        <v>0</v>
      </c>
      <c r="GY6" s="43"/>
      <c r="GZ6" s="42"/>
      <c r="HC6" s="47">
        <v>0</v>
      </c>
      <c r="HD6" s="43"/>
      <c r="HE6" s="42"/>
      <c r="HH6" s="47">
        <v>0</v>
      </c>
      <c r="HI6" s="43"/>
      <c r="HN6" s="47">
        <v>0</v>
      </c>
      <c r="HO6" s="43"/>
      <c r="HP6" s="42"/>
      <c r="HU6" s="47">
        <v>0</v>
      </c>
      <c r="HV6" s="43"/>
      <c r="IA6" s="47">
        <v>0</v>
      </c>
      <c r="IB6" s="43"/>
      <c r="IC6" s="42"/>
      <c r="IG6" s="47">
        <v>0</v>
      </c>
      <c r="IH6" s="43"/>
      <c r="IM6" s="47">
        <v>0</v>
      </c>
      <c r="IN6" s="43"/>
      <c r="IO6" s="42"/>
      <c r="IQ6" s="47">
        <v>0</v>
      </c>
      <c r="IR6" s="43"/>
      <c r="IS6" s="42"/>
      <c r="IW6" s="47">
        <v>0</v>
      </c>
      <c r="IX6" s="43"/>
      <c r="IY6" s="42"/>
      <c r="JA6" s="47">
        <v>0</v>
      </c>
      <c r="JB6" s="43"/>
      <c r="JC6" s="42"/>
      <c r="JG6" s="47">
        <v>0</v>
      </c>
      <c r="JH6" s="43"/>
      <c r="JO6" s="47">
        <v>0</v>
      </c>
      <c r="JP6" s="43"/>
      <c r="JQ6" s="42"/>
      <c r="JU6" s="47">
        <v>0</v>
      </c>
      <c r="JV6" s="43"/>
      <c r="KA6" s="47">
        <v>0</v>
      </c>
      <c r="KB6" s="45"/>
      <c r="KG6" s="47">
        <v>0</v>
      </c>
      <c r="KH6" s="45"/>
      <c r="KM6" s="47">
        <v>0</v>
      </c>
      <c r="KN6" s="45"/>
      <c r="KS6" s="47">
        <v>0</v>
      </c>
      <c r="KT6" s="43"/>
      <c r="KW6" s="47">
        <v>0</v>
      </c>
      <c r="KX6" s="45"/>
      <c r="LC6" s="47">
        <v>0</v>
      </c>
      <c r="LD6" s="43"/>
      <c r="LE6" s="46"/>
      <c r="LG6" s="47">
        <v>0</v>
      </c>
      <c r="LH6" s="45"/>
      <c r="LM6" s="47">
        <v>0</v>
      </c>
      <c r="LN6" s="45"/>
      <c r="LS6" s="47">
        <v>0</v>
      </c>
      <c r="LT6" s="45"/>
      <c r="LY6" s="47">
        <v>0</v>
      </c>
      <c r="LZ6" s="45"/>
      <c r="ME6" s="47">
        <v>0</v>
      </c>
      <c r="MF6" s="45"/>
      <c r="MG6" s="46"/>
      <c r="MM6" s="47">
        <v>0</v>
      </c>
      <c r="MN6" s="45"/>
      <c r="MO6" s="44">
        <v>0</v>
      </c>
      <c r="MP6" s="44">
        <v>0</v>
      </c>
      <c r="MQ6" s="44">
        <v>0</v>
      </c>
      <c r="MR6" s="44">
        <v>0</v>
      </c>
      <c r="MS6" s="47">
        <v>0</v>
      </c>
      <c r="MT6" s="45"/>
      <c r="MU6" s="44">
        <v>0</v>
      </c>
      <c r="MV6" s="44">
        <v>0</v>
      </c>
      <c r="MW6" s="44">
        <v>0</v>
      </c>
      <c r="MX6" s="44">
        <v>0</v>
      </c>
      <c r="MY6" s="47">
        <v>0</v>
      </c>
      <c r="MZ6" s="45"/>
      <c r="NA6" s="46">
        <v>0</v>
      </c>
      <c r="NB6" s="44">
        <v>0</v>
      </c>
      <c r="NC6" s="47">
        <v>0</v>
      </c>
      <c r="ND6" s="45"/>
      <c r="NE6" s="46">
        <v>0</v>
      </c>
      <c r="NF6" s="44">
        <v>0</v>
      </c>
      <c r="NG6" s="44">
        <v>0</v>
      </c>
      <c r="NH6" s="44">
        <v>0</v>
      </c>
      <c r="NI6" s="44">
        <v>0</v>
      </c>
      <c r="NJ6" s="47">
        <v>0</v>
      </c>
      <c r="NK6" s="45"/>
      <c r="NL6" s="46">
        <v>0</v>
      </c>
      <c r="NM6" s="44">
        <v>0</v>
      </c>
      <c r="NN6" s="44">
        <v>0</v>
      </c>
      <c r="NO6" s="44">
        <v>0</v>
      </c>
      <c r="NP6" s="47">
        <v>0</v>
      </c>
      <c r="NQ6" s="45"/>
      <c r="NR6" s="46">
        <v>0</v>
      </c>
      <c r="NS6" s="44">
        <v>0</v>
      </c>
      <c r="NT6" s="47">
        <v>0</v>
      </c>
      <c r="NU6" s="45"/>
      <c r="NV6" s="46">
        <v>0</v>
      </c>
      <c r="NW6" s="44">
        <v>0</v>
      </c>
      <c r="NX6" s="44">
        <v>0</v>
      </c>
      <c r="NY6" s="44">
        <v>0</v>
      </c>
      <c r="NZ6" s="47">
        <v>0</v>
      </c>
      <c r="OA6" s="45"/>
      <c r="OB6" s="46">
        <v>0</v>
      </c>
      <c r="OC6" s="44">
        <v>0</v>
      </c>
      <c r="OD6" s="47">
        <v>0</v>
      </c>
      <c r="OE6" s="45"/>
      <c r="OF6" s="46">
        <v>0</v>
      </c>
      <c r="OG6" s="44">
        <v>0</v>
      </c>
      <c r="OH6" s="44">
        <v>0</v>
      </c>
      <c r="OI6" s="44">
        <v>0</v>
      </c>
      <c r="OJ6" s="47">
        <v>0</v>
      </c>
      <c r="OK6" s="45"/>
      <c r="OL6" s="44">
        <v>0</v>
      </c>
      <c r="OM6" s="43"/>
      <c r="ON6" s="44">
        <v>0</v>
      </c>
      <c r="OO6" s="44">
        <v>0</v>
      </c>
      <c r="OP6" s="47">
        <v>0</v>
      </c>
      <c r="OQ6" s="45"/>
      <c r="OR6" s="46">
        <v>0</v>
      </c>
      <c r="OS6" s="44">
        <v>0</v>
      </c>
      <c r="OT6" s="44">
        <v>0</v>
      </c>
      <c r="OU6" s="44">
        <v>0</v>
      </c>
      <c r="OV6" s="47">
        <v>0</v>
      </c>
      <c r="OW6" s="45"/>
      <c r="OX6" s="46">
        <v>0</v>
      </c>
      <c r="OY6" s="44">
        <v>0</v>
      </c>
      <c r="OZ6" s="44">
        <v>0</v>
      </c>
      <c r="PA6" s="44">
        <v>0</v>
      </c>
      <c r="PB6" s="47">
        <v>0</v>
      </c>
      <c r="PC6" s="45"/>
      <c r="PD6" s="46">
        <v>0</v>
      </c>
      <c r="PE6" s="44">
        <v>0</v>
      </c>
      <c r="PF6" s="44">
        <v>0</v>
      </c>
      <c r="PG6" s="44">
        <v>0</v>
      </c>
      <c r="PH6" s="47">
        <v>0</v>
      </c>
      <c r="PI6" s="45"/>
      <c r="PJ6" s="46">
        <v>0</v>
      </c>
      <c r="PK6" s="44">
        <v>0</v>
      </c>
      <c r="PL6" s="44">
        <v>0</v>
      </c>
      <c r="PM6" s="44">
        <v>0</v>
      </c>
      <c r="PN6" s="47">
        <v>0</v>
      </c>
      <c r="PO6" s="45"/>
      <c r="PP6" s="46">
        <v>0</v>
      </c>
      <c r="PQ6" s="44">
        <v>0</v>
      </c>
      <c r="PR6" s="44">
        <v>0</v>
      </c>
      <c r="PS6" s="44">
        <v>0</v>
      </c>
      <c r="PT6" s="47">
        <v>0</v>
      </c>
      <c r="PU6" s="45"/>
      <c r="PV6" s="46">
        <v>0</v>
      </c>
      <c r="PW6" s="44">
        <v>0</v>
      </c>
      <c r="PX6" s="47">
        <v>0</v>
      </c>
      <c r="PY6" s="45"/>
      <c r="PZ6" s="46">
        <v>0</v>
      </c>
      <c r="QA6" s="44">
        <v>0</v>
      </c>
      <c r="QB6" s="47">
        <v>0</v>
      </c>
      <c r="QC6" s="45"/>
      <c r="QD6" s="46">
        <v>0</v>
      </c>
      <c r="QE6" s="44">
        <v>0</v>
      </c>
      <c r="QF6" s="44">
        <v>0</v>
      </c>
      <c r="QG6" s="44">
        <v>0</v>
      </c>
      <c r="QH6" s="47">
        <v>0</v>
      </c>
      <c r="QI6" s="45"/>
      <c r="QJ6" s="46">
        <v>0</v>
      </c>
      <c r="QK6" s="17">
        <v>240</v>
      </c>
      <c r="QL6" s="47">
        <v>-2.262</v>
      </c>
      <c r="QM6" s="45"/>
      <c r="QN6" s="46">
        <v>0</v>
      </c>
      <c r="QO6" s="44">
        <v>0</v>
      </c>
      <c r="QP6" s="44">
        <v>0</v>
      </c>
      <c r="QQ6" s="44">
        <v>0</v>
      </c>
      <c r="QR6" s="47">
        <v>0</v>
      </c>
      <c r="QS6" s="45"/>
      <c r="QT6" s="46">
        <v>0</v>
      </c>
      <c r="QU6" s="44">
        <v>0</v>
      </c>
      <c r="QV6" s="47">
        <v>0</v>
      </c>
      <c r="QW6" s="45"/>
      <c r="QX6" s="46">
        <v>0</v>
      </c>
      <c r="QY6" s="44">
        <v>0</v>
      </c>
      <c r="QZ6" s="44">
        <v>51.512999999999998</v>
      </c>
      <c r="RA6" s="44">
        <v>50</v>
      </c>
      <c r="RB6" s="47">
        <v>1.5129999999999979</v>
      </c>
      <c r="RC6" s="45"/>
      <c r="RD6" s="42">
        <v>0</v>
      </c>
      <c r="RE6" s="44">
        <v>0</v>
      </c>
      <c r="RF6" s="44">
        <v>161.071</v>
      </c>
      <c r="RG6" s="44">
        <v>157</v>
      </c>
      <c r="RH6" s="47">
        <v>4.070999999999998</v>
      </c>
      <c r="RI6" s="45"/>
      <c r="RJ6" s="42">
        <v>89.671999999999997</v>
      </c>
      <c r="RK6" s="47">
        <v>90</v>
      </c>
      <c r="RL6" s="47">
        <v>0</v>
      </c>
      <c r="RM6" s="47">
        <v>0</v>
      </c>
      <c r="RN6" s="47">
        <v>-0.32800000000000301</v>
      </c>
      <c r="RO6" s="43"/>
      <c r="RP6" s="42">
        <v>42.051000000000002</v>
      </c>
      <c r="RQ6" s="47">
        <v>40</v>
      </c>
      <c r="RR6" s="47">
        <v>2.0510000000000019</v>
      </c>
      <c r="RS6" s="43"/>
      <c r="RT6" s="42">
        <v>0</v>
      </c>
      <c r="RU6" s="47">
        <v>0</v>
      </c>
      <c r="RV6" s="47">
        <v>71.902000000000001</v>
      </c>
      <c r="RW6" s="47">
        <v>0</v>
      </c>
      <c r="RX6" s="47">
        <v>71.902000000000001</v>
      </c>
      <c r="RY6" s="43"/>
      <c r="RZ6" s="42">
        <v>77.72</v>
      </c>
      <c r="SA6" s="47">
        <v>80</v>
      </c>
      <c r="SB6" s="47">
        <v>120.761</v>
      </c>
      <c r="SC6" s="47">
        <v>120</v>
      </c>
      <c r="SD6" s="47">
        <v>-1.519000000000005</v>
      </c>
      <c r="SE6" s="43"/>
      <c r="SF6" s="42">
        <v>93.843000000000004</v>
      </c>
      <c r="SG6" s="47">
        <v>93</v>
      </c>
      <c r="SH6" s="47">
        <v>50.585000000000001</v>
      </c>
      <c r="SI6" s="47">
        <v>0</v>
      </c>
      <c r="SJ6" s="47">
        <v>51.427999999999997</v>
      </c>
      <c r="SK6" s="43"/>
      <c r="SL6" s="42">
        <v>0</v>
      </c>
      <c r="SM6" s="47">
        <v>0</v>
      </c>
      <c r="SN6" s="47">
        <v>0</v>
      </c>
      <c r="SO6" s="43"/>
      <c r="SP6" s="42">
        <v>0</v>
      </c>
      <c r="SQ6" s="47">
        <v>0</v>
      </c>
      <c r="SR6" s="47">
        <v>100.209</v>
      </c>
      <c r="SS6" s="47">
        <v>100</v>
      </c>
      <c r="ST6" s="47">
        <v>0.20900000000000321</v>
      </c>
      <c r="SU6" s="43"/>
    </row>
    <row r="7" spans="1:515" x14ac:dyDescent="0.25">
      <c r="A7" s="47" t="s">
        <v>314</v>
      </c>
      <c r="B7" s="41">
        <v>1</v>
      </c>
      <c r="J7" s="42"/>
      <c r="K7" s="51"/>
      <c r="L7" s="51"/>
      <c r="M7" s="51"/>
      <c r="N7" s="51">
        <f t="shared" si="9"/>
        <v>0</v>
      </c>
      <c r="O7" s="43"/>
      <c r="P7" s="46"/>
      <c r="Q7" s="51"/>
      <c r="R7" s="51"/>
      <c r="S7" s="51"/>
      <c r="T7" s="51">
        <f t="shared" si="10"/>
        <v>0</v>
      </c>
      <c r="U7" s="43"/>
      <c r="V7" s="42"/>
      <c r="W7" s="51"/>
      <c r="X7" s="51"/>
      <c r="Y7" s="51"/>
      <c r="Z7" s="51">
        <f t="shared" si="11"/>
        <v>0</v>
      </c>
      <c r="AA7" s="43"/>
      <c r="AB7" s="42"/>
      <c r="AC7" s="51"/>
      <c r="AD7" s="51"/>
      <c r="AE7" s="51"/>
      <c r="AF7" s="51">
        <v>0</v>
      </c>
      <c r="AG7" s="43"/>
      <c r="AH7" s="51"/>
      <c r="AL7" s="47">
        <v>0</v>
      </c>
      <c r="AM7" s="43"/>
      <c r="AN7" s="42"/>
      <c r="AR7" s="47">
        <v>0</v>
      </c>
      <c r="AS7" s="43"/>
      <c r="AX7" s="47">
        <v>0</v>
      </c>
      <c r="AY7" s="43"/>
      <c r="BD7" s="47">
        <v>0</v>
      </c>
      <c r="BE7" s="43"/>
      <c r="BF7" s="42"/>
      <c r="BJ7" s="47">
        <v>0</v>
      </c>
      <c r="BK7" s="43"/>
      <c r="BL7" s="42"/>
      <c r="BP7" s="47">
        <v>0</v>
      </c>
      <c r="BQ7" s="43"/>
      <c r="BV7" s="47">
        <v>0</v>
      </c>
      <c r="BW7" s="43"/>
      <c r="BX7" s="42"/>
      <c r="CB7" s="47">
        <v>0</v>
      </c>
      <c r="CC7" s="43"/>
      <c r="CH7" s="47">
        <v>0</v>
      </c>
      <c r="CI7" s="43"/>
      <c r="CN7" s="47">
        <v>0</v>
      </c>
      <c r="CO7" s="43"/>
      <c r="CP7" s="42"/>
      <c r="CT7" s="47">
        <v>0</v>
      </c>
      <c r="CU7" s="43"/>
      <c r="CV7" s="42"/>
      <c r="CZ7" s="47">
        <v>0</v>
      </c>
      <c r="DA7" s="43"/>
      <c r="DG7" s="47">
        <v>0</v>
      </c>
      <c r="DH7" s="43"/>
      <c r="DK7" s="47">
        <v>0</v>
      </c>
      <c r="DL7" s="43"/>
      <c r="DM7" s="42"/>
      <c r="DQ7" s="47">
        <v>0</v>
      </c>
      <c r="DR7" s="43"/>
      <c r="DW7" s="47">
        <v>0</v>
      </c>
      <c r="DX7" s="43"/>
      <c r="EC7" s="47">
        <v>0</v>
      </c>
      <c r="ED7" s="43"/>
      <c r="EE7" s="42"/>
      <c r="EI7" s="47">
        <v>0</v>
      </c>
      <c r="EJ7" s="43"/>
      <c r="EO7" s="47">
        <v>0</v>
      </c>
      <c r="EP7" s="43"/>
      <c r="EQ7" s="42"/>
      <c r="EU7" s="47">
        <v>0</v>
      </c>
      <c r="EV7" s="43"/>
      <c r="EW7" s="42"/>
      <c r="FC7" s="47">
        <v>0</v>
      </c>
      <c r="FD7" s="43"/>
      <c r="FE7" s="42"/>
      <c r="FI7" s="47">
        <v>0</v>
      </c>
      <c r="FJ7" s="43"/>
      <c r="FQ7" s="47">
        <v>0</v>
      </c>
      <c r="FR7" s="43"/>
      <c r="FS7" s="42"/>
      <c r="FW7" s="47">
        <v>0</v>
      </c>
      <c r="FX7" s="43"/>
      <c r="FY7" s="42"/>
      <c r="GC7" s="47">
        <v>0</v>
      </c>
      <c r="GD7" s="43"/>
      <c r="GE7" s="42"/>
      <c r="GI7" s="47">
        <v>0</v>
      </c>
      <c r="GJ7" s="43"/>
      <c r="GQ7" s="47">
        <v>0</v>
      </c>
      <c r="GR7" s="43"/>
      <c r="GX7" s="47">
        <v>0</v>
      </c>
      <c r="GY7" s="43"/>
      <c r="GZ7" s="42"/>
      <c r="HC7" s="47">
        <v>0</v>
      </c>
      <c r="HD7" s="43"/>
      <c r="HE7" s="42"/>
      <c r="HH7" s="47">
        <v>0</v>
      </c>
      <c r="HI7" s="43"/>
      <c r="HN7" s="47">
        <v>0</v>
      </c>
      <c r="HO7" s="43"/>
      <c r="HP7" s="42"/>
      <c r="HU7" s="47">
        <v>0</v>
      </c>
      <c r="HV7" s="43"/>
      <c r="IA7" s="47">
        <v>0</v>
      </c>
      <c r="IB7" s="43"/>
      <c r="IC7" s="42"/>
      <c r="IG7" s="47">
        <v>0</v>
      </c>
      <c r="IH7" s="43"/>
      <c r="IM7" s="47">
        <v>0</v>
      </c>
      <c r="IN7" s="43"/>
      <c r="IO7" s="42"/>
      <c r="IQ7" s="47">
        <v>0</v>
      </c>
      <c r="IR7" s="43"/>
      <c r="IS7" s="42"/>
      <c r="IW7" s="47">
        <v>0</v>
      </c>
      <c r="IX7" s="43"/>
      <c r="IY7" s="42"/>
      <c r="JA7" s="47">
        <v>0</v>
      </c>
      <c r="JB7" s="43"/>
      <c r="JC7" s="42"/>
      <c r="JG7" s="47">
        <v>0</v>
      </c>
      <c r="JH7" s="43"/>
      <c r="JO7" s="47">
        <v>0</v>
      </c>
      <c r="JP7" s="43"/>
      <c r="JQ7" s="42"/>
      <c r="JU7" s="47">
        <v>0</v>
      </c>
      <c r="JV7" s="43"/>
      <c r="KA7" s="47">
        <v>0</v>
      </c>
      <c r="KB7" s="45"/>
      <c r="KG7" s="47">
        <v>0</v>
      </c>
      <c r="KH7" s="45"/>
      <c r="KM7" s="47">
        <v>0</v>
      </c>
      <c r="KN7" s="45"/>
      <c r="KS7" s="47">
        <v>0</v>
      </c>
      <c r="KT7" s="43"/>
      <c r="KW7" s="47">
        <v>0</v>
      </c>
      <c r="KX7" s="45"/>
      <c r="LC7" s="47">
        <v>0</v>
      </c>
      <c r="LD7" s="43"/>
      <c r="LE7" s="46"/>
      <c r="LG7" s="47">
        <v>0</v>
      </c>
      <c r="LH7" s="45"/>
      <c r="LM7" s="47">
        <v>0</v>
      </c>
      <c r="LN7" s="45"/>
      <c r="LS7" s="47">
        <v>0</v>
      </c>
      <c r="LT7" s="45"/>
      <c r="LY7" s="47">
        <v>0</v>
      </c>
      <c r="LZ7" s="45"/>
      <c r="ME7" s="47">
        <v>0</v>
      </c>
      <c r="MF7" s="45"/>
      <c r="MG7" s="46"/>
      <c r="MH7">
        <v>100</v>
      </c>
      <c r="MJ7">
        <v>120</v>
      </c>
      <c r="ML7">
        <v>80</v>
      </c>
      <c r="MM7" s="50">
        <v>-300</v>
      </c>
      <c r="MN7" s="45">
        <v>300</v>
      </c>
      <c r="MO7" s="44">
        <v>0</v>
      </c>
      <c r="MP7" s="44">
        <v>0</v>
      </c>
      <c r="MQ7" s="44">
        <v>215.25800000000001</v>
      </c>
      <c r="MR7" s="44">
        <v>210</v>
      </c>
      <c r="MS7" s="47">
        <v>5.2580000000000098</v>
      </c>
      <c r="MT7" s="45"/>
      <c r="MU7" s="44">
        <v>0</v>
      </c>
      <c r="MV7" s="44">
        <v>0</v>
      </c>
      <c r="MW7" s="44">
        <v>52.95</v>
      </c>
      <c r="MX7" s="44">
        <v>50</v>
      </c>
      <c r="MY7" s="47">
        <v>2.9500000000000028</v>
      </c>
      <c r="MZ7" s="45"/>
      <c r="NA7" s="46">
        <v>0</v>
      </c>
      <c r="NB7" s="44">
        <v>0</v>
      </c>
      <c r="NC7" s="47">
        <v>0</v>
      </c>
      <c r="ND7" s="45"/>
      <c r="NE7" s="46">
        <v>370.31200000000001</v>
      </c>
      <c r="NF7" s="44">
        <v>300</v>
      </c>
      <c r="NG7" s="44">
        <v>304.82600000000002</v>
      </c>
      <c r="NH7" s="44">
        <v>0</v>
      </c>
      <c r="NI7" s="44">
        <v>300</v>
      </c>
      <c r="NJ7" s="47">
        <v>75.138000000000034</v>
      </c>
      <c r="NK7" s="45"/>
      <c r="NL7" s="46">
        <v>115.491</v>
      </c>
      <c r="NM7" s="44">
        <v>120</v>
      </c>
      <c r="NN7" s="44">
        <v>151.39699999999999</v>
      </c>
      <c r="NO7" s="44">
        <v>150</v>
      </c>
      <c r="NP7" s="47">
        <v>-3.1120000000000232</v>
      </c>
      <c r="NQ7" s="45"/>
      <c r="NR7" s="46">
        <v>0</v>
      </c>
      <c r="NS7" s="44">
        <v>0</v>
      </c>
      <c r="NT7" s="47">
        <v>0</v>
      </c>
      <c r="NU7" s="45"/>
      <c r="NV7" s="46">
        <v>101.559</v>
      </c>
      <c r="NW7" s="44">
        <v>100</v>
      </c>
      <c r="NX7" s="44">
        <v>384.43799999999999</v>
      </c>
      <c r="NY7" s="44">
        <v>380</v>
      </c>
      <c r="NZ7" s="47">
        <v>5.9969999999999573</v>
      </c>
      <c r="OA7" s="45"/>
      <c r="OB7" s="46">
        <v>130.852</v>
      </c>
      <c r="OC7" s="44">
        <v>130</v>
      </c>
      <c r="OD7" s="47">
        <v>0.85200000000000387</v>
      </c>
      <c r="OE7" s="45"/>
      <c r="OF7" s="46">
        <v>0</v>
      </c>
      <c r="OG7" s="44">
        <v>0</v>
      </c>
      <c r="OH7" s="44">
        <v>0</v>
      </c>
      <c r="OI7" s="44">
        <v>0</v>
      </c>
      <c r="OJ7" s="47">
        <v>0</v>
      </c>
      <c r="OK7" s="45"/>
      <c r="OL7" s="44">
        <v>0</v>
      </c>
      <c r="OM7" s="43"/>
      <c r="ON7" s="44">
        <v>0</v>
      </c>
      <c r="OO7" s="44">
        <v>0</v>
      </c>
      <c r="OP7" s="47">
        <v>0</v>
      </c>
      <c r="OQ7" s="45"/>
      <c r="OR7" s="46">
        <v>0</v>
      </c>
      <c r="OS7" s="44">
        <v>0</v>
      </c>
      <c r="OT7" s="44">
        <v>0</v>
      </c>
      <c r="OU7" s="44">
        <v>0</v>
      </c>
      <c r="OV7" s="47">
        <v>0</v>
      </c>
      <c r="OW7" s="45"/>
      <c r="OX7" s="25">
        <v>103.012</v>
      </c>
      <c r="OY7" s="44">
        <v>0</v>
      </c>
      <c r="OZ7" s="44">
        <v>0</v>
      </c>
      <c r="PA7" s="44">
        <v>0</v>
      </c>
      <c r="PB7" s="47">
        <v>103.012</v>
      </c>
      <c r="PC7" s="45"/>
      <c r="PD7" s="46">
        <v>0</v>
      </c>
      <c r="PE7" s="44">
        <v>0</v>
      </c>
      <c r="PF7" s="44">
        <v>0</v>
      </c>
      <c r="PG7" s="44">
        <v>0</v>
      </c>
      <c r="PH7" s="47">
        <v>0</v>
      </c>
      <c r="PI7" s="45"/>
      <c r="PJ7" s="25">
        <v>200.279</v>
      </c>
      <c r="PK7" s="44">
        <v>40</v>
      </c>
      <c r="PL7" s="44">
        <v>161.036</v>
      </c>
      <c r="PM7" s="44">
        <v>160</v>
      </c>
      <c r="PN7" s="47">
        <v>161.315</v>
      </c>
      <c r="PO7" s="45"/>
      <c r="PP7" s="46">
        <v>406.48899999999998</v>
      </c>
      <c r="PQ7" s="44">
        <v>400</v>
      </c>
      <c r="PR7" s="44">
        <v>499.779</v>
      </c>
      <c r="PS7" s="44">
        <v>500</v>
      </c>
      <c r="PT7" s="47">
        <v>6.2680000000000291</v>
      </c>
      <c r="PU7" s="45"/>
      <c r="PV7" s="46">
        <v>83.236999999999995</v>
      </c>
      <c r="PW7" s="44">
        <v>80</v>
      </c>
      <c r="PX7" s="47">
        <v>3.2369999999999952</v>
      </c>
      <c r="PY7" s="45"/>
      <c r="PZ7" s="46">
        <v>0</v>
      </c>
      <c r="QA7" s="44">
        <v>0</v>
      </c>
      <c r="QB7" s="47">
        <v>0</v>
      </c>
      <c r="QC7" s="45"/>
      <c r="QD7" s="46">
        <v>53.415999999999997</v>
      </c>
      <c r="QE7" s="44">
        <v>50</v>
      </c>
      <c r="QF7" s="44">
        <v>49.923999999999999</v>
      </c>
      <c r="QG7" s="44">
        <v>50</v>
      </c>
      <c r="QH7" s="47">
        <v>3.340000000000003</v>
      </c>
      <c r="QI7" s="45"/>
      <c r="QJ7" s="46">
        <v>658.25300000000004</v>
      </c>
      <c r="QK7" s="44">
        <v>655</v>
      </c>
      <c r="QL7" s="47">
        <v>3.2530000000000432</v>
      </c>
      <c r="QM7" s="45"/>
      <c r="QN7" s="46">
        <v>69.724999999999994</v>
      </c>
      <c r="QO7" s="44">
        <v>70</v>
      </c>
      <c r="QP7" s="44">
        <v>62.491999999999997</v>
      </c>
      <c r="QQ7" s="44">
        <v>59</v>
      </c>
      <c r="QR7" s="47">
        <v>3.216999999999985</v>
      </c>
      <c r="QS7" s="45"/>
      <c r="QT7" s="46">
        <v>119.619</v>
      </c>
      <c r="QU7" s="44">
        <v>57</v>
      </c>
      <c r="QV7" s="47">
        <v>62.619</v>
      </c>
      <c r="QW7" s="45"/>
      <c r="QX7" s="46">
        <v>0</v>
      </c>
      <c r="QY7" s="44">
        <v>0</v>
      </c>
      <c r="QZ7" s="44">
        <v>270.85399999999998</v>
      </c>
      <c r="RA7" s="44">
        <v>268</v>
      </c>
      <c r="RB7" s="47">
        <v>2.853999999999985</v>
      </c>
      <c r="RC7" s="45"/>
      <c r="RD7" s="42">
        <v>0</v>
      </c>
      <c r="RE7" s="44">
        <v>0</v>
      </c>
      <c r="RF7" s="44">
        <v>0</v>
      </c>
      <c r="RG7" s="44">
        <v>0</v>
      </c>
      <c r="RH7" s="47">
        <v>0</v>
      </c>
      <c r="RI7" s="45"/>
      <c r="RJ7" s="42">
        <v>275.18900000000002</v>
      </c>
      <c r="RK7" s="47">
        <v>280</v>
      </c>
      <c r="RL7" s="47">
        <v>349.24</v>
      </c>
      <c r="RM7" s="47">
        <v>350</v>
      </c>
      <c r="RN7" s="47">
        <v>-5.5709999999999127</v>
      </c>
      <c r="RO7" s="43"/>
      <c r="RP7" s="42">
        <v>315.40699999999998</v>
      </c>
      <c r="RQ7" s="47">
        <v>315</v>
      </c>
      <c r="RR7" s="47">
        <v>0.40699999999998232</v>
      </c>
      <c r="RS7" s="43"/>
      <c r="RT7" s="42">
        <v>0</v>
      </c>
      <c r="RU7" s="47">
        <v>0</v>
      </c>
      <c r="RV7" s="47">
        <v>0</v>
      </c>
      <c r="RW7" s="47">
        <v>0</v>
      </c>
      <c r="RX7" s="47">
        <v>0</v>
      </c>
      <c r="RY7" s="43"/>
      <c r="RZ7" s="42">
        <v>222.20500000000001</v>
      </c>
      <c r="SA7" s="47">
        <v>220</v>
      </c>
      <c r="SB7" s="47">
        <v>378.625</v>
      </c>
      <c r="SC7" s="47">
        <v>380</v>
      </c>
      <c r="SD7" s="47">
        <v>0.83000000000004093</v>
      </c>
      <c r="SE7" s="43"/>
      <c r="SF7" s="42">
        <v>0</v>
      </c>
      <c r="SG7" s="47">
        <v>0</v>
      </c>
      <c r="SH7" s="47">
        <v>0</v>
      </c>
      <c r="SI7" s="47">
        <v>0</v>
      </c>
      <c r="SJ7" s="47">
        <v>0</v>
      </c>
      <c r="SK7" s="43"/>
      <c r="SL7" s="42">
        <v>49.244999999999997</v>
      </c>
      <c r="SM7" s="47">
        <v>50</v>
      </c>
      <c r="SN7" s="47">
        <v>-0.75500000000000256</v>
      </c>
      <c r="SO7" s="43"/>
      <c r="SP7" s="42">
        <v>152.006</v>
      </c>
      <c r="SQ7" s="47">
        <v>150</v>
      </c>
      <c r="SR7" s="47">
        <v>386.36500000000001</v>
      </c>
      <c r="SS7" s="47">
        <v>390</v>
      </c>
      <c r="ST7" s="47">
        <v>-1.6290000000000191</v>
      </c>
      <c r="SU7" s="43"/>
    </row>
    <row r="8" spans="1:515" x14ac:dyDescent="0.25">
      <c r="A8" s="47" t="s">
        <v>315</v>
      </c>
      <c r="B8" s="41">
        <v>0.25</v>
      </c>
      <c r="F8">
        <v>80</v>
      </c>
      <c r="G8">
        <v>80</v>
      </c>
      <c r="J8" s="40">
        <v>80</v>
      </c>
      <c r="K8" s="52">
        <v>83</v>
      </c>
      <c r="L8" s="52">
        <v>64</v>
      </c>
      <c r="M8" s="52">
        <v>67</v>
      </c>
      <c r="N8" s="51">
        <f t="shared" si="9"/>
        <v>-6</v>
      </c>
      <c r="O8" s="43"/>
      <c r="P8" s="46"/>
      <c r="Q8" s="51"/>
      <c r="R8" s="52">
        <v>80</v>
      </c>
      <c r="S8" s="52">
        <v>80</v>
      </c>
      <c r="T8" s="51">
        <f t="shared" si="10"/>
        <v>0</v>
      </c>
      <c r="U8" s="43"/>
      <c r="V8" s="42"/>
      <c r="W8" s="51"/>
      <c r="X8" s="52">
        <v>496</v>
      </c>
      <c r="Y8" s="52">
        <v>500</v>
      </c>
      <c r="Z8" s="51">
        <f t="shared" si="11"/>
        <v>-4</v>
      </c>
      <c r="AA8" s="43"/>
      <c r="AB8" s="42"/>
      <c r="AC8" s="51"/>
      <c r="AD8" s="52">
        <v>56</v>
      </c>
      <c r="AE8" s="56">
        <v>61</v>
      </c>
      <c r="AF8" s="51">
        <v>-5</v>
      </c>
      <c r="AG8" s="43"/>
      <c r="AH8" s="52">
        <v>24</v>
      </c>
      <c r="AI8">
        <v>30</v>
      </c>
      <c r="AJ8">
        <v>24</v>
      </c>
      <c r="AK8">
        <v>30</v>
      </c>
      <c r="AL8" s="47">
        <v>-12</v>
      </c>
      <c r="AM8" s="43"/>
      <c r="AN8" s="40">
        <v>40</v>
      </c>
      <c r="AO8" s="47">
        <v>40</v>
      </c>
      <c r="AP8">
        <v>40</v>
      </c>
      <c r="AQ8" s="47">
        <v>40</v>
      </c>
      <c r="AR8" s="47">
        <v>0</v>
      </c>
      <c r="AS8" s="43"/>
      <c r="AT8" s="48">
        <v>24</v>
      </c>
      <c r="AV8" s="48">
        <v>24</v>
      </c>
      <c r="AX8" s="47">
        <v>0</v>
      </c>
      <c r="AY8" s="43"/>
      <c r="BE8" s="43"/>
      <c r="BF8" s="42"/>
      <c r="BK8" s="43"/>
      <c r="BL8" s="42"/>
      <c r="BQ8" s="43"/>
      <c r="BW8" s="43"/>
      <c r="BX8" s="42"/>
      <c r="CC8" s="43"/>
      <c r="CI8" s="43"/>
      <c r="CO8" s="43"/>
      <c r="CP8" s="42"/>
      <c r="CU8" s="43"/>
      <c r="CV8" s="42"/>
      <c r="DA8" s="43"/>
      <c r="DH8" s="43"/>
      <c r="DL8" s="43"/>
      <c r="DM8" s="42"/>
      <c r="DR8" s="43"/>
      <c r="DX8" s="43"/>
      <c r="ED8" s="43"/>
      <c r="EE8" s="42"/>
      <c r="EJ8" s="43"/>
      <c r="EP8" s="43"/>
      <c r="EQ8" s="42"/>
      <c r="EV8" s="43"/>
      <c r="EW8" s="42"/>
      <c r="FD8" s="43"/>
      <c r="FE8" s="42"/>
      <c r="FJ8" s="43"/>
      <c r="FR8" s="43"/>
      <c r="FS8" s="42"/>
      <c r="FX8" s="43"/>
      <c r="FY8" s="42"/>
      <c r="GD8" s="43"/>
      <c r="GE8" s="42"/>
      <c r="GJ8" s="43"/>
      <c r="GR8" s="43"/>
      <c r="GY8" s="43"/>
      <c r="GZ8" s="42"/>
      <c r="HD8" s="43"/>
      <c r="HE8" s="42"/>
      <c r="HH8" s="47"/>
      <c r="HI8" s="43"/>
      <c r="HO8" s="43"/>
      <c r="HP8" s="42"/>
      <c r="HV8" s="43"/>
      <c r="IB8" s="43"/>
      <c r="IC8" s="42"/>
      <c r="IH8" s="43"/>
      <c r="IN8" s="43"/>
      <c r="IO8" s="42"/>
      <c r="IR8" s="43"/>
      <c r="IS8" s="42"/>
      <c r="IX8" s="43"/>
      <c r="IY8" s="42"/>
      <c r="JB8" s="43"/>
      <c r="JC8" s="42"/>
      <c r="JE8" s="44"/>
      <c r="JH8" s="43"/>
      <c r="JP8" s="43"/>
      <c r="JQ8" s="42"/>
      <c r="JV8" s="43"/>
      <c r="KB8" s="45"/>
      <c r="KH8" s="45"/>
      <c r="KN8" s="45"/>
      <c r="KT8" s="43"/>
      <c r="KX8" s="45"/>
      <c r="LD8" s="43"/>
      <c r="LE8" s="46"/>
      <c r="LH8" s="45"/>
      <c r="LN8" s="45"/>
      <c r="LT8" s="45"/>
      <c r="LZ8" s="45"/>
      <c r="MF8" s="45"/>
      <c r="MG8" s="46"/>
      <c r="MN8" s="45"/>
      <c r="MO8" s="44"/>
      <c r="MP8" s="44"/>
      <c r="MQ8" s="44"/>
      <c r="MR8" s="44"/>
      <c r="MT8" s="45"/>
      <c r="MU8" s="44"/>
      <c r="MV8" s="44"/>
      <c r="MW8" s="44"/>
      <c r="MX8" s="44"/>
      <c r="MZ8" s="45"/>
      <c r="NA8" s="46"/>
      <c r="NB8" s="44"/>
      <c r="ND8" s="45"/>
      <c r="NE8" s="46"/>
      <c r="NF8" s="44"/>
      <c r="NG8" s="44"/>
      <c r="NH8" s="44"/>
      <c r="NI8" s="44"/>
      <c r="NK8" s="45"/>
      <c r="NL8" s="46"/>
      <c r="NM8" s="44"/>
      <c r="NN8" s="44"/>
      <c r="NO8" s="44"/>
      <c r="NQ8" s="45"/>
      <c r="NR8" s="46"/>
      <c r="NS8" s="44"/>
      <c r="NU8" s="45"/>
      <c r="NV8" s="46"/>
      <c r="NW8" s="44"/>
      <c r="NX8" s="44"/>
      <c r="NY8" s="44"/>
      <c r="OA8" s="45"/>
      <c r="OB8" s="46"/>
      <c r="OC8" s="44"/>
      <c r="OE8" s="45"/>
      <c r="OF8" s="46"/>
      <c r="OG8" s="44"/>
      <c r="OH8" s="44"/>
      <c r="OI8" s="44"/>
      <c r="OK8" s="45"/>
      <c r="OL8" s="44"/>
      <c r="OM8" s="43"/>
      <c r="ON8" s="44"/>
      <c r="OO8" s="44"/>
      <c r="OQ8" s="45"/>
      <c r="OR8" s="46"/>
      <c r="OS8" s="44"/>
      <c r="OT8" s="44"/>
      <c r="OU8" s="44"/>
      <c r="OW8" s="45"/>
      <c r="OX8" s="46"/>
      <c r="OY8" s="44"/>
      <c r="OZ8" s="44"/>
      <c r="PA8" s="44"/>
      <c r="PC8" s="45"/>
      <c r="PD8" s="46"/>
      <c r="PE8" s="44"/>
      <c r="PF8" s="44"/>
      <c r="PG8" s="44"/>
      <c r="PI8" s="45"/>
      <c r="PJ8" s="46"/>
      <c r="PK8" s="44"/>
      <c r="PL8" s="44"/>
      <c r="PM8" s="44"/>
      <c r="PO8" s="45"/>
      <c r="PP8" s="46"/>
      <c r="PQ8" s="44"/>
      <c r="PR8" s="44"/>
      <c r="PS8" s="44"/>
      <c r="PU8" s="45"/>
      <c r="PV8" s="46"/>
      <c r="PW8" s="44"/>
      <c r="PY8" s="45"/>
      <c r="PZ8" s="46"/>
      <c r="QA8" s="44"/>
      <c r="QC8" s="45"/>
      <c r="QD8" s="46"/>
      <c r="QE8" s="44"/>
      <c r="QF8" s="44"/>
      <c r="QG8" s="44"/>
      <c r="QI8" s="45"/>
      <c r="QJ8" s="46"/>
      <c r="QK8" s="44"/>
      <c r="QM8" s="45"/>
      <c r="QN8" s="46"/>
      <c r="QO8" s="44"/>
      <c r="QP8" s="44"/>
      <c r="QQ8" s="44"/>
      <c r="QS8" s="45"/>
      <c r="QT8" s="46"/>
      <c r="QU8" s="44"/>
      <c r="QW8" s="45"/>
      <c r="QX8" s="46"/>
      <c r="QY8" s="44"/>
      <c r="QZ8" s="44"/>
      <c r="RA8" s="44"/>
      <c r="RC8" s="45"/>
      <c r="RD8" s="42"/>
      <c r="RE8" s="44"/>
      <c r="RF8" s="44"/>
      <c r="RG8" s="44"/>
      <c r="RI8" s="45"/>
      <c r="RJ8" s="42"/>
      <c r="RO8" s="43"/>
      <c r="RP8" s="42"/>
      <c r="RS8" s="43"/>
      <c r="RT8" s="42"/>
      <c r="RY8" s="43"/>
      <c r="RZ8" s="42"/>
      <c r="SE8" s="43"/>
      <c r="SF8" s="42"/>
      <c r="SK8" s="43"/>
      <c r="SL8" s="42"/>
      <c r="SO8" s="43"/>
      <c r="SP8" s="42"/>
      <c r="SU8" s="43"/>
    </row>
    <row r="9" spans="1:515" x14ac:dyDescent="0.25">
      <c r="A9" s="47" t="s">
        <v>316</v>
      </c>
      <c r="B9" s="41">
        <v>1</v>
      </c>
      <c r="E9">
        <v>360</v>
      </c>
      <c r="F9">
        <v>436</v>
      </c>
      <c r="G9">
        <v>440</v>
      </c>
      <c r="J9" s="40">
        <v>1197</v>
      </c>
      <c r="K9" s="52">
        <v>1198</v>
      </c>
      <c r="L9" s="52">
        <v>977</v>
      </c>
      <c r="M9" s="52">
        <v>976</v>
      </c>
      <c r="N9" s="51">
        <f t="shared" si="9"/>
        <v>0</v>
      </c>
      <c r="O9" s="43"/>
      <c r="P9" s="40">
        <v>358</v>
      </c>
      <c r="Q9" s="52">
        <v>356</v>
      </c>
      <c r="R9" s="52">
        <v>304</v>
      </c>
      <c r="S9" s="52">
        <v>306</v>
      </c>
      <c r="T9" s="51">
        <f t="shared" si="10"/>
        <v>0</v>
      </c>
      <c r="U9" s="43"/>
      <c r="V9" s="40">
        <v>796</v>
      </c>
      <c r="W9" s="52">
        <v>800</v>
      </c>
      <c r="X9" s="52">
        <v>364</v>
      </c>
      <c r="Y9" s="52">
        <v>365</v>
      </c>
      <c r="Z9" s="51">
        <f t="shared" si="11"/>
        <v>-5</v>
      </c>
      <c r="AA9" s="43"/>
      <c r="AB9" s="40">
        <v>448</v>
      </c>
      <c r="AC9" s="56">
        <v>449.56521739130437</v>
      </c>
      <c r="AD9" s="52">
        <v>582</v>
      </c>
      <c r="AE9" s="56">
        <v>584.43478260869563</v>
      </c>
      <c r="AF9" s="51">
        <v>-4</v>
      </c>
      <c r="AG9" s="43"/>
      <c r="AH9" s="52">
        <v>882</v>
      </c>
      <c r="AI9">
        <v>880</v>
      </c>
      <c r="AJ9">
        <v>700</v>
      </c>
      <c r="AK9">
        <v>704</v>
      </c>
      <c r="AL9" s="47">
        <v>-2</v>
      </c>
      <c r="AM9" s="43"/>
      <c r="AN9" s="40">
        <v>598</v>
      </c>
      <c r="AO9">
        <v>600</v>
      </c>
      <c r="AP9">
        <v>662</v>
      </c>
      <c r="AQ9">
        <v>667</v>
      </c>
      <c r="AR9" s="47">
        <v>-7</v>
      </c>
      <c r="AS9" s="43"/>
      <c r="AT9">
        <v>701</v>
      </c>
      <c r="AU9">
        <v>700</v>
      </c>
      <c r="AV9">
        <v>338</v>
      </c>
      <c r="AW9">
        <v>340</v>
      </c>
      <c r="AX9" s="47">
        <v>-1</v>
      </c>
      <c r="AY9" s="43"/>
      <c r="AZ9">
        <v>468</v>
      </c>
      <c r="BA9">
        <v>470</v>
      </c>
      <c r="BB9">
        <v>501</v>
      </c>
      <c r="BC9">
        <v>499</v>
      </c>
      <c r="BD9" s="47">
        <v>0</v>
      </c>
      <c r="BE9" s="43"/>
      <c r="BF9" s="40">
        <v>300</v>
      </c>
      <c r="BG9">
        <v>300</v>
      </c>
      <c r="BH9">
        <v>211</v>
      </c>
      <c r="BI9">
        <v>214</v>
      </c>
      <c r="BJ9" s="47">
        <v>-3</v>
      </c>
      <c r="BK9" s="43"/>
      <c r="BL9" s="40">
        <v>801</v>
      </c>
      <c r="BM9">
        <v>800</v>
      </c>
      <c r="BN9">
        <v>638</v>
      </c>
      <c r="BO9">
        <v>635</v>
      </c>
      <c r="BP9" s="47">
        <v>4</v>
      </c>
      <c r="BQ9" s="43"/>
      <c r="BR9">
        <v>895</v>
      </c>
      <c r="BS9">
        <v>900</v>
      </c>
      <c r="BT9">
        <v>299</v>
      </c>
      <c r="BU9">
        <v>300</v>
      </c>
      <c r="BV9" s="47">
        <v>-6</v>
      </c>
      <c r="BW9" s="43"/>
      <c r="BX9" s="40">
        <v>399</v>
      </c>
      <c r="BY9">
        <v>400</v>
      </c>
      <c r="BZ9">
        <v>371</v>
      </c>
      <c r="CA9">
        <v>371</v>
      </c>
      <c r="CB9" s="47">
        <v>-1</v>
      </c>
      <c r="CC9" s="43"/>
      <c r="CD9">
        <v>130</v>
      </c>
      <c r="CE9">
        <v>130</v>
      </c>
      <c r="CF9">
        <v>149</v>
      </c>
      <c r="CG9">
        <v>148</v>
      </c>
      <c r="CH9" s="47">
        <v>1</v>
      </c>
      <c r="CI9" s="43"/>
      <c r="CJ9">
        <v>508</v>
      </c>
      <c r="CK9">
        <v>500</v>
      </c>
      <c r="CL9">
        <v>496</v>
      </c>
      <c r="CM9">
        <v>495</v>
      </c>
      <c r="CN9" s="47">
        <v>9</v>
      </c>
      <c r="CO9" s="43"/>
      <c r="CP9" s="42"/>
      <c r="CT9" s="47">
        <v>0</v>
      </c>
      <c r="CU9" s="43"/>
      <c r="CV9" s="40">
        <v>1495</v>
      </c>
      <c r="CW9">
        <v>1500</v>
      </c>
      <c r="CX9">
        <v>1196</v>
      </c>
      <c r="CY9">
        <v>1193</v>
      </c>
      <c r="CZ9" s="47">
        <v>-2</v>
      </c>
      <c r="DA9" s="43"/>
      <c r="DB9">
        <v>498</v>
      </c>
      <c r="DC9">
        <v>500</v>
      </c>
      <c r="DD9">
        <v>348</v>
      </c>
      <c r="DF9">
        <v>344</v>
      </c>
      <c r="DG9" s="47">
        <v>2</v>
      </c>
      <c r="DH9" s="43"/>
      <c r="DI9">
        <v>599</v>
      </c>
      <c r="DJ9">
        <v>600</v>
      </c>
      <c r="DK9" s="47">
        <v>-1</v>
      </c>
      <c r="DL9" s="43"/>
      <c r="DM9" s="40">
        <v>824</v>
      </c>
      <c r="DN9">
        <v>822</v>
      </c>
      <c r="DO9">
        <v>1260</v>
      </c>
      <c r="DP9">
        <v>1270</v>
      </c>
      <c r="DQ9" s="47">
        <v>-8</v>
      </c>
      <c r="DR9" s="43"/>
      <c r="DS9">
        <v>599</v>
      </c>
      <c r="DT9">
        <v>600</v>
      </c>
      <c r="DU9">
        <v>631</v>
      </c>
      <c r="DV9">
        <v>633</v>
      </c>
      <c r="DW9" s="47">
        <v>-3</v>
      </c>
      <c r="DX9" s="43"/>
      <c r="EC9" s="47">
        <v>0</v>
      </c>
      <c r="ED9" s="43"/>
      <c r="EE9" s="40">
        <v>396</v>
      </c>
      <c r="EF9">
        <v>400</v>
      </c>
      <c r="EG9">
        <v>1034</v>
      </c>
      <c r="EH9">
        <v>1033</v>
      </c>
      <c r="EI9" s="47">
        <v>-3</v>
      </c>
      <c r="EJ9" s="43"/>
      <c r="EK9">
        <v>701</v>
      </c>
      <c r="EL9">
        <v>700</v>
      </c>
      <c r="EM9">
        <v>813</v>
      </c>
      <c r="EN9">
        <v>810</v>
      </c>
      <c r="EO9" s="47">
        <v>4</v>
      </c>
      <c r="EP9" s="43"/>
      <c r="EQ9" s="42"/>
      <c r="EU9" s="47">
        <v>0</v>
      </c>
      <c r="EV9" s="43"/>
      <c r="EW9" s="40">
        <v>400</v>
      </c>
      <c r="EX9">
        <v>400</v>
      </c>
      <c r="EY9">
        <v>1502</v>
      </c>
      <c r="EZ9">
        <v>1500</v>
      </c>
      <c r="FA9">
        <v>894</v>
      </c>
      <c r="FB9">
        <v>891</v>
      </c>
      <c r="FC9" s="47">
        <v>5</v>
      </c>
      <c r="FD9" s="43"/>
      <c r="FE9" s="40">
        <v>203</v>
      </c>
      <c r="FF9">
        <v>200</v>
      </c>
      <c r="FG9">
        <v>102</v>
      </c>
      <c r="FH9">
        <v>100</v>
      </c>
      <c r="FI9" s="47">
        <v>5</v>
      </c>
      <c r="FJ9" s="43"/>
      <c r="FK9">
        <v>998</v>
      </c>
      <c r="FL9">
        <v>1000</v>
      </c>
      <c r="FM9">
        <v>1005</v>
      </c>
      <c r="FN9">
        <v>1000</v>
      </c>
      <c r="FO9">
        <v>1104</v>
      </c>
      <c r="FP9">
        <v>1100</v>
      </c>
      <c r="FQ9" s="47">
        <v>7</v>
      </c>
      <c r="FR9" s="43"/>
      <c r="FS9" s="40">
        <v>602</v>
      </c>
      <c r="FT9">
        <v>600</v>
      </c>
      <c r="FU9">
        <v>900</v>
      </c>
      <c r="FV9">
        <v>900</v>
      </c>
      <c r="FW9" s="47">
        <v>2</v>
      </c>
      <c r="FX9" s="43"/>
      <c r="FY9" s="42"/>
      <c r="FZ9">
        <v>900</v>
      </c>
      <c r="GA9">
        <v>962</v>
      </c>
      <c r="GB9">
        <v>970</v>
      </c>
      <c r="GC9" s="50">
        <v>-908</v>
      </c>
      <c r="GD9" s="43">
        <v>908</v>
      </c>
      <c r="GE9" s="40">
        <v>598</v>
      </c>
      <c r="GF9">
        <v>600</v>
      </c>
      <c r="GG9">
        <v>449</v>
      </c>
      <c r="GH9">
        <v>450</v>
      </c>
      <c r="GI9" s="47">
        <v>-3</v>
      </c>
      <c r="GJ9" s="43"/>
      <c r="GL9">
        <v>500</v>
      </c>
      <c r="GM9">
        <v>503</v>
      </c>
      <c r="GN9">
        <v>500</v>
      </c>
      <c r="GO9">
        <v>566</v>
      </c>
      <c r="GP9">
        <v>560</v>
      </c>
      <c r="GQ9" s="50">
        <v>-491</v>
      </c>
      <c r="GR9" s="43">
        <v>491</v>
      </c>
      <c r="GS9">
        <v>798</v>
      </c>
      <c r="GT9">
        <v>800</v>
      </c>
      <c r="GU9">
        <v>555</v>
      </c>
      <c r="GW9">
        <v>550</v>
      </c>
      <c r="GX9" s="47">
        <v>3</v>
      </c>
      <c r="GY9" s="43"/>
      <c r="GZ9" s="40">
        <v>1100</v>
      </c>
      <c r="HB9" s="44">
        <v>1100</v>
      </c>
      <c r="HC9" s="47">
        <v>0</v>
      </c>
      <c r="HD9" s="43"/>
      <c r="HE9" s="40">
        <v>1290</v>
      </c>
      <c r="HG9">
        <v>1291</v>
      </c>
      <c r="HH9" s="47">
        <v>-1</v>
      </c>
      <c r="HI9" s="43"/>
      <c r="HJ9">
        <v>1511</v>
      </c>
      <c r="HK9">
        <v>1000</v>
      </c>
      <c r="HL9">
        <v>1004</v>
      </c>
      <c r="HM9">
        <v>1500</v>
      </c>
      <c r="HN9" s="47">
        <v>15</v>
      </c>
      <c r="HO9" s="43"/>
      <c r="HP9" s="40">
        <v>150</v>
      </c>
      <c r="HR9">
        <v>450</v>
      </c>
      <c r="HS9">
        <v>529</v>
      </c>
      <c r="HT9">
        <v>530</v>
      </c>
      <c r="HU9" s="50">
        <v>-301</v>
      </c>
      <c r="HV9" s="43">
        <v>301</v>
      </c>
      <c r="HW9">
        <v>1000</v>
      </c>
      <c r="HX9">
        <v>1000</v>
      </c>
      <c r="HY9">
        <v>599</v>
      </c>
      <c r="HZ9">
        <v>600</v>
      </c>
      <c r="IA9" s="47">
        <v>-1</v>
      </c>
      <c r="IB9" s="43"/>
      <c r="IC9" s="40">
        <v>707</v>
      </c>
      <c r="ID9">
        <v>700</v>
      </c>
      <c r="IE9">
        <v>704</v>
      </c>
      <c r="IF9">
        <v>700</v>
      </c>
      <c r="IG9" s="47">
        <v>11</v>
      </c>
      <c r="IH9" s="43"/>
      <c r="II9">
        <v>203</v>
      </c>
      <c r="IJ9">
        <v>200</v>
      </c>
      <c r="IK9">
        <v>202</v>
      </c>
      <c r="IL9">
        <v>200</v>
      </c>
      <c r="IM9" s="47">
        <v>5</v>
      </c>
      <c r="IN9" s="43"/>
      <c r="IO9" s="40">
        <v>529</v>
      </c>
      <c r="IP9" s="44">
        <v>520</v>
      </c>
      <c r="IQ9" s="47">
        <v>9</v>
      </c>
      <c r="IR9" s="43"/>
      <c r="IS9" s="40">
        <v>1461</v>
      </c>
      <c r="IT9">
        <v>1460</v>
      </c>
      <c r="IU9">
        <v>1443</v>
      </c>
      <c r="IV9">
        <v>1440</v>
      </c>
      <c r="IW9" s="47">
        <v>4</v>
      </c>
      <c r="IX9" s="43"/>
      <c r="IY9" s="42"/>
      <c r="JA9" s="47">
        <v>0</v>
      </c>
      <c r="JB9" s="43"/>
      <c r="JC9" s="40">
        <v>1210</v>
      </c>
      <c r="JD9">
        <v>1200</v>
      </c>
      <c r="JE9">
        <v>561</v>
      </c>
      <c r="JF9">
        <v>550</v>
      </c>
      <c r="JG9" s="47">
        <v>21</v>
      </c>
      <c r="JH9" s="43"/>
      <c r="JI9">
        <v>1003</v>
      </c>
      <c r="JJ9">
        <v>1000</v>
      </c>
      <c r="JK9">
        <v>1153</v>
      </c>
      <c r="JL9">
        <v>1150</v>
      </c>
      <c r="JO9" s="47">
        <v>6</v>
      </c>
      <c r="JP9" s="43"/>
      <c r="JQ9" s="40">
        <v>1003</v>
      </c>
      <c r="JR9">
        <v>1000</v>
      </c>
      <c r="JS9">
        <v>702</v>
      </c>
      <c r="JT9">
        <v>700</v>
      </c>
      <c r="JU9" s="47">
        <v>5</v>
      </c>
      <c r="JV9" s="43"/>
      <c r="JW9">
        <v>251</v>
      </c>
      <c r="JX9">
        <v>250</v>
      </c>
      <c r="JY9">
        <v>402</v>
      </c>
      <c r="JZ9">
        <v>400</v>
      </c>
      <c r="KA9" s="47">
        <v>3</v>
      </c>
      <c r="KB9" s="45"/>
      <c r="KC9">
        <v>801</v>
      </c>
      <c r="KD9">
        <v>800</v>
      </c>
      <c r="KE9">
        <v>504</v>
      </c>
      <c r="KF9">
        <v>500</v>
      </c>
      <c r="KG9" s="47">
        <v>5</v>
      </c>
      <c r="KH9" s="45"/>
      <c r="KI9">
        <v>1359</v>
      </c>
      <c r="KJ9">
        <v>1350</v>
      </c>
      <c r="KK9">
        <v>955</v>
      </c>
      <c r="KL9">
        <v>950</v>
      </c>
      <c r="KM9" s="47">
        <v>14</v>
      </c>
      <c r="KN9" s="45"/>
      <c r="KO9">
        <v>1195</v>
      </c>
      <c r="KP9">
        <v>1200</v>
      </c>
      <c r="KQ9">
        <v>599</v>
      </c>
      <c r="KR9">
        <v>600</v>
      </c>
      <c r="KS9" s="50">
        <v>-6</v>
      </c>
      <c r="KT9" s="43">
        <v>6</v>
      </c>
      <c r="KU9">
        <v>1099</v>
      </c>
      <c r="KV9">
        <v>1100</v>
      </c>
      <c r="KW9" s="47">
        <v>-1</v>
      </c>
      <c r="KX9" s="45"/>
      <c r="KY9">
        <v>1401</v>
      </c>
      <c r="KZ9">
        <v>1400</v>
      </c>
      <c r="LA9">
        <v>805</v>
      </c>
      <c r="LB9">
        <v>800</v>
      </c>
      <c r="LC9" s="47">
        <v>6</v>
      </c>
      <c r="LD9" s="43"/>
      <c r="LE9" s="46"/>
      <c r="LG9" s="47">
        <v>0</v>
      </c>
      <c r="LH9" s="45"/>
      <c r="LI9">
        <v>1473</v>
      </c>
      <c r="LJ9">
        <v>1470</v>
      </c>
      <c r="LK9">
        <v>2141</v>
      </c>
      <c r="LL9">
        <v>2130</v>
      </c>
      <c r="LM9" s="47">
        <v>14</v>
      </c>
      <c r="LN9" s="45"/>
      <c r="LP9">
        <v>800</v>
      </c>
      <c r="LQ9">
        <v>391</v>
      </c>
      <c r="LR9">
        <v>391</v>
      </c>
      <c r="LS9" s="50">
        <v>-800</v>
      </c>
      <c r="LT9" s="45">
        <v>800</v>
      </c>
      <c r="LV9">
        <v>1000</v>
      </c>
      <c r="LW9">
        <v>1204</v>
      </c>
      <c r="LX9">
        <v>1200</v>
      </c>
      <c r="LY9" s="50">
        <v>-996</v>
      </c>
      <c r="LZ9" s="45">
        <v>996</v>
      </c>
      <c r="MA9">
        <v>707</v>
      </c>
      <c r="MB9">
        <v>700</v>
      </c>
      <c r="MC9">
        <v>429</v>
      </c>
      <c r="MD9">
        <v>900</v>
      </c>
      <c r="ME9" s="50">
        <v>-464</v>
      </c>
      <c r="MF9" s="45">
        <v>464</v>
      </c>
      <c r="MG9" s="40">
        <v>989</v>
      </c>
      <c r="MH9">
        <v>1000</v>
      </c>
      <c r="MI9">
        <v>691</v>
      </c>
      <c r="MJ9">
        <v>700</v>
      </c>
      <c r="MK9">
        <v>170</v>
      </c>
      <c r="ML9">
        <v>600</v>
      </c>
      <c r="MM9" s="50">
        <v>-450</v>
      </c>
      <c r="MN9" s="45">
        <v>450</v>
      </c>
      <c r="MO9" s="44">
        <v>796.92200000000003</v>
      </c>
      <c r="MP9" s="44">
        <v>800</v>
      </c>
      <c r="MQ9" s="44">
        <v>797.09699999999998</v>
      </c>
      <c r="MR9" s="44">
        <v>795</v>
      </c>
      <c r="MS9" s="47">
        <v>-0.98099999999999454</v>
      </c>
      <c r="MT9" s="45"/>
      <c r="MU9" s="44">
        <v>597.05200000000002</v>
      </c>
      <c r="MV9" s="44">
        <v>600</v>
      </c>
      <c r="MW9" s="44">
        <v>603.52700000000004</v>
      </c>
      <c r="MX9" s="44">
        <v>600</v>
      </c>
      <c r="MY9" s="47">
        <v>0.57900000000017826</v>
      </c>
      <c r="MZ9" s="45"/>
      <c r="NA9" s="46">
        <v>0</v>
      </c>
      <c r="NB9" s="44">
        <v>0</v>
      </c>
      <c r="NC9" s="47">
        <v>0</v>
      </c>
      <c r="ND9" s="45"/>
      <c r="NE9" s="46">
        <v>2000.2349999999999</v>
      </c>
      <c r="NF9" s="44">
        <v>2000</v>
      </c>
      <c r="NG9" s="44">
        <v>991.87599999999998</v>
      </c>
      <c r="NH9" s="44">
        <v>0</v>
      </c>
      <c r="NI9" s="44">
        <v>1000</v>
      </c>
      <c r="NJ9" s="47">
        <v>-7.8890000000001237</v>
      </c>
      <c r="NK9" s="45"/>
      <c r="NL9" s="46">
        <v>997.05399999999997</v>
      </c>
      <c r="NM9" s="44">
        <v>1000</v>
      </c>
      <c r="NN9" s="44">
        <v>700.38400000000001</v>
      </c>
      <c r="NO9" s="44">
        <v>700</v>
      </c>
      <c r="NP9" s="47">
        <v>-2.5619999999998981</v>
      </c>
      <c r="NQ9" s="45"/>
      <c r="NR9" s="46">
        <v>549.49199999999996</v>
      </c>
      <c r="NS9" s="44">
        <v>550</v>
      </c>
      <c r="NT9" s="47">
        <v>-0.5080000000000382</v>
      </c>
      <c r="NU9" s="45"/>
      <c r="NV9" s="46">
        <v>1103.0170000000001</v>
      </c>
      <c r="NW9" s="44">
        <v>1100</v>
      </c>
      <c r="NX9" s="44">
        <v>1190.3389999999999</v>
      </c>
      <c r="NY9" s="44">
        <v>1200</v>
      </c>
      <c r="NZ9" s="50">
        <v>-6.6440000000002328</v>
      </c>
      <c r="OA9" s="45">
        <v>6.6440000000002328</v>
      </c>
      <c r="OB9" s="46">
        <v>1602.9269999999999</v>
      </c>
      <c r="OC9" s="44">
        <v>1600</v>
      </c>
      <c r="OD9" s="47">
        <v>2.9269999999999068</v>
      </c>
      <c r="OE9" s="45"/>
      <c r="OF9" s="46">
        <v>898.46500000000003</v>
      </c>
      <c r="OG9" s="44">
        <v>900</v>
      </c>
      <c r="OH9" s="44">
        <v>0</v>
      </c>
      <c r="OI9" s="44">
        <v>0</v>
      </c>
      <c r="OJ9" s="47">
        <v>-1.5349999999999679</v>
      </c>
      <c r="OK9" s="45"/>
      <c r="OL9" s="44">
        <v>0</v>
      </c>
      <c r="OM9" s="43"/>
      <c r="ON9" s="44">
        <v>4112.8010000000004</v>
      </c>
      <c r="OO9" s="44">
        <v>4100</v>
      </c>
      <c r="OP9" s="47">
        <v>12.801000000000389</v>
      </c>
      <c r="OQ9" s="45"/>
      <c r="OR9" s="46">
        <v>509.108</v>
      </c>
      <c r="OS9" s="44">
        <v>500</v>
      </c>
      <c r="OT9" s="44">
        <v>849.45299999999997</v>
      </c>
      <c r="OU9" s="44">
        <v>850</v>
      </c>
      <c r="OV9" s="47">
        <v>8.5609999999999218</v>
      </c>
      <c r="OW9" s="45"/>
      <c r="OX9" s="46">
        <v>203.572</v>
      </c>
      <c r="OY9" s="44">
        <v>900</v>
      </c>
      <c r="OZ9" s="44">
        <v>1589.1559999999999</v>
      </c>
      <c r="PA9" s="44">
        <v>1765</v>
      </c>
      <c r="PB9" s="50">
        <v>-872.27199999999993</v>
      </c>
      <c r="PC9" s="45">
        <v>872.27199999999993</v>
      </c>
      <c r="PD9" s="46">
        <v>801.08199999999999</v>
      </c>
      <c r="PE9" s="44">
        <v>800</v>
      </c>
      <c r="PF9" s="44">
        <v>584.89099999999996</v>
      </c>
      <c r="PG9" s="44">
        <v>800</v>
      </c>
      <c r="PH9" s="50">
        <v>-214.02699999999999</v>
      </c>
      <c r="PI9" s="45">
        <v>214.02699999999999</v>
      </c>
      <c r="PJ9" s="46">
        <v>352.18599999999998</v>
      </c>
      <c r="PK9" s="44">
        <v>350</v>
      </c>
      <c r="PL9" s="44">
        <v>500.66300000000001</v>
      </c>
      <c r="PM9" s="44">
        <v>500</v>
      </c>
      <c r="PN9" s="47">
        <v>2.8489999999999331</v>
      </c>
      <c r="PO9" s="45"/>
      <c r="PP9" s="46">
        <v>707.81500000000005</v>
      </c>
      <c r="PQ9" s="44">
        <v>700</v>
      </c>
      <c r="PR9" s="32">
        <v>944.37800000000004</v>
      </c>
      <c r="PS9" s="44">
        <v>745</v>
      </c>
      <c r="PT9" s="47">
        <v>207.19300000000021</v>
      </c>
      <c r="PU9" s="45"/>
      <c r="PV9" s="46">
        <v>1921.2570000000001</v>
      </c>
      <c r="PW9" s="44">
        <v>1900</v>
      </c>
      <c r="PX9" s="47">
        <v>21.257000000000058</v>
      </c>
      <c r="PY9" s="45"/>
      <c r="PZ9" s="46">
        <v>0</v>
      </c>
      <c r="QA9" s="44">
        <v>0</v>
      </c>
      <c r="QB9" s="47">
        <v>0</v>
      </c>
      <c r="QC9" s="45"/>
      <c r="QD9" s="46">
        <v>1843.962</v>
      </c>
      <c r="QE9" s="44">
        <v>1850</v>
      </c>
      <c r="QF9" s="44">
        <v>1249.5999999999999</v>
      </c>
      <c r="QG9" s="44">
        <v>1250</v>
      </c>
      <c r="QH9" s="47">
        <v>-6.4380000000001019</v>
      </c>
      <c r="QI9" s="45"/>
      <c r="QJ9" s="46">
        <v>1497.452</v>
      </c>
      <c r="QK9" s="44">
        <v>1493</v>
      </c>
      <c r="QL9" s="47">
        <v>4.4519999999999982</v>
      </c>
      <c r="QM9" s="45"/>
      <c r="QN9" s="46">
        <v>2297.7530000000002</v>
      </c>
      <c r="QO9" s="44">
        <v>2300</v>
      </c>
      <c r="QP9" s="44">
        <v>1665.9069999999999</v>
      </c>
      <c r="QQ9" s="44">
        <v>1669</v>
      </c>
      <c r="QR9" s="47">
        <v>-5.3400000000001464</v>
      </c>
      <c r="QS9" s="45"/>
      <c r="QT9" s="46">
        <v>830.23199999999997</v>
      </c>
      <c r="QU9" s="44">
        <v>756</v>
      </c>
      <c r="QV9" s="47">
        <v>74.231999999999971</v>
      </c>
      <c r="QW9" s="45"/>
      <c r="QX9" s="46">
        <v>287.45299999999997</v>
      </c>
      <c r="QY9" s="44">
        <v>400</v>
      </c>
      <c r="QZ9" s="44">
        <v>340.57900000000001</v>
      </c>
      <c r="RA9" s="44">
        <v>468</v>
      </c>
      <c r="RB9" s="50">
        <v>-239.9680000000001</v>
      </c>
      <c r="RC9" s="45">
        <v>239.9680000000001</v>
      </c>
      <c r="RD9" s="42">
        <v>1495.7750000000001</v>
      </c>
      <c r="RE9" s="44">
        <v>1500</v>
      </c>
      <c r="RF9" s="44">
        <v>1402.5830000000001</v>
      </c>
      <c r="RG9" s="44">
        <v>1417</v>
      </c>
      <c r="RH9" s="50">
        <v>-18.641999999999829</v>
      </c>
      <c r="RI9" s="45">
        <v>18.641999999999829</v>
      </c>
      <c r="RJ9" s="42">
        <v>400.74599999999998</v>
      </c>
      <c r="RK9" s="47">
        <v>400</v>
      </c>
      <c r="RL9" s="47">
        <v>498.904</v>
      </c>
      <c r="RM9" s="47">
        <v>500</v>
      </c>
      <c r="RN9" s="47">
        <v>-0.35000000000002268</v>
      </c>
      <c r="RO9" s="43"/>
      <c r="RP9" s="42">
        <v>3143.991</v>
      </c>
      <c r="RQ9" s="47">
        <v>3141</v>
      </c>
      <c r="RR9" s="47">
        <v>2.990999999999985</v>
      </c>
      <c r="RS9" s="43"/>
      <c r="RT9" s="42">
        <v>824.13599999999997</v>
      </c>
      <c r="RU9" s="47">
        <v>800</v>
      </c>
      <c r="RV9" s="47">
        <v>1724.261</v>
      </c>
      <c r="RW9" s="47">
        <v>1700</v>
      </c>
      <c r="RX9" s="47">
        <v>48.396999999999927</v>
      </c>
      <c r="RY9" s="43"/>
      <c r="RZ9" s="42">
        <v>1301.33</v>
      </c>
      <c r="SA9" s="47">
        <v>1300</v>
      </c>
      <c r="SB9" s="47">
        <v>2201.3440000000001</v>
      </c>
      <c r="SC9" s="47">
        <v>2200</v>
      </c>
      <c r="SD9" s="47">
        <v>2.6739999999999782</v>
      </c>
      <c r="SE9" s="43"/>
      <c r="SF9" s="42">
        <v>701.55</v>
      </c>
      <c r="SG9" s="47">
        <v>1350</v>
      </c>
      <c r="SH9" s="47">
        <v>178.15700000000001</v>
      </c>
      <c r="SI9" s="47">
        <v>2200</v>
      </c>
      <c r="SJ9" s="50">
        <v>-2670.2930000000001</v>
      </c>
      <c r="SK9" s="43">
        <v>2670.2930000000001</v>
      </c>
      <c r="SL9" s="42">
        <v>150.33000000000001</v>
      </c>
      <c r="SM9" s="47">
        <v>1000</v>
      </c>
      <c r="SN9" s="50">
        <v>-849.67</v>
      </c>
      <c r="SO9" s="43">
        <v>849.67</v>
      </c>
      <c r="SP9" s="42">
        <v>1599.4449999999999</v>
      </c>
      <c r="SQ9" s="47">
        <v>1600</v>
      </c>
      <c r="SR9" s="47">
        <v>1057.2729999999999</v>
      </c>
      <c r="SS9" s="47">
        <v>2400</v>
      </c>
      <c r="ST9" s="50">
        <v>-1343.2819999999999</v>
      </c>
      <c r="SU9" s="43">
        <v>1343.2819999999999</v>
      </c>
    </row>
    <row r="10" spans="1:515" x14ac:dyDescent="0.25">
      <c r="A10" s="47" t="s">
        <v>317</v>
      </c>
      <c r="B10" s="41">
        <v>1</v>
      </c>
      <c r="F10">
        <v>87</v>
      </c>
      <c r="G10">
        <v>90</v>
      </c>
      <c r="J10" s="42"/>
      <c r="K10" s="51"/>
      <c r="L10" s="52">
        <v>66</v>
      </c>
      <c r="M10" s="52">
        <v>70</v>
      </c>
      <c r="N10" s="51">
        <f t="shared" si="9"/>
        <v>-4</v>
      </c>
      <c r="O10" s="43"/>
      <c r="P10" s="46"/>
      <c r="Q10" s="51"/>
      <c r="R10" s="51"/>
      <c r="S10" s="51"/>
      <c r="T10" s="51">
        <f t="shared" si="10"/>
        <v>0</v>
      </c>
      <c r="U10" s="43"/>
      <c r="V10" s="42"/>
      <c r="W10" s="51"/>
      <c r="X10" s="51"/>
      <c r="Y10" s="51"/>
      <c r="Z10" s="51">
        <f t="shared" si="11"/>
        <v>0</v>
      </c>
      <c r="AA10" s="43"/>
      <c r="AB10" s="42"/>
      <c r="AC10" s="51"/>
      <c r="AD10" s="51"/>
      <c r="AE10" s="51"/>
      <c r="AF10" s="51">
        <v>0</v>
      </c>
      <c r="AG10" s="43"/>
      <c r="AH10" s="51"/>
      <c r="AL10" s="47">
        <v>0</v>
      </c>
      <c r="AM10" s="43"/>
      <c r="AN10" s="42"/>
      <c r="AR10" s="47">
        <v>0</v>
      </c>
      <c r="AS10" s="43"/>
      <c r="AV10">
        <v>47</v>
      </c>
      <c r="AW10">
        <v>50</v>
      </c>
      <c r="AX10" s="47">
        <v>-3</v>
      </c>
      <c r="AY10" s="43"/>
      <c r="BB10">
        <v>92</v>
      </c>
      <c r="BC10">
        <v>90</v>
      </c>
      <c r="BD10" s="47">
        <v>2</v>
      </c>
      <c r="BE10" s="43"/>
      <c r="BF10" s="40">
        <v>32</v>
      </c>
      <c r="BG10">
        <v>30</v>
      </c>
      <c r="BH10">
        <v>48</v>
      </c>
      <c r="BI10">
        <v>45</v>
      </c>
      <c r="BJ10" s="47">
        <v>5</v>
      </c>
      <c r="BK10" s="43"/>
      <c r="BL10" s="40">
        <v>20</v>
      </c>
      <c r="BM10">
        <v>20</v>
      </c>
      <c r="BN10">
        <v>28</v>
      </c>
      <c r="BO10">
        <v>26</v>
      </c>
      <c r="BP10" s="47">
        <v>2</v>
      </c>
      <c r="BQ10" s="43"/>
      <c r="BR10">
        <v>8</v>
      </c>
      <c r="BS10">
        <v>10</v>
      </c>
      <c r="BV10" s="47">
        <v>-2</v>
      </c>
      <c r="BW10" s="43"/>
      <c r="BX10" s="42"/>
      <c r="BZ10">
        <v>28</v>
      </c>
      <c r="CA10">
        <v>29</v>
      </c>
      <c r="CB10" s="47">
        <v>-1</v>
      </c>
      <c r="CC10" s="43"/>
      <c r="CG10">
        <v>5</v>
      </c>
      <c r="CH10" s="50">
        <v>-5</v>
      </c>
      <c r="CI10" s="43">
        <v>5</v>
      </c>
      <c r="CN10" s="47">
        <v>0</v>
      </c>
      <c r="CO10" s="43"/>
      <c r="CP10" s="42"/>
      <c r="CT10" s="47">
        <v>0</v>
      </c>
      <c r="CU10" s="43"/>
      <c r="CV10" s="42"/>
      <c r="CZ10" s="47">
        <v>0</v>
      </c>
      <c r="DA10" s="43"/>
      <c r="DE10">
        <v>28</v>
      </c>
      <c r="DF10">
        <v>27</v>
      </c>
      <c r="DG10" s="47">
        <v>1</v>
      </c>
      <c r="DH10" s="43"/>
      <c r="DK10" s="47">
        <v>0</v>
      </c>
      <c r="DL10" s="43"/>
      <c r="DM10" s="40">
        <v>12</v>
      </c>
      <c r="DN10">
        <v>12</v>
      </c>
      <c r="DO10">
        <v>4</v>
      </c>
      <c r="DP10">
        <v>4</v>
      </c>
      <c r="DQ10" s="47">
        <v>0</v>
      </c>
      <c r="DR10" s="43"/>
      <c r="DW10" s="47">
        <v>0</v>
      </c>
      <c r="DX10" s="43"/>
      <c r="EA10">
        <v>4</v>
      </c>
      <c r="EB10">
        <v>4</v>
      </c>
      <c r="EC10" s="47">
        <v>0</v>
      </c>
      <c r="ED10" s="43"/>
      <c r="EE10" s="42"/>
      <c r="EI10" s="47">
        <v>0</v>
      </c>
      <c r="EJ10" s="43"/>
      <c r="EM10">
        <v>32</v>
      </c>
      <c r="EN10">
        <v>30</v>
      </c>
      <c r="EO10" s="47">
        <v>2</v>
      </c>
      <c r="EP10" s="43"/>
      <c r="EQ10" s="42"/>
      <c r="ES10">
        <v>16</v>
      </c>
      <c r="ET10">
        <v>15</v>
      </c>
      <c r="EU10" s="47">
        <v>1</v>
      </c>
      <c r="EV10" s="43"/>
      <c r="EW10" s="42"/>
      <c r="FC10" s="47">
        <v>0</v>
      </c>
      <c r="FD10" s="43"/>
      <c r="FE10" s="42"/>
      <c r="FG10">
        <v>8</v>
      </c>
      <c r="FH10">
        <v>8</v>
      </c>
      <c r="FI10" s="47">
        <v>0</v>
      </c>
      <c r="FJ10" s="43"/>
      <c r="FM10">
        <v>20</v>
      </c>
      <c r="FN10">
        <v>20</v>
      </c>
      <c r="FQ10" s="47">
        <v>0</v>
      </c>
      <c r="FR10" s="43"/>
      <c r="FS10" s="42"/>
      <c r="FW10" s="47">
        <v>0</v>
      </c>
      <c r="FX10" s="43"/>
      <c r="FY10" s="42"/>
      <c r="GC10" s="47">
        <v>0</v>
      </c>
      <c r="GD10" s="43"/>
      <c r="GE10" s="42"/>
      <c r="GG10">
        <v>8</v>
      </c>
      <c r="GH10">
        <v>7</v>
      </c>
      <c r="GI10" s="47">
        <v>1</v>
      </c>
      <c r="GJ10" s="43"/>
      <c r="GO10">
        <v>24</v>
      </c>
      <c r="GP10">
        <v>22</v>
      </c>
      <c r="GQ10" s="47">
        <v>2</v>
      </c>
      <c r="GR10" s="43"/>
      <c r="GX10" s="47">
        <v>0</v>
      </c>
      <c r="GY10" s="43"/>
      <c r="GZ10" s="42"/>
      <c r="HC10" s="47">
        <v>0</v>
      </c>
      <c r="HD10" s="43"/>
      <c r="HE10" s="42"/>
      <c r="HH10" s="47">
        <v>0</v>
      </c>
      <c r="HI10" s="43"/>
      <c r="HN10" s="47">
        <v>0</v>
      </c>
      <c r="HO10" s="43"/>
      <c r="HP10" s="42"/>
      <c r="HU10" s="47">
        <v>0</v>
      </c>
      <c r="HV10" s="43"/>
      <c r="IA10" s="47">
        <v>0</v>
      </c>
      <c r="IB10" s="43"/>
      <c r="IC10" s="42"/>
      <c r="IG10" s="47">
        <v>0</v>
      </c>
      <c r="IH10" s="43"/>
      <c r="IK10">
        <v>60</v>
      </c>
      <c r="IL10">
        <v>59</v>
      </c>
      <c r="IM10" s="47">
        <v>1</v>
      </c>
      <c r="IN10" s="43"/>
      <c r="IO10" s="42"/>
      <c r="IQ10" s="47">
        <v>0</v>
      </c>
      <c r="IR10" s="43"/>
      <c r="IS10" s="42"/>
      <c r="IU10">
        <v>24</v>
      </c>
      <c r="IV10">
        <v>22</v>
      </c>
      <c r="IW10" s="47">
        <v>2</v>
      </c>
      <c r="IX10" s="43"/>
      <c r="IY10" s="42"/>
      <c r="JA10" s="47">
        <v>0</v>
      </c>
      <c r="JB10" s="43"/>
      <c r="JC10" s="42"/>
      <c r="JG10" s="47">
        <v>0</v>
      </c>
      <c r="JH10" s="43"/>
      <c r="JM10">
        <v>12</v>
      </c>
      <c r="JN10">
        <v>12</v>
      </c>
      <c r="JO10" s="47">
        <v>0</v>
      </c>
      <c r="JP10" s="43"/>
      <c r="JQ10" s="42"/>
      <c r="JU10" s="47">
        <v>0</v>
      </c>
      <c r="JV10" s="43"/>
      <c r="KA10" s="47">
        <v>0</v>
      </c>
      <c r="KB10" s="45"/>
      <c r="KG10" s="47">
        <v>0</v>
      </c>
      <c r="KH10" s="45"/>
      <c r="KM10" s="47">
        <v>0</v>
      </c>
      <c r="KN10" s="45"/>
      <c r="KS10" s="47">
        <v>0</v>
      </c>
      <c r="KT10" s="43"/>
      <c r="KW10" s="47">
        <v>0</v>
      </c>
      <c r="KX10" s="45"/>
      <c r="LA10">
        <v>60</v>
      </c>
      <c r="LB10">
        <v>60</v>
      </c>
      <c r="LC10" s="47">
        <v>0</v>
      </c>
      <c r="LD10" s="43"/>
      <c r="LE10" s="40">
        <v>20</v>
      </c>
      <c r="LF10" s="44">
        <v>20</v>
      </c>
      <c r="LG10" s="47">
        <v>0</v>
      </c>
      <c r="LH10" s="45"/>
      <c r="LM10" s="47">
        <v>0</v>
      </c>
      <c r="LN10" s="45"/>
      <c r="LS10" s="47">
        <v>0</v>
      </c>
      <c r="LT10" s="45"/>
      <c r="LW10">
        <v>12</v>
      </c>
      <c r="LX10">
        <v>10</v>
      </c>
      <c r="LY10" s="47">
        <v>2</v>
      </c>
      <c r="LZ10" s="45"/>
      <c r="MA10">
        <v>20</v>
      </c>
      <c r="MB10">
        <v>20</v>
      </c>
      <c r="ME10" s="47">
        <v>0</v>
      </c>
      <c r="MF10" s="45"/>
      <c r="MG10" s="46"/>
      <c r="MM10" s="47">
        <v>0</v>
      </c>
      <c r="MN10" s="45"/>
      <c r="MO10" s="44">
        <v>0</v>
      </c>
      <c r="MP10" s="44">
        <v>0</v>
      </c>
      <c r="MQ10" s="44">
        <v>0</v>
      </c>
      <c r="MR10" s="44">
        <v>0</v>
      </c>
      <c r="MS10" s="47">
        <v>0</v>
      </c>
      <c r="MT10" s="45"/>
      <c r="MU10" s="44">
        <v>0</v>
      </c>
      <c r="MV10" s="44">
        <v>0</v>
      </c>
      <c r="MW10" s="44">
        <v>0</v>
      </c>
      <c r="MX10" s="44">
        <v>0</v>
      </c>
      <c r="MY10" s="47">
        <v>0</v>
      </c>
      <c r="MZ10" s="45"/>
      <c r="NA10" s="46">
        <v>84.097999999999999</v>
      </c>
      <c r="NB10" s="44">
        <v>84</v>
      </c>
      <c r="NC10" s="47">
        <v>9.7999999999998977E-2</v>
      </c>
      <c r="ND10" s="45"/>
      <c r="NE10" s="46">
        <v>0</v>
      </c>
      <c r="NF10" s="44">
        <v>0</v>
      </c>
      <c r="NG10" s="44">
        <v>0</v>
      </c>
      <c r="NH10" s="44">
        <v>0</v>
      </c>
      <c r="NI10" s="44">
        <v>0</v>
      </c>
      <c r="NJ10" s="47">
        <v>0</v>
      </c>
      <c r="NK10" s="45"/>
      <c r="NL10" s="46">
        <v>0</v>
      </c>
      <c r="NM10" s="44">
        <v>0</v>
      </c>
      <c r="NN10" s="44">
        <v>0</v>
      </c>
      <c r="NO10" s="44">
        <v>0</v>
      </c>
      <c r="NP10" s="47">
        <v>0</v>
      </c>
      <c r="NQ10" s="45"/>
      <c r="NR10" s="46">
        <v>44.488</v>
      </c>
      <c r="NS10" s="44">
        <v>45</v>
      </c>
      <c r="NT10" s="47">
        <v>-0.51200000000000045</v>
      </c>
      <c r="NU10" s="45"/>
      <c r="NV10" s="46">
        <v>11.999000000000001</v>
      </c>
      <c r="NW10" s="44">
        <v>10</v>
      </c>
      <c r="NX10" s="44">
        <v>20.673999999999999</v>
      </c>
      <c r="NY10" s="44">
        <v>20</v>
      </c>
      <c r="NZ10" s="47">
        <v>2.6730000000000018</v>
      </c>
      <c r="OA10" s="45"/>
      <c r="OB10" s="46">
        <v>52.481999999999999</v>
      </c>
      <c r="OC10" s="44">
        <v>50</v>
      </c>
      <c r="OD10" s="47">
        <v>2.4819999999999989</v>
      </c>
      <c r="OE10" s="45"/>
      <c r="OF10" s="46">
        <v>0</v>
      </c>
      <c r="OG10" s="44">
        <v>0</v>
      </c>
      <c r="OH10" s="44">
        <v>12.013999999999999</v>
      </c>
      <c r="OI10" s="44">
        <v>10</v>
      </c>
      <c r="OJ10" s="47">
        <v>2.0139999999999989</v>
      </c>
      <c r="OK10" s="45"/>
      <c r="OL10" s="44">
        <v>36.582000000000001</v>
      </c>
      <c r="OM10" s="43">
        <v>-36.582000000000001</v>
      </c>
      <c r="ON10" s="44">
        <v>0</v>
      </c>
      <c r="OO10" s="44">
        <v>34</v>
      </c>
      <c r="OP10" s="50">
        <v>-34</v>
      </c>
      <c r="OQ10" s="45">
        <v>34</v>
      </c>
      <c r="OR10" s="46">
        <v>0</v>
      </c>
      <c r="OS10" s="44">
        <v>0</v>
      </c>
      <c r="OT10" s="44">
        <v>19.72</v>
      </c>
      <c r="OU10" s="44">
        <v>20</v>
      </c>
      <c r="OV10" s="47">
        <v>-0.28000000000000108</v>
      </c>
      <c r="OW10" s="45"/>
      <c r="OX10" s="46">
        <v>0</v>
      </c>
      <c r="OY10" s="44">
        <v>0</v>
      </c>
      <c r="OZ10" s="44">
        <v>24.689</v>
      </c>
      <c r="PA10" s="44">
        <v>25</v>
      </c>
      <c r="PB10" s="47">
        <v>-0.31099999999999989</v>
      </c>
      <c r="PC10" s="45"/>
      <c r="PD10" s="46">
        <v>0</v>
      </c>
      <c r="PE10" s="44">
        <v>0</v>
      </c>
      <c r="PF10" s="44">
        <v>0</v>
      </c>
      <c r="PG10" s="33">
        <v>25</v>
      </c>
      <c r="PH10" s="50">
        <v>-25</v>
      </c>
      <c r="PI10" s="45">
        <v>25</v>
      </c>
      <c r="PJ10" s="46">
        <v>0</v>
      </c>
      <c r="PK10" s="44">
        <v>0</v>
      </c>
      <c r="PL10" s="44">
        <v>29.126000000000001</v>
      </c>
      <c r="PM10" s="44">
        <v>30</v>
      </c>
      <c r="PN10" s="47">
        <v>-0.87399999999999878</v>
      </c>
      <c r="PO10" s="45"/>
      <c r="PP10" s="46">
        <v>0</v>
      </c>
      <c r="PQ10" s="44">
        <v>0</v>
      </c>
      <c r="PR10" s="44">
        <v>48.329000000000001</v>
      </c>
      <c r="PS10" s="44">
        <v>50</v>
      </c>
      <c r="PT10" s="47">
        <v>-1.6709999999999989</v>
      </c>
      <c r="PU10" s="45"/>
      <c r="PV10" s="46">
        <v>0</v>
      </c>
      <c r="PW10" s="44">
        <v>0</v>
      </c>
      <c r="PX10" s="47">
        <v>0</v>
      </c>
      <c r="PY10" s="45"/>
      <c r="PZ10" s="46">
        <v>24.291</v>
      </c>
      <c r="QA10" s="44">
        <v>25</v>
      </c>
      <c r="QB10" s="47">
        <v>-0.70899999999999963</v>
      </c>
      <c r="QC10" s="45"/>
      <c r="QD10" s="46">
        <v>0</v>
      </c>
      <c r="QE10" s="44">
        <v>0</v>
      </c>
      <c r="QF10" s="44">
        <v>0</v>
      </c>
      <c r="QG10" s="44">
        <v>0</v>
      </c>
      <c r="QH10" s="47">
        <v>0</v>
      </c>
      <c r="QI10" s="45"/>
      <c r="QJ10" s="46">
        <v>36.746000000000002</v>
      </c>
      <c r="QK10" s="44">
        <v>35</v>
      </c>
      <c r="QL10" s="47">
        <v>1.746000000000002</v>
      </c>
      <c r="QM10" s="45"/>
      <c r="QN10" s="46">
        <v>0</v>
      </c>
      <c r="QO10" s="44">
        <v>0</v>
      </c>
      <c r="QP10" s="44">
        <v>16.254000000000001</v>
      </c>
      <c r="QQ10" s="44">
        <v>17</v>
      </c>
      <c r="QR10" s="47">
        <v>-0.74599999999999866</v>
      </c>
      <c r="QS10" s="45"/>
      <c r="QT10" s="46">
        <v>0</v>
      </c>
      <c r="QU10" s="44">
        <v>0</v>
      </c>
      <c r="QV10" s="47">
        <v>0</v>
      </c>
      <c r="QW10" s="45"/>
      <c r="QX10" s="46">
        <v>0</v>
      </c>
      <c r="QY10" s="44">
        <v>0</v>
      </c>
      <c r="QZ10" s="44">
        <v>11.974</v>
      </c>
      <c r="RA10" s="44">
        <v>10</v>
      </c>
      <c r="RB10" s="47">
        <v>1.974</v>
      </c>
      <c r="RC10" s="45"/>
      <c r="RD10" s="42">
        <v>0</v>
      </c>
      <c r="RE10" s="44">
        <v>0</v>
      </c>
      <c r="RF10" s="44">
        <v>12.157999999999999</v>
      </c>
      <c r="RG10" s="44">
        <v>10</v>
      </c>
      <c r="RH10" s="47">
        <v>2.157999999999999</v>
      </c>
      <c r="RI10" s="45"/>
      <c r="RJ10" s="42">
        <v>0</v>
      </c>
      <c r="RK10" s="47">
        <v>0</v>
      </c>
      <c r="RL10" s="47">
        <v>20.312000000000001</v>
      </c>
      <c r="RM10" s="47">
        <v>20</v>
      </c>
      <c r="RN10" s="47">
        <v>0.31200000000000122</v>
      </c>
      <c r="RO10" s="43"/>
      <c r="RP10" s="42">
        <v>20.41</v>
      </c>
      <c r="RQ10" s="47">
        <v>20</v>
      </c>
      <c r="RR10" s="47">
        <v>0.41000000000000009</v>
      </c>
      <c r="RS10" s="43"/>
      <c r="RT10" s="42">
        <v>0</v>
      </c>
      <c r="RU10" s="47">
        <v>0</v>
      </c>
      <c r="RV10" s="47">
        <v>0</v>
      </c>
      <c r="RW10" s="47">
        <v>0</v>
      </c>
      <c r="RX10" s="47">
        <v>0</v>
      </c>
      <c r="RY10" s="43"/>
      <c r="RZ10" s="42">
        <v>0</v>
      </c>
      <c r="SA10" s="47">
        <v>0</v>
      </c>
      <c r="SB10" s="47">
        <v>0</v>
      </c>
      <c r="SC10" s="47">
        <v>0</v>
      </c>
      <c r="SD10" s="47">
        <v>0</v>
      </c>
      <c r="SE10" s="43"/>
      <c r="SF10" s="42">
        <v>0</v>
      </c>
      <c r="SG10" s="47">
        <v>0</v>
      </c>
      <c r="SH10" s="47">
        <v>0</v>
      </c>
      <c r="SI10" s="47">
        <v>0</v>
      </c>
      <c r="SJ10" s="47">
        <v>0</v>
      </c>
      <c r="SK10" s="43"/>
      <c r="SL10" s="42">
        <v>0</v>
      </c>
      <c r="SM10" s="47">
        <v>0</v>
      </c>
      <c r="SN10" s="47">
        <v>0</v>
      </c>
      <c r="SO10" s="43"/>
      <c r="SP10" s="42">
        <v>0</v>
      </c>
      <c r="SQ10" s="47">
        <v>0</v>
      </c>
      <c r="SR10" s="47">
        <v>0</v>
      </c>
      <c r="SS10" s="47">
        <v>0</v>
      </c>
      <c r="ST10" s="47">
        <v>0</v>
      </c>
      <c r="SU10" s="43"/>
    </row>
    <row r="11" spans="1:515" x14ac:dyDescent="0.25">
      <c r="A11" s="47" t="s">
        <v>318</v>
      </c>
      <c r="B11" s="41">
        <v>1</v>
      </c>
      <c r="J11" s="42"/>
      <c r="K11" s="51"/>
      <c r="L11" s="51"/>
      <c r="M11" s="51"/>
      <c r="N11" s="51">
        <f t="shared" si="9"/>
        <v>0</v>
      </c>
      <c r="O11" s="43"/>
      <c r="P11" s="46"/>
      <c r="Q11" s="51"/>
      <c r="R11" s="51"/>
      <c r="S11" s="51"/>
      <c r="T11" s="51">
        <f t="shared" si="10"/>
        <v>0</v>
      </c>
      <c r="U11" s="43"/>
      <c r="V11" s="42"/>
      <c r="W11" s="51"/>
      <c r="X11" s="51"/>
      <c r="Y11" s="51"/>
      <c r="Z11" s="51">
        <f t="shared" si="11"/>
        <v>0</v>
      </c>
      <c r="AA11" s="43"/>
      <c r="AB11" s="42"/>
      <c r="AC11" s="51"/>
      <c r="AD11" s="51"/>
      <c r="AE11" s="51"/>
      <c r="AF11" s="51">
        <v>0</v>
      </c>
      <c r="AG11" s="43"/>
      <c r="AH11" s="51"/>
      <c r="AL11" s="47">
        <v>0</v>
      </c>
      <c r="AM11" s="43"/>
      <c r="AN11" s="42"/>
      <c r="AR11" s="47">
        <v>0</v>
      </c>
      <c r="AS11" s="43"/>
      <c r="AX11" s="47">
        <v>0</v>
      </c>
      <c r="AY11" s="43"/>
      <c r="BD11" s="47">
        <v>0</v>
      </c>
      <c r="BE11" s="43"/>
      <c r="BF11" s="42"/>
      <c r="BJ11" s="47">
        <v>0</v>
      </c>
      <c r="BK11" s="43"/>
      <c r="BL11" s="42"/>
      <c r="BP11" s="47">
        <v>0</v>
      </c>
      <c r="BQ11" s="43"/>
      <c r="BV11" s="47">
        <v>0</v>
      </c>
      <c r="BW11" s="43"/>
      <c r="BX11" s="42"/>
      <c r="CB11" s="47">
        <v>0</v>
      </c>
      <c r="CC11" s="43"/>
      <c r="CH11" s="47">
        <v>0</v>
      </c>
      <c r="CI11" s="43"/>
      <c r="CN11" s="47">
        <v>0</v>
      </c>
      <c r="CO11" s="43"/>
      <c r="CP11" s="42"/>
      <c r="CT11" s="47">
        <v>0</v>
      </c>
      <c r="CU11" s="43"/>
      <c r="CV11" s="42"/>
      <c r="CZ11" s="47">
        <v>0</v>
      </c>
      <c r="DA11" s="43"/>
      <c r="DG11" s="47">
        <v>0</v>
      </c>
      <c r="DH11" s="43"/>
      <c r="DK11" s="47">
        <v>0</v>
      </c>
      <c r="DL11" s="43"/>
      <c r="DM11" s="42"/>
      <c r="DQ11" s="47">
        <v>0</v>
      </c>
      <c r="DR11" s="43"/>
      <c r="DW11" s="47">
        <v>0</v>
      </c>
      <c r="DX11" s="43"/>
      <c r="EC11" s="47">
        <v>0</v>
      </c>
      <c r="ED11" s="43"/>
      <c r="EE11" s="42"/>
      <c r="EI11" s="47">
        <v>0</v>
      </c>
      <c r="EJ11" s="43"/>
      <c r="EO11" s="47">
        <v>0</v>
      </c>
      <c r="EP11" s="43"/>
      <c r="EQ11" s="42"/>
      <c r="EU11" s="47">
        <v>0</v>
      </c>
      <c r="EV11" s="43"/>
      <c r="EW11" s="42"/>
      <c r="FC11" s="47">
        <v>0</v>
      </c>
      <c r="FD11" s="43"/>
      <c r="FE11" s="42"/>
      <c r="FI11" s="47">
        <v>0</v>
      </c>
      <c r="FJ11" s="43"/>
      <c r="FQ11" s="47">
        <v>0</v>
      </c>
      <c r="FR11" s="43"/>
      <c r="FS11" s="42"/>
      <c r="FW11" s="47">
        <v>0</v>
      </c>
      <c r="FX11" s="43"/>
      <c r="FY11" s="42"/>
      <c r="GC11" s="47">
        <v>0</v>
      </c>
      <c r="GD11" s="43"/>
      <c r="GE11" s="42"/>
      <c r="GI11" s="47">
        <v>0</v>
      </c>
      <c r="GJ11" s="43"/>
      <c r="GQ11" s="47">
        <v>0</v>
      </c>
      <c r="GR11" s="43"/>
      <c r="GX11" s="47">
        <v>0</v>
      </c>
      <c r="GY11" s="43"/>
      <c r="GZ11" s="42"/>
      <c r="HC11" s="47">
        <v>0</v>
      </c>
      <c r="HD11" s="43"/>
      <c r="HE11" s="42"/>
      <c r="HH11" s="47">
        <v>0</v>
      </c>
      <c r="HI11" s="43"/>
      <c r="HN11" s="47">
        <v>0</v>
      </c>
      <c r="HO11" s="43"/>
      <c r="HP11" s="42"/>
      <c r="HU11" s="47">
        <v>0</v>
      </c>
      <c r="HV11" s="43"/>
      <c r="HY11">
        <v>65</v>
      </c>
      <c r="HZ11">
        <v>65</v>
      </c>
      <c r="IA11" s="47">
        <v>0</v>
      </c>
      <c r="IB11" s="43"/>
      <c r="IC11" s="42"/>
      <c r="IG11" s="47">
        <v>0</v>
      </c>
      <c r="IH11" s="43"/>
      <c r="IM11" s="47">
        <v>0</v>
      </c>
      <c r="IN11" s="43"/>
      <c r="IO11" s="42"/>
      <c r="IQ11" s="47">
        <v>0</v>
      </c>
      <c r="IR11" s="43"/>
      <c r="IS11" s="42"/>
      <c r="IU11">
        <v>171</v>
      </c>
      <c r="IV11">
        <v>170</v>
      </c>
      <c r="IW11" s="47">
        <v>1</v>
      </c>
      <c r="IX11" s="43"/>
      <c r="IY11" s="40">
        <v>12</v>
      </c>
      <c r="IZ11">
        <v>10</v>
      </c>
      <c r="JA11" s="47">
        <v>2</v>
      </c>
      <c r="JB11" s="43"/>
      <c r="JC11" s="42"/>
      <c r="JE11">
        <v>81</v>
      </c>
      <c r="JF11">
        <v>80</v>
      </c>
      <c r="JG11" s="47">
        <v>1</v>
      </c>
      <c r="JH11" s="43"/>
      <c r="JM11">
        <v>57</v>
      </c>
      <c r="JN11">
        <v>55</v>
      </c>
      <c r="JO11" s="47">
        <v>2</v>
      </c>
      <c r="JP11" s="43"/>
      <c r="JQ11" s="42"/>
      <c r="JS11">
        <v>122</v>
      </c>
      <c r="JT11">
        <v>120</v>
      </c>
      <c r="JU11" s="47">
        <v>2</v>
      </c>
      <c r="JV11" s="43"/>
      <c r="JY11">
        <v>49</v>
      </c>
      <c r="JZ11">
        <v>50</v>
      </c>
      <c r="KA11" s="47">
        <v>-1</v>
      </c>
      <c r="KB11" s="45"/>
      <c r="KC11">
        <v>41</v>
      </c>
      <c r="KD11">
        <v>40</v>
      </c>
      <c r="KE11">
        <v>40</v>
      </c>
      <c r="KF11">
        <v>40</v>
      </c>
      <c r="KG11" s="47">
        <v>1</v>
      </c>
      <c r="KH11" s="45"/>
      <c r="KK11">
        <v>20</v>
      </c>
      <c r="KL11">
        <v>20</v>
      </c>
      <c r="KM11" s="47">
        <v>0</v>
      </c>
      <c r="KN11" s="45"/>
      <c r="KO11">
        <v>49</v>
      </c>
      <c r="KP11">
        <v>50</v>
      </c>
      <c r="KQ11">
        <v>44</v>
      </c>
      <c r="KR11">
        <v>45</v>
      </c>
      <c r="KS11" s="47">
        <v>-2</v>
      </c>
      <c r="KT11" s="43"/>
      <c r="KU11">
        <v>49</v>
      </c>
      <c r="KV11">
        <v>50</v>
      </c>
      <c r="KW11" s="47">
        <v>-1</v>
      </c>
      <c r="KX11" s="45"/>
      <c r="LA11">
        <v>89</v>
      </c>
      <c r="LB11">
        <v>90</v>
      </c>
      <c r="LC11" s="47">
        <v>-1</v>
      </c>
      <c r="LD11" s="43"/>
      <c r="LE11" s="46"/>
      <c r="LG11" s="47">
        <v>0</v>
      </c>
      <c r="LH11" s="45"/>
      <c r="LM11" s="47">
        <v>0</v>
      </c>
      <c r="LN11" s="45"/>
      <c r="LS11" s="47">
        <v>0</v>
      </c>
      <c r="LT11" s="45"/>
      <c r="LW11">
        <v>210</v>
      </c>
      <c r="LX11">
        <v>210</v>
      </c>
      <c r="LY11" s="47">
        <v>0</v>
      </c>
      <c r="LZ11" s="45"/>
      <c r="MA11">
        <v>20</v>
      </c>
      <c r="MB11">
        <v>20</v>
      </c>
      <c r="MC11">
        <v>69</v>
      </c>
      <c r="MD11">
        <v>70</v>
      </c>
      <c r="ME11" s="47">
        <v>-1</v>
      </c>
      <c r="MF11" s="45"/>
      <c r="MG11" s="46"/>
      <c r="MK11">
        <v>44</v>
      </c>
      <c r="ML11">
        <v>45</v>
      </c>
      <c r="MM11" s="47">
        <v>-1</v>
      </c>
      <c r="MN11" s="45"/>
      <c r="MO11" s="44">
        <v>0</v>
      </c>
      <c r="MP11" s="44">
        <v>0</v>
      </c>
      <c r="MQ11" s="44">
        <v>20.442</v>
      </c>
      <c r="MR11" s="44">
        <v>20</v>
      </c>
      <c r="MS11" s="47">
        <v>0.44200000000000023</v>
      </c>
      <c r="MT11" s="45"/>
      <c r="MU11" s="44">
        <v>0</v>
      </c>
      <c r="MV11" s="44">
        <v>0</v>
      </c>
      <c r="MW11" s="44">
        <v>0</v>
      </c>
      <c r="MX11" s="44">
        <v>0</v>
      </c>
      <c r="MY11" s="47">
        <v>0</v>
      </c>
      <c r="MZ11" s="45"/>
      <c r="NA11" s="46">
        <v>0</v>
      </c>
      <c r="NB11" s="44">
        <v>0</v>
      </c>
      <c r="NC11" s="47">
        <v>0</v>
      </c>
      <c r="ND11" s="45"/>
      <c r="NE11" s="46">
        <v>0</v>
      </c>
      <c r="NF11" s="44">
        <v>0</v>
      </c>
      <c r="NG11" s="44">
        <v>0</v>
      </c>
      <c r="NH11" s="44">
        <v>0</v>
      </c>
      <c r="NI11" s="44">
        <v>0</v>
      </c>
      <c r="NJ11" s="47">
        <v>0</v>
      </c>
      <c r="NK11" s="45"/>
      <c r="NL11" s="46">
        <v>202.15299999999999</v>
      </c>
      <c r="NM11" s="44">
        <v>200</v>
      </c>
      <c r="NN11" s="44">
        <v>48.433999999999997</v>
      </c>
      <c r="NO11" s="44">
        <v>50</v>
      </c>
      <c r="NP11" s="47">
        <v>0.58699999999998909</v>
      </c>
      <c r="NQ11" s="45"/>
      <c r="NR11" s="46">
        <v>230.36099999999999</v>
      </c>
      <c r="NS11" s="44">
        <v>230</v>
      </c>
      <c r="NT11" s="47">
        <v>0.36099999999999</v>
      </c>
      <c r="NU11" s="45"/>
      <c r="NV11" s="46">
        <v>0</v>
      </c>
      <c r="NW11" s="44">
        <v>0</v>
      </c>
      <c r="NX11" s="44">
        <v>69.2</v>
      </c>
      <c r="NY11" s="44">
        <v>70</v>
      </c>
      <c r="NZ11" s="47">
        <v>-0.79999999999999716</v>
      </c>
      <c r="OA11" s="45"/>
      <c r="OB11" s="46">
        <v>32.573999999999998</v>
      </c>
      <c r="OC11" s="44">
        <v>30</v>
      </c>
      <c r="OD11" s="47">
        <v>2.5739999999999981</v>
      </c>
      <c r="OE11" s="45"/>
      <c r="OF11" s="46">
        <v>68.734999999999999</v>
      </c>
      <c r="OG11" s="44">
        <v>70</v>
      </c>
      <c r="OH11" s="44">
        <v>0</v>
      </c>
      <c r="OI11" s="44">
        <v>0</v>
      </c>
      <c r="OJ11" s="47">
        <v>-1.265000000000001</v>
      </c>
      <c r="OK11" s="45"/>
      <c r="OL11" s="44">
        <v>0</v>
      </c>
      <c r="OM11" s="43"/>
      <c r="OQ11" s="45"/>
      <c r="OR11" s="46"/>
      <c r="OW11" s="45"/>
      <c r="OX11" s="46"/>
      <c r="PC11" s="45"/>
      <c r="PD11" s="46"/>
      <c r="PI11" s="45"/>
      <c r="PJ11" s="46"/>
      <c r="PO11" s="45"/>
      <c r="PP11" s="46"/>
      <c r="PU11" s="45"/>
      <c r="PV11" s="46"/>
      <c r="PY11" s="45"/>
      <c r="PZ11" s="46"/>
      <c r="QC11" s="45"/>
      <c r="QD11" s="46"/>
      <c r="QI11" s="45"/>
      <c r="QJ11" s="46"/>
      <c r="QM11" s="45"/>
      <c r="QN11" s="46"/>
      <c r="QS11" s="45"/>
      <c r="QT11" s="46"/>
      <c r="QW11" s="45"/>
      <c r="QX11" s="46"/>
      <c r="RC11" s="45"/>
      <c r="RD11" s="42"/>
      <c r="RE11" s="44"/>
      <c r="RG11" s="44"/>
      <c r="RI11" s="45"/>
      <c r="RJ11" s="42"/>
      <c r="RO11" s="43"/>
      <c r="RP11" s="42"/>
      <c r="RS11" s="43"/>
      <c r="RT11" s="42"/>
      <c r="RY11" s="43"/>
      <c r="RZ11" s="42"/>
      <c r="SE11" s="43"/>
      <c r="SF11" s="42"/>
      <c r="SK11" s="43"/>
      <c r="SL11" s="42"/>
      <c r="SO11" s="43"/>
      <c r="SP11" s="42"/>
      <c r="SU11" s="43"/>
    </row>
    <row r="12" spans="1:515" x14ac:dyDescent="0.25">
      <c r="A12" s="47" t="s">
        <v>319</v>
      </c>
      <c r="B12" s="41">
        <v>1</v>
      </c>
      <c r="E12">
        <v>153</v>
      </c>
      <c r="F12">
        <v>186</v>
      </c>
      <c r="G12">
        <v>187</v>
      </c>
      <c r="J12" s="40">
        <v>73</v>
      </c>
      <c r="K12" s="52">
        <v>73</v>
      </c>
      <c r="L12" s="52">
        <v>56</v>
      </c>
      <c r="M12" s="52">
        <v>59</v>
      </c>
      <c r="N12" s="51">
        <f t="shared" si="9"/>
        <v>-3</v>
      </c>
      <c r="O12" s="43"/>
      <c r="P12" s="40">
        <v>44</v>
      </c>
      <c r="Q12" s="52">
        <v>45</v>
      </c>
      <c r="R12" s="52">
        <v>37</v>
      </c>
      <c r="S12" s="52">
        <v>39</v>
      </c>
      <c r="T12" s="51">
        <f t="shared" si="10"/>
        <v>-3</v>
      </c>
      <c r="U12" s="43"/>
      <c r="V12" s="40">
        <v>89</v>
      </c>
      <c r="W12" s="52">
        <v>90</v>
      </c>
      <c r="X12" s="52">
        <v>36</v>
      </c>
      <c r="Y12" s="52">
        <v>38</v>
      </c>
      <c r="Z12" s="51">
        <f t="shared" si="11"/>
        <v>-3</v>
      </c>
      <c r="AA12" s="43"/>
      <c r="AB12" s="42"/>
      <c r="AC12" s="51"/>
      <c r="AD12" s="51"/>
      <c r="AE12" s="51"/>
      <c r="AF12" s="51">
        <v>0</v>
      </c>
      <c r="AG12" s="43"/>
      <c r="AH12" s="52">
        <v>161</v>
      </c>
      <c r="AI12">
        <v>162</v>
      </c>
      <c r="AJ12">
        <v>128</v>
      </c>
      <c r="AK12">
        <v>130</v>
      </c>
      <c r="AL12" s="47">
        <v>-3</v>
      </c>
      <c r="AM12" s="43"/>
      <c r="AN12" s="40">
        <v>56</v>
      </c>
      <c r="AO12">
        <v>60</v>
      </c>
      <c r="AP12">
        <v>45</v>
      </c>
      <c r="AQ12">
        <v>47</v>
      </c>
      <c r="AR12" s="47">
        <v>-6</v>
      </c>
      <c r="AS12" s="43"/>
      <c r="AV12">
        <v>8</v>
      </c>
      <c r="AW12">
        <v>8</v>
      </c>
      <c r="AX12" s="47">
        <v>0</v>
      </c>
      <c r="AY12" s="43"/>
      <c r="AZ12">
        <v>60</v>
      </c>
      <c r="BA12">
        <v>60</v>
      </c>
      <c r="BB12">
        <v>36</v>
      </c>
      <c r="BC12">
        <v>34</v>
      </c>
      <c r="BD12" s="47">
        <v>2</v>
      </c>
      <c r="BE12" s="43"/>
      <c r="BF12" s="40">
        <v>110</v>
      </c>
      <c r="BG12">
        <v>110</v>
      </c>
      <c r="BH12">
        <v>118</v>
      </c>
      <c r="BI12">
        <v>117</v>
      </c>
      <c r="BJ12" s="47">
        <v>1</v>
      </c>
      <c r="BK12" s="43"/>
      <c r="BL12" s="40">
        <v>61</v>
      </c>
      <c r="BM12">
        <v>60</v>
      </c>
      <c r="BN12">
        <v>65</v>
      </c>
      <c r="BO12">
        <v>65</v>
      </c>
      <c r="BP12" s="47">
        <v>1</v>
      </c>
      <c r="BQ12" s="43"/>
      <c r="BR12">
        <v>61</v>
      </c>
      <c r="BS12">
        <v>60</v>
      </c>
      <c r="BT12">
        <v>36</v>
      </c>
      <c r="BU12">
        <v>35</v>
      </c>
      <c r="BV12" s="47">
        <v>2</v>
      </c>
      <c r="BW12" s="43"/>
      <c r="BX12" s="40">
        <v>61</v>
      </c>
      <c r="BY12">
        <v>60</v>
      </c>
      <c r="BZ12">
        <v>77</v>
      </c>
      <c r="CA12">
        <v>77</v>
      </c>
      <c r="CB12" s="47">
        <v>1</v>
      </c>
      <c r="CC12" s="43"/>
      <c r="CD12">
        <v>93</v>
      </c>
      <c r="CE12">
        <v>94</v>
      </c>
      <c r="CF12">
        <v>101</v>
      </c>
      <c r="CG12">
        <v>100</v>
      </c>
      <c r="CH12" s="47">
        <v>0</v>
      </c>
      <c r="CI12" s="43"/>
      <c r="CL12">
        <v>32</v>
      </c>
      <c r="CM12">
        <v>32</v>
      </c>
      <c r="CN12" s="47">
        <v>0</v>
      </c>
      <c r="CO12" s="43"/>
      <c r="CP12" s="40">
        <v>51</v>
      </c>
      <c r="CQ12">
        <v>52</v>
      </c>
      <c r="CT12" s="47">
        <v>-1</v>
      </c>
      <c r="CU12" s="43"/>
      <c r="CV12" s="40">
        <v>101</v>
      </c>
      <c r="CW12">
        <v>100</v>
      </c>
      <c r="CX12">
        <v>136</v>
      </c>
      <c r="CY12">
        <v>137</v>
      </c>
      <c r="CZ12" s="47">
        <v>0</v>
      </c>
      <c r="DA12" s="43"/>
      <c r="DD12">
        <v>8</v>
      </c>
      <c r="DF12">
        <v>7</v>
      </c>
      <c r="DG12" s="47">
        <v>1</v>
      </c>
      <c r="DH12" s="43"/>
      <c r="DI12">
        <v>24</v>
      </c>
      <c r="DJ12">
        <v>40</v>
      </c>
      <c r="DK12" s="50">
        <v>-16</v>
      </c>
      <c r="DL12" s="43">
        <v>16</v>
      </c>
      <c r="DM12" s="40">
        <v>73</v>
      </c>
      <c r="DN12">
        <v>74</v>
      </c>
      <c r="DO12">
        <v>65</v>
      </c>
      <c r="DP12">
        <v>63</v>
      </c>
      <c r="DQ12" s="47">
        <v>1</v>
      </c>
      <c r="DR12" s="43"/>
      <c r="DS12">
        <v>89</v>
      </c>
      <c r="DT12">
        <v>90</v>
      </c>
      <c r="DU12">
        <v>140</v>
      </c>
      <c r="DV12">
        <v>142</v>
      </c>
      <c r="DW12" s="47">
        <v>-3</v>
      </c>
      <c r="DX12" s="43"/>
      <c r="EA12">
        <v>41</v>
      </c>
      <c r="EB12">
        <v>41</v>
      </c>
      <c r="EC12" s="47">
        <v>0</v>
      </c>
      <c r="ED12" s="43"/>
      <c r="EE12" s="42"/>
      <c r="EI12" s="47">
        <v>0</v>
      </c>
      <c r="EJ12" s="43"/>
      <c r="EK12">
        <v>73</v>
      </c>
      <c r="EL12">
        <v>72</v>
      </c>
      <c r="EO12" s="47">
        <v>1</v>
      </c>
      <c r="EP12" s="43"/>
      <c r="EQ12" s="40">
        <v>151</v>
      </c>
      <c r="ER12">
        <v>150</v>
      </c>
      <c r="ES12">
        <v>229</v>
      </c>
      <c r="ET12">
        <v>300</v>
      </c>
      <c r="EU12" s="50">
        <v>-70</v>
      </c>
      <c r="EV12" s="43">
        <v>70</v>
      </c>
      <c r="EW12" s="42"/>
      <c r="FA12">
        <v>61</v>
      </c>
      <c r="FB12">
        <v>60</v>
      </c>
      <c r="FC12" s="47">
        <v>1</v>
      </c>
      <c r="FD12" s="43"/>
      <c r="FE12" s="42"/>
      <c r="FI12" s="47">
        <v>0</v>
      </c>
      <c r="FJ12" s="43"/>
      <c r="FM12">
        <v>202</v>
      </c>
      <c r="FN12">
        <v>200</v>
      </c>
      <c r="FO12">
        <v>299</v>
      </c>
      <c r="FP12">
        <v>300</v>
      </c>
      <c r="FQ12" s="47">
        <v>1</v>
      </c>
      <c r="FR12" s="43"/>
      <c r="FS12" s="42"/>
      <c r="FW12" s="47">
        <v>0</v>
      </c>
      <c r="FX12" s="43"/>
      <c r="FY12" s="40">
        <v>102</v>
      </c>
      <c r="FZ12">
        <v>100</v>
      </c>
      <c r="GA12">
        <v>109</v>
      </c>
      <c r="GB12">
        <v>110</v>
      </c>
      <c r="GC12" s="47">
        <v>1</v>
      </c>
      <c r="GD12" s="43"/>
      <c r="GE12" s="40">
        <v>162</v>
      </c>
      <c r="GF12">
        <v>160</v>
      </c>
      <c r="GG12">
        <v>121</v>
      </c>
      <c r="GH12">
        <v>120</v>
      </c>
      <c r="GI12" s="47">
        <v>3</v>
      </c>
      <c r="GJ12" s="43"/>
      <c r="GQ12" s="47">
        <v>0</v>
      </c>
      <c r="GR12" s="43"/>
      <c r="GS12">
        <v>171</v>
      </c>
      <c r="GT12">
        <v>170</v>
      </c>
      <c r="GU12">
        <v>169</v>
      </c>
      <c r="GW12">
        <v>170</v>
      </c>
      <c r="GX12" s="47">
        <v>0</v>
      </c>
      <c r="GY12" s="43"/>
      <c r="GZ12" s="42"/>
      <c r="HC12" s="47">
        <v>0</v>
      </c>
      <c r="HD12" s="43"/>
      <c r="HE12" s="40">
        <v>171</v>
      </c>
      <c r="HG12">
        <v>169</v>
      </c>
      <c r="HH12" s="47">
        <v>2</v>
      </c>
      <c r="HI12" s="43"/>
      <c r="HJ12">
        <v>170</v>
      </c>
      <c r="HM12">
        <v>170</v>
      </c>
      <c r="HN12" s="47">
        <v>0</v>
      </c>
      <c r="HO12" s="43"/>
      <c r="HP12" s="40">
        <v>101</v>
      </c>
      <c r="HR12">
        <v>100</v>
      </c>
      <c r="HS12">
        <v>110</v>
      </c>
      <c r="HT12">
        <v>110</v>
      </c>
      <c r="HU12" s="47">
        <v>1</v>
      </c>
      <c r="HV12" s="43"/>
      <c r="HW12">
        <v>20</v>
      </c>
      <c r="HX12">
        <v>20</v>
      </c>
      <c r="HY12">
        <v>40</v>
      </c>
      <c r="HZ12">
        <v>40</v>
      </c>
      <c r="IA12" s="47">
        <v>0</v>
      </c>
      <c r="IB12" s="43"/>
      <c r="IC12" s="42"/>
      <c r="IE12">
        <v>81</v>
      </c>
      <c r="IF12">
        <v>80</v>
      </c>
      <c r="IG12" s="47">
        <v>1</v>
      </c>
      <c r="IH12" s="43"/>
      <c r="II12">
        <v>148</v>
      </c>
      <c r="IJ12">
        <v>150</v>
      </c>
      <c r="IK12">
        <v>149</v>
      </c>
      <c r="IL12">
        <v>150</v>
      </c>
      <c r="IM12" s="47">
        <v>-3</v>
      </c>
      <c r="IN12" s="43"/>
      <c r="IO12" s="42"/>
      <c r="IQ12" s="47">
        <v>0</v>
      </c>
      <c r="IR12" s="43"/>
      <c r="IS12" s="40">
        <v>102</v>
      </c>
      <c r="IT12">
        <v>100</v>
      </c>
      <c r="IU12">
        <v>115</v>
      </c>
      <c r="IV12">
        <v>113</v>
      </c>
      <c r="IW12" s="47">
        <v>4</v>
      </c>
      <c r="IX12" s="43"/>
      <c r="IY12" s="42"/>
      <c r="JA12" s="47">
        <v>0</v>
      </c>
      <c r="JB12" s="43"/>
      <c r="JC12" s="42"/>
      <c r="JE12">
        <v>170</v>
      </c>
      <c r="JF12">
        <v>170</v>
      </c>
      <c r="JG12" s="47">
        <v>0</v>
      </c>
      <c r="JH12" s="43"/>
      <c r="JI12">
        <v>201</v>
      </c>
      <c r="JJ12">
        <v>200</v>
      </c>
      <c r="JK12">
        <v>240</v>
      </c>
      <c r="JL12">
        <v>240</v>
      </c>
      <c r="JO12" s="47">
        <v>1</v>
      </c>
      <c r="JP12" s="43"/>
      <c r="JQ12" s="42"/>
      <c r="JS12">
        <v>61</v>
      </c>
      <c r="JT12">
        <v>60</v>
      </c>
      <c r="JU12" s="47">
        <v>1</v>
      </c>
      <c r="JV12" s="43"/>
      <c r="KA12" s="47">
        <v>0</v>
      </c>
      <c r="KB12" s="45"/>
      <c r="KC12">
        <v>201</v>
      </c>
      <c r="KD12">
        <v>200</v>
      </c>
      <c r="KE12">
        <v>202</v>
      </c>
      <c r="KF12">
        <v>200</v>
      </c>
      <c r="KG12" s="47">
        <v>3</v>
      </c>
      <c r="KH12" s="45"/>
      <c r="KK12">
        <v>109</v>
      </c>
      <c r="KL12">
        <v>110</v>
      </c>
      <c r="KM12" s="47">
        <v>-1</v>
      </c>
      <c r="KN12" s="45"/>
      <c r="KO12">
        <v>171</v>
      </c>
      <c r="KP12">
        <v>170</v>
      </c>
      <c r="KQ12">
        <v>129</v>
      </c>
      <c r="KR12">
        <v>130</v>
      </c>
      <c r="KS12" s="47">
        <v>0</v>
      </c>
      <c r="KT12" s="43"/>
      <c r="KU12">
        <v>203</v>
      </c>
      <c r="KV12">
        <v>200</v>
      </c>
      <c r="KW12" s="47">
        <v>3</v>
      </c>
      <c r="KX12" s="45"/>
      <c r="KY12">
        <v>102</v>
      </c>
      <c r="KZ12">
        <v>100</v>
      </c>
      <c r="LA12">
        <v>69</v>
      </c>
      <c r="LB12">
        <v>70</v>
      </c>
      <c r="LC12" s="47">
        <v>1</v>
      </c>
      <c r="LD12" s="43"/>
      <c r="LE12" s="46"/>
      <c r="LG12" s="47">
        <v>0</v>
      </c>
      <c r="LH12" s="45"/>
      <c r="LK12">
        <v>363</v>
      </c>
      <c r="LL12">
        <v>360</v>
      </c>
      <c r="LM12" s="47">
        <v>3</v>
      </c>
      <c r="LN12" s="45"/>
      <c r="LO12">
        <v>150</v>
      </c>
      <c r="LP12">
        <v>150</v>
      </c>
      <c r="LS12" s="47">
        <v>0</v>
      </c>
      <c r="LT12" s="45"/>
      <c r="LY12" s="47">
        <v>0</v>
      </c>
      <c r="LZ12" s="45"/>
      <c r="MA12">
        <v>201</v>
      </c>
      <c r="MB12">
        <v>200</v>
      </c>
      <c r="MC12">
        <v>399</v>
      </c>
      <c r="MD12">
        <v>400</v>
      </c>
      <c r="ME12" s="47">
        <v>0</v>
      </c>
      <c r="MF12" s="45"/>
      <c r="MG12" s="40">
        <v>48</v>
      </c>
      <c r="MH12">
        <v>50</v>
      </c>
      <c r="MI12">
        <v>82</v>
      </c>
      <c r="MJ12">
        <v>80</v>
      </c>
      <c r="MK12">
        <v>48</v>
      </c>
      <c r="ML12">
        <v>50</v>
      </c>
      <c r="MM12" s="47">
        <v>-2</v>
      </c>
      <c r="MN12" s="45"/>
      <c r="MO12" s="44">
        <v>0</v>
      </c>
      <c r="MP12" s="44">
        <v>0</v>
      </c>
      <c r="MQ12" s="44">
        <v>68.524000000000001</v>
      </c>
      <c r="MR12" s="44">
        <v>70</v>
      </c>
      <c r="MS12" s="47">
        <v>-1.4759999999999991</v>
      </c>
      <c r="MT12" s="45"/>
      <c r="MU12" s="44">
        <v>0</v>
      </c>
      <c r="MV12" s="44">
        <v>0</v>
      </c>
      <c r="MW12" s="44">
        <v>0</v>
      </c>
      <c r="MX12" s="44">
        <v>0</v>
      </c>
      <c r="MY12" s="47">
        <v>0</v>
      </c>
      <c r="MZ12" s="45"/>
      <c r="NA12" s="46">
        <v>0</v>
      </c>
      <c r="NB12" s="44">
        <v>0</v>
      </c>
      <c r="NC12" s="47">
        <v>0</v>
      </c>
      <c r="ND12" s="45"/>
      <c r="NE12" s="46">
        <v>251.892</v>
      </c>
      <c r="NF12" s="44">
        <v>250</v>
      </c>
      <c r="NG12" s="44">
        <v>250.37200000000001</v>
      </c>
      <c r="NH12" s="44">
        <v>0</v>
      </c>
      <c r="NI12" s="44">
        <v>250</v>
      </c>
      <c r="NJ12" s="47">
        <v>2.26400000000001</v>
      </c>
      <c r="NK12" s="45"/>
      <c r="NL12" s="46">
        <v>162.137</v>
      </c>
      <c r="NM12" s="44">
        <v>160</v>
      </c>
      <c r="NN12" s="44">
        <v>204.577</v>
      </c>
      <c r="NO12" s="44">
        <v>200</v>
      </c>
      <c r="NP12" s="47">
        <v>6.7139999999999986</v>
      </c>
      <c r="NQ12" s="45"/>
      <c r="NR12" s="46">
        <v>0</v>
      </c>
      <c r="NS12" s="44">
        <v>0</v>
      </c>
      <c r="NT12" s="47">
        <v>0</v>
      </c>
      <c r="NU12" s="45"/>
      <c r="NV12" s="46">
        <v>100.004</v>
      </c>
      <c r="NW12" s="44">
        <v>100</v>
      </c>
      <c r="NX12" s="44">
        <v>385.70100000000002</v>
      </c>
      <c r="NY12" s="44">
        <v>379</v>
      </c>
      <c r="NZ12" s="47">
        <v>6.7050000000000409</v>
      </c>
      <c r="OA12" s="45"/>
      <c r="OB12" s="46">
        <v>230.32300000000001</v>
      </c>
      <c r="OC12" s="44">
        <v>230</v>
      </c>
      <c r="OD12" s="47">
        <v>0.3230000000000075</v>
      </c>
      <c r="OE12" s="45"/>
      <c r="OF12" s="46">
        <v>0</v>
      </c>
      <c r="OG12" s="44">
        <v>0</v>
      </c>
      <c r="OH12" s="44">
        <v>0</v>
      </c>
      <c r="OI12" s="44">
        <v>0</v>
      </c>
      <c r="OJ12" s="47">
        <v>0</v>
      </c>
      <c r="OK12" s="45"/>
      <c r="OL12" s="44">
        <v>0</v>
      </c>
      <c r="OM12" s="43"/>
      <c r="ON12" s="44">
        <v>505.36</v>
      </c>
      <c r="OO12" s="44">
        <v>500</v>
      </c>
      <c r="OP12" s="47">
        <v>5.3600000000000136</v>
      </c>
      <c r="OQ12" s="45"/>
      <c r="OR12" s="46">
        <v>0</v>
      </c>
      <c r="OS12" s="44">
        <v>0</v>
      </c>
      <c r="OT12" s="44">
        <v>64.643000000000001</v>
      </c>
      <c r="OU12" s="44">
        <v>65</v>
      </c>
      <c r="OV12" s="47">
        <v>-0.35699999999999932</v>
      </c>
      <c r="OW12" s="45"/>
      <c r="OX12" s="46">
        <v>0</v>
      </c>
      <c r="OY12" s="33">
        <v>100</v>
      </c>
      <c r="OZ12" s="44">
        <v>154.72999999999999</v>
      </c>
      <c r="PA12" s="44">
        <v>150</v>
      </c>
      <c r="PB12" s="50">
        <v>-95.27000000000001</v>
      </c>
      <c r="PC12" s="45">
        <v>95.27000000000001</v>
      </c>
      <c r="PD12" s="46">
        <v>68.724999999999994</v>
      </c>
      <c r="PE12" s="44">
        <v>70</v>
      </c>
      <c r="PF12" s="44">
        <v>80.960999999999999</v>
      </c>
      <c r="PG12" s="44">
        <v>80</v>
      </c>
      <c r="PH12" s="47">
        <v>-0.31400000000002137</v>
      </c>
      <c r="PI12" s="45"/>
      <c r="PJ12" s="46">
        <v>0</v>
      </c>
      <c r="PK12" s="33">
        <v>100</v>
      </c>
      <c r="PL12" s="44">
        <v>302.84699999999998</v>
      </c>
      <c r="PM12" s="44">
        <v>300</v>
      </c>
      <c r="PN12" s="50">
        <v>-97.15300000000002</v>
      </c>
      <c r="PO12" s="45">
        <v>97.15300000000002</v>
      </c>
      <c r="PP12" s="46">
        <v>0</v>
      </c>
      <c r="PQ12" s="44">
        <v>0</v>
      </c>
      <c r="PR12" s="44">
        <v>16.236999999999998</v>
      </c>
      <c r="PS12" s="44">
        <v>14</v>
      </c>
      <c r="PT12" s="47">
        <v>2.2369999999999979</v>
      </c>
      <c r="PU12" s="45"/>
      <c r="PV12" s="46">
        <v>219.17599999999999</v>
      </c>
      <c r="PW12" s="44">
        <v>220</v>
      </c>
      <c r="PX12" s="47">
        <v>-0.82400000000001228</v>
      </c>
      <c r="PY12" s="45"/>
      <c r="PZ12" s="46">
        <v>175.291</v>
      </c>
      <c r="QA12" s="44">
        <v>172</v>
      </c>
      <c r="QB12" s="47">
        <v>3.2909999999999968</v>
      </c>
      <c r="QC12" s="45"/>
      <c r="QD12" s="46">
        <v>0</v>
      </c>
      <c r="QE12" s="44">
        <v>0</v>
      </c>
      <c r="QF12" s="44">
        <v>0</v>
      </c>
      <c r="QG12" s="44">
        <v>0</v>
      </c>
      <c r="QH12" s="47">
        <v>0</v>
      </c>
      <c r="QI12" s="45"/>
      <c r="QJ12" s="46">
        <v>564.70899999999995</v>
      </c>
      <c r="QK12" s="44">
        <v>563</v>
      </c>
      <c r="QL12" s="47">
        <v>1.7089999999999459</v>
      </c>
      <c r="QM12" s="45"/>
      <c r="QN12" s="46">
        <v>80.784999999999997</v>
      </c>
      <c r="QO12" s="44">
        <v>80</v>
      </c>
      <c r="QP12" s="44">
        <v>68.653000000000006</v>
      </c>
      <c r="QQ12" s="44">
        <v>69</v>
      </c>
      <c r="QR12" s="47">
        <v>0.43799999999998818</v>
      </c>
      <c r="QS12" s="45"/>
      <c r="QT12" s="46">
        <v>76.754999999999995</v>
      </c>
      <c r="QU12" s="44">
        <v>80</v>
      </c>
      <c r="QV12" s="47">
        <v>-3.245000000000005</v>
      </c>
      <c r="QW12" s="45"/>
      <c r="QX12" s="46">
        <v>0</v>
      </c>
      <c r="QY12" s="44">
        <v>0</v>
      </c>
      <c r="QZ12" s="44">
        <v>44.531999999999996</v>
      </c>
      <c r="RA12" s="44">
        <v>57</v>
      </c>
      <c r="RB12" s="50">
        <v>-12.468</v>
      </c>
      <c r="RC12" s="45">
        <v>12.468</v>
      </c>
      <c r="RD12" s="42">
        <v>101.367</v>
      </c>
      <c r="RE12" s="44">
        <v>100</v>
      </c>
      <c r="RF12" s="44">
        <v>137.61799999999999</v>
      </c>
      <c r="RG12" s="44">
        <v>136</v>
      </c>
      <c r="RH12" s="47">
        <v>2.9850000000000141</v>
      </c>
      <c r="RI12" s="45"/>
      <c r="RJ12" s="42">
        <v>100.86</v>
      </c>
      <c r="RK12" s="47">
        <v>100</v>
      </c>
      <c r="RL12" s="47">
        <v>148.71799999999999</v>
      </c>
      <c r="RM12" s="47">
        <v>150</v>
      </c>
      <c r="RN12" s="47">
        <v>-0.42200000000002552</v>
      </c>
      <c r="RO12" s="43"/>
      <c r="RP12" s="42">
        <v>231.37299999999999</v>
      </c>
      <c r="RQ12" s="47">
        <v>232</v>
      </c>
      <c r="RR12" s="47">
        <v>-0.62700000000000955</v>
      </c>
      <c r="RS12" s="43"/>
      <c r="RT12" s="42">
        <v>101.021</v>
      </c>
      <c r="RU12" s="47">
        <v>100</v>
      </c>
      <c r="RV12" s="47">
        <v>122.348</v>
      </c>
      <c r="RW12" s="47">
        <v>120</v>
      </c>
      <c r="RX12" s="47">
        <v>3.3690000000000002</v>
      </c>
      <c r="RY12" s="43"/>
      <c r="RZ12" s="42">
        <v>81.153000000000006</v>
      </c>
      <c r="SA12" s="47">
        <v>80</v>
      </c>
      <c r="SB12" s="47">
        <v>119.578</v>
      </c>
      <c r="SC12" s="47">
        <v>120</v>
      </c>
      <c r="SD12" s="47">
        <v>0.73099999999999454</v>
      </c>
      <c r="SE12" s="43"/>
      <c r="SF12" s="42">
        <v>24.007999999999999</v>
      </c>
      <c r="SG12" s="47">
        <v>23</v>
      </c>
      <c r="SH12" s="47">
        <v>0</v>
      </c>
      <c r="SI12" s="47">
        <v>0</v>
      </c>
      <c r="SJ12" s="47">
        <v>1.0079999999999989</v>
      </c>
      <c r="SK12" s="43"/>
      <c r="SL12" s="42">
        <v>204.89</v>
      </c>
      <c r="SM12" s="47">
        <v>200</v>
      </c>
      <c r="SN12" s="47">
        <v>4.8899999999999864</v>
      </c>
      <c r="SO12" s="43"/>
      <c r="SP12" s="42">
        <v>100.91</v>
      </c>
      <c r="SQ12" s="47">
        <v>100</v>
      </c>
      <c r="SR12" s="47">
        <v>190.43299999999999</v>
      </c>
      <c r="SS12" s="47">
        <v>188</v>
      </c>
      <c r="ST12" s="47">
        <v>3.3429999999999609</v>
      </c>
      <c r="SU12" s="43"/>
    </row>
    <row r="13" spans="1:515" x14ac:dyDescent="0.25">
      <c r="A13" s="47" t="s">
        <v>320</v>
      </c>
      <c r="B13" s="41">
        <v>1</v>
      </c>
      <c r="E13">
        <v>360</v>
      </c>
      <c r="F13">
        <v>438</v>
      </c>
      <c r="G13">
        <v>440</v>
      </c>
      <c r="J13" s="40">
        <v>340</v>
      </c>
      <c r="K13" s="52">
        <v>364</v>
      </c>
      <c r="L13" s="52">
        <v>298</v>
      </c>
      <c r="M13" s="52">
        <v>296</v>
      </c>
      <c r="N13" s="57">
        <f t="shared" si="9"/>
        <v>-22</v>
      </c>
      <c r="O13" s="43">
        <f>-1*N13*B13</f>
        <v>22</v>
      </c>
      <c r="P13" s="40">
        <v>336</v>
      </c>
      <c r="Q13" s="52">
        <v>338</v>
      </c>
      <c r="R13" s="52">
        <v>287</v>
      </c>
      <c r="S13" s="52">
        <v>289</v>
      </c>
      <c r="T13" s="51">
        <f t="shared" si="10"/>
        <v>-4</v>
      </c>
      <c r="U13" s="43"/>
      <c r="V13" s="40">
        <v>273</v>
      </c>
      <c r="W13" s="52">
        <v>278</v>
      </c>
      <c r="X13" s="51"/>
      <c r="Y13" s="51"/>
      <c r="Z13" s="51">
        <f t="shared" si="11"/>
        <v>-5</v>
      </c>
      <c r="AA13" s="43"/>
      <c r="AB13" s="40">
        <v>332</v>
      </c>
      <c r="AC13" s="56">
        <v>337</v>
      </c>
      <c r="AD13" s="51"/>
      <c r="AE13" s="51"/>
      <c r="AF13" s="51">
        <v>-5</v>
      </c>
      <c r="AG13" s="43"/>
      <c r="AH13" s="52">
        <v>337</v>
      </c>
      <c r="AI13">
        <v>336</v>
      </c>
      <c r="AJ13">
        <v>269</v>
      </c>
      <c r="AK13">
        <v>269</v>
      </c>
      <c r="AL13" s="47">
        <v>1</v>
      </c>
      <c r="AM13" s="43"/>
      <c r="AN13" s="40">
        <v>196</v>
      </c>
      <c r="AO13">
        <v>200</v>
      </c>
      <c r="AP13">
        <v>129</v>
      </c>
      <c r="AQ13">
        <v>133</v>
      </c>
      <c r="AR13" s="47">
        <v>-8</v>
      </c>
      <c r="AS13" s="43"/>
      <c r="AT13">
        <v>549</v>
      </c>
      <c r="AU13">
        <v>550</v>
      </c>
      <c r="AV13">
        <v>392</v>
      </c>
      <c r="AW13">
        <v>396</v>
      </c>
      <c r="AX13" s="47">
        <v>-5</v>
      </c>
      <c r="AY13" s="43"/>
      <c r="AZ13">
        <v>372</v>
      </c>
      <c r="BA13">
        <v>370</v>
      </c>
      <c r="BB13">
        <v>402</v>
      </c>
      <c r="BC13">
        <v>399</v>
      </c>
      <c r="BD13" s="47">
        <v>5</v>
      </c>
      <c r="BE13" s="43"/>
      <c r="BF13" s="40">
        <v>280</v>
      </c>
      <c r="BG13">
        <v>280</v>
      </c>
      <c r="BH13">
        <v>291</v>
      </c>
      <c r="BI13">
        <v>290</v>
      </c>
      <c r="BJ13" s="47">
        <v>1</v>
      </c>
      <c r="BK13" s="43"/>
      <c r="BL13" s="40">
        <v>466</v>
      </c>
      <c r="BM13">
        <v>460</v>
      </c>
      <c r="BN13">
        <v>340</v>
      </c>
      <c r="BO13">
        <v>343</v>
      </c>
      <c r="BP13" s="47">
        <v>3</v>
      </c>
      <c r="BQ13" s="43"/>
      <c r="BR13">
        <v>250</v>
      </c>
      <c r="BS13">
        <v>250</v>
      </c>
      <c r="BV13" s="47">
        <v>0</v>
      </c>
      <c r="BW13" s="43"/>
      <c r="BX13" s="40">
        <v>312</v>
      </c>
      <c r="BY13">
        <v>310</v>
      </c>
      <c r="BZ13">
        <v>368</v>
      </c>
      <c r="CA13">
        <v>369</v>
      </c>
      <c r="CB13" s="47">
        <v>1</v>
      </c>
      <c r="CC13" s="43"/>
      <c r="CD13">
        <v>223</v>
      </c>
      <c r="CE13">
        <v>220</v>
      </c>
      <c r="CF13">
        <v>226</v>
      </c>
      <c r="CG13">
        <v>227</v>
      </c>
      <c r="CH13" s="47">
        <v>2</v>
      </c>
      <c r="CI13" s="43"/>
      <c r="CJ13">
        <v>290</v>
      </c>
      <c r="CK13">
        <v>290</v>
      </c>
      <c r="CL13">
        <v>308</v>
      </c>
      <c r="CM13">
        <v>309</v>
      </c>
      <c r="CN13" s="47">
        <v>-1</v>
      </c>
      <c r="CO13" s="43"/>
      <c r="CP13" s="42"/>
      <c r="CT13" s="47">
        <v>0</v>
      </c>
      <c r="CU13" s="43"/>
      <c r="CV13" s="40">
        <v>509</v>
      </c>
      <c r="CW13">
        <v>500</v>
      </c>
      <c r="CX13">
        <v>481</v>
      </c>
      <c r="CY13">
        <v>483</v>
      </c>
      <c r="CZ13" s="47">
        <v>7</v>
      </c>
      <c r="DA13" s="43"/>
      <c r="DB13">
        <v>323</v>
      </c>
      <c r="DC13">
        <v>320</v>
      </c>
      <c r="DE13">
        <v>268</v>
      </c>
      <c r="DF13">
        <v>268</v>
      </c>
      <c r="DG13" s="47">
        <v>3</v>
      </c>
      <c r="DH13" s="43"/>
      <c r="DI13">
        <v>354</v>
      </c>
      <c r="DJ13">
        <v>350</v>
      </c>
      <c r="DK13" s="47">
        <v>4</v>
      </c>
      <c r="DL13" s="43"/>
      <c r="DM13" s="40">
        <v>418</v>
      </c>
      <c r="DN13">
        <v>416</v>
      </c>
      <c r="DO13">
        <v>523</v>
      </c>
      <c r="DP13">
        <v>520</v>
      </c>
      <c r="DQ13" s="47">
        <v>5</v>
      </c>
      <c r="DR13" s="43"/>
      <c r="DS13">
        <v>149</v>
      </c>
      <c r="DT13">
        <v>150</v>
      </c>
      <c r="DU13">
        <v>186</v>
      </c>
      <c r="DV13">
        <v>184</v>
      </c>
      <c r="DW13" s="47">
        <v>1</v>
      </c>
      <c r="DX13" s="43"/>
      <c r="DY13">
        <v>253</v>
      </c>
      <c r="DZ13">
        <v>250</v>
      </c>
      <c r="EA13">
        <v>318</v>
      </c>
      <c r="EB13">
        <v>315</v>
      </c>
      <c r="EC13" s="47">
        <v>6</v>
      </c>
      <c r="ED13" s="43"/>
      <c r="EE13" s="42"/>
      <c r="EG13">
        <v>250</v>
      </c>
      <c r="EH13">
        <v>252</v>
      </c>
      <c r="EI13" s="47">
        <v>-2</v>
      </c>
      <c r="EJ13" s="43"/>
      <c r="EK13">
        <v>195</v>
      </c>
      <c r="EL13">
        <v>193</v>
      </c>
      <c r="EO13" s="47">
        <v>2</v>
      </c>
      <c r="EP13" s="43"/>
      <c r="EQ13" s="42"/>
      <c r="EU13" s="47">
        <v>0</v>
      </c>
      <c r="EV13" s="43"/>
      <c r="EW13" s="40">
        <v>299</v>
      </c>
      <c r="EX13">
        <v>300</v>
      </c>
      <c r="EY13">
        <v>600</v>
      </c>
      <c r="EZ13">
        <v>600</v>
      </c>
      <c r="FA13">
        <v>347</v>
      </c>
      <c r="FB13">
        <v>346</v>
      </c>
      <c r="FC13" s="47">
        <v>0</v>
      </c>
      <c r="FD13" s="43"/>
      <c r="FE13" s="40">
        <v>202</v>
      </c>
      <c r="FF13">
        <v>200</v>
      </c>
      <c r="FG13">
        <v>150</v>
      </c>
      <c r="FH13">
        <v>150</v>
      </c>
      <c r="FI13" s="47">
        <v>2</v>
      </c>
      <c r="FJ13" s="43"/>
      <c r="FK13">
        <v>299</v>
      </c>
      <c r="FL13">
        <v>300</v>
      </c>
      <c r="FM13">
        <v>422</v>
      </c>
      <c r="FN13">
        <v>420</v>
      </c>
      <c r="FO13">
        <v>402</v>
      </c>
      <c r="FP13">
        <v>400</v>
      </c>
      <c r="FQ13" s="47">
        <v>3</v>
      </c>
      <c r="FR13" s="43"/>
      <c r="FS13" s="40">
        <v>102</v>
      </c>
      <c r="FT13">
        <v>100</v>
      </c>
      <c r="FU13">
        <v>291</v>
      </c>
      <c r="FV13">
        <v>290</v>
      </c>
      <c r="FW13" s="47">
        <v>3</v>
      </c>
      <c r="FX13" s="43"/>
      <c r="FY13" s="40">
        <v>400</v>
      </c>
      <c r="FZ13">
        <v>400</v>
      </c>
      <c r="GA13">
        <v>405</v>
      </c>
      <c r="GB13">
        <v>410</v>
      </c>
      <c r="GC13" s="47">
        <v>-5</v>
      </c>
      <c r="GD13" s="43"/>
      <c r="GE13" s="40">
        <v>403</v>
      </c>
      <c r="GF13">
        <v>400</v>
      </c>
      <c r="GG13">
        <v>259</v>
      </c>
      <c r="GH13">
        <v>260</v>
      </c>
      <c r="GI13" s="47">
        <v>2</v>
      </c>
      <c r="GJ13" s="43"/>
      <c r="GK13">
        <v>298</v>
      </c>
      <c r="GL13">
        <v>300</v>
      </c>
      <c r="GM13">
        <v>298</v>
      </c>
      <c r="GN13">
        <v>300</v>
      </c>
      <c r="GO13">
        <v>335</v>
      </c>
      <c r="GP13">
        <v>330</v>
      </c>
      <c r="GQ13" s="47">
        <v>1</v>
      </c>
      <c r="GR13" s="43"/>
      <c r="GS13">
        <v>249</v>
      </c>
      <c r="GT13">
        <v>250</v>
      </c>
      <c r="GU13">
        <v>240</v>
      </c>
      <c r="GW13">
        <v>240</v>
      </c>
      <c r="GX13" s="47">
        <v>-1</v>
      </c>
      <c r="GY13" s="43"/>
      <c r="GZ13" s="40">
        <v>311</v>
      </c>
      <c r="HB13" s="44">
        <v>300</v>
      </c>
      <c r="HC13" s="47">
        <v>11</v>
      </c>
      <c r="HD13" s="43"/>
      <c r="HE13" s="40">
        <v>343</v>
      </c>
      <c r="HG13">
        <v>345</v>
      </c>
      <c r="HH13" s="47">
        <v>-2</v>
      </c>
      <c r="HI13" s="43"/>
      <c r="HJ13">
        <v>806</v>
      </c>
      <c r="HK13">
        <v>400</v>
      </c>
      <c r="HL13">
        <v>405</v>
      </c>
      <c r="HM13">
        <v>800</v>
      </c>
      <c r="HN13" s="47">
        <v>11</v>
      </c>
      <c r="HO13" s="43"/>
      <c r="HP13" s="40">
        <v>170</v>
      </c>
      <c r="HR13">
        <v>170</v>
      </c>
      <c r="HS13">
        <v>202</v>
      </c>
      <c r="HT13">
        <v>200</v>
      </c>
      <c r="HU13" s="47">
        <v>2</v>
      </c>
      <c r="HV13" s="43"/>
      <c r="HW13">
        <v>270</v>
      </c>
      <c r="HX13">
        <v>270</v>
      </c>
      <c r="HY13">
        <v>272</v>
      </c>
      <c r="HZ13">
        <v>270</v>
      </c>
      <c r="IA13" s="47">
        <v>2</v>
      </c>
      <c r="IB13" s="43"/>
      <c r="IC13" s="40">
        <v>299</v>
      </c>
      <c r="ID13">
        <v>300</v>
      </c>
      <c r="IE13">
        <v>397</v>
      </c>
      <c r="IF13">
        <v>400</v>
      </c>
      <c r="IG13" s="47">
        <v>-4</v>
      </c>
      <c r="IH13" s="43"/>
      <c r="II13">
        <v>141</v>
      </c>
      <c r="IJ13">
        <v>140</v>
      </c>
      <c r="IK13">
        <v>143</v>
      </c>
      <c r="IL13">
        <v>140</v>
      </c>
      <c r="IM13" s="47">
        <v>4</v>
      </c>
      <c r="IN13" s="43"/>
      <c r="IO13" s="40">
        <v>234</v>
      </c>
      <c r="IP13" s="44">
        <v>234.566</v>
      </c>
      <c r="IQ13" s="47">
        <v>-0.5660000000000025</v>
      </c>
      <c r="IR13" s="43"/>
      <c r="IS13" s="40">
        <v>800</v>
      </c>
      <c r="IT13">
        <v>800</v>
      </c>
      <c r="IU13">
        <v>800</v>
      </c>
      <c r="IV13">
        <v>800</v>
      </c>
      <c r="IW13" s="47">
        <v>0</v>
      </c>
      <c r="IX13" s="43"/>
      <c r="IY13" s="42"/>
      <c r="JA13" s="47">
        <v>0</v>
      </c>
      <c r="JB13" s="43"/>
      <c r="JC13" s="40">
        <v>299</v>
      </c>
      <c r="JD13">
        <v>300</v>
      </c>
      <c r="JE13">
        <v>260</v>
      </c>
      <c r="JF13">
        <v>260</v>
      </c>
      <c r="JG13" s="47">
        <v>-1</v>
      </c>
      <c r="JH13" s="43"/>
      <c r="JI13">
        <v>300</v>
      </c>
      <c r="JJ13">
        <v>300</v>
      </c>
      <c r="JK13">
        <v>340</v>
      </c>
      <c r="JL13">
        <v>340</v>
      </c>
      <c r="JO13" s="47">
        <v>0</v>
      </c>
      <c r="JP13" s="43"/>
      <c r="JQ13" s="40">
        <v>602</v>
      </c>
      <c r="JR13">
        <v>600</v>
      </c>
      <c r="JS13">
        <v>506</v>
      </c>
      <c r="JT13">
        <v>500</v>
      </c>
      <c r="JU13" s="47">
        <v>8</v>
      </c>
      <c r="JV13" s="43"/>
      <c r="JW13">
        <v>88</v>
      </c>
      <c r="JX13">
        <v>90</v>
      </c>
      <c r="JY13">
        <v>109</v>
      </c>
      <c r="JZ13">
        <v>110</v>
      </c>
      <c r="KA13" s="47">
        <v>-3</v>
      </c>
      <c r="KB13" s="45"/>
      <c r="KC13">
        <v>351</v>
      </c>
      <c r="KD13">
        <v>350</v>
      </c>
      <c r="KE13">
        <v>250</v>
      </c>
      <c r="KF13">
        <v>250</v>
      </c>
      <c r="KG13" s="47">
        <v>1</v>
      </c>
      <c r="KH13" s="45"/>
      <c r="KI13">
        <v>304</v>
      </c>
      <c r="KJ13">
        <v>300</v>
      </c>
      <c r="KK13">
        <v>203</v>
      </c>
      <c r="KL13">
        <v>200</v>
      </c>
      <c r="KM13" s="47">
        <v>7</v>
      </c>
      <c r="KN13" s="45"/>
      <c r="KO13">
        <v>557</v>
      </c>
      <c r="KP13">
        <v>550</v>
      </c>
      <c r="KQ13">
        <v>402</v>
      </c>
      <c r="KR13">
        <v>400</v>
      </c>
      <c r="KS13" s="47">
        <v>9</v>
      </c>
      <c r="KT13" s="43"/>
      <c r="KU13">
        <v>401</v>
      </c>
      <c r="KV13">
        <v>400</v>
      </c>
      <c r="KW13" s="47">
        <v>1</v>
      </c>
      <c r="KX13" s="45"/>
      <c r="KY13">
        <v>355</v>
      </c>
      <c r="KZ13">
        <v>350</v>
      </c>
      <c r="LA13">
        <v>332</v>
      </c>
      <c r="LB13">
        <v>330</v>
      </c>
      <c r="LC13" s="47">
        <v>7</v>
      </c>
      <c r="LD13" s="43"/>
      <c r="LE13" s="40">
        <v>651</v>
      </c>
      <c r="LF13" s="44">
        <v>650</v>
      </c>
      <c r="LG13" s="47">
        <v>1</v>
      </c>
      <c r="LH13" s="45"/>
      <c r="LK13">
        <v>449</v>
      </c>
      <c r="LL13">
        <v>450</v>
      </c>
      <c r="LM13" s="47">
        <v>-1</v>
      </c>
      <c r="LN13" s="45"/>
      <c r="LP13">
        <v>500</v>
      </c>
      <c r="LQ13">
        <v>97</v>
      </c>
      <c r="LR13">
        <v>95</v>
      </c>
      <c r="LS13" s="50">
        <v>-498</v>
      </c>
      <c r="LT13" s="45">
        <v>498</v>
      </c>
      <c r="LU13">
        <v>24</v>
      </c>
      <c r="LV13">
        <v>150</v>
      </c>
      <c r="LW13">
        <v>402</v>
      </c>
      <c r="LX13">
        <v>400</v>
      </c>
      <c r="LY13" s="50">
        <v>-124</v>
      </c>
      <c r="LZ13" s="45">
        <v>124</v>
      </c>
      <c r="MA13">
        <v>252</v>
      </c>
      <c r="MB13">
        <v>250</v>
      </c>
      <c r="MC13">
        <v>118</v>
      </c>
      <c r="MD13">
        <v>290</v>
      </c>
      <c r="ME13" s="50">
        <v>-170</v>
      </c>
      <c r="MF13" s="45">
        <v>170</v>
      </c>
      <c r="MG13" s="40">
        <v>203</v>
      </c>
      <c r="MH13">
        <v>200</v>
      </c>
      <c r="MI13">
        <v>302</v>
      </c>
      <c r="MJ13">
        <v>300</v>
      </c>
      <c r="MK13">
        <v>202</v>
      </c>
      <c r="ML13">
        <v>200</v>
      </c>
      <c r="MM13" s="47">
        <v>7</v>
      </c>
      <c r="MN13" s="45"/>
      <c r="MO13" s="44">
        <v>248.02799999999999</v>
      </c>
      <c r="MP13" s="44">
        <v>250</v>
      </c>
      <c r="MQ13" s="44">
        <v>298.26900000000001</v>
      </c>
      <c r="MR13" s="44">
        <v>300</v>
      </c>
      <c r="MS13" s="47">
        <v>-3.702999999999975</v>
      </c>
      <c r="MT13" s="45"/>
      <c r="MU13" s="44">
        <v>150.11199999999999</v>
      </c>
      <c r="MV13" s="44">
        <v>150</v>
      </c>
      <c r="MW13" s="44">
        <v>203.345</v>
      </c>
      <c r="MX13" s="44">
        <v>200</v>
      </c>
      <c r="MY13" s="47">
        <v>3.4569999999999941</v>
      </c>
      <c r="MZ13" s="45"/>
      <c r="NA13" s="46">
        <v>24.039000000000001</v>
      </c>
      <c r="NB13" s="44">
        <v>23</v>
      </c>
      <c r="NC13" s="47">
        <v>1.039000000000001</v>
      </c>
      <c r="ND13" s="45"/>
      <c r="NE13" s="46">
        <v>601.45299999999997</v>
      </c>
      <c r="NF13" s="44">
        <v>600</v>
      </c>
      <c r="NG13" s="44">
        <v>560.88300000000004</v>
      </c>
      <c r="NH13" s="44">
        <v>0</v>
      </c>
      <c r="NI13" s="44">
        <v>561</v>
      </c>
      <c r="NJ13" s="47">
        <v>1.336000000000013</v>
      </c>
      <c r="NK13" s="45"/>
      <c r="NL13" s="46">
        <v>250.946</v>
      </c>
      <c r="NM13" s="44">
        <v>250</v>
      </c>
      <c r="NN13" s="44">
        <v>338.57799999999997</v>
      </c>
      <c r="NO13" s="44">
        <v>340</v>
      </c>
      <c r="NP13" s="47">
        <v>-0.47599999999999909</v>
      </c>
      <c r="NQ13" s="45"/>
      <c r="NR13" s="46">
        <v>203.31200000000001</v>
      </c>
      <c r="NS13" s="44">
        <v>200</v>
      </c>
      <c r="NT13" s="47">
        <v>3.3120000000000118</v>
      </c>
      <c r="NU13" s="45"/>
      <c r="NV13" s="46">
        <v>202.61500000000001</v>
      </c>
      <c r="NW13" s="44">
        <v>200</v>
      </c>
      <c r="NX13" s="44">
        <v>452.23</v>
      </c>
      <c r="NY13" s="44">
        <v>450</v>
      </c>
      <c r="NZ13" s="47">
        <v>4.8450000000000273</v>
      </c>
      <c r="OA13" s="45"/>
      <c r="OB13" s="46">
        <v>453.10899999999998</v>
      </c>
      <c r="OC13" s="44">
        <v>450</v>
      </c>
      <c r="OD13" s="47">
        <v>3.10899999999998</v>
      </c>
      <c r="OE13" s="45"/>
      <c r="OF13" s="46">
        <v>252.09800000000001</v>
      </c>
      <c r="OG13" s="44">
        <v>250</v>
      </c>
      <c r="OH13" s="44">
        <v>149.864</v>
      </c>
      <c r="OI13" s="44">
        <v>150</v>
      </c>
      <c r="OJ13" s="47">
        <v>1.9619999999999891</v>
      </c>
      <c r="OK13" s="45"/>
      <c r="OL13" s="44">
        <v>0</v>
      </c>
      <c r="OM13" s="43"/>
      <c r="ON13" s="44">
        <v>534.26599999999996</v>
      </c>
      <c r="OO13" s="44">
        <v>540</v>
      </c>
      <c r="OP13" s="47">
        <v>-5.7340000000000373</v>
      </c>
      <c r="OQ13" s="45"/>
      <c r="OR13" s="46">
        <v>100.371</v>
      </c>
      <c r="OS13" s="44">
        <v>100</v>
      </c>
      <c r="OT13" s="44">
        <v>249.66300000000001</v>
      </c>
      <c r="OU13" s="44">
        <v>250</v>
      </c>
      <c r="OV13" s="47">
        <v>3.3999999999991808E-2</v>
      </c>
      <c r="OW13" s="45"/>
      <c r="OX13" s="46">
        <v>251.70599999999999</v>
      </c>
      <c r="OY13" s="44">
        <v>100</v>
      </c>
      <c r="OZ13" s="44">
        <v>402.00099999999998</v>
      </c>
      <c r="PA13" s="44">
        <v>400</v>
      </c>
      <c r="PB13" s="47">
        <v>153.70699999999999</v>
      </c>
      <c r="PC13" s="45"/>
      <c r="PD13" s="46">
        <v>101.155</v>
      </c>
      <c r="PE13" s="44">
        <v>100</v>
      </c>
      <c r="PF13" s="44">
        <v>141.30799999999999</v>
      </c>
      <c r="PG13" s="44">
        <v>150</v>
      </c>
      <c r="PH13" s="47">
        <v>-7.5370000000000061</v>
      </c>
      <c r="PI13" s="45"/>
      <c r="PJ13" s="46">
        <v>121.033</v>
      </c>
      <c r="PK13" s="44">
        <v>200</v>
      </c>
      <c r="PL13" s="44">
        <v>363.64800000000002</v>
      </c>
      <c r="PM13" s="44">
        <v>360</v>
      </c>
      <c r="PN13" s="50">
        <v>-75.31899999999996</v>
      </c>
      <c r="PO13" s="45">
        <v>75.31899999999996</v>
      </c>
      <c r="PP13" s="46">
        <v>101.441</v>
      </c>
      <c r="PQ13" s="44">
        <v>100</v>
      </c>
      <c r="PR13" s="32">
        <v>412.00900000000001</v>
      </c>
      <c r="PS13" s="44">
        <v>167</v>
      </c>
      <c r="PT13" s="47">
        <v>246.45</v>
      </c>
      <c r="PU13" s="45"/>
      <c r="PV13" s="46">
        <v>342.99900000000002</v>
      </c>
      <c r="PW13" s="44">
        <v>340</v>
      </c>
      <c r="PX13" s="47">
        <v>2.9990000000000241</v>
      </c>
      <c r="PY13" s="45"/>
      <c r="PZ13" s="46">
        <v>807.42700000000002</v>
      </c>
      <c r="QA13" s="44">
        <v>804</v>
      </c>
      <c r="QB13" s="47">
        <v>3.4270000000000209</v>
      </c>
      <c r="QC13" s="45"/>
      <c r="QD13" s="46">
        <v>163.06899999999999</v>
      </c>
      <c r="QE13" s="44">
        <v>160</v>
      </c>
      <c r="QF13" s="44">
        <v>141.035</v>
      </c>
      <c r="QG13" s="44">
        <v>140</v>
      </c>
      <c r="QH13" s="47">
        <v>4.103999999999985</v>
      </c>
      <c r="QI13" s="45"/>
      <c r="QJ13" s="46">
        <v>299.45299999999997</v>
      </c>
      <c r="QK13" s="44">
        <v>300</v>
      </c>
      <c r="QL13" s="47">
        <v>-0.54700000000002547</v>
      </c>
      <c r="QM13" s="45"/>
      <c r="QN13" s="46">
        <v>507.125</v>
      </c>
      <c r="QO13" s="44">
        <v>500</v>
      </c>
      <c r="QP13" s="44">
        <v>464.94200000000001</v>
      </c>
      <c r="QQ13" s="44">
        <v>463</v>
      </c>
      <c r="QR13" s="47">
        <v>9.0670000000000073</v>
      </c>
      <c r="QS13" s="45"/>
      <c r="QT13" s="46">
        <v>274.70299999999997</v>
      </c>
      <c r="QU13" s="44">
        <v>173</v>
      </c>
      <c r="QV13" s="47">
        <v>101.703</v>
      </c>
      <c r="QW13" s="45"/>
      <c r="QX13" s="46">
        <v>0</v>
      </c>
      <c r="QY13" s="44">
        <v>0</v>
      </c>
      <c r="QZ13" s="44">
        <v>16.366</v>
      </c>
      <c r="RA13" s="44">
        <v>35</v>
      </c>
      <c r="RB13" s="50">
        <v>-18.634</v>
      </c>
      <c r="RC13" s="45">
        <v>18.634</v>
      </c>
      <c r="RD13" s="42">
        <v>135.08600000000001</v>
      </c>
      <c r="RE13" s="44">
        <v>500</v>
      </c>
      <c r="RF13" s="44">
        <v>567.11300000000006</v>
      </c>
      <c r="RG13" s="44">
        <v>568</v>
      </c>
      <c r="RH13" s="50">
        <v>-365.80099999999987</v>
      </c>
      <c r="RI13" s="45">
        <v>365.80099999999987</v>
      </c>
      <c r="RJ13" s="42">
        <v>203.59700000000001</v>
      </c>
      <c r="RK13" s="47">
        <v>200</v>
      </c>
      <c r="RL13" s="47">
        <v>203.12799999999999</v>
      </c>
      <c r="RM13" s="47">
        <v>200</v>
      </c>
      <c r="RN13" s="47">
        <v>6.7250000000000227</v>
      </c>
      <c r="RO13" s="43"/>
      <c r="RP13" s="42">
        <v>202.82499999999999</v>
      </c>
      <c r="RQ13" s="47">
        <v>200</v>
      </c>
      <c r="RR13" s="47">
        <v>2.8249999999999891</v>
      </c>
      <c r="RS13" s="43"/>
      <c r="RT13" s="42">
        <v>300.90199999999999</v>
      </c>
      <c r="RU13" s="47">
        <v>300</v>
      </c>
      <c r="RV13" s="47">
        <v>602.99300000000005</v>
      </c>
      <c r="RW13" s="47">
        <v>600</v>
      </c>
      <c r="RX13" s="47">
        <v>3.8949999999999818</v>
      </c>
      <c r="RY13" s="43"/>
      <c r="RZ13" s="42">
        <v>101.801</v>
      </c>
      <c r="SA13" s="47">
        <v>100</v>
      </c>
      <c r="SB13" s="47">
        <v>202.249</v>
      </c>
      <c r="SC13" s="47">
        <v>200</v>
      </c>
      <c r="SD13" s="47">
        <v>4.0500000000000114</v>
      </c>
      <c r="SE13" s="43"/>
      <c r="SF13" s="42">
        <v>153.91200000000001</v>
      </c>
      <c r="SG13" s="47">
        <v>311</v>
      </c>
      <c r="SH13" s="47">
        <v>250.816</v>
      </c>
      <c r="SI13" s="47">
        <v>400</v>
      </c>
      <c r="SJ13" s="50">
        <v>-306.27199999999999</v>
      </c>
      <c r="SK13" s="43">
        <v>306.27199999999999</v>
      </c>
      <c r="SL13" s="42">
        <v>203.93700000000001</v>
      </c>
      <c r="SM13" s="47">
        <v>200</v>
      </c>
      <c r="SN13" s="47">
        <v>3.9370000000000118</v>
      </c>
      <c r="SO13" s="43"/>
      <c r="SP13" s="42">
        <v>250.459</v>
      </c>
      <c r="SQ13" s="47">
        <v>250</v>
      </c>
      <c r="SR13" s="47">
        <v>93.43</v>
      </c>
      <c r="SS13" s="47">
        <v>316</v>
      </c>
      <c r="ST13" s="50">
        <v>-222.11099999999999</v>
      </c>
      <c r="SU13" s="43">
        <v>222.11099999999999</v>
      </c>
    </row>
    <row r="14" spans="1:515" x14ac:dyDescent="0.25">
      <c r="A14" s="47" t="s">
        <v>321</v>
      </c>
      <c r="B14" s="41">
        <v>0.25</v>
      </c>
      <c r="E14">
        <v>70</v>
      </c>
      <c r="J14" s="42"/>
      <c r="K14" s="51"/>
      <c r="L14" s="52">
        <v>400</v>
      </c>
      <c r="M14" s="52">
        <v>400</v>
      </c>
      <c r="N14" s="51">
        <f t="shared" si="9"/>
        <v>0</v>
      </c>
      <c r="O14" s="43"/>
      <c r="P14" s="40">
        <v>160</v>
      </c>
      <c r="Q14" s="52">
        <v>166</v>
      </c>
      <c r="R14" s="52">
        <v>136</v>
      </c>
      <c r="S14" s="52">
        <v>143</v>
      </c>
      <c r="T14" s="51">
        <f t="shared" si="10"/>
        <v>-13</v>
      </c>
      <c r="U14" s="43"/>
      <c r="V14" s="42"/>
      <c r="W14" s="51"/>
      <c r="X14" s="52">
        <v>344</v>
      </c>
      <c r="Y14" s="52">
        <v>350</v>
      </c>
      <c r="Z14" s="51">
        <f t="shared" si="11"/>
        <v>-6</v>
      </c>
      <c r="AA14" s="43"/>
      <c r="AB14" s="42"/>
      <c r="AC14" s="51"/>
      <c r="AD14" s="52">
        <v>224</v>
      </c>
      <c r="AE14" s="56">
        <v>228</v>
      </c>
      <c r="AF14" s="51">
        <v>-4</v>
      </c>
      <c r="AG14" s="43"/>
      <c r="AH14" s="52">
        <v>40</v>
      </c>
      <c r="AI14">
        <v>40</v>
      </c>
      <c r="AJ14">
        <v>40</v>
      </c>
      <c r="AK14">
        <v>45</v>
      </c>
      <c r="AL14" s="47">
        <v>-5</v>
      </c>
      <c r="AM14" s="43"/>
      <c r="AN14" s="40">
        <v>16</v>
      </c>
      <c r="AO14">
        <v>17</v>
      </c>
      <c r="AR14" s="47">
        <v>-1</v>
      </c>
      <c r="AS14" s="43"/>
      <c r="AV14">
        <v>144</v>
      </c>
      <c r="AW14">
        <v>146</v>
      </c>
      <c r="AX14" s="47">
        <v>-2</v>
      </c>
      <c r="AY14" s="43"/>
      <c r="AZ14">
        <v>56</v>
      </c>
      <c r="BA14">
        <v>54</v>
      </c>
      <c r="BB14">
        <v>40</v>
      </c>
      <c r="BC14">
        <v>44</v>
      </c>
      <c r="BD14" s="47">
        <v>-2</v>
      </c>
      <c r="BE14" s="43"/>
      <c r="BF14" s="42"/>
      <c r="BJ14" s="47">
        <v>0</v>
      </c>
      <c r="BK14" s="43"/>
      <c r="BL14" s="42"/>
      <c r="BP14" s="47">
        <v>0</v>
      </c>
      <c r="BQ14" s="43"/>
      <c r="BR14">
        <v>80</v>
      </c>
      <c r="BS14">
        <v>80</v>
      </c>
      <c r="BT14">
        <v>88</v>
      </c>
      <c r="BU14">
        <v>89</v>
      </c>
      <c r="BV14" s="47">
        <v>-1</v>
      </c>
      <c r="BW14" s="43"/>
      <c r="BX14" s="40">
        <v>80</v>
      </c>
      <c r="BY14">
        <v>80</v>
      </c>
      <c r="BZ14">
        <v>120</v>
      </c>
      <c r="CA14">
        <v>118</v>
      </c>
      <c r="CB14" s="47">
        <v>2</v>
      </c>
      <c r="CC14" s="43"/>
      <c r="CF14">
        <v>16</v>
      </c>
      <c r="CG14">
        <v>20</v>
      </c>
      <c r="CH14" s="47">
        <v>-4</v>
      </c>
      <c r="CI14" s="43"/>
      <c r="CJ14">
        <v>48</v>
      </c>
      <c r="CK14">
        <v>48</v>
      </c>
      <c r="CL14">
        <v>48</v>
      </c>
      <c r="CM14">
        <v>54</v>
      </c>
      <c r="CN14" s="47">
        <v>-6</v>
      </c>
      <c r="CO14" s="43"/>
      <c r="CP14" s="40">
        <v>48</v>
      </c>
      <c r="CQ14">
        <v>50</v>
      </c>
      <c r="CR14">
        <v>104</v>
      </c>
      <c r="CS14">
        <v>104</v>
      </c>
      <c r="CT14" s="47">
        <v>-2</v>
      </c>
      <c r="CU14" s="43"/>
      <c r="CV14" s="42"/>
      <c r="CX14">
        <v>40</v>
      </c>
      <c r="CY14">
        <v>45</v>
      </c>
      <c r="CZ14" s="47">
        <v>-5</v>
      </c>
      <c r="DA14" s="43"/>
      <c r="DB14">
        <v>56</v>
      </c>
      <c r="DC14">
        <v>58</v>
      </c>
      <c r="DG14" s="47">
        <v>-2</v>
      </c>
      <c r="DH14" s="43"/>
      <c r="DK14" s="47">
        <v>0</v>
      </c>
      <c r="DL14" s="43"/>
      <c r="DM14" s="40">
        <v>80</v>
      </c>
      <c r="DN14">
        <v>80</v>
      </c>
      <c r="DQ14" s="47">
        <v>0</v>
      </c>
      <c r="DR14" s="43"/>
      <c r="DU14">
        <v>32</v>
      </c>
      <c r="DV14">
        <v>34</v>
      </c>
      <c r="DW14" s="47">
        <v>-2</v>
      </c>
      <c r="DX14" s="43"/>
      <c r="EC14" s="47">
        <v>0</v>
      </c>
      <c r="ED14" s="43"/>
      <c r="EE14" s="42"/>
      <c r="EI14" s="47">
        <v>0</v>
      </c>
      <c r="EJ14" s="43"/>
      <c r="EO14" s="47">
        <v>0</v>
      </c>
      <c r="EP14" s="43"/>
      <c r="EQ14" s="40">
        <v>96</v>
      </c>
      <c r="ER14">
        <v>100</v>
      </c>
      <c r="ES14">
        <v>288</v>
      </c>
      <c r="ET14">
        <v>288</v>
      </c>
      <c r="EU14" s="47">
        <v>-4</v>
      </c>
      <c r="EV14" s="43"/>
      <c r="EW14" s="42"/>
      <c r="FA14">
        <v>176</v>
      </c>
      <c r="FB14">
        <v>180</v>
      </c>
      <c r="FC14" s="47">
        <v>-4</v>
      </c>
      <c r="FD14" s="43"/>
      <c r="FE14" s="42"/>
      <c r="FG14">
        <v>80</v>
      </c>
      <c r="FH14">
        <v>80</v>
      </c>
      <c r="FI14" s="47">
        <v>0</v>
      </c>
      <c r="FJ14" s="43"/>
      <c r="FQ14" s="47">
        <v>0</v>
      </c>
      <c r="FR14" s="43"/>
      <c r="FS14" s="42"/>
      <c r="FU14">
        <v>472</v>
      </c>
      <c r="FV14">
        <v>550</v>
      </c>
      <c r="FW14" s="50">
        <v>-78</v>
      </c>
      <c r="FX14" s="43">
        <v>19.5</v>
      </c>
      <c r="FY14" s="42"/>
      <c r="GC14" s="47">
        <v>0</v>
      </c>
      <c r="GD14" s="43"/>
      <c r="GE14" s="42"/>
      <c r="GG14">
        <v>1648</v>
      </c>
      <c r="GH14">
        <v>1650</v>
      </c>
      <c r="GI14" s="47">
        <v>-2</v>
      </c>
      <c r="GJ14" s="43"/>
      <c r="GO14">
        <v>56</v>
      </c>
      <c r="GP14">
        <v>59</v>
      </c>
      <c r="GQ14" s="47">
        <v>-3</v>
      </c>
      <c r="GR14" s="43"/>
      <c r="GU14">
        <v>88</v>
      </c>
      <c r="GW14">
        <v>90</v>
      </c>
      <c r="GX14" s="47">
        <v>-2</v>
      </c>
      <c r="GY14" s="43"/>
      <c r="GZ14" s="42"/>
      <c r="HC14" s="47">
        <v>0</v>
      </c>
      <c r="HD14" s="43"/>
      <c r="HE14" s="40">
        <v>344</v>
      </c>
      <c r="HG14">
        <v>345</v>
      </c>
      <c r="HH14" s="47">
        <v>-1</v>
      </c>
      <c r="HI14" s="43"/>
      <c r="HN14" s="47">
        <v>0</v>
      </c>
      <c r="HO14" s="43"/>
      <c r="HP14" s="42"/>
      <c r="HU14" s="47">
        <v>0</v>
      </c>
      <c r="HV14" s="43"/>
      <c r="IA14" s="47">
        <v>0</v>
      </c>
      <c r="IB14" s="43"/>
      <c r="IC14" s="42"/>
      <c r="IG14" s="47">
        <v>0</v>
      </c>
      <c r="IH14" s="43"/>
      <c r="IM14" s="47">
        <v>0</v>
      </c>
      <c r="IN14" s="43"/>
      <c r="IO14" s="42"/>
      <c r="IQ14" s="47">
        <v>0</v>
      </c>
      <c r="IR14" s="43"/>
      <c r="IS14" s="42"/>
      <c r="IW14" s="47">
        <v>0</v>
      </c>
      <c r="IX14" s="43"/>
      <c r="IY14" s="42"/>
      <c r="JA14" s="47">
        <v>0</v>
      </c>
      <c r="JB14" s="43"/>
      <c r="JC14" s="42"/>
      <c r="JE14">
        <v>288</v>
      </c>
      <c r="JF14">
        <v>290</v>
      </c>
      <c r="JG14" s="47">
        <v>-2</v>
      </c>
      <c r="JH14" s="43"/>
      <c r="JO14" s="47">
        <v>0</v>
      </c>
      <c r="JP14" s="43"/>
      <c r="JQ14" s="42"/>
      <c r="JU14" s="47">
        <v>0</v>
      </c>
      <c r="JV14" s="43"/>
      <c r="JY14">
        <v>3000</v>
      </c>
      <c r="JZ14">
        <v>1000</v>
      </c>
      <c r="KA14" s="47">
        <v>2000</v>
      </c>
      <c r="KB14" s="45"/>
      <c r="KC14">
        <v>72</v>
      </c>
      <c r="KD14">
        <v>70</v>
      </c>
      <c r="KE14">
        <v>96</v>
      </c>
      <c r="KF14">
        <v>100</v>
      </c>
      <c r="KG14" s="47">
        <v>-2</v>
      </c>
      <c r="KH14" s="45"/>
      <c r="KM14" s="47">
        <v>0</v>
      </c>
      <c r="KN14" s="45"/>
      <c r="KS14" s="47">
        <v>0</v>
      </c>
      <c r="KT14" s="43"/>
      <c r="KW14" s="47">
        <v>0</v>
      </c>
      <c r="KX14" s="45"/>
      <c r="KY14">
        <v>136</v>
      </c>
      <c r="KZ14">
        <v>140</v>
      </c>
      <c r="LC14" s="47">
        <v>-4</v>
      </c>
      <c r="LD14" s="43"/>
      <c r="LE14" s="40">
        <v>352</v>
      </c>
      <c r="LF14" s="44">
        <v>350</v>
      </c>
      <c r="LG14" s="47">
        <v>2</v>
      </c>
      <c r="LH14" s="45"/>
      <c r="LK14">
        <v>440</v>
      </c>
      <c r="LL14">
        <v>440</v>
      </c>
      <c r="LM14" s="47">
        <v>0</v>
      </c>
      <c r="LN14" s="45"/>
      <c r="LO14">
        <v>8</v>
      </c>
      <c r="LP14">
        <v>8</v>
      </c>
      <c r="LS14" s="47">
        <v>0</v>
      </c>
      <c r="LT14" s="45"/>
      <c r="LW14">
        <v>80</v>
      </c>
      <c r="LX14">
        <v>80</v>
      </c>
      <c r="LY14" s="47">
        <v>0</v>
      </c>
      <c r="LZ14" s="45"/>
      <c r="MA14">
        <v>40</v>
      </c>
      <c r="MB14">
        <v>40</v>
      </c>
      <c r="MC14">
        <v>40</v>
      </c>
      <c r="MD14">
        <v>40</v>
      </c>
      <c r="ME14" s="47">
        <v>0</v>
      </c>
      <c r="MF14" s="45"/>
      <c r="MG14" s="46"/>
      <c r="MK14">
        <v>40</v>
      </c>
      <c r="ML14">
        <v>65</v>
      </c>
      <c r="MM14" s="50">
        <v>-25</v>
      </c>
      <c r="MN14" s="45">
        <v>6.25</v>
      </c>
      <c r="MO14" s="44">
        <v>0</v>
      </c>
      <c r="MP14" s="44">
        <v>0</v>
      </c>
      <c r="MQ14" s="44">
        <v>96</v>
      </c>
      <c r="MR14" s="44">
        <v>100</v>
      </c>
      <c r="MS14" s="47">
        <v>-4</v>
      </c>
      <c r="MT14" s="45"/>
      <c r="MU14" s="44">
        <v>0</v>
      </c>
      <c r="MV14" s="44">
        <v>0</v>
      </c>
      <c r="MW14" s="44">
        <v>0</v>
      </c>
      <c r="MX14" s="44">
        <v>0</v>
      </c>
      <c r="MY14" s="47">
        <v>0</v>
      </c>
      <c r="MZ14" s="45"/>
      <c r="NA14" s="46">
        <v>80</v>
      </c>
      <c r="NB14" s="44">
        <v>80</v>
      </c>
      <c r="NC14" s="47">
        <v>0</v>
      </c>
      <c r="ND14" s="45"/>
      <c r="NE14" s="46">
        <v>96</v>
      </c>
      <c r="NF14" s="44">
        <v>100</v>
      </c>
      <c r="NG14" s="44">
        <v>112</v>
      </c>
      <c r="NH14" s="44">
        <v>0</v>
      </c>
      <c r="NI14" s="44">
        <v>110</v>
      </c>
      <c r="NJ14" s="47">
        <v>-2</v>
      </c>
      <c r="NK14" s="45"/>
      <c r="NL14" s="46">
        <v>48</v>
      </c>
      <c r="NM14" s="44">
        <v>48</v>
      </c>
      <c r="NN14" s="44">
        <v>48</v>
      </c>
      <c r="NO14" s="44">
        <v>52</v>
      </c>
      <c r="NP14" s="47">
        <v>-4</v>
      </c>
      <c r="NQ14" s="45"/>
      <c r="NR14" s="46">
        <v>240</v>
      </c>
      <c r="NS14" s="44">
        <v>240</v>
      </c>
      <c r="NT14" s="47">
        <v>0</v>
      </c>
      <c r="NU14" s="45"/>
      <c r="NV14" s="46">
        <v>0</v>
      </c>
      <c r="NW14" s="44">
        <v>0</v>
      </c>
      <c r="NX14" s="44">
        <v>40</v>
      </c>
      <c r="NY14" s="44">
        <v>40</v>
      </c>
      <c r="NZ14" s="47">
        <v>0</v>
      </c>
      <c r="OA14" s="45"/>
      <c r="OB14" s="46">
        <v>0</v>
      </c>
      <c r="OC14" s="44">
        <v>0</v>
      </c>
      <c r="OD14" s="47">
        <v>0</v>
      </c>
      <c r="OE14" s="45"/>
      <c r="OF14" s="46">
        <v>0</v>
      </c>
      <c r="OG14" s="44">
        <v>0</v>
      </c>
      <c r="OH14" s="44">
        <v>0</v>
      </c>
      <c r="OI14" s="44">
        <v>0</v>
      </c>
      <c r="OJ14" s="47">
        <v>0</v>
      </c>
      <c r="OK14" s="45"/>
      <c r="OL14" s="44">
        <v>0</v>
      </c>
      <c r="OM14" s="43"/>
      <c r="ON14" s="44">
        <v>0</v>
      </c>
      <c r="OO14" s="44">
        <v>0</v>
      </c>
      <c r="OP14" s="47">
        <v>0</v>
      </c>
      <c r="OQ14" s="45"/>
      <c r="OR14" s="46">
        <v>0</v>
      </c>
      <c r="OS14" s="44">
        <v>0</v>
      </c>
      <c r="OT14" s="44">
        <v>0</v>
      </c>
      <c r="OU14" s="44">
        <v>0</v>
      </c>
      <c r="OV14" s="47">
        <v>0</v>
      </c>
      <c r="OW14" s="45"/>
      <c r="OX14" s="46">
        <v>0</v>
      </c>
      <c r="OY14" s="44">
        <v>0</v>
      </c>
      <c r="OZ14" s="44">
        <v>0</v>
      </c>
      <c r="PA14" s="44">
        <v>0</v>
      </c>
      <c r="PB14" s="47">
        <v>0</v>
      </c>
      <c r="PC14" s="45"/>
      <c r="PD14" s="46">
        <v>0</v>
      </c>
      <c r="PE14" s="44">
        <v>0</v>
      </c>
      <c r="PF14" s="44">
        <v>0</v>
      </c>
      <c r="PG14" s="44">
        <v>0</v>
      </c>
      <c r="PH14" s="47">
        <v>0</v>
      </c>
      <c r="PI14" s="45"/>
      <c r="PJ14" s="25">
        <v>120</v>
      </c>
      <c r="PK14" s="44">
        <v>0</v>
      </c>
      <c r="PL14" s="44">
        <v>0</v>
      </c>
      <c r="PM14" s="44">
        <v>0</v>
      </c>
      <c r="PN14" s="47">
        <v>120</v>
      </c>
      <c r="PO14" s="45"/>
      <c r="PP14" s="46">
        <v>96</v>
      </c>
      <c r="PQ14" s="44">
        <v>100</v>
      </c>
      <c r="PR14" s="44">
        <v>136</v>
      </c>
      <c r="PS14" s="44">
        <v>140</v>
      </c>
      <c r="PT14" s="47">
        <v>-8</v>
      </c>
      <c r="PU14" s="45"/>
      <c r="PV14" s="46">
        <v>24</v>
      </c>
      <c r="PW14" s="44">
        <v>24</v>
      </c>
      <c r="PX14" s="47">
        <v>0</v>
      </c>
      <c r="PY14" s="45"/>
      <c r="PZ14" s="46">
        <v>0</v>
      </c>
      <c r="QA14" s="44">
        <v>0</v>
      </c>
      <c r="QB14" s="47">
        <v>0</v>
      </c>
      <c r="QC14" s="45"/>
      <c r="QD14" s="46">
        <v>0</v>
      </c>
      <c r="QE14" s="44">
        <v>0</v>
      </c>
      <c r="QF14" s="44">
        <v>0</v>
      </c>
      <c r="QG14" s="44">
        <v>0</v>
      </c>
      <c r="QH14" s="47">
        <v>0</v>
      </c>
      <c r="QI14" s="45"/>
      <c r="QJ14" s="46">
        <v>48</v>
      </c>
      <c r="QK14" s="44">
        <v>50</v>
      </c>
      <c r="QL14" s="47">
        <v>-2</v>
      </c>
      <c r="QM14" s="45"/>
      <c r="QN14" s="46">
        <v>80</v>
      </c>
      <c r="QO14" s="44">
        <v>80</v>
      </c>
      <c r="QP14" s="44">
        <v>56</v>
      </c>
      <c r="QQ14" s="44">
        <v>60</v>
      </c>
      <c r="QR14" s="47">
        <v>-4</v>
      </c>
      <c r="QS14" s="45"/>
      <c r="QT14" s="46">
        <v>8</v>
      </c>
      <c r="QU14" s="44">
        <v>8</v>
      </c>
      <c r="QV14" s="47">
        <v>0</v>
      </c>
      <c r="QW14" s="45"/>
      <c r="QX14" s="46">
        <v>0</v>
      </c>
      <c r="QY14" s="44">
        <v>0</v>
      </c>
      <c r="QZ14" s="44">
        <v>0</v>
      </c>
      <c r="RA14" s="44">
        <v>0</v>
      </c>
      <c r="RB14" s="47">
        <v>0</v>
      </c>
      <c r="RC14" s="45"/>
      <c r="RD14" s="42">
        <v>0</v>
      </c>
      <c r="RE14" s="44">
        <v>0</v>
      </c>
      <c r="RF14" s="44">
        <v>0</v>
      </c>
      <c r="RG14" s="44">
        <v>0</v>
      </c>
      <c r="RH14" s="47">
        <v>0</v>
      </c>
      <c r="RI14" s="45"/>
      <c r="RJ14" s="42">
        <v>0</v>
      </c>
      <c r="RK14" s="47">
        <v>0</v>
      </c>
      <c r="RL14" s="47">
        <v>0</v>
      </c>
      <c r="RM14" s="47">
        <v>0</v>
      </c>
      <c r="RN14" s="47">
        <v>0</v>
      </c>
      <c r="RO14" s="43"/>
      <c r="RP14" s="42">
        <v>0</v>
      </c>
      <c r="RQ14" s="47">
        <v>0</v>
      </c>
      <c r="RR14" s="47">
        <v>0</v>
      </c>
      <c r="RS14" s="43"/>
      <c r="RT14" s="42">
        <v>0</v>
      </c>
      <c r="RU14" s="47">
        <v>0</v>
      </c>
      <c r="RV14" s="47">
        <v>0</v>
      </c>
      <c r="RW14" s="47">
        <v>0</v>
      </c>
      <c r="RX14" s="47">
        <v>0</v>
      </c>
      <c r="RY14" s="43"/>
      <c r="RZ14" s="42">
        <v>0</v>
      </c>
      <c r="SA14" s="47">
        <v>0</v>
      </c>
      <c r="SB14" s="47">
        <v>0</v>
      </c>
      <c r="SC14" s="47">
        <v>0</v>
      </c>
      <c r="SD14" s="47">
        <v>0</v>
      </c>
      <c r="SE14" s="43"/>
      <c r="SF14" s="42">
        <v>168</v>
      </c>
      <c r="SG14" s="47">
        <v>173</v>
      </c>
      <c r="SH14" s="47">
        <v>248</v>
      </c>
      <c r="SI14" s="47">
        <v>0</v>
      </c>
      <c r="SJ14" s="47">
        <v>243</v>
      </c>
      <c r="SK14" s="43"/>
      <c r="SL14" s="42">
        <v>72</v>
      </c>
      <c r="SM14" s="47">
        <v>70</v>
      </c>
      <c r="SN14" s="47">
        <v>2</v>
      </c>
      <c r="SO14" s="43"/>
      <c r="SP14" s="42">
        <v>0</v>
      </c>
      <c r="SQ14" s="47">
        <v>0</v>
      </c>
      <c r="SR14" s="47">
        <v>120</v>
      </c>
      <c r="SS14" s="47">
        <v>125</v>
      </c>
      <c r="ST14" s="47">
        <v>-5</v>
      </c>
      <c r="SU14" s="43"/>
    </row>
    <row r="15" spans="1:515" x14ac:dyDescent="0.25">
      <c r="A15" s="47" t="s">
        <v>322</v>
      </c>
      <c r="B15" s="41">
        <v>0.15</v>
      </c>
      <c r="J15" s="42"/>
      <c r="K15" s="51"/>
      <c r="L15" s="51"/>
      <c r="M15" s="51"/>
      <c r="N15" s="51">
        <f t="shared" si="9"/>
        <v>0</v>
      </c>
      <c r="O15" s="43"/>
      <c r="P15" s="46"/>
      <c r="Q15" s="51"/>
      <c r="R15" s="51"/>
      <c r="S15" s="51"/>
      <c r="T15" s="51">
        <f t="shared" si="10"/>
        <v>0</v>
      </c>
      <c r="U15" s="43"/>
      <c r="V15" s="42"/>
      <c r="W15" s="51"/>
      <c r="X15" s="51"/>
      <c r="Y15" s="51"/>
      <c r="Z15" s="51">
        <f t="shared" si="11"/>
        <v>0</v>
      </c>
      <c r="AA15" s="43"/>
      <c r="AB15" s="42"/>
      <c r="AC15" s="51"/>
      <c r="AD15" s="51"/>
      <c r="AE15" s="51"/>
      <c r="AF15" s="51">
        <v>0</v>
      </c>
      <c r="AG15" s="43"/>
      <c r="AH15" s="51"/>
      <c r="AL15" s="47">
        <v>0</v>
      </c>
      <c r="AM15" s="43"/>
      <c r="AN15" s="42"/>
      <c r="AR15" s="47">
        <v>0</v>
      </c>
      <c r="AS15" s="43"/>
      <c r="AX15" s="47">
        <v>0</v>
      </c>
      <c r="AY15" s="43"/>
      <c r="BD15" s="47">
        <v>0</v>
      </c>
      <c r="BE15" s="43"/>
      <c r="BF15" s="42"/>
      <c r="BJ15" s="47">
        <v>0</v>
      </c>
      <c r="BK15" s="43"/>
      <c r="BL15" s="42"/>
      <c r="BP15" s="47">
        <v>0</v>
      </c>
      <c r="BQ15" s="43"/>
      <c r="BV15" s="47">
        <v>0</v>
      </c>
      <c r="BW15" s="43"/>
      <c r="BX15" s="42"/>
      <c r="CB15" s="47">
        <v>0</v>
      </c>
      <c r="CC15" s="43"/>
      <c r="CH15" s="47">
        <v>0</v>
      </c>
      <c r="CI15" s="43"/>
      <c r="CN15" s="47">
        <v>0</v>
      </c>
      <c r="CO15" s="43"/>
      <c r="CP15" s="42"/>
      <c r="CT15" s="47">
        <v>0</v>
      </c>
      <c r="CU15" s="43"/>
      <c r="CV15" s="42"/>
      <c r="CZ15" s="47">
        <v>0</v>
      </c>
      <c r="DA15" s="43"/>
      <c r="DG15" s="47">
        <v>0</v>
      </c>
      <c r="DH15" s="43"/>
      <c r="DK15" s="47">
        <v>0</v>
      </c>
      <c r="DL15" s="43"/>
      <c r="DM15" s="42"/>
      <c r="DQ15" s="47">
        <v>0</v>
      </c>
      <c r="DR15" s="43"/>
      <c r="DW15" s="47">
        <v>0</v>
      </c>
      <c r="DX15" s="43"/>
      <c r="EC15" s="47">
        <v>0</v>
      </c>
      <c r="ED15" s="43"/>
      <c r="EE15" s="42"/>
      <c r="EI15" s="47">
        <v>0</v>
      </c>
      <c r="EJ15" s="43"/>
      <c r="EO15" s="47">
        <v>0</v>
      </c>
      <c r="EP15" s="43"/>
      <c r="EQ15" s="42"/>
      <c r="EU15" s="47">
        <v>0</v>
      </c>
      <c r="EV15" s="43"/>
      <c r="EW15" s="42"/>
      <c r="FC15" s="47">
        <v>0</v>
      </c>
      <c r="FD15" s="43"/>
      <c r="FE15" s="42"/>
      <c r="FI15" s="47">
        <v>0</v>
      </c>
      <c r="FJ15" s="43"/>
      <c r="FQ15" s="47">
        <v>0</v>
      </c>
      <c r="FR15" s="43"/>
      <c r="FS15" s="42"/>
      <c r="FW15" s="47">
        <v>0</v>
      </c>
      <c r="FX15" s="43"/>
      <c r="FY15" s="42"/>
      <c r="GC15" s="47">
        <v>0</v>
      </c>
      <c r="GD15" s="43"/>
      <c r="GE15" s="42"/>
      <c r="GI15" s="47">
        <v>0</v>
      </c>
      <c r="GJ15" s="43"/>
      <c r="GQ15" s="47">
        <v>0</v>
      </c>
      <c r="GR15" s="43"/>
      <c r="GX15" s="47">
        <v>0</v>
      </c>
      <c r="GY15" s="43"/>
      <c r="GZ15" s="42"/>
      <c r="HC15" s="47">
        <v>0</v>
      </c>
      <c r="HD15" s="43"/>
      <c r="HE15" s="42"/>
      <c r="HH15" s="47">
        <v>0</v>
      </c>
      <c r="HI15" s="43"/>
      <c r="HN15" s="47">
        <v>0</v>
      </c>
      <c r="HO15" s="43"/>
      <c r="HP15" s="42"/>
      <c r="HU15" s="47">
        <v>0</v>
      </c>
      <c r="HV15" s="43"/>
      <c r="IA15" s="47">
        <v>0</v>
      </c>
      <c r="IB15" s="43"/>
      <c r="IC15" s="42"/>
      <c r="IG15" s="47">
        <v>0</v>
      </c>
      <c r="IH15" s="43"/>
      <c r="IM15" s="47">
        <v>0</v>
      </c>
      <c r="IN15" s="43"/>
      <c r="IO15" s="42"/>
      <c r="IQ15" s="47">
        <v>0</v>
      </c>
      <c r="IR15" s="43"/>
      <c r="IS15" s="42"/>
      <c r="IW15" s="47">
        <v>0</v>
      </c>
      <c r="IX15" s="43"/>
      <c r="IY15" s="42"/>
      <c r="JA15" s="47">
        <v>0</v>
      </c>
      <c r="JB15" s="43"/>
      <c r="JC15" s="42"/>
      <c r="JG15" s="47">
        <v>0</v>
      </c>
      <c r="JH15" s="43"/>
      <c r="JO15" s="47">
        <v>0</v>
      </c>
      <c r="JP15" s="43"/>
      <c r="JQ15" s="42"/>
      <c r="JU15" s="47">
        <v>0</v>
      </c>
      <c r="JV15" s="43"/>
      <c r="KA15" s="47">
        <v>0</v>
      </c>
      <c r="KB15" s="45"/>
      <c r="KG15" s="47">
        <v>0</v>
      </c>
      <c r="KH15" s="45"/>
      <c r="KM15" s="47">
        <v>0</v>
      </c>
      <c r="KN15" s="45"/>
      <c r="KS15" s="47">
        <v>0</v>
      </c>
      <c r="KT15" s="43"/>
      <c r="KW15" s="47">
        <v>0</v>
      </c>
      <c r="KX15" s="45"/>
      <c r="LC15" s="47">
        <v>0</v>
      </c>
      <c r="LD15" s="43"/>
      <c r="LE15" s="46"/>
      <c r="LG15" s="47">
        <v>0</v>
      </c>
      <c r="LH15" s="45"/>
      <c r="LM15" s="47">
        <v>0</v>
      </c>
      <c r="LN15" s="45"/>
      <c r="LS15" s="47">
        <v>0</v>
      </c>
      <c r="LT15" s="45"/>
      <c r="LY15" s="47">
        <v>0</v>
      </c>
      <c r="LZ15" s="45"/>
      <c r="ME15" s="47">
        <v>0</v>
      </c>
      <c r="MF15" s="45"/>
      <c r="MG15" s="46"/>
      <c r="MM15" s="47">
        <v>0</v>
      </c>
      <c r="MN15" s="45"/>
      <c r="MO15" s="44">
        <v>0</v>
      </c>
      <c r="MP15" s="44">
        <v>0</v>
      </c>
      <c r="MQ15" s="44">
        <v>0</v>
      </c>
      <c r="MR15" s="44">
        <v>0</v>
      </c>
      <c r="MS15" s="47">
        <v>0</v>
      </c>
      <c r="MT15" s="45"/>
      <c r="MU15" s="44">
        <v>0</v>
      </c>
      <c r="MV15" s="44">
        <v>0</v>
      </c>
      <c r="MW15" s="44">
        <v>0</v>
      </c>
      <c r="MX15" s="44">
        <v>0</v>
      </c>
      <c r="MY15" s="47">
        <v>0</v>
      </c>
      <c r="MZ15" s="45"/>
      <c r="NA15" s="46">
        <v>0</v>
      </c>
      <c r="NB15" s="44">
        <v>0</v>
      </c>
      <c r="NC15" s="47">
        <v>0</v>
      </c>
      <c r="ND15" s="45"/>
      <c r="NE15" s="46">
        <v>0</v>
      </c>
      <c r="NF15" s="44">
        <v>0</v>
      </c>
      <c r="NG15" s="44">
        <v>0</v>
      </c>
      <c r="NH15" s="44">
        <v>0</v>
      </c>
      <c r="NI15" s="44">
        <v>0</v>
      </c>
      <c r="NJ15" s="47">
        <v>0</v>
      </c>
      <c r="NK15" s="45"/>
      <c r="NL15" s="46">
        <v>0</v>
      </c>
      <c r="NM15" s="44">
        <v>0</v>
      </c>
      <c r="NN15" s="44">
        <v>0</v>
      </c>
      <c r="NO15" s="44">
        <v>0</v>
      </c>
      <c r="NP15" s="47">
        <v>0</v>
      </c>
      <c r="NQ15" s="45"/>
      <c r="NR15" s="46">
        <v>0</v>
      </c>
      <c r="NS15" s="44">
        <v>0</v>
      </c>
      <c r="NT15" s="47">
        <v>0</v>
      </c>
      <c r="NU15" s="45"/>
      <c r="NV15" s="46">
        <v>0</v>
      </c>
      <c r="NW15" s="44">
        <v>0</v>
      </c>
      <c r="NX15" s="44">
        <v>0</v>
      </c>
      <c r="NY15" s="44">
        <v>0</v>
      </c>
      <c r="NZ15" s="47">
        <v>0</v>
      </c>
      <c r="OA15" s="45"/>
      <c r="OB15" s="46">
        <v>0</v>
      </c>
      <c r="OC15" s="44">
        <v>0</v>
      </c>
      <c r="OD15" s="47">
        <v>0</v>
      </c>
      <c r="OE15" s="45"/>
      <c r="OF15" s="46">
        <v>0</v>
      </c>
      <c r="OG15" s="44">
        <v>0</v>
      </c>
      <c r="OH15" s="44">
        <v>0</v>
      </c>
      <c r="OI15" s="44">
        <v>0</v>
      </c>
      <c r="OJ15" s="47">
        <v>0</v>
      </c>
      <c r="OK15" s="45"/>
      <c r="OL15" s="44">
        <v>0</v>
      </c>
      <c r="OM15" s="43"/>
      <c r="ON15" s="44">
        <v>0</v>
      </c>
      <c r="OO15" s="44">
        <v>0</v>
      </c>
      <c r="OP15" s="47">
        <v>0</v>
      </c>
      <c r="OQ15" s="45"/>
      <c r="OR15" s="46">
        <v>0</v>
      </c>
      <c r="OS15" s="44">
        <v>0</v>
      </c>
      <c r="OT15" s="44">
        <v>0</v>
      </c>
      <c r="OU15" s="44">
        <v>0</v>
      </c>
      <c r="OV15" s="47">
        <v>0</v>
      </c>
      <c r="OW15" s="45"/>
      <c r="OX15" s="46">
        <v>0</v>
      </c>
      <c r="OY15" s="44">
        <v>0</v>
      </c>
      <c r="OZ15" s="44">
        <v>0</v>
      </c>
      <c r="PA15" s="44">
        <v>0</v>
      </c>
      <c r="PB15" s="47">
        <v>0</v>
      </c>
      <c r="PC15" s="45"/>
      <c r="PD15" s="46">
        <v>0</v>
      </c>
      <c r="PE15" s="44">
        <v>0</v>
      </c>
      <c r="PF15" s="44">
        <v>0</v>
      </c>
      <c r="PG15" s="44">
        <v>0</v>
      </c>
      <c r="PH15" s="47">
        <v>0</v>
      </c>
      <c r="PI15" s="45"/>
      <c r="PJ15" s="46">
        <v>0</v>
      </c>
      <c r="PK15" s="44">
        <v>0</v>
      </c>
      <c r="PL15" s="44">
        <v>0</v>
      </c>
      <c r="PM15" s="44">
        <v>0</v>
      </c>
      <c r="PN15" s="47">
        <v>0</v>
      </c>
      <c r="PO15" s="45"/>
      <c r="PP15" s="46">
        <v>0</v>
      </c>
      <c r="PQ15" s="44">
        <v>0</v>
      </c>
      <c r="PR15" s="44">
        <v>0</v>
      </c>
      <c r="PS15" s="44">
        <v>0</v>
      </c>
      <c r="PT15" s="47">
        <v>0</v>
      </c>
      <c r="PU15" s="45"/>
      <c r="PV15" s="46">
        <v>0</v>
      </c>
      <c r="PW15" s="44">
        <v>0</v>
      </c>
      <c r="PX15" s="47">
        <v>0</v>
      </c>
      <c r="PY15" s="45"/>
      <c r="PZ15" s="46">
        <v>0</v>
      </c>
      <c r="QA15" s="44">
        <v>0</v>
      </c>
      <c r="QB15" s="47">
        <v>0</v>
      </c>
      <c r="QC15" s="45"/>
      <c r="QD15" s="46">
        <v>0</v>
      </c>
      <c r="QE15" s="44">
        <v>0</v>
      </c>
      <c r="QF15" s="44">
        <v>0</v>
      </c>
      <c r="QG15" s="44">
        <v>0</v>
      </c>
      <c r="QH15" s="47">
        <v>0</v>
      </c>
      <c r="QI15" s="45"/>
      <c r="QJ15" s="46">
        <v>0</v>
      </c>
      <c r="QK15" s="44">
        <v>0</v>
      </c>
      <c r="QL15" s="47">
        <v>0</v>
      </c>
      <c r="QM15" s="45"/>
      <c r="QN15" s="46">
        <v>0</v>
      </c>
      <c r="QO15" s="44">
        <v>0</v>
      </c>
      <c r="QP15" s="44">
        <v>0</v>
      </c>
      <c r="QQ15" s="44">
        <v>0</v>
      </c>
      <c r="QR15" s="47">
        <v>0</v>
      </c>
      <c r="QS15" s="45"/>
      <c r="QT15" s="46">
        <v>0</v>
      </c>
      <c r="QU15" s="44">
        <v>0</v>
      </c>
      <c r="QV15" s="47">
        <v>0</v>
      </c>
      <c r="QW15" s="45"/>
      <c r="QX15" s="46">
        <v>0</v>
      </c>
      <c r="QY15" s="44">
        <v>0</v>
      </c>
      <c r="QZ15" s="44">
        <v>0</v>
      </c>
      <c r="RA15" s="44">
        <v>0</v>
      </c>
      <c r="RB15" s="47">
        <v>0</v>
      </c>
      <c r="RC15" s="45"/>
      <c r="RD15" s="42">
        <v>0</v>
      </c>
      <c r="RE15" s="44">
        <v>0</v>
      </c>
      <c r="RF15" s="44">
        <v>0</v>
      </c>
      <c r="RG15" s="44">
        <v>0</v>
      </c>
      <c r="RH15" s="47">
        <v>0</v>
      </c>
      <c r="RI15" s="45"/>
      <c r="RJ15" s="42">
        <v>0</v>
      </c>
      <c r="RK15" s="47">
        <v>0</v>
      </c>
      <c r="RL15" s="47">
        <v>0</v>
      </c>
      <c r="RM15" s="47">
        <v>0</v>
      </c>
      <c r="RN15" s="47">
        <v>0</v>
      </c>
      <c r="RO15" s="43"/>
      <c r="RP15" s="42">
        <v>0</v>
      </c>
      <c r="RQ15" s="47">
        <v>0</v>
      </c>
      <c r="RR15" s="47">
        <v>0</v>
      </c>
      <c r="RS15" s="43"/>
      <c r="RT15" s="42">
        <v>0</v>
      </c>
      <c r="RU15" s="47">
        <v>0</v>
      </c>
      <c r="RV15" s="47">
        <v>0</v>
      </c>
      <c r="RW15" s="47">
        <v>0</v>
      </c>
      <c r="RX15" s="47">
        <v>0</v>
      </c>
      <c r="RY15" s="43"/>
      <c r="RZ15" s="42">
        <v>0</v>
      </c>
      <c r="SA15" s="47">
        <v>0</v>
      </c>
      <c r="SB15" s="47">
        <v>0</v>
      </c>
      <c r="SC15" s="47">
        <v>0</v>
      </c>
      <c r="SD15" s="47">
        <v>0</v>
      </c>
      <c r="SE15" s="43"/>
      <c r="SF15" s="42">
        <v>0</v>
      </c>
      <c r="SG15" s="47">
        <v>0</v>
      </c>
      <c r="SH15" s="47">
        <v>0</v>
      </c>
      <c r="SI15" s="47">
        <v>0</v>
      </c>
      <c r="SJ15" s="47">
        <v>0</v>
      </c>
      <c r="SK15" s="43"/>
      <c r="SL15" s="42">
        <v>0</v>
      </c>
      <c r="SM15" s="47">
        <v>0</v>
      </c>
      <c r="SN15" s="47">
        <v>0</v>
      </c>
      <c r="SO15" s="43"/>
      <c r="SP15" s="42">
        <v>0</v>
      </c>
      <c r="SQ15" s="47">
        <v>0</v>
      </c>
      <c r="SR15" s="47">
        <v>0</v>
      </c>
      <c r="SS15" s="47">
        <v>0</v>
      </c>
      <c r="ST15" s="47">
        <v>0</v>
      </c>
      <c r="SU15" s="43"/>
    </row>
    <row r="16" spans="1:515" x14ac:dyDescent="0.25">
      <c r="A16" s="47" t="s">
        <v>323</v>
      </c>
      <c r="B16" s="41">
        <v>0.15</v>
      </c>
      <c r="J16" s="42"/>
      <c r="K16" s="51"/>
      <c r="L16" s="51"/>
      <c r="M16" s="51"/>
      <c r="N16" s="51">
        <f t="shared" si="9"/>
        <v>0</v>
      </c>
      <c r="O16" s="43"/>
      <c r="P16" s="46"/>
      <c r="Q16" s="51"/>
      <c r="R16" s="51"/>
      <c r="S16" s="51"/>
      <c r="T16" s="51">
        <f t="shared" si="10"/>
        <v>0</v>
      </c>
      <c r="U16" s="43"/>
      <c r="V16" s="42"/>
      <c r="W16" s="51"/>
      <c r="X16" s="51"/>
      <c r="Y16" s="51"/>
      <c r="Z16" s="51">
        <f t="shared" si="11"/>
        <v>0</v>
      </c>
      <c r="AA16" s="43"/>
      <c r="AB16" s="42"/>
      <c r="AC16" s="51"/>
      <c r="AD16" s="51"/>
      <c r="AE16" s="51"/>
      <c r="AF16" s="51">
        <v>0</v>
      </c>
      <c r="AG16" s="43"/>
      <c r="AH16" s="51"/>
      <c r="AL16" s="47">
        <v>0</v>
      </c>
      <c r="AM16" s="43"/>
      <c r="AN16" s="42"/>
      <c r="AR16" s="47">
        <v>0</v>
      </c>
      <c r="AS16" s="43"/>
      <c r="AX16" s="47">
        <v>0</v>
      </c>
      <c r="AY16" s="43"/>
      <c r="BD16" s="47">
        <v>0</v>
      </c>
      <c r="BE16" s="43"/>
      <c r="BF16" s="42"/>
      <c r="BJ16" s="47">
        <v>0</v>
      </c>
      <c r="BK16" s="43"/>
      <c r="BL16" s="42"/>
      <c r="BP16" s="47">
        <v>0</v>
      </c>
      <c r="BQ16" s="43"/>
      <c r="BV16" s="47">
        <v>0</v>
      </c>
      <c r="BW16" s="43"/>
      <c r="BX16" s="42"/>
      <c r="CB16" s="47">
        <v>0</v>
      </c>
      <c r="CC16" s="43"/>
      <c r="CH16" s="47">
        <v>0</v>
      </c>
      <c r="CI16" s="43"/>
      <c r="CN16" s="47">
        <v>0</v>
      </c>
      <c r="CO16" s="43"/>
      <c r="CP16" s="42"/>
      <c r="CT16" s="47">
        <v>0</v>
      </c>
      <c r="CU16" s="43"/>
      <c r="CV16" s="42"/>
      <c r="CZ16" s="47">
        <v>0</v>
      </c>
      <c r="DA16" s="43"/>
      <c r="DG16" s="47">
        <v>0</v>
      </c>
      <c r="DH16" s="43"/>
      <c r="DK16" s="47">
        <v>0</v>
      </c>
      <c r="DL16" s="43"/>
      <c r="DM16" s="42"/>
      <c r="DQ16" s="47">
        <v>0</v>
      </c>
      <c r="DR16" s="43"/>
      <c r="DW16" s="47">
        <v>0</v>
      </c>
      <c r="DX16" s="43"/>
      <c r="EC16" s="47">
        <v>0</v>
      </c>
      <c r="ED16" s="43"/>
      <c r="EE16" s="42"/>
      <c r="EI16" s="47">
        <v>0</v>
      </c>
      <c r="EJ16" s="43"/>
      <c r="EO16" s="47">
        <v>0</v>
      </c>
      <c r="EP16" s="43"/>
      <c r="EQ16" s="42"/>
      <c r="EU16" s="47">
        <v>0</v>
      </c>
      <c r="EV16" s="43"/>
      <c r="EW16" s="42"/>
      <c r="FC16" s="47">
        <v>0</v>
      </c>
      <c r="FD16" s="43"/>
      <c r="FE16" s="42"/>
      <c r="FI16" s="47">
        <v>0</v>
      </c>
      <c r="FJ16" s="43"/>
      <c r="FQ16" s="47">
        <v>0</v>
      </c>
      <c r="FR16" s="43"/>
      <c r="FS16" s="42"/>
      <c r="FW16" s="47">
        <v>0</v>
      </c>
      <c r="FX16" s="43"/>
      <c r="FY16" s="42"/>
      <c r="GC16" s="47">
        <v>0</v>
      </c>
      <c r="GD16" s="43"/>
      <c r="GE16" s="42"/>
      <c r="GI16" s="47">
        <v>0</v>
      </c>
      <c r="GJ16" s="43"/>
      <c r="GQ16" s="47">
        <v>0</v>
      </c>
      <c r="GR16" s="43"/>
      <c r="GX16" s="47">
        <v>0</v>
      </c>
      <c r="GY16" s="43"/>
      <c r="GZ16" s="42"/>
      <c r="HC16" s="47">
        <v>0</v>
      </c>
      <c r="HD16" s="43"/>
      <c r="HE16" s="42"/>
      <c r="HH16" s="47">
        <v>0</v>
      </c>
      <c r="HI16" s="43"/>
      <c r="HN16" s="47">
        <v>0</v>
      </c>
      <c r="HO16" s="43"/>
      <c r="HP16" s="42"/>
      <c r="HU16" s="47">
        <v>0</v>
      </c>
      <c r="HV16" s="43"/>
      <c r="IA16" s="47">
        <v>0</v>
      </c>
      <c r="IB16" s="43"/>
      <c r="IC16" s="42"/>
      <c r="IG16" s="47">
        <v>0</v>
      </c>
      <c r="IH16" s="43"/>
      <c r="IM16" s="47">
        <v>0</v>
      </c>
      <c r="IN16" s="43"/>
      <c r="IO16" s="42"/>
      <c r="IQ16" s="47">
        <v>0</v>
      </c>
      <c r="IR16" s="43"/>
      <c r="IS16" s="42"/>
      <c r="IW16" s="47">
        <v>0</v>
      </c>
      <c r="IX16" s="43"/>
      <c r="IY16" s="42"/>
      <c r="JA16" s="47">
        <v>0</v>
      </c>
      <c r="JB16" s="43"/>
      <c r="JC16" s="42"/>
      <c r="JG16" s="47">
        <v>0</v>
      </c>
      <c r="JH16" s="43"/>
      <c r="JO16" s="47">
        <v>0</v>
      </c>
      <c r="JP16" s="43"/>
      <c r="JQ16" s="42"/>
      <c r="JU16" s="47">
        <v>0</v>
      </c>
      <c r="JV16" s="43"/>
      <c r="KA16" s="47">
        <v>0</v>
      </c>
      <c r="KB16" s="45"/>
      <c r="KG16" s="47">
        <v>0</v>
      </c>
      <c r="KH16" s="45"/>
      <c r="KM16" s="47">
        <v>0</v>
      </c>
      <c r="KN16" s="45"/>
      <c r="KS16" s="47">
        <v>0</v>
      </c>
      <c r="KT16" s="43"/>
      <c r="KW16" s="47">
        <v>0</v>
      </c>
      <c r="KX16" s="45"/>
      <c r="LC16" s="47">
        <v>0</v>
      </c>
      <c r="LD16" s="43"/>
      <c r="LE16" s="46"/>
      <c r="LG16" s="47">
        <v>0</v>
      </c>
      <c r="LH16" s="45"/>
      <c r="LM16" s="47">
        <v>0</v>
      </c>
      <c r="LN16" s="45"/>
      <c r="LS16" s="47">
        <v>0</v>
      </c>
      <c r="LT16" s="45"/>
      <c r="LY16" s="47">
        <v>0</v>
      </c>
      <c r="LZ16" s="45"/>
      <c r="ME16" s="47">
        <v>0</v>
      </c>
      <c r="MF16" s="45"/>
      <c r="MG16" s="46"/>
      <c r="MM16" s="47">
        <v>0</v>
      </c>
      <c r="MN16" s="45"/>
      <c r="MO16" s="44">
        <v>0</v>
      </c>
      <c r="MP16" s="44">
        <v>0</v>
      </c>
      <c r="MQ16" s="44">
        <v>0</v>
      </c>
      <c r="MR16" s="44">
        <v>0</v>
      </c>
      <c r="MS16" s="47">
        <v>0</v>
      </c>
      <c r="MT16" s="45"/>
      <c r="MU16" s="44">
        <v>0</v>
      </c>
      <c r="MV16" s="44">
        <v>0</v>
      </c>
      <c r="MW16" s="44">
        <v>0</v>
      </c>
      <c r="MX16" s="44">
        <v>0</v>
      </c>
      <c r="MY16" s="47">
        <v>0</v>
      </c>
      <c r="MZ16" s="45"/>
      <c r="NA16" s="46">
        <v>0</v>
      </c>
      <c r="NB16" s="44">
        <v>0</v>
      </c>
      <c r="NC16" s="47">
        <v>0</v>
      </c>
      <c r="ND16" s="45"/>
      <c r="NE16" s="46">
        <v>0</v>
      </c>
      <c r="NF16" s="44">
        <v>0</v>
      </c>
      <c r="NG16" s="44">
        <v>0</v>
      </c>
      <c r="NH16" s="44">
        <v>0</v>
      </c>
      <c r="NI16" s="44">
        <v>0</v>
      </c>
      <c r="NJ16" s="47">
        <v>0</v>
      </c>
      <c r="NK16" s="45"/>
      <c r="NL16" s="46">
        <v>0</v>
      </c>
      <c r="NM16" s="44">
        <v>0</v>
      </c>
      <c r="NN16" s="44">
        <v>0</v>
      </c>
      <c r="NO16" s="44">
        <v>0</v>
      </c>
      <c r="NP16" s="47">
        <v>0</v>
      </c>
      <c r="NQ16" s="45"/>
      <c r="NR16" s="46">
        <v>0</v>
      </c>
      <c r="NS16" s="44">
        <v>0</v>
      </c>
      <c r="NT16" s="47">
        <v>0</v>
      </c>
      <c r="NU16" s="45"/>
      <c r="NV16" s="46">
        <v>0</v>
      </c>
      <c r="NW16" s="44">
        <v>0</v>
      </c>
      <c r="NX16" s="44">
        <v>0</v>
      </c>
      <c r="NY16" s="44">
        <v>0</v>
      </c>
      <c r="NZ16" s="47">
        <v>0</v>
      </c>
      <c r="OA16" s="45"/>
      <c r="OB16" s="46">
        <v>0</v>
      </c>
      <c r="OC16" s="44">
        <v>0</v>
      </c>
      <c r="OD16" s="47">
        <v>0</v>
      </c>
      <c r="OE16" s="45"/>
      <c r="OF16" s="46">
        <v>0</v>
      </c>
      <c r="OG16" s="44">
        <v>0</v>
      </c>
      <c r="OH16" s="44">
        <v>0</v>
      </c>
      <c r="OI16" s="44">
        <v>0</v>
      </c>
      <c r="OJ16" s="47">
        <v>0</v>
      </c>
      <c r="OK16" s="45"/>
      <c r="OL16" s="44">
        <v>0</v>
      </c>
      <c r="OM16" s="43"/>
      <c r="ON16" s="44">
        <v>0</v>
      </c>
      <c r="OO16" s="44">
        <v>0</v>
      </c>
      <c r="OP16" s="47">
        <v>0</v>
      </c>
      <c r="OQ16" s="45"/>
      <c r="OR16" s="46">
        <v>0</v>
      </c>
      <c r="OS16" s="44">
        <v>0</v>
      </c>
      <c r="OT16" s="44">
        <v>0</v>
      </c>
      <c r="OU16" s="44">
        <v>0</v>
      </c>
      <c r="OV16" s="47">
        <v>0</v>
      </c>
      <c r="OW16" s="45"/>
      <c r="OX16" s="46">
        <v>0</v>
      </c>
      <c r="OY16" s="44">
        <v>0</v>
      </c>
      <c r="OZ16" s="44">
        <v>0</v>
      </c>
      <c r="PA16" s="44">
        <v>0</v>
      </c>
      <c r="PB16" s="47">
        <v>0</v>
      </c>
      <c r="PC16" s="45"/>
      <c r="PD16" s="46">
        <v>0</v>
      </c>
      <c r="PE16" s="44">
        <v>0</v>
      </c>
      <c r="PF16" s="44">
        <v>0</v>
      </c>
      <c r="PG16" s="44">
        <v>0</v>
      </c>
      <c r="PH16" s="47">
        <v>0</v>
      </c>
      <c r="PI16" s="45"/>
      <c r="PJ16" s="46">
        <v>0</v>
      </c>
      <c r="PK16" s="44">
        <v>0</v>
      </c>
      <c r="PL16" s="44">
        <v>0</v>
      </c>
      <c r="PM16" s="44">
        <v>0</v>
      </c>
      <c r="PN16" s="47">
        <v>0</v>
      </c>
      <c r="PO16" s="45"/>
      <c r="PP16" s="46">
        <v>0</v>
      </c>
      <c r="PQ16" s="44">
        <v>0</v>
      </c>
      <c r="PR16" s="44">
        <v>0</v>
      </c>
      <c r="PS16" s="44">
        <v>0</v>
      </c>
      <c r="PT16" s="47">
        <v>0</v>
      </c>
      <c r="PU16" s="45"/>
      <c r="PV16" s="46">
        <v>0</v>
      </c>
      <c r="PW16" s="44">
        <v>0</v>
      </c>
      <c r="PX16" s="47">
        <v>0</v>
      </c>
      <c r="PY16" s="45"/>
      <c r="PZ16" s="46">
        <v>0</v>
      </c>
      <c r="QA16" s="44">
        <v>0</v>
      </c>
      <c r="QB16" s="47">
        <v>0</v>
      </c>
      <c r="QC16" s="45"/>
      <c r="QD16" s="46">
        <v>0</v>
      </c>
      <c r="QE16" s="44">
        <v>0</v>
      </c>
      <c r="QF16" s="44">
        <v>0</v>
      </c>
      <c r="QG16" s="44">
        <v>0</v>
      </c>
      <c r="QH16" s="47">
        <v>0</v>
      </c>
      <c r="QI16" s="45"/>
      <c r="QJ16" s="46">
        <v>0</v>
      </c>
      <c r="QK16" s="44">
        <v>0</v>
      </c>
      <c r="QL16" s="47">
        <v>0</v>
      </c>
      <c r="QM16" s="45"/>
      <c r="QN16" s="46">
        <v>0</v>
      </c>
      <c r="QO16" s="44">
        <v>0</v>
      </c>
      <c r="QP16" s="44">
        <v>0</v>
      </c>
      <c r="QQ16" s="44">
        <v>0</v>
      </c>
      <c r="QR16" s="47">
        <v>0</v>
      </c>
      <c r="QS16" s="45"/>
      <c r="QT16" s="46">
        <v>0</v>
      </c>
      <c r="QU16" s="44">
        <v>0</v>
      </c>
      <c r="QV16" s="47">
        <v>0</v>
      </c>
      <c r="QW16" s="45"/>
      <c r="QX16" s="46">
        <v>0</v>
      </c>
      <c r="QY16" s="44">
        <v>0</v>
      </c>
      <c r="QZ16" s="44">
        <v>0</v>
      </c>
      <c r="RA16" s="44">
        <v>0</v>
      </c>
      <c r="RB16" s="47">
        <v>0</v>
      </c>
      <c r="RC16" s="45"/>
      <c r="RD16" s="42">
        <v>0</v>
      </c>
      <c r="RE16" s="44">
        <v>0</v>
      </c>
      <c r="RF16" s="44">
        <v>0</v>
      </c>
      <c r="RG16" s="44">
        <v>0</v>
      </c>
      <c r="RH16" s="47">
        <v>0</v>
      </c>
      <c r="RI16" s="45"/>
      <c r="RJ16" s="42">
        <v>0</v>
      </c>
      <c r="RK16" s="47">
        <v>0</v>
      </c>
      <c r="RL16" s="47">
        <v>0</v>
      </c>
      <c r="RM16" s="47">
        <v>0</v>
      </c>
      <c r="RN16" s="47">
        <v>0</v>
      </c>
      <c r="RO16" s="43"/>
      <c r="RP16" s="42">
        <v>0</v>
      </c>
      <c r="RQ16" s="47">
        <v>0</v>
      </c>
      <c r="RR16" s="47">
        <v>0</v>
      </c>
      <c r="RS16" s="43"/>
      <c r="RT16" s="42">
        <v>0</v>
      </c>
      <c r="RU16" s="47">
        <v>0</v>
      </c>
      <c r="RV16" s="47">
        <v>0</v>
      </c>
      <c r="RW16" s="47">
        <v>0</v>
      </c>
      <c r="RX16" s="47">
        <v>0</v>
      </c>
      <c r="RY16" s="43"/>
      <c r="RZ16" s="42">
        <v>0</v>
      </c>
      <c r="SA16" s="47">
        <v>0</v>
      </c>
      <c r="SB16" s="47">
        <v>0</v>
      </c>
      <c r="SC16" s="47">
        <v>0</v>
      </c>
      <c r="SD16" s="47">
        <v>0</v>
      </c>
      <c r="SE16" s="43"/>
      <c r="SF16" s="42">
        <v>0</v>
      </c>
      <c r="SG16" s="47">
        <v>0</v>
      </c>
      <c r="SH16" s="47">
        <v>0</v>
      </c>
      <c r="SI16" s="47">
        <v>0</v>
      </c>
      <c r="SJ16" s="47">
        <v>0</v>
      </c>
      <c r="SK16" s="43"/>
      <c r="SL16" s="42">
        <v>0</v>
      </c>
      <c r="SM16" s="47">
        <v>0</v>
      </c>
      <c r="SN16" s="47">
        <v>0</v>
      </c>
      <c r="SO16" s="43"/>
      <c r="SP16" s="42">
        <v>0</v>
      </c>
      <c r="SQ16" s="47">
        <v>0</v>
      </c>
      <c r="SR16" s="47">
        <v>0</v>
      </c>
      <c r="SS16" s="47">
        <v>0</v>
      </c>
      <c r="ST16" s="47">
        <v>0</v>
      </c>
      <c r="SU16" s="43"/>
    </row>
    <row r="17" spans="1:515" x14ac:dyDescent="0.25">
      <c r="A17" s="47" t="s">
        <v>324</v>
      </c>
      <c r="B17" s="41">
        <v>0.15</v>
      </c>
      <c r="J17" s="42"/>
      <c r="K17" s="51"/>
      <c r="L17" s="51"/>
      <c r="M17" s="51"/>
      <c r="N17" s="51">
        <f t="shared" si="9"/>
        <v>0</v>
      </c>
      <c r="O17" s="43"/>
      <c r="P17" s="46"/>
      <c r="Q17" s="51"/>
      <c r="R17" s="51"/>
      <c r="S17" s="51"/>
      <c r="T17" s="51">
        <f t="shared" si="10"/>
        <v>0</v>
      </c>
      <c r="U17" s="43"/>
      <c r="V17" s="42"/>
      <c r="W17" s="51"/>
      <c r="X17" s="51"/>
      <c r="Y17" s="51"/>
      <c r="Z17" s="51">
        <f t="shared" si="11"/>
        <v>0</v>
      </c>
      <c r="AA17" s="43"/>
      <c r="AB17" s="42"/>
      <c r="AC17" s="51"/>
      <c r="AD17" s="51"/>
      <c r="AE17" s="51"/>
      <c r="AF17" s="51">
        <v>0</v>
      </c>
      <c r="AG17" s="43"/>
      <c r="AH17" s="51"/>
      <c r="AL17" s="47">
        <v>0</v>
      </c>
      <c r="AM17" s="43"/>
      <c r="AN17" s="42"/>
      <c r="AR17" s="47">
        <v>0</v>
      </c>
      <c r="AS17" s="43"/>
      <c r="AX17" s="47">
        <v>0</v>
      </c>
      <c r="AY17" s="43"/>
      <c r="BD17" s="47">
        <v>0</v>
      </c>
      <c r="BE17" s="43"/>
      <c r="BF17" s="42"/>
      <c r="BJ17" s="47">
        <v>0</v>
      </c>
      <c r="BK17" s="43"/>
      <c r="BL17" s="42"/>
      <c r="BP17" s="47">
        <v>0</v>
      </c>
      <c r="BQ17" s="43"/>
      <c r="BV17" s="47">
        <v>0</v>
      </c>
      <c r="BW17" s="43"/>
      <c r="BX17" s="42"/>
      <c r="CB17" s="47">
        <v>0</v>
      </c>
      <c r="CC17" s="43"/>
      <c r="CH17" s="47">
        <v>0</v>
      </c>
      <c r="CI17" s="43"/>
      <c r="CN17" s="47">
        <v>0</v>
      </c>
      <c r="CO17" s="43"/>
      <c r="CP17" s="42"/>
      <c r="CT17" s="47">
        <v>0</v>
      </c>
      <c r="CU17" s="43"/>
      <c r="CV17" s="42"/>
      <c r="CZ17" s="47">
        <v>0</v>
      </c>
      <c r="DA17" s="43"/>
      <c r="DG17" s="47">
        <v>0</v>
      </c>
      <c r="DH17" s="43"/>
      <c r="DK17" s="47">
        <v>0</v>
      </c>
      <c r="DL17" s="43"/>
      <c r="DM17" s="42"/>
      <c r="DQ17" s="47">
        <v>0</v>
      </c>
      <c r="DR17" s="43"/>
      <c r="DW17" s="47">
        <v>0</v>
      </c>
      <c r="DX17" s="43"/>
      <c r="EC17" s="47">
        <v>0</v>
      </c>
      <c r="ED17" s="43"/>
      <c r="EE17" s="42"/>
      <c r="EI17" s="47">
        <v>0</v>
      </c>
      <c r="EJ17" s="43"/>
      <c r="EO17" s="47">
        <v>0</v>
      </c>
      <c r="EP17" s="43"/>
      <c r="EQ17" s="42"/>
      <c r="EU17" s="47">
        <v>0</v>
      </c>
      <c r="EV17" s="43"/>
      <c r="EW17" s="42"/>
      <c r="FC17" s="47">
        <v>0</v>
      </c>
      <c r="FD17" s="43"/>
      <c r="FE17" s="42"/>
      <c r="FI17" s="47">
        <v>0</v>
      </c>
      <c r="FJ17" s="43"/>
      <c r="FQ17" s="47">
        <v>0</v>
      </c>
      <c r="FR17" s="43"/>
      <c r="FS17" s="42"/>
      <c r="FW17" s="47">
        <v>0</v>
      </c>
      <c r="FX17" s="43"/>
      <c r="FY17" s="42"/>
      <c r="GC17" s="47">
        <v>0</v>
      </c>
      <c r="GD17" s="43"/>
      <c r="GE17" s="42"/>
      <c r="GI17" s="47">
        <v>0</v>
      </c>
      <c r="GJ17" s="43"/>
      <c r="GQ17" s="47">
        <v>0</v>
      </c>
      <c r="GR17" s="43"/>
      <c r="GX17" s="47">
        <v>0</v>
      </c>
      <c r="GY17" s="43"/>
      <c r="GZ17" s="42"/>
      <c r="HC17" s="47">
        <v>0</v>
      </c>
      <c r="HD17" s="43"/>
      <c r="HE17" s="42"/>
      <c r="HH17" s="47">
        <v>0</v>
      </c>
      <c r="HI17" s="43"/>
      <c r="HN17" s="47">
        <v>0</v>
      </c>
      <c r="HO17" s="43"/>
      <c r="HP17" s="42"/>
      <c r="HU17" s="47">
        <v>0</v>
      </c>
      <c r="HV17" s="43"/>
      <c r="IA17" s="47">
        <v>0</v>
      </c>
      <c r="IB17" s="43"/>
      <c r="IC17" s="42"/>
      <c r="IG17" s="47">
        <v>0</v>
      </c>
      <c r="IH17" s="43"/>
      <c r="IM17" s="47">
        <v>0</v>
      </c>
      <c r="IN17" s="43"/>
      <c r="IO17" s="42"/>
      <c r="IQ17" s="47">
        <v>0</v>
      </c>
      <c r="IR17" s="43"/>
      <c r="IS17" s="42"/>
      <c r="IW17" s="47">
        <v>0</v>
      </c>
      <c r="IX17" s="43"/>
      <c r="IY17" s="42"/>
      <c r="JA17" s="47">
        <v>0</v>
      </c>
      <c r="JB17" s="43"/>
      <c r="JC17" s="42"/>
      <c r="JG17" s="47">
        <v>0</v>
      </c>
      <c r="JH17" s="43"/>
      <c r="JO17" s="47">
        <v>0</v>
      </c>
      <c r="JP17" s="43"/>
      <c r="JQ17" s="42"/>
      <c r="JU17" s="47">
        <v>0</v>
      </c>
      <c r="JV17" s="43"/>
      <c r="KA17" s="47">
        <v>0</v>
      </c>
      <c r="KB17" s="45"/>
      <c r="KG17" s="47">
        <v>0</v>
      </c>
      <c r="KH17" s="45"/>
      <c r="KM17" s="47">
        <v>0</v>
      </c>
      <c r="KN17" s="45"/>
      <c r="KS17" s="47">
        <v>0</v>
      </c>
      <c r="KT17" s="43"/>
      <c r="KW17" s="47">
        <v>0</v>
      </c>
      <c r="KX17" s="45"/>
      <c r="LC17" s="47">
        <v>0</v>
      </c>
      <c r="LD17" s="43"/>
      <c r="LE17" s="46"/>
      <c r="LG17" s="47">
        <v>0</v>
      </c>
      <c r="LH17" s="45"/>
      <c r="LM17" s="47">
        <v>0</v>
      </c>
      <c r="LN17" s="45"/>
      <c r="LS17" s="47">
        <v>0</v>
      </c>
      <c r="LT17" s="45"/>
      <c r="LY17" s="47">
        <v>0</v>
      </c>
      <c r="LZ17" s="45"/>
      <c r="ME17" s="47">
        <v>0</v>
      </c>
      <c r="MF17" s="45"/>
      <c r="MG17" s="46"/>
      <c r="MM17" s="47">
        <v>0</v>
      </c>
      <c r="MN17" s="45"/>
      <c r="MO17" s="44">
        <v>0</v>
      </c>
      <c r="MP17" s="44">
        <v>0</v>
      </c>
      <c r="MQ17" s="44">
        <v>0</v>
      </c>
      <c r="MR17" s="44">
        <v>0</v>
      </c>
      <c r="MS17" s="47">
        <v>0</v>
      </c>
      <c r="MT17" s="45"/>
      <c r="MU17" s="44">
        <v>0</v>
      </c>
      <c r="MV17" s="44">
        <v>0</v>
      </c>
      <c r="MW17" s="44">
        <v>0</v>
      </c>
      <c r="MX17" s="44">
        <v>0</v>
      </c>
      <c r="MY17" s="47">
        <v>0</v>
      </c>
      <c r="MZ17" s="45"/>
      <c r="NA17" s="46">
        <v>0</v>
      </c>
      <c r="NB17" s="44">
        <v>0</v>
      </c>
      <c r="NC17" s="47">
        <v>0</v>
      </c>
      <c r="ND17" s="45"/>
      <c r="NE17" s="46">
        <v>0</v>
      </c>
      <c r="NF17" s="44">
        <v>0</v>
      </c>
      <c r="NG17" s="44">
        <v>0</v>
      </c>
      <c r="NH17" s="44">
        <v>0</v>
      </c>
      <c r="NI17" s="44">
        <v>0</v>
      </c>
      <c r="NJ17" s="47">
        <v>0</v>
      </c>
      <c r="NK17" s="45"/>
      <c r="NL17" s="46">
        <v>0</v>
      </c>
      <c r="NM17" s="44">
        <v>0</v>
      </c>
      <c r="NN17" s="44">
        <v>0</v>
      </c>
      <c r="NO17" s="44">
        <v>0</v>
      </c>
      <c r="NP17" s="47">
        <v>0</v>
      </c>
      <c r="NQ17" s="45"/>
      <c r="NR17" s="46">
        <v>0</v>
      </c>
      <c r="NS17" s="44">
        <v>0</v>
      </c>
      <c r="NT17" s="47">
        <v>0</v>
      </c>
      <c r="NU17" s="45"/>
      <c r="NV17" s="46">
        <v>0</v>
      </c>
      <c r="NW17" s="44">
        <v>0</v>
      </c>
      <c r="NX17" s="44">
        <v>0</v>
      </c>
      <c r="NY17" s="44">
        <v>0</v>
      </c>
      <c r="NZ17" s="47">
        <v>0</v>
      </c>
      <c r="OA17" s="45"/>
      <c r="OB17" s="46">
        <v>0</v>
      </c>
      <c r="OC17" s="44">
        <v>0</v>
      </c>
      <c r="OD17" s="47">
        <v>0</v>
      </c>
      <c r="OE17" s="45"/>
      <c r="OF17" s="46">
        <v>0</v>
      </c>
      <c r="OG17" s="44">
        <v>0</v>
      </c>
      <c r="OH17" s="44">
        <v>0</v>
      </c>
      <c r="OI17" s="44">
        <v>0</v>
      </c>
      <c r="OJ17" s="47">
        <v>0</v>
      </c>
      <c r="OK17" s="45"/>
      <c r="OL17" s="44">
        <v>0</v>
      </c>
      <c r="OM17" s="43"/>
      <c r="ON17" s="44">
        <v>0</v>
      </c>
      <c r="OO17" s="44">
        <v>0</v>
      </c>
      <c r="OP17" s="47">
        <v>0</v>
      </c>
      <c r="OQ17" s="45"/>
      <c r="OR17" s="46">
        <v>0</v>
      </c>
      <c r="OS17" s="44">
        <v>0</v>
      </c>
      <c r="OT17" s="44">
        <v>0</v>
      </c>
      <c r="OU17" s="44">
        <v>0</v>
      </c>
      <c r="OV17" s="47">
        <v>0</v>
      </c>
      <c r="OW17" s="45"/>
      <c r="OX17" s="46">
        <v>0</v>
      </c>
      <c r="OY17" s="44">
        <v>0</v>
      </c>
      <c r="OZ17" s="44">
        <v>0</v>
      </c>
      <c r="PA17" s="44">
        <v>0</v>
      </c>
      <c r="PB17" s="47">
        <v>0</v>
      </c>
      <c r="PC17" s="45"/>
      <c r="PD17" s="46">
        <v>0</v>
      </c>
      <c r="PE17" s="44">
        <v>0</v>
      </c>
      <c r="PF17" s="44">
        <v>0</v>
      </c>
      <c r="PG17" s="44">
        <v>0</v>
      </c>
      <c r="PH17" s="47">
        <v>0</v>
      </c>
      <c r="PI17" s="45"/>
      <c r="PJ17" s="46">
        <v>0</v>
      </c>
      <c r="PK17" s="44">
        <v>0</v>
      </c>
      <c r="PL17" s="44">
        <v>0</v>
      </c>
      <c r="PM17" s="44">
        <v>0</v>
      </c>
      <c r="PN17" s="47">
        <v>0</v>
      </c>
      <c r="PO17" s="45"/>
      <c r="PP17" s="46">
        <v>0</v>
      </c>
      <c r="PQ17" s="44">
        <v>0</v>
      </c>
      <c r="PR17" s="44">
        <v>0</v>
      </c>
      <c r="PS17" s="44">
        <v>0</v>
      </c>
      <c r="PT17" s="47">
        <v>0</v>
      </c>
      <c r="PU17" s="45"/>
      <c r="PV17" s="46">
        <v>0</v>
      </c>
      <c r="PW17" s="44">
        <v>0</v>
      </c>
      <c r="PX17" s="47">
        <v>0</v>
      </c>
      <c r="PY17" s="45"/>
      <c r="PZ17" s="46">
        <v>0</v>
      </c>
      <c r="QA17" s="44">
        <v>0</v>
      </c>
      <c r="QB17" s="47">
        <v>0</v>
      </c>
      <c r="QC17" s="45"/>
      <c r="QD17" s="46">
        <v>0</v>
      </c>
      <c r="QE17" s="44">
        <v>0</v>
      </c>
      <c r="QF17" s="44">
        <v>0</v>
      </c>
      <c r="QG17" s="44">
        <v>0</v>
      </c>
      <c r="QH17" s="47">
        <v>0</v>
      </c>
      <c r="QI17" s="45"/>
      <c r="QJ17" s="46">
        <v>0</v>
      </c>
      <c r="QK17" s="44">
        <v>0</v>
      </c>
      <c r="QL17" s="47">
        <v>0</v>
      </c>
      <c r="QM17" s="45"/>
      <c r="QN17" s="46">
        <v>0</v>
      </c>
      <c r="QO17" s="44">
        <v>0</v>
      </c>
      <c r="QP17" s="44">
        <v>0</v>
      </c>
      <c r="QQ17" s="44">
        <v>0</v>
      </c>
      <c r="QR17" s="47">
        <v>0</v>
      </c>
      <c r="QS17" s="45"/>
      <c r="QT17" s="46">
        <v>0</v>
      </c>
      <c r="QU17" s="44">
        <v>0</v>
      </c>
      <c r="QV17" s="47">
        <v>0</v>
      </c>
      <c r="QW17" s="45"/>
      <c r="QX17" s="46">
        <v>0</v>
      </c>
      <c r="QY17" s="44">
        <v>0</v>
      </c>
      <c r="QZ17" s="44">
        <v>0</v>
      </c>
      <c r="RA17" s="44">
        <v>0</v>
      </c>
      <c r="RB17" s="47">
        <v>0</v>
      </c>
      <c r="RC17" s="45"/>
      <c r="RD17" s="42">
        <v>0</v>
      </c>
      <c r="RE17" s="44">
        <v>0</v>
      </c>
      <c r="RF17" s="44">
        <v>0</v>
      </c>
      <c r="RG17" s="44">
        <v>0</v>
      </c>
      <c r="RH17" s="47">
        <v>0</v>
      </c>
      <c r="RI17" s="45"/>
      <c r="RJ17" s="42">
        <v>0</v>
      </c>
      <c r="RK17" s="47">
        <v>0</v>
      </c>
      <c r="RL17" s="47">
        <v>0</v>
      </c>
      <c r="RM17" s="47">
        <v>0</v>
      </c>
      <c r="RN17" s="47">
        <v>0</v>
      </c>
      <c r="RO17" s="43"/>
      <c r="RP17" s="42">
        <v>0</v>
      </c>
      <c r="RQ17" s="47">
        <v>0</v>
      </c>
      <c r="RR17" s="47">
        <v>0</v>
      </c>
      <c r="RS17" s="43"/>
      <c r="RT17" s="42">
        <v>0</v>
      </c>
      <c r="RU17" s="47">
        <v>0</v>
      </c>
      <c r="RV17" s="47">
        <v>0</v>
      </c>
      <c r="RW17" s="47">
        <v>0</v>
      </c>
      <c r="RX17" s="47">
        <v>0</v>
      </c>
      <c r="RY17" s="43"/>
      <c r="RZ17" s="42">
        <v>0</v>
      </c>
      <c r="SA17" s="47">
        <v>0</v>
      </c>
      <c r="SB17" s="47">
        <v>0</v>
      </c>
      <c r="SC17" s="47">
        <v>0</v>
      </c>
      <c r="SD17" s="47">
        <v>0</v>
      </c>
      <c r="SE17" s="43"/>
      <c r="SF17" s="42">
        <v>0</v>
      </c>
      <c r="SG17" s="47">
        <v>0</v>
      </c>
      <c r="SH17" s="47">
        <v>0</v>
      </c>
      <c r="SI17" s="47">
        <v>0</v>
      </c>
      <c r="SJ17" s="47">
        <v>0</v>
      </c>
      <c r="SK17" s="43"/>
      <c r="SL17" s="42">
        <v>0</v>
      </c>
      <c r="SM17" s="47">
        <v>0</v>
      </c>
      <c r="SN17" s="47">
        <v>0</v>
      </c>
      <c r="SO17" s="43"/>
      <c r="SP17" s="42">
        <v>0</v>
      </c>
      <c r="SQ17" s="47">
        <v>0</v>
      </c>
      <c r="SR17" s="47">
        <v>0</v>
      </c>
      <c r="SS17" s="47">
        <v>0</v>
      </c>
      <c r="ST17" s="47">
        <v>0</v>
      </c>
      <c r="SU17" s="43"/>
    </row>
    <row r="18" spans="1:515" x14ac:dyDescent="0.25">
      <c r="A18" s="47" t="s">
        <v>325</v>
      </c>
      <c r="B18" s="41">
        <v>1</v>
      </c>
      <c r="J18" s="42"/>
      <c r="K18" s="51"/>
      <c r="L18" s="51"/>
      <c r="M18" s="51"/>
      <c r="N18" s="51">
        <f t="shared" si="9"/>
        <v>0</v>
      </c>
      <c r="O18" s="43"/>
      <c r="P18" s="46"/>
      <c r="Q18" s="51"/>
      <c r="R18" s="51"/>
      <c r="S18" s="51"/>
      <c r="T18" s="51">
        <f t="shared" si="10"/>
        <v>0</v>
      </c>
      <c r="U18" s="43"/>
      <c r="V18" s="42"/>
      <c r="W18" s="51"/>
      <c r="X18" s="51"/>
      <c r="Y18" s="51"/>
      <c r="Z18" s="51">
        <f t="shared" si="11"/>
        <v>0</v>
      </c>
      <c r="AA18" s="43"/>
      <c r="AB18" s="42"/>
      <c r="AC18" s="51"/>
      <c r="AD18" s="51"/>
      <c r="AE18" s="51"/>
      <c r="AF18" s="51">
        <v>0</v>
      </c>
      <c r="AG18" s="43"/>
      <c r="AH18" s="51"/>
      <c r="AL18" s="47">
        <v>0</v>
      </c>
      <c r="AM18" s="43"/>
      <c r="AN18" s="42"/>
      <c r="AR18" s="47">
        <v>0</v>
      </c>
      <c r="AS18" s="43"/>
      <c r="AX18" s="47">
        <v>0</v>
      </c>
      <c r="AY18" s="43"/>
      <c r="BD18" s="47">
        <v>0</v>
      </c>
      <c r="BE18" s="43"/>
      <c r="BF18" s="42"/>
      <c r="BJ18" s="47">
        <v>0</v>
      </c>
      <c r="BK18" s="43"/>
      <c r="BL18" s="42"/>
      <c r="BP18" s="47">
        <v>0</v>
      </c>
      <c r="BQ18" s="43"/>
      <c r="BV18" s="47">
        <v>0</v>
      </c>
      <c r="BW18" s="43"/>
      <c r="BX18" s="42"/>
      <c r="CB18" s="47">
        <v>0</v>
      </c>
      <c r="CC18" s="43"/>
      <c r="CH18" s="47">
        <v>0</v>
      </c>
      <c r="CI18" s="43"/>
      <c r="CN18" s="47">
        <v>0</v>
      </c>
      <c r="CO18" s="43"/>
      <c r="CP18" s="42"/>
      <c r="CT18" s="47">
        <v>0</v>
      </c>
      <c r="CU18" s="43"/>
      <c r="CV18" s="42"/>
      <c r="CZ18" s="47">
        <v>0</v>
      </c>
      <c r="DA18" s="43"/>
      <c r="DG18" s="47">
        <v>0</v>
      </c>
      <c r="DH18" s="43"/>
      <c r="DK18" s="47">
        <v>0</v>
      </c>
      <c r="DL18" s="43"/>
      <c r="DM18" s="42"/>
      <c r="DQ18" s="47">
        <v>0</v>
      </c>
      <c r="DR18" s="43"/>
      <c r="DW18" s="47">
        <v>0</v>
      </c>
      <c r="DX18" s="43"/>
      <c r="EC18" s="47">
        <v>0</v>
      </c>
      <c r="ED18" s="43"/>
      <c r="EE18" s="42"/>
      <c r="EI18" s="47">
        <v>0</v>
      </c>
      <c r="EJ18" s="43"/>
      <c r="EO18" s="47">
        <v>0</v>
      </c>
      <c r="EP18" s="43"/>
      <c r="EQ18" s="42"/>
      <c r="EU18" s="47">
        <v>0</v>
      </c>
      <c r="EV18" s="43"/>
      <c r="EW18" s="42"/>
      <c r="FC18" s="47">
        <v>0</v>
      </c>
      <c r="FD18" s="43"/>
      <c r="FE18" s="42"/>
      <c r="FI18" s="47">
        <v>0</v>
      </c>
      <c r="FJ18" s="43"/>
      <c r="FQ18" s="47">
        <v>0</v>
      </c>
      <c r="FR18" s="43"/>
      <c r="FS18" s="42"/>
      <c r="FW18" s="47">
        <v>0</v>
      </c>
      <c r="FX18" s="43"/>
      <c r="FY18" s="42"/>
      <c r="GC18" s="47">
        <v>0</v>
      </c>
      <c r="GD18" s="43"/>
      <c r="GE18" s="42"/>
      <c r="GI18" s="47">
        <v>0</v>
      </c>
      <c r="GJ18" s="43"/>
      <c r="GQ18" s="47">
        <v>0</v>
      </c>
      <c r="GR18" s="43"/>
      <c r="GX18" s="47">
        <v>0</v>
      </c>
      <c r="GY18" s="43"/>
      <c r="GZ18" s="42"/>
      <c r="HC18" s="47">
        <v>0</v>
      </c>
      <c r="HD18" s="43"/>
      <c r="HE18" s="42"/>
      <c r="HH18" s="47">
        <v>0</v>
      </c>
      <c r="HI18" s="43"/>
      <c r="HN18" s="47">
        <v>0</v>
      </c>
      <c r="HO18" s="43"/>
      <c r="HP18" s="42"/>
      <c r="HU18" s="47">
        <v>0</v>
      </c>
      <c r="HV18" s="43"/>
      <c r="IA18" s="47">
        <v>0</v>
      </c>
      <c r="IB18" s="43"/>
      <c r="IC18" s="42"/>
      <c r="IG18" s="47">
        <v>0</v>
      </c>
      <c r="IH18" s="43"/>
      <c r="IM18" s="47">
        <v>0</v>
      </c>
      <c r="IN18" s="43"/>
      <c r="IO18" s="42"/>
      <c r="IQ18" s="47">
        <v>0</v>
      </c>
      <c r="IR18" s="43"/>
      <c r="IS18" s="42"/>
      <c r="IW18" s="47">
        <v>0</v>
      </c>
      <c r="IX18" s="43"/>
      <c r="IY18" s="42"/>
      <c r="JA18" s="47">
        <v>0</v>
      </c>
      <c r="JB18" s="43"/>
      <c r="JC18" s="42"/>
      <c r="JG18" s="47">
        <v>0</v>
      </c>
      <c r="JH18" s="43"/>
      <c r="JO18" s="47">
        <v>0</v>
      </c>
      <c r="JP18" s="43"/>
      <c r="JQ18" s="42"/>
      <c r="JU18" s="47">
        <v>0</v>
      </c>
      <c r="JV18" s="43"/>
      <c r="KA18" s="47">
        <v>0</v>
      </c>
      <c r="KB18" s="45"/>
      <c r="KG18" s="47">
        <v>0</v>
      </c>
      <c r="KH18" s="45"/>
      <c r="KM18" s="47">
        <v>0</v>
      </c>
      <c r="KN18" s="45"/>
      <c r="KS18" s="47">
        <v>0</v>
      </c>
      <c r="KT18" s="43"/>
      <c r="KW18" s="47">
        <v>0</v>
      </c>
      <c r="KX18" s="45"/>
      <c r="LC18" s="47">
        <v>0</v>
      </c>
      <c r="LD18" s="43"/>
      <c r="LE18" s="46"/>
      <c r="LG18" s="47">
        <v>0</v>
      </c>
      <c r="LH18" s="45"/>
      <c r="LM18" s="47">
        <v>0</v>
      </c>
      <c r="LN18" s="45"/>
      <c r="LS18" s="47">
        <v>0</v>
      </c>
      <c r="LT18" s="45"/>
      <c r="LY18" s="47">
        <v>0</v>
      </c>
      <c r="LZ18" s="45"/>
      <c r="ME18" s="47">
        <v>0</v>
      </c>
      <c r="MF18" s="45"/>
      <c r="MG18" s="46"/>
      <c r="MM18" s="47">
        <v>0</v>
      </c>
      <c r="MN18" s="45"/>
      <c r="MO18" s="44">
        <v>0</v>
      </c>
      <c r="MP18" s="44">
        <v>0</v>
      </c>
      <c r="MQ18" s="44">
        <v>0</v>
      </c>
      <c r="MR18" s="44">
        <v>0</v>
      </c>
      <c r="MS18" s="47">
        <v>0</v>
      </c>
      <c r="MT18" s="45"/>
      <c r="MU18" s="44">
        <v>0</v>
      </c>
      <c r="MV18" s="44">
        <v>0</v>
      </c>
      <c r="MW18" s="44">
        <v>0</v>
      </c>
      <c r="MX18" s="44">
        <v>0</v>
      </c>
      <c r="MY18" s="47">
        <v>0</v>
      </c>
      <c r="MZ18" s="45"/>
      <c r="NA18" s="46">
        <v>0</v>
      </c>
      <c r="NB18" s="44">
        <v>0</v>
      </c>
      <c r="NC18" s="47">
        <v>0</v>
      </c>
      <c r="ND18" s="45"/>
      <c r="NE18" s="46">
        <v>0</v>
      </c>
      <c r="NF18" s="44">
        <v>0</v>
      </c>
      <c r="NG18" s="44">
        <v>0</v>
      </c>
      <c r="NH18" s="44">
        <v>0</v>
      </c>
      <c r="NI18" s="44">
        <v>0</v>
      </c>
      <c r="NJ18" s="47">
        <v>0</v>
      </c>
      <c r="NK18" s="45"/>
      <c r="NL18" s="46">
        <v>0</v>
      </c>
      <c r="NM18" s="44">
        <v>0</v>
      </c>
      <c r="NN18" s="44">
        <v>0</v>
      </c>
      <c r="NO18" s="44">
        <v>0</v>
      </c>
      <c r="NP18" s="47">
        <v>0</v>
      </c>
      <c r="NQ18" s="45"/>
      <c r="NR18" s="46">
        <v>0</v>
      </c>
      <c r="NS18" s="44">
        <v>0</v>
      </c>
      <c r="NT18" s="47">
        <v>0</v>
      </c>
      <c r="NU18" s="45"/>
      <c r="NV18" s="46">
        <v>0</v>
      </c>
      <c r="NW18" s="44">
        <v>0</v>
      </c>
      <c r="NX18" s="44">
        <v>0</v>
      </c>
      <c r="NY18" s="44">
        <v>0</v>
      </c>
      <c r="NZ18" s="47">
        <v>0</v>
      </c>
      <c r="OA18" s="45"/>
      <c r="OB18" s="46">
        <v>0</v>
      </c>
      <c r="OC18" s="44">
        <v>0</v>
      </c>
      <c r="OD18" s="47">
        <v>0</v>
      </c>
      <c r="OE18" s="45"/>
      <c r="OF18" s="46">
        <v>0</v>
      </c>
      <c r="OG18" s="44">
        <v>0</v>
      </c>
      <c r="OH18" s="44">
        <v>0</v>
      </c>
      <c r="OI18" s="44">
        <v>0</v>
      </c>
      <c r="OJ18" s="47">
        <v>0</v>
      </c>
      <c r="OK18" s="45"/>
      <c r="OL18" s="44">
        <v>0</v>
      </c>
      <c r="OM18" s="43"/>
      <c r="ON18" s="44">
        <v>0</v>
      </c>
      <c r="OO18" s="44">
        <v>0</v>
      </c>
      <c r="OP18" s="47">
        <v>0</v>
      </c>
      <c r="OQ18" s="45"/>
      <c r="OR18" s="46">
        <v>0</v>
      </c>
      <c r="OS18" s="44">
        <v>0</v>
      </c>
      <c r="OT18" s="44">
        <v>0</v>
      </c>
      <c r="OU18" s="44">
        <v>0</v>
      </c>
      <c r="OV18" s="47">
        <v>0</v>
      </c>
      <c r="OW18" s="45"/>
      <c r="OX18" s="46">
        <v>0</v>
      </c>
      <c r="OY18" s="44">
        <v>0</v>
      </c>
      <c r="OZ18" s="44">
        <v>0</v>
      </c>
      <c r="PA18" s="44">
        <v>0</v>
      </c>
      <c r="PB18" s="47">
        <v>0</v>
      </c>
      <c r="PC18" s="45"/>
      <c r="PD18" s="46">
        <v>0</v>
      </c>
      <c r="PE18" s="44">
        <v>0</v>
      </c>
      <c r="PF18" s="44">
        <v>0</v>
      </c>
      <c r="PG18" s="44">
        <v>0</v>
      </c>
      <c r="PH18" s="47">
        <v>0</v>
      </c>
      <c r="PI18" s="45"/>
      <c r="PJ18" s="46">
        <v>0</v>
      </c>
      <c r="PK18" s="44">
        <v>0</v>
      </c>
      <c r="PL18" s="44">
        <v>0</v>
      </c>
      <c r="PM18" s="44">
        <v>0</v>
      </c>
      <c r="PN18" s="47">
        <v>0</v>
      </c>
      <c r="PO18" s="45"/>
      <c r="PP18" s="46">
        <v>0</v>
      </c>
      <c r="PQ18" s="44">
        <v>0</v>
      </c>
      <c r="PR18" s="44">
        <v>0</v>
      </c>
      <c r="PS18" s="44">
        <v>0</v>
      </c>
      <c r="PT18" s="47">
        <v>0</v>
      </c>
      <c r="PU18" s="45"/>
      <c r="PV18" s="46">
        <v>0</v>
      </c>
      <c r="PW18" s="44">
        <v>0</v>
      </c>
      <c r="PX18" s="47">
        <v>0</v>
      </c>
      <c r="PY18" s="45"/>
      <c r="PZ18" s="46">
        <v>0</v>
      </c>
      <c r="QA18" s="44">
        <v>0</v>
      </c>
      <c r="QB18" s="47">
        <v>0</v>
      </c>
      <c r="QC18" s="45"/>
      <c r="QD18" s="46">
        <v>0</v>
      </c>
      <c r="QE18" s="44">
        <v>0</v>
      </c>
      <c r="QF18" s="44">
        <v>0</v>
      </c>
      <c r="QG18" s="44">
        <v>0</v>
      </c>
      <c r="QH18" s="47">
        <v>0</v>
      </c>
      <c r="QI18" s="45"/>
      <c r="QJ18" s="46">
        <v>0</v>
      </c>
      <c r="QK18" s="44">
        <v>0</v>
      </c>
      <c r="QL18" s="47">
        <v>0</v>
      </c>
      <c r="QM18" s="45"/>
      <c r="QN18" s="46">
        <v>0</v>
      </c>
      <c r="QO18" s="44">
        <v>0</v>
      </c>
      <c r="QP18" s="44">
        <v>0</v>
      </c>
      <c r="QQ18" s="44">
        <v>0</v>
      </c>
      <c r="QR18" s="47">
        <v>0</v>
      </c>
      <c r="QS18" s="45"/>
      <c r="QT18" s="46">
        <v>0</v>
      </c>
      <c r="QU18" s="44">
        <v>0</v>
      </c>
      <c r="QV18" s="47">
        <v>0</v>
      </c>
      <c r="QW18" s="45"/>
      <c r="QX18" s="46">
        <v>0</v>
      </c>
      <c r="QY18" s="44">
        <v>0</v>
      </c>
      <c r="QZ18" s="44">
        <v>0</v>
      </c>
      <c r="RA18" s="44">
        <v>0</v>
      </c>
      <c r="RB18" s="47">
        <v>0</v>
      </c>
      <c r="RC18" s="45"/>
      <c r="RD18" s="42">
        <v>0</v>
      </c>
      <c r="RE18" s="44">
        <v>0</v>
      </c>
      <c r="RF18" s="44">
        <v>0</v>
      </c>
      <c r="RG18" s="17">
        <v>10</v>
      </c>
      <c r="RH18" s="47">
        <v>-2</v>
      </c>
      <c r="RI18" s="45"/>
      <c r="RJ18" s="42">
        <v>0</v>
      </c>
      <c r="RK18" s="47">
        <v>0</v>
      </c>
      <c r="RL18" s="47">
        <v>0</v>
      </c>
      <c r="RM18" s="7">
        <v>20</v>
      </c>
      <c r="RN18" s="47">
        <v>-4</v>
      </c>
      <c r="RO18" s="43"/>
      <c r="RP18" s="42">
        <v>19.058</v>
      </c>
      <c r="RQ18" s="47">
        <v>20</v>
      </c>
      <c r="RR18" s="47">
        <v>-0.94200000000000017</v>
      </c>
      <c r="RS18" s="43"/>
      <c r="RT18" s="42">
        <v>0</v>
      </c>
      <c r="RU18" s="47">
        <v>0</v>
      </c>
      <c r="RV18" s="47">
        <v>0</v>
      </c>
      <c r="RW18" s="47">
        <v>0</v>
      </c>
      <c r="RX18" s="47">
        <v>0</v>
      </c>
      <c r="RY18" s="43"/>
      <c r="RZ18" s="42">
        <v>0</v>
      </c>
      <c r="SA18" s="47">
        <v>0</v>
      </c>
      <c r="SB18" s="47">
        <v>0</v>
      </c>
      <c r="SC18" s="47">
        <v>0</v>
      </c>
      <c r="SD18" s="47">
        <v>0</v>
      </c>
      <c r="SE18" s="43"/>
      <c r="SF18" s="42">
        <v>0</v>
      </c>
      <c r="SG18" s="47">
        <v>0</v>
      </c>
      <c r="SH18" s="47">
        <v>0</v>
      </c>
      <c r="SI18" s="47">
        <v>0</v>
      </c>
      <c r="SJ18" s="47">
        <v>0</v>
      </c>
      <c r="SK18" s="43"/>
      <c r="SL18" s="42">
        <v>0</v>
      </c>
      <c r="SM18" s="47">
        <v>0</v>
      </c>
      <c r="SN18" s="47">
        <v>0</v>
      </c>
      <c r="SO18" s="43"/>
      <c r="SP18" s="42">
        <v>0</v>
      </c>
      <c r="SQ18" s="47">
        <v>0</v>
      </c>
      <c r="SR18" s="47">
        <v>0</v>
      </c>
      <c r="SS18" s="47">
        <v>0</v>
      </c>
      <c r="ST18" s="47">
        <v>0</v>
      </c>
      <c r="SU18" s="43"/>
    </row>
    <row r="19" spans="1:515" x14ac:dyDescent="0.25">
      <c r="A19" s="47" t="s">
        <v>326</v>
      </c>
      <c r="B19" s="41">
        <v>1</v>
      </c>
      <c r="J19" s="42"/>
      <c r="K19" s="51"/>
      <c r="L19" s="51"/>
      <c r="M19" s="51"/>
      <c r="N19" s="51">
        <f t="shared" si="9"/>
        <v>0</v>
      </c>
      <c r="O19" s="43"/>
      <c r="P19" s="46"/>
      <c r="Q19" s="51"/>
      <c r="R19" s="51"/>
      <c r="S19" s="51"/>
      <c r="T19" s="51">
        <f t="shared" si="10"/>
        <v>0</v>
      </c>
      <c r="U19" s="43"/>
      <c r="V19" s="42"/>
      <c r="W19" s="51"/>
      <c r="X19" s="51"/>
      <c r="Y19" s="51"/>
      <c r="Z19" s="51">
        <f t="shared" si="11"/>
        <v>0</v>
      </c>
      <c r="AA19" s="43"/>
      <c r="AB19" s="42"/>
      <c r="AC19" s="51"/>
      <c r="AD19" s="51"/>
      <c r="AE19" s="51"/>
      <c r="AF19" s="51">
        <v>0</v>
      </c>
      <c r="AG19" s="43"/>
      <c r="AH19" s="51"/>
      <c r="AL19" s="47">
        <v>0</v>
      </c>
      <c r="AM19" s="43"/>
      <c r="AN19" s="42"/>
      <c r="AR19" s="47">
        <v>0</v>
      </c>
      <c r="AS19" s="43"/>
      <c r="AX19" s="47">
        <v>0</v>
      </c>
      <c r="AY19" s="43"/>
      <c r="BD19" s="47">
        <v>0</v>
      </c>
      <c r="BE19" s="43"/>
      <c r="BF19" s="42"/>
      <c r="BJ19" s="47">
        <v>0</v>
      </c>
      <c r="BK19" s="43"/>
      <c r="BL19" s="42"/>
      <c r="BP19" s="47">
        <v>0</v>
      </c>
      <c r="BQ19" s="43"/>
      <c r="BV19" s="47">
        <v>0</v>
      </c>
      <c r="BW19" s="43"/>
      <c r="BX19" s="42"/>
      <c r="CB19" s="47">
        <v>0</v>
      </c>
      <c r="CC19" s="43"/>
      <c r="CH19" s="47">
        <v>0</v>
      </c>
      <c r="CI19" s="43"/>
      <c r="CN19" s="47">
        <v>0</v>
      </c>
      <c r="CO19" s="43"/>
      <c r="CP19" s="42"/>
      <c r="CT19" s="47">
        <v>0</v>
      </c>
      <c r="CU19" s="43"/>
      <c r="CV19" s="42"/>
      <c r="CZ19" s="47">
        <v>0</v>
      </c>
      <c r="DA19" s="43"/>
      <c r="DG19" s="47">
        <v>0</v>
      </c>
      <c r="DH19" s="43"/>
      <c r="DK19" s="47">
        <v>0</v>
      </c>
      <c r="DL19" s="43"/>
      <c r="DM19" s="42"/>
      <c r="DQ19" s="47">
        <v>0</v>
      </c>
      <c r="DR19" s="43"/>
      <c r="DW19" s="47">
        <v>0</v>
      </c>
      <c r="DX19" s="43"/>
      <c r="EC19" s="47">
        <v>0</v>
      </c>
      <c r="ED19" s="43"/>
      <c r="EE19" s="42"/>
      <c r="EI19" s="47">
        <v>0</v>
      </c>
      <c r="EJ19" s="43"/>
      <c r="EO19" s="47">
        <v>0</v>
      </c>
      <c r="EP19" s="43"/>
      <c r="EQ19" s="42"/>
      <c r="EU19" s="47">
        <v>0</v>
      </c>
      <c r="EV19" s="43"/>
      <c r="EW19" s="42"/>
      <c r="FC19" s="47">
        <v>0</v>
      </c>
      <c r="FD19" s="43"/>
      <c r="FE19" s="42"/>
      <c r="FI19" s="47">
        <v>0</v>
      </c>
      <c r="FJ19" s="43"/>
      <c r="FQ19" s="47">
        <v>0</v>
      </c>
      <c r="FR19" s="43"/>
      <c r="FS19" s="42"/>
      <c r="FW19" s="47">
        <v>0</v>
      </c>
      <c r="FX19" s="43"/>
      <c r="FY19" s="42"/>
      <c r="GC19" s="47">
        <v>0</v>
      </c>
      <c r="GD19" s="43"/>
      <c r="GE19" s="42"/>
      <c r="GI19" s="47">
        <v>0</v>
      </c>
      <c r="GJ19" s="43"/>
      <c r="GQ19" s="47">
        <v>0</v>
      </c>
      <c r="GR19" s="43"/>
      <c r="GX19" s="47">
        <v>0</v>
      </c>
      <c r="GY19" s="43"/>
      <c r="GZ19" s="42"/>
      <c r="HC19" s="47">
        <v>0</v>
      </c>
      <c r="HD19" s="43"/>
      <c r="HE19" s="42"/>
      <c r="HH19" s="47">
        <v>0</v>
      </c>
      <c r="HI19" s="43"/>
      <c r="HN19" s="47">
        <v>0</v>
      </c>
      <c r="HO19" s="43"/>
      <c r="HP19" s="42"/>
      <c r="HU19" s="47">
        <v>0</v>
      </c>
      <c r="HV19" s="43"/>
      <c r="IA19" s="47">
        <v>0</v>
      </c>
      <c r="IB19" s="43"/>
      <c r="IC19" s="42"/>
      <c r="IG19" s="47">
        <v>0</v>
      </c>
      <c r="IH19" s="43"/>
      <c r="IM19" s="47">
        <v>0</v>
      </c>
      <c r="IN19" s="43"/>
      <c r="IO19" s="42"/>
      <c r="IQ19" s="47">
        <v>0</v>
      </c>
      <c r="IR19" s="43"/>
      <c r="IS19" s="42"/>
      <c r="IW19" s="47">
        <v>0</v>
      </c>
      <c r="IX19" s="43"/>
      <c r="IY19" s="42"/>
      <c r="JA19" s="47">
        <v>0</v>
      </c>
      <c r="JB19" s="43"/>
      <c r="JC19" s="42"/>
      <c r="JG19" s="47">
        <v>0</v>
      </c>
      <c r="JH19" s="43"/>
      <c r="JO19" s="47">
        <v>0</v>
      </c>
      <c r="JP19" s="43"/>
      <c r="JQ19" s="42"/>
      <c r="JU19" s="47">
        <v>0</v>
      </c>
      <c r="JV19" s="43"/>
      <c r="KA19" s="47">
        <v>0</v>
      </c>
      <c r="KB19" s="45"/>
      <c r="KG19" s="47">
        <v>0</v>
      </c>
      <c r="KH19" s="45"/>
      <c r="KM19" s="47">
        <v>0</v>
      </c>
      <c r="KN19" s="45"/>
      <c r="KS19" s="47">
        <v>0</v>
      </c>
      <c r="KT19" s="43"/>
      <c r="KW19" s="47">
        <v>0</v>
      </c>
      <c r="KX19" s="45"/>
      <c r="LC19" s="47">
        <v>0</v>
      </c>
      <c r="LD19" s="43"/>
      <c r="LE19" s="46"/>
      <c r="LG19" s="47">
        <v>0</v>
      </c>
      <c r="LH19" s="45"/>
      <c r="LM19" s="47">
        <v>0</v>
      </c>
      <c r="LN19" s="45"/>
      <c r="LS19" s="47">
        <v>0</v>
      </c>
      <c r="LT19" s="45"/>
      <c r="LY19" s="47">
        <v>0</v>
      </c>
      <c r="LZ19" s="45"/>
      <c r="ME19" s="47">
        <v>0</v>
      </c>
      <c r="MF19" s="45"/>
      <c r="MG19" s="46"/>
      <c r="MM19" s="47">
        <v>0</v>
      </c>
      <c r="MN19" s="45"/>
      <c r="MO19" s="44">
        <v>0</v>
      </c>
      <c r="MP19" s="44">
        <v>0</v>
      </c>
      <c r="MQ19" s="44">
        <v>0</v>
      </c>
      <c r="MR19" s="44">
        <v>0</v>
      </c>
      <c r="MS19" s="47">
        <v>0</v>
      </c>
      <c r="MT19" s="45"/>
      <c r="MU19" s="44">
        <v>0</v>
      </c>
      <c r="MV19" s="44">
        <v>0</v>
      </c>
      <c r="MW19" s="44">
        <v>0</v>
      </c>
      <c r="MX19" s="44">
        <v>0</v>
      </c>
      <c r="MY19" s="47">
        <v>0</v>
      </c>
      <c r="MZ19" s="45"/>
      <c r="NA19" s="46">
        <v>0</v>
      </c>
      <c r="NB19" s="44">
        <v>0</v>
      </c>
      <c r="NC19" s="47">
        <v>0</v>
      </c>
      <c r="ND19" s="45"/>
      <c r="NE19" s="46">
        <v>0</v>
      </c>
      <c r="NF19" s="44">
        <v>0</v>
      </c>
      <c r="NG19" s="44">
        <v>0</v>
      </c>
      <c r="NH19" s="44">
        <v>0</v>
      </c>
      <c r="NI19" s="44">
        <v>0</v>
      </c>
      <c r="NJ19" s="47">
        <v>0</v>
      </c>
      <c r="NK19" s="45"/>
      <c r="NL19" s="46">
        <v>0</v>
      </c>
      <c r="NM19" s="44">
        <v>0</v>
      </c>
      <c r="NN19" s="44">
        <v>0</v>
      </c>
      <c r="NO19" s="44">
        <v>0</v>
      </c>
      <c r="NP19" s="47">
        <v>0</v>
      </c>
      <c r="NQ19" s="45"/>
      <c r="NR19" s="46">
        <v>0</v>
      </c>
      <c r="NS19" s="44">
        <v>0</v>
      </c>
      <c r="NT19" s="47">
        <v>0</v>
      </c>
      <c r="NU19" s="45"/>
      <c r="NV19" s="46">
        <v>0</v>
      </c>
      <c r="NW19" s="44">
        <v>0</v>
      </c>
      <c r="NX19" s="44">
        <v>0</v>
      </c>
      <c r="NY19" s="44">
        <v>0</v>
      </c>
      <c r="NZ19" s="47">
        <v>0</v>
      </c>
      <c r="OA19" s="45"/>
      <c r="OB19" s="46">
        <v>0</v>
      </c>
      <c r="OC19" s="44">
        <v>0</v>
      </c>
      <c r="OD19" s="47">
        <v>0</v>
      </c>
      <c r="OE19" s="45"/>
      <c r="OF19" s="46">
        <v>0</v>
      </c>
      <c r="OG19" s="44">
        <v>0</v>
      </c>
      <c r="OH19" s="44">
        <v>0</v>
      </c>
      <c r="OI19" s="44">
        <v>0</v>
      </c>
      <c r="OJ19" s="47">
        <v>0</v>
      </c>
      <c r="OK19" s="45"/>
      <c r="OL19" s="44">
        <v>0</v>
      </c>
      <c r="OM19" s="43"/>
      <c r="ON19" s="44">
        <v>0</v>
      </c>
      <c r="OO19" s="44">
        <v>0</v>
      </c>
      <c r="OP19" s="47">
        <v>0</v>
      </c>
      <c r="OQ19" s="45"/>
      <c r="OR19" s="46">
        <v>0</v>
      </c>
      <c r="OS19" s="44">
        <v>0</v>
      </c>
      <c r="OT19" s="44">
        <v>0</v>
      </c>
      <c r="OU19" s="44">
        <v>0</v>
      </c>
      <c r="OV19" s="47">
        <v>0</v>
      </c>
      <c r="OW19" s="45"/>
      <c r="OX19" s="46">
        <v>0</v>
      </c>
      <c r="OY19" s="44">
        <v>0</v>
      </c>
      <c r="OZ19" s="44">
        <v>0</v>
      </c>
      <c r="PA19" s="44">
        <v>0</v>
      </c>
      <c r="PB19" s="47">
        <v>0</v>
      </c>
      <c r="PC19" s="45"/>
      <c r="PD19" s="46">
        <v>0</v>
      </c>
      <c r="PE19" s="44">
        <v>0</v>
      </c>
      <c r="PF19" s="44">
        <v>0</v>
      </c>
      <c r="PG19" s="44">
        <v>0</v>
      </c>
      <c r="PH19" s="47">
        <v>0</v>
      </c>
      <c r="PI19" s="45"/>
      <c r="PJ19" s="46">
        <v>0</v>
      </c>
      <c r="PK19" s="44">
        <v>0</v>
      </c>
      <c r="PL19" s="44">
        <v>0</v>
      </c>
      <c r="PM19" s="44">
        <v>0</v>
      </c>
      <c r="PN19" s="47">
        <v>0</v>
      </c>
      <c r="PO19" s="45"/>
      <c r="PP19" s="46">
        <v>0</v>
      </c>
      <c r="PQ19" s="44">
        <v>0</v>
      </c>
      <c r="PR19" s="44">
        <v>0</v>
      </c>
      <c r="PS19" s="44">
        <v>0</v>
      </c>
      <c r="PT19" s="47">
        <v>0</v>
      </c>
      <c r="PU19" s="45"/>
      <c r="PV19" s="46">
        <v>0</v>
      </c>
      <c r="PW19" s="44">
        <v>0</v>
      </c>
      <c r="PX19" s="47">
        <v>0</v>
      </c>
      <c r="PY19" s="45"/>
      <c r="PZ19" s="46">
        <v>0</v>
      </c>
      <c r="QA19" s="44">
        <v>0</v>
      </c>
      <c r="QB19" s="47">
        <v>0</v>
      </c>
      <c r="QC19" s="45"/>
      <c r="QD19" s="46">
        <v>0</v>
      </c>
      <c r="QE19" s="44">
        <v>0</v>
      </c>
      <c r="QF19" s="44">
        <v>0</v>
      </c>
      <c r="QG19" s="44">
        <v>0</v>
      </c>
      <c r="QH19" s="47">
        <v>0</v>
      </c>
      <c r="QI19" s="45"/>
      <c r="QJ19" s="46">
        <v>0</v>
      </c>
      <c r="QK19" s="44">
        <v>0</v>
      </c>
      <c r="QL19" s="47">
        <v>0</v>
      </c>
      <c r="QM19" s="45"/>
      <c r="QN19" s="46">
        <v>0</v>
      </c>
      <c r="QO19" s="44">
        <v>0</v>
      </c>
      <c r="QP19" s="44">
        <v>0</v>
      </c>
      <c r="QQ19" s="44">
        <v>0</v>
      </c>
      <c r="QR19" s="47">
        <v>0</v>
      </c>
      <c r="QS19" s="45"/>
      <c r="QT19" s="46">
        <v>0</v>
      </c>
      <c r="QU19" s="44">
        <v>0</v>
      </c>
      <c r="QV19" s="47">
        <v>0</v>
      </c>
      <c r="QW19" s="45"/>
      <c r="QX19" s="46">
        <v>0</v>
      </c>
      <c r="QY19" s="44">
        <v>0</v>
      </c>
      <c r="QZ19" s="44">
        <v>216.27699999999999</v>
      </c>
      <c r="RA19" s="44">
        <v>217</v>
      </c>
      <c r="RB19" s="47">
        <v>-0.72300000000001319</v>
      </c>
      <c r="RC19" s="45"/>
      <c r="RD19" s="42">
        <v>0</v>
      </c>
      <c r="RE19" s="44">
        <v>0</v>
      </c>
      <c r="RF19" s="44">
        <v>0</v>
      </c>
      <c r="RG19" s="44">
        <v>0</v>
      </c>
      <c r="RH19" s="47">
        <v>0</v>
      </c>
      <c r="RI19" s="45"/>
      <c r="RJ19" s="42">
        <v>31.361999999999998</v>
      </c>
      <c r="RK19" s="47">
        <v>30</v>
      </c>
      <c r="RL19" s="47">
        <v>0</v>
      </c>
      <c r="RM19" s="47">
        <v>0</v>
      </c>
      <c r="RN19" s="47">
        <v>1.3619999999999981</v>
      </c>
      <c r="RO19" s="43"/>
      <c r="RP19" s="42">
        <v>175.261</v>
      </c>
      <c r="RQ19" s="47">
        <v>173</v>
      </c>
      <c r="RR19" s="47">
        <v>2.2609999999999961</v>
      </c>
      <c r="RS19" s="43"/>
      <c r="RT19" s="42">
        <v>22.391999999999999</v>
      </c>
      <c r="RU19" s="47">
        <v>21</v>
      </c>
      <c r="RV19" s="47">
        <v>0</v>
      </c>
      <c r="RW19" s="47">
        <v>0</v>
      </c>
      <c r="RX19" s="47">
        <v>1.391999999999999</v>
      </c>
      <c r="RY19" s="43"/>
      <c r="RZ19" s="42">
        <v>40.253999999999998</v>
      </c>
      <c r="SA19" s="47">
        <v>40</v>
      </c>
      <c r="SB19" s="47">
        <v>0</v>
      </c>
      <c r="SC19" s="47">
        <v>0</v>
      </c>
      <c r="SD19" s="47">
        <v>0.25399999999999778</v>
      </c>
      <c r="SE19" s="43"/>
      <c r="SF19" s="42">
        <v>0</v>
      </c>
      <c r="SG19" s="47">
        <v>0</v>
      </c>
      <c r="SH19" s="47">
        <v>0</v>
      </c>
      <c r="SI19" s="47">
        <v>0</v>
      </c>
      <c r="SJ19" s="47">
        <v>0</v>
      </c>
      <c r="SK19" s="43"/>
      <c r="SL19" s="42">
        <v>148.471</v>
      </c>
      <c r="SM19" s="47">
        <v>150</v>
      </c>
      <c r="SN19" s="47">
        <v>-1.5289999999999959</v>
      </c>
      <c r="SO19" s="43"/>
      <c r="SP19" s="42">
        <v>0</v>
      </c>
      <c r="SQ19" s="47">
        <v>0</v>
      </c>
      <c r="SR19" s="47">
        <v>0</v>
      </c>
      <c r="SS19" s="47">
        <v>0</v>
      </c>
      <c r="ST19" s="47">
        <v>0</v>
      </c>
      <c r="SU19" s="43"/>
    </row>
    <row r="20" spans="1:515" x14ac:dyDescent="0.25">
      <c r="A20" s="47" t="s">
        <v>327</v>
      </c>
      <c r="B20" s="41">
        <v>1</v>
      </c>
      <c r="J20" s="42"/>
      <c r="K20" s="51"/>
      <c r="L20" s="51"/>
      <c r="M20" s="51"/>
      <c r="N20" s="51">
        <f t="shared" si="9"/>
        <v>0</v>
      </c>
      <c r="O20" s="43"/>
      <c r="P20" s="46"/>
      <c r="Q20" s="51"/>
      <c r="R20" s="51"/>
      <c r="S20" s="51"/>
      <c r="T20" s="51">
        <f t="shared" si="10"/>
        <v>0</v>
      </c>
      <c r="U20" s="43"/>
      <c r="V20" s="42"/>
      <c r="W20" s="51"/>
      <c r="X20" s="51"/>
      <c r="Y20" s="51"/>
      <c r="Z20" s="51">
        <f t="shared" si="11"/>
        <v>0</v>
      </c>
      <c r="AA20" s="43"/>
      <c r="AB20" s="42"/>
      <c r="AC20" s="51"/>
      <c r="AD20" s="51"/>
      <c r="AE20" s="51"/>
      <c r="AF20" s="51">
        <v>0</v>
      </c>
      <c r="AG20" s="43"/>
      <c r="AH20" s="51"/>
      <c r="AL20" s="47">
        <v>0</v>
      </c>
      <c r="AM20" s="43"/>
      <c r="AN20" s="42"/>
      <c r="AR20" s="47">
        <v>0</v>
      </c>
      <c r="AS20" s="43"/>
      <c r="AX20" s="47">
        <v>0</v>
      </c>
      <c r="AY20" s="43"/>
      <c r="BD20" s="47">
        <v>0</v>
      </c>
      <c r="BE20" s="43"/>
      <c r="BF20" s="42"/>
      <c r="BJ20" s="47">
        <v>0</v>
      </c>
      <c r="BK20" s="43"/>
      <c r="BL20" s="42"/>
      <c r="BP20" s="47">
        <v>0</v>
      </c>
      <c r="BQ20" s="43"/>
      <c r="BV20" s="47">
        <v>0</v>
      </c>
      <c r="BW20" s="43"/>
      <c r="BX20" s="42"/>
      <c r="CB20" s="47">
        <v>0</v>
      </c>
      <c r="CC20" s="43"/>
      <c r="CH20" s="47">
        <v>0</v>
      </c>
      <c r="CI20" s="43"/>
      <c r="CN20" s="47">
        <v>0</v>
      </c>
      <c r="CO20" s="43"/>
      <c r="CP20" s="42"/>
      <c r="CT20" s="47">
        <v>0</v>
      </c>
      <c r="CU20" s="43"/>
      <c r="CV20" s="42"/>
      <c r="CZ20" s="47">
        <v>0</v>
      </c>
      <c r="DA20" s="43"/>
      <c r="DG20" s="47">
        <v>0</v>
      </c>
      <c r="DH20" s="43"/>
      <c r="DK20" s="47">
        <v>0</v>
      </c>
      <c r="DL20" s="43"/>
      <c r="DM20" s="42"/>
      <c r="DQ20" s="47">
        <v>0</v>
      </c>
      <c r="DR20" s="43"/>
      <c r="DW20" s="47">
        <v>0</v>
      </c>
      <c r="DX20" s="43"/>
      <c r="EC20" s="47">
        <v>0</v>
      </c>
      <c r="ED20" s="43"/>
      <c r="EE20" s="42"/>
      <c r="EI20" s="47">
        <v>0</v>
      </c>
      <c r="EJ20" s="43"/>
      <c r="EO20" s="47">
        <v>0</v>
      </c>
      <c r="EP20" s="43"/>
      <c r="EQ20" s="42"/>
      <c r="EU20" s="47">
        <v>0</v>
      </c>
      <c r="EV20" s="43"/>
      <c r="EW20" s="42"/>
      <c r="FC20" s="47">
        <v>0</v>
      </c>
      <c r="FD20" s="43"/>
      <c r="FE20" s="42"/>
      <c r="FI20" s="47">
        <v>0</v>
      </c>
      <c r="FJ20" s="43"/>
      <c r="FQ20" s="47">
        <v>0</v>
      </c>
      <c r="FR20" s="43"/>
      <c r="FS20" s="42"/>
      <c r="FW20" s="47">
        <v>0</v>
      </c>
      <c r="FX20" s="43"/>
      <c r="FY20" s="42"/>
      <c r="GC20" s="47">
        <v>0</v>
      </c>
      <c r="GD20" s="43"/>
      <c r="GE20" s="42"/>
      <c r="GI20" s="47">
        <v>0</v>
      </c>
      <c r="GJ20" s="43"/>
      <c r="GQ20" s="47">
        <v>0</v>
      </c>
      <c r="GR20" s="43"/>
      <c r="GX20" s="47">
        <v>0</v>
      </c>
      <c r="GY20" s="43"/>
      <c r="GZ20" s="42"/>
      <c r="HC20" s="47">
        <v>0</v>
      </c>
      <c r="HD20" s="43"/>
      <c r="HE20" s="42"/>
      <c r="HH20" s="47">
        <v>0</v>
      </c>
      <c r="HI20" s="43"/>
      <c r="HN20" s="47">
        <v>0</v>
      </c>
      <c r="HO20" s="43"/>
      <c r="HP20" s="42"/>
      <c r="HU20" s="47">
        <v>0</v>
      </c>
      <c r="HV20" s="43"/>
      <c r="IA20" s="47">
        <v>0</v>
      </c>
      <c r="IB20" s="43"/>
      <c r="IC20" s="42"/>
      <c r="IG20" s="47">
        <v>0</v>
      </c>
      <c r="IH20" s="43"/>
      <c r="IM20" s="47">
        <v>0</v>
      </c>
      <c r="IN20" s="43"/>
      <c r="IO20" s="42"/>
      <c r="IQ20" s="47">
        <v>0</v>
      </c>
      <c r="IR20" s="43"/>
      <c r="IS20" s="42"/>
      <c r="IW20" s="47">
        <v>0</v>
      </c>
      <c r="IX20" s="43"/>
      <c r="IY20" s="42"/>
      <c r="JA20" s="47">
        <v>0</v>
      </c>
      <c r="JB20" s="43"/>
      <c r="JC20" s="42"/>
      <c r="JG20" s="47">
        <v>0</v>
      </c>
      <c r="JH20" s="43"/>
      <c r="JO20" s="47">
        <v>0</v>
      </c>
      <c r="JP20" s="43"/>
      <c r="JQ20" s="42"/>
      <c r="JU20" s="47">
        <v>0</v>
      </c>
      <c r="JV20" s="43"/>
      <c r="KA20" s="47">
        <v>0</v>
      </c>
      <c r="KB20" s="45"/>
      <c r="KG20" s="47">
        <v>0</v>
      </c>
      <c r="KH20" s="45"/>
      <c r="KM20" s="47">
        <v>0</v>
      </c>
      <c r="KN20" s="45"/>
      <c r="KS20" s="47">
        <v>0</v>
      </c>
      <c r="KT20" s="43"/>
      <c r="KW20" s="47">
        <v>0</v>
      </c>
      <c r="KX20" s="45"/>
      <c r="LC20" s="47">
        <v>0</v>
      </c>
      <c r="LD20" s="43"/>
      <c r="LE20" s="46"/>
      <c r="LG20" s="47">
        <v>0</v>
      </c>
      <c r="LH20" s="45"/>
      <c r="LM20" s="47">
        <v>0</v>
      </c>
      <c r="LN20" s="45"/>
      <c r="LS20" s="47">
        <v>0</v>
      </c>
      <c r="LT20" s="45"/>
      <c r="LY20" s="47">
        <v>0</v>
      </c>
      <c r="LZ20" s="45"/>
      <c r="ME20" s="47">
        <v>0</v>
      </c>
      <c r="MF20" s="45"/>
      <c r="MG20" s="46"/>
      <c r="MM20" s="47">
        <v>0</v>
      </c>
      <c r="MN20" s="45"/>
      <c r="MO20" s="44">
        <v>0</v>
      </c>
      <c r="MP20" s="44">
        <v>0</v>
      </c>
      <c r="MQ20" s="44">
        <v>0</v>
      </c>
      <c r="MR20" s="44">
        <v>0</v>
      </c>
      <c r="MS20" s="47">
        <v>0</v>
      </c>
      <c r="MT20" s="45"/>
      <c r="MU20" s="44">
        <v>0</v>
      </c>
      <c r="MV20" s="44">
        <v>0</v>
      </c>
      <c r="MW20" s="44">
        <v>0</v>
      </c>
      <c r="MX20" s="44">
        <v>0</v>
      </c>
      <c r="MY20" s="47">
        <v>0</v>
      </c>
      <c r="MZ20" s="45"/>
      <c r="NA20" s="46">
        <v>0</v>
      </c>
      <c r="NB20" s="44">
        <v>0</v>
      </c>
      <c r="NC20" s="47">
        <v>0</v>
      </c>
      <c r="ND20" s="45"/>
      <c r="NE20" s="46">
        <v>0</v>
      </c>
      <c r="NF20" s="44">
        <v>0</v>
      </c>
      <c r="NG20" s="44">
        <v>0</v>
      </c>
      <c r="NH20" s="44">
        <v>0</v>
      </c>
      <c r="NI20" s="44">
        <v>0</v>
      </c>
      <c r="NJ20" s="47">
        <v>0</v>
      </c>
      <c r="NK20" s="45"/>
      <c r="NL20" s="46">
        <v>0</v>
      </c>
      <c r="NM20" s="44">
        <v>0</v>
      </c>
      <c r="NN20" s="44">
        <v>0</v>
      </c>
      <c r="NO20" s="44">
        <v>0</v>
      </c>
      <c r="NP20" s="47">
        <v>0</v>
      </c>
      <c r="NQ20" s="45"/>
      <c r="NR20" s="46">
        <v>0</v>
      </c>
      <c r="NS20" s="44">
        <v>0</v>
      </c>
      <c r="NT20" s="47">
        <v>0</v>
      </c>
      <c r="NU20" s="45"/>
      <c r="NV20" s="46">
        <v>0</v>
      </c>
      <c r="NW20" s="44">
        <v>0</v>
      </c>
      <c r="NX20" s="44">
        <v>0</v>
      </c>
      <c r="NY20" s="44">
        <v>0</v>
      </c>
      <c r="NZ20" s="47">
        <v>0</v>
      </c>
      <c r="OA20" s="45"/>
      <c r="OB20" s="46">
        <v>0</v>
      </c>
      <c r="OC20" s="44">
        <v>0</v>
      </c>
      <c r="OD20" s="47">
        <v>0</v>
      </c>
      <c r="OE20" s="45"/>
      <c r="OF20" s="46">
        <v>0</v>
      </c>
      <c r="OG20" s="44">
        <v>0</v>
      </c>
      <c r="OH20" s="44">
        <v>0</v>
      </c>
      <c r="OI20" s="44">
        <v>0</v>
      </c>
      <c r="OJ20" s="47">
        <v>0</v>
      </c>
      <c r="OK20" s="45"/>
      <c r="OL20" s="44">
        <v>0</v>
      </c>
      <c r="OM20" s="43"/>
      <c r="ON20" s="44">
        <v>0</v>
      </c>
      <c r="OO20" s="44">
        <v>0</v>
      </c>
      <c r="OP20" s="47">
        <v>0</v>
      </c>
      <c r="OQ20" s="45"/>
      <c r="OR20" s="46">
        <v>0</v>
      </c>
      <c r="OS20" s="44">
        <v>0</v>
      </c>
      <c r="OT20" s="44">
        <v>0</v>
      </c>
      <c r="OU20" s="44">
        <v>0</v>
      </c>
      <c r="OV20" s="47">
        <v>0</v>
      </c>
      <c r="OW20" s="45"/>
      <c r="OX20" s="46">
        <v>0</v>
      </c>
      <c r="OY20" s="44">
        <v>0</v>
      </c>
      <c r="OZ20" s="44">
        <v>0</v>
      </c>
      <c r="PA20" s="44">
        <v>0</v>
      </c>
      <c r="PB20" s="47">
        <v>0</v>
      </c>
      <c r="PC20" s="45"/>
      <c r="PD20" s="46">
        <v>0</v>
      </c>
      <c r="PE20" s="44">
        <v>0</v>
      </c>
      <c r="PF20" s="44">
        <v>0</v>
      </c>
      <c r="PG20" s="44">
        <v>0</v>
      </c>
      <c r="PH20" s="47">
        <v>0</v>
      </c>
      <c r="PI20" s="45"/>
      <c r="PJ20" s="46">
        <v>0</v>
      </c>
      <c r="PK20" s="44">
        <v>0</v>
      </c>
      <c r="PL20" s="44">
        <v>0</v>
      </c>
      <c r="PM20" s="44">
        <v>0</v>
      </c>
      <c r="PN20" s="47">
        <v>0</v>
      </c>
      <c r="PO20" s="45"/>
      <c r="PP20" s="46">
        <v>0</v>
      </c>
      <c r="PQ20" s="44">
        <v>0</v>
      </c>
      <c r="PR20" s="44">
        <v>0</v>
      </c>
      <c r="PS20" s="44">
        <v>0</v>
      </c>
      <c r="PT20" s="47">
        <v>0</v>
      </c>
      <c r="PU20" s="45"/>
      <c r="PV20" s="46">
        <v>0</v>
      </c>
      <c r="PW20" s="44">
        <v>0</v>
      </c>
      <c r="PX20" s="47">
        <v>0</v>
      </c>
      <c r="PY20" s="45"/>
      <c r="PZ20" s="46">
        <v>0</v>
      </c>
      <c r="QA20" s="44">
        <v>0</v>
      </c>
      <c r="QB20" s="47">
        <v>0</v>
      </c>
      <c r="QC20" s="45"/>
      <c r="QD20" s="46">
        <v>0</v>
      </c>
      <c r="QE20" s="44">
        <v>0</v>
      </c>
      <c r="QF20" s="44">
        <v>0</v>
      </c>
      <c r="QG20" s="44">
        <v>0</v>
      </c>
      <c r="QH20" s="47">
        <v>0</v>
      </c>
      <c r="QI20" s="45"/>
      <c r="QJ20" s="46">
        <v>0</v>
      </c>
      <c r="QK20" s="44">
        <v>0</v>
      </c>
      <c r="QL20" s="47">
        <v>0</v>
      </c>
      <c r="QM20" s="45"/>
      <c r="QN20" s="46">
        <v>0</v>
      </c>
      <c r="QO20" s="44">
        <v>0</v>
      </c>
      <c r="QP20" s="44">
        <v>0</v>
      </c>
      <c r="QQ20" s="44">
        <v>0</v>
      </c>
      <c r="QR20" s="47">
        <v>0</v>
      </c>
      <c r="QS20" s="45"/>
      <c r="QT20" s="46">
        <v>0</v>
      </c>
      <c r="QU20" s="17">
        <v>10</v>
      </c>
      <c r="QV20" s="47">
        <v>-2.157</v>
      </c>
      <c r="QW20" s="45"/>
      <c r="QX20" s="46">
        <v>0</v>
      </c>
      <c r="QY20" s="44">
        <v>0</v>
      </c>
      <c r="QZ20" s="44">
        <v>0</v>
      </c>
      <c r="RA20" s="33">
        <v>102</v>
      </c>
      <c r="RB20" s="50">
        <v>-102</v>
      </c>
      <c r="RC20" s="45">
        <v>102</v>
      </c>
      <c r="RD20" s="42">
        <v>0</v>
      </c>
      <c r="RE20" s="44">
        <v>0</v>
      </c>
      <c r="RF20" s="44">
        <v>0</v>
      </c>
      <c r="RG20" s="44">
        <v>0</v>
      </c>
      <c r="RH20" s="47">
        <v>0</v>
      </c>
      <c r="RI20" s="45"/>
      <c r="RJ20" s="42">
        <v>30.696999999999999</v>
      </c>
      <c r="RK20" s="47">
        <v>70</v>
      </c>
      <c r="RL20" s="47">
        <v>34.427999999999997</v>
      </c>
      <c r="RM20" s="47">
        <v>80</v>
      </c>
      <c r="RN20" s="50">
        <v>-84.875</v>
      </c>
      <c r="RO20" s="43">
        <v>84.875</v>
      </c>
      <c r="RP20" s="42">
        <v>134.44499999999999</v>
      </c>
      <c r="RQ20" s="47">
        <v>130</v>
      </c>
      <c r="RR20" s="47">
        <v>4.4449999999999932</v>
      </c>
      <c r="RS20" s="43"/>
      <c r="RT20" s="42">
        <v>0</v>
      </c>
      <c r="RU20" s="47">
        <v>0</v>
      </c>
      <c r="RV20" s="47">
        <v>0</v>
      </c>
      <c r="RW20" s="47">
        <v>0</v>
      </c>
      <c r="RX20" s="47">
        <v>0</v>
      </c>
      <c r="RY20" s="43"/>
      <c r="RZ20" s="42">
        <v>43.527999999999999</v>
      </c>
      <c r="SA20" s="47">
        <v>40</v>
      </c>
      <c r="SB20" s="47">
        <v>43.247</v>
      </c>
      <c r="SC20" s="47">
        <v>40</v>
      </c>
      <c r="SD20" s="47">
        <v>6.7750000000000057</v>
      </c>
      <c r="SE20" s="43"/>
      <c r="SF20" s="42">
        <v>0</v>
      </c>
      <c r="SG20" s="47">
        <v>0</v>
      </c>
      <c r="SH20" s="47">
        <v>0</v>
      </c>
      <c r="SI20" s="47">
        <v>0</v>
      </c>
      <c r="SJ20" s="47">
        <v>0</v>
      </c>
      <c r="SK20" s="43"/>
      <c r="SL20" s="42">
        <v>295.91000000000003</v>
      </c>
      <c r="SM20" s="47">
        <v>350</v>
      </c>
      <c r="SN20" s="50">
        <v>-54.089999999999968</v>
      </c>
      <c r="SO20" s="43">
        <v>54.089999999999968</v>
      </c>
      <c r="SP20" s="42">
        <v>0</v>
      </c>
      <c r="SQ20" s="47">
        <v>0</v>
      </c>
      <c r="SR20" s="47">
        <v>62.768000000000001</v>
      </c>
      <c r="SS20" s="47">
        <v>60</v>
      </c>
      <c r="ST20" s="47">
        <v>2.7680000000000011</v>
      </c>
      <c r="SU20" s="43"/>
    </row>
    <row r="21" spans="1:515" x14ac:dyDescent="0.25">
      <c r="A21" s="47" t="s">
        <v>328</v>
      </c>
      <c r="B21" s="41">
        <v>1</v>
      </c>
      <c r="J21" s="42"/>
      <c r="K21" s="51"/>
      <c r="L21" s="51"/>
      <c r="M21" s="51"/>
      <c r="N21" s="51">
        <f t="shared" si="9"/>
        <v>0</v>
      </c>
      <c r="O21" s="43"/>
      <c r="P21" s="46"/>
      <c r="Q21" s="51"/>
      <c r="R21" s="51"/>
      <c r="S21" s="51"/>
      <c r="T21" s="51">
        <f t="shared" si="10"/>
        <v>0</v>
      </c>
      <c r="U21" s="43"/>
      <c r="V21" s="42"/>
      <c r="W21" s="51"/>
      <c r="X21" s="51"/>
      <c r="Y21" s="51"/>
      <c r="Z21" s="51">
        <f t="shared" si="11"/>
        <v>0</v>
      </c>
      <c r="AA21" s="43"/>
      <c r="AB21" s="42"/>
      <c r="AC21" s="51"/>
      <c r="AD21" s="51"/>
      <c r="AE21" s="51"/>
      <c r="AF21" s="51">
        <v>0</v>
      </c>
      <c r="AG21" s="43"/>
      <c r="AH21" s="51"/>
      <c r="AL21" s="47">
        <v>0</v>
      </c>
      <c r="AM21" s="43"/>
      <c r="AN21" s="42"/>
      <c r="AR21" s="47">
        <v>0</v>
      </c>
      <c r="AS21" s="43"/>
      <c r="AX21" s="47">
        <v>0</v>
      </c>
      <c r="AY21" s="43"/>
      <c r="BD21" s="47">
        <v>0</v>
      </c>
      <c r="BE21" s="43"/>
      <c r="BF21" s="42"/>
      <c r="BJ21" s="47">
        <v>0</v>
      </c>
      <c r="BK21" s="43"/>
      <c r="BL21" s="42"/>
      <c r="BP21" s="47">
        <v>0</v>
      </c>
      <c r="BQ21" s="43"/>
      <c r="BV21" s="47">
        <v>0</v>
      </c>
      <c r="BW21" s="43"/>
      <c r="BX21" s="42"/>
      <c r="CB21" s="47">
        <v>0</v>
      </c>
      <c r="CC21" s="43"/>
      <c r="CH21" s="47">
        <v>0</v>
      </c>
      <c r="CI21" s="43"/>
      <c r="CN21" s="47">
        <v>0</v>
      </c>
      <c r="CO21" s="43"/>
      <c r="CP21" s="42"/>
      <c r="CT21" s="47">
        <v>0</v>
      </c>
      <c r="CU21" s="43"/>
      <c r="CV21" s="42"/>
      <c r="CZ21" s="47">
        <v>0</v>
      </c>
      <c r="DA21" s="43"/>
      <c r="DG21" s="47">
        <v>0</v>
      </c>
      <c r="DH21" s="43"/>
      <c r="DK21" s="47">
        <v>0</v>
      </c>
      <c r="DL21" s="43"/>
      <c r="DM21" s="42"/>
      <c r="DQ21" s="47">
        <v>0</v>
      </c>
      <c r="DR21" s="43"/>
      <c r="DW21" s="47">
        <v>0</v>
      </c>
      <c r="DX21" s="43"/>
      <c r="EC21" s="47">
        <v>0</v>
      </c>
      <c r="ED21" s="43"/>
      <c r="EE21" s="42"/>
      <c r="EI21" s="47">
        <v>0</v>
      </c>
      <c r="EJ21" s="43"/>
      <c r="EO21" s="47">
        <v>0</v>
      </c>
      <c r="EP21" s="43"/>
      <c r="EQ21" s="42"/>
      <c r="EU21" s="47">
        <v>0</v>
      </c>
      <c r="EV21" s="43"/>
      <c r="EW21" s="42"/>
      <c r="FC21" s="47">
        <v>0</v>
      </c>
      <c r="FD21" s="43"/>
      <c r="FE21" s="42"/>
      <c r="FI21" s="47">
        <v>0</v>
      </c>
      <c r="FJ21" s="43"/>
      <c r="FQ21" s="47">
        <v>0</v>
      </c>
      <c r="FR21" s="43"/>
      <c r="FS21" s="42"/>
      <c r="FW21" s="47">
        <v>0</v>
      </c>
      <c r="FX21" s="43"/>
      <c r="FY21" s="42"/>
      <c r="GC21" s="47">
        <v>0</v>
      </c>
      <c r="GD21" s="43"/>
      <c r="GE21" s="42"/>
      <c r="GI21" s="47">
        <v>0</v>
      </c>
      <c r="GJ21" s="43"/>
      <c r="GQ21" s="47">
        <v>0</v>
      </c>
      <c r="GR21" s="43"/>
      <c r="GX21" s="47">
        <v>0</v>
      </c>
      <c r="GY21" s="43"/>
      <c r="GZ21" s="42"/>
      <c r="HC21" s="47">
        <v>0</v>
      </c>
      <c r="HD21" s="43"/>
      <c r="HE21" s="42"/>
      <c r="HH21" s="47">
        <v>0</v>
      </c>
      <c r="HI21" s="43"/>
      <c r="HN21" s="47">
        <v>0</v>
      </c>
      <c r="HO21" s="43"/>
      <c r="HP21" s="42"/>
      <c r="HU21" s="47">
        <v>0</v>
      </c>
      <c r="HV21" s="43"/>
      <c r="IA21" s="47">
        <v>0</v>
      </c>
      <c r="IB21" s="43"/>
      <c r="IC21" s="42"/>
      <c r="IG21" s="47">
        <v>0</v>
      </c>
      <c r="IH21" s="43"/>
      <c r="IM21" s="47">
        <v>0</v>
      </c>
      <c r="IN21" s="43"/>
      <c r="IO21" s="42"/>
      <c r="IQ21" s="47">
        <v>0</v>
      </c>
      <c r="IR21" s="43"/>
      <c r="IS21" s="42"/>
      <c r="IW21" s="47">
        <v>0</v>
      </c>
      <c r="IX21" s="43"/>
      <c r="IY21" s="42"/>
      <c r="JA21" s="47">
        <v>0</v>
      </c>
      <c r="JB21" s="43"/>
      <c r="JC21" s="42"/>
      <c r="JG21" s="47">
        <v>0</v>
      </c>
      <c r="JH21" s="43"/>
      <c r="JO21" s="47">
        <v>0</v>
      </c>
      <c r="JP21" s="43"/>
      <c r="JQ21" s="42"/>
      <c r="JU21" s="47">
        <v>0</v>
      </c>
      <c r="JV21" s="43"/>
      <c r="KA21" s="47">
        <v>0</v>
      </c>
      <c r="KB21" s="45"/>
      <c r="KG21" s="47">
        <v>0</v>
      </c>
      <c r="KH21" s="45"/>
      <c r="KM21" s="47">
        <v>0</v>
      </c>
      <c r="KN21" s="45"/>
      <c r="KS21" s="47">
        <v>0</v>
      </c>
      <c r="KT21" s="43"/>
      <c r="KW21" s="47">
        <v>0</v>
      </c>
      <c r="KX21" s="45"/>
      <c r="LC21" s="47">
        <v>0</v>
      </c>
      <c r="LD21" s="43"/>
      <c r="LE21" s="46"/>
      <c r="LG21" s="47">
        <v>0</v>
      </c>
      <c r="LH21" s="45"/>
      <c r="LM21" s="47">
        <v>0</v>
      </c>
      <c r="LN21" s="45"/>
      <c r="LS21" s="47">
        <v>0</v>
      </c>
      <c r="LT21" s="45"/>
      <c r="LY21" s="47">
        <v>0</v>
      </c>
      <c r="LZ21" s="45"/>
      <c r="ME21" s="47">
        <v>0</v>
      </c>
      <c r="MF21" s="45"/>
      <c r="MG21" s="46"/>
      <c r="MM21" s="47">
        <v>0</v>
      </c>
      <c r="MN21" s="45"/>
      <c r="MO21" s="44">
        <v>0</v>
      </c>
      <c r="MP21" s="44">
        <v>0</v>
      </c>
      <c r="MQ21" s="44">
        <v>0</v>
      </c>
      <c r="MR21" s="44">
        <v>0</v>
      </c>
      <c r="MS21" s="47">
        <v>0</v>
      </c>
      <c r="MT21" s="45"/>
      <c r="MU21" s="44">
        <v>0</v>
      </c>
      <c r="MV21" s="44">
        <v>0</v>
      </c>
      <c r="MW21" s="44">
        <v>0</v>
      </c>
      <c r="MX21" s="44">
        <v>0</v>
      </c>
      <c r="MY21" s="47">
        <v>0</v>
      </c>
      <c r="MZ21" s="45"/>
      <c r="NA21" s="46">
        <v>0</v>
      </c>
      <c r="NB21" s="44">
        <v>0</v>
      </c>
      <c r="NC21" s="47">
        <v>0</v>
      </c>
      <c r="ND21" s="45"/>
      <c r="NE21" s="46">
        <v>0</v>
      </c>
      <c r="NF21" s="44">
        <v>0</v>
      </c>
      <c r="NG21" s="44">
        <v>0</v>
      </c>
      <c r="NH21" s="44">
        <v>0</v>
      </c>
      <c r="NI21" s="44">
        <v>0</v>
      </c>
      <c r="NJ21" s="47">
        <v>0</v>
      </c>
      <c r="NK21" s="45"/>
      <c r="NL21" s="46">
        <v>0</v>
      </c>
      <c r="NM21" s="44">
        <v>0</v>
      </c>
      <c r="NN21" s="44">
        <v>0</v>
      </c>
      <c r="NO21" s="44">
        <v>0</v>
      </c>
      <c r="NP21" s="47">
        <v>0</v>
      </c>
      <c r="NQ21" s="45"/>
      <c r="NR21" s="46">
        <v>0</v>
      </c>
      <c r="NS21" s="44">
        <v>0</v>
      </c>
      <c r="NT21" s="47">
        <v>0</v>
      </c>
      <c r="NU21" s="45"/>
      <c r="NV21" s="46">
        <v>0</v>
      </c>
      <c r="NW21" s="44">
        <v>0</v>
      </c>
      <c r="NX21" s="44">
        <v>0</v>
      </c>
      <c r="NY21" s="44">
        <v>0</v>
      </c>
      <c r="NZ21" s="47">
        <v>0</v>
      </c>
      <c r="OA21" s="45"/>
      <c r="OB21" s="46">
        <v>0</v>
      </c>
      <c r="OC21" s="44">
        <v>0</v>
      </c>
      <c r="OD21" s="47">
        <v>0</v>
      </c>
      <c r="OE21" s="45"/>
      <c r="OF21" s="46">
        <v>0</v>
      </c>
      <c r="OG21" s="44">
        <v>0</v>
      </c>
      <c r="OH21" s="44">
        <v>0</v>
      </c>
      <c r="OI21" s="44">
        <v>0</v>
      </c>
      <c r="OJ21" s="47">
        <v>0</v>
      </c>
      <c r="OK21" s="45"/>
      <c r="OL21" s="44">
        <v>0</v>
      </c>
      <c r="OM21" s="43"/>
      <c r="ON21" s="44">
        <v>0</v>
      </c>
      <c r="OO21" s="44">
        <v>0</v>
      </c>
      <c r="OP21" s="47">
        <v>0</v>
      </c>
      <c r="OQ21" s="45"/>
      <c r="OR21" s="46">
        <v>0</v>
      </c>
      <c r="OS21" s="44">
        <v>0</v>
      </c>
      <c r="OT21" s="44">
        <v>0</v>
      </c>
      <c r="OU21" s="44">
        <v>0</v>
      </c>
      <c r="OV21" s="47">
        <v>0</v>
      </c>
      <c r="OW21" s="45"/>
      <c r="OX21" s="46">
        <v>0</v>
      </c>
      <c r="OY21" s="44">
        <v>0</v>
      </c>
      <c r="OZ21" s="44">
        <v>0</v>
      </c>
      <c r="PA21" s="44">
        <v>0</v>
      </c>
      <c r="PB21" s="47">
        <v>0</v>
      </c>
      <c r="PC21" s="45"/>
      <c r="PD21" s="46">
        <v>0</v>
      </c>
      <c r="PE21" s="44">
        <v>0</v>
      </c>
      <c r="PF21" s="44">
        <v>0</v>
      </c>
      <c r="PG21" s="44">
        <v>0</v>
      </c>
      <c r="PH21" s="47">
        <v>0</v>
      </c>
      <c r="PI21" s="45"/>
      <c r="PJ21" s="46">
        <v>0</v>
      </c>
      <c r="PK21" s="44">
        <v>0</v>
      </c>
      <c r="PL21" s="44">
        <v>0</v>
      </c>
      <c r="PM21" s="44">
        <v>0</v>
      </c>
      <c r="PN21" s="47">
        <v>0</v>
      </c>
      <c r="PO21" s="45"/>
      <c r="PP21" s="46">
        <v>0</v>
      </c>
      <c r="PQ21" s="44">
        <v>0</v>
      </c>
      <c r="PR21" s="44">
        <v>0</v>
      </c>
      <c r="PS21" s="44">
        <v>0</v>
      </c>
      <c r="PT21" s="47">
        <v>0</v>
      </c>
      <c r="PU21" s="45"/>
      <c r="PV21" s="46">
        <v>0</v>
      </c>
      <c r="PW21" s="44">
        <v>0</v>
      </c>
      <c r="PX21" s="47">
        <v>0</v>
      </c>
      <c r="PY21" s="45"/>
      <c r="PZ21" s="46">
        <v>0</v>
      </c>
      <c r="QA21" s="44">
        <v>0</v>
      </c>
      <c r="QB21" s="47">
        <v>0</v>
      </c>
      <c r="QC21" s="45"/>
      <c r="QD21" s="46">
        <v>0</v>
      </c>
      <c r="QE21" s="44">
        <v>0</v>
      </c>
      <c r="QF21" s="44">
        <v>0</v>
      </c>
      <c r="QG21" s="44">
        <v>0</v>
      </c>
      <c r="QH21" s="47">
        <v>0</v>
      </c>
      <c r="QI21" s="45"/>
      <c r="QJ21" s="46">
        <v>0</v>
      </c>
      <c r="QK21" s="44">
        <v>0</v>
      </c>
      <c r="QL21" s="47">
        <v>0</v>
      </c>
      <c r="QM21" s="45"/>
      <c r="QN21" s="46">
        <v>0</v>
      </c>
      <c r="QO21" s="44">
        <v>0</v>
      </c>
      <c r="QP21" s="44">
        <v>0</v>
      </c>
      <c r="QQ21" s="17">
        <v>94</v>
      </c>
      <c r="QR21" s="47">
        <v>-0.42199999999999699</v>
      </c>
      <c r="QS21" s="45"/>
      <c r="QT21" s="46">
        <v>0</v>
      </c>
      <c r="QU21" s="44">
        <v>0</v>
      </c>
      <c r="QV21" s="47">
        <v>0</v>
      </c>
      <c r="QW21" s="45"/>
      <c r="QX21" s="46">
        <v>0</v>
      </c>
      <c r="QY21" s="44">
        <v>0</v>
      </c>
      <c r="QZ21" s="44">
        <v>12.144</v>
      </c>
      <c r="RA21" s="44">
        <v>10</v>
      </c>
      <c r="RB21" s="47">
        <v>2.1440000000000001</v>
      </c>
      <c r="RC21" s="45"/>
      <c r="RD21" s="42">
        <v>0</v>
      </c>
      <c r="RE21" s="44">
        <v>0</v>
      </c>
      <c r="RF21" s="44">
        <v>0</v>
      </c>
      <c r="RG21" s="44">
        <v>0</v>
      </c>
      <c r="RH21" s="47">
        <v>0</v>
      </c>
      <c r="RI21" s="45"/>
      <c r="RJ21" s="42">
        <v>52.070999999999998</v>
      </c>
      <c r="RK21" s="47">
        <v>50</v>
      </c>
      <c r="RL21" s="47">
        <v>0</v>
      </c>
      <c r="RM21" s="47">
        <v>0</v>
      </c>
      <c r="RN21" s="47">
        <v>2.070999999999998</v>
      </c>
      <c r="RO21" s="43"/>
      <c r="RP21" s="42">
        <v>59.948</v>
      </c>
      <c r="RQ21" s="47">
        <v>55</v>
      </c>
      <c r="RR21" s="47">
        <v>4.9480000000000004</v>
      </c>
      <c r="RS21" s="43"/>
      <c r="RT21" s="42">
        <v>0</v>
      </c>
      <c r="RU21" s="47">
        <v>0</v>
      </c>
      <c r="RV21" s="47">
        <v>0</v>
      </c>
      <c r="RW21" s="47">
        <v>0</v>
      </c>
      <c r="RX21" s="47">
        <v>0</v>
      </c>
      <c r="RY21" s="43"/>
      <c r="RZ21" s="42">
        <v>0</v>
      </c>
      <c r="SA21" s="47">
        <v>0</v>
      </c>
      <c r="SB21" s="47">
        <v>0</v>
      </c>
      <c r="SC21" s="47">
        <v>0</v>
      </c>
      <c r="SD21" s="47">
        <v>0</v>
      </c>
      <c r="SE21" s="43"/>
      <c r="SF21" s="42">
        <v>0</v>
      </c>
      <c r="SG21" s="47">
        <v>0</v>
      </c>
      <c r="SH21" s="47">
        <v>0</v>
      </c>
      <c r="SI21" s="47">
        <v>0</v>
      </c>
      <c r="SJ21" s="47">
        <v>0</v>
      </c>
      <c r="SK21" s="43"/>
      <c r="SL21" s="42">
        <v>103.08</v>
      </c>
      <c r="SM21" s="47">
        <v>100</v>
      </c>
      <c r="SN21" s="47">
        <v>3.0799999999999979</v>
      </c>
      <c r="SO21" s="43"/>
      <c r="SP21" s="42">
        <v>0</v>
      </c>
      <c r="SQ21" s="47">
        <v>0</v>
      </c>
      <c r="SR21" s="47">
        <v>0</v>
      </c>
      <c r="SS21" s="47">
        <v>0</v>
      </c>
      <c r="ST21" s="47">
        <v>0</v>
      </c>
      <c r="SU21" s="43"/>
    </row>
    <row r="22" spans="1:515" x14ac:dyDescent="0.25">
      <c r="A22" s="47" t="s">
        <v>329</v>
      </c>
      <c r="B22" s="41">
        <v>1</v>
      </c>
      <c r="J22" s="42"/>
      <c r="K22" s="51"/>
      <c r="L22" s="51"/>
      <c r="M22" s="51"/>
      <c r="N22" s="51">
        <f t="shared" si="9"/>
        <v>0</v>
      </c>
      <c r="O22" s="43"/>
      <c r="P22" s="46"/>
      <c r="Q22" s="51"/>
      <c r="R22" s="51"/>
      <c r="S22" s="51"/>
      <c r="T22" s="51">
        <f t="shared" si="10"/>
        <v>0</v>
      </c>
      <c r="U22" s="43"/>
      <c r="V22" s="42"/>
      <c r="W22" s="51"/>
      <c r="X22" s="51"/>
      <c r="Y22" s="51"/>
      <c r="Z22" s="51">
        <f t="shared" si="11"/>
        <v>0</v>
      </c>
      <c r="AA22" s="43"/>
      <c r="AB22" s="42"/>
      <c r="AC22" s="51"/>
      <c r="AD22" s="51"/>
      <c r="AE22" s="51"/>
      <c r="AF22" s="51">
        <v>0</v>
      </c>
      <c r="AG22" s="43"/>
      <c r="AH22" s="51"/>
      <c r="AL22" s="47">
        <v>0</v>
      </c>
      <c r="AM22" s="43"/>
      <c r="AN22" s="42"/>
      <c r="AR22" s="47">
        <v>0</v>
      </c>
      <c r="AS22" s="43"/>
      <c r="AX22" s="47">
        <v>0</v>
      </c>
      <c r="AY22" s="43"/>
      <c r="BD22" s="47">
        <v>0</v>
      </c>
      <c r="BE22" s="43"/>
      <c r="BF22" s="42"/>
      <c r="BJ22" s="47">
        <v>0</v>
      </c>
      <c r="BK22" s="43"/>
      <c r="BL22" s="42"/>
      <c r="BP22" s="47">
        <v>0</v>
      </c>
      <c r="BQ22" s="43"/>
      <c r="BV22" s="47">
        <v>0</v>
      </c>
      <c r="BW22" s="43"/>
      <c r="BX22" s="42"/>
      <c r="CB22" s="47">
        <v>0</v>
      </c>
      <c r="CC22" s="43"/>
      <c r="CH22" s="47">
        <v>0</v>
      </c>
      <c r="CI22" s="43"/>
      <c r="CN22" s="47">
        <v>0</v>
      </c>
      <c r="CO22" s="43"/>
      <c r="CP22" s="42"/>
      <c r="CT22" s="47">
        <v>0</v>
      </c>
      <c r="CU22" s="43"/>
      <c r="CV22" s="42"/>
      <c r="CZ22" s="47">
        <v>0</v>
      </c>
      <c r="DA22" s="43"/>
      <c r="DG22" s="47">
        <v>0</v>
      </c>
      <c r="DH22" s="43"/>
      <c r="DK22" s="47">
        <v>0</v>
      </c>
      <c r="DL22" s="43"/>
      <c r="DM22" s="42"/>
      <c r="DQ22" s="47">
        <v>0</v>
      </c>
      <c r="DR22" s="43"/>
      <c r="DW22" s="47">
        <v>0</v>
      </c>
      <c r="DX22" s="43"/>
      <c r="EC22" s="47">
        <v>0</v>
      </c>
      <c r="ED22" s="43"/>
      <c r="EE22" s="42"/>
      <c r="EI22" s="47">
        <v>0</v>
      </c>
      <c r="EJ22" s="43"/>
      <c r="EO22" s="47">
        <v>0</v>
      </c>
      <c r="EP22" s="43"/>
      <c r="EQ22" s="42"/>
      <c r="EU22" s="47">
        <v>0</v>
      </c>
      <c r="EV22" s="43"/>
      <c r="EW22" s="42"/>
      <c r="FC22" s="47">
        <v>0</v>
      </c>
      <c r="FD22" s="43"/>
      <c r="FE22" s="42"/>
      <c r="FI22" s="47">
        <v>0</v>
      </c>
      <c r="FJ22" s="43"/>
      <c r="FQ22" s="47">
        <v>0</v>
      </c>
      <c r="FR22" s="43"/>
      <c r="FS22" s="42"/>
      <c r="FW22" s="47">
        <v>0</v>
      </c>
      <c r="FX22" s="43"/>
      <c r="FY22" s="42"/>
      <c r="GC22" s="47">
        <v>0</v>
      </c>
      <c r="GD22" s="43"/>
      <c r="GE22" s="42"/>
      <c r="GI22" s="47">
        <v>0</v>
      </c>
      <c r="GJ22" s="43"/>
      <c r="GQ22" s="47">
        <v>0</v>
      </c>
      <c r="GR22" s="43"/>
      <c r="GX22" s="47">
        <v>0</v>
      </c>
      <c r="GY22" s="43"/>
      <c r="GZ22" s="42"/>
      <c r="HC22" s="47">
        <v>0</v>
      </c>
      <c r="HD22" s="43"/>
      <c r="HE22" s="42"/>
      <c r="HH22" s="47">
        <v>0</v>
      </c>
      <c r="HI22" s="43"/>
      <c r="HN22" s="47">
        <v>0</v>
      </c>
      <c r="HO22" s="43"/>
      <c r="HP22" s="42"/>
      <c r="HU22" s="47">
        <v>0</v>
      </c>
      <c r="HV22" s="43"/>
      <c r="IA22" s="47">
        <v>0</v>
      </c>
      <c r="IB22" s="43"/>
      <c r="IC22" s="42"/>
      <c r="IG22" s="47">
        <v>0</v>
      </c>
      <c r="IH22" s="43"/>
      <c r="IM22" s="47">
        <v>0</v>
      </c>
      <c r="IN22" s="43"/>
      <c r="IO22" s="42"/>
      <c r="IQ22" s="47">
        <v>0</v>
      </c>
      <c r="IR22" s="43"/>
      <c r="IS22" s="42"/>
      <c r="IW22" s="47">
        <v>0</v>
      </c>
      <c r="IX22" s="43"/>
      <c r="IY22" s="42"/>
      <c r="JA22" s="47">
        <v>0</v>
      </c>
      <c r="JB22" s="43"/>
      <c r="JC22" s="42"/>
      <c r="JG22" s="47">
        <v>0</v>
      </c>
      <c r="JH22" s="43"/>
      <c r="JM22">
        <v>430</v>
      </c>
      <c r="JN22">
        <v>430</v>
      </c>
      <c r="JO22" s="47">
        <v>0</v>
      </c>
      <c r="JP22" s="43"/>
      <c r="JQ22" s="40">
        <v>140</v>
      </c>
      <c r="JR22">
        <v>140</v>
      </c>
      <c r="JS22">
        <v>100</v>
      </c>
      <c r="JT22">
        <v>100</v>
      </c>
      <c r="JU22" s="47">
        <v>0</v>
      </c>
      <c r="JV22" s="43"/>
      <c r="JY22">
        <v>167</v>
      </c>
      <c r="JZ22">
        <v>170</v>
      </c>
      <c r="KA22" s="47">
        <v>-3</v>
      </c>
      <c r="KB22" s="45"/>
      <c r="KC22">
        <v>101</v>
      </c>
      <c r="KD22">
        <v>100</v>
      </c>
      <c r="KE22">
        <v>101</v>
      </c>
      <c r="KF22">
        <v>100</v>
      </c>
      <c r="KG22" s="47">
        <v>2</v>
      </c>
      <c r="KH22" s="45"/>
      <c r="KI22">
        <v>253</v>
      </c>
      <c r="KJ22">
        <v>250</v>
      </c>
      <c r="KK22">
        <v>169</v>
      </c>
      <c r="KL22">
        <v>170</v>
      </c>
      <c r="KM22" s="47">
        <v>2</v>
      </c>
      <c r="KN22" s="45"/>
      <c r="KO22">
        <v>51</v>
      </c>
      <c r="KP22">
        <v>50</v>
      </c>
      <c r="KQ22">
        <v>28</v>
      </c>
      <c r="KR22">
        <v>30</v>
      </c>
      <c r="KS22" s="47">
        <v>-1</v>
      </c>
      <c r="KT22" s="43"/>
      <c r="KU22">
        <v>89</v>
      </c>
      <c r="KV22">
        <v>120</v>
      </c>
      <c r="KW22" s="50">
        <v>-31</v>
      </c>
      <c r="KX22" s="43">
        <v>31</v>
      </c>
      <c r="KY22">
        <v>202</v>
      </c>
      <c r="KZ22">
        <v>200</v>
      </c>
      <c r="LA22">
        <v>162</v>
      </c>
      <c r="LB22">
        <v>162</v>
      </c>
      <c r="LC22" s="47">
        <v>2</v>
      </c>
      <c r="LD22" s="43"/>
      <c r="LE22" s="40">
        <v>28</v>
      </c>
      <c r="LF22" s="44">
        <v>30</v>
      </c>
      <c r="LG22" s="47">
        <v>-2</v>
      </c>
      <c r="LH22" s="45"/>
      <c r="LK22">
        <v>39</v>
      </c>
      <c r="LL22">
        <v>40</v>
      </c>
      <c r="LM22" s="47">
        <v>-1</v>
      </c>
      <c r="LN22" s="45"/>
      <c r="LO22">
        <v>101</v>
      </c>
      <c r="LP22">
        <v>100</v>
      </c>
      <c r="LQ22">
        <v>257</v>
      </c>
      <c r="LR22">
        <v>260</v>
      </c>
      <c r="LS22" s="47">
        <v>-2</v>
      </c>
      <c r="LT22" s="45"/>
      <c r="LW22">
        <v>129</v>
      </c>
      <c r="LX22">
        <v>130</v>
      </c>
      <c r="LY22" s="47">
        <v>-1</v>
      </c>
      <c r="LZ22" s="45"/>
      <c r="MA22">
        <v>73</v>
      </c>
      <c r="MB22">
        <v>70</v>
      </c>
      <c r="MC22">
        <v>101</v>
      </c>
      <c r="MD22">
        <v>100</v>
      </c>
      <c r="ME22" s="47">
        <v>4</v>
      </c>
      <c r="MF22" s="45"/>
      <c r="MG22" s="40">
        <v>78</v>
      </c>
      <c r="MH22">
        <v>80</v>
      </c>
      <c r="MI22">
        <v>100</v>
      </c>
      <c r="MJ22">
        <v>100</v>
      </c>
      <c r="MK22">
        <v>80</v>
      </c>
      <c r="ML22">
        <v>80</v>
      </c>
      <c r="MM22" s="47">
        <v>-2</v>
      </c>
      <c r="MN22" s="45"/>
      <c r="MO22" s="44">
        <v>100.41500000000001</v>
      </c>
      <c r="MP22" s="44">
        <v>100</v>
      </c>
      <c r="MQ22" s="44">
        <v>140.785</v>
      </c>
      <c r="MR22" s="44">
        <v>150</v>
      </c>
      <c r="MS22" s="50">
        <v>-8.8000000000000114</v>
      </c>
      <c r="MT22" s="45">
        <v>8.8000000000000114</v>
      </c>
      <c r="MU22" s="44">
        <v>0</v>
      </c>
      <c r="MV22" s="44">
        <v>0</v>
      </c>
      <c r="MW22" s="44">
        <v>56.728999999999999</v>
      </c>
      <c r="MX22" s="44">
        <v>55</v>
      </c>
      <c r="MY22" s="47">
        <v>1.728999999999999</v>
      </c>
      <c r="MZ22" s="45"/>
      <c r="NA22" s="46">
        <v>22.573</v>
      </c>
      <c r="NB22" s="44">
        <v>22</v>
      </c>
      <c r="NC22" s="47">
        <v>0.5730000000000004</v>
      </c>
      <c r="ND22" s="45"/>
      <c r="NE22" s="46">
        <v>120.77800000000001</v>
      </c>
      <c r="NF22" s="44">
        <v>200</v>
      </c>
      <c r="NG22" s="44">
        <v>213.72</v>
      </c>
      <c r="NH22" s="44">
        <v>0</v>
      </c>
      <c r="NI22" s="44">
        <v>210</v>
      </c>
      <c r="NJ22" s="50">
        <v>-75.50200000000001</v>
      </c>
      <c r="NK22" s="45">
        <v>75.50200000000001</v>
      </c>
      <c r="NL22" s="46">
        <v>117.05500000000001</v>
      </c>
      <c r="NM22" s="44">
        <v>120</v>
      </c>
      <c r="NN22" s="44">
        <v>130.06399999999999</v>
      </c>
      <c r="NO22" s="44">
        <v>130</v>
      </c>
      <c r="NP22" s="47">
        <v>-2.8809999999999998</v>
      </c>
      <c r="NQ22" s="45"/>
      <c r="NR22" s="46">
        <v>39.323999999999998</v>
      </c>
      <c r="NS22" s="44">
        <v>40</v>
      </c>
      <c r="NT22" s="47">
        <v>-0.67600000000000193</v>
      </c>
      <c r="NU22" s="45"/>
      <c r="NV22" s="46">
        <v>0</v>
      </c>
      <c r="NW22" s="44">
        <v>0</v>
      </c>
      <c r="NX22" s="44">
        <v>357.68599999999998</v>
      </c>
      <c r="NY22" s="44">
        <v>360</v>
      </c>
      <c r="NZ22" s="47">
        <v>-2.3140000000000209</v>
      </c>
      <c r="OA22" s="45"/>
      <c r="OB22" s="46">
        <v>0</v>
      </c>
      <c r="OC22" s="44">
        <v>0</v>
      </c>
      <c r="OD22" s="47">
        <v>0</v>
      </c>
      <c r="OE22" s="45"/>
      <c r="OF22" s="46">
        <v>51.320999999999998</v>
      </c>
      <c r="OG22" s="44">
        <v>50</v>
      </c>
      <c r="OH22" s="44">
        <v>566.02800000000002</v>
      </c>
      <c r="OI22" s="44">
        <v>560</v>
      </c>
      <c r="OJ22" s="47">
        <v>7.3490000000000464</v>
      </c>
      <c r="OK22" s="45"/>
      <c r="OL22" s="44">
        <v>0</v>
      </c>
      <c r="OM22" s="43"/>
      <c r="ON22" s="44">
        <v>0</v>
      </c>
      <c r="OO22" s="44">
        <v>0</v>
      </c>
      <c r="OP22" s="47">
        <v>0</v>
      </c>
      <c r="OQ22" s="45"/>
      <c r="OR22" s="46">
        <v>49.235999999999997</v>
      </c>
      <c r="OS22" s="44">
        <v>50</v>
      </c>
      <c r="OT22" s="44">
        <v>145.012</v>
      </c>
      <c r="OU22" s="44">
        <v>150</v>
      </c>
      <c r="OV22" s="47">
        <v>-5.7520000000000104</v>
      </c>
      <c r="OW22" s="45"/>
      <c r="OX22" s="46">
        <v>98.962000000000003</v>
      </c>
      <c r="OY22" s="44">
        <v>50</v>
      </c>
      <c r="OZ22" s="44">
        <v>117.383</v>
      </c>
      <c r="PA22" s="44">
        <v>120</v>
      </c>
      <c r="PB22" s="47">
        <v>46.344999999999999</v>
      </c>
      <c r="PC22" s="45"/>
      <c r="PD22" s="46">
        <v>128.61799999999999</v>
      </c>
      <c r="PE22" s="44">
        <v>130</v>
      </c>
      <c r="PF22" s="44">
        <v>180.333</v>
      </c>
      <c r="PG22" s="44">
        <v>180</v>
      </c>
      <c r="PH22" s="47">
        <v>-1.048999999999978</v>
      </c>
      <c r="PI22" s="45"/>
      <c r="PJ22" s="25">
        <v>116.71</v>
      </c>
      <c r="PK22" s="44">
        <v>0</v>
      </c>
      <c r="PL22" s="44">
        <v>98.301000000000002</v>
      </c>
      <c r="PM22" s="44">
        <v>100</v>
      </c>
      <c r="PN22" s="47">
        <v>115.011</v>
      </c>
      <c r="PO22" s="45"/>
      <c r="PP22" s="46">
        <v>0</v>
      </c>
      <c r="PQ22" s="44">
        <v>0</v>
      </c>
      <c r="PR22" s="44">
        <v>0</v>
      </c>
      <c r="PS22" s="44">
        <v>0</v>
      </c>
      <c r="PT22" s="47">
        <v>0</v>
      </c>
      <c r="PU22" s="45"/>
      <c r="PV22" s="46">
        <v>387.565</v>
      </c>
      <c r="PW22" s="44">
        <v>400</v>
      </c>
      <c r="PX22" s="50">
        <v>-12.435</v>
      </c>
      <c r="PY22" s="45">
        <v>12.435</v>
      </c>
      <c r="PZ22" s="46">
        <v>100.2</v>
      </c>
      <c r="QA22" s="44">
        <v>100</v>
      </c>
      <c r="QB22" s="47">
        <v>0.20000000000000279</v>
      </c>
      <c r="QC22" s="45"/>
      <c r="QD22" s="46">
        <v>98.978999999999999</v>
      </c>
      <c r="QE22" s="44">
        <v>100</v>
      </c>
      <c r="QF22" s="44">
        <v>99.981999999999999</v>
      </c>
      <c r="QG22" s="44">
        <v>100</v>
      </c>
      <c r="QH22" s="47">
        <v>-1.038999999999987</v>
      </c>
      <c r="QI22" s="45"/>
      <c r="QJ22" s="46">
        <v>67.558000000000007</v>
      </c>
      <c r="QK22" s="44">
        <v>65</v>
      </c>
      <c r="QL22" s="47">
        <v>2.5580000000000069</v>
      </c>
      <c r="QM22" s="45"/>
      <c r="QN22" s="46">
        <v>101.005</v>
      </c>
      <c r="QO22" s="44">
        <v>150</v>
      </c>
      <c r="QP22" s="44">
        <v>112.093</v>
      </c>
      <c r="QQ22" s="44">
        <v>113</v>
      </c>
      <c r="QR22" s="50">
        <v>-49.901999999999987</v>
      </c>
      <c r="QS22" s="45">
        <v>49.901999999999987</v>
      </c>
      <c r="QT22" s="46">
        <v>101.389</v>
      </c>
      <c r="QU22" s="44">
        <v>0</v>
      </c>
      <c r="QV22" s="47">
        <v>101.389</v>
      </c>
      <c r="QW22" s="45"/>
      <c r="QX22" s="46">
        <v>0</v>
      </c>
      <c r="QY22" s="44">
        <v>0</v>
      </c>
      <c r="QZ22" s="44">
        <v>185.727</v>
      </c>
      <c r="RA22" s="44">
        <v>183</v>
      </c>
      <c r="RB22" s="47">
        <v>2.7270000000000039</v>
      </c>
      <c r="RC22" s="45"/>
      <c r="RD22" s="42">
        <v>0</v>
      </c>
      <c r="RE22" s="44">
        <v>0</v>
      </c>
      <c r="RF22" s="44">
        <v>72.756</v>
      </c>
      <c r="RG22" s="44">
        <v>72</v>
      </c>
      <c r="RH22" s="47">
        <v>0.75600000000000023</v>
      </c>
      <c r="RI22" s="45"/>
      <c r="RJ22" s="42">
        <v>112.021</v>
      </c>
      <c r="RK22" s="47">
        <v>110</v>
      </c>
      <c r="RL22" s="47">
        <v>98.744</v>
      </c>
      <c r="RM22" s="47">
        <v>100</v>
      </c>
      <c r="RN22" s="47">
        <v>0.76499999999998636</v>
      </c>
      <c r="RO22" s="43"/>
      <c r="RP22" s="42">
        <v>119.273</v>
      </c>
      <c r="RQ22" s="47">
        <v>121</v>
      </c>
      <c r="RR22" s="47">
        <v>-1.7270000000000041</v>
      </c>
      <c r="RS22" s="43"/>
      <c r="RT22" s="42">
        <v>50.179000000000002</v>
      </c>
      <c r="RU22" s="47">
        <v>50</v>
      </c>
      <c r="RV22" s="47">
        <v>51.26</v>
      </c>
      <c r="RW22" s="47">
        <v>50</v>
      </c>
      <c r="RX22" s="47">
        <v>1.438999999999993</v>
      </c>
      <c r="RY22" s="43"/>
      <c r="RZ22" s="42">
        <v>38.767000000000003</v>
      </c>
      <c r="SA22" s="47">
        <v>40</v>
      </c>
      <c r="SB22" s="47">
        <v>39.048000000000002</v>
      </c>
      <c r="SC22" s="47">
        <v>40</v>
      </c>
      <c r="SD22" s="47">
        <v>-2.1850000000000018</v>
      </c>
      <c r="SE22" s="43"/>
      <c r="SF22" s="42">
        <v>139.69900000000001</v>
      </c>
      <c r="SG22" s="47">
        <v>138</v>
      </c>
      <c r="SH22" s="47">
        <v>353.05500000000001</v>
      </c>
      <c r="SI22" s="47">
        <v>180</v>
      </c>
      <c r="SJ22" s="47">
        <v>174.75399999999999</v>
      </c>
      <c r="SK22" s="43"/>
      <c r="SL22" s="42">
        <v>0</v>
      </c>
      <c r="SM22" s="47">
        <v>0</v>
      </c>
      <c r="SN22" s="47">
        <v>0</v>
      </c>
      <c r="SO22" s="43"/>
      <c r="SP22" s="42">
        <v>101.58799999999999</v>
      </c>
      <c r="SQ22" s="47">
        <v>100</v>
      </c>
      <c r="SR22" s="47">
        <v>174.79300000000001</v>
      </c>
      <c r="SS22" s="47">
        <v>183</v>
      </c>
      <c r="ST22" s="47">
        <v>-6.6190000000000282</v>
      </c>
      <c r="SU22" s="43"/>
    </row>
    <row r="23" spans="1:515" x14ac:dyDescent="0.25">
      <c r="A23" s="47" t="s">
        <v>330</v>
      </c>
      <c r="B23" s="41">
        <v>1</v>
      </c>
      <c r="E23">
        <v>18</v>
      </c>
      <c r="F23">
        <v>21</v>
      </c>
      <c r="G23">
        <v>22</v>
      </c>
      <c r="J23" s="40">
        <v>48</v>
      </c>
      <c r="K23" s="52">
        <v>51</v>
      </c>
      <c r="L23" s="52">
        <v>40</v>
      </c>
      <c r="M23" s="52">
        <v>42</v>
      </c>
      <c r="N23" s="51">
        <f t="shared" si="9"/>
        <v>-5</v>
      </c>
      <c r="O23" s="43"/>
      <c r="P23" s="46"/>
      <c r="Q23" s="51"/>
      <c r="R23" s="52">
        <v>36</v>
      </c>
      <c r="S23" s="52">
        <v>37</v>
      </c>
      <c r="T23" s="51">
        <f t="shared" si="10"/>
        <v>-1</v>
      </c>
      <c r="U23" s="43"/>
      <c r="V23" s="42"/>
      <c r="W23" s="51"/>
      <c r="X23" s="51"/>
      <c r="Y23" s="51"/>
      <c r="Z23" s="51">
        <f t="shared" si="11"/>
        <v>0</v>
      </c>
      <c r="AA23" s="43"/>
      <c r="AB23" s="42"/>
      <c r="AC23" s="51"/>
      <c r="AD23" s="52">
        <v>16</v>
      </c>
      <c r="AE23" s="56">
        <v>19</v>
      </c>
      <c r="AF23" s="51">
        <v>-3</v>
      </c>
      <c r="AG23" s="43"/>
      <c r="AH23" s="52">
        <v>49</v>
      </c>
      <c r="AI23">
        <v>50</v>
      </c>
      <c r="AJ23">
        <v>24</v>
      </c>
      <c r="AK23">
        <v>25</v>
      </c>
      <c r="AL23" s="47">
        <v>-2</v>
      </c>
      <c r="AM23" s="43"/>
      <c r="AN23" s="40">
        <v>49</v>
      </c>
      <c r="AO23">
        <v>50</v>
      </c>
      <c r="AP23">
        <v>81</v>
      </c>
      <c r="AQ23">
        <v>82</v>
      </c>
      <c r="AR23" s="47">
        <v>-2</v>
      </c>
      <c r="AS23" s="43"/>
      <c r="AV23">
        <v>12</v>
      </c>
      <c r="AW23">
        <v>12</v>
      </c>
      <c r="AX23" s="47">
        <v>0</v>
      </c>
      <c r="AY23" s="43"/>
      <c r="AZ23">
        <v>32</v>
      </c>
      <c r="BA23">
        <v>30</v>
      </c>
      <c r="BB23">
        <v>41</v>
      </c>
      <c r="BC23">
        <v>39</v>
      </c>
      <c r="BD23" s="47">
        <v>4</v>
      </c>
      <c r="BE23" s="43"/>
      <c r="BF23" s="40">
        <v>49</v>
      </c>
      <c r="BG23">
        <v>50</v>
      </c>
      <c r="BH23">
        <v>65</v>
      </c>
      <c r="BI23">
        <v>66</v>
      </c>
      <c r="BJ23" s="47">
        <v>-2</v>
      </c>
      <c r="BK23" s="43"/>
      <c r="BL23" s="40">
        <v>33</v>
      </c>
      <c r="BM23">
        <v>30</v>
      </c>
      <c r="BN23">
        <v>8</v>
      </c>
      <c r="BO23">
        <v>9</v>
      </c>
      <c r="BP23" s="47">
        <v>2</v>
      </c>
      <c r="BQ23" s="43"/>
      <c r="BV23" s="47">
        <v>0</v>
      </c>
      <c r="BW23" s="43"/>
      <c r="BX23" s="40">
        <v>41</v>
      </c>
      <c r="BY23">
        <v>40</v>
      </c>
      <c r="BZ23">
        <v>86</v>
      </c>
      <c r="CA23">
        <v>84</v>
      </c>
      <c r="CB23" s="47">
        <v>3</v>
      </c>
      <c r="CC23" s="43"/>
      <c r="CH23" s="47">
        <v>0</v>
      </c>
      <c r="CI23" s="43"/>
      <c r="CJ23">
        <v>49</v>
      </c>
      <c r="CK23">
        <v>50</v>
      </c>
      <c r="CL23">
        <v>53</v>
      </c>
      <c r="CM23">
        <v>52</v>
      </c>
      <c r="CN23" s="47">
        <v>0</v>
      </c>
      <c r="CO23" s="43"/>
      <c r="CP23" s="42"/>
      <c r="CR23">
        <v>29</v>
      </c>
      <c r="CS23">
        <v>28</v>
      </c>
      <c r="CT23" s="47">
        <v>1</v>
      </c>
      <c r="CU23" s="43"/>
      <c r="CV23" s="40">
        <v>24</v>
      </c>
      <c r="CW23">
        <v>25</v>
      </c>
      <c r="CZ23" s="47">
        <v>-1</v>
      </c>
      <c r="DA23" s="43"/>
      <c r="DE23">
        <v>107</v>
      </c>
      <c r="DF23">
        <v>103</v>
      </c>
      <c r="DG23" s="47">
        <v>4</v>
      </c>
      <c r="DH23" s="43"/>
      <c r="DK23" s="47">
        <v>0</v>
      </c>
      <c r="DL23" s="43"/>
      <c r="DM23" s="40">
        <v>20</v>
      </c>
      <c r="DN23">
        <v>19</v>
      </c>
      <c r="DO23">
        <v>61</v>
      </c>
      <c r="DP23">
        <v>62</v>
      </c>
      <c r="DQ23" s="47">
        <v>0</v>
      </c>
      <c r="DR23" s="43"/>
      <c r="DU23">
        <v>118</v>
      </c>
      <c r="DV23">
        <v>117</v>
      </c>
      <c r="DW23" s="47">
        <v>1</v>
      </c>
      <c r="DX23" s="43"/>
      <c r="EA23">
        <v>4</v>
      </c>
      <c r="EB23">
        <v>4</v>
      </c>
      <c r="EC23" s="47">
        <v>0</v>
      </c>
      <c r="ED23" s="43"/>
      <c r="EE23" s="42"/>
      <c r="EG23">
        <v>25</v>
      </c>
      <c r="EH23">
        <v>23</v>
      </c>
      <c r="EI23" s="47">
        <v>2</v>
      </c>
      <c r="EJ23" s="43"/>
      <c r="EO23" s="47">
        <v>0</v>
      </c>
      <c r="EP23" s="43"/>
      <c r="EQ23" s="42"/>
      <c r="ES23">
        <v>62</v>
      </c>
      <c r="ET23">
        <v>61</v>
      </c>
      <c r="EU23" s="47">
        <v>1</v>
      </c>
      <c r="EV23" s="43"/>
      <c r="EW23" s="42"/>
      <c r="FA23">
        <v>102</v>
      </c>
      <c r="FB23">
        <v>100</v>
      </c>
      <c r="FC23" s="47">
        <v>2</v>
      </c>
      <c r="FD23" s="43"/>
      <c r="FE23" s="42"/>
      <c r="FI23" s="47">
        <v>0</v>
      </c>
      <c r="FJ23" s="43"/>
      <c r="FM23">
        <v>240</v>
      </c>
      <c r="FN23">
        <v>240</v>
      </c>
      <c r="FQ23" s="47">
        <v>0</v>
      </c>
      <c r="FR23" s="43"/>
      <c r="FS23" s="42"/>
      <c r="FW23" s="47">
        <v>0</v>
      </c>
      <c r="FX23" s="43"/>
      <c r="FY23" s="42"/>
      <c r="GA23">
        <v>146</v>
      </c>
      <c r="GB23">
        <v>145</v>
      </c>
      <c r="GC23" s="47">
        <v>1</v>
      </c>
      <c r="GD23" s="43"/>
      <c r="GE23" s="40">
        <v>32</v>
      </c>
      <c r="GF23">
        <v>32</v>
      </c>
      <c r="GI23" s="47">
        <v>0</v>
      </c>
      <c r="GJ23" s="43"/>
      <c r="GM23">
        <v>49</v>
      </c>
      <c r="GN23">
        <v>50</v>
      </c>
      <c r="GO23">
        <v>49</v>
      </c>
      <c r="GP23">
        <v>50</v>
      </c>
      <c r="GQ23" s="47">
        <v>-2</v>
      </c>
      <c r="GR23" s="43"/>
      <c r="GU23">
        <v>49</v>
      </c>
      <c r="GW23">
        <v>50</v>
      </c>
      <c r="GX23" s="47">
        <v>-1</v>
      </c>
      <c r="GY23" s="43"/>
      <c r="GZ23" s="40">
        <v>69</v>
      </c>
      <c r="HB23" s="44">
        <v>69.717999999999989</v>
      </c>
      <c r="HC23" s="47">
        <v>-0.71799999999998931</v>
      </c>
      <c r="HD23" s="43"/>
      <c r="HE23" s="42"/>
      <c r="HH23" s="47">
        <v>0</v>
      </c>
      <c r="HI23" s="43"/>
      <c r="HJ23">
        <v>40</v>
      </c>
      <c r="HM23">
        <v>40</v>
      </c>
      <c r="HN23" s="47">
        <v>0</v>
      </c>
      <c r="HO23" s="43"/>
      <c r="HP23" s="40">
        <v>41</v>
      </c>
      <c r="HR23">
        <v>40</v>
      </c>
      <c r="HS23">
        <v>52</v>
      </c>
      <c r="HT23">
        <v>54</v>
      </c>
      <c r="HU23" s="47">
        <v>-1</v>
      </c>
      <c r="HV23" s="43"/>
      <c r="IA23" s="47">
        <v>0</v>
      </c>
      <c r="IB23" s="43"/>
      <c r="IC23" s="42"/>
      <c r="IG23" s="47">
        <v>0</v>
      </c>
      <c r="IH23" s="43"/>
      <c r="IM23" s="47">
        <v>0</v>
      </c>
      <c r="IN23" s="43"/>
      <c r="IO23" s="42"/>
      <c r="IQ23" s="47">
        <v>0</v>
      </c>
      <c r="IR23" s="43"/>
      <c r="IS23" s="40">
        <v>101</v>
      </c>
      <c r="IT23">
        <v>100</v>
      </c>
      <c r="IU23">
        <v>162</v>
      </c>
      <c r="IV23">
        <v>160</v>
      </c>
      <c r="IW23" s="47">
        <v>3</v>
      </c>
      <c r="IX23" s="43"/>
      <c r="IY23" s="42"/>
      <c r="JA23" s="47">
        <v>0</v>
      </c>
      <c r="JB23" s="43"/>
      <c r="JC23" s="42"/>
      <c r="JE23">
        <v>41</v>
      </c>
      <c r="JF23">
        <v>40</v>
      </c>
      <c r="JG23" s="47">
        <v>1</v>
      </c>
      <c r="JH23" s="43"/>
      <c r="JM23">
        <v>242</v>
      </c>
      <c r="JN23">
        <v>240</v>
      </c>
      <c r="JO23" s="47">
        <v>2</v>
      </c>
      <c r="JP23" s="43"/>
      <c r="JQ23" s="42"/>
      <c r="JU23" s="47">
        <v>0</v>
      </c>
      <c r="JV23" s="43"/>
      <c r="JY23">
        <v>150</v>
      </c>
      <c r="JZ23">
        <v>150</v>
      </c>
      <c r="KA23" s="47">
        <v>0</v>
      </c>
      <c r="KB23" s="45"/>
      <c r="KC23">
        <v>49</v>
      </c>
      <c r="KD23">
        <v>50</v>
      </c>
      <c r="KE23">
        <v>81</v>
      </c>
      <c r="KF23">
        <v>80</v>
      </c>
      <c r="KG23" s="47">
        <v>0</v>
      </c>
      <c r="KH23" s="45"/>
      <c r="KM23" s="47">
        <v>0</v>
      </c>
      <c r="KN23" s="45"/>
      <c r="KP23">
        <v>100</v>
      </c>
      <c r="KQ23">
        <v>81</v>
      </c>
      <c r="KR23">
        <v>80</v>
      </c>
      <c r="KS23" s="50">
        <v>-99</v>
      </c>
      <c r="KT23" s="43">
        <v>99</v>
      </c>
      <c r="KU23">
        <v>69</v>
      </c>
      <c r="KV23">
        <v>70</v>
      </c>
      <c r="KW23" s="47">
        <v>-1</v>
      </c>
      <c r="KX23" s="45"/>
      <c r="KY23">
        <v>29</v>
      </c>
      <c r="KZ23">
        <v>28</v>
      </c>
      <c r="LC23" s="47">
        <v>1</v>
      </c>
      <c r="LD23" s="43"/>
      <c r="LE23" s="40">
        <v>68</v>
      </c>
      <c r="LF23" s="44">
        <v>70</v>
      </c>
      <c r="LG23" s="47">
        <v>-2</v>
      </c>
      <c r="LH23" s="45"/>
      <c r="LK23">
        <v>110</v>
      </c>
      <c r="LL23">
        <v>110</v>
      </c>
      <c r="LM23" s="47">
        <v>0</v>
      </c>
      <c r="LN23" s="45"/>
      <c r="LQ23">
        <v>56</v>
      </c>
      <c r="LR23">
        <v>55</v>
      </c>
      <c r="LS23" s="47">
        <v>1</v>
      </c>
      <c r="LT23" s="45"/>
      <c r="LW23">
        <v>61</v>
      </c>
      <c r="LX23">
        <v>60</v>
      </c>
      <c r="LY23" s="47">
        <v>1</v>
      </c>
      <c r="LZ23" s="45"/>
      <c r="ME23" s="47">
        <v>0</v>
      </c>
      <c r="MF23" s="45"/>
      <c r="MG23" s="40">
        <v>32</v>
      </c>
      <c r="MH23">
        <v>30</v>
      </c>
      <c r="MI23">
        <v>61</v>
      </c>
      <c r="MJ23">
        <v>60</v>
      </c>
      <c r="MK23">
        <v>48</v>
      </c>
      <c r="ML23">
        <v>50</v>
      </c>
      <c r="MM23" s="47">
        <v>1</v>
      </c>
      <c r="MN23" s="45"/>
      <c r="MO23" s="44">
        <v>0</v>
      </c>
      <c r="MP23" s="44">
        <v>0</v>
      </c>
      <c r="MQ23" s="44">
        <v>16.137</v>
      </c>
      <c r="MR23" s="44">
        <v>15</v>
      </c>
      <c r="MS23" s="47">
        <v>1.137</v>
      </c>
      <c r="MT23" s="45"/>
      <c r="MU23" s="44">
        <v>0</v>
      </c>
      <c r="MV23" s="44">
        <v>0</v>
      </c>
      <c r="MW23" s="44">
        <v>0</v>
      </c>
      <c r="MX23" s="44">
        <v>0</v>
      </c>
      <c r="MY23" s="47">
        <v>0</v>
      </c>
      <c r="MZ23" s="45"/>
      <c r="NA23" s="46">
        <v>32.5</v>
      </c>
      <c r="NB23" s="44">
        <v>30</v>
      </c>
      <c r="NC23" s="47">
        <v>2.5</v>
      </c>
      <c r="ND23" s="45"/>
      <c r="NE23" s="46">
        <v>61.395000000000003</v>
      </c>
      <c r="NF23" s="44">
        <v>60</v>
      </c>
      <c r="NG23" s="44">
        <v>0</v>
      </c>
      <c r="NH23" s="44">
        <v>0</v>
      </c>
      <c r="NI23" s="44">
        <v>0</v>
      </c>
      <c r="NJ23" s="47">
        <v>1.3950000000000029</v>
      </c>
      <c r="NK23" s="45"/>
      <c r="NL23" s="46">
        <v>49.164999999999999</v>
      </c>
      <c r="NM23" s="44">
        <v>50</v>
      </c>
      <c r="NN23" s="44">
        <v>82.15</v>
      </c>
      <c r="NO23" s="44">
        <v>80</v>
      </c>
      <c r="NP23" s="47">
        <v>1.3149999999999979</v>
      </c>
      <c r="NQ23" s="45"/>
      <c r="NR23" s="46">
        <v>29.145</v>
      </c>
      <c r="NS23" s="44">
        <v>27</v>
      </c>
      <c r="NT23" s="47">
        <v>2.145</v>
      </c>
      <c r="NU23" s="45"/>
      <c r="NV23" s="46">
        <v>12.39</v>
      </c>
      <c r="NW23" s="44">
        <v>10</v>
      </c>
      <c r="NX23" s="44">
        <v>12.285</v>
      </c>
      <c r="NY23" s="44">
        <v>10</v>
      </c>
      <c r="NZ23" s="47">
        <v>4.6750000000000007</v>
      </c>
      <c r="OA23" s="45"/>
      <c r="OB23" s="46">
        <v>50.075000000000003</v>
      </c>
      <c r="OC23" s="44">
        <v>50</v>
      </c>
      <c r="OD23" s="47">
        <v>7.5000000000002842E-2</v>
      </c>
      <c r="OE23" s="45"/>
      <c r="OF23" s="46">
        <v>0</v>
      </c>
      <c r="OG23" s="44">
        <v>0</v>
      </c>
      <c r="OH23" s="44">
        <v>0</v>
      </c>
      <c r="OI23" s="44">
        <v>0</v>
      </c>
      <c r="OJ23" s="47">
        <v>0</v>
      </c>
      <c r="OK23" s="45"/>
      <c r="OL23" s="44">
        <v>0</v>
      </c>
      <c r="OM23" s="43"/>
      <c r="ON23" s="44">
        <v>0</v>
      </c>
      <c r="OO23" s="44">
        <v>0</v>
      </c>
      <c r="OP23" s="47">
        <v>0</v>
      </c>
      <c r="OQ23" s="45"/>
      <c r="OR23" s="46">
        <v>0</v>
      </c>
      <c r="OS23" s="44">
        <v>0</v>
      </c>
      <c r="OT23" s="44">
        <v>0</v>
      </c>
      <c r="OU23" s="44">
        <v>0</v>
      </c>
      <c r="OV23" s="47">
        <v>0</v>
      </c>
      <c r="OW23" s="45"/>
      <c r="OX23" s="25">
        <v>82.74</v>
      </c>
      <c r="OY23" s="44">
        <v>0</v>
      </c>
      <c r="OZ23" s="44">
        <v>0</v>
      </c>
      <c r="PA23" s="44">
        <v>0</v>
      </c>
      <c r="PB23" s="47">
        <v>82.74</v>
      </c>
      <c r="PC23" s="45"/>
      <c r="PD23" s="46">
        <v>0</v>
      </c>
      <c r="PE23" s="44">
        <v>0</v>
      </c>
      <c r="PF23" s="44">
        <v>0</v>
      </c>
      <c r="PG23" s="44">
        <v>0</v>
      </c>
      <c r="PH23" s="47">
        <v>0</v>
      </c>
      <c r="PI23" s="45"/>
      <c r="PJ23" s="25">
        <v>124.11</v>
      </c>
      <c r="PK23" s="44">
        <v>0</v>
      </c>
      <c r="PL23" s="44">
        <v>62.1</v>
      </c>
      <c r="PM23" s="44">
        <v>60</v>
      </c>
      <c r="PN23" s="47">
        <v>126.21</v>
      </c>
      <c r="PO23" s="45"/>
      <c r="PP23" s="46">
        <v>0</v>
      </c>
      <c r="PQ23" s="44">
        <v>0</v>
      </c>
      <c r="PR23" s="32">
        <v>153.94499999999999</v>
      </c>
      <c r="PS23" s="44">
        <v>0</v>
      </c>
      <c r="PT23" s="47">
        <v>153.94499999999999</v>
      </c>
      <c r="PU23" s="45"/>
      <c r="PV23" s="46">
        <v>223.19499999999999</v>
      </c>
      <c r="PW23" s="44">
        <v>220</v>
      </c>
      <c r="PX23" s="47">
        <v>3.1949999999999932</v>
      </c>
      <c r="PY23" s="45"/>
      <c r="PZ23" s="46">
        <v>70.180000000000007</v>
      </c>
      <c r="QA23" s="44">
        <v>70</v>
      </c>
      <c r="QB23" s="47">
        <v>0.18000000000000679</v>
      </c>
      <c r="QC23" s="45"/>
      <c r="QD23" s="46">
        <v>0</v>
      </c>
      <c r="QE23" s="44">
        <v>0</v>
      </c>
      <c r="QF23" s="44">
        <v>61.164999999999999</v>
      </c>
      <c r="QG23" s="44">
        <v>60</v>
      </c>
      <c r="QH23" s="47">
        <v>1.1649999999999989</v>
      </c>
      <c r="QI23" s="45"/>
      <c r="QJ23" s="46">
        <v>12.164999999999999</v>
      </c>
      <c r="QK23" s="44">
        <v>10</v>
      </c>
      <c r="QL23" s="47">
        <v>2.1649999999999991</v>
      </c>
      <c r="QM23" s="45"/>
      <c r="QN23" s="46">
        <v>69.724999999999994</v>
      </c>
      <c r="QO23" s="44">
        <v>70</v>
      </c>
      <c r="QP23" s="44">
        <v>60.991</v>
      </c>
      <c r="QQ23" s="44">
        <v>60</v>
      </c>
      <c r="QR23" s="47">
        <v>0.71600000000000819</v>
      </c>
      <c r="QS23" s="45"/>
      <c r="QT23" s="46">
        <v>53.19</v>
      </c>
      <c r="QU23" s="44">
        <v>54</v>
      </c>
      <c r="QV23" s="47">
        <v>-0.81000000000000227</v>
      </c>
      <c r="QW23" s="45"/>
      <c r="QX23" s="46">
        <v>0</v>
      </c>
      <c r="QY23" s="44">
        <v>0</v>
      </c>
      <c r="QZ23" s="44">
        <v>0</v>
      </c>
      <c r="RA23" s="44">
        <v>0</v>
      </c>
      <c r="RB23" s="47">
        <v>0</v>
      </c>
      <c r="RC23" s="45"/>
      <c r="RD23" s="42">
        <v>0</v>
      </c>
      <c r="RE23" s="44">
        <v>0</v>
      </c>
      <c r="RF23" s="44">
        <v>41.104999999999997</v>
      </c>
      <c r="RG23" s="44">
        <v>40</v>
      </c>
      <c r="RH23" s="47">
        <v>1.1049999999999971</v>
      </c>
      <c r="RI23" s="45"/>
      <c r="RJ23" s="42">
        <v>0</v>
      </c>
      <c r="RK23" s="47">
        <v>0</v>
      </c>
      <c r="RL23" s="47">
        <v>48.994999999999997</v>
      </c>
      <c r="RM23" s="47">
        <v>50</v>
      </c>
      <c r="RN23" s="47">
        <v>-1.005000000000003</v>
      </c>
      <c r="RO23" s="43"/>
      <c r="RP23" s="42">
        <v>20.57</v>
      </c>
      <c r="RQ23" s="47">
        <v>20</v>
      </c>
      <c r="RR23" s="47">
        <v>0.57000000000000028</v>
      </c>
      <c r="RS23" s="43"/>
      <c r="RT23" s="42">
        <v>0</v>
      </c>
      <c r="RU23" s="47">
        <v>0</v>
      </c>
      <c r="RV23" s="47">
        <v>0</v>
      </c>
      <c r="RW23" s="47">
        <v>0</v>
      </c>
      <c r="RX23" s="47">
        <v>0</v>
      </c>
      <c r="RY23" s="43"/>
      <c r="RZ23" s="42">
        <v>0</v>
      </c>
      <c r="SA23" s="47">
        <v>0</v>
      </c>
      <c r="SB23" s="47">
        <v>0</v>
      </c>
      <c r="SC23" s="47">
        <v>0</v>
      </c>
      <c r="SD23" s="47">
        <v>0</v>
      </c>
      <c r="SE23" s="43"/>
      <c r="SF23" s="42">
        <v>0</v>
      </c>
      <c r="SG23" s="47">
        <v>0</v>
      </c>
      <c r="SH23" s="47">
        <v>0</v>
      </c>
      <c r="SI23" s="47">
        <v>0</v>
      </c>
      <c r="SJ23" s="47">
        <v>0</v>
      </c>
      <c r="SK23" s="43"/>
      <c r="SL23" s="42">
        <v>0</v>
      </c>
      <c r="SM23" s="47">
        <v>0</v>
      </c>
      <c r="SN23" s="47">
        <v>0</v>
      </c>
      <c r="SO23" s="43"/>
      <c r="SP23" s="42">
        <v>0</v>
      </c>
      <c r="SQ23" s="47">
        <v>0</v>
      </c>
      <c r="SR23" s="47">
        <v>0</v>
      </c>
      <c r="SS23" s="47">
        <v>0</v>
      </c>
      <c r="ST23" s="47">
        <v>0</v>
      </c>
      <c r="SU23" s="43"/>
    </row>
    <row r="24" spans="1:515" x14ac:dyDescent="0.25">
      <c r="A24" s="47" t="s">
        <v>331</v>
      </c>
      <c r="B24" s="41">
        <v>0.25</v>
      </c>
      <c r="E24">
        <v>50</v>
      </c>
      <c r="J24" s="40">
        <v>184</v>
      </c>
      <c r="K24" s="52">
        <v>190</v>
      </c>
      <c r="L24" s="52">
        <v>152</v>
      </c>
      <c r="M24" s="52">
        <v>154</v>
      </c>
      <c r="N24" s="51">
        <f t="shared" si="9"/>
        <v>-8</v>
      </c>
      <c r="O24" s="43"/>
      <c r="P24" s="40">
        <v>48</v>
      </c>
      <c r="Q24" s="52">
        <v>48</v>
      </c>
      <c r="R24" s="52">
        <v>40</v>
      </c>
      <c r="S24" s="52">
        <v>42</v>
      </c>
      <c r="T24" s="51">
        <f t="shared" si="10"/>
        <v>-2</v>
      </c>
      <c r="U24" s="43"/>
      <c r="V24" s="40">
        <v>8</v>
      </c>
      <c r="W24" s="52">
        <v>12</v>
      </c>
      <c r="X24" s="51"/>
      <c r="Y24" s="51"/>
      <c r="Z24" s="51">
        <f t="shared" si="11"/>
        <v>-4</v>
      </c>
      <c r="AA24" s="43"/>
      <c r="AB24" s="42"/>
      <c r="AC24" s="51"/>
      <c r="AD24" s="52">
        <v>176</v>
      </c>
      <c r="AE24" s="56">
        <v>183</v>
      </c>
      <c r="AF24" s="51">
        <v>-7</v>
      </c>
      <c r="AG24" s="43"/>
      <c r="AH24" s="52">
        <v>32</v>
      </c>
      <c r="AI24">
        <v>37</v>
      </c>
      <c r="AL24" s="47">
        <v>-5</v>
      </c>
      <c r="AM24" s="43"/>
      <c r="AN24" s="40">
        <v>32</v>
      </c>
      <c r="AO24">
        <v>32</v>
      </c>
      <c r="AP24">
        <v>56</v>
      </c>
      <c r="AQ24">
        <v>61</v>
      </c>
      <c r="AR24" s="47">
        <v>-5</v>
      </c>
      <c r="AS24" s="43"/>
      <c r="AT24">
        <v>48</v>
      </c>
      <c r="AU24">
        <v>50</v>
      </c>
      <c r="AV24">
        <v>56</v>
      </c>
      <c r="AW24">
        <v>58</v>
      </c>
      <c r="AX24" s="47">
        <v>-4</v>
      </c>
      <c r="AY24" s="43"/>
      <c r="AZ24">
        <v>24</v>
      </c>
      <c r="BA24">
        <v>24</v>
      </c>
      <c r="BB24">
        <v>40</v>
      </c>
      <c r="BC24">
        <v>45</v>
      </c>
      <c r="BD24" s="47">
        <v>-5</v>
      </c>
      <c r="BE24" s="43"/>
      <c r="BF24" s="40">
        <v>24</v>
      </c>
      <c r="BG24">
        <v>24</v>
      </c>
      <c r="BH24">
        <v>40</v>
      </c>
      <c r="BI24">
        <v>40</v>
      </c>
      <c r="BJ24" s="47">
        <v>0</v>
      </c>
      <c r="BK24" s="43"/>
      <c r="BL24" s="40">
        <v>24</v>
      </c>
      <c r="BM24">
        <v>24</v>
      </c>
      <c r="BN24">
        <v>24</v>
      </c>
      <c r="BO24">
        <v>24</v>
      </c>
      <c r="BP24" s="47">
        <v>0</v>
      </c>
      <c r="BQ24" s="43"/>
      <c r="BR24">
        <v>24</v>
      </c>
      <c r="BS24">
        <v>24</v>
      </c>
      <c r="BT24">
        <v>24</v>
      </c>
      <c r="BU24">
        <v>24</v>
      </c>
      <c r="BV24" s="47">
        <v>0</v>
      </c>
      <c r="BW24" s="43"/>
      <c r="BX24" s="40">
        <v>40</v>
      </c>
      <c r="BY24">
        <v>40</v>
      </c>
      <c r="BZ24">
        <v>72</v>
      </c>
      <c r="CA24">
        <v>73</v>
      </c>
      <c r="CB24" s="47">
        <v>-1</v>
      </c>
      <c r="CC24" s="43"/>
      <c r="CF24">
        <v>56</v>
      </c>
      <c r="CG24">
        <v>54</v>
      </c>
      <c r="CH24" s="47">
        <v>2</v>
      </c>
      <c r="CI24" s="43"/>
      <c r="CJ24">
        <v>24</v>
      </c>
      <c r="CK24">
        <v>26</v>
      </c>
      <c r="CN24" s="47">
        <v>-2</v>
      </c>
      <c r="CO24" s="43"/>
      <c r="CP24" s="40">
        <v>48</v>
      </c>
      <c r="CQ24">
        <v>48</v>
      </c>
      <c r="CR24">
        <v>72</v>
      </c>
      <c r="CS24">
        <v>75</v>
      </c>
      <c r="CT24" s="47">
        <v>-3</v>
      </c>
      <c r="CU24" s="43"/>
      <c r="CV24" s="42"/>
      <c r="CZ24" s="47">
        <v>0</v>
      </c>
      <c r="DA24" s="43"/>
      <c r="DB24">
        <v>56</v>
      </c>
      <c r="DC24">
        <v>60</v>
      </c>
      <c r="DE24">
        <v>80</v>
      </c>
      <c r="DF24">
        <v>78</v>
      </c>
      <c r="DG24" s="47">
        <v>-2</v>
      </c>
      <c r="DH24" s="43"/>
      <c r="DK24" s="47">
        <v>0</v>
      </c>
      <c r="DL24" s="43"/>
      <c r="DM24" s="42"/>
      <c r="DQ24" s="47">
        <v>0</v>
      </c>
      <c r="DR24" s="43"/>
      <c r="DS24">
        <v>80</v>
      </c>
      <c r="DT24">
        <v>80</v>
      </c>
      <c r="DU24">
        <v>120</v>
      </c>
      <c r="DV24">
        <v>120</v>
      </c>
      <c r="DW24" s="47">
        <v>0</v>
      </c>
      <c r="DX24" s="43"/>
      <c r="EA24">
        <v>16</v>
      </c>
      <c r="EB24">
        <v>15</v>
      </c>
      <c r="EC24" s="47">
        <v>1</v>
      </c>
      <c r="ED24" s="43"/>
      <c r="EE24" s="42"/>
      <c r="EG24">
        <v>168</v>
      </c>
      <c r="EH24">
        <v>167</v>
      </c>
      <c r="EI24" s="47">
        <v>1</v>
      </c>
      <c r="EJ24" s="43"/>
      <c r="EO24" s="47">
        <v>0</v>
      </c>
      <c r="EP24" s="43"/>
      <c r="EQ24" s="40">
        <v>16</v>
      </c>
      <c r="ER24">
        <v>20</v>
      </c>
      <c r="EU24" s="47">
        <v>-4</v>
      </c>
      <c r="EV24" s="43"/>
      <c r="EW24" s="42"/>
      <c r="FA24">
        <v>112</v>
      </c>
      <c r="FB24">
        <v>110</v>
      </c>
      <c r="FC24" s="47">
        <v>2</v>
      </c>
      <c r="FD24" s="43"/>
      <c r="FE24" s="42"/>
      <c r="FI24" s="47">
        <v>0</v>
      </c>
      <c r="FJ24" s="43"/>
      <c r="FQ24" s="47">
        <v>0</v>
      </c>
      <c r="FR24" s="43"/>
      <c r="FS24" s="42"/>
      <c r="FU24">
        <v>496</v>
      </c>
      <c r="FV24">
        <v>500</v>
      </c>
      <c r="FW24" s="47">
        <v>-4</v>
      </c>
      <c r="FX24" s="43"/>
      <c r="FY24" s="42"/>
      <c r="GA24">
        <v>16</v>
      </c>
      <c r="GB24">
        <v>16</v>
      </c>
      <c r="GC24" s="47">
        <v>0</v>
      </c>
      <c r="GD24" s="43"/>
      <c r="GE24" s="40">
        <v>48</v>
      </c>
      <c r="GF24">
        <v>48</v>
      </c>
      <c r="GG24">
        <v>48</v>
      </c>
      <c r="GH24">
        <v>52</v>
      </c>
      <c r="GI24" s="47">
        <v>-4</v>
      </c>
      <c r="GJ24" s="43"/>
      <c r="GQ24" s="47">
        <v>0</v>
      </c>
      <c r="GR24" s="43"/>
      <c r="GU24">
        <v>72</v>
      </c>
      <c r="GW24">
        <v>70</v>
      </c>
      <c r="GX24" s="47">
        <v>2</v>
      </c>
      <c r="GY24" s="43"/>
      <c r="GZ24" s="42"/>
      <c r="HC24" s="47">
        <v>0</v>
      </c>
      <c r="HD24" s="43"/>
      <c r="HE24" s="40">
        <v>440</v>
      </c>
      <c r="HG24">
        <v>440</v>
      </c>
      <c r="HH24" s="47">
        <v>0</v>
      </c>
      <c r="HI24" s="43"/>
      <c r="HN24" s="47">
        <v>0</v>
      </c>
      <c r="HO24" s="43"/>
      <c r="HP24" s="42"/>
      <c r="HU24" s="47">
        <v>0</v>
      </c>
      <c r="HV24" s="43"/>
      <c r="HW24">
        <v>48</v>
      </c>
      <c r="HX24">
        <v>48</v>
      </c>
      <c r="HY24">
        <v>64</v>
      </c>
      <c r="HZ24">
        <v>62</v>
      </c>
      <c r="IA24" s="47">
        <v>2</v>
      </c>
      <c r="IB24" s="43"/>
      <c r="IC24" s="42"/>
      <c r="IE24">
        <v>224</v>
      </c>
      <c r="IF24">
        <v>228</v>
      </c>
      <c r="IG24" s="47">
        <v>-4</v>
      </c>
      <c r="IH24" s="43"/>
      <c r="IM24" s="47">
        <v>0</v>
      </c>
      <c r="IN24" s="43"/>
      <c r="IO24" s="42"/>
      <c r="IQ24" s="47">
        <v>0</v>
      </c>
      <c r="IR24" s="43"/>
      <c r="IS24" s="40">
        <v>96</v>
      </c>
      <c r="IT24">
        <v>100</v>
      </c>
      <c r="IU24">
        <v>200</v>
      </c>
      <c r="IV24">
        <v>200</v>
      </c>
      <c r="IW24" s="47">
        <v>-4</v>
      </c>
      <c r="IX24" s="43"/>
      <c r="IY24" s="40">
        <v>32</v>
      </c>
      <c r="IZ24">
        <v>32</v>
      </c>
      <c r="JA24" s="47">
        <v>0</v>
      </c>
      <c r="JB24" s="43"/>
      <c r="JC24" s="42"/>
      <c r="JG24" s="47">
        <v>0</v>
      </c>
      <c r="JH24" s="43"/>
      <c r="JM24">
        <v>160</v>
      </c>
      <c r="JN24">
        <v>164</v>
      </c>
      <c r="JO24" s="47">
        <v>-4</v>
      </c>
      <c r="JP24" s="43"/>
      <c r="JQ24" s="42"/>
      <c r="JS24">
        <v>72</v>
      </c>
      <c r="JT24">
        <v>70</v>
      </c>
      <c r="JU24" s="47">
        <v>2</v>
      </c>
      <c r="JV24" s="43"/>
      <c r="JY24">
        <v>32</v>
      </c>
      <c r="JZ24">
        <v>30</v>
      </c>
      <c r="KA24" s="47">
        <v>2</v>
      </c>
      <c r="KB24" s="45"/>
      <c r="KC24">
        <v>48</v>
      </c>
      <c r="KD24">
        <v>50</v>
      </c>
      <c r="KE24">
        <v>96</v>
      </c>
      <c r="KF24">
        <v>100</v>
      </c>
      <c r="KG24" s="47">
        <v>-6</v>
      </c>
      <c r="KH24" s="45"/>
      <c r="KK24">
        <v>56</v>
      </c>
      <c r="KL24">
        <v>60</v>
      </c>
      <c r="KM24" s="47">
        <v>-4</v>
      </c>
      <c r="KN24" s="45"/>
      <c r="KO24">
        <v>16</v>
      </c>
      <c r="KP24">
        <v>20</v>
      </c>
      <c r="KS24" s="47">
        <v>-4</v>
      </c>
      <c r="KT24" s="43"/>
      <c r="KU24">
        <v>56</v>
      </c>
      <c r="KV24">
        <v>60</v>
      </c>
      <c r="KW24" s="47">
        <v>-4</v>
      </c>
      <c r="KX24" s="45"/>
      <c r="KY24">
        <v>56</v>
      </c>
      <c r="KZ24">
        <v>60</v>
      </c>
      <c r="LC24" s="47">
        <v>-4</v>
      </c>
      <c r="LD24" s="43"/>
      <c r="LE24" s="40">
        <v>240</v>
      </c>
      <c r="LF24" s="44">
        <v>240</v>
      </c>
      <c r="LG24" s="47">
        <v>0</v>
      </c>
      <c r="LH24" s="45"/>
      <c r="LK24">
        <v>208</v>
      </c>
      <c r="LL24">
        <v>210</v>
      </c>
      <c r="LM24" s="47">
        <v>-2</v>
      </c>
      <c r="LN24" s="45"/>
      <c r="LO24">
        <v>56</v>
      </c>
      <c r="LP24">
        <v>61</v>
      </c>
      <c r="LS24" s="47">
        <v>-5</v>
      </c>
      <c r="LT24" s="45"/>
      <c r="LU24">
        <v>32</v>
      </c>
      <c r="LV24">
        <v>30</v>
      </c>
      <c r="LY24" s="47">
        <v>2</v>
      </c>
      <c r="LZ24" s="45"/>
      <c r="MA24">
        <v>72</v>
      </c>
      <c r="MB24">
        <v>70</v>
      </c>
      <c r="ME24" s="47">
        <v>2</v>
      </c>
      <c r="MF24" s="45"/>
      <c r="MG24" s="40">
        <v>48</v>
      </c>
      <c r="MH24">
        <v>50</v>
      </c>
      <c r="MI24">
        <v>80</v>
      </c>
      <c r="MJ24">
        <v>80</v>
      </c>
      <c r="MK24">
        <v>48</v>
      </c>
      <c r="ML24">
        <v>50</v>
      </c>
      <c r="MM24" s="47">
        <v>-4</v>
      </c>
      <c r="MN24" s="45"/>
      <c r="MO24" s="44">
        <v>0</v>
      </c>
      <c r="MP24" s="44">
        <v>0</v>
      </c>
      <c r="MQ24" s="44">
        <v>120</v>
      </c>
      <c r="MR24" s="44">
        <v>120</v>
      </c>
      <c r="MS24" s="47">
        <v>0</v>
      </c>
      <c r="MT24" s="45"/>
      <c r="MU24" s="44">
        <v>0</v>
      </c>
      <c r="MV24" s="44">
        <v>0</v>
      </c>
      <c r="MW24" s="44">
        <v>32</v>
      </c>
      <c r="MX24" s="44">
        <v>45</v>
      </c>
      <c r="MY24" s="50">
        <v>-13</v>
      </c>
      <c r="MZ24" s="45">
        <v>3.25</v>
      </c>
      <c r="NA24" s="46">
        <v>0</v>
      </c>
      <c r="NB24" s="44">
        <v>160</v>
      </c>
      <c r="NC24" s="50">
        <v>-160</v>
      </c>
      <c r="ND24" s="45">
        <v>40</v>
      </c>
      <c r="NE24" s="46">
        <v>96</v>
      </c>
      <c r="NF24" s="44">
        <v>100</v>
      </c>
      <c r="NG24" s="44">
        <v>80</v>
      </c>
      <c r="NH24" s="44">
        <v>0</v>
      </c>
      <c r="NI24" s="44">
        <v>90</v>
      </c>
      <c r="NJ24" s="50">
        <v>-14</v>
      </c>
      <c r="NK24" s="45">
        <v>3.5</v>
      </c>
      <c r="NL24" s="46">
        <v>16</v>
      </c>
      <c r="NM24" s="44">
        <v>16</v>
      </c>
      <c r="NN24" s="44">
        <v>0</v>
      </c>
      <c r="NO24" s="44">
        <v>0</v>
      </c>
      <c r="NP24" s="47">
        <v>0</v>
      </c>
      <c r="NQ24" s="45"/>
      <c r="NR24" s="46">
        <v>32</v>
      </c>
      <c r="NS24" s="44">
        <v>35</v>
      </c>
      <c r="NT24" s="47">
        <v>-3</v>
      </c>
      <c r="NU24" s="45"/>
      <c r="NV24" s="46">
        <v>0</v>
      </c>
      <c r="NW24" s="44">
        <v>0</v>
      </c>
      <c r="NX24" s="44">
        <v>152</v>
      </c>
      <c r="NY24" s="44">
        <v>150</v>
      </c>
      <c r="NZ24" s="47">
        <v>2</v>
      </c>
      <c r="OA24" s="45"/>
      <c r="OB24" s="46">
        <v>128</v>
      </c>
      <c r="OC24" s="44">
        <v>130</v>
      </c>
      <c r="OD24" s="47">
        <v>-2</v>
      </c>
      <c r="OE24" s="45"/>
      <c r="OF24" s="46">
        <v>40</v>
      </c>
      <c r="OG24" s="44">
        <v>40</v>
      </c>
      <c r="OH24" s="44">
        <v>176</v>
      </c>
      <c r="OI24" s="44">
        <v>180</v>
      </c>
      <c r="OJ24" s="47">
        <v>-4</v>
      </c>
      <c r="OK24" s="45"/>
      <c r="OL24" s="44">
        <v>0</v>
      </c>
      <c r="OM24" s="43"/>
      <c r="ON24" s="44">
        <v>0</v>
      </c>
      <c r="OO24" s="44">
        <v>0</v>
      </c>
      <c r="OP24" s="47">
        <v>0</v>
      </c>
      <c r="OQ24" s="45"/>
      <c r="OR24" s="46">
        <v>0</v>
      </c>
      <c r="OS24" s="44">
        <v>0</v>
      </c>
      <c r="OT24" s="44">
        <v>0</v>
      </c>
      <c r="OU24" s="44">
        <v>0</v>
      </c>
      <c r="OV24" s="47">
        <v>0</v>
      </c>
      <c r="OW24" s="45"/>
      <c r="OX24" s="46">
        <v>0</v>
      </c>
      <c r="OY24" s="44">
        <v>0</v>
      </c>
      <c r="OZ24" s="44">
        <v>0</v>
      </c>
      <c r="PA24" s="44">
        <v>0</v>
      </c>
      <c r="PB24" s="47">
        <v>0</v>
      </c>
      <c r="PC24" s="45"/>
      <c r="PD24" s="46">
        <v>0</v>
      </c>
      <c r="PE24" s="44">
        <v>0</v>
      </c>
      <c r="PF24" s="44">
        <v>96</v>
      </c>
      <c r="PG24" s="44">
        <v>100</v>
      </c>
      <c r="PH24" s="47">
        <v>-4</v>
      </c>
      <c r="PI24" s="45"/>
      <c r="PJ24" s="46">
        <v>120</v>
      </c>
      <c r="PK24" s="44">
        <v>100</v>
      </c>
      <c r="PL24" s="44">
        <v>248</v>
      </c>
      <c r="PM24" s="44">
        <v>250</v>
      </c>
      <c r="PN24" s="47">
        <v>18</v>
      </c>
      <c r="PO24" s="45"/>
      <c r="PP24" s="46">
        <v>0</v>
      </c>
      <c r="PQ24" s="44">
        <v>0</v>
      </c>
      <c r="PR24" s="44">
        <v>96</v>
      </c>
      <c r="PS24" s="44">
        <v>100</v>
      </c>
      <c r="PT24" s="47">
        <v>-4</v>
      </c>
      <c r="PU24" s="45"/>
      <c r="PV24" s="46">
        <v>296</v>
      </c>
      <c r="PW24" s="44">
        <v>300</v>
      </c>
      <c r="PX24" s="47">
        <v>-4</v>
      </c>
      <c r="PY24" s="45"/>
      <c r="PZ24" s="46">
        <v>0</v>
      </c>
      <c r="QA24" s="44">
        <v>0</v>
      </c>
      <c r="QB24" s="47">
        <v>0</v>
      </c>
      <c r="QC24" s="45"/>
      <c r="QD24" s="46">
        <v>0</v>
      </c>
      <c r="QE24" s="44">
        <v>0</v>
      </c>
      <c r="QF24" s="44">
        <v>48</v>
      </c>
      <c r="QG24" s="44">
        <v>50</v>
      </c>
      <c r="QH24" s="47">
        <v>-2</v>
      </c>
      <c r="QI24" s="45"/>
      <c r="QJ24" s="46">
        <v>48</v>
      </c>
      <c r="QK24" s="44">
        <v>50</v>
      </c>
      <c r="QL24" s="47">
        <v>-2</v>
      </c>
      <c r="QM24" s="45"/>
      <c r="QN24" s="46">
        <v>0</v>
      </c>
      <c r="QO24" s="44">
        <v>0</v>
      </c>
      <c r="QP24" s="44">
        <v>0</v>
      </c>
      <c r="QQ24" s="44">
        <v>0</v>
      </c>
      <c r="QR24" s="47">
        <v>0</v>
      </c>
      <c r="QS24" s="45"/>
      <c r="QT24" s="46">
        <v>0</v>
      </c>
      <c r="QU24" s="44">
        <v>0</v>
      </c>
      <c r="QV24" s="47">
        <v>0</v>
      </c>
      <c r="QW24" s="45"/>
      <c r="QX24" s="46">
        <v>0</v>
      </c>
      <c r="QY24" s="44">
        <v>0</v>
      </c>
      <c r="QZ24" s="44">
        <v>16</v>
      </c>
      <c r="RA24" s="44">
        <v>20</v>
      </c>
      <c r="RB24" s="47">
        <v>-4</v>
      </c>
      <c r="RC24" s="45"/>
      <c r="RD24" s="42">
        <v>112</v>
      </c>
      <c r="RE24" s="44">
        <v>110</v>
      </c>
      <c r="RF24" s="44">
        <v>104</v>
      </c>
      <c r="RG24" s="44">
        <v>105</v>
      </c>
      <c r="RH24" s="47">
        <v>1</v>
      </c>
      <c r="RI24" s="45"/>
      <c r="RJ24" s="42">
        <v>0</v>
      </c>
      <c r="RK24" s="47">
        <v>0</v>
      </c>
      <c r="RL24" s="47">
        <v>0</v>
      </c>
      <c r="RM24" s="47">
        <v>0</v>
      </c>
      <c r="RN24" s="47">
        <v>0</v>
      </c>
      <c r="RO24" s="43"/>
      <c r="RP24" s="42">
        <v>0</v>
      </c>
      <c r="RQ24" s="47">
        <v>0</v>
      </c>
      <c r="RR24" s="47">
        <v>0</v>
      </c>
      <c r="RS24" s="43"/>
      <c r="RT24" s="42">
        <v>0</v>
      </c>
      <c r="RU24" s="47">
        <v>0</v>
      </c>
      <c r="RV24" s="47">
        <v>0</v>
      </c>
      <c r="RW24" s="47">
        <v>0</v>
      </c>
      <c r="RX24" s="47">
        <v>0</v>
      </c>
      <c r="RY24" s="43"/>
      <c r="RZ24" s="42">
        <v>32</v>
      </c>
      <c r="SA24" s="47">
        <v>30</v>
      </c>
      <c r="SB24" s="47">
        <v>0</v>
      </c>
      <c r="SC24" s="47">
        <v>0</v>
      </c>
      <c r="SD24" s="47">
        <v>2</v>
      </c>
      <c r="SE24" s="43"/>
      <c r="SF24" s="42">
        <v>120</v>
      </c>
      <c r="SG24" s="47">
        <v>122</v>
      </c>
      <c r="SH24" s="47">
        <v>96</v>
      </c>
      <c r="SI24" s="47">
        <v>0</v>
      </c>
      <c r="SJ24" s="47">
        <v>94</v>
      </c>
      <c r="SK24" s="43"/>
      <c r="SL24" s="42">
        <v>0</v>
      </c>
      <c r="SM24" s="47">
        <v>0</v>
      </c>
      <c r="SN24" s="47">
        <v>0</v>
      </c>
      <c r="SO24" s="43"/>
      <c r="SP24" s="42">
        <v>0</v>
      </c>
      <c r="SQ24" s="47">
        <v>0</v>
      </c>
      <c r="SR24" s="47">
        <v>128</v>
      </c>
      <c r="SS24" s="47">
        <v>130</v>
      </c>
      <c r="ST24" s="47">
        <v>-2</v>
      </c>
      <c r="SU24" s="43"/>
    </row>
    <row r="25" spans="1:515" x14ac:dyDescent="0.25">
      <c r="A25" s="47" t="s">
        <v>332</v>
      </c>
      <c r="B25" s="41">
        <v>0.4</v>
      </c>
      <c r="E25">
        <v>211</v>
      </c>
      <c r="F25">
        <v>258</v>
      </c>
      <c r="G25">
        <v>259</v>
      </c>
      <c r="J25" s="40">
        <v>174</v>
      </c>
      <c r="K25" s="52">
        <v>174</v>
      </c>
      <c r="L25" s="52">
        <v>138</v>
      </c>
      <c r="M25" s="52">
        <v>141</v>
      </c>
      <c r="N25" s="51">
        <f t="shared" si="9"/>
        <v>-3</v>
      </c>
      <c r="O25" s="43"/>
      <c r="P25" s="40">
        <v>162</v>
      </c>
      <c r="Q25" s="52">
        <v>162</v>
      </c>
      <c r="R25" s="52">
        <v>138</v>
      </c>
      <c r="S25" s="52">
        <v>138</v>
      </c>
      <c r="T25" s="51">
        <f t="shared" si="10"/>
        <v>0</v>
      </c>
      <c r="U25" s="43"/>
      <c r="V25" s="40">
        <v>108</v>
      </c>
      <c r="W25" s="52">
        <v>108</v>
      </c>
      <c r="X25" s="51"/>
      <c r="Y25" s="51"/>
      <c r="Z25" s="51">
        <f t="shared" si="11"/>
        <v>0</v>
      </c>
      <c r="AA25" s="43"/>
      <c r="AB25" s="40">
        <v>156</v>
      </c>
      <c r="AC25" s="56">
        <v>156.52173913043481</v>
      </c>
      <c r="AD25" s="52">
        <v>198</v>
      </c>
      <c r="AE25" s="56">
        <v>203.47826086956519</v>
      </c>
      <c r="AF25" s="51">
        <v>-6</v>
      </c>
      <c r="AG25" s="43"/>
      <c r="AH25" s="52">
        <v>54</v>
      </c>
      <c r="AI25">
        <v>57</v>
      </c>
      <c r="AJ25">
        <v>42</v>
      </c>
      <c r="AK25">
        <v>45</v>
      </c>
      <c r="AL25" s="47">
        <v>-6</v>
      </c>
      <c r="AM25" s="43"/>
      <c r="AN25" s="42"/>
      <c r="AP25">
        <v>12</v>
      </c>
      <c r="AQ25">
        <v>12</v>
      </c>
      <c r="AR25" s="47">
        <v>0</v>
      </c>
      <c r="AS25" s="43"/>
      <c r="AT25">
        <v>198</v>
      </c>
      <c r="AU25">
        <v>200</v>
      </c>
      <c r="AV25">
        <v>198</v>
      </c>
      <c r="AW25">
        <v>202</v>
      </c>
      <c r="AX25" s="47">
        <v>-6</v>
      </c>
      <c r="AY25" s="43"/>
      <c r="AZ25">
        <v>162</v>
      </c>
      <c r="BA25">
        <v>160</v>
      </c>
      <c r="BB25">
        <v>180</v>
      </c>
      <c r="BC25">
        <v>181</v>
      </c>
      <c r="BD25" s="47">
        <v>1</v>
      </c>
      <c r="BE25" s="43"/>
      <c r="BF25" s="42"/>
      <c r="BG25">
        <v>48</v>
      </c>
      <c r="BH25">
        <v>36</v>
      </c>
      <c r="BI25">
        <v>34</v>
      </c>
      <c r="BJ25" s="50">
        <v>-46</v>
      </c>
      <c r="BK25" s="43">
        <v>18.399999999999999</v>
      </c>
      <c r="BL25" s="40">
        <v>102</v>
      </c>
      <c r="BM25">
        <v>100</v>
      </c>
      <c r="BN25">
        <v>78</v>
      </c>
      <c r="BO25">
        <v>80</v>
      </c>
      <c r="BP25" s="47">
        <v>0</v>
      </c>
      <c r="BQ25" s="43"/>
      <c r="BR25">
        <v>102</v>
      </c>
      <c r="BS25">
        <v>100</v>
      </c>
      <c r="BT25">
        <v>90</v>
      </c>
      <c r="BU25">
        <v>88</v>
      </c>
      <c r="BV25" s="47">
        <v>4</v>
      </c>
      <c r="BW25" s="43"/>
      <c r="BX25" s="40">
        <v>120</v>
      </c>
      <c r="BY25">
        <v>120</v>
      </c>
      <c r="BZ25">
        <v>168</v>
      </c>
      <c r="CA25">
        <v>169</v>
      </c>
      <c r="CB25" s="47">
        <v>-1</v>
      </c>
      <c r="CC25" s="43"/>
      <c r="CD25">
        <v>162</v>
      </c>
      <c r="CE25">
        <v>160</v>
      </c>
      <c r="CF25">
        <v>174</v>
      </c>
      <c r="CG25">
        <v>173</v>
      </c>
      <c r="CH25" s="47">
        <v>3</v>
      </c>
      <c r="CI25" s="43"/>
      <c r="CJ25">
        <v>48</v>
      </c>
      <c r="CK25">
        <v>80</v>
      </c>
      <c r="CL25">
        <v>90</v>
      </c>
      <c r="CM25">
        <v>93</v>
      </c>
      <c r="CN25" s="50">
        <v>-35</v>
      </c>
      <c r="CO25" s="43">
        <v>14</v>
      </c>
      <c r="CP25" s="42"/>
      <c r="CQ25">
        <v>130</v>
      </c>
      <c r="CR25">
        <v>174</v>
      </c>
      <c r="CS25">
        <v>177</v>
      </c>
      <c r="CT25" s="50">
        <v>-133</v>
      </c>
      <c r="CU25" s="43">
        <v>53.2</v>
      </c>
      <c r="CV25" s="42"/>
      <c r="CZ25" s="47">
        <v>0</v>
      </c>
      <c r="DA25" s="43"/>
      <c r="DB25">
        <v>252</v>
      </c>
      <c r="DC25">
        <v>250</v>
      </c>
      <c r="DE25">
        <v>264</v>
      </c>
      <c r="DF25">
        <v>265</v>
      </c>
      <c r="DG25" s="47">
        <v>1</v>
      </c>
      <c r="DH25" s="43"/>
      <c r="DI25">
        <v>60</v>
      </c>
      <c r="DJ25">
        <v>60</v>
      </c>
      <c r="DK25" s="47">
        <v>0</v>
      </c>
      <c r="DL25" s="43"/>
      <c r="DM25" s="40">
        <v>84</v>
      </c>
      <c r="DN25">
        <v>82</v>
      </c>
      <c r="DO25">
        <v>294</v>
      </c>
      <c r="DP25">
        <v>294</v>
      </c>
      <c r="DQ25" s="47">
        <v>2</v>
      </c>
      <c r="DR25" s="43"/>
      <c r="DS25">
        <v>90</v>
      </c>
      <c r="DT25">
        <v>90</v>
      </c>
      <c r="DU25">
        <v>102</v>
      </c>
      <c r="DV25">
        <v>105</v>
      </c>
      <c r="DW25" s="47">
        <v>-3</v>
      </c>
      <c r="DX25" s="43"/>
      <c r="EC25" s="47">
        <v>0</v>
      </c>
      <c r="ED25" s="43"/>
      <c r="EE25" s="42"/>
      <c r="EG25">
        <v>102</v>
      </c>
      <c r="EH25">
        <v>100</v>
      </c>
      <c r="EI25" s="47">
        <v>2</v>
      </c>
      <c r="EJ25" s="43"/>
      <c r="EK25">
        <v>198</v>
      </c>
      <c r="EL25">
        <v>200</v>
      </c>
      <c r="EM25">
        <v>240</v>
      </c>
      <c r="EN25">
        <v>240</v>
      </c>
      <c r="EO25" s="47">
        <v>-2</v>
      </c>
      <c r="EP25" s="43"/>
      <c r="EQ25" s="40">
        <v>78</v>
      </c>
      <c r="ER25">
        <v>80</v>
      </c>
      <c r="EU25" s="47">
        <v>-2</v>
      </c>
      <c r="EV25" s="43"/>
      <c r="EW25" s="42"/>
      <c r="FA25">
        <v>90</v>
      </c>
      <c r="FB25">
        <v>90</v>
      </c>
      <c r="FC25" s="47">
        <v>0</v>
      </c>
      <c r="FD25" s="43"/>
      <c r="FE25" s="42"/>
      <c r="FG25">
        <v>108</v>
      </c>
      <c r="FH25">
        <v>110</v>
      </c>
      <c r="FI25" s="47">
        <v>-2</v>
      </c>
      <c r="FJ25" s="43"/>
      <c r="FK25">
        <v>150</v>
      </c>
      <c r="FL25">
        <v>150</v>
      </c>
      <c r="FM25">
        <v>300</v>
      </c>
      <c r="FN25">
        <v>300</v>
      </c>
      <c r="FQ25" s="47">
        <v>0</v>
      </c>
      <c r="FR25" s="43"/>
      <c r="FS25" s="42"/>
      <c r="FW25" s="47">
        <v>0</v>
      </c>
      <c r="FX25" s="43"/>
      <c r="FY25" s="40">
        <v>198</v>
      </c>
      <c r="FZ25">
        <v>200</v>
      </c>
      <c r="GA25">
        <v>258</v>
      </c>
      <c r="GB25">
        <v>260</v>
      </c>
      <c r="GC25" s="47">
        <v>-4</v>
      </c>
      <c r="GD25" s="43"/>
      <c r="GE25" s="42"/>
      <c r="GI25" s="47">
        <v>0</v>
      </c>
      <c r="GJ25" s="43"/>
      <c r="GK25">
        <v>102</v>
      </c>
      <c r="GL25">
        <v>100</v>
      </c>
      <c r="GM25">
        <v>120</v>
      </c>
      <c r="GN25">
        <v>120</v>
      </c>
      <c r="GO25">
        <v>132</v>
      </c>
      <c r="GP25">
        <v>135</v>
      </c>
      <c r="GQ25" s="47">
        <v>-1</v>
      </c>
      <c r="GR25" s="43"/>
      <c r="GU25">
        <v>60</v>
      </c>
      <c r="GW25">
        <v>60</v>
      </c>
      <c r="GX25" s="47">
        <v>0</v>
      </c>
      <c r="GY25" s="43"/>
      <c r="GZ25" s="40">
        <v>72</v>
      </c>
      <c r="HB25" s="44">
        <v>70</v>
      </c>
      <c r="HC25" s="47">
        <v>2</v>
      </c>
      <c r="HD25" s="43"/>
      <c r="HE25" s="40">
        <v>90</v>
      </c>
      <c r="HG25">
        <v>92</v>
      </c>
      <c r="HH25" s="47">
        <v>-2</v>
      </c>
      <c r="HI25" s="43"/>
      <c r="HJ25">
        <v>132</v>
      </c>
      <c r="HM25">
        <v>130</v>
      </c>
      <c r="HN25" s="47">
        <v>2</v>
      </c>
      <c r="HO25" s="43"/>
      <c r="HP25" s="40">
        <v>108</v>
      </c>
      <c r="HR25">
        <v>110</v>
      </c>
      <c r="HS25">
        <v>108</v>
      </c>
      <c r="HT25">
        <v>110</v>
      </c>
      <c r="HU25" s="47">
        <v>-4</v>
      </c>
      <c r="HV25" s="43"/>
      <c r="HY25">
        <v>126</v>
      </c>
      <c r="HZ25">
        <v>126</v>
      </c>
      <c r="IA25" s="47">
        <v>0</v>
      </c>
      <c r="IB25" s="43"/>
      <c r="IC25" s="42"/>
      <c r="IE25">
        <v>168</v>
      </c>
      <c r="IF25">
        <v>170</v>
      </c>
      <c r="IG25" s="47">
        <v>-2</v>
      </c>
      <c r="IH25" s="43"/>
      <c r="II25">
        <v>72</v>
      </c>
      <c r="IJ25">
        <v>70</v>
      </c>
      <c r="IK25">
        <v>78</v>
      </c>
      <c r="IL25">
        <v>80</v>
      </c>
      <c r="IM25" s="47">
        <v>0</v>
      </c>
      <c r="IN25" s="43"/>
      <c r="IO25" s="42"/>
      <c r="IQ25" s="47">
        <v>0</v>
      </c>
      <c r="IR25" s="43"/>
      <c r="IS25" s="42"/>
      <c r="IU25">
        <v>120</v>
      </c>
      <c r="IV25">
        <v>120</v>
      </c>
      <c r="IW25" s="47">
        <v>0</v>
      </c>
      <c r="IX25" s="43"/>
      <c r="IY25" s="42"/>
      <c r="JA25" s="47">
        <v>0</v>
      </c>
      <c r="JB25" s="43"/>
      <c r="JC25" s="40">
        <v>120</v>
      </c>
      <c r="JD25">
        <v>120</v>
      </c>
      <c r="JE25">
        <v>180</v>
      </c>
      <c r="JF25">
        <v>180</v>
      </c>
      <c r="JG25" s="47">
        <v>0</v>
      </c>
      <c r="JH25" s="43"/>
      <c r="JM25">
        <v>198</v>
      </c>
      <c r="JN25">
        <v>200</v>
      </c>
      <c r="JO25" s="47">
        <v>-2</v>
      </c>
      <c r="JP25" s="43"/>
      <c r="JQ25" s="42"/>
      <c r="JR25">
        <v>100</v>
      </c>
      <c r="JS25">
        <v>90</v>
      </c>
      <c r="JT25">
        <v>90</v>
      </c>
      <c r="JU25" s="50">
        <v>-100</v>
      </c>
      <c r="JV25" s="45">
        <v>40</v>
      </c>
      <c r="JY25">
        <v>102</v>
      </c>
      <c r="JZ25">
        <v>100</v>
      </c>
      <c r="KA25" s="47">
        <v>2</v>
      </c>
      <c r="KB25" s="45"/>
      <c r="KC25">
        <v>102</v>
      </c>
      <c r="KD25">
        <v>100</v>
      </c>
      <c r="KE25">
        <v>102</v>
      </c>
      <c r="KF25">
        <v>100</v>
      </c>
      <c r="KG25" s="47">
        <v>4</v>
      </c>
      <c r="KH25" s="45"/>
      <c r="KI25">
        <v>102</v>
      </c>
      <c r="KJ25">
        <v>100</v>
      </c>
      <c r="KM25" s="47">
        <v>2</v>
      </c>
      <c r="KN25" s="45"/>
      <c r="KO25">
        <v>168</v>
      </c>
      <c r="KP25">
        <v>170</v>
      </c>
      <c r="KQ25">
        <v>132</v>
      </c>
      <c r="KR25">
        <v>130</v>
      </c>
      <c r="KS25" s="47">
        <v>0</v>
      </c>
      <c r="KT25" s="43"/>
      <c r="KV25">
        <v>50</v>
      </c>
      <c r="KW25" s="50">
        <v>-50</v>
      </c>
      <c r="KX25" s="43">
        <v>20</v>
      </c>
      <c r="KY25">
        <v>120</v>
      </c>
      <c r="KZ25">
        <v>120</v>
      </c>
      <c r="LA25">
        <v>90</v>
      </c>
      <c r="LB25">
        <v>92</v>
      </c>
      <c r="LC25" s="47">
        <v>-2</v>
      </c>
      <c r="LD25" s="43"/>
      <c r="LE25" s="46"/>
      <c r="LG25" s="47">
        <v>0</v>
      </c>
      <c r="LH25" s="45"/>
      <c r="LK25">
        <v>252</v>
      </c>
      <c r="LL25">
        <v>250</v>
      </c>
      <c r="LM25" s="47">
        <v>2</v>
      </c>
      <c r="LN25" s="45"/>
      <c r="LO25">
        <v>60</v>
      </c>
      <c r="LP25">
        <v>60</v>
      </c>
      <c r="LQ25">
        <v>102</v>
      </c>
      <c r="LR25">
        <v>100</v>
      </c>
      <c r="LS25" s="47">
        <v>2</v>
      </c>
      <c r="LT25" s="45"/>
      <c r="LW25">
        <v>24</v>
      </c>
      <c r="LX25">
        <v>24</v>
      </c>
      <c r="LY25" s="47">
        <v>0</v>
      </c>
      <c r="LZ25" s="45"/>
      <c r="MA25">
        <v>42</v>
      </c>
      <c r="MB25">
        <v>50</v>
      </c>
      <c r="MC25">
        <v>192</v>
      </c>
      <c r="MD25">
        <v>190</v>
      </c>
      <c r="ME25" s="47">
        <v>-6</v>
      </c>
      <c r="MF25" s="45"/>
      <c r="MG25" s="46"/>
      <c r="MK25">
        <v>72</v>
      </c>
      <c r="ML25">
        <v>120</v>
      </c>
      <c r="MM25" s="50">
        <v>-48</v>
      </c>
      <c r="MN25" s="45">
        <v>19.2</v>
      </c>
      <c r="MO25" s="44">
        <v>0</v>
      </c>
      <c r="MP25" s="44">
        <v>0</v>
      </c>
      <c r="MQ25" s="44">
        <v>192</v>
      </c>
      <c r="MR25" s="44">
        <v>190</v>
      </c>
      <c r="MS25" s="47">
        <v>2</v>
      </c>
      <c r="MT25" s="45"/>
      <c r="MU25" s="44">
        <v>0</v>
      </c>
      <c r="MV25" s="44">
        <v>0</v>
      </c>
      <c r="MW25" s="44">
        <v>30</v>
      </c>
      <c r="MX25" s="44">
        <v>30</v>
      </c>
      <c r="MY25" s="47">
        <v>0</v>
      </c>
      <c r="MZ25" s="45"/>
      <c r="NA25" s="46">
        <v>42</v>
      </c>
      <c r="NB25" s="44">
        <v>45</v>
      </c>
      <c r="NC25" s="47">
        <v>-3</v>
      </c>
      <c r="ND25" s="45"/>
      <c r="NE25" s="46">
        <v>78</v>
      </c>
      <c r="NF25" s="44">
        <v>80</v>
      </c>
      <c r="NG25" s="44">
        <v>78</v>
      </c>
      <c r="NH25" s="44">
        <v>0</v>
      </c>
      <c r="NI25" s="44">
        <v>80</v>
      </c>
      <c r="NJ25" s="47">
        <v>-4</v>
      </c>
      <c r="NK25" s="45"/>
      <c r="NL25" s="46">
        <v>30</v>
      </c>
      <c r="NM25" s="44">
        <v>30</v>
      </c>
      <c r="NN25" s="44">
        <v>30</v>
      </c>
      <c r="NO25" s="44">
        <v>30</v>
      </c>
      <c r="NP25" s="47">
        <v>0</v>
      </c>
      <c r="NQ25" s="45"/>
      <c r="NR25" s="46">
        <v>60</v>
      </c>
      <c r="NS25" s="44">
        <v>60</v>
      </c>
      <c r="NT25" s="47">
        <v>0</v>
      </c>
      <c r="NU25" s="45"/>
      <c r="NV25" s="46">
        <v>0</v>
      </c>
      <c r="NW25" s="44">
        <v>0</v>
      </c>
      <c r="NX25" s="44">
        <v>18</v>
      </c>
      <c r="NY25" s="44">
        <v>18</v>
      </c>
      <c r="NZ25" s="47">
        <v>0</v>
      </c>
      <c r="OA25" s="45"/>
      <c r="OB25" s="46">
        <v>90</v>
      </c>
      <c r="OC25" s="44">
        <v>90</v>
      </c>
      <c r="OD25" s="47">
        <v>0</v>
      </c>
      <c r="OE25" s="45"/>
      <c r="OF25" s="46">
        <v>0</v>
      </c>
      <c r="OG25" s="44">
        <v>0</v>
      </c>
      <c r="OH25" s="44">
        <v>42</v>
      </c>
      <c r="OI25" s="44">
        <v>45</v>
      </c>
      <c r="OJ25" s="47">
        <v>-3</v>
      </c>
      <c r="OK25" s="45"/>
      <c r="OL25" s="44">
        <v>0</v>
      </c>
      <c r="OM25" s="43"/>
      <c r="ON25" s="44">
        <v>42</v>
      </c>
      <c r="OO25" s="44">
        <v>42</v>
      </c>
      <c r="OP25" s="47">
        <v>0</v>
      </c>
      <c r="OQ25" s="45"/>
      <c r="OR25" s="46">
        <v>0</v>
      </c>
      <c r="OS25" s="44">
        <v>0</v>
      </c>
      <c r="OT25" s="44">
        <v>18</v>
      </c>
      <c r="OU25" s="44">
        <v>18</v>
      </c>
      <c r="OV25" s="47">
        <v>0</v>
      </c>
      <c r="OW25" s="45"/>
      <c r="OX25" s="46">
        <v>0</v>
      </c>
      <c r="OY25" s="44">
        <v>0</v>
      </c>
      <c r="OZ25" s="44">
        <v>30</v>
      </c>
      <c r="PA25" s="44">
        <v>32</v>
      </c>
      <c r="PB25" s="47">
        <v>-2</v>
      </c>
      <c r="PC25" s="45"/>
      <c r="PD25" s="46">
        <v>0</v>
      </c>
      <c r="PE25" s="44">
        <v>0</v>
      </c>
      <c r="PF25" s="44">
        <v>48</v>
      </c>
      <c r="PG25" s="44">
        <v>50</v>
      </c>
      <c r="PH25" s="47">
        <v>-2</v>
      </c>
      <c r="PI25" s="45"/>
      <c r="PJ25" s="46">
        <v>0</v>
      </c>
      <c r="PK25" s="44">
        <v>0</v>
      </c>
      <c r="PL25" s="44">
        <v>12</v>
      </c>
      <c r="PM25" s="44">
        <v>10</v>
      </c>
      <c r="PN25" s="47">
        <v>2</v>
      </c>
      <c r="PO25" s="45"/>
      <c r="PP25" s="46">
        <v>0</v>
      </c>
      <c r="PQ25" s="44">
        <v>0</v>
      </c>
      <c r="PR25" s="44">
        <v>0</v>
      </c>
      <c r="PS25" s="44">
        <v>0</v>
      </c>
      <c r="PT25" s="47">
        <v>0</v>
      </c>
      <c r="PU25" s="45"/>
      <c r="PV25" s="46">
        <v>0</v>
      </c>
      <c r="PW25" s="44">
        <v>0</v>
      </c>
      <c r="PX25" s="47">
        <v>0</v>
      </c>
      <c r="PY25" s="45"/>
      <c r="PZ25" s="46">
        <v>0</v>
      </c>
      <c r="QA25" s="44">
        <v>0</v>
      </c>
      <c r="QB25" s="47">
        <v>0</v>
      </c>
      <c r="QC25" s="45"/>
      <c r="QD25" s="46">
        <v>0</v>
      </c>
      <c r="QE25" s="44">
        <v>0</v>
      </c>
      <c r="QF25" s="44">
        <v>0</v>
      </c>
      <c r="QG25" s="44">
        <v>0</v>
      </c>
      <c r="QH25" s="47">
        <v>0</v>
      </c>
      <c r="QI25" s="45"/>
      <c r="QJ25" s="46">
        <v>78</v>
      </c>
      <c r="QK25" s="44">
        <v>80</v>
      </c>
      <c r="QL25" s="47">
        <v>-2</v>
      </c>
      <c r="QM25" s="45"/>
      <c r="QN25" s="46">
        <v>0</v>
      </c>
      <c r="QO25" s="44">
        <v>0</v>
      </c>
      <c r="QP25" s="44">
        <v>42</v>
      </c>
      <c r="QQ25" s="44">
        <v>40</v>
      </c>
      <c r="QR25" s="47">
        <v>2</v>
      </c>
      <c r="QS25" s="45"/>
      <c r="QT25" s="46">
        <v>0</v>
      </c>
      <c r="QU25" s="44">
        <v>0</v>
      </c>
      <c r="QV25" s="47">
        <v>0</v>
      </c>
      <c r="QW25" s="45"/>
      <c r="QX25" s="46">
        <v>0</v>
      </c>
      <c r="QY25" s="44">
        <v>0</v>
      </c>
      <c r="QZ25" s="17">
        <v>36</v>
      </c>
      <c r="RA25" s="44">
        <v>0</v>
      </c>
      <c r="RB25" s="47">
        <v>0</v>
      </c>
      <c r="RC25" s="45"/>
      <c r="RD25" s="42"/>
      <c r="RE25" s="44"/>
      <c r="RG25" s="44"/>
      <c r="RI25" s="45"/>
      <c r="RJ25" s="42"/>
      <c r="RO25" s="43"/>
      <c r="RP25" s="42"/>
      <c r="RS25" s="43"/>
      <c r="RT25" s="42"/>
      <c r="RY25" s="43"/>
      <c r="RZ25" s="42"/>
      <c r="SE25" s="43"/>
      <c r="SF25" s="42"/>
      <c r="SK25" s="43"/>
      <c r="SL25" s="42"/>
      <c r="SO25" s="43"/>
      <c r="SP25" s="42"/>
      <c r="SU25" s="43"/>
    </row>
    <row r="26" spans="1:515" x14ac:dyDescent="0.25">
      <c r="A26" s="47" t="s">
        <v>333</v>
      </c>
      <c r="B26" s="41">
        <v>1</v>
      </c>
      <c r="E26">
        <v>100</v>
      </c>
      <c r="J26" s="40">
        <v>391</v>
      </c>
      <c r="K26" s="52">
        <v>381</v>
      </c>
      <c r="L26" s="52">
        <v>318</v>
      </c>
      <c r="M26" s="52">
        <v>310</v>
      </c>
      <c r="N26" s="51">
        <f t="shared" si="9"/>
        <v>18</v>
      </c>
      <c r="O26" s="43"/>
      <c r="P26" s="40">
        <v>140</v>
      </c>
      <c r="Q26" s="52">
        <v>140</v>
      </c>
      <c r="R26" s="52">
        <v>122</v>
      </c>
      <c r="S26" s="52">
        <v>120</v>
      </c>
      <c r="T26" s="51">
        <f t="shared" si="10"/>
        <v>2</v>
      </c>
      <c r="U26" s="43"/>
      <c r="V26" s="40">
        <v>61</v>
      </c>
      <c r="W26" s="52">
        <v>61</v>
      </c>
      <c r="X26" s="51"/>
      <c r="Y26" s="51"/>
      <c r="Z26" s="51">
        <f t="shared" si="11"/>
        <v>0</v>
      </c>
      <c r="AA26" s="43"/>
      <c r="AB26" s="40">
        <v>263</v>
      </c>
      <c r="AC26" s="56">
        <v>251.7391304347826</v>
      </c>
      <c r="AD26" s="52">
        <v>338</v>
      </c>
      <c r="AE26" s="56">
        <v>327.26086956521738</v>
      </c>
      <c r="AF26" s="51">
        <v>22</v>
      </c>
      <c r="AG26" s="43"/>
      <c r="AH26" s="52">
        <v>166</v>
      </c>
      <c r="AI26">
        <v>162</v>
      </c>
      <c r="AJ26">
        <v>132</v>
      </c>
      <c r="AK26">
        <v>129</v>
      </c>
      <c r="AL26" s="47">
        <v>7</v>
      </c>
      <c r="AM26" s="43"/>
      <c r="AN26" s="40">
        <v>101</v>
      </c>
      <c r="AO26">
        <v>100</v>
      </c>
      <c r="AP26">
        <v>147</v>
      </c>
      <c r="AQ26">
        <v>145</v>
      </c>
      <c r="AR26" s="47">
        <v>3</v>
      </c>
      <c r="AS26" s="43"/>
      <c r="AT26">
        <v>177</v>
      </c>
      <c r="AU26">
        <v>170</v>
      </c>
      <c r="AV26">
        <v>211</v>
      </c>
      <c r="AW26">
        <v>204</v>
      </c>
      <c r="AX26" s="47">
        <v>14</v>
      </c>
      <c r="AY26" s="43"/>
      <c r="AZ26">
        <v>186</v>
      </c>
      <c r="BA26">
        <v>180</v>
      </c>
      <c r="BB26">
        <v>199</v>
      </c>
      <c r="BC26">
        <v>193</v>
      </c>
      <c r="BD26" s="47">
        <v>12</v>
      </c>
      <c r="BE26" s="43"/>
      <c r="BF26" s="40">
        <v>166</v>
      </c>
      <c r="BG26">
        <v>160</v>
      </c>
      <c r="BH26">
        <v>195</v>
      </c>
      <c r="BI26">
        <v>191</v>
      </c>
      <c r="BJ26" s="47">
        <v>10</v>
      </c>
      <c r="BK26" s="43"/>
      <c r="BL26" s="40">
        <v>186</v>
      </c>
      <c r="BM26">
        <v>180</v>
      </c>
      <c r="BN26">
        <v>156</v>
      </c>
      <c r="BO26">
        <v>149</v>
      </c>
      <c r="BP26" s="47">
        <v>13</v>
      </c>
      <c r="BQ26" s="43"/>
      <c r="BR26">
        <v>168</v>
      </c>
      <c r="BS26">
        <v>160</v>
      </c>
      <c r="BT26">
        <v>112</v>
      </c>
      <c r="BU26">
        <v>106</v>
      </c>
      <c r="BV26" s="47">
        <v>14</v>
      </c>
      <c r="BW26" s="43"/>
      <c r="BX26" s="40">
        <v>187</v>
      </c>
      <c r="BY26">
        <v>180</v>
      </c>
      <c r="BZ26">
        <v>206</v>
      </c>
      <c r="CA26">
        <v>200</v>
      </c>
      <c r="CB26" s="47">
        <v>13</v>
      </c>
      <c r="CC26" s="43"/>
      <c r="CD26">
        <v>156</v>
      </c>
      <c r="CE26">
        <v>150</v>
      </c>
      <c r="CF26">
        <v>165</v>
      </c>
      <c r="CG26">
        <v>160</v>
      </c>
      <c r="CH26" s="47">
        <v>11</v>
      </c>
      <c r="CI26" s="43"/>
      <c r="CJ26">
        <v>106</v>
      </c>
      <c r="CK26">
        <v>100</v>
      </c>
      <c r="CL26">
        <v>106</v>
      </c>
      <c r="CM26">
        <v>100</v>
      </c>
      <c r="CN26" s="47">
        <v>12</v>
      </c>
      <c r="CO26" s="43"/>
      <c r="CP26" s="40">
        <v>95</v>
      </c>
      <c r="CQ26">
        <v>90</v>
      </c>
      <c r="CR26">
        <v>125</v>
      </c>
      <c r="CS26">
        <v>120</v>
      </c>
      <c r="CT26" s="47">
        <v>10</v>
      </c>
      <c r="CU26" s="43"/>
      <c r="CV26" s="40">
        <v>207</v>
      </c>
      <c r="CW26">
        <v>200</v>
      </c>
      <c r="CX26">
        <v>209</v>
      </c>
      <c r="CY26">
        <v>206</v>
      </c>
      <c r="CZ26" s="47">
        <v>10</v>
      </c>
      <c r="DA26" s="43"/>
      <c r="DE26">
        <v>196</v>
      </c>
      <c r="DF26">
        <v>190</v>
      </c>
      <c r="DG26" s="47">
        <v>6</v>
      </c>
      <c r="DH26" s="43"/>
      <c r="DI26">
        <v>106</v>
      </c>
      <c r="DJ26">
        <v>100</v>
      </c>
      <c r="DK26" s="47">
        <v>6</v>
      </c>
      <c r="DL26" s="43"/>
      <c r="DM26" s="40">
        <v>239</v>
      </c>
      <c r="DN26">
        <v>226</v>
      </c>
      <c r="DO26">
        <v>217</v>
      </c>
      <c r="DP26">
        <v>207</v>
      </c>
      <c r="DQ26" s="47">
        <v>23</v>
      </c>
      <c r="DR26" s="43"/>
      <c r="DS26">
        <v>156</v>
      </c>
      <c r="DT26">
        <v>150</v>
      </c>
      <c r="DU26">
        <v>296</v>
      </c>
      <c r="DV26">
        <v>288</v>
      </c>
      <c r="DW26" s="47">
        <v>14</v>
      </c>
      <c r="DX26" s="43"/>
      <c r="DY26">
        <v>70</v>
      </c>
      <c r="DZ26">
        <v>70</v>
      </c>
      <c r="EA26">
        <v>100</v>
      </c>
      <c r="EB26">
        <v>97</v>
      </c>
      <c r="EC26" s="47">
        <v>3</v>
      </c>
      <c r="ED26" s="43"/>
      <c r="EE26" s="42"/>
      <c r="EG26">
        <v>116</v>
      </c>
      <c r="EH26">
        <v>110</v>
      </c>
      <c r="EI26" s="47">
        <v>6</v>
      </c>
      <c r="EJ26" s="43"/>
      <c r="EM26">
        <v>207</v>
      </c>
      <c r="EN26">
        <v>199</v>
      </c>
      <c r="EO26" s="47">
        <v>8</v>
      </c>
      <c r="EP26" s="43"/>
      <c r="EQ26" s="42"/>
      <c r="EU26" s="47">
        <v>0</v>
      </c>
      <c r="EV26" s="43"/>
      <c r="EW26" s="42"/>
      <c r="EY26">
        <v>316</v>
      </c>
      <c r="EZ26">
        <v>300</v>
      </c>
      <c r="FA26">
        <v>229</v>
      </c>
      <c r="FB26">
        <v>220</v>
      </c>
      <c r="FC26" s="47">
        <v>25</v>
      </c>
      <c r="FD26" s="43"/>
      <c r="FE26" s="40">
        <v>127</v>
      </c>
      <c r="FF26">
        <v>120</v>
      </c>
      <c r="FG26">
        <v>127</v>
      </c>
      <c r="FH26">
        <v>120</v>
      </c>
      <c r="FI26" s="47">
        <v>14</v>
      </c>
      <c r="FJ26" s="43"/>
      <c r="FK26">
        <v>156</v>
      </c>
      <c r="FL26">
        <v>150</v>
      </c>
      <c r="FM26">
        <v>316</v>
      </c>
      <c r="FN26">
        <v>300</v>
      </c>
      <c r="FQ26" s="47">
        <v>22</v>
      </c>
      <c r="FR26" s="43"/>
      <c r="FS26" s="42"/>
      <c r="FW26" s="47">
        <v>0</v>
      </c>
      <c r="FX26" s="43"/>
      <c r="FY26" s="40">
        <v>208</v>
      </c>
      <c r="FZ26">
        <v>200</v>
      </c>
      <c r="GA26">
        <v>225</v>
      </c>
      <c r="GB26">
        <v>220</v>
      </c>
      <c r="GC26" s="47">
        <v>13</v>
      </c>
      <c r="GD26" s="43"/>
      <c r="GE26" s="40">
        <v>51</v>
      </c>
      <c r="GF26">
        <v>50</v>
      </c>
      <c r="GI26" s="47">
        <v>1</v>
      </c>
      <c r="GJ26" s="43"/>
      <c r="GK26">
        <v>41</v>
      </c>
      <c r="GL26">
        <v>40</v>
      </c>
      <c r="GM26">
        <v>50</v>
      </c>
      <c r="GN26">
        <v>50</v>
      </c>
      <c r="GO26">
        <v>50</v>
      </c>
      <c r="GP26">
        <v>50</v>
      </c>
      <c r="GQ26" s="47">
        <v>1</v>
      </c>
      <c r="GR26" s="43"/>
      <c r="GS26">
        <v>106</v>
      </c>
      <c r="GT26">
        <v>100</v>
      </c>
      <c r="GU26">
        <v>115</v>
      </c>
      <c r="GW26">
        <v>110</v>
      </c>
      <c r="GX26" s="47">
        <v>11</v>
      </c>
      <c r="GY26" s="43"/>
      <c r="GZ26" s="40">
        <v>71</v>
      </c>
      <c r="HB26" s="44">
        <v>70</v>
      </c>
      <c r="HC26" s="47">
        <v>1</v>
      </c>
      <c r="HD26" s="43"/>
      <c r="HE26" s="42"/>
      <c r="HH26" s="47">
        <v>0</v>
      </c>
      <c r="HI26" s="43"/>
      <c r="HJ26">
        <v>51</v>
      </c>
      <c r="HM26">
        <v>50</v>
      </c>
      <c r="HN26" s="47">
        <v>1</v>
      </c>
      <c r="HO26" s="43"/>
      <c r="HP26" s="40">
        <v>70</v>
      </c>
      <c r="HR26">
        <v>70</v>
      </c>
      <c r="HS26">
        <v>107</v>
      </c>
      <c r="HT26">
        <v>100</v>
      </c>
      <c r="HU26" s="47">
        <v>7</v>
      </c>
      <c r="HV26" s="43"/>
      <c r="IA26" s="47">
        <v>0</v>
      </c>
      <c r="IB26" s="43"/>
      <c r="IC26" s="42"/>
      <c r="IE26">
        <v>106</v>
      </c>
      <c r="IF26">
        <v>100</v>
      </c>
      <c r="IG26" s="47">
        <v>6</v>
      </c>
      <c r="IH26" s="43"/>
      <c r="II26">
        <v>211</v>
      </c>
      <c r="IJ26">
        <v>200</v>
      </c>
      <c r="IK26">
        <v>208</v>
      </c>
      <c r="IL26">
        <v>200</v>
      </c>
      <c r="IM26" s="47">
        <v>19</v>
      </c>
      <c r="IN26" s="43"/>
      <c r="IO26" s="42"/>
      <c r="IQ26" s="47">
        <v>0</v>
      </c>
      <c r="IR26" s="43"/>
      <c r="IS26" s="40">
        <v>106</v>
      </c>
      <c r="IT26">
        <v>100</v>
      </c>
      <c r="IU26">
        <v>117</v>
      </c>
      <c r="IV26">
        <v>113</v>
      </c>
      <c r="IW26" s="47">
        <v>10</v>
      </c>
      <c r="IX26" s="43"/>
      <c r="IY26" s="42"/>
      <c r="JA26" s="47">
        <v>0</v>
      </c>
      <c r="JB26" s="43"/>
      <c r="JC26" s="42"/>
      <c r="JE26">
        <v>188</v>
      </c>
      <c r="JF26">
        <v>180</v>
      </c>
      <c r="JG26" s="47">
        <v>8</v>
      </c>
      <c r="JH26" s="43"/>
      <c r="JM26">
        <v>402</v>
      </c>
      <c r="JN26">
        <v>390</v>
      </c>
      <c r="JO26" s="47">
        <v>12</v>
      </c>
      <c r="JP26" s="43"/>
      <c r="JQ26" s="40">
        <v>166</v>
      </c>
      <c r="JR26">
        <v>160</v>
      </c>
      <c r="JS26">
        <v>147</v>
      </c>
      <c r="JT26">
        <v>140</v>
      </c>
      <c r="JU26" s="47">
        <v>13</v>
      </c>
      <c r="JV26" s="43"/>
      <c r="JW26">
        <v>154</v>
      </c>
      <c r="JX26">
        <v>150</v>
      </c>
      <c r="JY26">
        <v>216</v>
      </c>
      <c r="JZ26">
        <v>210</v>
      </c>
      <c r="KA26" s="47">
        <v>10</v>
      </c>
      <c r="KB26" s="45"/>
      <c r="KG26" s="47">
        <v>0</v>
      </c>
      <c r="KH26" s="45"/>
      <c r="KJ26">
        <v>310</v>
      </c>
      <c r="KK26">
        <v>250</v>
      </c>
      <c r="KL26">
        <v>240</v>
      </c>
      <c r="KM26" s="50">
        <v>-300</v>
      </c>
      <c r="KN26" s="45">
        <v>300</v>
      </c>
      <c r="KO26">
        <v>105</v>
      </c>
      <c r="KP26">
        <v>100</v>
      </c>
      <c r="KQ26">
        <v>85</v>
      </c>
      <c r="KR26">
        <v>80</v>
      </c>
      <c r="KS26" s="47">
        <v>10</v>
      </c>
      <c r="KT26" s="43"/>
      <c r="KU26">
        <v>107</v>
      </c>
      <c r="KV26">
        <v>100</v>
      </c>
      <c r="KW26" s="47">
        <v>7</v>
      </c>
      <c r="KX26" s="45"/>
      <c r="KY26">
        <v>206</v>
      </c>
      <c r="KZ26">
        <v>200</v>
      </c>
      <c r="LA26">
        <v>172</v>
      </c>
      <c r="LB26">
        <v>167</v>
      </c>
      <c r="LC26" s="47">
        <v>11</v>
      </c>
      <c r="LD26" s="43"/>
      <c r="LE26" s="46"/>
      <c r="LG26" s="47">
        <v>0</v>
      </c>
      <c r="LH26" s="45"/>
      <c r="LK26">
        <v>178</v>
      </c>
      <c r="LL26">
        <v>170</v>
      </c>
      <c r="LM26" s="47">
        <v>8</v>
      </c>
      <c r="LN26" s="45"/>
      <c r="LO26">
        <v>106</v>
      </c>
      <c r="LP26">
        <v>100</v>
      </c>
      <c r="LQ26">
        <v>116</v>
      </c>
      <c r="LR26">
        <v>110</v>
      </c>
      <c r="LS26" s="47">
        <v>12</v>
      </c>
      <c r="LT26" s="45"/>
      <c r="LU26">
        <v>86</v>
      </c>
      <c r="LV26">
        <v>80</v>
      </c>
      <c r="LY26" s="47">
        <v>6</v>
      </c>
      <c r="LZ26" s="45"/>
      <c r="MA26">
        <v>96</v>
      </c>
      <c r="MB26">
        <v>90</v>
      </c>
      <c r="MC26">
        <v>106</v>
      </c>
      <c r="MD26">
        <v>100</v>
      </c>
      <c r="ME26" s="47">
        <v>12</v>
      </c>
      <c r="MF26" s="45"/>
      <c r="MG26" s="40">
        <v>61</v>
      </c>
      <c r="MH26">
        <v>60</v>
      </c>
      <c r="MI26">
        <v>86</v>
      </c>
      <c r="MJ26">
        <v>80</v>
      </c>
      <c r="MK26">
        <v>90</v>
      </c>
      <c r="ML26">
        <v>91</v>
      </c>
      <c r="MM26" s="47">
        <v>6</v>
      </c>
      <c r="MN26" s="45"/>
      <c r="MO26" s="44">
        <v>0</v>
      </c>
      <c r="MP26" s="44">
        <v>0</v>
      </c>
      <c r="MQ26" s="44">
        <v>0</v>
      </c>
      <c r="MR26" s="44">
        <v>0</v>
      </c>
      <c r="MS26" s="47">
        <v>0</v>
      </c>
      <c r="MT26" s="45"/>
      <c r="MU26" s="44">
        <v>0</v>
      </c>
      <c r="MV26" s="44">
        <v>0</v>
      </c>
      <c r="MW26" s="44">
        <v>0</v>
      </c>
      <c r="MX26" s="44">
        <v>0</v>
      </c>
      <c r="MY26" s="47">
        <v>0</v>
      </c>
      <c r="MZ26" s="45"/>
      <c r="NA26" s="46">
        <v>105.854</v>
      </c>
      <c r="NB26" s="44">
        <v>100</v>
      </c>
      <c r="NC26" s="47">
        <v>5.8539999999999992</v>
      </c>
      <c r="ND26" s="45"/>
      <c r="NE26" s="46">
        <v>317.303</v>
      </c>
      <c r="NF26" s="44">
        <v>300</v>
      </c>
      <c r="NG26" s="44">
        <v>265.33300000000003</v>
      </c>
      <c r="NH26" s="44">
        <v>0</v>
      </c>
      <c r="NI26" s="44">
        <v>250</v>
      </c>
      <c r="NJ26" s="47">
        <v>32.635999999999967</v>
      </c>
      <c r="NK26" s="45"/>
      <c r="NL26" s="46">
        <v>125.751</v>
      </c>
      <c r="NM26" s="44">
        <v>120</v>
      </c>
      <c r="NN26" s="44">
        <v>150.60599999999999</v>
      </c>
      <c r="NO26" s="44">
        <v>150</v>
      </c>
      <c r="NP26" s="47">
        <v>6.3569999999999709</v>
      </c>
      <c r="NQ26" s="45"/>
      <c r="NR26" s="46">
        <v>0</v>
      </c>
      <c r="NS26" s="44">
        <v>0</v>
      </c>
      <c r="NT26" s="47">
        <v>0</v>
      </c>
      <c r="NU26" s="45"/>
      <c r="NV26" s="46">
        <v>0</v>
      </c>
      <c r="NW26" s="44">
        <v>0</v>
      </c>
      <c r="NX26" s="44">
        <v>286.221</v>
      </c>
      <c r="NY26" s="44">
        <v>280</v>
      </c>
      <c r="NZ26" s="47">
        <v>6.2210000000000036</v>
      </c>
      <c r="OA26" s="45"/>
      <c r="OB26" s="46">
        <v>203.607</v>
      </c>
      <c r="OC26" s="44">
        <v>200</v>
      </c>
      <c r="OD26" s="47">
        <v>3.6069999999999989</v>
      </c>
      <c r="OE26" s="45"/>
      <c r="OF26" s="46">
        <v>100.51600000000001</v>
      </c>
      <c r="OG26" s="44">
        <v>100</v>
      </c>
      <c r="OH26" s="44">
        <v>483.79599999999999</v>
      </c>
      <c r="OI26" s="44">
        <v>480</v>
      </c>
      <c r="OJ26" s="47">
        <v>4.3120000000000118</v>
      </c>
      <c r="OK26" s="45"/>
      <c r="OL26" s="44">
        <v>0</v>
      </c>
      <c r="OM26" s="43"/>
      <c r="ON26" s="44">
        <v>0</v>
      </c>
      <c r="OO26" s="44">
        <v>0</v>
      </c>
      <c r="OP26" s="47">
        <v>0</v>
      </c>
      <c r="OQ26" s="45"/>
      <c r="OR26" s="46">
        <v>49.912999999999997</v>
      </c>
      <c r="OS26" s="44">
        <v>50</v>
      </c>
      <c r="OT26" s="44">
        <v>221.15</v>
      </c>
      <c r="OU26" s="44">
        <v>220</v>
      </c>
      <c r="OV26" s="47">
        <v>1.062999999999988</v>
      </c>
      <c r="OW26" s="45"/>
      <c r="OX26" s="46">
        <v>101.117</v>
      </c>
      <c r="OY26" s="44">
        <v>50</v>
      </c>
      <c r="OZ26" s="44">
        <v>0</v>
      </c>
      <c r="PA26" s="44">
        <v>0</v>
      </c>
      <c r="PB26" s="47">
        <v>51.116999999999997</v>
      </c>
      <c r="PC26" s="45"/>
      <c r="PD26" s="46">
        <v>131.863</v>
      </c>
      <c r="PE26" s="44">
        <v>130</v>
      </c>
      <c r="PF26" s="44">
        <v>145.744</v>
      </c>
      <c r="PG26" s="44">
        <v>150</v>
      </c>
      <c r="PH26" s="47">
        <v>-2.3930000000000291</v>
      </c>
      <c r="PI26" s="45"/>
      <c r="PJ26" s="25">
        <v>129.82900000000001</v>
      </c>
      <c r="PK26" s="44">
        <v>0</v>
      </c>
      <c r="PL26" s="44">
        <v>61.143000000000001</v>
      </c>
      <c r="PM26" s="44">
        <v>60</v>
      </c>
      <c r="PN26" s="47">
        <v>130.97200000000001</v>
      </c>
      <c r="PO26" s="45"/>
      <c r="PP26" s="46">
        <v>0</v>
      </c>
      <c r="PQ26" s="44">
        <v>0</v>
      </c>
      <c r="PR26" s="44">
        <v>0</v>
      </c>
      <c r="PS26" s="44">
        <v>0</v>
      </c>
      <c r="PT26" s="47">
        <v>0</v>
      </c>
      <c r="PU26" s="45"/>
      <c r="PV26" s="46">
        <v>527.64499999999998</v>
      </c>
      <c r="PW26" s="44">
        <v>530</v>
      </c>
      <c r="PX26" s="47">
        <v>-2.3550000000000182</v>
      </c>
      <c r="PY26" s="45"/>
      <c r="PZ26" s="46">
        <v>95.37</v>
      </c>
      <c r="QA26" s="44">
        <v>100</v>
      </c>
      <c r="QB26" s="47">
        <v>-4.6299999999999946</v>
      </c>
      <c r="QC26" s="45"/>
      <c r="QD26" s="46">
        <v>60.401000000000003</v>
      </c>
      <c r="QE26" s="44">
        <v>60</v>
      </c>
      <c r="QF26" s="44">
        <v>49.63</v>
      </c>
      <c r="QG26" s="44">
        <v>50</v>
      </c>
      <c r="QH26" s="47">
        <v>3.1000000000005912E-2</v>
      </c>
      <c r="QI26" s="45"/>
      <c r="QJ26" s="46">
        <v>0</v>
      </c>
      <c r="QK26" s="44">
        <v>0</v>
      </c>
      <c r="QL26" s="47">
        <v>0</v>
      </c>
      <c r="QM26" s="45"/>
      <c r="QN26" s="46">
        <v>251.327</v>
      </c>
      <c r="QO26" s="44">
        <v>250</v>
      </c>
      <c r="QP26" s="44">
        <v>186.25399999999999</v>
      </c>
      <c r="QQ26" s="44">
        <v>186</v>
      </c>
      <c r="QR26" s="47">
        <v>1.5810000000000171</v>
      </c>
      <c r="QS26" s="45"/>
      <c r="QT26" s="46">
        <v>123.959</v>
      </c>
      <c r="QU26" s="44">
        <v>0</v>
      </c>
      <c r="QV26" s="47">
        <v>123.959</v>
      </c>
      <c r="QW26" s="45"/>
      <c r="QX26" s="46">
        <v>0</v>
      </c>
      <c r="QY26" s="44">
        <v>0</v>
      </c>
      <c r="QZ26" s="44">
        <v>66.183999999999997</v>
      </c>
      <c r="RA26" s="44">
        <v>84</v>
      </c>
      <c r="RB26" s="50">
        <v>-17.815999999999999</v>
      </c>
      <c r="RC26" s="45">
        <v>17.815999999999999</v>
      </c>
      <c r="RD26" s="42">
        <v>0</v>
      </c>
      <c r="RE26" s="44">
        <v>0</v>
      </c>
      <c r="RF26" s="44">
        <v>151.56800000000001</v>
      </c>
      <c r="RG26" s="44">
        <v>150</v>
      </c>
      <c r="RH26" s="47">
        <v>1.5680000000000121</v>
      </c>
      <c r="RI26" s="45"/>
      <c r="RJ26" s="42">
        <v>100.81699999999999</v>
      </c>
      <c r="RK26" s="47">
        <v>100</v>
      </c>
      <c r="RL26" s="47">
        <v>101.432</v>
      </c>
      <c r="RM26" s="47">
        <v>100</v>
      </c>
      <c r="RN26" s="47">
        <v>2.2489999999999948</v>
      </c>
      <c r="RO26" s="43"/>
      <c r="RP26" s="42">
        <v>78.346000000000004</v>
      </c>
      <c r="RQ26" s="47">
        <v>79</v>
      </c>
      <c r="RR26" s="47">
        <v>-0.65399999999999636</v>
      </c>
      <c r="RS26" s="43"/>
      <c r="RT26" s="42">
        <v>50.357999999999997</v>
      </c>
      <c r="RU26" s="47">
        <v>50</v>
      </c>
      <c r="RV26" s="47">
        <v>50.27</v>
      </c>
      <c r="RW26" s="47">
        <v>50</v>
      </c>
      <c r="RX26" s="47">
        <v>0.62800000000000011</v>
      </c>
      <c r="RY26" s="43"/>
      <c r="RZ26" s="42">
        <v>140.56</v>
      </c>
      <c r="SA26" s="47">
        <v>140</v>
      </c>
      <c r="SB26" s="47">
        <v>194.32499999999999</v>
      </c>
      <c r="SC26" s="47">
        <v>200</v>
      </c>
      <c r="SD26" s="47">
        <v>-5.1150000000000091</v>
      </c>
      <c r="SE26" s="43"/>
      <c r="SF26" s="42">
        <v>142.245</v>
      </c>
      <c r="SG26" s="47">
        <v>140</v>
      </c>
      <c r="SH26" s="47">
        <v>253.06</v>
      </c>
      <c r="SI26" s="47">
        <v>0</v>
      </c>
      <c r="SJ26" s="47">
        <v>255.30500000000001</v>
      </c>
      <c r="SK26" s="43"/>
      <c r="SL26" s="42">
        <v>50.034999999999997</v>
      </c>
      <c r="SM26" s="47">
        <v>50</v>
      </c>
      <c r="SN26" s="47">
        <v>3.4999999999996589E-2</v>
      </c>
      <c r="SO26" s="43"/>
      <c r="SP26" s="42">
        <v>101.419</v>
      </c>
      <c r="SQ26" s="47">
        <v>100</v>
      </c>
      <c r="SR26" s="47">
        <v>398.87599999999998</v>
      </c>
      <c r="SS26" s="47">
        <v>300</v>
      </c>
      <c r="ST26" s="47">
        <v>100.295</v>
      </c>
      <c r="SU26" s="43"/>
    </row>
    <row r="27" spans="1:515" x14ac:dyDescent="0.25">
      <c r="A27" s="47" t="s">
        <v>334</v>
      </c>
      <c r="B27" s="41">
        <v>0.12</v>
      </c>
      <c r="J27" s="42"/>
      <c r="K27" s="51"/>
      <c r="L27" s="51"/>
      <c r="M27" s="51"/>
      <c r="N27" s="51">
        <f t="shared" si="9"/>
        <v>0</v>
      </c>
      <c r="O27" s="43"/>
      <c r="P27" s="46"/>
      <c r="Q27" s="51"/>
      <c r="R27" s="51"/>
      <c r="S27" s="51"/>
      <c r="T27" s="51">
        <f t="shared" si="10"/>
        <v>0</v>
      </c>
      <c r="U27" s="43"/>
      <c r="V27" s="42"/>
      <c r="W27" s="51"/>
      <c r="X27" s="51"/>
      <c r="Y27" s="51"/>
      <c r="Z27" s="51">
        <f t="shared" si="11"/>
        <v>0</v>
      </c>
      <c r="AA27" s="43"/>
      <c r="AB27" s="42"/>
      <c r="AC27" s="56">
        <v>146.52173913043481</v>
      </c>
      <c r="AD27" s="51"/>
      <c r="AE27" s="56">
        <v>190.47826086956519</v>
      </c>
      <c r="AF27" s="57">
        <v>-193</v>
      </c>
      <c r="AG27" s="43">
        <v>23.16</v>
      </c>
      <c r="AH27" s="51"/>
      <c r="AI27">
        <v>74</v>
      </c>
      <c r="AK27">
        <v>59</v>
      </c>
      <c r="AL27" s="50">
        <v>-133</v>
      </c>
      <c r="AM27" s="43">
        <v>15.96</v>
      </c>
      <c r="AN27" s="40">
        <v>40</v>
      </c>
      <c r="AO27">
        <v>40</v>
      </c>
      <c r="AP27">
        <v>88</v>
      </c>
      <c r="AQ27">
        <v>88</v>
      </c>
      <c r="AR27" s="47">
        <v>0</v>
      </c>
      <c r="AS27" s="43"/>
      <c r="AV27">
        <v>112</v>
      </c>
      <c r="AW27">
        <v>112</v>
      </c>
      <c r="AX27" s="47">
        <v>0</v>
      </c>
      <c r="AY27" s="43"/>
      <c r="AZ27">
        <v>112</v>
      </c>
      <c r="BA27">
        <v>110</v>
      </c>
      <c r="BB27">
        <v>136</v>
      </c>
      <c r="BC27">
        <v>135</v>
      </c>
      <c r="BD27" s="47">
        <v>3</v>
      </c>
      <c r="BE27" s="43"/>
      <c r="BF27" s="40">
        <v>56</v>
      </c>
      <c r="BG27">
        <v>60</v>
      </c>
      <c r="BH27">
        <v>56</v>
      </c>
      <c r="BI27">
        <v>58</v>
      </c>
      <c r="BJ27" s="47">
        <v>-6</v>
      </c>
      <c r="BK27" s="43"/>
      <c r="BL27" s="40">
        <v>48</v>
      </c>
      <c r="BM27">
        <v>50</v>
      </c>
      <c r="BN27">
        <v>40</v>
      </c>
      <c r="BO27">
        <v>45</v>
      </c>
      <c r="BP27" s="47">
        <v>-7</v>
      </c>
      <c r="BQ27" s="43"/>
      <c r="BR27">
        <v>96</v>
      </c>
      <c r="BS27">
        <v>100</v>
      </c>
      <c r="BT27">
        <v>72</v>
      </c>
      <c r="BU27">
        <v>75</v>
      </c>
      <c r="BV27" s="47">
        <v>-7</v>
      </c>
      <c r="BW27" s="43"/>
      <c r="BX27" s="40">
        <v>96</v>
      </c>
      <c r="BY27">
        <v>100</v>
      </c>
      <c r="BZ27">
        <v>56</v>
      </c>
      <c r="CA27">
        <v>57</v>
      </c>
      <c r="CB27" s="47">
        <v>-5</v>
      </c>
      <c r="CC27" s="43"/>
      <c r="CD27">
        <v>200</v>
      </c>
      <c r="CE27">
        <v>198</v>
      </c>
      <c r="CF27">
        <v>200</v>
      </c>
      <c r="CG27">
        <v>200</v>
      </c>
      <c r="CH27" s="47">
        <v>2</v>
      </c>
      <c r="CI27" s="43"/>
      <c r="CN27" s="47">
        <v>0</v>
      </c>
      <c r="CO27" s="43"/>
      <c r="CP27" s="40">
        <v>88</v>
      </c>
      <c r="CQ27">
        <v>90</v>
      </c>
      <c r="CR27">
        <v>136</v>
      </c>
      <c r="CS27">
        <v>136</v>
      </c>
      <c r="CT27" s="47">
        <v>-2</v>
      </c>
      <c r="CU27" s="43"/>
      <c r="CV27" s="42"/>
      <c r="CZ27" s="47">
        <v>0</v>
      </c>
      <c r="DA27" s="43"/>
      <c r="DG27" s="47">
        <v>0</v>
      </c>
      <c r="DH27" s="43"/>
      <c r="DI27">
        <v>248</v>
      </c>
      <c r="DJ27">
        <v>250</v>
      </c>
      <c r="DK27" s="47">
        <v>-2</v>
      </c>
      <c r="DL27" s="43"/>
      <c r="DM27" s="40">
        <v>448</v>
      </c>
      <c r="DN27">
        <v>450</v>
      </c>
      <c r="DO27" s="39">
        <v>496</v>
      </c>
      <c r="DQ27" s="47">
        <v>494</v>
      </c>
      <c r="DR27" s="43"/>
      <c r="DV27">
        <v>60</v>
      </c>
      <c r="DW27" s="50">
        <v>-60</v>
      </c>
      <c r="DX27" s="43">
        <v>7.1999999999999993</v>
      </c>
      <c r="DY27">
        <v>96</v>
      </c>
      <c r="DZ27">
        <v>100</v>
      </c>
      <c r="EA27">
        <v>504</v>
      </c>
      <c r="EB27">
        <v>511</v>
      </c>
      <c r="EC27" s="47">
        <v>-11</v>
      </c>
      <c r="ED27" s="43"/>
      <c r="EE27" s="42"/>
      <c r="EG27">
        <v>192</v>
      </c>
      <c r="EH27">
        <v>193</v>
      </c>
      <c r="EI27" s="47">
        <v>-1</v>
      </c>
      <c r="EJ27" s="43"/>
      <c r="EM27">
        <v>48</v>
      </c>
      <c r="EN27">
        <v>50</v>
      </c>
      <c r="EO27" s="47">
        <v>-2</v>
      </c>
      <c r="EP27" s="43"/>
      <c r="EQ27" s="42"/>
      <c r="EU27" s="47">
        <v>0</v>
      </c>
      <c r="EV27" s="43"/>
      <c r="EW27" s="42"/>
      <c r="EY27">
        <v>352</v>
      </c>
      <c r="EZ27">
        <v>350</v>
      </c>
      <c r="FA27">
        <v>152</v>
      </c>
      <c r="FB27">
        <v>150</v>
      </c>
      <c r="FC27" s="47">
        <v>4</v>
      </c>
      <c r="FD27" s="43"/>
      <c r="FE27" s="40">
        <v>120</v>
      </c>
      <c r="FF27">
        <v>120</v>
      </c>
      <c r="FG27">
        <v>112</v>
      </c>
      <c r="FH27">
        <v>110</v>
      </c>
      <c r="FI27" s="47">
        <v>2</v>
      </c>
      <c r="FJ27" s="43"/>
      <c r="FM27">
        <v>600</v>
      </c>
      <c r="FN27">
        <v>600</v>
      </c>
      <c r="FQ27" s="47">
        <v>0</v>
      </c>
      <c r="FR27" s="43"/>
      <c r="FS27" s="42"/>
      <c r="FU27">
        <v>496</v>
      </c>
      <c r="FV27">
        <v>497</v>
      </c>
      <c r="FW27" s="47">
        <v>-1</v>
      </c>
      <c r="FX27" s="43"/>
      <c r="FY27" s="42"/>
      <c r="GC27" s="47">
        <v>0</v>
      </c>
      <c r="GD27" s="43"/>
      <c r="GE27" s="40">
        <v>240</v>
      </c>
      <c r="GF27">
        <v>240</v>
      </c>
      <c r="GG27">
        <v>288</v>
      </c>
      <c r="GH27">
        <v>290</v>
      </c>
      <c r="GI27" s="47">
        <v>-2</v>
      </c>
      <c r="GJ27" s="43"/>
      <c r="GO27">
        <v>72</v>
      </c>
      <c r="GP27">
        <v>70</v>
      </c>
      <c r="GQ27" s="47">
        <v>2</v>
      </c>
      <c r="GR27" s="43"/>
      <c r="GU27">
        <v>176</v>
      </c>
      <c r="GW27">
        <v>180</v>
      </c>
      <c r="GX27" s="47">
        <v>-4</v>
      </c>
      <c r="GY27" s="43"/>
      <c r="GZ27" s="42"/>
      <c r="HC27" s="47">
        <v>0</v>
      </c>
      <c r="HD27" s="43"/>
      <c r="HE27" s="40">
        <v>576</v>
      </c>
      <c r="HG27">
        <v>575</v>
      </c>
      <c r="HH27" s="47">
        <v>1</v>
      </c>
      <c r="HI27" s="43"/>
      <c r="HJ27">
        <v>168</v>
      </c>
      <c r="HM27">
        <v>180</v>
      </c>
      <c r="HN27" s="47">
        <v>-12</v>
      </c>
      <c r="HO27" s="43"/>
      <c r="HP27" s="42"/>
      <c r="HU27" s="47">
        <v>0</v>
      </c>
      <c r="HV27" s="43"/>
      <c r="HW27">
        <v>256</v>
      </c>
      <c r="HX27">
        <v>260</v>
      </c>
      <c r="HY27">
        <v>256</v>
      </c>
      <c r="HZ27">
        <v>260</v>
      </c>
      <c r="IA27" s="47">
        <v>-8</v>
      </c>
      <c r="IB27" s="43"/>
      <c r="IC27" s="42"/>
      <c r="IE27">
        <v>232</v>
      </c>
      <c r="IF27">
        <v>230</v>
      </c>
      <c r="IG27" s="47">
        <v>2</v>
      </c>
      <c r="IH27" s="43"/>
      <c r="IK27">
        <v>16</v>
      </c>
      <c r="IL27">
        <v>20</v>
      </c>
      <c r="IM27" s="47">
        <v>-4</v>
      </c>
      <c r="IN27" s="43"/>
      <c r="IO27" s="40">
        <v>48</v>
      </c>
      <c r="IP27" s="44">
        <v>50</v>
      </c>
      <c r="IQ27" s="47">
        <v>-2</v>
      </c>
      <c r="IR27" s="43"/>
      <c r="IS27" s="40">
        <v>200</v>
      </c>
      <c r="IT27">
        <v>200</v>
      </c>
      <c r="IU27">
        <v>320</v>
      </c>
      <c r="IV27">
        <v>320</v>
      </c>
      <c r="IW27" s="47">
        <v>0</v>
      </c>
      <c r="IX27" s="43"/>
      <c r="IY27" s="40">
        <v>152</v>
      </c>
      <c r="IZ27">
        <v>150</v>
      </c>
      <c r="JA27" s="47">
        <v>2</v>
      </c>
      <c r="JB27" s="43"/>
      <c r="JC27" s="42"/>
      <c r="JE27">
        <v>128</v>
      </c>
      <c r="JF27">
        <v>130</v>
      </c>
      <c r="JG27" s="47">
        <v>-2</v>
      </c>
      <c r="JH27" s="43"/>
      <c r="JO27" s="47">
        <v>0</v>
      </c>
      <c r="JP27" s="43"/>
      <c r="JQ27" s="42"/>
      <c r="JU27" s="47">
        <v>0</v>
      </c>
      <c r="JV27" s="43"/>
      <c r="KA27" s="47">
        <v>0</v>
      </c>
      <c r="KB27" s="45"/>
      <c r="KC27">
        <v>152</v>
      </c>
      <c r="KD27">
        <v>150</v>
      </c>
      <c r="KE27">
        <v>152</v>
      </c>
      <c r="KF27">
        <v>150</v>
      </c>
      <c r="KG27" s="47">
        <v>4</v>
      </c>
      <c r="KH27" s="45"/>
      <c r="KK27">
        <v>720</v>
      </c>
      <c r="KL27">
        <v>720</v>
      </c>
      <c r="KM27" s="47">
        <v>0</v>
      </c>
      <c r="KN27" s="45"/>
      <c r="KQ27">
        <v>248</v>
      </c>
      <c r="KR27">
        <v>250</v>
      </c>
      <c r="KS27" s="47">
        <v>-2</v>
      </c>
      <c r="KT27" s="43"/>
      <c r="KU27">
        <v>192</v>
      </c>
      <c r="KV27">
        <v>192</v>
      </c>
      <c r="KW27" s="47">
        <v>0</v>
      </c>
      <c r="KX27" s="45"/>
      <c r="KY27">
        <v>200</v>
      </c>
      <c r="KZ27">
        <v>200</v>
      </c>
      <c r="LC27" s="47">
        <v>0</v>
      </c>
      <c r="LD27" s="43"/>
      <c r="LE27" s="40">
        <v>1000</v>
      </c>
      <c r="LF27" s="44">
        <v>1000</v>
      </c>
      <c r="LG27" s="47">
        <v>0</v>
      </c>
      <c r="LH27" s="45"/>
      <c r="LK27">
        <v>352</v>
      </c>
      <c r="LL27">
        <v>350</v>
      </c>
      <c r="LM27" s="47">
        <v>2</v>
      </c>
      <c r="LN27" s="45"/>
      <c r="LQ27">
        <v>248</v>
      </c>
      <c r="LR27">
        <v>250</v>
      </c>
      <c r="LS27" s="47">
        <v>-2</v>
      </c>
      <c r="LT27" s="45"/>
      <c r="LY27" s="47">
        <v>0</v>
      </c>
      <c r="LZ27" s="45"/>
      <c r="MC27">
        <v>1216</v>
      </c>
      <c r="MD27">
        <v>1220</v>
      </c>
      <c r="ME27" s="47">
        <v>-4</v>
      </c>
      <c r="MF27" s="45"/>
      <c r="MG27" s="40">
        <v>56</v>
      </c>
      <c r="MH27">
        <v>60</v>
      </c>
      <c r="MI27">
        <v>80</v>
      </c>
      <c r="MJ27">
        <v>80</v>
      </c>
      <c r="MK27">
        <v>40</v>
      </c>
      <c r="ML27">
        <v>40</v>
      </c>
      <c r="MM27" s="47">
        <v>-4</v>
      </c>
      <c r="MN27" s="45"/>
      <c r="MO27" s="44">
        <v>136</v>
      </c>
      <c r="MP27" s="44">
        <v>140</v>
      </c>
      <c r="MQ27" s="44">
        <v>152</v>
      </c>
      <c r="MR27" s="44">
        <v>150</v>
      </c>
      <c r="MS27" s="47">
        <v>-2</v>
      </c>
      <c r="MT27" s="45"/>
      <c r="MU27" s="44">
        <v>0</v>
      </c>
      <c r="MV27" s="44">
        <v>0</v>
      </c>
      <c r="MW27" s="44">
        <v>80</v>
      </c>
      <c r="MX27" s="44">
        <v>80</v>
      </c>
      <c r="MY27" s="47">
        <v>0</v>
      </c>
      <c r="MZ27" s="45"/>
      <c r="NA27" s="46">
        <v>232</v>
      </c>
      <c r="NB27" s="44">
        <v>230</v>
      </c>
      <c r="NC27" s="47">
        <v>2</v>
      </c>
      <c r="ND27" s="45"/>
      <c r="NE27" s="46">
        <v>248</v>
      </c>
      <c r="NF27" s="44">
        <v>250</v>
      </c>
      <c r="NG27" s="44">
        <v>232</v>
      </c>
      <c r="NH27" s="44">
        <v>0</v>
      </c>
      <c r="NI27" s="44">
        <v>230</v>
      </c>
      <c r="NJ27" s="47">
        <v>0</v>
      </c>
      <c r="NK27" s="45"/>
      <c r="NL27" s="46">
        <v>88</v>
      </c>
      <c r="NM27" s="44">
        <v>90</v>
      </c>
      <c r="NN27" s="44">
        <v>96</v>
      </c>
      <c r="NO27" s="44">
        <v>100</v>
      </c>
      <c r="NP27" s="47">
        <v>-6</v>
      </c>
      <c r="NQ27" s="45"/>
      <c r="NR27" s="46">
        <v>200</v>
      </c>
      <c r="NS27" s="44">
        <v>200</v>
      </c>
      <c r="NT27" s="47">
        <v>0</v>
      </c>
      <c r="NU27" s="45"/>
      <c r="NV27" s="46">
        <v>48</v>
      </c>
      <c r="NW27" s="44">
        <v>50</v>
      </c>
      <c r="NX27" s="44">
        <v>296</v>
      </c>
      <c r="NY27" s="44">
        <v>300</v>
      </c>
      <c r="NZ27" s="47">
        <v>-6</v>
      </c>
      <c r="OA27" s="45"/>
      <c r="OB27" s="46">
        <v>240</v>
      </c>
      <c r="OC27" s="44">
        <v>240</v>
      </c>
      <c r="OD27" s="47">
        <v>0</v>
      </c>
      <c r="OE27" s="45"/>
      <c r="OF27" s="46">
        <v>80</v>
      </c>
      <c r="OG27" s="44">
        <v>80</v>
      </c>
      <c r="OH27" s="44">
        <v>320</v>
      </c>
      <c r="OI27" s="44">
        <v>320</v>
      </c>
      <c r="OJ27" s="47">
        <v>0</v>
      </c>
      <c r="OK27" s="45"/>
      <c r="OL27" s="44">
        <v>0</v>
      </c>
      <c r="OM27" s="43"/>
      <c r="ON27" s="44">
        <v>112</v>
      </c>
      <c r="OO27" s="44">
        <v>110</v>
      </c>
      <c r="OP27" s="47">
        <v>2</v>
      </c>
      <c r="OQ27" s="45"/>
      <c r="OR27" s="46">
        <v>0</v>
      </c>
      <c r="OS27" s="44">
        <v>0</v>
      </c>
      <c r="OT27" s="44">
        <v>40</v>
      </c>
      <c r="OU27" s="44">
        <v>40</v>
      </c>
      <c r="OV27" s="47">
        <v>0</v>
      </c>
      <c r="OW27" s="45"/>
      <c r="OX27" s="46">
        <v>0</v>
      </c>
      <c r="OY27" s="44">
        <v>0</v>
      </c>
      <c r="OZ27" s="44">
        <v>0</v>
      </c>
      <c r="PA27" s="44">
        <v>0</v>
      </c>
      <c r="PB27" s="47">
        <v>0</v>
      </c>
      <c r="PC27" s="45"/>
      <c r="PD27" s="46">
        <v>96</v>
      </c>
      <c r="PE27" s="44">
        <v>100</v>
      </c>
      <c r="PF27" s="44">
        <v>80</v>
      </c>
      <c r="PG27" s="44">
        <v>80</v>
      </c>
      <c r="PH27" s="47">
        <v>-4</v>
      </c>
      <c r="PI27" s="45"/>
      <c r="PJ27" s="25">
        <v>96</v>
      </c>
      <c r="PK27" s="44">
        <v>0</v>
      </c>
      <c r="PL27" s="44">
        <v>80</v>
      </c>
      <c r="PM27" s="44">
        <v>80</v>
      </c>
      <c r="PN27" s="47">
        <v>96</v>
      </c>
      <c r="PO27" s="45"/>
      <c r="PP27" s="46">
        <v>280</v>
      </c>
      <c r="PQ27" s="44">
        <v>280</v>
      </c>
      <c r="PR27" s="44">
        <v>328</v>
      </c>
      <c r="PS27" s="44">
        <v>320</v>
      </c>
      <c r="PT27" s="47">
        <v>8</v>
      </c>
      <c r="PU27" s="45"/>
      <c r="PV27" s="46">
        <v>400</v>
      </c>
      <c r="PW27" s="44">
        <v>400</v>
      </c>
      <c r="PX27" s="47">
        <v>0</v>
      </c>
      <c r="PY27" s="45"/>
      <c r="PZ27" s="46">
        <v>272</v>
      </c>
      <c r="QA27" s="44">
        <v>270</v>
      </c>
      <c r="QB27" s="47">
        <v>2</v>
      </c>
      <c r="QC27" s="45"/>
      <c r="QD27" s="46">
        <v>0</v>
      </c>
      <c r="QE27" s="44">
        <v>0</v>
      </c>
      <c r="QF27" s="44">
        <v>0</v>
      </c>
      <c r="QG27" s="44">
        <v>0</v>
      </c>
      <c r="QH27" s="47">
        <v>0</v>
      </c>
      <c r="QI27" s="45"/>
      <c r="QJ27" s="46">
        <v>96</v>
      </c>
      <c r="QK27" s="44">
        <v>100</v>
      </c>
      <c r="QL27" s="47">
        <v>-4</v>
      </c>
      <c r="QM27" s="45"/>
      <c r="QN27" s="46">
        <v>200</v>
      </c>
      <c r="QO27" s="44">
        <v>200</v>
      </c>
      <c r="QP27" s="44">
        <v>136</v>
      </c>
      <c r="QQ27" s="44">
        <v>140</v>
      </c>
      <c r="QR27" s="47">
        <v>-4</v>
      </c>
      <c r="QS27" s="45"/>
      <c r="QT27" s="46">
        <v>0</v>
      </c>
      <c r="QU27" s="44">
        <v>0</v>
      </c>
      <c r="QV27" s="47">
        <v>0</v>
      </c>
      <c r="QW27" s="45"/>
      <c r="QX27" s="46">
        <v>0</v>
      </c>
      <c r="QY27" s="44">
        <v>0</v>
      </c>
      <c r="QZ27" s="44">
        <v>96</v>
      </c>
      <c r="RA27" s="44">
        <v>100</v>
      </c>
      <c r="RB27" s="47">
        <v>-4</v>
      </c>
      <c r="RC27" s="45"/>
      <c r="RD27" s="42">
        <v>112</v>
      </c>
      <c r="RE27" s="44">
        <v>110</v>
      </c>
      <c r="RF27" s="44">
        <v>104</v>
      </c>
      <c r="RG27" s="44">
        <v>109</v>
      </c>
      <c r="RH27" s="47">
        <v>-3</v>
      </c>
      <c r="RI27" s="45"/>
      <c r="RJ27" s="42">
        <v>48</v>
      </c>
      <c r="RK27" s="47">
        <v>50</v>
      </c>
      <c r="RL27" s="47">
        <v>0</v>
      </c>
      <c r="RM27" s="47">
        <v>0</v>
      </c>
      <c r="RN27" s="47">
        <v>-2</v>
      </c>
      <c r="RO27" s="43"/>
      <c r="RP27" s="42">
        <v>72</v>
      </c>
      <c r="RQ27" s="47">
        <v>74</v>
      </c>
      <c r="RR27" s="47">
        <v>-2</v>
      </c>
      <c r="RS27" s="43"/>
      <c r="RT27" s="42">
        <v>0</v>
      </c>
      <c r="RU27" s="47">
        <v>0</v>
      </c>
      <c r="RV27" s="47">
        <v>0</v>
      </c>
      <c r="RW27" s="47">
        <v>0</v>
      </c>
      <c r="RX27" s="47">
        <v>0</v>
      </c>
      <c r="RY27" s="43"/>
      <c r="RZ27" s="42">
        <v>96</v>
      </c>
      <c r="SA27" s="47">
        <v>100</v>
      </c>
      <c r="SB27" s="47">
        <v>152</v>
      </c>
      <c r="SC27" s="47">
        <v>150</v>
      </c>
      <c r="SD27" s="47">
        <v>-2</v>
      </c>
      <c r="SE27" s="43"/>
      <c r="SF27" s="42">
        <v>48</v>
      </c>
      <c r="SG27" s="47">
        <v>50</v>
      </c>
      <c r="SH27" s="47">
        <v>48</v>
      </c>
      <c r="SI27" s="47">
        <v>50</v>
      </c>
      <c r="SJ27" s="47">
        <v>-4</v>
      </c>
      <c r="SK27" s="43"/>
      <c r="SL27" s="42">
        <v>200</v>
      </c>
      <c r="SM27" s="47">
        <v>200</v>
      </c>
      <c r="SN27" s="47">
        <v>0</v>
      </c>
      <c r="SO27" s="43"/>
      <c r="SP27" s="42">
        <v>0</v>
      </c>
      <c r="SQ27" s="47">
        <v>0</v>
      </c>
      <c r="SR27" s="47">
        <v>296</v>
      </c>
      <c r="SS27" s="47">
        <v>300</v>
      </c>
      <c r="ST27" s="47">
        <v>-4</v>
      </c>
      <c r="SU27" s="43"/>
    </row>
    <row r="28" spans="1:515" x14ac:dyDescent="0.25">
      <c r="A28" s="47" t="s">
        <v>335</v>
      </c>
      <c r="B28" s="41">
        <v>1</v>
      </c>
      <c r="J28" s="42"/>
      <c r="K28" s="51"/>
      <c r="L28" s="51"/>
      <c r="M28" s="51"/>
      <c r="N28" s="51">
        <f t="shared" si="9"/>
        <v>0</v>
      </c>
      <c r="O28" s="43"/>
      <c r="P28" s="46"/>
      <c r="Q28" s="51"/>
      <c r="R28" s="51"/>
      <c r="S28" s="51"/>
      <c r="T28" s="51">
        <f t="shared" si="10"/>
        <v>0</v>
      </c>
      <c r="U28" s="43"/>
      <c r="V28" s="42"/>
      <c r="W28" s="51"/>
      <c r="X28" s="51"/>
      <c r="Y28" s="51"/>
      <c r="Z28" s="51">
        <f t="shared" si="11"/>
        <v>0</v>
      </c>
      <c r="AA28" s="43"/>
      <c r="AB28" s="42"/>
      <c r="AC28" s="51"/>
      <c r="AD28" s="51"/>
      <c r="AE28" s="51"/>
      <c r="AF28" s="51">
        <v>0</v>
      </c>
      <c r="AG28" s="43"/>
      <c r="AH28" s="51"/>
      <c r="AL28" s="47">
        <v>0</v>
      </c>
      <c r="AM28" s="43"/>
      <c r="AN28" s="42"/>
      <c r="AR28" s="47">
        <v>0</v>
      </c>
      <c r="AS28" s="43"/>
      <c r="AX28" s="47">
        <v>0</v>
      </c>
      <c r="AY28" s="43"/>
      <c r="BD28" s="47">
        <v>0</v>
      </c>
      <c r="BE28" s="43"/>
      <c r="BF28" s="42"/>
      <c r="BJ28" s="47">
        <v>0</v>
      </c>
      <c r="BK28" s="43"/>
      <c r="BL28" s="42"/>
      <c r="BP28" s="47">
        <v>0</v>
      </c>
      <c r="BQ28" s="43"/>
      <c r="BV28" s="47">
        <v>0</v>
      </c>
      <c r="BW28" s="43"/>
      <c r="BX28" s="42"/>
      <c r="CB28" s="47">
        <v>0</v>
      </c>
      <c r="CC28" s="43"/>
      <c r="CH28" s="47">
        <v>0</v>
      </c>
      <c r="CI28" s="43"/>
      <c r="CN28" s="47">
        <v>0</v>
      </c>
      <c r="CO28" s="43"/>
      <c r="CP28" s="42"/>
      <c r="CT28" s="47">
        <v>0</v>
      </c>
      <c r="CU28" s="43"/>
      <c r="CV28" s="42"/>
      <c r="CZ28" s="47">
        <v>0</v>
      </c>
      <c r="DA28" s="43"/>
      <c r="DG28" s="47">
        <v>0</v>
      </c>
      <c r="DH28" s="43"/>
      <c r="DK28" s="47">
        <v>0</v>
      </c>
      <c r="DL28" s="43"/>
      <c r="DM28" s="42"/>
      <c r="DQ28" s="47">
        <v>0</v>
      </c>
      <c r="DR28" s="43"/>
      <c r="DW28" s="47">
        <v>0</v>
      </c>
      <c r="DX28" s="43"/>
      <c r="EC28" s="47">
        <v>0</v>
      </c>
      <c r="ED28" s="43"/>
      <c r="EE28" s="42"/>
      <c r="EI28" s="47">
        <v>0</v>
      </c>
      <c r="EJ28" s="43"/>
      <c r="EO28" s="47">
        <v>0</v>
      </c>
      <c r="EP28" s="43"/>
      <c r="EQ28" s="42"/>
      <c r="EU28" s="47">
        <v>0</v>
      </c>
      <c r="EV28" s="43"/>
      <c r="EW28" s="42"/>
      <c r="FC28" s="47">
        <v>0</v>
      </c>
      <c r="FD28" s="43"/>
      <c r="FE28" s="42"/>
      <c r="FI28" s="47">
        <v>0</v>
      </c>
      <c r="FJ28" s="43"/>
      <c r="FQ28" s="47">
        <v>0</v>
      </c>
      <c r="FR28" s="43"/>
      <c r="FS28" s="42"/>
      <c r="FW28" s="47">
        <v>0</v>
      </c>
      <c r="FX28" s="43"/>
      <c r="FY28" s="42"/>
      <c r="GC28" s="47">
        <v>0</v>
      </c>
      <c r="GD28" s="43"/>
      <c r="GE28" s="42"/>
      <c r="GI28" s="47">
        <v>0</v>
      </c>
      <c r="GJ28" s="43"/>
      <c r="GQ28" s="47">
        <v>0</v>
      </c>
      <c r="GR28" s="43"/>
      <c r="GX28" s="47">
        <v>0</v>
      </c>
      <c r="GY28" s="43"/>
      <c r="GZ28" s="42"/>
      <c r="HC28" s="47">
        <v>0</v>
      </c>
      <c r="HD28" s="43"/>
      <c r="HE28" s="42"/>
      <c r="HH28" s="47">
        <v>0</v>
      </c>
      <c r="HI28" s="43"/>
      <c r="HN28" s="47">
        <v>0</v>
      </c>
      <c r="HO28" s="43"/>
      <c r="HP28" s="42"/>
      <c r="HU28" s="47">
        <v>0</v>
      </c>
      <c r="HV28" s="43"/>
      <c r="IA28" s="47">
        <v>0</v>
      </c>
      <c r="IB28" s="43"/>
      <c r="IC28" s="42"/>
      <c r="IG28" s="47">
        <v>0</v>
      </c>
      <c r="IH28" s="43"/>
      <c r="IM28" s="47">
        <v>0</v>
      </c>
      <c r="IN28" s="43"/>
      <c r="IO28" s="42"/>
      <c r="IQ28" s="47">
        <v>0</v>
      </c>
      <c r="IR28" s="43"/>
      <c r="IS28" s="42"/>
      <c r="IW28" s="47">
        <v>0</v>
      </c>
      <c r="IX28" s="43"/>
      <c r="IY28" s="42"/>
      <c r="JA28" s="47">
        <v>0</v>
      </c>
      <c r="JB28" s="43"/>
      <c r="JC28" s="42"/>
      <c r="JG28" s="47">
        <v>0</v>
      </c>
      <c r="JH28" s="43"/>
      <c r="JO28" s="47">
        <v>0</v>
      </c>
      <c r="JP28" s="43"/>
      <c r="JQ28" s="42"/>
      <c r="JU28" s="47">
        <v>0</v>
      </c>
      <c r="JV28" s="43"/>
      <c r="KA28" s="47">
        <v>0</v>
      </c>
      <c r="KB28" s="45"/>
      <c r="KG28" s="47">
        <v>0</v>
      </c>
      <c r="KH28" s="45"/>
      <c r="KI28">
        <v>38</v>
      </c>
      <c r="KJ28">
        <v>50</v>
      </c>
      <c r="KK28">
        <v>29</v>
      </c>
      <c r="KL28">
        <v>30</v>
      </c>
      <c r="KM28" s="50">
        <v>-13</v>
      </c>
      <c r="KN28" s="45">
        <v>13</v>
      </c>
      <c r="KO28">
        <v>70</v>
      </c>
      <c r="KP28">
        <v>70</v>
      </c>
      <c r="KQ28">
        <v>50</v>
      </c>
      <c r="KR28">
        <v>50</v>
      </c>
      <c r="KS28" s="47">
        <v>0</v>
      </c>
      <c r="KT28" s="43"/>
      <c r="KU28">
        <v>42</v>
      </c>
      <c r="KV28">
        <v>40</v>
      </c>
      <c r="KW28" s="47">
        <v>2</v>
      </c>
      <c r="KX28" s="45"/>
      <c r="LA28">
        <v>80</v>
      </c>
      <c r="LB28">
        <v>79</v>
      </c>
      <c r="LC28" s="47">
        <v>1</v>
      </c>
      <c r="LD28" s="43"/>
      <c r="LE28" s="40">
        <v>51</v>
      </c>
      <c r="LF28" s="44">
        <v>50</v>
      </c>
      <c r="LG28" s="47">
        <v>1</v>
      </c>
      <c r="LH28" s="45"/>
      <c r="LK28">
        <v>51</v>
      </c>
      <c r="LL28">
        <v>50</v>
      </c>
      <c r="LM28" s="47">
        <v>1</v>
      </c>
      <c r="LN28" s="45"/>
      <c r="LQ28">
        <v>90</v>
      </c>
      <c r="LR28">
        <v>90</v>
      </c>
      <c r="LS28" s="47">
        <v>0</v>
      </c>
      <c r="LT28" s="45"/>
      <c r="LU28">
        <v>30</v>
      </c>
      <c r="LV28">
        <v>30</v>
      </c>
      <c r="LY28" s="47">
        <v>0</v>
      </c>
      <c r="LZ28" s="45"/>
      <c r="MC28">
        <v>89</v>
      </c>
      <c r="MD28">
        <v>90</v>
      </c>
      <c r="ME28" s="47">
        <v>-1</v>
      </c>
      <c r="MF28" s="45"/>
      <c r="MG28" s="46"/>
      <c r="MI28">
        <v>37</v>
      </c>
      <c r="MJ28">
        <v>40</v>
      </c>
      <c r="MK28">
        <v>42</v>
      </c>
      <c r="ML28">
        <v>40</v>
      </c>
      <c r="MM28" s="47">
        <v>-1</v>
      </c>
      <c r="MN28" s="45"/>
      <c r="MO28" s="44">
        <v>0</v>
      </c>
      <c r="MP28" s="44">
        <v>0</v>
      </c>
      <c r="MQ28" s="44">
        <v>41.96</v>
      </c>
      <c r="MR28" s="44">
        <v>40</v>
      </c>
      <c r="MS28" s="47">
        <v>1.9600000000000011</v>
      </c>
      <c r="MT28" s="45"/>
      <c r="MU28" s="44">
        <v>0</v>
      </c>
      <c r="MV28" s="44">
        <v>0</v>
      </c>
      <c r="MW28" s="44">
        <v>11.670999999999999</v>
      </c>
      <c r="MX28" s="44">
        <v>10</v>
      </c>
      <c r="MY28" s="47">
        <v>1.6709999999999989</v>
      </c>
      <c r="MZ28" s="45"/>
      <c r="NA28" s="46">
        <v>41.802999999999997</v>
      </c>
      <c r="NB28" s="44">
        <v>40</v>
      </c>
      <c r="NC28" s="47">
        <v>1.802999999999997</v>
      </c>
      <c r="ND28" s="45"/>
      <c r="NE28" s="46">
        <v>0</v>
      </c>
      <c r="NF28" s="44">
        <v>0</v>
      </c>
      <c r="NG28" s="44">
        <v>59.366</v>
      </c>
      <c r="NH28" s="44">
        <v>0</v>
      </c>
      <c r="NI28" s="44">
        <v>60</v>
      </c>
      <c r="NJ28" s="47">
        <v>-0.63400000000000034</v>
      </c>
      <c r="NK28" s="45"/>
      <c r="NL28" s="46">
        <v>72.188000000000002</v>
      </c>
      <c r="NM28" s="44">
        <v>72</v>
      </c>
      <c r="NN28" s="44">
        <v>128.93899999999999</v>
      </c>
      <c r="NO28" s="44">
        <v>128</v>
      </c>
      <c r="NP28" s="47">
        <v>1.12700000000001</v>
      </c>
      <c r="NQ28" s="45"/>
      <c r="NR28" s="46">
        <v>42.645000000000003</v>
      </c>
      <c r="NS28" s="44">
        <v>40</v>
      </c>
      <c r="NT28" s="47">
        <v>2.6450000000000031</v>
      </c>
      <c r="NU28" s="45"/>
      <c r="NV28" s="46">
        <v>0</v>
      </c>
      <c r="NW28" s="44">
        <v>0</v>
      </c>
      <c r="NX28" s="44">
        <v>0</v>
      </c>
      <c r="NY28" s="44">
        <v>0</v>
      </c>
      <c r="NZ28" s="47">
        <v>0</v>
      </c>
      <c r="OA28" s="45"/>
      <c r="OB28" s="46">
        <v>241.34</v>
      </c>
      <c r="OC28" s="44">
        <v>240</v>
      </c>
      <c r="OD28" s="47">
        <v>1.340000000000003</v>
      </c>
      <c r="OE28" s="45"/>
      <c r="OF28" s="46">
        <v>21.297999999999998</v>
      </c>
      <c r="OG28" s="44">
        <v>20</v>
      </c>
      <c r="OH28" s="44">
        <v>20.956</v>
      </c>
      <c r="OI28" s="44">
        <v>20</v>
      </c>
      <c r="OJ28" s="47">
        <v>2.2539999999999978</v>
      </c>
      <c r="OK28" s="45"/>
      <c r="OL28" s="44">
        <v>0</v>
      </c>
      <c r="OM28" s="43"/>
      <c r="ON28" s="44">
        <v>51.115000000000002</v>
      </c>
      <c r="OO28" s="44">
        <v>50</v>
      </c>
      <c r="OP28" s="47">
        <v>1.115000000000002</v>
      </c>
      <c r="OQ28" s="45"/>
      <c r="OR28" s="46">
        <v>0</v>
      </c>
      <c r="OS28" s="44">
        <v>0</v>
      </c>
      <c r="OT28" s="44">
        <v>110.586</v>
      </c>
      <c r="OU28" s="44">
        <v>110</v>
      </c>
      <c r="OV28" s="47">
        <v>0.58599999999999852</v>
      </c>
      <c r="OW28" s="45"/>
      <c r="OX28" s="46">
        <v>0</v>
      </c>
      <c r="OY28" s="44">
        <v>0</v>
      </c>
      <c r="OZ28" s="44">
        <v>48.189</v>
      </c>
      <c r="PA28" s="44">
        <v>46</v>
      </c>
      <c r="PB28" s="47">
        <v>2.1890000000000001</v>
      </c>
      <c r="PC28" s="45"/>
      <c r="PD28" s="46">
        <v>0</v>
      </c>
      <c r="PE28" s="44">
        <v>0</v>
      </c>
      <c r="PF28" s="44">
        <v>0</v>
      </c>
      <c r="PG28" s="44">
        <v>0</v>
      </c>
      <c r="PH28" s="47">
        <v>0</v>
      </c>
      <c r="PI28" s="45"/>
      <c r="PJ28" s="46">
        <v>0</v>
      </c>
      <c r="PK28" s="44">
        <v>0</v>
      </c>
      <c r="PL28" s="44">
        <v>50.835000000000001</v>
      </c>
      <c r="PM28" s="44">
        <v>50</v>
      </c>
      <c r="PN28" s="47">
        <v>0.83500000000000085</v>
      </c>
      <c r="PO28" s="45"/>
      <c r="PP28" s="46">
        <v>0</v>
      </c>
      <c r="PQ28" s="44">
        <v>0</v>
      </c>
      <c r="PR28" s="44">
        <v>171.99600000000001</v>
      </c>
      <c r="PS28" s="44">
        <v>170</v>
      </c>
      <c r="PT28" s="47">
        <v>1.9960000000000091</v>
      </c>
      <c r="PU28" s="45"/>
      <c r="PV28" s="46">
        <v>0</v>
      </c>
      <c r="PW28" s="44">
        <v>0</v>
      </c>
      <c r="PX28" s="47">
        <v>0</v>
      </c>
      <c r="PY28" s="45"/>
      <c r="PZ28" s="46">
        <v>0</v>
      </c>
      <c r="QA28" s="44">
        <v>0</v>
      </c>
      <c r="QB28" s="47">
        <v>0</v>
      </c>
      <c r="QC28" s="45"/>
      <c r="QD28" s="46">
        <v>0</v>
      </c>
      <c r="QE28" s="44">
        <v>0</v>
      </c>
      <c r="QF28" s="44">
        <v>71.625</v>
      </c>
      <c r="QG28" s="44">
        <v>70</v>
      </c>
      <c r="QH28" s="47">
        <v>1.625</v>
      </c>
      <c r="QI28" s="45"/>
      <c r="QJ28" s="23">
        <v>237.738</v>
      </c>
      <c r="QK28" s="44">
        <v>0</v>
      </c>
      <c r="QL28" s="47">
        <v>0</v>
      </c>
      <c r="QM28" s="45"/>
      <c r="QN28" s="46"/>
      <c r="QS28" s="45"/>
      <c r="QT28" s="46"/>
      <c r="QW28" s="45"/>
      <c r="QX28" s="46"/>
      <c r="RC28" s="45"/>
      <c r="RD28" s="42"/>
      <c r="RE28" s="44"/>
      <c r="RG28" s="44"/>
      <c r="RI28" s="45"/>
      <c r="RJ28" s="42"/>
      <c r="RO28" s="43"/>
      <c r="RP28" s="42"/>
      <c r="RS28" s="43"/>
      <c r="RT28" s="42"/>
      <c r="RY28" s="43"/>
      <c r="RZ28" s="42"/>
      <c r="SE28" s="43"/>
      <c r="SF28" s="42"/>
      <c r="SK28" s="43"/>
      <c r="SL28" s="42"/>
      <c r="SO28" s="43"/>
      <c r="SP28" s="42"/>
      <c r="SU28" s="43"/>
    </row>
    <row r="29" spans="1:515" x14ac:dyDescent="0.25">
      <c r="A29" s="47" t="s">
        <v>336</v>
      </c>
      <c r="B29" s="41">
        <v>0.25</v>
      </c>
      <c r="J29" s="42"/>
      <c r="K29" s="51"/>
      <c r="L29" s="51"/>
      <c r="M29" s="51"/>
      <c r="N29" s="51">
        <f t="shared" si="9"/>
        <v>0</v>
      </c>
      <c r="O29" s="43"/>
      <c r="P29" s="46"/>
      <c r="Q29" s="51"/>
      <c r="R29" s="51"/>
      <c r="S29" s="51"/>
      <c r="T29" s="51">
        <f t="shared" si="10"/>
        <v>0</v>
      </c>
      <c r="U29" s="43"/>
      <c r="V29" s="42"/>
      <c r="W29" s="51"/>
      <c r="X29" s="51"/>
      <c r="Y29" s="51"/>
      <c r="Z29" s="51">
        <f t="shared" si="11"/>
        <v>0</v>
      </c>
      <c r="AA29" s="43"/>
      <c r="AB29" s="42"/>
      <c r="AC29" s="51"/>
      <c r="AD29" s="51"/>
      <c r="AE29" s="51"/>
      <c r="AF29" s="51">
        <v>0</v>
      </c>
      <c r="AG29" s="43"/>
      <c r="AH29" s="51"/>
      <c r="AL29" s="47">
        <v>0</v>
      </c>
      <c r="AM29" s="43"/>
      <c r="AN29" s="42"/>
      <c r="AR29" s="47">
        <v>0</v>
      </c>
      <c r="AS29" s="43"/>
      <c r="AU29" s="48">
        <v>24</v>
      </c>
      <c r="AW29" s="48">
        <v>24</v>
      </c>
      <c r="AX29" s="47">
        <v>0</v>
      </c>
      <c r="AY29" s="43"/>
      <c r="BA29">
        <v>50</v>
      </c>
      <c r="BC29">
        <v>50</v>
      </c>
      <c r="BD29" s="50">
        <v>-100</v>
      </c>
      <c r="BE29" s="43">
        <v>25</v>
      </c>
      <c r="BF29" s="42"/>
      <c r="BG29">
        <v>32</v>
      </c>
      <c r="BI29">
        <v>48</v>
      </c>
      <c r="BJ29" s="50">
        <v>-80</v>
      </c>
      <c r="BK29" s="43">
        <v>20</v>
      </c>
      <c r="BL29" s="42"/>
      <c r="BM29">
        <v>48</v>
      </c>
      <c r="BO29">
        <v>65</v>
      </c>
      <c r="BP29" s="50">
        <v>-113</v>
      </c>
      <c r="BQ29" s="43">
        <v>28.25</v>
      </c>
      <c r="BS29">
        <v>100</v>
      </c>
      <c r="BU29">
        <v>130</v>
      </c>
      <c r="BV29" s="50">
        <v>-230</v>
      </c>
      <c r="BW29" s="43">
        <v>57.5</v>
      </c>
      <c r="BX29" s="42"/>
      <c r="CB29" s="47">
        <v>0</v>
      </c>
      <c r="CC29" s="43"/>
      <c r="CD29">
        <v>136</v>
      </c>
      <c r="CE29">
        <v>140</v>
      </c>
      <c r="CF29">
        <v>136</v>
      </c>
      <c r="CG29">
        <v>140</v>
      </c>
      <c r="CH29" s="47">
        <v>-8</v>
      </c>
      <c r="CI29" s="43"/>
      <c r="CK29">
        <v>80</v>
      </c>
      <c r="CM29">
        <v>91</v>
      </c>
      <c r="CN29" s="50">
        <v>-171</v>
      </c>
      <c r="CO29" s="43">
        <v>42.75</v>
      </c>
      <c r="CP29" s="40">
        <v>32</v>
      </c>
      <c r="CQ29">
        <v>32</v>
      </c>
      <c r="CR29">
        <v>40</v>
      </c>
      <c r="CS29">
        <v>45</v>
      </c>
      <c r="CT29" s="47">
        <v>-5</v>
      </c>
      <c r="CU29" s="43"/>
      <c r="CV29" s="42"/>
      <c r="CW29">
        <v>170</v>
      </c>
      <c r="CX29">
        <v>168</v>
      </c>
      <c r="CY29">
        <v>171</v>
      </c>
      <c r="CZ29" s="50">
        <v>-173</v>
      </c>
      <c r="DA29" s="43">
        <v>43.25</v>
      </c>
      <c r="DB29">
        <v>80</v>
      </c>
      <c r="DC29">
        <v>80</v>
      </c>
      <c r="DE29">
        <v>72</v>
      </c>
      <c r="DF29">
        <v>74</v>
      </c>
      <c r="DG29" s="47">
        <v>-2</v>
      </c>
      <c r="DH29" s="43"/>
      <c r="DI29">
        <v>80</v>
      </c>
      <c r="DJ29">
        <v>80</v>
      </c>
      <c r="DK29" s="47">
        <v>0</v>
      </c>
      <c r="DL29" s="43"/>
      <c r="DM29" s="40">
        <v>160</v>
      </c>
      <c r="DN29">
        <v>159</v>
      </c>
      <c r="DO29">
        <v>56</v>
      </c>
      <c r="DP29">
        <v>59</v>
      </c>
      <c r="DQ29" s="47">
        <v>-2</v>
      </c>
      <c r="DR29" s="43"/>
      <c r="DU29">
        <v>104</v>
      </c>
      <c r="DV29">
        <v>107</v>
      </c>
      <c r="DW29" s="47">
        <v>-3</v>
      </c>
      <c r="DX29" s="43"/>
      <c r="EC29" s="47">
        <v>0</v>
      </c>
      <c r="ED29" s="43"/>
      <c r="EE29" s="42"/>
      <c r="EG29">
        <v>112</v>
      </c>
      <c r="EH29">
        <v>110</v>
      </c>
      <c r="EI29" s="47">
        <v>2</v>
      </c>
      <c r="EJ29" s="43"/>
      <c r="EO29" s="47">
        <v>0</v>
      </c>
      <c r="EP29" s="43"/>
      <c r="EQ29" s="42"/>
      <c r="EU29" s="47">
        <v>0</v>
      </c>
      <c r="EV29" s="43"/>
      <c r="EW29" s="42"/>
      <c r="EY29">
        <v>200</v>
      </c>
      <c r="EZ29">
        <v>200</v>
      </c>
      <c r="FA29">
        <v>96</v>
      </c>
      <c r="FB29">
        <v>100</v>
      </c>
      <c r="FC29" s="47">
        <v>-4</v>
      </c>
      <c r="FD29" s="43"/>
      <c r="FE29" s="40">
        <v>80</v>
      </c>
      <c r="FF29">
        <v>80</v>
      </c>
      <c r="FG29">
        <v>96</v>
      </c>
      <c r="FH29">
        <v>100</v>
      </c>
      <c r="FI29" s="47">
        <v>-4</v>
      </c>
      <c r="FJ29" s="43"/>
      <c r="FM29">
        <v>40</v>
      </c>
      <c r="FN29">
        <v>40</v>
      </c>
      <c r="FQ29" s="47">
        <v>0</v>
      </c>
      <c r="FR29" s="43"/>
      <c r="FS29" s="42"/>
      <c r="FU29">
        <v>56</v>
      </c>
      <c r="FV29">
        <v>59</v>
      </c>
      <c r="FW29" s="47">
        <v>-3</v>
      </c>
      <c r="FX29" s="43"/>
      <c r="FY29" s="42"/>
      <c r="GA29">
        <v>80</v>
      </c>
      <c r="GB29">
        <v>80</v>
      </c>
      <c r="GC29" s="47">
        <v>0</v>
      </c>
      <c r="GD29" s="43"/>
      <c r="GE29" s="40">
        <v>128</v>
      </c>
      <c r="GF29">
        <v>128</v>
      </c>
      <c r="GG29">
        <v>128</v>
      </c>
      <c r="GH29">
        <v>132</v>
      </c>
      <c r="GI29" s="47">
        <v>-4</v>
      </c>
      <c r="GJ29" s="43"/>
      <c r="GM29">
        <v>64</v>
      </c>
      <c r="GN29">
        <v>64</v>
      </c>
      <c r="GO29">
        <v>72</v>
      </c>
      <c r="GP29">
        <v>76</v>
      </c>
      <c r="GQ29" s="47">
        <v>-4</v>
      </c>
      <c r="GR29" s="43"/>
      <c r="GU29">
        <v>128</v>
      </c>
      <c r="GW29">
        <v>130</v>
      </c>
      <c r="GX29" s="47">
        <v>-2</v>
      </c>
      <c r="GY29" s="43"/>
      <c r="GZ29" s="40">
        <v>120</v>
      </c>
      <c r="HB29" s="44">
        <v>121.4</v>
      </c>
      <c r="HC29" s="47">
        <v>-1.4000000000000059</v>
      </c>
      <c r="HD29" s="43"/>
      <c r="HE29" s="42"/>
      <c r="HH29" s="47">
        <v>0</v>
      </c>
      <c r="HI29" s="43"/>
      <c r="HN29" s="47">
        <v>0</v>
      </c>
      <c r="HO29" s="43"/>
      <c r="HP29" s="40">
        <v>152</v>
      </c>
      <c r="HR29">
        <v>150</v>
      </c>
      <c r="HS29">
        <v>168</v>
      </c>
      <c r="HT29">
        <v>170</v>
      </c>
      <c r="HU29" s="47">
        <v>0</v>
      </c>
      <c r="HV29" s="43"/>
      <c r="HY29">
        <v>72</v>
      </c>
      <c r="HZ29">
        <v>70</v>
      </c>
      <c r="IA29" s="47">
        <v>2</v>
      </c>
      <c r="IB29" s="43"/>
      <c r="IC29" s="42"/>
      <c r="IE29">
        <v>8</v>
      </c>
      <c r="IF29">
        <v>13</v>
      </c>
      <c r="IG29" s="47">
        <v>-5</v>
      </c>
      <c r="IH29" s="43"/>
      <c r="IM29" s="47">
        <v>0</v>
      </c>
      <c r="IN29" s="43"/>
      <c r="IO29" s="40">
        <v>272</v>
      </c>
      <c r="IP29" s="44">
        <v>270</v>
      </c>
      <c r="IQ29" s="47">
        <v>2</v>
      </c>
      <c r="IR29" s="43"/>
      <c r="IS29" s="42"/>
      <c r="IU29">
        <v>80</v>
      </c>
      <c r="IV29">
        <v>85</v>
      </c>
      <c r="IW29" s="47">
        <v>-5</v>
      </c>
      <c r="IX29" s="43"/>
      <c r="IY29" s="40">
        <v>168</v>
      </c>
      <c r="IZ29">
        <v>170</v>
      </c>
      <c r="JA29" s="47">
        <v>-2</v>
      </c>
      <c r="JB29" s="43"/>
      <c r="JC29" s="42"/>
      <c r="JE29">
        <v>128</v>
      </c>
      <c r="JF29">
        <v>130</v>
      </c>
      <c r="JG29" s="47">
        <v>-2</v>
      </c>
      <c r="JH29" s="43"/>
      <c r="JM29">
        <v>72</v>
      </c>
      <c r="JN29">
        <v>75</v>
      </c>
      <c r="JO29" s="47">
        <v>-3</v>
      </c>
      <c r="JP29" s="43"/>
      <c r="JQ29" s="42"/>
      <c r="JS29">
        <v>88</v>
      </c>
      <c r="JT29">
        <v>90</v>
      </c>
      <c r="JU29" s="47">
        <v>-2</v>
      </c>
      <c r="JV29" s="43"/>
      <c r="KA29" s="47">
        <v>0</v>
      </c>
      <c r="KB29" s="45"/>
      <c r="KC29">
        <v>152</v>
      </c>
      <c r="KD29">
        <v>150</v>
      </c>
      <c r="KE29">
        <v>200</v>
      </c>
      <c r="KF29">
        <v>200</v>
      </c>
      <c r="KG29" s="47">
        <v>2</v>
      </c>
      <c r="KH29" s="45"/>
      <c r="KI29">
        <v>64</v>
      </c>
      <c r="KJ29">
        <v>65</v>
      </c>
      <c r="KM29" s="47">
        <v>-1</v>
      </c>
      <c r="KN29" s="45"/>
      <c r="KS29" s="47">
        <v>0</v>
      </c>
      <c r="KT29" s="43"/>
      <c r="KU29">
        <v>80</v>
      </c>
      <c r="KV29">
        <v>80</v>
      </c>
      <c r="KW29" s="47">
        <v>0</v>
      </c>
      <c r="KX29" s="45"/>
      <c r="KY29">
        <v>152</v>
      </c>
      <c r="KZ29">
        <v>150</v>
      </c>
      <c r="LA29">
        <v>128</v>
      </c>
      <c r="LB29">
        <v>131</v>
      </c>
      <c r="LC29" s="47">
        <v>-1</v>
      </c>
      <c r="LD29" s="43"/>
      <c r="LE29" s="40">
        <v>56</v>
      </c>
      <c r="LF29" s="44">
        <v>60</v>
      </c>
      <c r="LG29" s="47">
        <v>-4</v>
      </c>
      <c r="LH29" s="45"/>
      <c r="LK29">
        <v>144</v>
      </c>
      <c r="LL29">
        <v>144</v>
      </c>
      <c r="LM29" s="47">
        <v>0</v>
      </c>
      <c r="LN29" s="45"/>
      <c r="LO29">
        <v>40</v>
      </c>
      <c r="LP29">
        <v>43</v>
      </c>
      <c r="LS29" s="47">
        <v>-3</v>
      </c>
      <c r="LT29" s="45"/>
      <c r="LU29">
        <v>40</v>
      </c>
      <c r="LV29">
        <v>40</v>
      </c>
      <c r="LY29" s="47">
        <v>0</v>
      </c>
      <c r="LZ29" s="45"/>
      <c r="MC29">
        <v>16</v>
      </c>
      <c r="MD29">
        <v>16</v>
      </c>
      <c r="ME29" s="47">
        <v>0</v>
      </c>
      <c r="MF29" s="45"/>
      <c r="MG29" s="40">
        <v>72</v>
      </c>
      <c r="MH29">
        <v>70</v>
      </c>
      <c r="MI29">
        <v>96</v>
      </c>
      <c r="MJ29">
        <v>100</v>
      </c>
      <c r="MK29">
        <v>80</v>
      </c>
      <c r="ML29">
        <v>80</v>
      </c>
      <c r="MM29" s="47">
        <v>-2</v>
      </c>
      <c r="MN29" s="45"/>
      <c r="MO29" s="44">
        <v>0</v>
      </c>
      <c r="MP29" s="44">
        <v>0</v>
      </c>
      <c r="MQ29" s="44">
        <v>0</v>
      </c>
      <c r="MR29" s="44">
        <v>0</v>
      </c>
      <c r="MS29" s="47">
        <v>0</v>
      </c>
      <c r="MT29" s="45"/>
      <c r="MU29" s="44">
        <v>0</v>
      </c>
      <c r="MV29" s="44">
        <v>0</v>
      </c>
      <c r="MW29" s="44">
        <v>112</v>
      </c>
      <c r="MX29" s="44">
        <v>110</v>
      </c>
      <c r="MY29" s="47">
        <v>2</v>
      </c>
      <c r="MZ29" s="45"/>
      <c r="NA29" s="46">
        <v>0</v>
      </c>
      <c r="NB29" s="44">
        <v>0</v>
      </c>
      <c r="NC29" s="47">
        <v>0</v>
      </c>
      <c r="ND29" s="45"/>
      <c r="NE29" s="46">
        <v>152</v>
      </c>
      <c r="NF29" s="44">
        <v>150</v>
      </c>
      <c r="NG29" s="44">
        <v>136</v>
      </c>
      <c r="NH29" s="44">
        <v>0</v>
      </c>
      <c r="NI29" s="44">
        <v>140</v>
      </c>
      <c r="NJ29" s="47">
        <v>-2</v>
      </c>
      <c r="NK29" s="45"/>
      <c r="NL29" s="46">
        <v>48</v>
      </c>
      <c r="NM29" s="44">
        <v>50</v>
      </c>
      <c r="NN29" s="44">
        <v>0</v>
      </c>
      <c r="NO29" s="44">
        <v>0</v>
      </c>
      <c r="NP29" s="47">
        <v>-2</v>
      </c>
      <c r="NQ29" s="45"/>
      <c r="NR29" s="46">
        <v>152</v>
      </c>
      <c r="NS29" s="44">
        <v>150</v>
      </c>
      <c r="NT29" s="47">
        <v>2</v>
      </c>
      <c r="NU29" s="45"/>
      <c r="NV29" s="46">
        <v>0</v>
      </c>
      <c r="NW29" s="44">
        <v>0</v>
      </c>
      <c r="NX29" s="44">
        <v>96</v>
      </c>
      <c r="NY29" s="44">
        <v>100</v>
      </c>
      <c r="NZ29" s="47">
        <v>-4</v>
      </c>
      <c r="OA29" s="45"/>
      <c r="OB29" s="46">
        <v>40</v>
      </c>
      <c r="OC29" s="44">
        <v>40</v>
      </c>
      <c r="OD29" s="47">
        <v>0</v>
      </c>
      <c r="OE29" s="45"/>
      <c r="OF29" s="46">
        <v>0</v>
      </c>
      <c r="OG29" s="44">
        <v>0</v>
      </c>
      <c r="OH29" s="44">
        <v>0</v>
      </c>
      <c r="OI29" s="44">
        <v>0</v>
      </c>
      <c r="OJ29" s="47">
        <v>0</v>
      </c>
      <c r="OK29" s="45"/>
      <c r="OL29" s="44">
        <v>0</v>
      </c>
      <c r="OM29" s="43"/>
      <c r="ON29" s="44">
        <v>0</v>
      </c>
      <c r="OO29" s="44">
        <v>0</v>
      </c>
      <c r="OP29" s="47">
        <v>0</v>
      </c>
      <c r="OQ29" s="45"/>
      <c r="OR29" s="46">
        <v>0</v>
      </c>
      <c r="OS29" s="44">
        <v>0</v>
      </c>
      <c r="OT29" s="44">
        <v>0</v>
      </c>
      <c r="OU29" s="44">
        <v>0</v>
      </c>
      <c r="OV29" s="47">
        <v>0</v>
      </c>
      <c r="OW29" s="45"/>
      <c r="OX29" s="25">
        <v>48</v>
      </c>
      <c r="OY29" s="44">
        <v>0</v>
      </c>
      <c r="OZ29" s="44">
        <v>0</v>
      </c>
      <c r="PA29" s="44">
        <v>0</v>
      </c>
      <c r="PB29" s="47">
        <v>48</v>
      </c>
      <c r="PC29" s="45"/>
      <c r="PD29" s="46">
        <v>80</v>
      </c>
      <c r="PE29" s="44">
        <v>80</v>
      </c>
      <c r="PF29" s="44">
        <v>120</v>
      </c>
      <c r="PG29" s="44">
        <v>120</v>
      </c>
      <c r="PH29" s="47">
        <v>0</v>
      </c>
      <c r="PI29" s="45"/>
      <c r="PJ29" s="25">
        <v>96</v>
      </c>
      <c r="PK29" s="44">
        <v>0</v>
      </c>
      <c r="PL29" s="44">
        <v>0</v>
      </c>
      <c r="PM29" s="44">
        <v>0</v>
      </c>
      <c r="PN29" s="47">
        <v>96</v>
      </c>
      <c r="PO29" s="45"/>
      <c r="PP29" s="46">
        <v>96</v>
      </c>
      <c r="PQ29" s="44">
        <v>100</v>
      </c>
      <c r="PR29" s="44">
        <v>96</v>
      </c>
      <c r="PS29" s="44">
        <v>100</v>
      </c>
      <c r="PT29" s="47">
        <v>-8</v>
      </c>
      <c r="PU29" s="45"/>
      <c r="PV29" s="46">
        <v>200</v>
      </c>
      <c r="PW29" s="44">
        <v>200</v>
      </c>
      <c r="PX29" s="47">
        <v>0</v>
      </c>
      <c r="PY29" s="45"/>
      <c r="PZ29" s="46">
        <v>8</v>
      </c>
      <c r="QA29" s="44">
        <v>13</v>
      </c>
      <c r="QB29" s="47">
        <v>-5</v>
      </c>
      <c r="QC29" s="45"/>
      <c r="QD29" s="46">
        <v>0</v>
      </c>
      <c r="QE29" s="44">
        <v>0</v>
      </c>
      <c r="QF29" s="44">
        <v>32</v>
      </c>
      <c r="QG29" s="44">
        <v>30</v>
      </c>
      <c r="QH29" s="47">
        <v>2</v>
      </c>
      <c r="QI29" s="45"/>
      <c r="QJ29" s="46">
        <v>0</v>
      </c>
      <c r="QK29" s="44">
        <v>0</v>
      </c>
      <c r="QL29" s="47">
        <v>0</v>
      </c>
      <c r="QM29" s="45"/>
      <c r="QN29" s="46">
        <v>0</v>
      </c>
      <c r="QO29" s="44">
        <v>0</v>
      </c>
      <c r="QP29" s="44">
        <v>40</v>
      </c>
      <c r="QQ29" s="44">
        <v>40</v>
      </c>
      <c r="QR29" s="47">
        <v>0</v>
      </c>
      <c r="QS29" s="45"/>
      <c r="QT29" s="46">
        <v>0</v>
      </c>
      <c r="QU29" s="44">
        <v>0</v>
      </c>
      <c r="QV29" s="47">
        <v>0</v>
      </c>
      <c r="QW29" s="45"/>
      <c r="QX29" s="46">
        <v>0</v>
      </c>
      <c r="QY29" s="44">
        <v>0</v>
      </c>
      <c r="QZ29" s="44">
        <v>0</v>
      </c>
      <c r="RA29" s="44">
        <v>0</v>
      </c>
      <c r="RB29" s="47">
        <v>0</v>
      </c>
      <c r="RC29" s="45"/>
      <c r="RD29" s="42">
        <v>0</v>
      </c>
      <c r="RE29" s="44">
        <v>0</v>
      </c>
      <c r="RF29" s="44">
        <v>0</v>
      </c>
      <c r="RG29" s="44">
        <v>0</v>
      </c>
      <c r="RH29" s="47">
        <v>0</v>
      </c>
      <c r="RI29" s="45"/>
      <c r="RJ29" s="42">
        <v>72</v>
      </c>
      <c r="RK29" s="47">
        <v>70</v>
      </c>
      <c r="RL29" s="47">
        <v>80</v>
      </c>
      <c r="RM29" s="47">
        <v>80</v>
      </c>
      <c r="RN29" s="47">
        <v>2</v>
      </c>
      <c r="RO29" s="43"/>
      <c r="RP29" s="42">
        <v>104</v>
      </c>
      <c r="RQ29" s="47">
        <v>107</v>
      </c>
      <c r="RR29" s="47">
        <v>-3</v>
      </c>
      <c r="RS29" s="43"/>
      <c r="RT29" s="42">
        <v>0</v>
      </c>
      <c r="RU29" s="47">
        <v>0</v>
      </c>
      <c r="RV29" s="47">
        <v>0</v>
      </c>
      <c r="RW29" s="47">
        <v>0</v>
      </c>
      <c r="RX29" s="47">
        <v>0</v>
      </c>
      <c r="RY29" s="43"/>
      <c r="RZ29" s="42">
        <v>48</v>
      </c>
      <c r="SA29" s="47">
        <v>50</v>
      </c>
      <c r="SB29" s="47">
        <v>48</v>
      </c>
      <c r="SC29" s="47">
        <v>50</v>
      </c>
      <c r="SD29" s="47">
        <v>-4</v>
      </c>
      <c r="SE29" s="43"/>
      <c r="SF29" s="42">
        <v>88</v>
      </c>
      <c r="SG29" s="47">
        <v>90</v>
      </c>
      <c r="SH29" s="47">
        <v>176</v>
      </c>
      <c r="SI29" s="47">
        <v>0</v>
      </c>
      <c r="SJ29" s="47">
        <v>174</v>
      </c>
      <c r="SK29" s="43"/>
      <c r="SL29" s="42">
        <v>120</v>
      </c>
      <c r="SM29" s="47">
        <v>120</v>
      </c>
      <c r="SN29" s="47">
        <v>0</v>
      </c>
      <c r="SO29" s="43"/>
      <c r="SP29" s="42">
        <v>0</v>
      </c>
      <c r="SQ29" s="47">
        <v>0</v>
      </c>
      <c r="SR29" s="47">
        <v>112</v>
      </c>
      <c r="SS29" s="47">
        <v>114</v>
      </c>
      <c r="ST29" s="47">
        <v>-2</v>
      </c>
      <c r="SU29" s="43"/>
    </row>
    <row r="30" spans="1:515" x14ac:dyDescent="0.25">
      <c r="A30" s="47" t="s">
        <v>337</v>
      </c>
      <c r="B30" s="41">
        <v>0.25</v>
      </c>
      <c r="J30" s="42"/>
      <c r="K30" s="51"/>
      <c r="L30" s="51"/>
      <c r="M30" s="51"/>
      <c r="N30" s="51">
        <f t="shared" si="9"/>
        <v>0</v>
      </c>
      <c r="O30" s="43"/>
      <c r="P30" s="46"/>
      <c r="Q30" s="51"/>
      <c r="R30" s="51"/>
      <c r="S30" s="51"/>
      <c r="T30" s="51">
        <f t="shared" si="10"/>
        <v>0</v>
      </c>
      <c r="U30" s="43"/>
      <c r="V30" s="42"/>
      <c r="W30" s="51"/>
      <c r="X30" s="51"/>
      <c r="Y30" s="51"/>
      <c r="Z30" s="51">
        <f t="shared" si="11"/>
        <v>0</v>
      </c>
      <c r="AA30" s="43"/>
      <c r="AB30" s="42"/>
      <c r="AC30" s="51"/>
      <c r="AD30" s="51"/>
      <c r="AE30" s="51"/>
      <c r="AF30" s="51">
        <v>0</v>
      </c>
      <c r="AG30" s="43"/>
      <c r="AH30" s="51"/>
      <c r="AL30" s="47">
        <v>0</v>
      </c>
      <c r="AM30" s="43"/>
      <c r="AN30" s="42"/>
      <c r="AR30" s="47">
        <v>0</v>
      </c>
      <c r="AS30" s="43"/>
      <c r="AX30" s="47">
        <v>0</v>
      </c>
      <c r="AY30" s="43"/>
      <c r="BC30">
        <v>24</v>
      </c>
      <c r="BD30" s="50">
        <v>-24</v>
      </c>
      <c r="BE30" s="43">
        <v>6</v>
      </c>
      <c r="BF30" s="42"/>
      <c r="BI30">
        <v>16</v>
      </c>
      <c r="BJ30" s="50">
        <v>-16</v>
      </c>
      <c r="BK30" s="43">
        <v>4</v>
      </c>
      <c r="BL30" s="42"/>
      <c r="BM30">
        <v>8</v>
      </c>
      <c r="BP30" s="50">
        <v>-8</v>
      </c>
      <c r="BQ30" s="43">
        <v>2</v>
      </c>
      <c r="BS30">
        <v>8</v>
      </c>
      <c r="BU30">
        <v>8</v>
      </c>
      <c r="BV30" s="50">
        <v>-16</v>
      </c>
      <c r="BW30" s="43">
        <v>4</v>
      </c>
      <c r="BX30" s="42"/>
      <c r="CA30">
        <v>17</v>
      </c>
      <c r="CB30" s="50">
        <v>-17</v>
      </c>
      <c r="CC30" s="43">
        <v>4.25</v>
      </c>
      <c r="CG30">
        <v>10</v>
      </c>
      <c r="CH30" s="50">
        <v>-10</v>
      </c>
      <c r="CI30" s="43">
        <v>2.5</v>
      </c>
      <c r="CM30">
        <v>17</v>
      </c>
      <c r="CN30" s="50">
        <v>-17</v>
      </c>
      <c r="CO30" s="43">
        <v>4.25</v>
      </c>
      <c r="CP30" s="42"/>
      <c r="CT30" s="47">
        <v>0</v>
      </c>
      <c r="CU30" s="43"/>
      <c r="CV30" s="42"/>
      <c r="CX30">
        <v>8</v>
      </c>
      <c r="CY30">
        <v>8</v>
      </c>
      <c r="CZ30" s="47">
        <v>0</v>
      </c>
      <c r="DA30" s="43"/>
      <c r="DE30">
        <v>24</v>
      </c>
      <c r="DF30">
        <v>24</v>
      </c>
      <c r="DG30" s="47">
        <v>0</v>
      </c>
      <c r="DH30" s="43"/>
      <c r="DK30" s="47">
        <v>0</v>
      </c>
      <c r="DL30" s="43"/>
      <c r="DM30" s="42"/>
      <c r="DP30">
        <v>7</v>
      </c>
      <c r="DQ30" s="47">
        <v>-7</v>
      </c>
      <c r="DR30" s="43"/>
      <c r="DW30" s="47">
        <v>0</v>
      </c>
      <c r="DX30" s="43"/>
      <c r="EC30" s="47">
        <v>0</v>
      </c>
      <c r="ED30" s="43"/>
      <c r="EE30" s="42"/>
      <c r="EG30" s="47">
        <v>8</v>
      </c>
      <c r="EH30">
        <v>48</v>
      </c>
      <c r="EI30" s="50">
        <v>-40</v>
      </c>
      <c r="EJ30" s="43">
        <v>10</v>
      </c>
      <c r="EO30" s="47">
        <v>0</v>
      </c>
      <c r="EP30" s="43"/>
      <c r="EQ30" s="42"/>
      <c r="EU30" s="47">
        <v>0</v>
      </c>
      <c r="EV30" s="43"/>
      <c r="EW30" s="42"/>
      <c r="FC30" s="47">
        <v>0</v>
      </c>
      <c r="FD30" s="43"/>
      <c r="FE30" s="42"/>
      <c r="FI30" s="47">
        <v>0</v>
      </c>
      <c r="FJ30" s="43"/>
      <c r="FR30" s="43"/>
      <c r="FS30" s="42"/>
      <c r="FX30" s="43"/>
      <c r="FY30" s="42"/>
      <c r="GD30" s="43"/>
      <c r="GE30" s="40"/>
      <c r="GJ30" s="43"/>
      <c r="GR30" s="43"/>
      <c r="GY30" s="43"/>
      <c r="GZ30" s="40"/>
      <c r="HD30" s="43"/>
      <c r="HE30" s="42"/>
      <c r="HI30" s="43"/>
      <c r="HO30" s="43"/>
      <c r="HP30" s="40"/>
      <c r="HV30" s="43"/>
      <c r="IB30" s="43"/>
      <c r="IC30" s="42"/>
      <c r="IH30" s="43"/>
      <c r="IN30" s="43"/>
      <c r="IO30" s="40"/>
      <c r="IR30" s="43"/>
      <c r="IS30" s="42"/>
      <c r="IX30" s="43"/>
      <c r="IY30" s="40"/>
      <c r="JB30" s="43"/>
      <c r="JC30" s="42"/>
      <c r="JH30" s="43"/>
      <c r="JP30" s="43"/>
      <c r="JQ30" s="42"/>
      <c r="JV30" s="43"/>
      <c r="KB30" s="45"/>
      <c r="KH30" s="45"/>
      <c r="KN30" s="45"/>
      <c r="KT30" s="43"/>
      <c r="KX30" s="45"/>
      <c r="LD30" s="43"/>
      <c r="LE30" s="40"/>
      <c r="LH30" s="45"/>
      <c r="LN30" s="45"/>
      <c r="LT30" s="45"/>
      <c r="LW30" s="44"/>
      <c r="LX30" s="44"/>
      <c r="LZ30" s="45"/>
      <c r="MA30" s="44"/>
      <c r="MF30" s="45"/>
      <c r="MG30" s="40"/>
      <c r="MN30" s="45"/>
      <c r="MO30" s="44"/>
      <c r="MP30" s="44"/>
      <c r="MQ30" s="44"/>
      <c r="MR30" s="44"/>
      <c r="MT30" s="45"/>
      <c r="MU30" s="44"/>
      <c r="MV30" s="44"/>
      <c r="MW30" s="44"/>
      <c r="MX30" s="44"/>
      <c r="MZ30" s="45"/>
      <c r="NA30" s="46"/>
      <c r="NB30" s="44"/>
      <c r="ND30" s="45"/>
      <c r="NE30" s="46"/>
      <c r="NF30" s="44"/>
      <c r="NG30" s="44"/>
      <c r="NH30" s="44"/>
      <c r="NI30" s="44"/>
      <c r="NK30" s="45"/>
      <c r="NL30" s="46"/>
      <c r="NM30" s="44"/>
      <c r="NN30" s="44"/>
      <c r="NO30" s="44"/>
      <c r="NQ30" s="45"/>
      <c r="NR30" s="46"/>
      <c r="NS30" s="44"/>
      <c r="NU30" s="45"/>
      <c r="NV30" s="46"/>
      <c r="NW30" s="44"/>
      <c r="NX30" s="44"/>
      <c r="NY30" s="44"/>
      <c r="OA30" s="45"/>
      <c r="OB30" s="46"/>
      <c r="OC30" s="44"/>
      <c r="OE30" s="45"/>
      <c r="OF30" s="46"/>
      <c r="OG30" s="44"/>
      <c r="OH30" s="44"/>
      <c r="OI30" s="44"/>
      <c r="OK30" s="45"/>
      <c r="OL30" s="44"/>
      <c r="OM30" s="43"/>
      <c r="ON30" s="44"/>
      <c r="OO30" s="44"/>
      <c r="OQ30" s="45"/>
      <c r="OR30" s="46"/>
      <c r="OS30" s="44"/>
      <c r="OT30" s="44"/>
      <c r="OU30" s="44"/>
      <c r="OW30" s="45"/>
      <c r="OX30" s="46"/>
      <c r="OY30" s="44"/>
      <c r="OZ30" s="44"/>
      <c r="PA30" s="44"/>
      <c r="PC30" s="45"/>
      <c r="PD30" s="46"/>
      <c r="PE30" s="44"/>
      <c r="PF30" s="44"/>
      <c r="PG30" s="44"/>
      <c r="PI30" s="45"/>
      <c r="PJ30" s="46"/>
      <c r="PK30" s="44"/>
      <c r="PL30" s="44"/>
      <c r="PM30" s="44"/>
      <c r="PO30" s="45"/>
      <c r="PP30" s="46"/>
      <c r="PQ30" s="44"/>
      <c r="PR30" s="44"/>
      <c r="PS30" s="44"/>
      <c r="PU30" s="45"/>
      <c r="PV30" s="46"/>
      <c r="PW30" s="44"/>
      <c r="PY30" s="45"/>
      <c r="PZ30" s="46"/>
      <c r="QA30" s="44"/>
      <c r="QC30" s="45"/>
      <c r="QD30" s="46"/>
      <c r="QE30" s="44"/>
      <c r="QF30" s="44"/>
      <c r="QG30" s="44"/>
      <c r="QI30" s="45"/>
      <c r="QJ30" s="46"/>
      <c r="QK30" s="44"/>
      <c r="QM30" s="45"/>
      <c r="QN30" s="46"/>
      <c r="QO30" s="44"/>
      <c r="QP30" s="44"/>
      <c r="QQ30" s="44"/>
      <c r="QS30" s="45"/>
      <c r="QT30" s="46"/>
      <c r="QU30" s="44"/>
      <c r="QW30" s="45"/>
      <c r="QX30" s="46"/>
      <c r="QY30" s="44"/>
      <c r="QZ30" s="44"/>
      <c r="RA30" s="44"/>
      <c r="RC30" s="45"/>
      <c r="RD30" s="42"/>
      <c r="RE30" s="44"/>
      <c r="RF30" s="44"/>
      <c r="RG30" s="44"/>
      <c r="RI30" s="45"/>
      <c r="RJ30" s="42"/>
      <c r="RO30" s="43"/>
      <c r="RP30" s="42"/>
      <c r="RS30" s="43"/>
      <c r="RT30" s="42"/>
      <c r="RY30" s="43"/>
      <c r="RZ30" s="42"/>
      <c r="SE30" s="43"/>
      <c r="SF30" s="42"/>
      <c r="SK30" s="43"/>
      <c r="SL30" s="42"/>
      <c r="SO30" s="43"/>
      <c r="SP30" s="42"/>
      <c r="SU30" s="43"/>
    </row>
    <row r="31" spans="1:515" x14ac:dyDescent="0.25">
      <c r="A31" s="47" t="s">
        <v>338</v>
      </c>
      <c r="B31" s="41">
        <v>1</v>
      </c>
      <c r="F31">
        <v>68</v>
      </c>
      <c r="G31">
        <v>70</v>
      </c>
      <c r="J31" s="42"/>
      <c r="K31" s="51"/>
      <c r="L31" s="52">
        <v>28</v>
      </c>
      <c r="M31" s="52">
        <v>30</v>
      </c>
      <c r="N31" s="51">
        <f t="shared" si="9"/>
        <v>-2</v>
      </c>
      <c r="O31" s="43"/>
      <c r="P31" s="46"/>
      <c r="Q31" s="51"/>
      <c r="R31" s="52">
        <v>68</v>
      </c>
      <c r="S31" s="52">
        <v>70</v>
      </c>
      <c r="T31" s="51">
        <f t="shared" si="10"/>
        <v>-2</v>
      </c>
      <c r="U31" s="43"/>
      <c r="V31" s="42"/>
      <c r="W31" s="51"/>
      <c r="X31" s="51"/>
      <c r="Y31" s="51"/>
      <c r="Z31" s="51">
        <f t="shared" si="11"/>
        <v>0</v>
      </c>
      <c r="AA31" s="43"/>
      <c r="AB31" s="42"/>
      <c r="AC31" s="51"/>
      <c r="AD31" s="52">
        <v>12</v>
      </c>
      <c r="AE31" s="56">
        <v>15</v>
      </c>
      <c r="AF31" s="51">
        <v>-3</v>
      </c>
      <c r="AG31" s="43"/>
      <c r="AH31" s="51"/>
      <c r="AL31" s="47">
        <v>0</v>
      </c>
      <c r="AM31" s="43"/>
      <c r="AN31" s="42"/>
      <c r="AP31">
        <v>27</v>
      </c>
      <c r="AQ31">
        <v>30</v>
      </c>
      <c r="AR31" s="47">
        <v>-3</v>
      </c>
      <c r="AS31" s="43"/>
      <c r="AV31">
        <v>32</v>
      </c>
      <c r="AW31">
        <v>32</v>
      </c>
      <c r="AX31" s="47">
        <v>0</v>
      </c>
      <c r="AY31" s="43"/>
      <c r="BB31">
        <v>52</v>
      </c>
      <c r="BC31">
        <v>50</v>
      </c>
      <c r="BD31" s="47">
        <v>2</v>
      </c>
      <c r="BE31" s="43"/>
      <c r="BF31" s="40">
        <v>20</v>
      </c>
      <c r="BG31">
        <v>20</v>
      </c>
      <c r="BH31">
        <v>28</v>
      </c>
      <c r="BI31">
        <v>29</v>
      </c>
      <c r="BJ31" s="47">
        <v>-1</v>
      </c>
      <c r="BK31" s="43"/>
      <c r="BL31" s="42"/>
      <c r="BP31" s="47">
        <v>0</v>
      </c>
      <c r="BQ31" s="43"/>
      <c r="BT31">
        <v>40</v>
      </c>
      <c r="BU31">
        <v>39</v>
      </c>
      <c r="BV31" s="47">
        <v>1</v>
      </c>
      <c r="BW31" s="43"/>
      <c r="BX31" s="40">
        <v>8</v>
      </c>
      <c r="BY31">
        <v>8</v>
      </c>
      <c r="BZ31">
        <v>12</v>
      </c>
      <c r="CA31">
        <v>10</v>
      </c>
      <c r="CB31" s="47">
        <v>2</v>
      </c>
      <c r="CC31" s="43"/>
      <c r="CH31" s="47">
        <v>0</v>
      </c>
      <c r="CI31" s="43"/>
      <c r="CN31" s="47">
        <v>0</v>
      </c>
      <c r="CO31" s="43"/>
      <c r="CP31" s="42"/>
      <c r="CR31">
        <v>8</v>
      </c>
      <c r="CS31">
        <v>7</v>
      </c>
      <c r="CT31" s="47">
        <v>1</v>
      </c>
      <c r="CU31" s="43"/>
      <c r="CV31" s="42"/>
      <c r="CZ31" s="47">
        <v>0</v>
      </c>
      <c r="DA31" s="43"/>
      <c r="DE31">
        <v>16</v>
      </c>
      <c r="DF31">
        <v>16</v>
      </c>
      <c r="DG31" s="47">
        <v>0</v>
      </c>
      <c r="DH31" s="43"/>
      <c r="DK31" s="47">
        <v>0</v>
      </c>
      <c r="DL31" s="43"/>
      <c r="DM31" s="40">
        <v>25</v>
      </c>
      <c r="DN31">
        <v>22</v>
      </c>
      <c r="DQ31" s="47">
        <v>3</v>
      </c>
      <c r="DR31" s="43"/>
      <c r="DW31" s="47">
        <v>0</v>
      </c>
      <c r="DX31" s="43"/>
      <c r="EA31">
        <v>4</v>
      </c>
      <c r="EB31">
        <v>5</v>
      </c>
      <c r="EC31" s="47">
        <v>-1</v>
      </c>
      <c r="ED31" s="43"/>
      <c r="EE31" s="42"/>
      <c r="EG31">
        <v>16</v>
      </c>
      <c r="EH31">
        <v>15</v>
      </c>
      <c r="EI31" s="47">
        <v>1</v>
      </c>
      <c r="EJ31" s="43"/>
      <c r="EO31" s="47">
        <v>0</v>
      </c>
      <c r="EP31" s="43"/>
      <c r="EQ31" s="42"/>
      <c r="EU31" s="47">
        <v>0</v>
      </c>
      <c r="EV31" s="43"/>
      <c r="EW31" s="42"/>
      <c r="FA31">
        <v>40</v>
      </c>
      <c r="FB31">
        <v>40</v>
      </c>
      <c r="FC31" s="47">
        <v>0</v>
      </c>
      <c r="FD31" s="43"/>
      <c r="FE31" s="42"/>
      <c r="FG31">
        <v>8</v>
      </c>
      <c r="FH31">
        <v>8</v>
      </c>
      <c r="FI31" s="47">
        <v>0</v>
      </c>
      <c r="FJ31" s="43"/>
      <c r="FM31">
        <v>16</v>
      </c>
      <c r="FN31">
        <v>14</v>
      </c>
      <c r="FQ31" s="47">
        <v>2</v>
      </c>
      <c r="FR31" s="43"/>
      <c r="FS31" s="42"/>
      <c r="FU31">
        <v>4</v>
      </c>
      <c r="FV31">
        <v>4</v>
      </c>
      <c r="FW31" s="47">
        <v>0</v>
      </c>
      <c r="FX31" s="43"/>
      <c r="FY31" s="42"/>
      <c r="GA31">
        <v>16</v>
      </c>
      <c r="GB31">
        <v>14</v>
      </c>
      <c r="GC31" s="47">
        <v>2</v>
      </c>
      <c r="GD31" s="43"/>
      <c r="GE31" s="42"/>
      <c r="GG31">
        <v>20</v>
      </c>
      <c r="GH31">
        <v>19</v>
      </c>
      <c r="GI31" s="47">
        <v>1</v>
      </c>
      <c r="GJ31" s="43"/>
      <c r="GO31">
        <v>12</v>
      </c>
      <c r="GP31">
        <v>10</v>
      </c>
      <c r="GQ31" s="47">
        <v>2</v>
      </c>
      <c r="GR31" s="43"/>
      <c r="GU31">
        <v>12</v>
      </c>
      <c r="GW31">
        <v>12</v>
      </c>
      <c r="GX31" s="47">
        <v>0</v>
      </c>
      <c r="GY31" s="43"/>
      <c r="GZ31" s="42"/>
      <c r="HC31" s="47">
        <v>0</v>
      </c>
      <c r="HD31" s="43"/>
      <c r="HE31" s="42"/>
      <c r="HH31" s="47">
        <v>0</v>
      </c>
      <c r="HI31" s="43"/>
      <c r="HJ31">
        <v>28</v>
      </c>
      <c r="HM31">
        <v>30</v>
      </c>
      <c r="HN31" s="47">
        <v>-2</v>
      </c>
      <c r="HO31" s="43"/>
      <c r="HP31" s="42"/>
      <c r="HU31" s="47">
        <v>0</v>
      </c>
      <c r="HV31" s="43"/>
      <c r="HY31">
        <v>8</v>
      </c>
      <c r="HZ31">
        <v>8</v>
      </c>
      <c r="IA31" s="47">
        <v>0</v>
      </c>
      <c r="IB31" s="43"/>
      <c r="IC31" s="42"/>
      <c r="IE31">
        <v>16</v>
      </c>
      <c r="IF31">
        <v>14</v>
      </c>
      <c r="IG31" s="47">
        <v>2</v>
      </c>
      <c r="IH31" s="43"/>
      <c r="IM31" s="47">
        <v>0</v>
      </c>
      <c r="IN31" s="43"/>
      <c r="IO31" s="42"/>
      <c r="IQ31" s="47">
        <v>0</v>
      </c>
      <c r="IR31" s="43"/>
      <c r="IS31" s="42"/>
      <c r="IU31">
        <v>8</v>
      </c>
      <c r="IV31">
        <v>6</v>
      </c>
      <c r="IW31" s="47">
        <v>2</v>
      </c>
      <c r="IX31" s="43"/>
      <c r="IY31" s="42"/>
      <c r="JA31" s="47">
        <v>0</v>
      </c>
      <c r="JB31" s="43"/>
      <c r="JC31" s="42"/>
      <c r="JG31" s="47">
        <v>0</v>
      </c>
      <c r="JH31" s="43"/>
      <c r="JM31">
        <v>25</v>
      </c>
      <c r="JN31">
        <v>25</v>
      </c>
      <c r="JO31" s="47">
        <v>0</v>
      </c>
      <c r="JP31" s="43"/>
      <c r="JQ31" s="42"/>
      <c r="JU31" s="47">
        <v>0</v>
      </c>
      <c r="JV31" s="43"/>
      <c r="KA31" s="47">
        <v>0</v>
      </c>
      <c r="KB31" s="45"/>
      <c r="KG31" s="47">
        <v>0</v>
      </c>
      <c r="KH31" s="45"/>
      <c r="KM31" s="47">
        <v>0</v>
      </c>
      <c r="KN31" s="45"/>
      <c r="KS31" s="47">
        <v>0</v>
      </c>
      <c r="KT31" s="43"/>
      <c r="KU31">
        <v>32</v>
      </c>
      <c r="KV31">
        <v>30</v>
      </c>
      <c r="KW31" s="47">
        <v>2</v>
      </c>
      <c r="KX31" s="45"/>
      <c r="LA31">
        <v>69</v>
      </c>
      <c r="LB31">
        <v>66</v>
      </c>
      <c r="LC31" s="47">
        <v>3</v>
      </c>
      <c r="LD31" s="43"/>
      <c r="LE31" s="40">
        <v>32</v>
      </c>
      <c r="LF31" s="44">
        <v>30</v>
      </c>
      <c r="LG31" s="47">
        <v>2</v>
      </c>
      <c r="LH31" s="45"/>
      <c r="LK31">
        <v>16</v>
      </c>
      <c r="LL31">
        <v>16</v>
      </c>
      <c r="LM31" s="47">
        <v>0</v>
      </c>
      <c r="LN31" s="45"/>
      <c r="LO31">
        <v>8</v>
      </c>
      <c r="LP31">
        <v>7</v>
      </c>
      <c r="LS31" s="47">
        <v>1</v>
      </c>
      <c r="LT31" s="45"/>
      <c r="LU31">
        <v>12</v>
      </c>
      <c r="LV31">
        <v>10</v>
      </c>
      <c r="LY31" s="47">
        <v>2</v>
      </c>
      <c r="LZ31" s="45"/>
      <c r="MC31">
        <v>31</v>
      </c>
      <c r="MD31">
        <v>60</v>
      </c>
      <c r="ME31" s="50">
        <v>-29</v>
      </c>
      <c r="MF31" s="45">
        <v>29</v>
      </c>
      <c r="MG31" s="46"/>
      <c r="MK31">
        <v>23</v>
      </c>
      <c r="ML31">
        <v>25</v>
      </c>
      <c r="MM31" s="47">
        <v>-2</v>
      </c>
      <c r="MN31" s="45"/>
      <c r="MO31" s="44">
        <v>0</v>
      </c>
      <c r="MP31" s="44">
        <v>0</v>
      </c>
      <c r="MQ31" s="44">
        <v>8.0129999999999999</v>
      </c>
      <c r="MR31" s="44">
        <v>10</v>
      </c>
      <c r="MS31" s="47">
        <v>-1.9870000000000001</v>
      </c>
      <c r="MT31" s="45"/>
      <c r="MU31" s="44">
        <v>0</v>
      </c>
      <c r="MV31" s="44">
        <v>0</v>
      </c>
      <c r="MW31" s="44">
        <v>0</v>
      </c>
      <c r="MX31" s="44">
        <v>0</v>
      </c>
      <c r="MY31" s="47">
        <v>0</v>
      </c>
      <c r="MZ31" s="45"/>
      <c r="NA31" s="46">
        <v>11.747999999999999</v>
      </c>
      <c r="NB31" s="44">
        <v>10</v>
      </c>
      <c r="NC31" s="47">
        <v>1.7479999999999991</v>
      </c>
      <c r="ND31" s="45"/>
      <c r="NE31" s="46">
        <v>39.676000000000002</v>
      </c>
      <c r="NF31" s="44">
        <v>40</v>
      </c>
      <c r="NG31" s="44">
        <v>0</v>
      </c>
      <c r="NH31" s="44">
        <v>0</v>
      </c>
      <c r="NI31" s="44">
        <v>0</v>
      </c>
      <c r="NJ31" s="47">
        <v>-0.32399999999999812</v>
      </c>
      <c r="NK31" s="45"/>
      <c r="NL31" s="46">
        <v>0</v>
      </c>
      <c r="NM31" s="44">
        <v>0</v>
      </c>
      <c r="NN31" s="44">
        <v>60.853999999999999</v>
      </c>
      <c r="NO31" s="44">
        <v>55</v>
      </c>
      <c r="NP31" s="47">
        <v>5.8539999999999992</v>
      </c>
      <c r="NQ31" s="45"/>
      <c r="NR31" s="46">
        <v>0</v>
      </c>
      <c r="NS31" s="44">
        <v>0</v>
      </c>
      <c r="NT31" s="47">
        <v>0</v>
      </c>
      <c r="NU31" s="45"/>
      <c r="NV31" s="46">
        <v>0</v>
      </c>
      <c r="NW31" s="44">
        <v>0</v>
      </c>
      <c r="NX31" s="44">
        <v>11.923</v>
      </c>
      <c r="NY31" s="44">
        <v>10</v>
      </c>
      <c r="NZ31" s="47">
        <v>1.923</v>
      </c>
      <c r="OA31" s="45"/>
      <c r="OB31" s="46">
        <v>59.704000000000001</v>
      </c>
      <c r="OC31" s="44">
        <v>60</v>
      </c>
      <c r="OD31" s="47">
        <v>-0.29599999999999937</v>
      </c>
      <c r="OE31" s="45"/>
      <c r="OF31" s="46">
        <v>0</v>
      </c>
      <c r="OG31" s="44">
        <v>0</v>
      </c>
      <c r="OH31" s="44">
        <v>0</v>
      </c>
      <c r="OI31" s="44">
        <v>0</v>
      </c>
      <c r="OJ31" s="47">
        <v>0</v>
      </c>
      <c r="OK31" s="45"/>
      <c r="OL31" s="44">
        <v>40.433999999999997</v>
      </c>
      <c r="OM31" s="43">
        <v>-40.433999999999997</v>
      </c>
      <c r="ON31" s="44">
        <v>0</v>
      </c>
      <c r="OO31" s="44">
        <v>40</v>
      </c>
      <c r="OP31" s="50">
        <v>-40</v>
      </c>
      <c r="OQ31" s="45">
        <v>40</v>
      </c>
      <c r="OR31" s="46">
        <v>0</v>
      </c>
      <c r="OS31" s="44">
        <v>0</v>
      </c>
      <c r="OT31" s="44">
        <v>0</v>
      </c>
      <c r="OU31" s="44">
        <v>0</v>
      </c>
      <c r="OV31" s="47">
        <v>0</v>
      </c>
      <c r="OW31" s="45"/>
      <c r="OX31" s="46">
        <v>0</v>
      </c>
      <c r="OY31" s="33">
        <v>20</v>
      </c>
      <c r="OZ31" s="44">
        <v>0</v>
      </c>
      <c r="PA31" s="44">
        <v>0</v>
      </c>
      <c r="PB31" s="50">
        <v>-20</v>
      </c>
      <c r="PC31" s="45">
        <v>20</v>
      </c>
      <c r="PD31" s="46">
        <v>0</v>
      </c>
      <c r="PE31" s="44">
        <v>0</v>
      </c>
      <c r="PF31" s="44">
        <v>93.498000000000005</v>
      </c>
      <c r="PG31" s="44">
        <v>92</v>
      </c>
      <c r="PH31" s="47">
        <v>1.4980000000000051</v>
      </c>
      <c r="PI31" s="45"/>
      <c r="PJ31" s="46">
        <v>0</v>
      </c>
      <c r="PK31" s="44">
        <v>0</v>
      </c>
      <c r="PL31" s="44">
        <v>0</v>
      </c>
      <c r="PM31" s="44">
        <v>0</v>
      </c>
      <c r="PN31" s="47">
        <v>0</v>
      </c>
      <c r="PO31" s="45"/>
      <c r="PP31" s="46">
        <v>0</v>
      </c>
      <c r="PQ31" s="44">
        <v>0</v>
      </c>
      <c r="PR31" s="44">
        <v>3.98</v>
      </c>
      <c r="PS31" s="44">
        <v>50</v>
      </c>
      <c r="PT31" s="50">
        <v>-46.02</v>
      </c>
      <c r="PU31" s="45">
        <v>46.02</v>
      </c>
      <c r="PV31" s="46">
        <v>40.338000000000001</v>
      </c>
      <c r="PW31" s="44">
        <v>40</v>
      </c>
      <c r="PX31" s="47">
        <v>0.33800000000000102</v>
      </c>
      <c r="PY31" s="45"/>
      <c r="PZ31" s="46">
        <v>12.132999999999999</v>
      </c>
      <c r="QA31" s="44">
        <v>16</v>
      </c>
      <c r="QB31" s="47">
        <v>-3.8670000000000009</v>
      </c>
      <c r="QC31" s="45"/>
      <c r="QD31" s="46">
        <v>0</v>
      </c>
      <c r="QE31" s="44">
        <v>0</v>
      </c>
      <c r="QF31" s="44">
        <v>8.0269999999999992</v>
      </c>
      <c r="QG31" s="44">
        <v>30</v>
      </c>
      <c r="QH31" s="50">
        <v>-21.972999999999999</v>
      </c>
      <c r="QI31" s="45">
        <v>21.972999999999999</v>
      </c>
      <c r="QJ31" s="46">
        <v>31.646000000000001</v>
      </c>
      <c r="QK31" s="44">
        <v>30</v>
      </c>
      <c r="QL31" s="47">
        <v>1.646000000000001</v>
      </c>
      <c r="QM31" s="45"/>
      <c r="QN31" s="46">
        <v>0</v>
      </c>
      <c r="QO31" s="44">
        <v>0</v>
      </c>
      <c r="QP31" s="44">
        <v>44.43</v>
      </c>
      <c r="QQ31" s="44">
        <v>45</v>
      </c>
      <c r="QR31" s="47">
        <v>-0.57000000000000028</v>
      </c>
      <c r="QS31" s="45"/>
      <c r="QT31" s="46">
        <v>0</v>
      </c>
      <c r="QU31" s="44">
        <v>0</v>
      </c>
      <c r="QV31" s="47">
        <v>0</v>
      </c>
      <c r="QW31" s="45"/>
      <c r="QX31" s="46">
        <v>0</v>
      </c>
      <c r="QY31" s="44">
        <v>0</v>
      </c>
      <c r="QZ31" s="44">
        <v>0</v>
      </c>
      <c r="RA31" s="44">
        <v>0</v>
      </c>
      <c r="RB31" s="47">
        <v>0</v>
      </c>
      <c r="RC31" s="45"/>
      <c r="RD31" s="42">
        <v>0</v>
      </c>
      <c r="RE31" s="44">
        <v>0</v>
      </c>
      <c r="RF31" s="44">
        <v>0</v>
      </c>
      <c r="RG31" s="44">
        <v>0</v>
      </c>
      <c r="RH31" s="47">
        <v>0</v>
      </c>
      <c r="RI31" s="45"/>
      <c r="RJ31" s="42">
        <v>51.728000000000002</v>
      </c>
      <c r="RK31" s="47">
        <v>50</v>
      </c>
      <c r="RL31" s="47">
        <v>0</v>
      </c>
      <c r="RM31" s="47">
        <v>0</v>
      </c>
      <c r="RN31" s="47">
        <v>1.728000000000002</v>
      </c>
      <c r="RO31" s="43"/>
      <c r="RP31" s="42">
        <v>71.147999999999996</v>
      </c>
      <c r="RQ31" s="47">
        <v>70</v>
      </c>
      <c r="RR31" s="47">
        <v>1.1479999999999959</v>
      </c>
      <c r="RS31" s="43"/>
      <c r="RT31" s="42">
        <v>0</v>
      </c>
      <c r="RU31" s="47">
        <v>0</v>
      </c>
      <c r="RV31" s="47">
        <v>0</v>
      </c>
      <c r="RW31" s="47">
        <v>0</v>
      </c>
      <c r="RX31" s="47">
        <v>0</v>
      </c>
      <c r="RY31" s="43"/>
      <c r="RZ31" s="42">
        <v>0</v>
      </c>
      <c r="SA31" s="47">
        <v>0</v>
      </c>
      <c r="SB31" s="47">
        <v>0</v>
      </c>
      <c r="SC31" s="47">
        <v>0</v>
      </c>
      <c r="SD31" s="47">
        <v>0</v>
      </c>
      <c r="SE31" s="43"/>
      <c r="SF31" s="42">
        <v>0</v>
      </c>
      <c r="SG31" s="47">
        <v>0</v>
      </c>
      <c r="SH31" s="47">
        <v>48.043999999999997</v>
      </c>
      <c r="SI31" s="47">
        <v>0</v>
      </c>
      <c r="SJ31" s="47">
        <v>48.043999999999997</v>
      </c>
      <c r="SK31" s="43"/>
      <c r="SL31" s="42">
        <v>0</v>
      </c>
      <c r="SM31" s="47">
        <v>0</v>
      </c>
      <c r="SN31" s="47">
        <v>0</v>
      </c>
      <c r="SO31" s="43"/>
      <c r="SP31" s="42">
        <v>0</v>
      </c>
      <c r="SQ31" s="47">
        <v>0</v>
      </c>
      <c r="SR31" s="47">
        <v>0</v>
      </c>
      <c r="SS31" s="47">
        <v>0</v>
      </c>
      <c r="ST31" s="47">
        <v>0</v>
      </c>
      <c r="SU31" s="43"/>
    </row>
    <row r="32" spans="1:515" x14ac:dyDescent="0.25">
      <c r="A32" s="47" t="s">
        <v>339</v>
      </c>
      <c r="B32" s="41">
        <v>0.4</v>
      </c>
      <c r="E32">
        <v>150</v>
      </c>
      <c r="J32" s="42"/>
      <c r="K32" s="52">
        <v>98</v>
      </c>
      <c r="L32" s="51"/>
      <c r="M32" s="52">
        <v>79</v>
      </c>
      <c r="N32" s="57">
        <f t="shared" si="9"/>
        <v>-177</v>
      </c>
      <c r="O32" s="43">
        <f>-1*N32*B32</f>
        <v>70.8</v>
      </c>
      <c r="P32" s="46"/>
      <c r="Q32" s="51"/>
      <c r="R32" s="51"/>
      <c r="S32" s="51"/>
      <c r="T32" s="51">
        <f t="shared" si="10"/>
        <v>0</v>
      </c>
      <c r="U32" s="43"/>
      <c r="V32" s="40">
        <v>240</v>
      </c>
      <c r="W32" s="52">
        <v>247</v>
      </c>
      <c r="X32" s="52">
        <v>120</v>
      </c>
      <c r="Y32" s="52">
        <v>123</v>
      </c>
      <c r="Z32" s="51">
        <f t="shared" si="11"/>
        <v>-10</v>
      </c>
      <c r="AA32" s="43"/>
      <c r="AB32" s="42"/>
      <c r="AC32" s="51"/>
      <c r="AD32" s="51"/>
      <c r="AE32" s="51"/>
      <c r="AF32" s="51">
        <v>0</v>
      </c>
      <c r="AG32" s="43"/>
      <c r="AH32" s="51"/>
      <c r="AL32" s="47">
        <v>0</v>
      </c>
      <c r="AM32" s="43"/>
      <c r="AN32" s="40">
        <v>120</v>
      </c>
      <c r="AO32">
        <v>120</v>
      </c>
      <c r="AP32">
        <v>224</v>
      </c>
      <c r="AQ32">
        <v>226</v>
      </c>
      <c r="AR32" s="47">
        <v>-2</v>
      </c>
      <c r="AS32" s="43"/>
      <c r="AT32">
        <v>96</v>
      </c>
      <c r="AU32">
        <v>100</v>
      </c>
      <c r="AV32">
        <v>88</v>
      </c>
      <c r="AW32">
        <v>89</v>
      </c>
      <c r="AX32" s="47">
        <v>-5</v>
      </c>
      <c r="AY32" s="43"/>
      <c r="AZ32">
        <v>88</v>
      </c>
      <c r="BA32">
        <v>90</v>
      </c>
      <c r="BB32">
        <v>104</v>
      </c>
      <c r="BC32">
        <v>109</v>
      </c>
      <c r="BD32" s="47">
        <v>-7</v>
      </c>
      <c r="BE32" s="43"/>
      <c r="BF32" s="40">
        <v>96</v>
      </c>
      <c r="BG32">
        <v>100</v>
      </c>
      <c r="BH32">
        <v>128</v>
      </c>
      <c r="BI32">
        <v>127</v>
      </c>
      <c r="BJ32" s="47">
        <v>-3</v>
      </c>
      <c r="BK32" s="43"/>
      <c r="BL32" s="40">
        <v>64</v>
      </c>
      <c r="BM32">
        <v>62</v>
      </c>
      <c r="BP32" s="47">
        <v>2</v>
      </c>
      <c r="BQ32" s="43"/>
      <c r="BR32">
        <v>104</v>
      </c>
      <c r="BS32">
        <v>109</v>
      </c>
      <c r="BV32" s="47">
        <v>-5</v>
      </c>
      <c r="BW32" s="43"/>
      <c r="BX32" s="40">
        <v>168</v>
      </c>
      <c r="BY32">
        <v>170</v>
      </c>
      <c r="BZ32">
        <v>200</v>
      </c>
      <c r="CA32">
        <v>205</v>
      </c>
      <c r="CB32" s="47">
        <v>-7</v>
      </c>
      <c r="CC32" s="43"/>
      <c r="CE32">
        <v>48</v>
      </c>
      <c r="CF32">
        <v>48</v>
      </c>
      <c r="CG32">
        <v>48</v>
      </c>
      <c r="CH32" s="50">
        <v>-48</v>
      </c>
      <c r="CI32" s="43">
        <v>19.2</v>
      </c>
      <c r="CJ32">
        <v>48</v>
      </c>
      <c r="CK32">
        <v>46</v>
      </c>
      <c r="CN32" s="47">
        <v>2</v>
      </c>
      <c r="CO32" s="43"/>
      <c r="CP32" s="40">
        <v>176</v>
      </c>
      <c r="CQ32">
        <v>175</v>
      </c>
      <c r="CR32">
        <v>200</v>
      </c>
      <c r="CS32">
        <v>200</v>
      </c>
      <c r="CT32" s="47">
        <v>1</v>
      </c>
      <c r="CU32" s="43"/>
      <c r="CV32" s="42"/>
      <c r="CX32">
        <v>128</v>
      </c>
      <c r="CY32">
        <v>127</v>
      </c>
      <c r="CZ32" s="47">
        <v>1</v>
      </c>
      <c r="DA32" s="43"/>
      <c r="DG32" s="47">
        <v>0</v>
      </c>
      <c r="DH32" s="43"/>
      <c r="DI32">
        <v>152</v>
      </c>
      <c r="DJ32">
        <v>150</v>
      </c>
      <c r="DK32" s="47">
        <v>2</v>
      </c>
      <c r="DL32" s="43"/>
      <c r="DM32" s="40">
        <v>288</v>
      </c>
      <c r="DN32">
        <v>292</v>
      </c>
      <c r="DQ32" s="47">
        <v>-4</v>
      </c>
      <c r="DR32" s="43"/>
      <c r="DW32" s="47">
        <v>0</v>
      </c>
      <c r="DX32" s="43"/>
      <c r="DZ32">
        <v>50</v>
      </c>
      <c r="EA32">
        <v>104</v>
      </c>
      <c r="EB32">
        <v>102</v>
      </c>
      <c r="EC32" s="50">
        <v>-48</v>
      </c>
      <c r="ED32" s="43">
        <v>19.2</v>
      </c>
      <c r="EE32" s="42"/>
      <c r="EG32">
        <v>424</v>
      </c>
      <c r="EH32">
        <v>423</v>
      </c>
      <c r="EI32" s="47">
        <v>1</v>
      </c>
      <c r="EJ32" s="43"/>
      <c r="EO32" s="47">
        <v>0</v>
      </c>
      <c r="EP32" s="43"/>
      <c r="EQ32" s="42"/>
      <c r="EU32" s="47">
        <v>0</v>
      </c>
      <c r="EV32" s="43"/>
      <c r="EW32" s="42"/>
      <c r="FA32">
        <v>512</v>
      </c>
      <c r="FB32">
        <v>510</v>
      </c>
      <c r="FC32" s="47">
        <v>2</v>
      </c>
      <c r="FD32" s="43"/>
      <c r="FE32" s="42"/>
      <c r="FG32">
        <v>56</v>
      </c>
      <c r="FH32">
        <v>60</v>
      </c>
      <c r="FI32" s="47">
        <v>-4</v>
      </c>
      <c r="FJ32" s="43"/>
      <c r="FQ32" s="47">
        <v>0</v>
      </c>
      <c r="FR32" s="43"/>
      <c r="FS32" s="42"/>
      <c r="FU32">
        <v>536</v>
      </c>
      <c r="FV32">
        <v>540</v>
      </c>
      <c r="FW32" s="47">
        <v>-4</v>
      </c>
      <c r="FX32" s="43"/>
      <c r="FY32" s="42"/>
      <c r="GC32" s="47">
        <v>0</v>
      </c>
      <c r="GD32" s="43"/>
      <c r="GE32" s="40">
        <v>80</v>
      </c>
      <c r="GF32">
        <v>80</v>
      </c>
      <c r="GG32">
        <v>80</v>
      </c>
      <c r="GH32">
        <v>80</v>
      </c>
      <c r="GI32" s="47">
        <v>0</v>
      </c>
      <c r="GJ32" s="43"/>
      <c r="GK32">
        <v>96</v>
      </c>
      <c r="GL32">
        <v>100</v>
      </c>
      <c r="GM32">
        <v>96</v>
      </c>
      <c r="GN32">
        <v>100</v>
      </c>
      <c r="GO32">
        <v>96</v>
      </c>
      <c r="GP32">
        <v>100</v>
      </c>
      <c r="GQ32" s="47">
        <v>-12</v>
      </c>
      <c r="GR32" s="43"/>
      <c r="GU32">
        <v>280</v>
      </c>
      <c r="GW32">
        <v>280</v>
      </c>
      <c r="GX32" s="47">
        <v>0</v>
      </c>
      <c r="GY32" s="43"/>
      <c r="GZ32" s="42"/>
      <c r="HC32" s="47">
        <v>0</v>
      </c>
      <c r="HD32" s="43"/>
      <c r="HE32" s="40">
        <v>488</v>
      </c>
      <c r="HG32">
        <v>493</v>
      </c>
      <c r="HH32" s="47">
        <v>-5</v>
      </c>
      <c r="HI32" s="43"/>
      <c r="HJ32">
        <v>72</v>
      </c>
      <c r="HM32">
        <v>75</v>
      </c>
      <c r="HN32" s="47">
        <v>-3</v>
      </c>
      <c r="HO32" s="43"/>
      <c r="HP32" s="42"/>
      <c r="HU32" s="47">
        <v>0</v>
      </c>
      <c r="HV32" s="43"/>
      <c r="HW32">
        <v>160</v>
      </c>
      <c r="HX32">
        <v>160</v>
      </c>
      <c r="HY32">
        <v>168</v>
      </c>
      <c r="HZ32">
        <v>170</v>
      </c>
      <c r="IA32" s="47">
        <v>-2</v>
      </c>
      <c r="IB32" s="43"/>
      <c r="IC32" s="40">
        <v>152</v>
      </c>
      <c r="ID32">
        <v>150</v>
      </c>
      <c r="IE32">
        <v>200</v>
      </c>
      <c r="IF32">
        <v>200</v>
      </c>
      <c r="IG32" s="47">
        <v>2</v>
      </c>
      <c r="IH32" s="43"/>
      <c r="II32">
        <v>120</v>
      </c>
      <c r="IJ32">
        <v>120</v>
      </c>
      <c r="IK32">
        <v>128</v>
      </c>
      <c r="IL32">
        <v>130</v>
      </c>
      <c r="IM32" s="47">
        <v>-2</v>
      </c>
      <c r="IN32" s="43"/>
      <c r="IO32" s="42"/>
      <c r="IQ32" s="47">
        <v>0</v>
      </c>
      <c r="IR32" s="43"/>
      <c r="IS32" s="40">
        <v>200</v>
      </c>
      <c r="IT32">
        <v>200</v>
      </c>
      <c r="IU32">
        <v>208</v>
      </c>
      <c r="IV32">
        <v>210</v>
      </c>
      <c r="IW32" s="47">
        <v>-2</v>
      </c>
      <c r="IX32" s="43"/>
      <c r="IY32" s="40">
        <v>112</v>
      </c>
      <c r="IZ32">
        <v>110</v>
      </c>
      <c r="JA32" s="47">
        <v>2</v>
      </c>
      <c r="JB32" s="43"/>
      <c r="JC32" s="40">
        <v>136</v>
      </c>
      <c r="JD32">
        <v>140</v>
      </c>
      <c r="JE32">
        <v>96</v>
      </c>
      <c r="JF32">
        <v>100</v>
      </c>
      <c r="JG32" s="47">
        <v>-8</v>
      </c>
      <c r="JH32" s="43"/>
      <c r="JM32">
        <v>352</v>
      </c>
      <c r="JN32">
        <v>350</v>
      </c>
      <c r="JO32" s="47">
        <v>2</v>
      </c>
      <c r="JP32" s="43"/>
      <c r="JQ32" s="42"/>
      <c r="JS32">
        <v>48</v>
      </c>
      <c r="JT32">
        <v>50</v>
      </c>
      <c r="JU32" s="47">
        <v>-2</v>
      </c>
      <c r="JV32" s="43"/>
      <c r="JW32">
        <v>152</v>
      </c>
      <c r="JX32">
        <v>150</v>
      </c>
      <c r="JY32">
        <v>328</v>
      </c>
      <c r="JZ32">
        <v>330</v>
      </c>
      <c r="KA32" s="47">
        <v>0</v>
      </c>
      <c r="KB32" s="45"/>
      <c r="KE32">
        <v>112</v>
      </c>
      <c r="KF32">
        <v>110</v>
      </c>
      <c r="KG32" s="47">
        <v>2</v>
      </c>
      <c r="KH32" s="45"/>
      <c r="KI32">
        <v>296</v>
      </c>
      <c r="KJ32">
        <v>300</v>
      </c>
      <c r="KK32">
        <v>208</v>
      </c>
      <c r="KL32">
        <v>210</v>
      </c>
      <c r="KM32" s="47">
        <v>-6</v>
      </c>
      <c r="KN32" s="45"/>
      <c r="KO32">
        <v>40</v>
      </c>
      <c r="KP32">
        <v>40</v>
      </c>
      <c r="KS32" s="47">
        <v>0</v>
      </c>
      <c r="KT32" s="43"/>
      <c r="KU32">
        <v>200</v>
      </c>
      <c r="KV32">
        <v>200</v>
      </c>
      <c r="KW32" s="47">
        <v>0</v>
      </c>
      <c r="KX32" s="45"/>
      <c r="KY32">
        <v>160</v>
      </c>
      <c r="KZ32">
        <v>160</v>
      </c>
      <c r="LA32">
        <v>136</v>
      </c>
      <c r="LB32">
        <v>140</v>
      </c>
      <c r="LC32" s="47">
        <v>-4</v>
      </c>
      <c r="LD32" s="43"/>
      <c r="LE32" s="40">
        <v>48</v>
      </c>
      <c r="LF32" s="44">
        <v>50</v>
      </c>
      <c r="LG32" s="47">
        <v>-2</v>
      </c>
      <c r="LH32" s="45"/>
      <c r="LK32">
        <v>160</v>
      </c>
      <c r="LL32">
        <v>160</v>
      </c>
      <c r="LM32" s="47">
        <v>0</v>
      </c>
      <c r="LN32" s="45"/>
      <c r="LO32">
        <v>176</v>
      </c>
      <c r="LP32">
        <v>180</v>
      </c>
      <c r="LS32" s="47">
        <v>-4</v>
      </c>
      <c r="LT32" s="45"/>
      <c r="LU32">
        <v>96</v>
      </c>
      <c r="LV32">
        <v>100</v>
      </c>
      <c r="LW32">
        <v>96</v>
      </c>
      <c r="LX32">
        <v>100</v>
      </c>
      <c r="LY32" s="47">
        <v>-8</v>
      </c>
      <c r="LZ32" s="45"/>
      <c r="MA32">
        <v>48</v>
      </c>
      <c r="MB32">
        <v>50</v>
      </c>
      <c r="MC32">
        <v>200</v>
      </c>
      <c r="MD32">
        <v>200</v>
      </c>
      <c r="ME32" s="47">
        <v>-2</v>
      </c>
      <c r="MF32" s="45"/>
      <c r="MG32" s="46"/>
      <c r="MM32" s="47">
        <v>0</v>
      </c>
      <c r="MN32" s="45"/>
      <c r="MO32" s="44">
        <v>0</v>
      </c>
      <c r="MP32" s="44">
        <v>0</v>
      </c>
      <c r="MQ32" s="44">
        <v>0</v>
      </c>
      <c r="MR32" s="44">
        <v>0</v>
      </c>
      <c r="MS32" s="47">
        <v>0</v>
      </c>
      <c r="MT32" s="45"/>
      <c r="MU32" s="44">
        <v>0</v>
      </c>
      <c r="MV32" s="44">
        <v>0</v>
      </c>
      <c r="MW32" s="44">
        <v>0</v>
      </c>
      <c r="MX32" s="44">
        <v>0</v>
      </c>
      <c r="MY32" s="47">
        <v>0</v>
      </c>
      <c r="MZ32" s="45"/>
      <c r="NA32" s="46">
        <v>0</v>
      </c>
      <c r="NB32" s="44">
        <v>0</v>
      </c>
      <c r="NC32" s="47">
        <v>0</v>
      </c>
      <c r="ND32" s="45"/>
      <c r="NE32" s="46">
        <v>696</v>
      </c>
      <c r="NF32" s="44">
        <v>700</v>
      </c>
      <c r="NG32" s="44">
        <v>496</v>
      </c>
      <c r="NH32" s="44">
        <v>0</v>
      </c>
      <c r="NI32" s="44">
        <v>498</v>
      </c>
      <c r="NJ32" s="47">
        <v>-6</v>
      </c>
      <c r="NK32" s="45"/>
      <c r="NL32" s="46">
        <v>600</v>
      </c>
      <c r="NM32" s="44">
        <v>600</v>
      </c>
      <c r="NN32" s="44">
        <v>480</v>
      </c>
      <c r="NO32" s="44">
        <v>500</v>
      </c>
      <c r="NP32" s="50">
        <v>-20</v>
      </c>
      <c r="NQ32" s="45">
        <v>8</v>
      </c>
      <c r="NR32" s="46">
        <v>848</v>
      </c>
      <c r="NS32" s="44">
        <v>850</v>
      </c>
      <c r="NT32" s="47">
        <v>-2</v>
      </c>
      <c r="NU32" s="45"/>
      <c r="NV32" s="46">
        <v>0</v>
      </c>
      <c r="NW32" s="44">
        <v>0</v>
      </c>
      <c r="NX32" s="44">
        <v>0</v>
      </c>
      <c r="NY32" s="44">
        <v>0</v>
      </c>
      <c r="NZ32" s="47">
        <v>0</v>
      </c>
      <c r="OA32" s="45"/>
      <c r="OB32" s="46">
        <v>568</v>
      </c>
      <c r="OC32" s="44">
        <v>570</v>
      </c>
      <c r="OD32" s="47">
        <v>-2</v>
      </c>
      <c r="OE32" s="45"/>
      <c r="OF32" s="46">
        <v>40</v>
      </c>
      <c r="OG32" s="44">
        <v>40</v>
      </c>
      <c r="OH32" s="44">
        <v>48</v>
      </c>
      <c r="OI32" s="44">
        <v>50</v>
      </c>
      <c r="OJ32" s="47">
        <v>-2</v>
      </c>
      <c r="OK32" s="45"/>
      <c r="OL32" s="44">
        <v>152</v>
      </c>
      <c r="OM32" s="43">
        <v>-60.8</v>
      </c>
      <c r="ON32" s="44">
        <v>0</v>
      </c>
      <c r="OO32" s="44">
        <v>150</v>
      </c>
      <c r="OP32" s="50">
        <v>-150</v>
      </c>
      <c r="OQ32" s="45">
        <v>60</v>
      </c>
      <c r="OR32" s="46">
        <v>96</v>
      </c>
      <c r="OS32" s="44">
        <v>100</v>
      </c>
      <c r="OT32" s="44">
        <v>296</v>
      </c>
      <c r="OU32" s="44">
        <v>300</v>
      </c>
      <c r="OV32" s="47">
        <v>-8</v>
      </c>
      <c r="OW32" s="45"/>
      <c r="OX32" s="46">
        <v>0</v>
      </c>
      <c r="OY32" s="33">
        <v>30</v>
      </c>
      <c r="OZ32" s="44">
        <v>0</v>
      </c>
      <c r="PA32" s="44">
        <v>0</v>
      </c>
      <c r="PB32" s="50">
        <v>-30</v>
      </c>
      <c r="PC32" s="45">
        <v>12</v>
      </c>
      <c r="PD32" s="46">
        <v>200</v>
      </c>
      <c r="PE32" s="44">
        <v>200</v>
      </c>
      <c r="PF32" s="44">
        <v>248</v>
      </c>
      <c r="PG32" s="44">
        <v>250</v>
      </c>
      <c r="PH32" s="47">
        <v>-2</v>
      </c>
      <c r="PI32" s="45"/>
      <c r="PJ32" s="25">
        <v>32</v>
      </c>
      <c r="PK32" s="44">
        <v>0</v>
      </c>
      <c r="PL32" s="44">
        <v>160</v>
      </c>
      <c r="PM32" s="44">
        <v>160</v>
      </c>
      <c r="PN32" s="47">
        <v>32</v>
      </c>
      <c r="PO32" s="45"/>
      <c r="PP32" s="46">
        <v>0</v>
      </c>
      <c r="PQ32" s="44">
        <v>0</v>
      </c>
      <c r="PR32" s="44">
        <v>136</v>
      </c>
      <c r="PS32" s="44">
        <v>140</v>
      </c>
      <c r="PT32" s="47">
        <v>-4</v>
      </c>
      <c r="PU32" s="45"/>
      <c r="PV32" s="46">
        <v>248</v>
      </c>
      <c r="PW32" s="44">
        <v>250</v>
      </c>
      <c r="PX32" s="47">
        <v>-2</v>
      </c>
      <c r="PY32" s="45"/>
      <c r="PZ32" s="46">
        <v>0</v>
      </c>
      <c r="QA32" s="44">
        <v>0</v>
      </c>
      <c r="QB32" s="47">
        <v>0</v>
      </c>
      <c r="QC32" s="45"/>
      <c r="QD32" s="46">
        <v>0</v>
      </c>
      <c r="QE32" s="44">
        <v>0</v>
      </c>
      <c r="QF32" s="44">
        <v>0</v>
      </c>
      <c r="QG32" s="44">
        <v>0</v>
      </c>
      <c r="QH32" s="47">
        <v>0</v>
      </c>
      <c r="QI32" s="45"/>
      <c r="QJ32" s="46">
        <v>88</v>
      </c>
      <c r="QK32" s="44">
        <v>90</v>
      </c>
      <c r="QL32" s="47">
        <v>-2</v>
      </c>
      <c r="QM32" s="45"/>
      <c r="QN32" s="46">
        <v>88</v>
      </c>
      <c r="QO32" s="44">
        <v>90</v>
      </c>
      <c r="QP32" s="44">
        <v>88</v>
      </c>
      <c r="QQ32" s="44">
        <v>90</v>
      </c>
      <c r="QR32" s="47">
        <v>-4</v>
      </c>
      <c r="QS32" s="45"/>
      <c r="QT32" s="46">
        <v>0</v>
      </c>
      <c r="QU32" s="44">
        <v>0</v>
      </c>
      <c r="QV32" s="47">
        <v>0</v>
      </c>
      <c r="QW32" s="45"/>
      <c r="QX32" s="46">
        <v>0</v>
      </c>
      <c r="QY32" s="44">
        <v>0</v>
      </c>
      <c r="QZ32" s="44">
        <v>0</v>
      </c>
      <c r="RA32" s="44">
        <v>0</v>
      </c>
      <c r="RB32" s="47">
        <v>0</v>
      </c>
      <c r="RC32" s="45"/>
      <c r="RD32" s="42">
        <v>0</v>
      </c>
      <c r="RE32" s="44">
        <v>0</v>
      </c>
      <c r="RF32" s="44">
        <v>72</v>
      </c>
      <c r="RG32" s="44">
        <v>75</v>
      </c>
      <c r="RH32" s="47">
        <v>-3</v>
      </c>
      <c r="RI32" s="45"/>
      <c r="RJ32" s="42">
        <v>56</v>
      </c>
      <c r="RK32" s="47">
        <v>60</v>
      </c>
      <c r="RL32" s="47">
        <v>0</v>
      </c>
      <c r="RM32" s="47">
        <v>0</v>
      </c>
      <c r="RN32" s="47">
        <v>-4</v>
      </c>
      <c r="RO32" s="43"/>
      <c r="RP32" s="42">
        <v>0</v>
      </c>
      <c r="RQ32" s="47">
        <v>0</v>
      </c>
      <c r="RR32" s="47">
        <v>0</v>
      </c>
      <c r="RS32" s="43"/>
      <c r="RT32" s="42">
        <v>48</v>
      </c>
      <c r="RU32" s="47">
        <v>50</v>
      </c>
      <c r="RV32" s="47">
        <v>48</v>
      </c>
      <c r="RW32" s="47">
        <v>50</v>
      </c>
      <c r="RX32" s="47">
        <v>-4</v>
      </c>
      <c r="RY32" s="43"/>
      <c r="RZ32" s="42">
        <v>0</v>
      </c>
      <c r="SA32" s="47">
        <v>0</v>
      </c>
      <c r="SB32" s="47">
        <v>0</v>
      </c>
      <c r="SC32" s="47">
        <v>0</v>
      </c>
      <c r="SD32" s="47">
        <v>0</v>
      </c>
      <c r="SE32" s="43"/>
      <c r="SF32" s="42">
        <v>40</v>
      </c>
      <c r="SG32" s="47">
        <v>40</v>
      </c>
      <c r="SH32" s="47">
        <v>0</v>
      </c>
      <c r="SI32" s="47">
        <v>0</v>
      </c>
      <c r="SJ32" s="47">
        <v>0</v>
      </c>
      <c r="SK32" s="43"/>
      <c r="SL32" s="42">
        <v>96</v>
      </c>
      <c r="SM32" s="47">
        <v>100</v>
      </c>
      <c r="SN32" s="47">
        <v>-4</v>
      </c>
      <c r="SO32" s="43"/>
      <c r="SP32" s="42">
        <v>0</v>
      </c>
      <c r="SQ32" s="47">
        <v>0</v>
      </c>
      <c r="SR32" s="47">
        <v>48</v>
      </c>
      <c r="SS32" s="47">
        <v>50</v>
      </c>
      <c r="ST32" s="47">
        <v>-2</v>
      </c>
      <c r="SU32" s="43"/>
    </row>
    <row r="33" spans="1:515" x14ac:dyDescent="0.25">
      <c r="A33" s="47" t="s">
        <v>340</v>
      </c>
      <c r="B33" s="41">
        <v>1</v>
      </c>
      <c r="J33" s="42"/>
      <c r="K33" s="51"/>
      <c r="L33" s="51"/>
      <c r="M33" s="51"/>
      <c r="N33" s="51">
        <f t="shared" si="9"/>
        <v>0</v>
      </c>
      <c r="O33" s="43"/>
      <c r="P33" s="46"/>
      <c r="Q33" s="51"/>
      <c r="R33" s="51"/>
      <c r="S33" s="51"/>
      <c r="T33" s="51">
        <f t="shared" si="10"/>
        <v>0</v>
      </c>
      <c r="U33" s="43"/>
      <c r="V33" s="42"/>
      <c r="W33" s="51"/>
      <c r="X33" s="51"/>
      <c r="Y33" s="51"/>
      <c r="Z33" s="51">
        <f t="shared" si="11"/>
        <v>0</v>
      </c>
      <c r="AA33" s="43"/>
      <c r="AB33" s="42"/>
      <c r="AC33" s="51"/>
      <c r="AD33" s="51"/>
      <c r="AE33" s="51"/>
      <c r="AF33" s="51">
        <v>0</v>
      </c>
      <c r="AG33" s="43"/>
      <c r="AH33" s="51"/>
      <c r="AL33" s="47">
        <v>0</v>
      </c>
      <c r="AM33" s="43"/>
      <c r="AN33" s="42"/>
      <c r="AR33" s="47">
        <v>0</v>
      </c>
      <c r="AS33" s="43"/>
      <c r="AX33" s="47">
        <v>0</v>
      </c>
      <c r="AY33" s="43"/>
      <c r="BD33" s="47">
        <v>0</v>
      </c>
      <c r="BE33" s="43"/>
      <c r="BF33" s="42"/>
      <c r="BJ33" s="47">
        <v>0</v>
      </c>
      <c r="BK33" s="43"/>
      <c r="BL33" s="42"/>
      <c r="BP33" s="47">
        <v>0</v>
      </c>
      <c r="BQ33" s="43"/>
      <c r="BV33" s="47">
        <v>0</v>
      </c>
      <c r="BW33" s="43"/>
      <c r="BX33" s="42"/>
      <c r="CB33" s="47">
        <v>0</v>
      </c>
      <c r="CC33" s="43"/>
      <c r="CH33" s="47">
        <v>0</v>
      </c>
      <c r="CI33" s="43"/>
      <c r="CN33" s="47">
        <v>0</v>
      </c>
      <c r="CO33" s="43"/>
      <c r="CP33" s="42"/>
      <c r="CT33" s="47">
        <v>0</v>
      </c>
      <c r="CU33" s="43"/>
      <c r="CV33" s="42"/>
      <c r="CZ33" s="47">
        <v>0</v>
      </c>
      <c r="DA33" s="43"/>
      <c r="DG33" s="47">
        <v>0</v>
      </c>
      <c r="DH33" s="43"/>
      <c r="DK33" s="47">
        <v>0</v>
      </c>
      <c r="DL33" s="43"/>
      <c r="DM33" s="42"/>
      <c r="DQ33" s="47">
        <v>0</v>
      </c>
      <c r="DR33" s="43"/>
      <c r="DW33" s="47">
        <v>0</v>
      </c>
      <c r="DX33" s="43"/>
      <c r="EC33" s="47">
        <v>0</v>
      </c>
      <c r="ED33" s="43"/>
      <c r="EE33" s="42"/>
      <c r="EI33" s="47">
        <v>0</v>
      </c>
      <c r="EJ33" s="43"/>
      <c r="EO33" s="47">
        <v>0</v>
      </c>
      <c r="EP33" s="43"/>
      <c r="EQ33" s="42"/>
      <c r="EU33" s="47">
        <v>0</v>
      </c>
      <c r="EV33" s="43"/>
      <c r="EW33" s="42"/>
      <c r="FC33" s="47">
        <v>0</v>
      </c>
      <c r="FD33" s="43"/>
      <c r="FE33" s="42"/>
      <c r="FI33" s="47">
        <v>0</v>
      </c>
      <c r="FJ33" s="43"/>
      <c r="FQ33" s="47">
        <v>0</v>
      </c>
      <c r="FR33" s="43"/>
      <c r="FS33" s="42"/>
      <c r="FW33" s="47">
        <v>0</v>
      </c>
      <c r="FX33" s="43"/>
      <c r="FY33" s="42"/>
      <c r="GC33" s="47">
        <v>0</v>
      </c>
      <c r="GD33" s="43"/>
      <c r="GE33" s="42"/>
      <c r="GI33" s="47">
        <v>0</v>
      </c>
      <c r="GJ33" s="43"/>
      <c r="GQ33" s="47">
        <v>0</v>
      </c>
      <c r="GR33" s="43"/>
      <c r="GX33" s="47">
        <v>0</v>
      </c>
      <c r="GY33" s="43"/>
      <c r="GZ33" s="42"/>
      <c r="HC33" s="47">
        <v>0</v>
      </c>
      <c r="HD33" s="43"/>
      <c r="HE33" s="42"/>
      <c r="HH33" s="47">
        <v>0</v>
      </c>
      <c r="HI33" s="43"/>
      <c r="HN33" s="47">
        <v>0</v>
      </c>
      <c r="HO33" s="43"/>
      <c r="HP33" s="42"/>
      <c r="HU33" s="47">
        <v>0</v>
      </c>
      <c r="HV33" s="43"/>
      <c r="IA33" s="47">
        <v>0</v>
      </c>
      <c r="IB33" s="43"/>
      <c r="IC33" s="42"/>
      <c r="IG33" s="47">
        <v>0</v>
      </c>
      <c r="IH33" s="43"/>
      <c r="IM33" s="47">
        <v>0</v>
      </c>
      <c r="IN33" s="43"/>
      <c r="IO33" s="42"/>
      <c r="IQ33" s="47">
        <v>0</v>
      </c>
      <c r="IR33" s="43"/>
      <c r="IS33" s="42"/>
      <c r="IW33" s="47">
        <v>0</v>
      </c>
      <c r="IX33" s="43"/>
      <c r="IY33" s="42"/>
      <c r="JA33" s="47">
        <v>0</v>
      </c>
      <c r="JB33" s="43"/>
      <c r="JC33" s="42"/>
      <c r="JG33" s="47">
        <v>0</v>
      </c>
      <c r="JH33" s="43"/>
      <c r="JO33" s="47">
        <v>0</v>
      </c>
      <c r="JP33" s="43"/>
      <c r="JQ33" s="42"/>
      <c r="JU33" s="47">
        <v>0</v>
      </c>
      <c r="JV33" s="43"/>
      <c r="KA33" s="47">
        <v>0</v>
      </c>
      <c r="KB33" s="45"/>
      <c r="KG33" s="47">
        <v>0</v>
      </c>
      <c r="KH33" s="45"/>
      <c r="KM33" s="47">
        <v>0</v>
      </c>
      <c r="KN33" s="45"/>
      <c r="KS33" s="47">
        <v>0</v>
      </c>
      <c r="KT33" s="43"/>
      <c r="KW33" s="47">
        <v>0</v>
      </c>
      <c r="KX33" s="45"/>
      <c r="LC33" s="47">
        <v>0</v>
      </c>
      <c r="LD33" s="43"/>
      <c r="LE33" s="46"/>
      <c r="LG33" s="47">
        <v>0</v>
      </c>
      <c r="LH33" s="45"/>
      <c r="LM33" s="47">
        <v>0</v>
      </c>
      <c r="LN33" s="45"/>
      <c r="LS33" s="47">
        <v>0</v>
      </c>
      <c r="LT33" s="45"/>
      <c r="LY33" s="47">
        <v>0</v>
      </c>
      <c r="LZ33" s="45"/>
      <c r="ME33" s="47">
        <v>0</v>
      </c>
      <c r="MF33" s="45"/>
      <c r="MG33" s="46"/>
      <c r="MM33" s="47">
        <v>0</v>
      </c>
      <c r="MN33" s="45"/>
      <c r="MO33" s="44">
        <v>0</v>
      </c>
      <c r="MP33" s="44">
        <v>0</v>
      </c>
      <c r="MQ33" s="44">
        <v>0</v>
      </c>
      <c r="MR33" s="32">
        <v>130</v>
      </c>
      <c r="MS33" s="47">
        <v>2.0620000000000118</v>
      </c>
      <c r="MT33" s="45"/>
      <c r="MU33" s="44">
        <v>0</v>
      </c>
      <c r="MV33" s="44">
        <v>0</v>
      </c>
      <c r="MW33" s="44">
        <v>133.94200000000001</v>
      </c>
      <c r="MX33" s="44">
        <v>130</v>
      </c>
      <c r="MY33" s="47">
        <v>3.9420000000000068</v>
      </c>
      <c r="MZ33" s="45"/>
      <c r="NA33" s="46">
        <v>152.83199999999999</v>
      </c>
      <c r="NB33" s="44">
        <v>150</v>
      </c>
      <c r="NC33" s="47">
        <v>2.8319999999999941</v>
      </c>
      <c r="ND33" s="45"/>
      <c r="NE33" s="46">
        <v>118.745</v>
      </c>
      <c r="NF33" s="44">
        <v>120</v>
      </c>
      <c r="NG33" s="44">
        <v>101.71299999999999</v>
      </c>
      <c r="NH33" s="44">
        <v>0</v>
      </c>
      <c r="NI33" s="44">
        <v>100</v>
      </c>
      <c r="NJ33" s="47">
        <v>0.45799999999999841</v>
      </c>
      <c r="NK33" s="45"/>
      <c r="NL33" s="46">
        <v>102.988</v>
      </c>
      <c r="NM33" s="44">
        <v>100</v>
      </c>
      <c r="NN33" s="44">
        <v>149.761</v>
      </c>
      <c r="NO33" s="44">
        <v>150</v>
      </c>
      <c r="NP33" s="47">
        <v>2.7489999999999948</v>
      </c>
      <c r="NQ33" s="45"/>
      <c r="NR33" s="46">
        <v>95.622</v>
      </c>
      <c r="NS33" s="44">
        <v>95</v>
      </c>
      <c r="NT33" s="47">
        <v>0.62199999999999989</v>
      </c>
      <c r="NU33" s="45"/>
      <c r="NV33" s="46">
        <v>0</v>
      </c>
      <c r="NW33" s="44">
        <v>0</v>
      </c>
      <c r="NX33" s="44">
        <v>119.5</v>
      </c>
      <c r="NY33" s="44">
        <v>120</v>
      </c>
      <c r="NZ33" s="47">
        <v>-0.5</v>
      </c>
      <c r="OA33" s="45"/>
      <c r="OB33" s="46">
        <v>188.589</v>
      </c>
      <c r="OC33" s="44">
        <v>190</v>
      </c>
      <c r="OD33" s="47">
        <v>-1.4110000000000009</v>
      </c>
      <c r="OE33" s="45"/>
      <c r="OF33" s="46">
        <v>101.613</v>
      </c>
      <c r="OG33" s="44">
        <v>100</v>
      </c>
      <c r="OH33" s="44">
        <v>150.71700000000001</v>
      </c>
      <c r="OI33" s="44">
        <v>150</v>
      </c>
      <c r="OJ33" s="47">
        <v>2.3300000000000129</v>
      </c>
      <c r="OK33" s="45"/>
      <c r="OL33" s="44">
        <v>0</v>
      </c>
      <c r="OM33" s="43"/>
      <c r="ON33" s="44">
        <v>171.96799999999999</v>
      </c>
      <c r="OO33" s="44">
        <v>170</v>
      </c>
      <c r="OP33" s="47">
        <v>1.9679999999999891</v>
      </c>
      <c r="OQ33" s="45"/>
      <c r="OR33" s="46">
        <v>0</v>
      </c>
      <c r="OS33" s="44">
        <v>0</v>
      </c>
      <c r="OT33" s="44">
        <v>132.63999999999999</v>
      </c>
      <c r="OU33" s="44">
        <v>130</v>
      </c>
      <c r="OV33" s="47">
        <v>2.6399999999999859</v>
      </c>
      <c r="OW33" s="45"/>
      <c r="OX33" s="46">
        <v>0</v>
      </c>
      <c r="OY33" s="44">
        <v>0</v>
      </c>
      <c r="OZ33" s="44">
        <v>0</v>
      </c>
      <c r="PA33" s="44">
        <v>0</v>
      </c>
      <c r="PB33" s="47">
        <v>0</v>
      </c>
      <c r="PC33" s="45"/>
      <c r="PD33" s="46">
        <v>0</v>
      </c>
      <c r="PE33" s="44">
        <v>0</v>
      </c>
      <c r="PF33" s="44">
        <v>36.42</v>
      </c>
      <c r="PG33" s="44">
        <v>35</v>
      </c>
      <c r="PH33" s="47">
        <v>1.4200000000000019</v>
      </c>
      <c r="PI33" s="45"/>
      <c r="PJ33" s="25">
        <v>300.17899999999997</v>
      </c>
      <c r="PK33" s="44">
        <v>0</v>
      </c>
      <c r="PL33" s="44">
        <v>28.82</v>
      </c>
      <c r="PM33" s="44">
        <v>30</v>
      </c>
      <c r="PN33" s="47">
        <v>298.99900000000002</v>
      </c>
      <c r="PO33" s="45"/>
      <c r="PP33" s="46">
        <v>0</v>
      </c>
      <c r="PQ33" s="44">
        <v>0</v>
      </c>
      <c r="PR33" s="44">
        <v>110.773</v>
      </c>
      <c r="PS33" s="44">
        <v>100</v>
      </c>
      <c r="PT33" s="47">
        <v>10.773</v>
      </c>
      <c r="PU33" s="45"/>
      <c r="PV33" s="46">
        <v>180.88399999999999</v>
      </c>
      <c r="PW33" s="44">
        <v>180</v>
      </c>
      <c r="PX33" s="47">
        <v>0.88399999999998613</v>
      </c>
      <c r="PY33" s="45"/>
      <c r="PZ33" s="46">
        <v>36.658999999999999</v>
      </c>
      <c r="QA33" s="44">
        <v>35</v>
      </c>
      <c r="QB33" s="47">
        <v>1.6589999999999989</v>
      </c>
      <c r="QC33" s="45"/>
      <c r="QD33" s="46">
        <v>0</v>
      </c>
      <c r="QE33" s="44">
        <v>0</v>
      </c>
      <c r="QF33" s="44">
        <v>131.17400000000001</v>
      </c>
      <c r="QG33" s="44">
        <v>130</v>
      </c>
      <c r="QH33" s="47">
        <v>1.174000000000007</v>
      </c>
      <c r="QI33" s="45"/>
      <c r="QJ33" s="46">
        <v>102.42700000000001</v>
      </c>
      <c r="QK33" s="44">
        <v>100</v>
      </c>
      <c r="QL33" s="47">
        <v>2.4270000000000072</v>
      </c>
      <c r="QM33" s="45"/>
      <c r="QN33" s="46">
        <v>0</v>
      </c>
      <c r="QO33" s="44">
        <v>0</v>
      </c>
      <c r="QP33" s="44">
        <v>0</v>
      </c>
      <c r="QQ33" s="44">
        <v>0</v>
      </c>
      <c r="QR33" s="47">
        <v>0</v>
      </c>
      <c r="QS33" s="45"/>
      <c r="QT33" s="46">
        <v>82.191999999999993</v>
      </c>
      <c r="QU33" s="44">
        <v>0</v>
      </c>
      <c r="QV33" s="47">
        <v>82.191999999999993</v>
      </c>
      <c r="QW33" s="45"/>
      <c r="QX33" s="46">
        <v>0</v>
      </c>
      <c r="QY33" s="44">
        <v>0</v>
      </c>
      <c r="QZ33" s="44">
        <v>0</v>
      </c>
      <c r="RA33" s="44">
        <v>0</v>
      </c>
      <c r="RB33" s="47">
        <v>0</v>
      </c>
      <c r="RC33" s="45"/>
      <c r="RD33" s="42">
        <v>0</v>
      </c>
      <c r="RE33" s="44">
        <v>0</v>
      </c>
      <c r="RF33" s="44">
        <v>73.298000000000002</v>
      </c>
      <c r="RG33" s="44">
        <v>75</v>
      </c>
      <c r="RH33" s="47">
        <v>-1.701999999999998</v>
      </c>
      <c r="RI33" s="45"/>
      <c r="RJ33" s="42">
        <v>151.97300000000001</v>
      </c>
      <c r="RK33" s="47">
        <v>150</v>
      </c>
      <c r="RL33" s="47">
        <v>151.364</v>
      </c>
      <c r="RM33" s="47">
        <v>150</v>
      </c>
      <c r="RN33" s="47">
        <v>3.3369999999999891</v>
      </c>
      <c r="RO33" s="43"/>
      <c r="RP33" s="42">
        <v>70.216999999999999</v>
      </c>
      <c r="RQ33" s="47">
        <v>70</v>
      </c>
      <c r="RR33" s="47">
        <v>0.21699999999999869</v>
      </c>
      <c r="RS33" s="43"/>
      <c r="RT33" s="42">
        <v>0</v>
      </c>
      <c r="RU33" s="47">
        <v>0</v>
      </c>
      <c r="RV33" s="47">
        <v>0</v>
      </c>
      <c r="RW33" s="47">
        <v>0</v>
      </c>
      <c r="RX33" s="47">
        <v>0</v>
      </c>
      <c r="RY33" s="43"/>
      <c r="RZ33" s="42">
        <v>0</v>
      </c>
      <c r="SA33" s="47">
        <v>0</v>
      </c>
      <c r="SB33" s="47">
        <v>0</v>
      </c>
      <c r="SC33" s="47">
        <v>0</v>
      </c>
      <c r="SD33" s="47">
        <v>0</v>
      </c>
      <c r="SE33" s="43"/>
      <c r="SF33" s="42">
        <v>106.703</v>
      </c>
      <c r="SG33" s="47">
        <v>108</v>
      </c>
      <c r="SH33" s="47">
        <v>301.19200000000001</v>
      </c>
      <c r="SI33" s="47">
        <v>130</v>
      </c>
      <c r="SJ33" s="47">
        <v>169.89500000000001</v>
      </c>
      <c r="SK33" s="43"/>
      <c r="SL33" s="42">
        <v>69.885000000000005</v>
      </c>
      <c r="SM33" s="47">
        <v>70</v>
      </c>
      <c r="SN33" s="47">
        <v>-0.1149999999999949</v>
      </c>
      <c r="SO33" s="43"/>
      <c r="SP33" s="42">
        <v>0</v>
      </c>
      <c r="SQ33" s="47">
        <v>0</v>
      </c>
      <c r="SR33" s="47">
        <v>0</v>
      </c>
      <c r="SS33" s="47">
        <v>0</v>
      </c>
      <c r="ST33" s="47">
        <v>0</v>
      </c>
      <c r="SU33" s="43"/>
    </row>
    <row r="34" spans="1:515" x14ac:dyDescent="0.25">
      <c r="A34" s="47" t="s">
        <v>341</v>
      </c>
      <c r="B34" s="41">
        <v>1</v>
      </c>
      <c r="E34">
        <v>270</v>
      </c>
      <c r="F34">
        <v>330</v>
      </c>
      <c r="G34">
        <v>330</v>
      </c>
      <c r="J34" s="40">
        <v>49</v>
      </c>
      <c r="K34" s="52">
        <v>51</v>
      </c>
      <c r="L34" s="52">
        <v>41</v>
      </c>
      <c r="M34" s="52">
        <v>42</v>
      </c>
      <c r="N34" s="51">
        <f t="shared" si="9"/>
        <v>-3</v>
      </c>
      <c r="O34" s="43"/>
      <c r="P34" s="40">
        <v>64</v>
      </c>
      <c r="Q34" s="52">
        <v>65</v>
      </c>
      <c r="R34" s="52">
        <v>52</v>
      </c>
      <c r="S34" s="52">
        <v>55</v>
      </c>
      <c r="T34" s="51">
        <f t="shared" si="10"/>
        <v>-4</v>
      </c>
      <c r="U34" s="43"/>
      <c r="V34" s="40">
        <v>167</v>
      </c>
      <c r="W34" s="52">
        <v>168</v>
      </c>
      <c r="X34" s="51"/>
      <c r="Y34" s="51"/>
      <c r="Z34" s="51">
        <f t="shared" si="11"/>
        <v>-1</v>
      </c>
      <c r="AA34" s="43"/>
      <c r="AB34" s="40">
        <v>85</v>
      </c>
      <c r="AC34" s="56">
        <v>86</v>
      </c>
      <c r="AD34" s="51"/>
      <c r="AE34" s="51"/>
      <c r="AF34" s="51">
        <v>-1</v>
      </c>
      <c r="AG34" s="43"/>
      <c r="AH34" s="52">
        <v>126</v>
      </c>
      <c r="AI34">
        <v>126</v>
      </c>
      <c r="AJ34">
        <v>96</v>
      </c>
      <c r="AK34">
        <v>100</v>
      </c>
      <c r="AL34" s="47">
        <v>-4</v>
      </c>
      <c r="AM34" s="43"/>
      <c r="AN34" s="40">
        <v>137</v>
      </c>
      <c r="AO34">
        <v>140</v>
      </c>
      <c r="AP34">
        <v>160</v>
      </c>
      <c r="AQ34">
        <v>160</v>
      </c>
      <c r="AR34" s="47">
        <v>-3</v>
      </c>
      <c r="AS34" s="43"/>
      <c r="AV34">
        <v>198</v>
      </c>
      <c r="AW34">
        <v>200</v>
      </c>
      <c r="AX34" s="47">
        <v>-2</v>
      </c>
      <c r="AY34" s="43"/>
      <c r="AZ34">
        <v>121</v>
      </c>
      <c r="BA34">
        <v>120</v>
      </c>
      <c r="BB34">
        <v>145</v>
      </c>
      <c r="BC34">
        <v>147</v>
      </c>
      <c r="BD34" s="47">
        <v>-1</v>
      </c>
      <c r="BE34" s="43"/>
      <c r="BF34" s="40">
        <v>69</v>
      </c>
      <c r="BG34">
        <v>70</v>
      </c>
      <c r="BJ34" s="47">
        <v>-1</v>
      </c>
      <c r="BK34" s="43"/>
      <c r="BL34" s="40">
        <v>281</v>
      </c>
      <c r="BM34">
        <v>280</v>
      </c>
      <c r="BN34">
        <v>248</v>
      </c>
      <c r="BO34">
        <v>245</v>
      </c>
      <c r="BP34" s="47">
        <v>4</v>
      </c>
      <c r="BQ34" s="43"/>
      <c r="BR34">
        <v>61</v>
      </c>
      <c r="BS34">
        <v>61</v>
      </c>
      <c r="BV34" s="47">
        <v>0</v>
      </c>
      <c r="BW34" s="43"/>
      <c r="BX34" s="40">
        <v>101</v>
      </c>
      <c r="BY34">
        <v>100</v>
      </c>
      <c r="BZ34">
        <v>163</v>
      </c>
      <c r="CA34">
        <v>163</v>
      </c>
      <c r="CB34" s="47">
        <v>1</v>
      </c>
      <c r="CC34" s="43"/>
      <c r="CD34">
        <v>40</v>
      </c>
      <c r="CE34">
        <v>40</v>
      </c>
      <c r="CF34">
        <v>53</v>
      </c>
      <c r="CG34">
        <v>51</v>
      </c>
      <c r="CH34" s="47">
        <v>2</v>
      </c>
      <c r="CI34" s="43"/>
      <c r="CJ34">
        <v>219</v>
      </c>
      <c r="CK34">
        <v>220</v>
      </c>
      <c r="CL34">
        <v>245</v>
      </c>
      <c r="CM34">
        <v>246</v>
      </c>
      <c r="CN34" s="47">
        <v>-2</v>
      </c>
      <c r="CO34" s="43"/>
      <c r="CP34" s="40">
        <v>33</v>
      </c>
      <c r="CQ34">
        <v>30</v>
      </c>
      <c r="CR34">
        <v>36</v>
      </c>
      <c r="CS34">
        <v>35</v>
      </c>
      <c r="CT34" s="47">
        <v>4</v>
      </c>
      <c r="CU34" s="43"/>
      <c r="CV34" s="42"/>
      <c r="CW34">
        <v>250</v>
      </c>
      <c r="CX34">
        <v>246</v>
      </c>
      <c r="CY34">
        <v>245</v>
      </c>
      <c r="CZ34" s="50">
        <v>-249</v>
      </c>
      <c r="DA34" s="43">
        <v>249</v>
      </c>
      <c r="DB34">
        <v>129</v>
      </c>
      <c r="DC34">
        <v>128</v>
      </c>
      <c r="DG34" s="47">
        <v>1</v>
      </c>
      <c r="DH34" s="43"/>
      <c r="DI34">
        <v>40</v>
      </c>
      <c r="DJ34">
        <v>40</v>
      </c>
      <c r="DK34" s="47">
        <v>0</v>
      </c>
      <c r="DL34" s="43"/>
      <c r="DM34" s="40">
        <v>69</v>
      </c>
      <c r="DN34">
        <v>69</v>
      </c>
      <c r="DO34">
        <v>522</v>
      </c>
      <c r="DP34">
        <v>512</v>
      </c>
      <c r="DQ34" s="47">
        <v>10</v>
      </c>
      <c r="DR34" s="43"/>
      <c r="DS34">
        <v>122</v>
      </c>
      <c r="DT34">
        <v>120</v>
      </c>
      <c r="DU34">
        <v>187</v>
      </c>
      <c r="DV34">
        <v>187</v>
      </c>
      <c r="DW34" s="47">
        <v>2</v>
      </c>
      <c r="DX34" s="43"/>
      <c r="EA34">
        <v>81</v>
      </c>
      <c r="EB34">
        <v>79</v>
      </c>
      <c r="EC34" s="47">
        <v>2</v>
      </c>
      <c r="ED34" s="43"/>
      <c r="EE34" s="42"/>
      <c r="EG34">
        <v>100</v>
      </c>
      <c r="EH34">
        <v>99</v>
      </c>
      <c r="EI34" s="47">
        <v>1</v>
      </c>
      <c r="EJ34" s="43"/>
      <c r="EK34">
        <v>101</v>
      </c>
      <c r="EL34">
        <v>100</v>
      </c>
      <c r="EM34">
        <v>133</v>
      </c>
      <c r="EN34">
        <v>135</v>
      </c>
      <c r="EO34" s="47">
        <v>-1</v>
      </c>
      <c r="EP34" s="43"/>
      <c r="EQ34" s="42"/>
      <c r="EU34" s="47">
        <v>0</v>
      </c>
      <c r="EV34" s="43"/>
      <c r="EW34" s="40">
        <v>102</v>
      </c>
      <c r="EX34">
        <v>100</v>
      </c>
      <c r="EY34">
        <v>298</v>
      </c>
      <c r="EZ34">
        <v>300</v>
      </c>
      <c r="FA34">
        <v>158</v>
      </c>
      <c r="FB34">
        <v>157</v>
      </c>
      <c r="FC34" s="47">
        <v>1</v>
      </c>
      <c r="FD34" s="43"/>
      <c r="FE34" s="40">
        <v>108</v>
      </c>
      <c r="FF34">
        <v>110</v>
      </c>
      <c r="FG34">
        <v>109</v>
      </c>
      <c r="FH34">
        <v>110</v>
      </c>
      <c r="FI34" s="47">
        <v>-3</v>
      </c>
      <c r="FJ34" s="43"/>
      <c r="FK34">
        <v>251</v>
      </c>
      <c r="FL34">
        <v>250</v>
      </c>
      <c r="FM34">
        <v>204</v>
      </c>
      <c r="FN34">
        <v>200</v>
      </c>
      <c r="FO34">
        <v>301</v>
      </c>
      <c r="FP34">
        <v>300</v>
      </c>
      <c r="FQ34" s="47">
        <v>6</v>
      </c>
      <c r="FR34" s="43"/>
      <c r="FS34" s="42"/>
      <c r="FU34">
        <v>238</v>
      </c>
      <c r="FV34">
        <v>240</v>
      </c>
      <c r="FW34" s="47">
        <v>-2</v>
      </c>
      <c r="FX34" s="43"/>
      <c r="FY34" s="42"/>
      <c r="GA34">
        <v>300</v>
      </c>
      <c r="GB34">
        <v>300</v>
      </c>
      <c r="GC34" s="47">
        <v>0</v>
      </c>
      <c r="GD34" s="43"/>
      <c r="GE34" s="42"/>
      <c r="GI34" s="47">
        <v>0</v>
      </c>
      <c r="GJ34" s="43"/>
      <c r="GK34">
        <v>202</v>
      </c>
      <c r="GL34">
        <v>200</v>
      </c>
      <c r="GM34">
        <v>220</v>
      </c>
      <c r="GN34">
        <v>220</v>
      </c>
      <c r="GO34">
        <v>273</v>
      </c>
      <c r="GP34">
        <v>270</v>
      </c>
      <c r="GQ34" s="47">
        <v>5</v>
      </c>
      <c r="GR34" s="43"/>
      <c r="GS34">
        <v>81</v>
      </c>
      <c r="GT34">
        <v>80</v>
      </c>
      <c r="GX34" s="47">
        <v>1</v>
      </c>
      <c r="GY34" s="43"/>
      <c r="GZ34" s="40">
        <v>49</v>
      </c>
      <c r="HB34" s="44">
        <v>50</v>
      </c>
      <c r="HC34" s="47">
        <v>-1</v>
      </c>
      <c r="HD34" s="43"/>
      <c r="HE34" s="40">
        <v>244</v>
      </c>
      <c r="HG34">
        <v>241</v>
      </c>
      <c r="HH34" s="47">
        <v>3</v>
      </c>
      <c r="HI34" s="43"/>
      <c r="HJ34">
        <v>294</v>
      </c>
      <c r="HK34">
        <v>190</v>
      </c>
      <c r="HL34">
        <v>192</v>
      </c>
      <c r="HM34">
        <v>290</v>
      </c>
      <c r="HN34" s="47">
        <v>6</v>
      </c>
      <c r="HO34" s="43"/>
      <c r="HP34" s="40">
        <v>102</v>
      </c>
      <c r="HR34">
        <v>100</v>
      </c>
      <c r="HS34">
        <v>130</v>
      </c>
      <c r="HT34">
        <v>130</v>
      </c>
      <c r="HU34" s="47">
        <v>2</v>
      </c>
      <c r="HV34" s="43"/>
      <c r="HY34">
        <v>48</v>
      </c>
      <c r="HZ34">
        <v>50</v>
      </c>
      <c r="IA34" s="47">
        <v>-2</v>
      </c>
      <c r="IB34" s="43"/>
      <c r="IC34" s="42"/>
      <c r="IE34">
        <v>220</v>
      </c>
      <c r="IF34">
        <v>220</v>
      </c>
      <c r="IG34" s="47">
        <v>0</v>
      </c>
      <c r="IH34" s="43"/>
      <c r="II34">
        <v>203</v>
      </c>
      <c r="IJ34">
        <v>200</v>
      </c>
      <c r="IK34">
        <v>205</v>
      </c>
      <c r="IL34">
        <v>200</v>
      </c>
      <c r="IM34" s="47">
        <v>8</v>
      </c>
      <c r="IN34" s="43"/>
      <c r="IO34" s="42"/>
      <c r="IQ34" s="47">
        <v>0</v>
      </c>
      <c r="IR34" s="43"/>
      <c r="IS34" s="40">
        <v>298</v>
      </c>
      <c r="IT34">
        <v>300</v>
      </c>
      <c r="IU34">
        <v>447</v>
      </c>
      <c r="IV34">
        <v>450</v>
      </c>
      <c r="IW34" s="47">
        <v>-5</v>
      </c>
      <c r="IX34" s="43"/>
      <c r="IY34" s="42"/>
      <c r="JA34" s="47">
        <v>0</v>
      </c>
      <c r="JB34" s="43"/>
      <c r="JC34" s="42"/>
      <c r="JE34">
        <v>142</v>
      </c>
      <c r="JF34">
        <v>140</v>
      </c>
      <c r="JG34" s="47">
        <v>2</v>
      </c>
      <c r="JH34" s="43"/>
      <c r="JI34">
        <v>299</v>
      </c>
      <c r="JJ34">
        <v>300</v>
      </c>
      <c r="JM34">
        <v>203</v>
      </c>
      <c r="JN34">
        <v>200</v>
      </c>
      <c r="JO34" s="47">
        <v>2</v>
      </c>
      <c r="JP34" s="43"/>
      <c r="JQ34" s="40">
        <v>301</v>
      </c>
      <c r="JR34">
        <v>300</v>
      </c>
      <c r="JS34">
        <v>301</v>
      </c>
      <c r="JT34">
        <v>300</v>
      </c>
      <c r="JU34" s="47">
        <v>2</v>
      </c>
      <c r="JV34" s="43"/>
      <c r="JY34">
        <v>69</v>
      </c>
      <c r="JZ34">
        <v>70</v>
      </c>
      <c r="KA34" s="47">
        <v>-1</v>
      </c>
      <c r="KB34" s="45"/>
      <c r="KC34">
        <v>297</v>
      </c>
      <c r="KD34">
        <v>300</v>
      </c>
      <c r="KE34">
        <v>528</v>
      </c>
      <c r="KF34">
        <v>530</v>
      </c>
      <c r="KG34" s="47">
        <v>-5</v>
      </c>
      <c r="KH34" s="45"/>
      <c r="KI34">
        <v>89</v>
      </c>
      <c r="KJ34">
        <v>90</v>
      </c>
      <c r="KM34" s="47">
        <v>-1</v>
      </c>
      <c r="KN34" s="45"/>
      <c r="KO34">
        <v>93</v>
      </c>
      <c r="KP34">
        <v>350</v>
      </c>
      <c r="KQ34">
        <v>292</v>
      </c>
      <c r="KR34">
        <v>290</v>
      </c>
      <c r="KS34" s="50">
        <v>-255</v>
      </c>
      <c r="KT34" s="43">
        <v>255</v>
      </c>
      <c r="KU34">
        <v>203</v>
      </c>
      <c r="KV34">
        <v>200</v>
      </c>
      <c r="KW34" s="47">
        <v>3</v>
      </c>
      <c r="KX34" s="45"/>
      <c r="KY34">
        <v>342</v>
      </c>
      <c r="KZ34">
        <v>340</v>
      </c>
      <c r="LA34">
        <v>262</v>
      </c>
      <c r="LB34">
        <v>260</v>
      </c>
      <c r="LC34" s="47">
        <v>4</v>
      </c>
      <c r="LD34" s="43"/>
      <c r="LE34" s="40">
        <v>250</v>
      </c>
      <c r="LF34" s="44">
        <v>250</v>
      </c>
      <c r="LG34" s="47">
        <v>0</v>
      </c>
      <c r="LH34" s="45"/>
      <c r="LK34">
        <v>523</v>
      </c>
      <c r="LL34">
        <v>520</v>
      </c>
      <c r="LM34" s="47">
        <v>3</v>
      </c>
      <c r="LN34" s="45"/>
      <c r="LS34" s="47">
        <v>0</v>
      </c>
      <c r="LT34" s="45"/>
      <c r="LU34">
        <v>300</v>
      </c>
      <c r="LV34">
        <v>300</v>
      </c>
      <c r="LW34">
        <v>322</v>
      </c>
      <c r="LX34">
        <v>320</v>
      </c>
      <c r="LY34" s="47">
        <v>2</v>
      </c>
      <c r="LZ34" s="45"/>
      <c r="MA34">
        <v>150</v>
      </c>
      <c r="MB34">
        <v>150</v>
      </c>
      <c r="MC34">
        <v>202</v>
      </c>
      <c r="MD34">
        <v>200</v>
      </c>
      <c r="ME34" s="47">
        <v>2</v>
      </c>
      <c r="MF34" s="45"/>
      <c r="MG34" s="40">
        <v>203</v>
      </c>
      <c r="MH34">
        <v>200</v>
      </c>
      <c r="MI34">
        <v>203</v>
      </c>
      <c r="MJ34">
        <v>200</v>
      </c>
      <c r="MK34">
        <v>89</v>
      </c>
      <c r="ML34">
        <v>160</v>
      </c>
      <c r="MM34" s="50">
        <v>-65</v>
      </c>
      <c r="MN34" s="45">
        <v>65</v>
      </c>
      <c r="MO34" s="44">
        <v>150.291</v>
      </c>
      <c r="MP34" s="44">
        <v>150</v>
      </c>
      <c r="MQ34" s="44">
        <v>201.88800000000001</v>
      </c>
      <c r="MR34" s="44">
        <v>200</v>
      </c>
      <c r="MS34" s="47">
        <v>2.1789999999999741</v>
      </c>
      <c r="MT34" s="45"/>
      <c r="MU34" s="44">
        <v>0</v>
      </c>
      <c r="MV34" s="44">
        <v>0</v>
      </c>
      <c r="MW34" s="44">
        <v>109.282</v>
      </c>
      <c r="MX34" s="44">
        <v>110</v>
      </c>
      <c r="MY34" s="47">
        <v>-0.71800000000000352</v>
      </c>
      <c r="MZ34" s="45"/>
      <c r="NA34" s="46">
        <v>88.593999999999994</v>
      </c>
      <c r="NB34" s="44">
        <v>90</v>
      </c>
      <c r="NC34" s="47">
        <v>-1.4060000000000059</v>
      </c>
      <c r="ND34" s="45"/>
      <c r="NE34" s="46">
        <v>396.94600000000003</v>
      </c>
      <c r="NF34" s="44">
        <v>400</v>
      </c>
      <c r="NG34" s="44">
        <v>387.488</v>
      </c>
      <c r="NH34" s="44">
        <v>0</v>
      </c>
      <c r="NI34" s="44">
        <v>390</v>
      </c>
      <c r="NJ34" s="47">
        <v>-5.5660000000000309</v>
      </c>
      <c r="NK34" s="45"/>
      <c r="NL34" s="46">
        <v>0</v>
      </c>
      <c r="NM34" s="44">
        <v>0</v>
      </c>
      <c r="NN34" s="44">
        <v>40.441000000000003</v>
      </c>
      <c r="NO34" s="44">
        <v>40</v>
      </c>
      <c r="NP34" s="47">
        <v>0.4410000000000025</v>
      </c>
      <c r="NQ34" s="45"/>
      <c r="NR34" s="46">
        <v>0</v>
      </c>
      <c r="NS34" s="44">
        <v>0</v>
      </c>
      <c r="NT34" s="47">
        <v>0</v>
      </c>
      <c r="NU34" s="45"/>
      <c r="NV34" s="46">
        <v>252.786</v>
      </c>
      <c r="NW34" s="44">
        <v>250</v>
      </c>
      <c r="NX34" s="44">
        <v>254.642</v>
      </c>
      <c r="NY34" s="44">
        <v>250</v>
      </c>
      <c r="NZ34" s="47">
        <v>7.4279999999999973</v>
      </c>
      <c r="OA34" s="45"/>
      <c r="OB34" s="46">
        <v>753.18899999999996</v>
      </c>
      <c r="OC34" s="44">
        <v>750</v>
      </c>
      <c r="OD34" s="47">
        <v>3.188999999999965</v>
      </c>
      <c r="OE34" s="45"/>
      <c r="OF34" s="46">
        <v>302.64600000000002</v>
      </c>
      <c r="OG34" s="44">
        <v>300</v>
      </c>
      <c r="OH34" s="44">
        <v>152.05099999999999</v>
      </c>
      <c r="OI34" s="44">
        <v>150</v>
      </c>
      <c r="OJ34" s="47">
        <v>4.6970000000000027</v>
      </c>
      <c r="OK34" s="45"/>
      <c r="OL34" s="44">
        <v>0</v>
      </c>
      <c r="OM34" s="43"/>
      <c r="ON34" s="44">
        <v>521.11199999999997</v>
      </c>
      <c r="OO34" s="44">
        <v>520</v>
      </c>
      <c r="OP34" s="47">
        <v>1.1119999999999659</v>
      </c>
      <c r="OQ34" s="45"/>
      <c r="OR34" s="46">
        <v>303.91500000000002</v>
      </c>
      <c r="OS34" s="44">
        <v>300</v>
      </c>
      <c r="OT34" s="44">
        <v>650.48299999999995</v>
      </c>
      <c r="OU34" s="44">
        <v>650</v>
      </c>
      <c r="OV34" s="47">
        <v>4.3979999999999109</v>
      </c>
      <c r="OW34" s="45"/>
      <c r="OX34" s="46">
        <v>101.56399999999999</v>
      </c>
      <c r="OY34" s="44">
        <v>150</v>
      </c>
      <c r="OZ34" s="44">
        <v>291.05399999999997</v>
      </c>
      <c r="PA34" s="44">
        <v>290</v>
      </c>
      <c r="PB34" s="50">
        <v>-47.382000000000062</v>
      </c>
      <c r="PC34" s="45">
        <v>47.382000000000062</v>
      </c>
      <c r="PD34" s="46">
        <v>48.594000000000001</v>
      </c>
      <c r="PE34" s="44">
        <v>50</v>
      </c>
      <c r="PF34" s="44">
        <v>101.622</v>
      </c>
      <c r="PG34" s="44">
        <v>100</v>
      </c>
      <c r="PH34" s="47">
        <v>0.21600000000000821</v>
      </c>
      <c r="PI34" s="45"/>
      <c r="PJ34" s="25">
        <v>117.60299999999999</v>
      </c>
      <c r="PK34" s="44">
        <v>0</v>
      </c>
      <c r="PL34" s="44">
        <v>141.71899999999999</v>
      </c>
      <c r="PM34" s="44">
        <v>140</v>
      </c>
      <c r="PN34" s="47">
        <v>119.322</v>
      </c>
      <c r="PO34" s="45"/>
      <c r="PP34" s="46">
        <v>0</v>
      </c>
      <c r="PQ34" s="44">
        <v>0</v>
      </c>
      <c r="PR34" s="44">
        <v>125.506</v>
      </c>
      <c r="PS34" s="44">
        <v>120</v>
      </c>
      <c r="PT34" s="47">
        <v>5.5060000000000002</v>
      </c>
      <c r="PU34" s="45"/>
      <c r="PV34" s="46">
        <v>1401.1590000000001</v>
      </c>
      <c r="PW34" s="44">
        <v>1400</v>
      </c>
      <c r="PX34" s="47">
        <v>1.1590000000001059</v>
      </c>
      <c r="PY34" s="45"/>
      <c r="PZ34" s="46">
        <v>0</v>
      </c>
      <c r="QA34" s="44">
        <v>0</v>
      </c>
      <c r="QB34" s="47">
        <v>0</v>
      </c>
      <c r="QC34" s="45"/>
      <c r="QD34" s="46">
        <v>519.31799999999998</v>
      </c>
      <c r="QE34" s="44">
        <v>650</v>
      </c>
      <c r="QF34" s="44">
        <v>450.15699999999998</v>
      </c>
      <c r="QG34" s="44">
        <v>450</v>
      </c>
      <c r="QH34" s="50">
        <v>-130.52500000000009</v>
      </c>
      <c r="QI34" s="45">
        <v>130.52500000000009</v>
      </c>
      <c r="QJ34" s="46">
        <v>64.787000000000006</v>
      </c>
      <c r="QK34" s="44">
        <v>63</v>
      </c>
      <c r="QL34" s="47">
        <v>1.7870000000000059</v>
      </c>
      <c r="QM34" s="45"/>
      <c r="QN34" s="46">
        <v>0</v>
      </c>
      <c r="QO34" s="33">
        <v>700</v>
      </c>
      <c r="QP34" s="44">
        <v>534.88699999999994</v>
      </c>
      <c r="QQ34" s="44">
        <v>537</v>
      </c>
      <c r="QR34" s="50">
        <v>-702.11300000000006</v>
      </c>
      <c r="QS34" s="45">
        <v>702.11300000000006</v>
      </c>
      <c r="QT34" s="46">
        <v>204.97399999999999</v>
      </c>
      <c r="QU34" s="44">
        <v>147</v>
      </c>
      <c r="QV34" s="47">
        <v>57.97399999999999</v>
      </c>
      <c r="QW34" s="45"/>
      <c r="QX34" s="46">
        <v>73.834000000000003</v>
      </c>
      <c r="QY34" s="44">
        <v>150</v>
      </c>
      <c r="QZ34" s="44">
        <v>98.176000000000002</v>
      </c>
      <c r="RA34" s="44">
        <v>201</v>
      </c>
      <c r="RB34" s="50">
        <v>-178.99</v>
      </c>
      <c r="RC34" s="45">
        <v>178.99</v>
      </c>
      <c r="RD34" s="42">
        <v>20.161000000000001</v>
      </c>
      <c r="RE34" s="44">
        <v>310</v>
      </c>
      <c r="RF34" s="44">
        <v>375.12299999999999</v>
      </c>
      <c r="RG34" s="44">
        <v>375</v>
      </c>
      <c r="RH34" s="50">
        <v>-289.71600000000001</v>
      </c>
      <c r="RI34" s="45">
        <v>289.71600000000001</v>
      </c>
      <c r="RJ34" s="42">
        <v>200.77799999999999</v>
      </c>
      <c r="RK34" s="47">
        <v>200</v>
      </c>
      <c r="RL34" s="47">
        <v>301.178</v>
      </c>
      <c r="RM34" s="47">
        <v>300</v>
      </c>
      <c r="RN34" s="47">
        <v>1.9560000000000171</v>
      </c>
      <c r="RO34" s="43"/>
      <c r="RP34" s="42">
        <v>450.16</v>
      </c>
      <c r="RQ34" s="47">
        <v>450</v>
      </c>
      <c r="RR34" s="47">
        <v>0.16000000000002501</v>
      </c>
      <c r="RS34" s="43"/>
      <c r="RT34" s="42">
        <v>505.01100000000002</v>
      </c>
      <c r="RU34" s="47">
        <v>500</v>
      </c>
      <c r="RV34" s="47">
        <v>649.89599999999996</v>
      </c>
      <c r="RW34" s="47">
        <v>650</v>
      </c>
      <c r="RX34" s="47">
        <v>4.9069999999999254</v>
      </c>
      <c r="RY34" s="43"/>
      <c r="RZ34" s="42">
        <v>253.64</v>
      </c>
      <c r="SA34" s="47">
        <v>250</v>
      </c>
      <c r="SB34" s="47">
        <v>561.57299999999998</v>
      </c>
      <c r="SC34" s="47">
        <v>550</v>
      </c>
      <c r="SD34" s="47">
        <v>15.212999999999971</v>
      </c>
      <c r="SE34" s="43"/>
      <c r="SF34" s="42">
        <v>204.15799999999999</v>
      </c>
      <c r="SG34" s="47">
        <v>200</v>
      </c>
      <c r="SH34" s="47">
        <v>80.778000000000006</v>
      </c>
      <c r="SI34" s="47">
        <v>250</v>
      </c>
      <c r="SJ34" s="50">
        <v>-165.06399999999999</v>
      </c>
      <c r="SK34" s="43">
        <v>165.06399999999999</v>
      </c>
      <c r="SL34" s="42">
        <v>498.86099999999999</v>
      </c>
      <c r="SM34" s="47">
        <v>500</v>
      </c>
      <c r="SN34" s="47">
        <v>-1.13900000000001</v>
      </c>
      <c r="SO34" s="43"/>
      <c r="SP34" s="42">
        <v>404.62</v>
      </c>
      <c r="SQ34" s="47">
        <v>400</v>
      </c>
      <c r="SR34" s="47">
        <v>665.72400000000005</v>
      </c>
      <c r="SS34" s="47">
        <v>663</v>
      </c>
      <c r="ST34" s="47">
        <v>7.3440000000000509</v>
      </c>
      <c r="SU34" s="43"/>
    </row>
    <row r="35" spans="1:515" x14ac:dyDescent="0.25">
      <c r="A35" s="47" t="s">
        <v>342</v>
      </c>
      <c r="B35" s="41">
        <v>0.22</v>
      </c>
      <c r="E35">
        <v>85</v>
      </c>
      <c r="F35">
        <v>104</v>
      </c>
      <c r="G35">
        <v>105</v>
      </c>
      <c r="J35" s="42"/>
      <c r="K35" s="51"/>
      <c r="L35" s="52">
        <v>40</v>
      </c>
      <c r="M35" s="52">
        <v>40</v>
      </c>
      <c r="N35" s="51">
        <f t="shared" si="9"/>
        <v>0</v>
      </c>
      <c r="O35" s="43"/>
      <c r="P35" s="40">
        <v>32</v>
      </c>
      <c r="Q35" s="52">
        <v>38</v>
      </c>
      <c r="R35" s="52">
        <v>32</v>
      </c>
      <c r="S35" s="52">
        <v>32</v>
      </c>
      <c r="T35" s="51">
        <f t="shared" si="10"/>
        <v>-6</v>
      </c>
      <c r="U35" s="43"/>
      <c r="V35" s="40">
        <v>80</v>
      </c>
      <c r="W35" s="52">
        <v>80</v>
      </c>
      <c r="X35" s="52">
        <v>80</v>
      </c>
      <c r="Y35" s="52">
        <v>84</v>
      </c>
      <c r="Z35" s="51">
        <f t="shared" si="11"/>
        <v>-4</v>
      </c>
      <c r="AA35" s="43"/>
      <c r="AB35" s="42"/>
      <c r="AC35" s="51"/>
      <c r="AD35" s="52">
        <v>32</v>
      </c>
      <c r="AE35" s="56">
        <v>32</v>
      </c>
      <c r="AF35" s="51">
        <v>0</v>
      </c>
      <c r="AG35" s="43"/>
      <c r="AH35" s="51"/>
      <c r="AJ35">
        <v>72</v>
      </c>
      <c r="AK35">
        <v>72</v>
      </c>
      <c r="AL35" s="47">
        <v>0</v>
      </c>
      <c r="AM35" s="43"/>
      <c r="AN35" s="42"/>
      <c r="AO35">
        <v>32</v>
      </c>
      <c r="AP35">
        <v>64</v>
      </c>
      <c r="AQ35">
        <v>70</v>
      </c>
      <c r="AR35" s="50">
        <v>-38</v>
      </c>
      <c r="AS35" s="43">
        <v>8.36</v>
      </c>
      <c r="AV35">
        <v>64</v>
      </c>
      <c r="AW35">
        <v>67</v>
      </c>
      <c r="AX35" s="47">
        <v>-3</v>
      </c>
      <c r="AY35" s="43"/>
      <c r="AZ35">
        <v>16</v>
      </c>
      <c r="BA35">
        <v>16</v>
      </c>
      <c r="BB35">
        <v>40</v>
      </c>
      <c r="BC35">
        <v>38</v>
      </c>
      <c r="BD35" s="47">
        <v>2</v>
      </c>
      <c r="BE35" s="43"/>
      <c r="BF35" s="42"/>
      <c r="BH35">
        <v>32</v>
      </c>
      <c r="BI35">
        <v>32</v>
      </c>
      <c r="BJ35" s="47">
        <v>0</v>
      </c>
      <c r="BK35" s="43"/>
      <c r="BL35" s="40">
        <v>24</v>
      </c>
      <c r="BM35">
        <v>24</v>
      </c>
      <c r="BN35">
        <v>24</v>
      </c>
      <c r="BO35">
        <v>29</v>
      </c>
      <c r="BP35" s="47">
        <v>-5</v>
      </c>
      <c r="BQ35" s="43"/>
      <c r="BR35">
        <v>48</v>
      </c>
      <c r="BS35">
        <v>48</v>
      </c>
      <c r="BT35">
        <v>24</v>
      </c>
      <c r="BU35">
        <v>56</v>
      </c>
      <c r="BV35" s="50">
        <v>-32</v>
      </c>
      <c r="BW35" s="43">
        <v>7.04</v>
      </c>
      <c r="BX35" s="40">
        <v>32</v>
      </c>
      <c r="BY35">
        <v>32</v>
      </c>
      <c r="BZ35">
        <v>56</v>
      </c>
      <c r="CA35">
        <v>59</v>
      </c>
      <c r="CB35" s="47">
        <v>-3</v>
      </c>
      <c r="CC35" s="43"/>
      <c r="CD35">
        <v>32</v>
      </c>
      <c r="CE35">
        <v>32</v>
      </c>
      <c r="CF35">
        <v>32</v>
      </c>
      <c r="CG35">
        <v>36</v>
      </c>
      <c r="CH35" s="47">
        <v>-4</v>
      </c>
      <c r="CI35" s="43"/>
      <c r="CK35">
        <v>24</v>
      </c>
      <c r="CL35">
        <v>16</v>
      </c>
      <c r="CM35">
        <v>20</v>
      </c>
      <c r="CN35" s="50">
        <v>-28</v>
      </c>
      <c r="CO35" s="43">
        <v>6.16</v>
      </c>
      <c r="CP35" s="42"/>
      <c r="CR35">
        <v>48</v>
      </c>
      <c r="CS35">
        <v>50</v>
      </c>
      <c r="CT35" s="47">
        <v>-2</v>
      </c>
      <c r="CU35" s="43"/>
      <c r="CV35" s="42"/>
      <c r="CX35">
        <v>40</v>
      </c>
      <c r="CY35">
        <v>38</v>
      </c>
      <c r="CZ35" s="47">
        <v>2</v>
      </c>
      <c r="DA35" s="43"/>
      <c r="DE35">
        <v>96</v>
      </c>
      <c r="DF35">
        <v>101</v>
      </c>
      <c r="DG35" s="47">
        <v>-5</v>
      </c>
      <c r="DH35" s="43"/>
      <c r="DK35" s="47">
        <v>0</v>
      </c>
      <c r="DL35" s="43"/>
      <c r="DM35" s="40">
        <v>16</v>
      </c>
      <c r="DN35">
        <v>17</v>
      </c>
      <c r="DO35">
        <v>72</v>
      </c>
      <c r="DP35">
        <v>74</v>
      </c>
      <c r="DQ35" s="47">
        <v>-3</v>
      </c>
      <c r="DR35" s="43"/>
      <c r="DU35">
        <v>40</v>
      </c>
      <c r="DV35">
        <v>38</v>
      </c>
      <c r="DW35" s="47">
        <v>2</v>
      </c>
      <c r="DX35" s="43"/>
      <c r="EB35">
        <v>30</v>
      </c>
      <c r="EC35" s="50">
        <v>-30</v>
      </c>
      <c r="ED35" s="43">
        <v>6.6</v>
      </c>
      <c r="EE35" s="42"/>
      <c r="EG35">
        <v>56</v>
      </c>
      <c r="EH35">
        <v>55</v>
      </c>
      <c r="EI35" s="47">
        <v>1</v>
      </c>
      <c r="EJ35" s="43"/>
      <c r="EO35" s="47">
        <v>0</v>
      </c>
      <c r="EP35" s="43"/>
      <c r="EQ35" s="42"/>
      <c r="EU35" s="47">
        <v>0</v>
      </c>
      <c r="EV35" s="43"/>
      <c r="EW35" s="42"/>
      <c r="FA35">
        <v>160</v>
      </c>
      <c r="FB35">
        <v>160</v>
      </c>
      <c r="FC35" s="47">
        <v>0</v>
      </c>
      <c r="FD35" s="43"/>
      <c r="FE35" s="42"/>
      <c r="FG35">
        <v>40</v>
      </c>
      <c r="FH35">
        <v>40</v>
      </c>
      <c r="FI35" s="47">
        <v>0</v>
      </c>
      <c r="FJ35" s="43"/>
      <c r="FM35">
        <v>128</v>
      </c>
      <c r="FN35">
        <v>130</v>
      </c>
      <c r="FQ35" s="47">
        <v>-2</v>
      </c>
      <c r="FR35" s="43"/>
      <c r="FS35" s="42"/>
      <c r="FW35" s="47">
        <v>0</v>
      </c>
      <c r="FX35" s="43"/>
      <c r="FY35" s="42"/>
      <c r="GC35" s="47">
        <v>0</v>
      </c>
      <c r="GD35" s="43"/>
      <c r="GE35" s="40">
        <v>48</v>
      </c>
      <c r="GF35">
        <v>48</v>
      </c>
      <c r="GG35">
        <v>40</v>
      </c>
      <c r="GH35">
        <v>42</v>
      </c>
      <c r="GI35" s="47">
        <v>-2</v>
      </c>
      <c r="GJ35" s="43"/>
      <c r="GQ35" s="47">
        <v>0</v>
      </c>
      <c r="GR35" s="43"/>
      <c r="GS35">
        <v>40</v>
      </c>
      <c r="GT35">
        <v>40</v>
      </c>
      <c r="GX35" s="47">
        <v>0</v>
      </c>
      <c r="GY35" s="43"/>
      <c r="GZ35" s="40">
        <v>80</v>
      </c>
      <c r="HB35" s="44">
        <v>80.799999999999983</v>
      </c>
      <c r="HC35" s="47">
        <v>-0.79999999999998295</v>
      </c>
      <c r="HD35" s="43"/>
      <c r="HE35" s="42"/>
      <c r="HH35" s="47">
        <v>0</v>
      </c>
      <c r="HI35" s="43"/>
      <c r="HN35" s="47">
        <v>0</v>
      </c>
      <c r="HO35" s="43"/>
      <c r="HP35" s="42"/>
      <c r="HS35">
        <v>64</v>
      </c>
      <c r="HT35">
        <v>64</v>
      </c>
      <c r="HU35" s="47">
        <v>0</v>
      </c>
      <c r="HV35" s="43"/>
      <c r="HY35">
        <v>32</v>
      </c>
      <c r="HZ35">
        <v>32</v>
      </c>
      <c r="IA35" s="47">
        <v>0</v>
      </c>
      <c r="IB35" s="43"/>
      <c r="IC35" s="42"/>
      <c r="IE35">
        <v>48</v>
      </c>
      <c r="IF35">
        <v>46</v>
      </c>
      <c r="IG35" s="47">
        <v>2</v>
      </c>
      <c r="IH35" s="43"/>
      <c r="IK35">
        <v>32</v>
      </c>
      <c r="IL35">
        <v>32</v>
      </c>
      <c r="IM35" s="47">
        <v>0</v>
      </c>
      <c r="IN35" s="43"/>
      <c r="IO35" s="40">
        <v>24</v>
      </c>
      <c r="IP35" s="44">
        <v>24</v>
      </c>
      <c r="IQ35" s="47">
        <v>0</v>
      </c>
      <c r="IR35" s="43"/>
      <c r="IS35" s="42"/>
      <c r="IU35">
        <v>24</v>
      </c>
      <c r="IV35">
        <v>24</v>
      </c>
      <c r="IW35" s="47">
        <v>0</v>
      </c>
      <c r="IX35" s="43"/>
      <c r="IY35" s="42"/>
      <c r="JA35" s="47">
        <v>0</v>
      </c>
      <c r="JB35" s="43"/>
      <c r="JC35" s="42"/>
      <c r="JE35">
        <v>112</v>
      </c>
      <c r="JF35">
        <v>110</v>
      </c>
      <c r="JG35" s="47">
        <v>2</v>
      </c>
      <c r="JH35" s="43"/>
      <c r="JM35">
        <v>40</v>
      </c>
      <c r="JN35">
        <v>44</v>
      </c>
      <c r="JO35" s="47">
        <v>-4</v>
      </c>
      <c r="JP35" s="43"/>
      <c r="JQ35" s="42"/>
      <c r="JU35" s="47">
        <v>0</v>
      </c>
      <c r="JV35" s="43"/>
      <c r="KA35" s="47">
        <v>0</v>
      </c>
      <c r="KB35" s="45"/>
      <c r="KG35" s="47">
        <v>0</v>
      </c>
      <c r="KH35" s="45"/>
      <c r="KI35">
        <v>64</v>
      </c>
      <c r="KJ35">
        <v>64</v>
      </c>
      <c r="KK35">
        <v>16</v>
      </c>
      <c r="KL35">
        <v>16</v>
      </c>
      <c r="KM35" s="47">
        <v>0</v>
      </c>
      <c r="KN35" s="45"/>
      <c r="KS35" s="47">
        <v>0</v>
      </c>
      <c r="KT35" s="43"/>
      <c r="KU35">
        <v>56</v>
      </c>
      <c r="KV35">
        <v>60</v>
      </c>
      <c r="KW35" s="47">
        <v>-4</v>
      </c>
      <c r="KX35" s="45"/>
      <c r="KY35">
        <v>56</v>
      </c>
      <c r="KZ35">
        <v>60</v>
      </c>
      <c r="LA35">
        <v>64</v>
      </c>
      <c r="LB35">
        <v>65</v>
      </c>
      <c r="LC35" s="47">
        <v>-5</v>
      </c>
      <c r="LD35" s="43"/>
      <c r="LE35" s="40">
        <v>56</v>
      </c>
      <c r="LF35" s="44">
        <v>60</v>
      </c>
      <c r="LG35" s="47">
        <v>-4</v>
      </c>
      <c r="LH35" s="45"/>
      <c r="LK35">
        <v>40</v>
      </c>
      <c r="LL35">
        <v>39</v>
      </c>
      <c r="LM35" s="47">
        <v>1</v>
      </c>
      <c r="LN35" s="45"/>
      <c r="LS35" s="47">
        <v>0</v>
      </c>
      <c r="LT35" s="45"/>
      <c r="LU35">
        <v>40</v>
      </c>
      <c r="LV35">
        <v>40</v>
      </c>
      <c r="LW35">
        <v>40</v>
      </c>
      <c r="LX35">
        <v>40</v>
      </c>
      <c r="LY35" s="47">
        <v>0</v>
      </c>
      <c r="LZ35" s="45"/>
      <c r="MC35">
        <v>80</v>
      </c>
      <c r="MD35">
        <v>80</v>
      </c>
      <c r="ME35" s="47">
        <v>0</v>
      </c>
      <c r="MF35" s="45"/>
      <c r="MG35" s="46"/>
      <c r="MM35" s="47">
        <v>0</v>
      </c>
      <c r="MN35" s="45"/>
      <c r="MO35" s="44">
        <v>0</v>
      </c>
      <c r="MP35" s="44">
        <v>0</v>
      </c>
      <c r="MQ35" s="44">
        <v>72</v>
      </c>
      <c r="MR35" s="44">
        <v>70</v>
      </c>
      <c r="MS35" s="47">
        <v>2</v>
      </c>
      <c r="MT35" s="45"/>
      <c r="MU35" s="44">
        <v>0</v>
      </c>
      <c r="MV35" s="44">
        <v>0</v>
      </c>
      <c r="MW35" s="44">
        <v>0</v>
      </c>
      <c r="MX35" s="44">
        <v>0</v>
      </c>
      <c r="MY35" s="47">
        <v>0</v>
      </c>
      <c r="MZ35" s="45"/>
      <c r="NA35" s="46">
        <v>0</v>
      </c>
      <c r="NB35" s="44">
        <v>0</v>
      </c>
      <c r="NC35" s="47">
        <v>0</v>
      </c>
      <c r="ND35" s="45"/>
      <c r="NE35" s="46">
        <v>32</v>
      </c>
      <c r="NF35" s="44">
        <v>30</v>
      </c>
      <c r="NG35" s="44">
        <v>40</v>
      </c>
      <c r="NH35" s="44">
        <v>0</v>
      </c>
      <c r="NI35" s="44">
        <v>40</v>
      </c>
      <c r="NJ35" s="47">
        <v>2</v>
      </c>
      <c r="NK35" s="45"/>
      <c r="NL35" s="46">
        <v>0</v>
      </c>
      <c r="NM35" s="44">
        <v>0</v>
      </c>
      <c r="NN35" s="44">
        <v>0</v>
      </c>
      <c r="NO35" s="44">
        <v>0</v>
      </c>
      <c r="NP35" s="47">
        <v>0</v>
      </c>
      <c r="NQ35" s="45"/>
      <c r="NR35" s="46">
        <v>120</v>
      </c>
      <c r="NS35" s="44">
        <v>120</v>
      </c>
      <c r="NT35" s="47">
        <v>0</v>
      </c>
      <c r="NU35" s="45"/>
      <c r="NV35" s="46">
        <v>0</v>
      </c>
      <c r="NW35" s="44">
        <v>0</v>
      </c>
      <c r="NX35" s="44">
        <v>24</v>
      </c>
      <c r="NY35" s="44">
        <v>24</v>
      </c>
      <c r="NZ35" s="47">
        <v>0</v>
      </c>
      <c r="OA35" s="45"/>
      <c r="OB35" s="46">
        <v>0</v>
      </c>
      <c r="OC35" s="44">
        <v>0</v>
      </c>
      <c r="OD35" s="47">
        <v>0</v>
      </c>
      <c r="OE35" s="45"/>
      <c r="OF35" s="46">
        <v>0</v>
      </c>
      <c r="OG35" s="44">
        <v>0</v>
      </c>
      <c r="OH35" s="44">
        <v>48</v>
      </c>
      <c r="OI35" s="44">
        <v>47</v>
      </c>
      <c r="OJ35" s="47">
        <v>1</v>
      </c>
      <c r="OK35" s="45"/>
      <c r="OL35" s="44">
        <v>0</v>
      </c>
      <c r="OM35" s="43"/>
      <c r="ON35" s="44">
        <v>0</v>
      </c>
      <c r="OO35" s="44">
        <v>0</v>
      </c>
      <c r="OP35" s="47">
        <v>0</v>
      </c>
      <c r="OQ35" s="45"/>
      <c r="OR35" s="46">
        <v>0</v>
      </c>
      <c r="OS35" s="44">
        <v>0</v>
      </c>
      <c r="OT35" s="44">
        <v>16</v>
      </c>
      <c r="OU35" s="44">
        <v>20</v>
      </c>
      <c r="OV35" s="47">
        <v>-4</v>
      </c>
      <c r="OW35" s="45"/>
      <c r="OX35" s="46">
        <v>0</v>
      </c>
      <c r="OY35" s="44">
        <v>0</v>
      </c>
      <c r="OZ35" s="44">
        <v>0</v>
      </c>
      <c r="PA35" s="44">
        <v>0</v>
      </c>
      <c r="PB35" s="47">
        <v>0</v>
      </c>
      <c r="PC35" s="45"/>
      <c r="PD35" s="46">
        <v>0</v>
      </c>
      <c r="PE35" s="44">
        <v>0</v>
      </c>
      <c r="PF35" s="44">
        <v>0</v>
      </c>
      <c r="PG35" s="44">
        <v>0</v>
      </c>
      <c r="PH35" s="47">
        <v>0</v>
      </c>
      <c r="PI35" s="45"/>
      <c r="PJ35" s="46">
        <v>0</v>
      </c>
      <c r="PK35" s="44">
        <v>0</v>
      </c>
      <c r="PL35" s="44">
        <v>48</v>
      </c>
      <c r="PM35" s="44">
        <v>50</v>
      </c>
      <c r="PN35" s="47">
        <v>-2</v>
      </c>
      <c r="PO35" s="45"/>
      <c r="PP35" s="46">
        <v>0</v>
      </c>
      <c r="PQ35" s="44">
        <v>0</v>
      </c>
      <c r="PR35" s="44">
        <v>40</v>
      </c>
      <c r="PS35" s="44">
        <v>40</v>
      </c>
      <c r="PT35" s="47">
        <v>0</v>
      </c>
      <c r="PU35" s="45"/>
      <c r="PV35" s="46">
        <v>48</v>
      </c>
      <c r="PW35" s="44">
        <v>50</v>
      </c>
      <c r="PX35" s="47">
        <v>-2</v>
      </c>
      <c r="PY35" s="45"/>
      <c r="PZ35" s="46">
        <v>0</v>
      </c>
      <c r="QA35" s="44">
        <v>0</v>
      </c>
      <c r="QB35" s="47">
        <v>0</v>
      </c>
      <c r="QC35" s="45"/>
      <c r="QD35" s="46">
        <v>0</v>
      </c>
      <c r="QE35" s="44">
        <v>0</v>
      </c>
      <c r="QF35" s="44">
        <v>48</v>
      </c>
      <c r="QG35" s="44">
        <v>50</v>
      </c>
      <c r="QH35" s="47">
        <v>-2</v>
      </c>
      <c r="QI35" s="45"/>
      <c r="QJ35" s="46">
        <v>16</v>
      </c>
      <c r="QK35" s="44">
        <v>20</v>
      </c>
      <c r="QL35" s="47">
        <v>-4</v>
      </c>
      <c r="QM35" s="45"/>
      <c r="QN35" s="46">
        <v>0</v>
      </c>
      <c r="QO35" s="44">
        <v>0</v>
      </c>
      <c r="QP35" s="44">
        <v>32</v>
      </c>
      <c r="QQ35" s="44">
        <v>33</v>
      </c>
      <c r="QR35" s="47">
        <v>-1</v>
      </c>
      <c r="QS35" s="45"/>
      <c r="QT35" s="46">
        <v>0</v>
      </c>
      <c r="QU35" s="44">
        <v>0</v>
      </c>
      <c r="QV35" s="47">
        <v>0</v>
      </c>
      <c r="QW35" s="45"/>
      <c r="QX35" s="46">
        <v>0</v>
      </c>
      <c r="QY35" s="44">
        <v>0</v>
      </c>
      <c r="QZ35" s="44">
        <v>16</v>
      </c>
      <c r="RA35" s="44">
        <v>20</v>
      </c>
      <c r="RB35" s="47">
        <v>-4</v>
      </c>
      <c r="RC35" s="45"/>
      <c r="RD35" s="42">
        <v>0</v>
      </c>
      <c r="RE35" s="44">
        <v>0</v>
      </c>
      <c r="RF35" s="44">
        <v>56</v>
      </c>
      <c r="RG35" s="44">
        <v>60</v>
      </c>
      <c r="RH35" s="47">
        <v>-4</v>
      </c>
      <c r="RI35" s="45"/>
      <c r="RJ35" s="42">
        <v>48</v>
      </c>
      <c r="RK35" s="47">
        <v>50</v>
      </c>
      <c r="RL35" s="47">
        <v>0</v>
      </c>
      <c r="RM35" s="47">
        <v>0</v>
      </c>
      <c r="RN35" s="47">
        <v>-2</v>
      </c>
      <c r="RO35" s="43"/>
      <c r="RP35" s="42">
        <v>32</v>
      </c>
      <c r="RQ35" s="47">
        <v>30</v>
      </c>
      <c r="RR35" s="47">
        <v>2</v>
      </c>
      <c r="RS35" s="43"/>
      <c r="RT35" s="42">
        <v>64</v>
      </c>
      <c r="RU35" s="47">
        <v>62</v>
      </c>
      <c r="RV35" s="47">
        <v>0</v>
      </c>
      <c r="RW35" s="47">
        <v>0</v>
      </c>
      <c r="RX35" s="47">
        <v>2</v>
      </c>
      <c r="RY35" s="43"/>
      <c r="RZ35" s="42">
        <v>0</v>
      </c>
      <c r="SA35" s="47">
        <v>0</v>
      </c>
      <c r="SB35" s="47">
        <v>0</v>
      </c>
      <c r="SC35" s="47">
        <v>0</v>
      </c>
      <c r="SD35" s="47">
        <v>0</v>
      </c>
      <c r="SE35" s="43"/>
      <c r="SF35" s="42">
        <v>48</v>
      </c>
      <c r="SG35" s="47">
        <v>50</v>
      </c>
      <c r="SH35" s="47">
        <v>40</v>
      </c>
      <c r="SI35" s="47">
        <v>70</v>
      </c>
      <c r="SJ35" s="50">
        <v>-32</v>
      </c>
      <c r="SK35" s="43">
        <v>7.04</v>
      </c>
      <c r="SL35" s="42">
        <v>80</v>
      </c>
      <c r="SM35" s="47">
        <v>80</v>
      </c>
      <c r="SN35" s="47">
        <v>0</v>
      </c>
      <c r="SO35" s="43"/>
      <c r="SP35" s="42">
        <v>0</v>
      </c>
      <c r="SQ35" s="47">
        <v>0</v>
      </c>
      <c r="SR35" s="47">
        <v>72</v>
      </c>
      <c r="SS35" s="47">
        <v>70</v>
      </c>
      <c r="ST35" s="47">
        <v>2</v>
      </c>
      <c r="SU35" s="43"/>
    </row>
    <row r="36" spans="1:515" x14ac:dyDescent="0.25">
      <c r="A36" s="47" t="s">
        <v>343</v>
      </c>
      <c r="B36" s="41">
        <v>1</v>
      </c>
      <c r="J36" s="42"/>
      <c r="K36" s="51"/>
      <c r="L36" s="51"/>
      <c r="M36" s="51"/>
      <c r="N36" s="51">
        <f t="shared" si="9"/>
        <v>0</v>
      </c>
      <c r="O36" s="43"/>
      <c r="P36" s="46"/>
      <c r="Q36" s="51"/>
      <c r="R36" s="51"/>
      <c r="S36" s="51"/>
      <c r="T36" s="51">
        <f t="shared" si="10"/>
        <v>0</v>
      </c>
      <c r="U36" s="43"/>
      <c r="V36" s="42"/>
      <c r="W36" s="51"/>
      <c r="X36" s="51"/>
      <c r="Y36" s="51"/>
      <c r="Z36" s="51">
        <f t="shared" si="11"/>
        <v>0</v>
      </c>
      <c r="AA36" s="43"/>
      <c r="AB36" s="42"/>
      <c r="AC36" s="51"/>
      <c r="AD36" s="51"/>
      <c r="AE36" s="51"/>
      <c r="AF36" s="51">
        <v>0</v>
      </c>
      <c r="AG36" s="43"/>
      <c r="AH36" s="51"/>
      <c r="AL36" s="47">
        <v>0</v>
      </c>
      <c r="AM36" s="43"/>
      <c r="AN36" s="42"/>
      <c r="AR36" s="47">
        <v>0</v>
      </c>
      <c r="AS36" s="43"/>
      <c r="AX36" s="47">
        <v>0</v>
      </c>
      <c r="AY36" s="43"/>
      <c r="BD36" s="47">
        <v>0</v>
      </c>
      <c r="BE36" s="43"/>
      <c r="BF36" s="42"/>
      <c r="BJ36" s="47">
        <v>0</v>
      </c>
      <c r="BK36" s="43"/>
      <c r="BL36" s="42"/>
      <c r="BP36" s="47">
        <v>0</v>
      </c>
      <c r="BQ36" s="43"/>
      <c r="BV36" s="47">
        <v>0</v>
      </c>
      <c r="BW36" s="43"/>
      <c r="BX36" s="42"/>
      <c r="CB36" s="47">
        <v>0</v>
      </c>
      <c r="CC36" s="43"/>
      <c r="CH36" s="47">
        <v>0</v>
      </c>
      <c r="CI36" s="43"/>
      <c r="CN36" s="47">
        <v>0</v>
      </c>
      <c r="CO36" s="43"/>
      <c r="CP36" s="42"/>
      <c r="CT36" s="47">
        <v>0</v>
      </c>
      <c r="CU36" s="43"/>
      <c r="CV36" s="42"/>
      <c r="CZ36" s="47">
        <v>0</v>
      </c>
      <c r="DA36" s="43"/>
      <c r="DG36" s="47">
        <v>0</v>
      </c>
      <c r="DH36" s="43"/>
      <c r="DK36" s="47">
        <v>0</v>
      </c>
      <c r="DL36" s="43"/>
      <c r="DM36" s="42"/>
      <c r="DQ36" s="47">
        <v>0</v>
      </c>
      <c r="DR36" s="43"/>
      <c r="DW36" s="47">
        <v>0</v>
      </c>
      <c r="DX36" s="43"/>
      <c r="EC36" s="47">
        <v>0</v>
      </c>
      <c r="ED36" s="43"/>
      <c r="EE36" s="42"/>
      <c r="EI36" s="47">
        <v>0</v>
      </c>
      <c r="EJ36" s="43"/>
      <c r="EO36" s="47">
        <v>0</v>
      </c>
      <c r="EP36" s="43"/>
      <c r="EQ36" s="42"/>
      <c r="EU36" s="47">
        <v>0</v>
      </c>
      <c r="EV36" s="43"/>
      <c r="EW36" s="42"/>
      <c r="FC36" s="47">
        <v>0</v>
      </c>
      <c r="FD36" s="43"/>
      <c r="FE36" s="42"/>
      <c r="FI36" s="47">
        <v>0</v>
      </c>
      <c r="FJ36" s="43"/>
      <c r="FQ36" s="47">
        <v>0</v>
      </c>
      <c r="FR36" s="43"/>
      <c r="FS36" s="42"/>
      <c r="FW36" s="47">
        <v>0</v>
      </c>
      <c r="FX36" s="43"/>
      <c r="FY36" s="42"/>
      <c r="GC36" s="47">
        <v>0</v>
      </c>
      <c r="GD36" s="43"/>
      <c r="GE36" s="42"/>
      <c r="GI36" s="47">
        <v>0</v>
      </c>
      <c r="GJ36" s="43"/>
      <c r="GQ36" s="47">
        <v>0</v>
      </c>
      <c r="GR36" s="43"/>
      <c r="GX36" s="47">
        <v>0</v>
      </c>
      <c r="GY36" s="43"/>
      <c r="GZ36" s="42"/>
      <c r="HC36" s="47">
        <v>0</v>
      </c>
      <c r="HD36" s="43"/>
      <c r="HE36" s="42"/>
      <c r="HH36" s="47">
        <v>0</v>
      </c>
      <c r="HI36" s="43"/>
      <c r="HN36" s="47">
        <v>0</v>
      </c>
      <c r="HO36" s="43"/>
      <c r="HP36" s="42"/>
      <c r="HU36" s="47">
        <v>0</v>
      </c>
      <c r="HV36" s="43"/>
      <c r="IA36" s="47">
        <v>0</v>
      </c>
      <c r="IB36" s="43"/>
      <c r="IC36" s="42"/>
      <c r="IG36" s="47">
        <v>0</v>
      </c>
      <c r="IH36" s="43"/>
      <c r="IM36" s="47">
        <v>0</v>
      </c>
      <c r="IN36" s="43"/>
      <c r="IO36" s="42"/>
      <c r="IQ36" s="47">
        <v>0</v>
      </c>
      <c r="IR36" s="43"/>
      <c r="IS36" s="42"/>
      <c r="IW36" s="47">
        <v>0</v>
      </c>
      <c r="IX36" s="43"/>
      <c r="IY36" s="42"/>
      <c r="JA36" s="47">
        <v>0</v>
      </c>
      <c r="JB36" s="43"/>
      <c r="JC36" s="42"/>
      <c r="JG36" s="47">
        <v>0</v>
      </c>
      <c r="JH36" s="43"/>
      <c r="JO36" s="47">
        <v>0</v>
      </c>
      <c r="JP36" s="43"/>
      <c r="JQ36" s="42"/>
      <c r="JU36" s="47">
        <v>0</v>
      </c>
      <c r="JV36" s="43"/>
      <c r="KA36" s="47">
        <v>0</v>
      </c>
      <c r="KB36" s="45"/>
      <c r="KG36" s="47">
        <v>0</v>
      </c>
      <c r="KH36" s="45"/>
      <c r="KM36" s="47">
        <v>0</v>
      </c>
      <c r="KN36" s="45"/>
      <c r="KS36" s="47">
        <v>0</v>
      </c>
      <c r="KT36" s="43"/>
      <c r="KW36" s="47">
        <v>0</v>
      </c>
      <c r="KX36" s="45"/>
      <c r="LC36" s="47">
        <v>0</v>
      </c>
      <c r="LD36" s="43"/>
      <c r="LE36" s="46"/>
      <c r="LG36" s="47">
        <v>0</v>
      </c>
      <c r="LH36" s="45"/>
      <c r="LM36" s="47">
        <v>0</v>
      </c>
      <c r="LN36" s="45"/>
      <c r="LS36" s="47">
        <v>0</v>
      </c>
      <c r="LT36" s="45"/>
      <c r="LY36" s="47">
        <v>0</v>
      </c>
      <c r="LZ36" s="45"/>
      <c r="ME36" s="47">
        <v>0</v>
      </c>
      <c r="MF36" s="45"/>
      <c r="MG36" s="46"/>
      <c r="MM36" s="47">
        <v>0</v>
      </c>
      <c r="MN36" s="45"/>
      <c r="MO36" s="44">
        <v>0</v>
      </c>
      <c r="MP36" s="44">
        <v>0</v>
      </c>
      <c r="MQ36" s="44">
        <v>0</v>
      </c>
      <c r="MR36" s="44">
        <v>0</v>
      </c>
      <c r="MS36" s="47">
        <v>0</v>
      </c>
      <c r="MT36" s="45"/>
      <c r="MU36" s="44">
        <v>0</v>
      </c>
      <c r="MV36" s="44">
        <v>0</v>
      </c>
      <c r="MW36" s="44">
        <v>0</v>
      </c>
      <c r="MX36" s="44">
        <v>0</v>
      </c>
      <c r="MY36" s="47">
        <v>0</v>
      </c>
      <c r="MZ36" s="45"/>
      <c r="NA36" s="46">
        <v>0</v>
      </c>
      <c r="NB36" s="44">
        <v>0</v>
      </c>
      <c r="NC36" s="47">
        <v>0</v>
      </c>
      <c r="ND36" s="45"/>
      <c r="NE36" s="46">
        <v>0</v>
      </c>
      <c r="NF36" s="44">
        <v>0</v>
      </c>
      <c r="NG36" s="44">
        <v>0</v>
      </c>
      <c r="NH36" s="44">
        <v>0</v>
      </c>
      <c r="NI36" s="44">
        <v>0</v>
      </c>
      <c r="NJ36" s="47">
        <v>0</v>
      </c>
      <c r="NK36" s="45"/>
      <c r="NL36" s="46">
        <v>0</v>
      </c>
      <c r="NM36" s="44">
        <v>0</v>
      </c>
      <c r="NN36" s="44">
        <v>0</v>
      </c>
      <c r="NO36" s="44">
        <v>0</v>
      </c>
      <c r="NP36" s="47">
        <v>0</v>
      </c>
      <c r="NQ36" s="45"/>
      <c r="NR36" s="46">
        <v>0</v>
      </c>
      <c r="NS36" s="44">
        <v>0</v>
      </c>
      <c r="NT36" s="47">
        <v>0</v>
      </c>
      <c r="NU36" s="45"/>
      <c r="NV36" s="46">
        <v>0</v>
      </c>
      <c r="NW36" s="44">
        <v>0</v>
      </c>
      <c r="NX36" s="44">
        <v>0</v>
      </c>
      <c r="NY36" s="44">
        <v>0</v>
      </c>
      <c r="NZ36" s="47">
        <v>0</v>
      </c>
      <c r="OA36" s="45"/>
      <c r="OB36" s="46">
        <v>0</v>
      </c>
      <c r="OC36" s="44">
        <v>0</v>
      </c>
      <c r="OD36" s="47">
        <v>0</v>
      </c>
      <c r="OE36" s="45"/>
      <c r="OF36" s="46">
        <v>0</v>
      </c>
      <c r="OG36" s="44">
        <v>0</v>
      </c>
      <c r="OH36" s="44">
        <v>0</v>
      </c>
      <c r="OI36" s="44">
        <v>0</v>
      </c>
      <c r="OJ36" s="47">
        <v>0</v>
      </c>
      <c r="OK36" s="45"/>
      <c r="OL36" s="44">
        <v>0</v>
      </c>
      <c r="OM36" s="43"/>
      <c r="ON36" s="44">
        <v>0</v>
      </c>
      <c r="OO36" s="44">
        <v>0</v>
      </c>
      <c r="OP36" s="47">
        <v>0</v>
      </c>
      <c r="OQ36" s="45"/>
      <c r="OR36" s="46">
        <v>0</v>
      </c>
      <c r="OS36" s="44">
        <v>0</v>
      </c>
      <c r="OT36" s="44">
        <v>0</v>
      </c>
      <c r="OU36" s="44">
        <v>0</v>
      </c>
      <c r="OV36" s="47">
        <v>0</v>
      </c>
      <c r="OW36" s="45"/>
      <c r="OX36" s="46">
        <v>0</v>
      </c>
      <c r="OY36" s="44">
        <v>0</v>
      </c>
      <c r="OZ36" s="44">
        <v>0</v>
      </c>
      <c r="PA36" s="44">
        <v>0</v>
      </c>
      <c r="PB36" s="47">
        <v>0</v>
      </c>
      <c r="PC36" s="45"/>
      <c r="PD36" s="46">
        <v>0</v>
      </c>
      <c r="PE36" s="44">
        <v>0</v>
      </c>
      <c r="PF36" s="44">
        <v>0</v>
      </c>
      <c r="PG36" s="44">
        <v>0</v>
      </c>
      <c r="PH36" s="47">
        <v>0</v>
      </c>
      <c r="PI36" s="45"/>
      <c r="PJ36" s="46">
        <v>0</v>
      </c>
      <c r="PK36" s="44">
        <v>0</v>
      </c>
      <c r="PL36" s="44">
        <v>0</v>
      </c>
      <c r="PM36" s="44">
        <v>0</v>
      </c>
      <c r="PN36" s="47">
        <v>0</v>
      </c>
      <c r="PO36" s="45"/>
      <c r="PP36" s="46">
        <v>0</v>
      </c>
      <c r="PQ36" s="44">
        <v>0</v>
      </c>
      <c r="PR36" s="44">
        <v>0</v>
      </c>
      <c r="PS36" s="44">
        <v>0</v>
      </c>
      <c r="PT36" s="47">
        <v>0</v>
      </c>
      <c r="PU36" s="45"/>
      <c r="PV36" s="46">
        <v>0</v>
      </c>
      <c r="PW36" s="44">
        <v>0</v>
      </c>
      <c r="PX36" s="47">
        <v>0</v>
      </c>
      <c r="PY36" s="45"/>
      <c r="PZ36" s="46">
        <v>0</v>
      </c>
      <c r="QA36" s="44">
        <v>0</v>
      </c>
      <c r="QB36" s="47">
        <v>0</v>
      </c>
      <c r="QC36" s="45"/>
      <c r="QD36" s="46">
        <v>0</v>
      </c>
      <c r="QE36" s="44">
        <v>0</v>
      </c>
      <c r="QF36" s="44">
        <v>0</v>
      </c>
      <c r="QG36" s="17">
        <v>20</v>
      </c>
      <c r="QH36" s="47">
        <v>-1.4699999999999991</v>
      </c>
      <c r="QI36" s="45"/>
      <c r="QJ36" s="46">
        <v>0</v>
      </c>
      <c r="QK36" s="44">
        <v>0</v>
      </c>
      <c r="QL36" s="47">
        <v>0</v>
      </c>
      <c r="QM36" s="45"/>
      <c r="QN36" s="46">
        <v>0</v>
      </c>
      <c r="QO36" s="44">
        <v>0</v>
      </c>
      <c r="QP36" s="44">
        <v>0</v>
      </c>
      <c r="QQ36" s="44">
        <v>0</v>
      </c>
      <c r="QR36" s="47">
        <v>0</v>
      </c>
      <c r="QS36" s="45"/>
      <c r="QT36" s="46">
        <v>0</v>
      </c>
      <c r="QU36" s="44">
        <v>0</v>
      </c>
      <c r="QV36" s="47">
        <v>0</v>
      </c>
      <c r="QW36" s="45"/>
      <c r="QX36" s="46">
        <v>0</v>
      </c>
      <c r="QY36" s="44">
        <v>0</v>
      </c>
      <c r="QZ36" s="44">
        <v>0</v>
      </c>
      <c r="RA36" s="44">
        <v>0</v>
      </c>
      <c r="RB36" s="47">
        <v>0</v>
      </c>
      <c r="RC36" s="45"/>
      <c r="RD36" s="42">
        <v>0</v>
      </c>
      <c r="RE36" s="44">
        <v>0</v>
      </c>
      <c r="RF36" s="44">
        <v>0</v>
      </c>
      <c r="RG36" s="33">
        <v>20</v>
      </c>
      <c r="RH36" s="50">
        <v>-20</v>
      </c>
      <c r="RI36" s="45">
        <v>20</v>
      </c>
      <c r="RJ36" s="42">
        <v>58.387</v>
      </c>
      <c r="RK36" s="47">
        <v>60</v>
      </c>
      <c r="RL36" s="47">
        <v>57.741999999999997</v>
      </c>
      <c r="RM36" s="47">
        <v>60</v>
      </c>
      <c r="RN36" s="47">
        <v>-3.8710000000000089</v>
      </c>
      <c r="RO36" s="43"/>
      <c r="RP36" s="42">
        <v>0</v>
      </c>
      <c r="RQ36" s="47">
        <v>0</v>
      </c>
      <c r="RR36" s="47">
        <v>0</v>
      </c>
      <c r="RS36" s="43"/>
      <c r="RT36" s="42">
        <v>0</v>
      </c>
      <c r="RU36" s="47">
        <v>0</v>
      </c>
      <c r="RV36" s="47">
        <v>0</v>
      </c>
      <c r="RW36" s="47">
        <v>0</v>
      </c>
      <c r="RX36" s="47">
        <v>0</v>
      </c>
      <c r="RY36" s="43"/>
      <c r="RZ36" s="42">
        <v>0</v>
      </c>
      <c r="SA36" s="47">
        <v>0</v>
      </c>
      <c r="SB36" s="47">
        <v>0</v>
      </c>
      <c r="SC36" s="47">
        <v>0</v>
      </c>
      <c r="SD36" s="47">
        <v>0</v>
      </c>
      <c r="SE36" s="43"/>
      <c r="SF36" s="42">
        <v>0</v>
      </c>
      <c r="SG36" s="47">
        <v>0</v>
      </c>
      <c r="SH36" s="47">
        <v>148.13499999999999</v>
      </c>
      <c r="SI36" s="47">
        <v>0</v>
      </c>
      <c r="SJ36" s="47">
        <v>148.13499999999999</v>
      </c>
      <c r="SK36" s="43"/>
      <c r="SL36" s="42">
        <v>0</v>
      </c>
      <c r="SM36" s="47">
        <v>0</v>
      </c>
      <c r="SN36" s="47">
        <v>0</v>
      </c>
      <c r="SO36" s="43"/>
      <c r="SP36" s="42">
        <v>0</v>
      </c>
      <c r="SQ36" s="47">
        <v>0</v>
      </c>
      <c r="SR36" s="47">
        <v>0</v>
      </c>
      <c r="SS36" s="47">
        <v>0</v>
      </c>
      <c r="ST36" s="47">
        <v>0</v>
      </c>
      <c r="SU36" s="43"/>
    </row>
    <row r="37" spans="1:515" x14ac:dyDescent="0.25">
      <c r="A37" s="47" t="s">
        <v>344</v>
      </c>
      <c r="B37" s="41">
        <v>0.4</v>
      </c>
      <c r="J37" s="42"/>
      <c r="K37" s="51"/>
      <c r="L37" s="51"/>
      <c r="M37" s="51"/>
      <c r="N37" s="51">
        <f t="shared" si="9"/>
        <v>0</v>
      </c>
      <c r="O37" s="43"/>
      <c r="P37" s="46"/>
      <c r="Q37" s="51"/>
      <c r="R37" s="51"/>
      <c r="S37" s="51"/>
      <c r="T37" s="51">
        <f t="shared" si="10"/>
        <v>0</v>
      </c>
      <c r="U37" s="43"/>
      <c r="V37" s="42"/>
      <c r="W37" s="51"/>
      <c r="X37" s="51"/>
      <c r="Y37" s="51"/>
      <c r="Z37" s="51">
        <f t="shared" si="11"/>
        <v>0</v>
      </c>
      <c r="AA37" s="43"/>
      <c r="AB37" s="42"/>
      <c r="AC37" s="51"/>
      <c r="AD37" s="51"/>
      <c r="AE37" s="51"/>
      <c r="AF37" s="51">
        <v>0</v>
      </c>
      <c r="AG37" s="43"/>
      <c r="AH37" s="51"/>
      <c r="AL37" s="47">
        <v>0</v>
      </c>
      <c r="AM37" s="43"/>
      <c r="AN37" s="42"/>
      <c r="AR37" s="47">
        <v>0</v>
      </c>
      <c r="AS37" s="43"/>
      <c r="AX37" s="47">
        <v>0</v>
      </c>
      <c r="AY37" s="43"/>
      <c r="BC37">
        <v>18</v>
      </c>
      <c r="BD37" s="47">
        <v>-2</v>
      </c>
      <c r="BE37" s="43"/>
      <c r="BF37" s="42"/>
      <c r="BI37">
        <v>16</v>
      </c>
      <c r="BJ37" s="47">
        <v>0</v>
      </c>
      <c r="BK37" s="43"/>
      <c r="BL37" s="42"/>
      <c r="BM37">
        <v>6</v>
      </c>
      <c r="BP37" s="47">
        <v>2</v>
      </c>
      <c r="BQ37" s="43"/>
      <c r="BV37" s="47">
        <v>0</v>
      </c>
      <c r="BW37" s="43"/>
      <c r="BX37" s="42"/>
      <c r="CB37" s="47">
        <v>0</v>
      </c>
      <c r="CC37" s="43"/>
      <c r="CH37" s="47">
        <v>0</v>
      </c>
      <c r="CI37" s="43"/>
      <c r="CN37" s="47">
        <v>0</v>
      </c>
      <c r="CO37" s="43"/>
      <c r="CP37" s="42"/>
      <c r="CT37" s="47">
        <v>0</v>
      </c>
      <c r="CU37" s="43"/>
      <c r="CV37" s="42"/>
      <c r="CX37">
        <v>32</v>
      </c>
      <c r="CY37">
        <v>36</v>
      </c>
      <c r="CZ37" s="47">
        <v>-4</v>
      </c>
      <c r="DA37" s="43"/>
      <c r="DE37">
        <v>72</v>
      </c>
      <c r="DF37">
        <v>73</v>
      </c>
      <c r="DG37" s="47">
        <v>-1</v>
      </c>
      <c r="DH37" s="43"/>
      <c r="DK37" s="47">
        <v>0</v>
      </c>
      <c r="DL37" s="43"/>
      <c r="DM37" s="40">
        <v>16</v>
      </c>
      <c r="DN37">
        <v>15</v>
      </c>
      <c r="DQ37" s="47">
        <v>1</v>
      </c>
      <c r="DR37" s="43"/>
      <c r="DU37">
        <v>88</v>
      </c>
      <c r="DV37">
        <v>93</v>
      </c>
      <c r="DW37" s="47">
        <v>-5</v>
      </c>
      <c r="DX37" s="43"/>
      <c r="EC37" s="47">
        <v>0</v>
      </c>
      <c r="ED37" s="43"/>
      <c r="EE37" s="42"/>
      <c r="EG37">
        <v>56</v>
      </c>
      <c r="EH37" s="47">
        <v>60</v>
      </c>
      <c r="EI37" s="47">
        <v>-4</v>
      </c>
      <c r="EJ37" s="43"/>
      <c r="EO37" s="47">
        <v>0</v>
      </c>
      <c r="EP37" s="43"/>
      <c r="EQ37" s="42"/>
      <c r="EU37" s="47">
        <v>0</v>
      </c>
      <c r="EV37" s="43"/>
      <c r="EW37" s="42"/>
      <c r="FC37" s="47">
        <v>0</v>
      </c>
      <c r="FD37" s="43"/>
      <c r="FE37" s="42"/>
      <c r="FI37" s="47">
        <v>0</v>
      </c>
      <c r="FJ37" s="43"/>
      <c r="FQ37" s="47">
        <v>0</v>
      </c>
      <c r="FR37" s="43"/>
      <c r="FS37" s="42"/>
      <c r="FW37" s="47">
        <v>0</v>
      </c>
      <c r="FX37" s="43"/>
      <c r="FY37" s="42"/>
      <c r="GC37" s="47">
        <v>0</v>
      </c>
      <c r="GD37" s="43"/>
      <c r="GE37" s="42"/>
      <c r="GI37" s="47">
        <v>0</v>
      </c>
      <c r="GJ37" s="43"/>
      <c r="GQ37" s="47">
        <v>0</v>
      </c>
      <c r="GR37" s="43"/>
      <c r="GX37" s="47">
        <v>0</v>
      </c>
      <c r="GY37" s="43"/>
      <c r="GZ37" s="42"/>
      <c r="HC37" s="47">
        <v>0</v>
      </c>
      <c r="HD37" s="43"/>
      <c r="HE37" s="42"/>
      <c r="HH37" s="47">
        <v>0</v>
      </c>
      <c r="HI37" s="43"/>
      <c r="HN37" s="47">
        <v>0</v>
      </c>
      <c r="HO37" s="43"/>
      <c r="HP37" s="42"/>
      <c r="HU37" s="47">
        <v>0</v>
      </c>
      <c r="HV37" s="43"/>
      <c r="IA37" s="47">
        <v>0</v>
      </c>
      <c r="IB37" s="43"/>
      <c r="IC37" s="42"/>
      <c r="IG37" s="47">
        <v>0</v>
      </c>
      <c r="IH37" s="43"/>
      <c r="IM37" s="47">
        <v>0</v>
      </c>
      <c r="IN37" s="43"/>
      <c r="IO37" s="42"/>
      <c r="IQ37" s="47">
        <v>0</v>
      </c>
      <c r="IR37" s="43"/>
      <c r="IS37" s="42"/>
      <c r="IW37" s="47">
        <v>0</v>
      </c>
      <c r="IX37" s="43"/>
      <c r="IY37" s="42"/>
      <c r="JA37" s="47">
        <v>0</v>
      </c>
      <c r="JB37" s="43"/>
      <c r="JC37" s="42"/>
      <c r="JG37" s="47">
        <v>0</v>
      </c>
      <c r="JH37" s="43"/>
      <c r="JO37" s="47">
        <v>0</v>
      </c>
      <c r="JP37" s="43"/>
      <c r="JQ37" s="42"/>
      <c r="JU37" s="47">
        <v>0</v>
      </c>
      <c r="JV37" s="43"/>
      <c r="KA37" s="47">
        <v>0</v>
      </c>
      <c r="KB37" s="45"/>
      <c r="KG37" s="47">
        <v>0</v>
      </c>
      <c r="KH37" s="45"/>
      <c r="KM37" s="47">
        <v>0</v>
      </c>
      <c r="KN37" s="45"/>
      <c r="KS37" s="47">
        <v>0</v>
      </c>
      <c r="KT37" s="43"/>
      <c r="KW37" s="47">
        <v>0</v>
      </c>
      <c r="KX37" s="45"/>
      <c r="LC37" s="47">
        <v>0</v>
      </c>
      <c r="LD37" s="43"/>
      <c r="LE37" s="46"/>
      <c r="LG37" s="47">
        <v>0</v>
      </c>
      <c r="LH37" s="45"/>
      <c r="LM37" s="47">
        <v>0</v>
      </c>
      <c r="LN37" s="45"/>
      <c r="LS37" s="47">
        <v>0</v>
      </c>
      <c r="LT37" s="45"/>
      <c r="LY37" s="47">
        <v>0</v>
      </c>
      <c r="LZ37" s="45"/>
      <c r="ME37" s="47">
        <v>0</v>
      </c>
      <c r="MF37" s="45"/>
      <c r="MG37" s="46"/>
      <c r="MM37" s="47">
        <v>0</v>
      </c>
      <c r="MN37" s="45"/>
      <c r="MO37" s="44">
        <v>0</v>
      </c>
      <c r="MP37" s="44">
        <v>0</v>
      </c>
      <c r="MQ37" s="44">
        <v>0</v>
      </c>
      <c r="MR37" s="44">
        <v>0</v>
      </c>
      <c r="MS37" s="47">
        <v>0</v>
      </c>
      <c r="MT37" s="45"/>
      <c r="MU37" s="44">
        <v>0</v>
      </c>
      <c r="MV37" s="44">
        <v>0</v>
      </c>
      <c r="MW37" s="44">
        <v>0</v>
      </c>
      <c r="MX37" s="44">
        <v>0</v>
      </c>
      <c r="MY37" s="47">
        <v>0</v>
      </c>
      <c r="MZ37" s="45"/>
      <c r="NA37" s="46">
        <v>0</v>
      </c>
      <c r="NB37" s="44">
        <v>0</v>
      </c>
      <c r="NC37" s="47">
        <v>0</v>
      </c>
      <c r="ND37" s="45"/>
      <c r="NE37" s="46">
        <v>0</v>
      </c>
      <c r="NF37" s="44">
        <v>0</v>
      </c>
      <c r="NG37" s="44">
        <v>0</v>
      </c>
      <c r="NH37" s="44">
        <v>0</v>
      </c>
      <c r="NI37" s="44">
        <v>0</v>
      </c>
      <c r="NJ37" s="47">
        <v>0</v>
      </c>
      <c r="NK37" s="45"/>
      <c r="NL37" s="46">
        <v>0</v>
      </c>
      <c r="NM37" s="44">
        <v>0</v>
      </c>
      <c r="NN37" s="44">
        <v>0</v>
      </c>
      <c r="NO37" s="44">
        <v>0</v>
      </c>
      <c r="NP37" s="47">
        <v>0</v>
      </c>
      <c r="NQ37" s="45"/>
      <c r="NR37" s="46">
        <v>0</v>
      </c>
      <c r="NS37" s="44">
        <v>0</v>
      </c>
      <c r="NT37" s="47">
        <v>0</v>
      </c>
      <c r="NU37" s="45"/>
      <c r="NV37" s="46">
        <v>0</v>
      </c>
      <c r="NW37" s="44">
        <v>0</v>
      </c>
      <c r="NX37" s="44">
        <v>0</v>
      </c>
      <c r="NY37" s="44">
        <v>0</v>
      </c>
      <c r="NZ37" s="47">
        <v>0</v>
      </c>
      <c r="OA37" s="45"/>
      <c r="OB37" s="46">
        <v>0</v>
      </c>
      <c r="OC37" s="44">
        <v>0</v>
      </c>
      <c r="OD37" s="47">
        <v>0</v>
      </c>
      <c r="OE37" s="45"/>
      <c r="OF37" s="46">
        <v>0</v>
      </c>
      <c r="OG37" s="44">
        <v>0</v>
      </c>
      <c r="OH37" s="44">
        <v>0</v>
      </c>
      <c r="OI37" s="44">
        <v>0</v>
      </c>
      <c r="OJ37" s="47">
        <v>0</v>
      </c>
      <c r="OK37" s="45"/>
      <c r="OL37" s="44">
        <v>0</v>
      </c>
      <c r="OM37" s="43"/>
      <c r="ON37" s="44">
        <v>0</v>
      </c>
      <c r="OO37" s="44">
        <v>0</v>
      </c>
      <c r="OP37" s="47">
        <v>0</v>
      </c>
      <c r="OQ37" s="45"/>
      <c r="OR37" s="46">
        <v>0</v>
      </c>
      <c r="OS37" s="44">
        <v>0</v>
      </c>
      <c r="OT37" s="44">
        <v>0</v>
      </c>
      <c r="OU37" s="44">
        <v>0</v>
      </c>
      <c r="OV37" s="47">
        <v>0</v>
      </c>
      <c r="OW37" s="45"/>
      <c r="OX37" s="46">
        <v>0</v>
      </c>
      <c r="OY37" s="44">
        <v>0</v>
      </c>
      <c r="OZ37" s="44">
        <v>0</v>
      </c>
      <c r="PA37" s="44">
        <v>0</v>
      </c>
      <c r="PB37" s="47">
        <v>0</v>
      </c>
      <c r="PC37" s="45"/>
      <c r="PD37" s="46">
        <v>0</v>
      </c>
      <c r="PE37" s="44">
        <v>0</v>
      </c>
      <c r="PF37" s="44">
        <v>0</v>
      </c>
      <c r="PG37" s="44">
        <v>0</v>
      </c>
      <c r="PH37" s="47">
        <v>0</v>
      </c>
      <c r="PI37" s="45"/>
      <c r="PJ37" s="46">
        <v>0</v>
      </c>
      <c r="PK37" s="44">
        <v>0</v>
      </c>
      <c r="PL37" s="44">
        <v>0</v>
      </c>
      <c r="PM37" s="44">
        <v>0</v>
      </c>
      <c r="PN37" s="47">
        <v>0</v>
      </c>
      <c r="PO37" s="45"/>
      <c r="PP37" s="46">
        <v>0</v>
      </c>
      <c r="PQ37" s="44">
        <v>0</v>
      </c>
      <c r="PR37" s="44">
        <v>0</v>
      </c>
      <c r="PS37" s="44">
        <v>0</v>
      </c>
      <c r="PT37" s="47">
        <v>0</v>
      </c>
      <c r="PU37" s="45"/>
      <c r="PV37" s="46">
        <v>0</v>
      </c>
      <c r="PW37" s="44">
        <v>0</v>
      </c>
      <c r="PX37" s="47">
        <v>0</v>
      </c>
      <c r="PY37" s="45"/>
      <c r="PZ37" s="46">
        <v>0</v>
      </c>
      <c r="QA37" s="44">
        <v>0</v>
      </c>
      <c r="QB37" s="47">
        <v>0</v>
      </c>
      <c r="QC37" s="45"/>
      <c r="QD37" s="46">
        <v>0</v>
      </c>
      <c r="QE37" s="44">
        <v>0</v>
      </c>
      <c r="QF37" s="44">
        <v>0</v>
      </c>
      <c r="QG37" s="44">
        <v>0</v>
      </c>
      <c r="QH37" s="47">
        <v>0</v>
      </c>
      <c r="QI37" s="45"/>
      <c r="QJ37" s="46">
        <v>0</v>
      </c>
      <c r="QK37" s="44">
        <v>0</v>
      </c>
      <c r="QL37" s="47">
        <v>0</v>
      </c>
      <c r="QM37" s="45"/>
      <c r="QN37" s="46">
        <v>0</v>
      </c>
      <c r="QO37" s="44">
        <v>0</v>
      </c>
      <c r="QP37" s="44">
        <v>0</v>
      </c>
      <c r="QQ37" s="44">
        <v>0</v>
      </c>
      <c r="QR37" s="47">
        <v>0</v>
      </c>
      <c r="QS37" s="45"/>
      <c r="QT37" s="46">
        <v>0</v>
      </c>
      <c r="QU37" s="44">
        <v>0</v>
      </c>
      <c r="QV37" s="47">
        <v>0</v>
      </c>
      <c r="QW37" s="45"/>
      <c r="QX37" s="46">
        <v>0</v>
      </c>
      <c r="QY37" s="44">
        <v>0</v>
      </c>
      <c r="QZ37" s="44">
        <v>0</v>
      </c>
      <c r="RA37" s="44">
        <v>0</v>
      </c>
      <c r="RB37" s="47">
        <v>0</v>
      </c>
      <c r="RC37" s="45"/>
      <c r="RD37" s="42">
        <v>0</v>
      </c>
      <c r="RE37" s="44">
        <v>0</v>
      </c>
      <c r="RF37" s="44">
        <v>0</v>
      </c>
      <c r="RG37" s="44">
        <v>0</v>
      </c>
      <c r="RH37" s="47">
        <v>0</v>
      </c>
      <c r="RI37" s="45"/>
      <c r="RJ37" s="42">
        <v>0</v>
      </c>
      <c r="RK37" s="47">
        <v>0</v>
      </c>
      <c r="RL37" s="47">
        <v>0</v>
      </c>
      <c r="RM37" s="47">
        <v>0</v>
      </c>
      <c r="RN37" s="47">
        <v>0</v>
      </c>
      <c r="RO37" s="43"/>
      <c r="RP37" s="42">
        <v>0</v>
      </c>
      <c r="RQ37" s="47">
        <v>0</v>
      </c>
      <c r="RR37" s="47">
        <v>0</v>
      </c>
      <c r="RS37" s="43"/>
      <c r="RT37" s="42">
        <v>0</v>
      </c>
      <c r="RU37" s="47">
        <v>0</v>
      </c>
      <c r="RV37" s="47">
        <v>0</v>
      </c>
      <c r="RW37" s="47">
        <v>0</v>
      </c>
      <c r="RX37" s="47">
        <v>0</v>
      </c>
      <c r="RY37" s="43"/>
      <c r="RZ37" s="42">
        <v>0</v>
      </c>
      <c r="SA37" s="47">
        <v>0</v>
      </c>
      <c r="SB37" s="47">
        <v>0</v>
      </c>
      <c r="SC37" s="47">
        <v>0</v>
      </c>
      <c r="SD37" s="47">
        <v>0</v>
      </c>
      <c r="SE37" s="43"/>
      <c r="SF37" s="42">
        <v>0</v>
      </c>
      <c r="SG37" s="47">
        <v>0</v>
      </c>
      <c r="SH37" s="47">
        <v>80</v>
      </c>
      <c r="SI37" s="47">
        <v>0</v>
      </c>
      <c r="SJ37" s="47">
        <v>80</v>
      </c>
      <c r="SK37" s="43"/>
      <c r="SL37" s="42">
        <v>96</v>
      </c>
      <c r="SM37" s="47">
        <v>100</v>
      </c>
      <c r="SN37" s="47">
        <v>-4</v>
      </c>
      <c r="SO37" s="43"/>
      <c r="SP37" s="42">
        <v>0</v>
      </c>
      <c r="SQ37" s="47">
        <v>0</v>
      </c>
      <c r="SR37" s="47">
        <v>320</v>
      </c>
      <c r="SS37" s="47">
        <v>400</v>
      </c>
      <c r="ST37" s="50">
        <v>-80</v>
      </c>
      <c r="SU37" s="43">
        <v>32</v>
      </c>
    </row>
    <row r="38" spans="1:515" x14ac:dyDescent="0.25">
      <c r="A38" s="47" t="s">
        <v>345</v>
      </c>
      <c r="B38" s="41">
        <v>1</v>
      </c>
      <c r="J38" s="42"/>
      <c r="K38" s="51"/>
      <c r="L38" s="51"/>
      <c r="M38" s="51"/>
      <c r="N38" s="51">
        <f t="shared" si="9"/>
        <v>0</v>
      </c>
      <c r="O38" s="43"/>
      <c r="P38" s="46"/>
      <c r="Q38" s="51"/>
      <c r="R38" s="51"/>
      <c r="S38" s="51"/>
      <c r="T38" s="51">
        <f t="shared" si="10"/>
        <v>0</v>
      </c>
      <c r="U38" s="43"/>
      <c r="V38" s="42"/>
      <c r="W38" s="51"/>
      <c r="X38" s="51"/>
      <c r="Y38" s="51"/>
      <c r="Z38" s="51">
        <f t="shared" si="11"/>
        <v>0</v>
      </c>
      <c r="AA38" s="43"/>
      <c r="AB38" s="42"/>
      <c r="AC38" s="51"/>
      <c r="AD38" s="51"/>
      <c r="AE38" s="51"/>
      <c r="AF38" s="51">
        <v>0</v>
      </c>
      <c r="AG38" s="43"/>
      <c r="AH38" s="51"/>
      <c r="AL38" s="47">
        <v>0</v>
      </c>
      <c r="AM38" s="43"/>
      <c r="AN38" s="42"/>
      <c r="AR38" s="47">
        <v>0</v>
      </c>
      <c r="AS38" s="43"/>
      <c r="AX38" s="47">
        <v>0</v>
      </c>
      <c r="AY38" s="43"/>
      <c r="BD38" s="47">
        <v>0</v>
      </c>
      <c r="BE38" s="43"/>
      <c r="BF38" s="42"/>
      <c r="BJ38" s="47">
        <v>0</v>
      </c>
      <c r="BK38" s="43"/>
      <c r="BL38" s="42"/>
      <c r="BP38" s="47">
        <v>0</v>
      </c>
      <c r="BQ38" s="43"/>
      <c r="BV38" s="47">
        <v>0</v>
      </c>
      <c r="BW38" s="43"/>
      <c r="BX38" s="42"/>
      <c r="CB38" s="47">
        <v>0</v>
      </c>
      <c r="CC38" s="43"/>
      <c r="CH38" s="47">
        <v>0</v>
      </c>
      <c r="CI38" s="43"/>
      <c r="CN38" s="47">
        <v>0</v>
      </c>
      <c r="CO38" s="43"/>
      <c r="CP38" s="42"/>
      <c r="CT38" s="47">
        <v>0</v>
      </c>
      <c r="CU38" s="43"/>
      <c r="CV38" s="42"/>
      <c r="CZ38" s="47">
        <v>0</v>
      </c>
      <c r="DA38" s="43"/>
      <c r="DG38" s="47">
        <v>0</v>
      </c>
      <c r="DH38" s="43"/>
      <c r="DK38" s="47">
        <v>0</v>
      </c>
      <c r="DL38" s="43"/>
      <c r="DM38" s="42"/>
      <c r="DQ38" s="47">
        <v>0</v>
      </c>
      <c r="DR38" s="43"/>
      <c r="DW38" s="47">
        <v>0</v>
      </c>
      <c r="DX38" s="43"/>
      <c r="EC38" s="47">
        <v>0</v>
      </c>
      <c r="ED38" s="43"/>
      <c r="EE38" s="42"/>
      <c r="EI38" s="47">
        <v>0</v>
      </c>
      <c r="EJ38" s="43"/>
      <c r="EO38" s="47">
        <v>0</v>
      </c>
      <c r="EP38" s="43"/>
      <c r="EQ38" s="42"/>
      <c r="EU38" s="47">
        <v>0</v>
      </c>
      <c r="EV38" s="43"/>
      <c r="EW38" s="42"/>
      <c r="FC38" s="47">
        <v>0</v>
      </c>
      <c r="FD38" s="43"/>
      <c r="FE38" s="42"/>
      <c r="FI38" s="47">
        <v>0</v>
      </c>
      <c r="FJ38" s="43"/>
      <c r="FQ38" s="47">
        <v>0</v>
      </c>
      <c r="FR38" s="43"/>
      <c r="FS38" s="42"/>
      <c r="FW38" s="47">
        <v>0</v>
      </c>
      <c r="FX38" s="43"/>
      <c r="FY38" s="42"/>
      <c r="GC38" s="47">
        <v>0</v>
      </c>
      <c r="GD38" s="43"/>
      <c r="GE38" s="42"/>
      <c r="GI38" s="47">
        <v>0</v>
      </c>
      <c r="GJ38" s="43"/>
      <c r="GQ38" s="47">
        <v>0</v>
      </c>
      <c r="GR38" s="43"/>
      <c r="GX38" s="47">
        <v>0</v>
      </c>
      <c r="GY38" s="43"/>
      <c r="GZ38" s="42"/>
      <c r="HC38" s="47">
        <v>0</v>
      </c>
      <c r="HD38" s="43"/>
      <c r="HE38" s="42"/>
      <c r="HH38" s="47">
        <v>0</v>
      </c>
      <c r="HI38" s="43"/>
      <c r="HN38" s="47">
        <v>0</v>
      </c>
      <c r="HO38" s="43"/>
      <c r="HP38" s="42"/>
      <c r="HU38" s="47">
        <v>0</v>
      </c>
      <c r="HV38" s="43"/>
      <c r="IA38" s="47">
        <v>0</v>
      </c>
      <c r="IB38" s="43"/>
      <c r="IC38" s="42"/>
      <c r="IG38" s="47">
        <v>0</v>
      </c>
      <c r="IH38" s="43"/>
      <c r="IM38" s="47">
        <v>0</v>
      </c>
      <c r="IN38" s="43"/>
      <c r="IO38" s="42"/>
      <c r="IQ38" s="47">
        <v>0</v>
      </c>
      <c r="IR38" s="43"/>
      <c r="IS38" s="42"/>
      <c r="IW38" s="47">
        <v>0</v>
      </c>
      <c r="IX38" s="43"/>
      <c r="IY38" s="42"/>
      <c r="JA38" s="47">
        <v>0</v>
      </c>
      <c r="JB38" s="43"/>
      <c r="JC38" s="42"/>
      <c r="JG38" s="47">
        <v>0</v>
      </c>
      <c r="JH38" s="43"/>
      <c r="JO38" s="47">
        <v>0</v>
      </c>
      <c r="JP38" s="43"/>
      <c r="JQ38" s="42"/>
      <c r="JU38" s="47">
        <v>0</v>
      </c>
      <c r="JV38" s="43"/>
      <c r="KA38" s="47">
        <v>0</v>
      </c>
      <c r="KB38" s="45"/>
      <c r="KG38" s="47">
        <v>0</v>
      </c>
      <c r="KH38" s="45"/>
      <c r="KM38" s="47">
        <v>0</v>
      </c>
      <c r="KN38" s="45"/>
      <c r="KS38" s="47">
        <v>0</v>
      </c>
      <c r="KT38" s="43"/>
      <c r="KW38" s="47">
        <v>0</v>
      </c>
      <c r="KX38" s="45"/>
      <c r="LC38" s="47">
        <v>0</v>
      </c>
      <c r="LD38" s="43"/>
      <c r="LE38" s="46"/>
      <c r="LG38" s="47">
        <v>0</v>
      </c>
      <c r="LH38" s="45"/>
      <c r="LM38" s="47">
        <v>0</v>
      </c>
      <c r="LN38" s="45"/>
      <c r="LS38" s="47">
        <v>0</v>
      </c>
      <c r="LT38" s="45"/>
      <c r="LY38" s="47">
        <v>0</v>
      </c>
      <c r="LZ38" s="45"/>
      <c r="ME38" s="47">
        <v>0</v>
      </c>
      <c r="MF38" s="45"/>
      <c r="MG38" s="46"/>
      <c r="MM38" s="47">
        <v>0</v>
      </c>
      <c r="MN38" s="45"/>
      <c r="MO38" s="44">
        <v>0</v>
      </c>
      <c r="MP38" s="44">
        <v>0</v>
      </c>
      <c r="MQ38" s="44">
        <v>0</v>
      </c>
      <c r="MR38" s="44">
        <v>0</v>
      </c>
      <c r="MS38" s="47">
        <v>0</v>
      </c>
      <c r="MT38" s="45"/>
      <c r="MU38" s="44">
        <v>0</v>
      </c>
      <c r="MV38" s="44">
        <v>0</v>
      </c>
      <c r="MW38" s="44">
        <v>0</v>
      </c>
      <c r="MX38" s="44">
        <v>0</v>
      </c>
      <c r="MY38" s="47">
        <v>0</v>
      </c>
      <c r="MZ38" s="45"/>
      <c r="NA38" s="46">
        <v>0</v>
      </c>
      <c r="NB38" s="44">
        <v>0</v>
      </c>
      <c r="NC38" s="47">
        <v>0</v>
      </c>
      <c r="ND38" s="45"/>
      <c r="NE38" s="46">
        <v>0</v>
      </c>
      <c r="NF38" s="44">
        <v>0</v>
      </c>
      <c r="NG38" s="44">
        <v>0</v>
      </c>
      <c r="NH38" s="44">
        <v>0</v>
      </c>
      <c r="NI38" s="44">
        <v>0</v>
      </c>
      <c r="NJ38" s="47">
        <v>0</v>
      </c>
      <c r="NK38" s="45"/>
      <c r="NL38" s="46">
        <v>0</v>
      </c>
      <c r="NM38" s="44">
        <v>0</v>
      </c>
      <c r="NN38" s="44">
        <v>0</v>
      </c>
      <c r="NO38" s="44">
        <v>0</v>
      </c>
      <c r="NP38" s="47">
        <v>0</v>
      </c>
      <c r="NQ38" s="45"/>
      <c r="NR38" s="46">
        <v>0</v>
      </c>
      <c r="NS38" s="44">
        <v>0</v>
      </c>
      <c r="NT38" s="47">
        <v>0</v>
      </c>
      <c r="NU38" s="45"/>
      <c r="NV38" s="46">
        <v>0</v>
      </c>
      <c r="NW38" s="44">
        <v>0</v>
      </c>
      <c r="NX38" s="44">
        <v>0</v>
      </c>
      <c r="NY38" s="44">
        <v>0</v>
      </c>
      <c r="NZ38" s="47">
        <v>0</v>
      </c>
      <c r="OA38" s="45"/>
      <c r="OB38" s="46">
        <v>0</v>
      </c>
      <c r="OC38" s="44">
        <v>0</v>
      </c>
      <c r="OD38" s="47">
        <v>0</v>
      </c>
      <c r="OE38" s="45"/>
      <c r="OF38" s="46">
        <v>0</v>
      </c>
      <c r="OG38" s="44">
        <v>0</v>
      </c>
      <c r="OH38" s="44">
        <v>0</v>
      </c>
      <c r="OI38" s="44">
        <v>0</v>
      </c>
      <c r="OJ38" s="47">
        <v>0</v>
      </c>
      <c r="OK38" s="45"/>
      <c r="OL38" s="44">
        <v>0</v>
      </c>
      <c r="OM38" s="43"/>
      <c r="ON38" s="44">
        <v>0</v>
      </c>
      <c r="OO38" s="44">
        <v>0</v>
      </c>
      <c r="OP38" s="47">
        <v>0</v>
      </c>
      <c r="OQ38" s="45"/>
      <c r="OR38" s="46">
        <v>0</v>
      </c>
      <c r="OS38" s="44">
        <v>0</v>
      </c>
      <c r="OT38" s="44">
        <v>21.37</v>
      </c>
      <c r="OU38" s="44">
        <v>20</v>
      </c>
      <c r="OV38" s="47">
        <v>1.370000000000001</v>
      </c>
      <c r="OW38" s="45"/>
      <c r="OX38" s="46">
        <v>0</v>
      </c>
      <c r="OY38" s="33">
        <v>25</v>
      </c>
      <c r="OZ38" s="44">
        <v>0</v>
      </c>
      <c r="PA38" s="44">
        <v>0</v>
      </c>
      <c r="PB38" s="50">
        <v>-25</v>
      </c>
      <c r="PC38" s="45">
        <v>25</v>
      </c>
      <c r="PD38" s="46">
        <v>103.509</v>
      </c>
      <c r="PE38" s="44">
        <v>100</v>
      </c>
      <c r="PF38" s="44">
        <v>200.63900000000001</v>
      </c>
      <c r="PG38" s="44">
        <v>200</v>
      </c>
      <c r="PH38" s="47">
        <v>4.1480000000000246</v>
      </c>
      <c r="PI38" s="45"/>
      <c r="PJ38" s="46">
        <v>0</v>
      </c>
      <c r="PK38" s="44">
        <v>0</v>
      </c>
      <c r="PL38" s="44">
        <v>0</v>
      </c>
      <c r="PM38" s="44">
        <v>0</v>
      </c>
      <c r="PN38" s="47">
        <v>0</v>
      </c>
      <c r="PO38" s="45"/>
      <c r="PP38" s="46">
        <v>0</v>
      </c>
      <c r="PQ38" s="44">
        <v>0</v>
      </c>
      <c r="PR38" s="44">
        <v>48.741</v>
      </c>
      <c r="PS38" s="44">
        <v>50</v>
      </c>
      <c r="PT38" s="47">
        <v>-1.2589999999999999</v>
      </c>
      <c r="PU38" s="45"/>
      <c r="PV38" s="46">
        <v>163.405</v>
      </c>
      <c r="PW38" s="44">
        <v>160</v>
      </c>
      <c r="PX38" s="47">
        <v>3.4050000000000011</v>
      </c>
      <c r="PY38" s="45"/>
      <c r="PZ38" s="46">
        <v>150.916</v>
      </c>
      <c r="QA38" s="44">
        <v>153</v>
      </c>
      <c r="QB38" s="47">
        <v>-2.0840000000000032</v>
      </c>
      <c r="QC38" s="45"/>
      <c r="QD38" s="46">
        <v>199.72800000000001</v>
      </c>
      <c r="QE38" s="44">
        <v>200</v>
      </c>
      <c r="QF38" s="44">
        <v>151.321</v>
      </c>
      <c r="QG38" s="44">
        <v>150</v>
      </c>
      <c r="QH38" s="47">
        <v>1.048999999999978</v>
      </c>
      <c r="QI38" s="45"/>
      <c r="QJ38" s="46">
        <v>0</v>
      </c>
      <c r="QK38" s="44">
        <v>0</v>
      </c>
      <c r="QL38" s="47">
        <v>0</v>
      </c>
      <c r="QM38" s="45"/>
      <c r="QN38" s="46">
        <v>111.218</v>
      </c>
      <c r="QO38" s="44">
        <v>300</v>
      </c>
      <c r="QP38" s="44">
        <v>324.33699999999999</v>
      </c>
      <c r="QQ38" s="44">
        <v>199</v>
      </c>
      <c r="QR38" s="50">
        <v>-63.444999999999993</v>
      </c>
      <c r="QS38" s="45">
        <v>63.444999999999993</v>
      </c>
      <c r="QT38" s="46">
        <v>0</v>
      </c>
      <c r="QU38" s="44">
        <v>0</v>
      </c>
      <c r="QV38" s="47">
        <v>0</v>
      </c>
      <c r="QW38" s="45"/>
      <c r="QX38" s="46">
        <v>91.878</v>
      </c>
      <c r="QY38" s="44">
        <v>100</v>
      </c>
      <c r="QZ38" s="44">
        <v>188.25800000000001</v>
      </c>
      <c r="RA38" s="44">
        <v>208</v>
      </c>
      <c r="RB38" s="50">
        <v>-27.863999999999979</v>
      </c>
      <c r="RC38" s="45">
        <v>27.863999999999979</v>
      </c>
      <c r="RD38" s="42">
        <v>151.58000000000001</v>
      </c>
      <c r="RE38" s="44">
        <v>150</v>
      </c>
      <c r="RF38" s="44">
        <v>183.398</v>
      </c>
      <c r="RG38" s="44">
        <v>186</v>
      </c>
      <c r="RH38" s="47">
        <v>-1.0219999999999909</v>
      </c>
      <c r="RI38" s="45"/>
      <c r="RJ38" s="42">
        <v>79.968999999999994</v>
      </c>
      <c r="RK38" s="47">
        <v>83</v>
      </c>
      <c r="RL38" s="47">
        <v>0</v>
      </c>
      <c r="RM38" s="47">
        <v>0</v>
      </c>
      <c r="RN38" s="47">
        <v>-3.0310000000000059</v>
      </c>
      <c r="RO38" s="43"/>
      <c r="RP38" s="42">
        <v>92.47</v>
      </c>
      <c r="RQ38" s="47">
        <v>89</v>
      </c>
      <c r="RR38" s="47">
        <v>3.4699999999999989</v>
      </c>
      <c r="RS38" s="43"/>
      <c r="RT38" s="42">
        <v>102.913</v>
      </c>
      <c r="RU38" s="47">
        <v>100</v>
      </c>
      <c r="RV38" s="47">
        <v>101.29300000000001</v>
      </c>
      <c r="RW38" s="47">
        <v>100</v>
      </c>
      <c r="RX38" s="47">
        <v>4.2060000000000173</v>
      </c>
      <c r="RY38" s="43"/>
      <c r="RZ38" s="42">
        <v>0</v>
      </c>
      <c r="SA38" s="47">
        <v>0</v>
      </c>
      <c r="SB38" s="47">
        <v>0</v>
      </c>
      <c r="SC38" s="47">
        <v>0</v>
      </c>
      <c r="SD38" s="47">
        <v>0</v>
      </c>
      <c r="SE38" s="43"/>
      <c r="SF38" s="42">
        <v>91.191999999999993</v>
      </c>
      <c r="SG38" s="47">
        <v>93</v>
      </c>
      <c r="SH38" s="47">
        <v>0</v>
      </c>
      <c r="SI38" s="47">
        <v>0</v>
      </c>
      <c r="SJ38" s="47">
        <v>-1.8080000000000069</v>
      </c>
      <c r="SK38" s="43"/>
      <c r="SL38" s="42">
        <v>102.532</v>
      </c>
      <c r="SM38" s="47">
        <v>100</v>
      </c>
      <c r="SN38" s="47">
        <v>2.531999999999996</v>
      </c>
      <c r="SO38" s="43"/>
      <c r="SP38" s="42">
        <v>216.374</v>
      </c>
      <c r="SQ38" s="47">
        <v>300</v>
      </c>
      <c r="SR38" s="47">
        <v>503.358</v>
      </c>
      <c r="SS38" s="47">
        <v>500</v>
      </c>
      <c r="ST38" s="50">
        <v>-80.268000000000029</v>
      </c>
      <c r="SU38" s="43">
        <v>80.268000000000029</v>
      </c>
    </row>
    <row r="39" spans="1:515" x14ac:dyDescent="0.25">
      <c r="A39" s="47" t="s">
        <v>346</v>
      </c>
      <c r="B39" s="41">
        <v>1</v>
      </c>
      <c r="J39" s="42"/>
      <c r="K39" s="51"/>
      <c r="L39" s="51"/>
      <c r="M39" s="51"/>
      <c r="N39" s="51">
        <f t="shared" si="9"/>
        <v>0</v>
      </c>
      <c r="O39" s="43"/>
      <c r="P39" s="46"/>
      <c r="Q39" s="51"/>
      <c r="R39" s="51"/>
      <c r="S39" s="51"/>
      <c r="T39" s="51">
        <f t="shared" si="10"/>
        <v>0</v>
      </c>
      <c r="U39" s="43"/>
      <c r="V39" s="42"/>
      <c r="W39" s="51"/>
      <c r="X39" s="51"/>
      <c r="Y39" s="51"/>
      <c r="Z39" s="51">
        <f t="shared" si="11"/>
        <v>0</v>
      </c>
      <c r="AA39" s="43"/>
      <c r="AB39" s="42"/>
      <c r="AC39" s="51"/>
      <c r="AD39" s="51"/>
      <c r="AE39" s="51"/>
      <c r="AF39" s="51">
        <v>0</v>
      </c>
      <c r="AG39" s="43"/>
      <c r="AH39" s="51"/>
      <c r="AL39" s="47">
        <v>0</v>
      </c>
      <c r="AM39" s="43"/>
      <c r="AN39" s="42"/>
      <c r="AR39" s="47">
        <v>0</v>
      </c>
      <c r="AS39" s="43"/>
      <c r="AX39" s="47">
        <v>0</v>
      </c>
      <c r="AY39" s="43"/>
      <c r="BD39" s="47">
        <v>0</v>
      </c>
      <c r="BE39" s="43"/>
      <c r="BF39" s="42"/>
      <c r="BJ39" s="47">
        <v>0</v>
      </c>
      <c r="BK39" s="43"/>
      <c r="BL39" s="42"/>
      <c r="BP39" s="47">
        <v>0</v>
      </c>
      <c r="BQ39" s="43"/>
      <c r="BV39" s="47">
        <v>0</v>
      </c>
      <c r="BW39" s="43"/>
      <c r="BX39" s="42"/>
      <c r="CB39" s="47">
        <v>0</v>
      </c>
      <c r="CC39" s="43"/>
      <c r="CH39" s="47">
        <v>0</v>
      </c>
      <c r="CI39" s="43"/>
      <c r="CN39" s="47">
        <v>0</v>
      </c>
      <c r="CO39" s="43"/>
      <c r="CP39" s="42"/>
      <c r="CT39" s="47">
        <v>0</v>
      </c>
      <c r="CU39" s="43"/>
      <c r="CV39" s="42"/>
      <c r="CZ39" s="47">
        <v>0</v>
      </c>
      <c r="DA39" s="43"/>
      <c r="DG39" s="47">
        <v>0</v>
      </c>
      <c r="DH39" s="43"/>
      <c r="DK39" s="47">
        <v>0</v>
      </c>
      <c r="DL39" s="43"/>
      <c r="DM39" s="42"/>
      <c r="DQ39" s="47">
        <v>0</v>
      </c>
      <c r="DR39" s="43"/>
      <c r="DW39" s="47">
        <v>0</v>
      </c>
      <c r="DX39" s="43"/>
      <c r="EC39" s="47">
        <v>0</v>
      </c>
      <c r="ED39" s="43"/>
      <c r="EE39" s="42"/>
      <c r="EI39" s="47">
        <v>0</v>
      </c>
      <c r="EJ39" s="43"/>
      <c r="EO39" s="47">
        <v>0</v>
      </c>
      <c r="EP39" s="43"/>
      <c r="EQ39" s="42"/>
      <c r="EU39" s="47">
        <v>0</v>
      </c>
      <c r="EV39" s="43"/>
      <c r="EW39" s="42"/>
      <c r="FC39" s="47">
        <v>0</v>
      </c>
      <c r="FD39" s="43"/>
      <c r="FE39" s="42"/>
      <c r="FI39" s="47">
        <v>0</v>
      </c>
      <c r="FJ39" s="43"/>
      <c r="FQ39" s="47">
        <v>0</v>
      </c>
      <c r="FR39" s="43"/>
      <c r="FS39" s="42"/>
      <c r="FW39" s="47">
        <v>0</v>
      </c>
      <c r="FX39" s="43"/>
      <c r="FY39" s="42"/>
      <c r="GC39" s="47">
        <v>0</v>
      </c>
      <c r="GD39" s="43"/>
      <c r="GE39" s="42"/>
      <c r="GI39" s="47">
        <v>0</v>
      </c>
      <c r="GJ39" s="43"/>
      <c r="GQ39" s="47">
        <v>0</v>
      </c>
      <c r="GR39" s="43"/>
      <c r="GX39" s="47">
        <v>0</v>
      </c>
      <c r="GY39" s="43"/>
      <c r="GZ39" s="42"/>
      <c r="HC39" s="47">
        <v>0</v>
      </c>
      <c r="HD39" s="43"/>
      <c r="HE39" s="42"/>
      <c r="HH39" s="47">
        <v>0</v>
      </c>
      <c r="HI39" s="43"/>
      <c r="HN39" s="47">
        <v>0</v>
      </c>
      <c r="HO39" s="43"/>
      <c r="HP39" s="42"/>
      <c r="HU39" s="47">
        <v>0</v>
      </c>
      <c r="HV39" s="43"/>
      <c r="IA39" s="47">
        <v>0</v>
      </c>
      <c r="IB39" s="43"/>
      <c r="IC39" s="42"/>
      <c r="IG39" s="47">
        <v>0</v>
      </c>
      <c r="IH39" s="43"/>
      <c r="IM39" s="47">
        <v>0</v>
      </c>
      <c r="IN39" s="43"/>
      <c r="IO39" s="42"/>
      <c r="IQ39" s="47">
        <v>0</v>
      </c>
      <c r="IR39" s="43"/>
      <c r="IS39" s="42"/>
      <c r="IW39" s="47">
        <v>0</v>
      </c>
      <c r="IX39" s="43"/>
      <c r="IY39" s="42"/>
      <c r="JA39" s="47">
        <v>0</v>
      </c>
      <c r="JB39" s="43"/>
      <c r="JC39" s="42"/>
      <c r="JG39" s="47">
        <v>0</v>
      </c>
      <c r="JH39" s="43"/>
      <c r="JO39" s="47">
        <v>0</v>
      </c>
      <c r="JP39" s="43"/>
      <c r="JQ39" s="42"/>
      <c r="JU39" s="47">
        <v>0</v>
      </c>
      <c r="JV39" s="43"/>
      <c r="KA39" s="47">
        <v>0</v>
      </c>
      <c r="KB39" s="45"/>
      <c r="KG39" s="47">
        <v>0</v>
      </c>
      <c r="KH39" s="45"/>
      <c r="KM39" s="47">
        <v>0</v>
      </c>
      <c r="KN39" s="45"/>
      <c r="KS39" s="47">
        <v>0</v>
      </c>
      <c r="KT39" s="43"/>
      <c r="KW39" s="47">
        <v>0</v>
      </c>
      <c r="KX39" s="45"/>
      <c r="LC39" s="47">
        <v>0</v>
      </c>
      <c r="LD39" s="43"/>
      <c r="LE39" s="46"/>
      <c r="LG39" s="47">
        <v>0</v>
      </c>
      <c r="LH39" s="45"/>
      <c r="LM39" s="47">
        <v>0</v>
      </c>
      <c r="LN39" s="45"/>
      <c r="LS39" s="47">
        <v>0</v>
      </c>
      <c r="LT39" s="45"/>
      <c r="LY39" s="47">
        <v>0</v>
      </c>
      <c r="LZ39" s="45"/>
      <c r="ME39" s="47">
        <v>0</v>
      </c>
      <c r="MF39" s="45"/>
      <c r="MG39" s="46"/>
      <c r="MM39" s="47">
        <v>0</v>
      </c>
      <c r="MN39" s="45"/>
      <c r="MO39" s="44">
        <v>0</v>
      </c>
      <c r="MP39" s="44">
        <v>0</v>
      </c>
      <c r="MQ39" s="44">
        <v>0</v>
      </c>
      <c r="MR39" s="44">
        <v>0</v>
      </c>
      <c r="MS39" s="47">
        <v>0</v>
      </c>
      <c r="MT39" s="45"/>
      <c r="MU39" s="44">
        <v>0</v>
      </c>
      <c r="MV39" s="44">
        <v>0</v>
      </c>
      <c r="MW39" s="44">
        <v>0</v>
      </c>
      <c r="MX39" s="44">
        <v>0</v>
      </c>
      <c r="MY39" s="47">
        <v>0</v>
      </c>
      <c r="MZ39" s="45"/>
      <c r="NA39" s="46">
        <v>0</v>
      </c>
      <c r="NB39" s="44">
        <v>0</v>
      </c>
      <c r="NC39" s="47">
        <v>0</v>
      </c>
      <c r="ND39" s="45"/>
      <c r="NE39" s="46">
        <v>0</v>
      </c>
      <c r="NF39" s="44">
        <v>0</v>
      </c>
      <c r="NG39" s="44">
        <v>0</v>
      </c>
      <c r="NH39" s="44">
        <v>0</v>
      </c>
      <c r="NI39" s="44">
        <v>0</v>
      </c>
      <c r="NJ39" s="47">
        <v>0</v>
      </c>
      <c r="NK39" s="45"/>
      <c r="NL39" s="46">
        <v>0</v>
      </c>
      <c r="NM39" s="44">
        <v>0</v>
      </c>
      <c r="NN39" s="44">
        <v>0</v>
      </c>
      <c r="NO39" s="44">
        <v>0</v>
      </c>
      <c r="NP39" s="47">
        <v>0</v>
      </c>
      <c r="NQ39" s="45"/>
      <c r="NR39" s="46">
        <v>0</v>
      </c>
      <c r="NS39" s="44">
        <v>0</v>
      </c>
      <c r="NT39" s="47">
        <v>0</v>
      </c>
      <c r="NU39" s="45"/>
      <c r="NV39" s="46">
        <v>0</v>
      </c>
      <c r="NW39" s="44">
        <v>0</v>
      </c>
      <c r="NX39" s="44">
        <v>0</v>
      </c>
      <c r="NY39" s="44">
        <v>0</v>
      </c>
      <c r="NZ39" s="47">
        <v>0</v>
      </c>
      <c r="OA39" s="45"/>
      <c r="OB39" s="46">
        <v>0</v>
      </c>
      <c r="OC39" s="44">
        <v>0</v>
      </c>
      <c r="OD39" s="47">
        <v>0</v>
      </c>
      <c r="OE39" s="45"/>
      <c r="OF39" s="46">
        <v>0</v>
      </c>
      <c r="OG39" s="44">
        <v>0</v>
      </c>
      <c r="OH39" s="44">
        <v>0</v>
      </c>
      <c r="OI39" s="44">
        <v>0</v>
      </c>
      <c r="OJ39" s="47">
        <v>0</v>
      </c>
      <c r="OK39" s="45"/>
      <c r="OL39" s="44">
        <v>0</v>
      </c>
      <c r="OM39" s="43"/>
      <c r="ON39" s="44">
        <v>0</v>
      </c>
      <c r="OO39" s="44">
        <v>0</v>
      </c>
      <c r="OP39" s="47">
        <v>0</v>
      </c>
      <c r="OQ39" s="45"/>
      <c r="OR39" s="46">
        <v>0</v>
      </c>
      <c r="OS39" s="44">
        <v>0</v>
      </c>
      <c r="OT39" s="44">
        <v>0</v>
      </c>
      <c r="OU39" s="44">
        <v>0</v>
      </c>
      <c r="OV39" s="47">
        <v>0</v>
      </c>
      <c r="OW39" s="45"/>
      <c r="OX39" s="46">
        <v>0</v>
      </c>
      <c r="OY39" s="44">
        <v>0</v>
      </c>
      <c r="OZ39" s="44">
        <v>0</v>
      </c>
      <c r="PA39" s="44">
        <v>0</v>
      </c>
      <c r="PB39" s="47">
        <v>0</v>
      </c>
      <c r="PC39" s="45"/>
      <c r="PD39" s="46">
        <v>0</v>
      </c>
      <c r="PE39" s="44">
        <v>0</v>
      </c>
      <c r="PF39" s="44">
        <v>0</v>
      </c>
      <c r="PG39" s="44">
        <v>0</v>
      </c>
      <c r="PH39" s="47">
        <v>0</v>
      </c>
      <c r="PI39" s="45"/>
      <c r="PJ39" s="46">
        <v>0</v>
      </c>
      <c r="PK39" s="44">
        <v>0</v>
      </c>
      <c r="PL39" s="44">
        <v>0</v>
      </c>
      <c r="PM39" s="44">
        <v>0</v>
      </c>
      <c r="PN39" s="47">
        <v>0</v>
      </c>
      <c r="PO39" s="45"/>
      <c r="PP39" s="46">
        <v>0</v>
      </c>
      <c r="PQ39" s="44">
        <v>0</v>
      </c>
      <c r="PR39" s="44">
        <v>0</v>
      </c>
      <c r="PS39" s="44">
        <v>0</v>
      </c>
      <c r="PT39" s="47">
        <v>0</v>
      </c>
      <c r="PU39" s="45"/>
      <c r="PV39" s="46">
        <v>0</v>
      </c>
      <c r="PW39" s="44">
        <v>0</v>
      </c>
      <c r="PX39" s="47">
        <v>0</v>
      </c>
      <c r="PY39" s="45"/>
      <c r="PZ39" s="46">
        <v>0</v>
      </c>
      <c r="QA39" s="44">
        <v>0</v>
      </c>
      <c r="QB39" s="47">
        <v>0</v>
      </c>
      <c r="QC39" s="45"/>
      <c r="QD39" s="46">
        <v>0</v>
      </c>
      <c r="QE39" s="44">
        <v>0</v>
      </c>
      <c r="QF39" s="44">
        <v>0</v>
      </c>
      <c r="QG39" s="44">
        <v>0</v>
      </c>
      <c r="QH39" s="47">
        <v>0</v>
      </c>
      <c r="QI39" s="45"/>
      <c r="QJ39" s="46">
        <v>0</v>
      </c>
      <c r="QK39" s="44">
        <v>0</v>
      </c>
      <c r="QL39" s="47">
        <v>0</v>
      </c>
      <c r="QM39" s="45"/>
      <c r="QN39" s="46">
        <v>0</v>
      </c>
      <c r="QO39" s="44">
        <v>0</v>
      </c>
      <c r="QP39" s="44">
        <v>0</v>
      </c>
      <c r="QQ39" s="44">
        <v>0</v>
      </c>
      <c r="QR39" s="47">
        <v>0</v>
      </c>
      <c r="QS39" s="45"/>
      <c r="QT39" s="46">
        <v>0</v>
      </c>
      <c r="QU39" s="44">
        <v>0</v>
      </c>
      <c r="QV39" s="47">
        <v>0</v>
      </c>
      <c r="QW39" s="45"/>
      <c r="QX39" s="46">
        <v>0</v>
      </c>
      <c r="QY39" s="44">
        <v>0</v>
      </c>
      <c r="QZ39" s="44">
        <v>0</v>
      </c>
      <c r="RA39" s="44">
        <v>0</v>
      </c>
      <c r="RB39" s="47">
        <v>0</v>
      </c>
      <c r="RC39" s="45"/>
      <c r="RD39" s="42">
        <v>0</v>
      </c>
      <c r="RE39" s="44">
        <v>0</v>
      </c>
      <c r="RF39" s="44">
        <v>0</v>
      </c>
      <c r="RG39" s="44">
        <v>0</v>
      </c>
      <c r="RH39" s="47">
        <v>0</v>
      </c>
      <c r="RI39" s="45"/>
      <c r="RJ39" s="42">
        <v>0</v>
      </c>
      <c r="RK39" s="47">
        <v>0</v>
      </c>
      <c r="RL39" s="47">
        <v>0</v>
      </c>
      <c r="RM39" s="47">
        <v>0</v>
      </c>
      <c r="RN39" s="47">
        <v>0</v>
      </c>
      <c r="RO39" s="43"/>
      <c r="RP39" s="42">
        <v>0</v>
      </c>
      <c r="RQ39" s="47">
        <v>0</v>
      </c>
      <c r="RR39" s="47">
        <v>0</v>
      </c>
      <c r="RS39" s="43"/>
      <c r="RT39" s="42">
        <v>0</v>
      </c>
      <c r="RU39" s="47">
        <v>0</v>
      </c>
      <c r="RV39" s="47">
        <v>0</v>
      </c>
      <c r="RW39" s="47">
        <v>0</v>
      </c>
      <c r="RX39" s="47">
        <v>0</v>
      </c>
      <c r="RY39" s="43"/>
      <c r="RZ39" s="42">
        <v>0</v>
      </c>
      <c r="SA39" s="47">
        <v>0</v>
      </c>
      <c r="SB39" s="47">
        <v>0</v>
      </c>
      <c r="SC39" s="47">
        <v>0</v>
      </c>
      <c r="SD39" s="47">
        <v>0</v>
      </c>
      <c r="SE39" s="43"/>
      <c r="SF39" s="42">
        <v>0</v>
      </c>
      <c r="SG39" s="47">
        <v>0</v>
      </c>
      <c r="SH39" s="47">
        <v>0</v>
      </c>
      <c r="SI39" s="47">
        <v>0</v>
      </c>
      <c r="SJ39" s="47">
        <v>0</v>
      </c>
      <c r="SK39" s="43"/>
      <c r="SL39" s="42">
        <v>0</v>
      </c>
      <c r="SM39" s="47">
        <v>0</v>
      </c>
      <c r="SN39" s="47">
        <v>0</v>
      </c>
      <c r="SO39" s="43"/>
      <c r="SP39" s="42">
        <v>0</v>
      </c>
      <c r="SQ39" s="47">
        <v>0</v>
      </c>
      <c r="SR39" s="47">
        <v>56.188000000000002</v>
      </c>
      <c r="SS39" s="47">
        <v>55</v>
      </c>
      <c r="ST39" s="47">
        <v>1.1880000000000019</v>
      </c>
      <c r="SU39" s="43"/>
    </row>
    <row r="40" spans="1:515" x14ac:dyDescent="0.25">
      <c r="A40" s="47" t="s">
        <v>347</v>
      </c>
      <c r="B40" s="41">
        <v>0.4</v>
      </c>
      <c r="J40" s="42"/>
      <c r="K40" s="51"/>
      <c r="L40" s="51"/>
      <c r="M40" s="51"/>
      <c r="N40" s="51">
        <f t="shared" si="9"/>
        <v>0</v>
      </c>
      <c r="O40" s="43"/>
      <c r="P40" s="46"/>
      <c r="Q40" s="51"/>
      <c r="R40" s="51"/>
      <c r="S40" s="51"/>
      <c r="T40" s="51">
        <f t="shared" si="10"/>
        <v>0</v>
      </c>
      <c r="U40" s="43"/>
      <c r="V40" s="42"/>
      <c r="W40" s="51"/>
      <c r="X40" s="51"/>
      <c r="Y40" s="51"/>
      <c r="Z40" s="51">
        <f t="shared" si="11"/>
        <v>0</v>
      </c>
      <c r="AA40" s="43"/>
      <c r="AB40" s="42"/>
      <c r="AC40" s="51"/>
      <c r="AD40" s="51"/>
      <c r="AE40" s="51"/>
      <c r="AF40" s="51">
        <v>0</v>
      </c>
      <c r="AG40" s="43"/>
      <c r="AH40" s="51"/>
      <c r="AL40" s="47">
        <v>0</v>
      </c>
      <c r="AM40" s="43"/>
      <c r="AN40" s="42"/>
      <c r="AR40" s="47">
        <v>0</v>
      </c>
      <c r="AS40" s="43"/>
      <c r="AX40" s="47">
        <v>0</v>
      </c>
      <c r="AY40" s="43"/>
      <c r="BD40" s="47">
        <v>0</v>
      </c>
      <c r="BE40" s="43"/>
      <c r="BF40" s="42"/>
      <c r="BJ40" s="47">
        <v>0</v>
      </c>
      <c r="BK40" s="43"/>
      <c r="BL40" s="42"/>
      <c r="BP40" s="47">
        <v>0</v>
      </c>
      <c r="BQ40" s="43"/>
      <c r="BV40" s="47">
        <v>0</v>
      </c>
      <c r="BW40" s="43"/>
      <c r="BX40" s="42"/>
      <c r="CB40" s="47">
        <v>0</v>
      </c>
      <c r="CC40" s="43"/>
      <c r="CH40" s="47">
        <v>0</v>
      </c>
      <c r="CI40" s="43"/>
      <c r="CN40" s="47">
        <v>0</v>
      </c>
      <c r="CO40" s="43"/>
      <c r="CP40" s="42"/>
      <c r="CT40" s="47">
        <v>0</v>
      </c>
      <c r="CU40" s="43"/>
      <c r="CV40" s="42"/>
      <c r="CZ40" s="47">
        <v>0</v>
      </c>
      <c r="DA40" s="43"/>
      <c r="DG40" s="47">
        <v>0</v>
      </c>
      <c r="DH40" s="43"/>
      <c r="DK40" s="47">
        <v>0</v>
      </c>
      <c r="DL40" s="43"/>
      <c r="DM40" s="42"/>
      <c r="DQ40" s="47">
        <v>0</v>
      </c>
      <c r="DR40" s="43"/>
      <c r="DW40" s="47">
        <v>0</v>
      </c>
      <c r="DX40" s="43"/>
      <c r="EC40" s="47">
        <v>0</v>
      </c>
      <c r="ED40" s="43"/>
      <c r="EE40" s="42"/>
      <c r="EI40" s="47">
        <v>0</v>
      </c>
      <c r="EJ40" s="43"/>
      <c r="EO40" s="47">
        <v>0</v>
      </c>
      <c r="EP40" s="43"/>
      <c r="EQ40" s="42"/>
      <c r="EU40" s="47">
        <v>0</v>
      </c>
      <c r="EV40" s="43"/>
      <c r="EW40" s="42"/>
      <c r="FC40" s="47">
        <v>0</v>
      </c>
      <c r="FD40" s="43"/>
      <c r="FE40" s="42"/>
      <c r="FI40" s="47">
        <v>0</v>
      </c>
      <c r="FJ40" s="43"/>
      <c r="FQ40" s="47">
        <v>0</v>
      </c>
      <c r="FR40" s="43"/>
      <c r="FS40" s="42"/>
      <c r="FW40" s="47">
        <v>0</v>
      </c>
      <c r="FX40" s="43"/>
      <c r="FY40" s="42"/>
      <c r="GC40" s="47">
        <v>0</v>
      </c>
      <c r="GD40" s="43"/>
      <c r="GE40" s="42"/>
      <c r="GI40" s="47">
        <v>0</v>
      </c>
      <c r="GJ40" s="43"/>
      <c r="GQ40" s="47">
        <v>0</v>
      </c>
      <c r="GR40" s="43"/>
      <c r="GX40" s="47">
        <v>0</v>
      </c>
      <c r="GY40" s="43"/>
      <c r="GZ40" s="42"/>
      <c r="HC40" s="47">
        <v>0</v>
      </c>
      <c r="HD40" s="43"/>
      <c r="HE40" s="42"/>
      <c r="HH40" s="47">
        <v>0</v>
      </c>
      <c r="HI40" s="43"/>
      <c r="HN40" s="47">
        <v>0</v>
      </c>
      <c r="HO40" s="43"/>
      <c r="HP40" s="42"/>
      <c r="HU40" s="47">
        <v>0</v>
      </c>
      <c r="HV40" s="43"/>
      <c r="IA40" s="47">
        <v>0</v>
      </c>
      <c r="IB40" s="43"/>
      <c r="IC40" s="42"/>
      <c r="IG40" s="47">
        <v>0</v>
      </c>
      <c r="IH40" s="43"/>
      <c r="IM40" s="47">
        <v>0</v>
      </c>
      <c r="IN40" s="43"/>
      <c r="IO40" s="42"/>
      <c r="IQ40" s="47">
        <v>0</v>
      </c>
      <c r="IR40" s="43"/>
      <c r="IS40" s="42"/>
      <c r="IW40" s="47">
        <v>0</v>
      </c>
      <c r="IX40" s="43"/>
      <c r="IY40" s="42"/>
      <c r="JA40" s="47">
        <v>0</v>
      </c>
      <c r="JB40" s="43"/>
      <c r="JC40" s="42"/>
      <c r="JG40" s="47">
        <v>0</v>
      </c>
      <c r="JH40" s="43"/>
      <c r="JO40" s="47">
        <v>0</v>
      </c>
      <c r="JP40" s="43"/>
      <c r="JQ40" s="42"/>
      <c r="JU40" s="47">
        <v>0</v>
      </c>
      <c r="JV40" s="43"/>
      <c r="KA40" s="47">
        <v>0</v>
      </c>
      <c r="KB40" s="45"/>
      <c r="KG40" s="47">
        <v>0</v>
      </c>
      <c r="KH40" s="45"/>
      <c r="KM40" s="47">
        <v>0</v>
      </c>
      <c r="KN40" s="45"/>
      <c r="KS40" s="47">
        <v>0</v>
      </c>
      <c r="KT40" s="43"/>
      <c r="KW40" s="47">
        <v>0</v>
      </c>
      <c r="KX40" s="45"/>
      <c r="LC40" s="47">
        <v>0</v>
      </c>
      <c r="LD40" s="43"/>
      <c r="LE40" s="46"/>
      <c r="LG40" s="47">
        <v>0</v>
      </c>
      <c r="LH40" s="45"/>
      <c r="LM40" s="47">
        <v>0</v>
      </c>
      <c r="LN40" s="45"/>
      <c r="LS40" s="47">
        <v>0</v>
      </c>
      <c r="LT40" s="45"/>
      <c r="LY40" s="47">
        <v>0</v>
      </c>
      <c r="LZ40" s="45"/>
      <c r="ME40" s="47">
        <v>0</v>
      </c>
      <c r="MF40" s="45"/>
      <c r="MG40" s="46"/>
      <c r="MM40" s="47">
        <v>0</v>
      </c>
      <c r="MN40" s="45"/>
      <c r="MO40" s="44">
        <v>0</v>
      </c>
      <c r="MP40" s="44">
        <v>0</v>
      </c>
      <c r="MQ40" s="44">
        <v>0</v>
      </c>
      <c r="MR40" s="44">
        <v>0</v>
      </c>
      <c r="MS40" s="47">
        <v>0</v>
      </c>
      <c r="MT40" s="45"/>
      <c r="MU40" s="44">
        <v>0</v>
      </c>
      <c r="MV40" s="44">
        <v>0</v>
      </c>
      <c r="MW40" s="44">
        <v>0</v>
      </c>
      <c r="MX40" s="44">
        <v>0</v>
      </c>
      <c r="MY40" s="47">
        <v>0</v>
      </c>
      <c r="MZ40" s="45"/>
      <c r="NA40" s="46">
        <v>0</v>
      </c>
      <c r="NB40" s="44">
        <v>0</v>
      </c>
      <c r="NC40" s="47">
        <v>0</v>
      </c>
      <c r="ND40" s="45"/>
      <c r="NE40" s="46">
        <v>0</v>
      </c>
      <c r="NF40" s="44">
        <v>0</v>
      </c>
      <c r="NG40" s="44">
        <v>0</v>
      </c>
      <c r="NH40" s="44">
        <v>0</v>
      </c>
      <c r="NI40" s="44">
        <v>0</v>
      </c>
      <c r="NJ40" s="47">
        <v>0</v>
      </c>
      <c r="NK40" s="45"/>
      <c r="NL40" s="46">
        <v>0</v>
      </c>
      <c r="NM40" s="44">
        <v>0</v>
      </c>
      <c r="NN40" s="44">
        <v>0</v>
      </c>
      <c r="NO40" s="44">
        <v>0</v>
      </c>
      <c r="NP40" s="47">
        <v>0</v>
      </c>
      <c r="NQ40" s="45"/>
      <c r="NR40" s="46">
        <v>0</v>
      </c>
      <c r="NS40" s="44">
        <v>0</v>
      </c>
      <c r="NT40" s="47">
        <v>0</v>
      </c>
      <c r="NU40" s="45"/>
      <c r="NV40" s="46">
        <v>0</v>
      </c>
      <c r="NW40" s="44">
        <v>0</v>
      </c>
      <c r="NX40" s="44">
        <v>0</v>
      </c>
      <c r="NY40" s="44">
        <v>0</v>
      </c>
      <c r="NZ40" s="47">
        <v>0</v>
      </c>
      <c r="OA40" s="45"/>
      <c r="OB40" s="46">
        <v>0</v>
      </c>
      <c r="OC40" s="44">
        <v>0</v>
      </c>
      <c r="OD40" s="47">
        <v>0</v>
      </c>
      <c r="OE40" s="45"/>
      <c r="OF40" s="46">
        <v>0</v>
      </c>
      <c r="OG40" s="44">
        <v>0</v>
      </c>
      <c r="OH40" s="44">
        <v>0</v>
      </c>
      <c r="OI40" s="44">
        <v>0</v>
      </c>
      <c r="OJ40" s="47">
        <v>0</v>
      </c>
      <c r="OK40" s="45"/>
      <c r="OL40" s="44">
        <v>0</v>
      </c>
      <c r="OM40" s="43"/>
      <c r="ON40" s="44">
        <v>0</v>
      </c>
      <c r="OO40" s="44">
        <v>0</v>
      </c>
      <c r="OP40" s="47">
        <v>0</v>
      </c>
      <c r="OQ40" s="45"/>
      <c r="OR40" s="46">
        <v>0</v>
      </c>
      <c r="OS40" s="44">
        <v>0</v>
      </c>
      <c r="OT40" s="44">
        <v>0</v>
      </c>
      <c r="OU40" s="44">
        <v>0</v>
      </c>
      <c r="OV40" s="47">
        <v>0</v>
      </c>
      <c r="OW40" s="45"/>
      <c r="OX40" s="46">
        <v>0</v>
      </c>
      <c r="OY40" s="44">
        <v>0</v>
      </c>
      <c r="OZ40" s="44">
        <v>0</v>
      </c>
      <c r="PA40" s="44">
        <v>0</v>
      </c>
      <c r="PB40" s="47">
        <v>0</v>
      </c>
      <c r="PC40" s="45"/>
      <c r="PD40" s="46">
        <v>0</v>
      </c>
      <c r="PE40" s="44">
        <v>0</v>
      </c>
      <c r="PF40" s="44">
        <v>0</v>
      </c>
      <c r="PG40" s="44">
        <v>0</v>
      </c>
      <c r="PH40" s="47">
        <v>0</v>
      </c>
      <c r="PI40" s="45"/>
      <c r="PJ40" s="46">
        <v>0</v>
      </c>
      <c r="PK40" s="44">
        <v>0</v>
      </c>
      <c r="PL40" s="44">
        <v>0</v>
      </c>
      <c r="PM40" s="44">
        <v>0</v>
      </c>
      <c r="PN40" s="47">
        <v>0</v>
      </c>
      <c r="PO40" s="45"/>
      <c r="PP40" s="46">
        <v>0</v>
      </c>
      <c r="PQ40" s="44">
        <v>0</v>
      </c>
      <c r="PR40" s="44">
        <v>0</v>
      </c>
      <c r="PS40" s="44">
        <v>0</v>
      </c>
      <c r="PT40" s="47">
        <v>0</v>
      </c>
      <c r="PU40" s="45"/>
      <c r="PV40" s="46">
        <v>0</v>
      </c>
      <c r="PW40" s="44">
        <v>0</v>
      </c>
      <c r="PX40" s="47">
        <v>0</v>
      </c>
      <c r="PY40" s="45"/>
      <c r="PZ40" s="46">
        <v>0</v>
      </c>
      <c r="QA40" s="44">
        <v>0</v>
      </c>
      <c r="QB40" s="47">
        <v>0</v>
      </c>
      <c r="QC40" s="45"/>
      <c r="QD40" s="46">
        <v>0</v>
      </c>
      <c r="QE40" s="44">
        <v>0</v>
      </c>
      <c r="QF40" s="44">
        <v>0</v>
      </c>
      <c r="QG40" s="44">
        <v>0</v>
      </c>
      <c r="QH40" s="47">
        <v>0</v>
      </c>
      <c r="QI40" s="45"/>
      <c r="QJ40" s="46">
        <v>0</v>
      </c>
      <c r="QK40" s="44">
        <v>0</v>
      </c>
      <c r="QL40" s="47">
        <v>0</v>
      </c>
      <c r="QM40" s="45"/>
      <c r="QN40" s="46">
        <v>0</v>
      </c>
      <c r="QO40" s="44">
        <v>0</v>
      </c>
      <c r="QP40" s="44">
        <v>0</v>
      </c>
      <c r="QQ40" s="44">
        <v>0</v>
      </c>
      <c r="QR40" s="47">
        <v>0</v>
      </c>
      <c r="QS40" s="45"/>
      <c r="QT40" s="46">
        <v>0</v>
      </c>
      <c r="QU40" s="44">
        <v>0</v>
      </c>
      <c r="QV40" s="47">
        <v>0</v>
      </c>
      <c r="QW40" s="45"/>
      <c r="QX40" s="46">
        <v>0</v>
      </c>
      <c r="QY40" s="44">
        <v>0</v>
      </c>
      <c r="QZ40" s="44">
        <v>0</v>
      </c>
      <c r="RA40" s="44">
        <v>0</v>
      </c>
      <c r="RB40" s="47">
        <v>0</v>
      </c>
      <c r="RC40" s="45"/>
      <c r="RD40" s="42">
        <v>0</v>
      </c>
      <c r="RE40" s="44">
        <v>0</v>
      </c>
      <c r="RF40" s="44">
        <v>48</v>
      </c>
      <c r="RG40" s="44">
        <v>50</v>
      </c>
      <c r="RH40" s="47">
        <v>-2</v>
      </c>
      <c r="RI40" s="45"/>
      <c r="RJ40" s="42">
        <v>0</v>
      </c>
      <c r="RK40" s="47">
        <v>0</v>
      </c>
      <c r="RL40" s="47">
        <v>0</v>
      </c>
      <c r="RM40" s="47">
        <v>0</v>
      </c>
      <c r="RN40" s="47">
        <v>0</v>
      </c>
      <c r="RO40" s="43"/>
      <c r="RP40" s="42">
        <v>156</v>
      </c>
      <c r="RQ40" s="47">
        <v>154</v>
      </c>
      <c r="RR40" s="47">
        <v>2</v>
      </c>
      <c r="RS40" s="43"/>
      <c r="RT40" s="42">
        <v>0</v>
      </c>
      <c r="RU40" s="47">
        <v>0</v>
      </c>
      <c r="RV40" s="47">
        <v>0</v>
      </c>
      <c r="RW40" s="47">
        <v>0</v>
      </c>
      <c r="RX40" s="47">
        <v>0</v>
      </c>
      <c r="RY40" s="43"/>
      <c r="RZ40" s="42">
        <v>0</v>
      </c>
      <c r="SA40" s="47">
        <v>0</v>
      </c>
      <c r="SB40" s="47">
        <v>0</v>
      </c>
      <c r="SC40" s="47">
        <v>0</v>
      </c>
      <c r="SD40" s="47">
        <v>0</v>
      </c>
      <c r="SE40" s="43"/>
      <c r="SF40" s="42">
        <v>0</v>
      </c>
      <c r="SG40" s="47">
        <v>0</v>
      </c>
      <c r="SH40" s="47">
        <v>0</v>
      </c>
      <c r="SI40" s="47">
        <v>0</v>
      </c>
      <c r="SJ40" s="47">
        <v>0</v>
      </c>
      <c r="SK40" s="43"/>
      <c r="SL40" s="42">
        <v>0</v>
      </c>
      <c r="SM40" s="47">
        <v>0</v>
      </c>
      <c r="SN40" s="47">
        <v>0</v>
      </c>
      <c r="SO40" s="43"/>
      <c r="SP40" s="42">
        <v>0</v>
      </c>
      <c r="SQ40" s="47">
        <v>0</v>
      </c>
      <c r="SR40" s="47">
        <v>0</v>
      </c>
      <c r="SS40" s="47">
        <v>0</v>
      </c>
      <c r="ST40" s="47">
        <v>0</v>
      </c>
      <c r="SU40" s="43"/>
    </row>
    <row r="41" spans="1:515" x14ac:dyDescent="0.25">
      <c r="A41" s="47" t="s">
        <v>348</v>
      </c>
      <c r="B41" s="41">
        <v>0.33</v>
      </c>
      <c r="J41" s="42"/>
      <c r="K41" s="51"/>
      <c r="L41" s="51"/>
      <c r="M41" s="51"/>
      <c r="N41" s="51">
        <f t="shared" si="9"/>
        <v>0</v>
      </c>
      <c r="O41" s="43"/>
      <c r="P41" s="46"/>
      <c r="Q41" s="51"/>
      <c r="R41" s="51"/>
      <c r="S41" s="51"/>
      <c r="T41" s="51">
        <f t="shared" si="10"/>
        <v>0</v>
      </c>
      <c r="U41" s="43"/>
      <c r="V41" s="42"/>
      <c r="W41" s="51"/>
      <c r="X41" s="51"/>
      <c r="Y41" s="51"/>
      <c r="Z41" s="51">
        <f t="shared" si="11"/>
        <v>0</v>
      </c>
      <c r="AA41" s="43"/>
      <c r="AB41" s="42"/>
      <c r="AC41" s="51"/>
      <c r="AD41" s="51"/>
      <c r="AE41" s="51"/>
      <c r="AF41" s="51">
        <v>0</v>
      </c>
      <c r="AG41" s="43"/>
      <c r="AH41" s="51"/>
      <c r="AL41" s="47">
        <v>0</v>
      </c>
      <c r="AM41" s="43"/>
      <c r="AN41" s="42"/>
      <c r="AR41" s="47">
        <v>0</v>
      </c>
      <c r="AS41" s="43"/>
      <c r="AX41" s="47">
        <v>0</v>
      </c>
      <c r="AY41" s="43"/>
      <c r="BD41" s="47">
        <v>0</v>
      </c>
      <c r="BE41" s="43"/>
      <c r="BF41" s="42"/>
      <c r="BJ41" s="47">
        <v>0</v>
      </c>
      <c r="BK41" s="43"/>
      <c r="BL41" s="42"/>
      <c r="BP41" s="47">
        <v>0</v>
      </c>
      <c r="BQ41" s="43"/>
      <c r="BV41" s="47">
        <v>0</v>
      </c>
      <c r="BW41" s="43"/>
      <c r="BX41" s="42"/>
      <c r="CB41" s="47">
        <v>0</v>
      </c>
      <c r="CC41" s="43"/>
      <c r="CH41" s="47">
        <v>0</v>
      </c>
      <c r="CI41" s="43"/>
      <c r="CN41" s="47">
        <v>0</v>
      </c>
      <c r="CO41" s="43"/>
      <c r="CP41" s="42"/>
      <c r="CT41" s="47">
        <v>0</v>
      </c>
      <c r="CU41" s="43"/>
      <c r="CV41" s="42"/>
      <c r="CZ41" s="47">
        <v>0</v>
      </c>
      <c r="DA41" s="43"/>
      <c r="DG41" s="47">
        <v>0</v>
      </c>
      <c r="DH41" s="43"/>
      <c r="DK41" s="47">
        <v>0</v>
      </c>
      <c r="DL41" s="43"/>
      <c r="DM41" s="42"/>
      <c r="DQ41" s="47">
        <v>0</v>
      </c>
      <c r="DR41" s="43"/>
      <c r="DW41" s="47">
        <v>0</v>
      </c>
      <c r="DX41" s="43"/>
      <c r="EC41" s="47">
        <v>0</v>
      </c>
      <c r="ED41" s="43"/>
      <c r="EE41" s="42"/>
      <c r="EI41" s="47">
        <v>0</v>
      </c>
      <c r="EJ41" s="43"/>
      <c r="EO41" s="47">
        <v>0</v>
      </c>
      <c r="EP41" s="43"/>
      <c r="EQ41" s="42"/>
      <c r="EU41" s="47">
        <v>0</v>
      </c>
      <c r="EV41" s="43"/>
      <c r="EW41" s="42"/>
      <c r="FC41" s="47">
        <v>0</v>
      </c>
      <c r="FD41" s="43"/>
      <c r="FE41" s="42"/>
      <c r="FI41" s="47">
        <v>0</v>
      </c>
      <c r="FJ41" s="43"/>
      <c r="FQ41" s="47">
        <v>0</v>
      </c>
      <c r="FR41" s="43"/>
      <c r="FS41" s="42"/>
      <c r="FW41" s="47">
        <v>0</v>
      </c>
      <c r="FX41" s="43"/>
      <c r="FY41" s="42"/>
      <c r="GC41" s="47">
        <v>0</v>
      </c>
      <c r="GD41" s="43"/>
      <c r="GE41" s="42"/>
      <c r="GI41" s="47">
        <v>0</v>
      </c>
      <c r="GJ41" s="43"/>
      <c r="GQ41" s="47">
        <v>0</v>
      </c>
      <c r="GR41" s="43"/>
      <c r="GX41" s="47">
        <v>0</v>
      </c>
      <c r="GY41" s="43"/>
      <c r="GZ41" s="42"/>
      <c r="HC41" s="47">
        <v>0</v>
      </c>
      <c r="HD41" s="43"/>
      <c r="HE41" s="42"/>
      <c r="HG41">
        <v>287</v>
      </c>
      <c r="HH41" s="47">
        <v>1</v>
      </c>
      <c r="HI41" s="43"/>
      <c r="HN41" s="47">
        <v>0</v>
      </c>
      <c r="HO41" s="43"/>
      <c r="HP41" s="42"/>
      <c r="HS41">
        <v>56</v>
      </c>
      <c r="HT41">
        <v>60</v>
      </c>
      <c r="HU41" s="47">
        <v>-4</v>
      </c>
      <c r="HV41" s="43"/>
      <c r="HY41">
        <v>72</v>
      </c>
      <c r="HZ41">
        <v>70</v>
      </c>
      <c r="IA41" s="47">
        <v>2</v>
      </c>
      <c r="IB41" s="43"/>
      <c r="IC41" s="40">
        <v>152</v>
      </c>
      <c r="ID41">
        <v>150</v>
      </c>
      <c r="IE41">
        <v>160</v>
      </c>
      <c r="IF41">
        <v>160</v>
      </c>
      <c r="IG41" s="47">
        <v>2</v>
      </c>
      <c r="IH41" s="43"/>
      <c r="IK41">
        <v>32</v>
      </c>
      <c r="IL41">
        <v>30</v>
      </c>
      <c r="IM41" s="47">
        <v>2</v>
      </c>
      <c r="IN41" s="43"/>
      <c r="IO41" s="40">
        <v>88</v>
      </c>
      <c r="IP41" s="44">
        <v>90</v>
      </c>
      <c r="IQ41" s="47">
        <v>-2</v>
      </c>
      <c r="IR41" s="43"/>
      <c r="IS41" s="40">
        <v>96</v>
      </c>
      <c r="IT41">
        <v>100</v>
      </c>
      <c r="IU41">
        <v>128</v>
      </c>
      <c r="IV41">
        <v>130</v>
      </c>
      <c r="IW41" s="47">
        <v>-6</v>
      </c>
      <c r="IX41" s="43"/>
      <c r="IY41" s="40">
        <v>56</v>
      </c>
      <c r="IZ41">
        <v>60</v>
      </c>
      <c r="JA41" s="47">
        <v>-4</v>
      </c>
      <c r="JB41" s="43"/>
      <c r="JC41" s="40">
        <v>96</v>
      </c>
      <c r="JD41">
        <v>100</v>
      </c>
      <c r="JE41">
        <v>72</v>
      </c>
      <c r="JF41">
        <v>70</v>
      </c>
      <c r="JG41" s="47">
        <v>-2</v>
      </c>
      <c r="JH41" s="43"/>
      <c r="JM41">
        <v>48</v>
      </c>
      <c r="JN41">
        <v>50</v>
      </c>
      <c r="JO41" s="47">
        <v>-2</v>
      </c>
      <c r="JP41" s="43"/>
      <c r="JQ41" s="40">
        <v>112</v>
      </c>
      <c r="JR41">
        <v>110</v>
      </c>
      <c r="JS41">
        <v>96</v>
      </c>
      <c r="JT41">
        <v>100</v>
      </c>
      <c r="JU41" s="47">
        <v>-2</v>
      </c>
      <c r="JV41" s="43"/>
      <c r="JY41">
        <v>96</v>
      </c>
      <c r="JZ41">
        <v>100</v>
      </c>
      <c r="KA41" s="47">
        <v>-4</v>
      </c>
      <c r="KB41" s="45"/>
      <c r="KC41">
        <v>96</v>
      </c>
      <c r="KD41">
        <v>100</v>
      </c>
      <c r="KE41">
        <v>208</v>
      </c>
      <c r="KF41">
        <v>210</v>
      </c>
      <c r="KG41" s="47">
        <v>-6</v>
      </c>
      <c r="KH41" s="45"/>
      <c r="KI41">
        <v>96</v>
      </c>
      <c r="KJ41">
        <v>100</v>
      </c>
      <c r="KK41">
        <v>40</v>
      </c>
      <c r="KL41">
        <v>40</v>
      </c>
      <c r="KM41" s="47">
        <v>-4</v>
      </c>
      <c r="KN41" s="45"/>
      <c r="KO41">
        <v>96</v>
      </c>
      <c r="KP41">
        <v>100</v>
      </c>
      <c r="KQ41">
        <v>72</v>
      </c>
      <c r="KR41">
        <v>70</v>
      </c>
      <c r="KS41" s="47">
        <v>-2</v>
      </c>
      <c r="KT41" s="43"/>
      <c r="KV41">
        <v>50</v>
      </c>
      <c r="KW41" s="50">
        <v>-50</v>
      </c>
      <c r="KX41" s="43">
        <v>16.5</v>
      </c>
      <c r="LA41">
        <v>8</v>
      </c>
      <c r="LB41">
        <v>6</v>
      </c>
      <c r="LC41" s="47">
        <v>2</v>
      </c>
      <c r="LD41" s="43"/>
      <c r="LE41" s="40">
        <v>208</v>
      </c>
      <c r="LF41" s="44">
        <v>210</v>
      </c>
      <c r="LG41" s="47">
        <v>-2</v>
      </c>
      <c r="LH41" s="45"/>
      <c r="LK41">
        <v>160</v>
      </c>
      <c r="LL41">
        <v>160</v>
      </c>
      <c r="LM41" s="47">
        <v>0</v>
      </c>
      <c r="LN41" s="45"/>
      <c r="LO41">
        <v>48</v>
      </c>
      <c r="LP41">
        <v>50</v>
      </c>
      <c r="LQ41">
        <v>48</v>
      </c>
      <c r="LR41">
        <v>50</v>
      </c>
      <c r="LS41" s="47">
        <v>-4</v>
      </c>
      <c r="LT41" s="45"/>
      <c r="LU41">
        <v>48</v>
      </c>
      <c r="LV41">
        <v>50</v>
      </c>
      <c r="LW41">
        <v>96</v>
      </c>
      <c r="LX41">
        <v>100</v>
      </c>
      <c r="LY41" s="47">
        <v>-6</v>
      </c>
      <c r="LZ41" s="45"/>
      <c r="MC41">
        <v>32</v>
      </c>
      <c r="MD41">
        <v>30</v>
      </c>
      <c r="ME41" s="47">
        <v>2</v>
      </c>
      <c r="MF41" s="45"/>
      <c r="MG41" s="46"/>
      <c r="MH41">
        <v>80</v>
      </c>
      <c r="MJ41">
        <v>100</v>
      </c>
      <c r="MK41">
        <v>8</v>
      </c>
      <c r="ML41">
        <v>180</v>
      </c>
      <c r="MM41" s="50">
        <v>-352</v>
      </c>
      <c r="MN41" s="45">
        <v>116.16</v>
      </c>
      <c r="MO41" s="44">
        <v>0</v>
      </c>
      <c r="MP41" s="44">
        <v>0</v>
      </c>
      <c r="MQ41" s="44">
        <v>144</v>
      </c>
      <c r="MR41" s="44">
        <v>150</v>
      </c>
      <c r="MS41" s="47">
        <v>-6</v>
      </c>
      <c r="MT41" s="45"/>
      <c r="MU41" s="44">
        <v>0</v>
      </c>
      <c r="MV41" s="44">
        <v>0</v>
      </c>
      <c r="MW41" s="44">
        <v>80</v>
      </c>
      <c r="MX41" s="44">
        <v>80</v>
      </c>
      <c r="MY41" s="47">
        <v>0</v>
      </c>
      <c r="MZ41" s="45"/>
      <c r="NA41" s="46">
        <v>192</v>
      </c>
      <c r="NB41" s="44">
        <v>192</v>
      </c>
      <c r="NC41" s="47">
        <v>0</v>
      </c>
      <c r="ND41" s="45"/>
      <c r="NE41" s="46">
        <v>72</v>
      </c>
      <c r="NF41" s="44">
        <v>70</v>
      </c>
      <c r="NG41" s="44">
        <v>72</v>
      </c>
      <c r="NH41" s="44">
        <v>0</v>
      </c>
      <c r="NI41" s="44">
        <v>70</v>
      </c>
      <c r="NJ41" s="47">
        <v>4</v>
      </c>
      <c r="NK41" s="45"/>
      <c r="NL41" s="46">
        <v>56</v>
      </c>
      <c r="NM41" s="44">
        <v>60</v>
      </c>
      <c r="NN41" s="44">
        <v>56</v>
      </c>
      <c r="NO41" s="44">
        <v>60</v>
      </c>
      <c r="NP41" s="47">
        <v>-8</v>
      </c>
      <c r="NQ41" s="45"/>
      <c r="NR41" s="46">
        <v>48</v>
      </c>
      <c r="NS41" s="44">
        <v>50</v>
      </c>
      <c r="NT41" s="47">
        <v>-2</v>
      </c>
      <c r="NU41" s="45"/>
      <c r="NV41" s="46">
        <v>0</v>
      </c>
      <c r="NW41" s="44">
        <v>0</v>
      </c>
      <c r="NX41" s="44">
        <v>0</v>
      </c>
      <c r="NY41" s="44">
        <v>0</v>
      </c>
      <c r="NZ41" s="47">
        <v>0</v>
      </c>
      <c r="OA41" s="45"/>
      <c r="OB41" s="46">
        <v>64</v>
      </c>
      <c r="OC41" s="44">
        <v>65</v>
      </c>
      <c r="OD41" s="47">
        <v>-1</v>
      </c>
      <c r="OE41" s="45"/>
      <c r="OF41" s="46">
        <v>0</v>
      </c>
      <c r="OG41" s="44">
        <v>0</v>
      </c>
      <c r="OH41" s="44">
        <v>0</v>
      </c>
      <c r="OI41" s="44">
        <v>0</v>
      </c>
      <c r="OJ41" s="47">
        <v>0</v>
      </c>
      <c r="OK41" s="45"/>
      <c r="OL41" s="44">
        <v>0</v>
      </c>
      <c r="OM41" s="43"/>
      <c r="ON41" s="44">
        <v>32</v>
      </c>
      <c r="OO41" s="44">
        <v>30</v>
      </c>
      <c r="OP41" s="47">
        <v>2</v>
      </c>
      <c r="OQ41" s="45"/>
      <c r="OR41" s="46">
        <v>0</v>
      </c>
      <c r="OS41" s="44">
        <v>0</v>
      </c>
      <c r="OT41" s="44">
        <v>0</v>
      </c>
      <c r="OU41" s="44">
        <v>0</v>
      </c>
      <c r="OV41" s="47">
        <v>0</v>
      </c>
      <c r="OW41" s="45"/>
      <c r="OX41" s="46">
        <v>0</v>
      </c>
      <c r="OY41" s="44">
        <v>0</v>
      </c>
      <c r="OZ41" s="44">
        <v>0</v>
      </c>
      <c r="PA41" s="44">
        <v>0</v>
      </c>
      <c r="PB41" s="47">
        <v>0</v>
      </c>
      <c r="PC41" s="45"/>
      <c r="PD41" s="46">
        <v>0</v>
      </c>
      <c r="PE41" s="44">
        <v>0</v>
      </c>
      <c r="PF41" s="44">
        <v>16</v>
      </c>
      <c r="PG41" s="44">
        <v>20</v>
      </c>
      <c r="PH41" s="47">
        <v>-4</v>
      </c>
      <c r="PI41" s="45"/>
      <c r="PJ41" s="25">
        <v>80</v>
      </c>
      <c r="PK41" s="44">
        <v>0</v>
      </c>
      <c r="PL41" s="44">
        <v>48</v>
      </c>
      <c r="PM41" s="44">
        <v>50</v>
      </c>
      <c r="PN41" s="47">
        <v>78</v>
      </c>
      <c r="PO41" s="45"/>
      <c r="PP41" s="46">
        <v>0</v>
      </c>
      <c r="PQ41" s="44">
        <v>0</v>
      </c>
      <c r="PR41" s="44">
        <v>88</v>
      </c>
      <c r="PS41" s="44">
        <v>90</v>
      </c>
      <c r="PT41" s="47">
        <v>-2</v>
      </c>
      <c r="PU41" s="45"/>
      <c r="PV41" s="46">
        <v>0</v>
      </c>
      <c r="PW41" s="44">
        <v>0</v>
      </c>
      <c r="PX41" s="47">
        <v>0</v>
      </c>
      <c r="PY41" s="45"/>
      <c r="PZ41" s="46">
        <v>0</v>
      </c>
      <c r="QA41" s="44">
        <v>0</v>
      </c>
      <c r="QB41" s="47">
        <v>0</v>
      </c>
      <c r="QC41" s="45"/>
      <c r="QD41" s="46">
        <v>0</v>
      </c>
      <c r="QE41" s="44">
        <v>0</v>
      </c>
      <c r="QF41" s="44">
        <v>72</v>
      </c>
      <c r="QG41" s="44">
        <v>70</v>
      </c>
      <c r="QH41" s="47">
        <v>2</v>
      </c>
      <c r="QI41" s="45"/>
      <c r="QJ41" s="23">
        <v>48</v>
      </c>
      <c r="QK41" s="44">
        <v>0</v>
      </c>
      <c r="QL41" s="47">
        <v>0</v>
      </c>
      <c r="QM41" s="45"/>
      <c r="QN41" s="46"/>
      <c r="QS41" s="45"/>
      <c r="QT41" s="46"/>
      <c r="QW41" s="45"/>
      <c r="QX41" s="46"/>
      <c r="RC41" s="45"/>
      <c r="RD41" s="42"/>
      <c r="RE41" s="44"/>
      <c r="RG41" s="44"/>
      <c r="RI41" s="45"/>
      <c r="RJ41" s="42"/>
      <c r="RO41" s="43"/>
      <c r="RP41" s="42"/>
      <c r="RS41" s="43"/>
      <c r="RT41" s="42"/>
      <c r="RY41" s="43"/>
      <c r="RZ41" s="42"/>
      <c r="SE41" s="43"/>
      <c r="SF41" s="42"/>
      <c r="SK41" s="43"/>
      <c r="SL41" s="42"/>
      <c r="SO41" s="43"/>
      <c r="SP41" s="42"/>
      <c r="SU41" s="43"/>
    </row>
    <row r="42" spans="1:515" x14ac:dyDescent="0.25">
      <c r="A42" s="47" t="s">
        <v>349</v>
      </c>
      <c r="B42" s="41">
        <v>1</v>
      </c>
      <c r="J42" s="42"/>
      <c r="K42" s="51"/>
      <c r="L42" s="51"/>
      <c r="M42" s="51"/>
      <c r="N42" s="51">
        <f t="shared" si="9"/>
        <v>0</v>
      </c>
      <c r="O42" s="43"/>
      <c r="P42" s="46"/>
      <c r="Q42" s="51"/>
      <c r="R42" s="51"/>
      <c r="S42" s="51"/>
      <c r="T42" s="51">
        <f t="shared" si="10"/>
        <v>0</v>
      </c>
      <c r="U42" s="43"/>
      <c r="V42" s="42"/>
      <c r="W42" s="51"/>
      <c r="X42" s="51"/>
      <c r="Y42" s="51"/>
      <c r="Z42" s="51">
        <f t="shared" si="11"/>
        <v>0</v>
      </c>
      <c r="AA42" s="43"/>
      <c r="AB42" s="42"/>
      <c r="AC42" s="51"/>
      <c r="AD42" s="51"/>
      <c r="AE42" s="51"/>
      <c r="AF42" s="51">
        <v>0</v>
      </c>
      <c r="AG42" s="43"/>
      <c r="AH42" s="51"/>
      <c r="AL42" s="47">
        <v>0</v>
      </c>
      <c r="AM42" s="43"/>
      <c r="AN42" s="42"/>
      <c r="AR42" s="47">
        <v>0</v>
      </c>
      <c r="AS42" s="43"/>
      <c r="AX42" s="47">
        <v>0</v>
      </c>
      <c r="AY42" s="43"/>
      <c r="BD42" s="47">
        <v>0</v>
      </c>
      <c r="BE42" s="43"/>
      <c r="BF42" s="42"/>
      <c r="BJ42" s="47">
        <v>0</v>
      </c>
      <c r="BK42" s="43"/>
      <c r="BL42" s="42"/>
      <c r="BP42" s="47">
        <v>0</v>
      </c>
      <c r="BQ42" s="43"/>
      <c r="BV42" s="47">
        <v>0</v>
      </c>
      <c r="BW42" s="43"/>
      <c r="BX42" s="42"/>
      <c r="CB42" s="47">
        <v>0</v>
      </c>
      <c r="CC42" s="43"/>
      <c r="CH42" s="47">
        <v>0</v>
      </c>
      <c r="CI42" s="43"/>
      <c r="CN42" s="47">
        <v>0</v>
      </c>
      <c r="CO42" s="43"/>
      <c r="CP42" s="42"/>
      <c r="CT42" s="47">
        <v>0</v>
      </c>
      <c r="CU42" s="43"/>
      <c r="CV42" s="42"/>
      <c r="CZ42" s="47">
        <v>0</v>
      </c>
      <c r="DA42" s="43"/>
      <c r="DG42" s="47">
        <v>0</v>
      </c>
      <c r="DH42" s="43"/>
      <c r="DK42" s="47">
        <v>0</v>
      </c>
      <c r="DL42" s="43"/>
      <c r="DM42" s="42"/>
      <c r="DQ42" s="47">
        <v>0</v>
      </c>
      <c r="DR42" s="43"/>
      <c r="DW42" s="47">
        <v>0</v>
      </c>
      <c r="DX42" s="43"/>
      <c r="EC42" s="47">
        <v>0</v>
      </c>
      <c r="ED42" s="43"/>
      <c r="EE42" s="42"/>
      <c r="EI42" s="47">
        <v>0</v>
      </c>
      <c r="EJ42" s="43"/>
      <c r="EO42" s="47">
        <v>0</v>
      </c>
      <c r="EP42" s="43"/>
      <c r="EQ42" s="42"/>
      <c r="EU42" s="47">
        <v>0</v>
      </c>
      <c r="EV42" s="43"/>
      <c r="EW42" s="42"/>
      <c r="FC42" s="47">
        <v>0</v>
      </c>
      <c r="FD42" s="43"/>
      <c r="FE42" s="42"/>
      <c r="FI42" s="47">
        <v>0</v>
      </c>
      <c r="FJ42" s="43"/>
      <c r="FQ42" s="47">
        <v>0</v>
      </c>
      <c r="FR42" s="43"/>
      <c r="FS42" s="42"/>
      <c r="FW42" s="47">
        <v>0</v>
      </c>
      <c r="FX42" s="43"/>
      <c r="FY42" s="42"/>
      <c r="GC42" s="47">
        <v>0</v>
      </c>
      <c r="GD42" s="43"/>
      <c r="GE42" s="42"/>
      <c r="GI42" s="47">
        <v>0</v>
      </c>
      <c r="GJ42" s="43"/>
      <c r="GQ42" s="47">
        <v>0</v>
      </c>
      <c r="GR42" s="43"/>
      <c r="GX42" s="47">
        <v>0</v>
      </c>
      <c r="GY42" s="43"/>
      <c r="GZ42" s="42"/>
      <c r="HC42" s="47">
        <v>0</v>
      </c>
      <c r="HD42" s="43"/>
      <c r="HE42" s="42"/>
      <c r="HH42" s="47">
        <v>0</v>
      </c>
      <c r="HI42" s="43"/>
      <c r="HN42" s="47">
        <v>0</v>
      </c>
      <c r="HO42" s="43"/>
      <c r="HP42" s="42"/>
      <c r="HU42" s="47">
        <v>0</v>
      </c>
      <c r="HV42" s="43"/>
      <c r="IA42" s="47">
        <v>0</v>
      </c>
      <c r="IB42" s="43"/>
      <c r="IC42" s="42"/>
      <c r="IG42" s="47">
        <v>0</v>
      </c>
      <c r="IH42" s="43"/>
      <c r="IM42" s="47">
        <v>0</v>
      </c>
      <c r="IN42" s="43"/>
      <c r="IO42" s="42"/>
      <c r="IQ42" s="47">
        <v>0</v>
      </c>
      <c r="IR42" s="43"/>
      <c r="IS42" s="42"/>
      <c r="IW42" s="47">
        <v>0</v>
      </c>
      <c r="IX42" s="43"/>
      <c r="IY42" s="42"/>
      <c r="JA42" s="47">
        <v>0</v>
      </c>
      <c r="JB42" s="43"/>
      <c r="JC42" s="42"/>
      <c r="JG42" s="47">
        <v>0</v>
      </c>
      <c r="JH42" s="43"/>
      <c r="JO42" s="47">
        <v>0</v>
      </c>
      <c r="JP42" s="43"/>
      <c r="JQ42" s="42"/>
      <c r="JU42" s="47">
        <v>0</v>
      </c>
      <c r="JV42" s="43"/>
      <c r="KA42" s="47">
        <v>0</v>
      </c>
      <c r="KB42" s="45"/>
      <c r="KG42" s="47">
        <v>0</v>
      </c>
      <c r="KH42" s="45"/>
      <c r="KM42" s="47">
        <v>0</v>
      </c>
      <c r="KN42" s="45"/>
      <c r="KS42" s="47">
        <v>0</v>
      </c>
      <c r="KT42" s="43"/>
      <c r="KW42" s="47">
        <v>0</v>
      </c>
      <c r="KX42" s="45"/>
      <c r="LC42" s="47">
        <v>0</v>
      </c>
      <c r="LD42" s="43"/>
      <c r="LE42" s="46"/>
      <c r="LG42" s="47">
        <v>0</v>
      </c>
      <c r="LH42" s="45"/>
      <c r="LM42" s="47">
        <v>0</v>
      </c>
      <c r="LN42" s="45"/>
      <c r="LS42" s="47">
        <v>0</v>
      </c>
      <c r="LT42" s="45"/>
      <c r="LY42" s="47">
        <v>0</v>
      </c>
      <c r="LZ42" s="45"/>
      <c r="ME42" s="47">
        <v>0</v>
      </c>
      <c r="MF42" s="45"/>
      <c r="MG42" s="46"/>
      <c r="MH42">
        <v>50</v>
      </c>
      <c r="MJ42">
        <v>50</v>
      </c>
      <c r="ML42">
        <v>50</v>
      </c>
      <c r="MM42" s="50">
        <v>-150</v>
      </c>
      <c r="MN42" s="45">
        <v>150</v>
      </c>
      <c r="MO42" s="44">
        <v>0</v>
      </c>
      <c r="MP42" s="44">
        <v>0</v>
      </c>
      <c r="MQ42" s="44">
        <v>0</v>
      </c>
      <c r="MR42" s="44">
        <v>0</v>
      </c>
      <c r="MS42" s="47">
        <v>0</v>
      </c>
      <c r="MT42" s="45"/>
      <c r="MU42" s="44">
        <v>152.29499999999999</v>
      </c>
      <c r="MV42" s="44">
        <v>150</v>
      </c>
      <c r="MW42" s="44">
        <v>243.67500000000001</v>
      </c>
      <c r="MX42" s="44">
        <v>226</v>
      </c>
      <c r="MY42" s="47">
        <v>19.970000000000031</v>
      </c>
      <c r="MZ42" s="45"/>
      <c r="NA42" s="46">
        <v>97.561000000000007</v>
      </c>
      <c r="NB42" s="44">
        <v>90</v>
      </c>
      <c r="NC42" s="47">
        <v>7.561000000000007</v>
      </c>
      <c r="ND42" s="45"/>
      <c r="NE42" s="46">
        <v>0</v>
      </c>
      <c r="NF42" s="44">
        <v>0</v>
      </c>
      <c r="NG42" s="44">
        <v>0</v>
      </c>
      <c r="NH42" s="44">
        <v>0</v>
      </c>
      <c r="NI42" s="44">
        <v>0</v>
      </c>
      <c r="NJ42" s="47">
        <v>0</v>
      </c>
      <c r="NK42" s="45"/>
      <c r="NL42" s="46">
        <v>0</v>
      </c>
      <c r="NM42" s="44">
        <v>0</v>
      </c>
      <c r="NN42" s="44">
        <v>0</v>
      </c>
      <c r="NO42" s="44">
        <v>0</v>
      </c>
      <c r="NP42" s="47">
        <v>0</v>
      </c>
      <c r="NQ42" s="45"/>
      <c r="NR42" s="46">
        <v>0</v>
      </c>
      <c r="NS42" s="44">
        <v>0</v>
      </c>
      <c r="NT42" s="47">
        <v>0</v>
      </c>
      <c r="NU42" s="45"/>
      <c r="NV42" s="46">
        <v>0</v>
      </c>
      <c r="NW42" s="44">
        <v>0</v>
      </c>
      <c r="NX42" s="44">
        <v>0</v>
      </c>
      <c r="NY42" s="44">
        <v>0</v>
      </c>
      <c r="NZ42" s="47">
        <v>0</v>
      </c>
      <c r="OA42" s="45"/>
      <c r="OB42" s="46">
        <v>391.11799999999999</v>
      </c>
      <c r="OC42" s="44">
        <v>400</v>
      </c>
      <c r="OD42" s="50">
        <v>-8.882000000000005</v>
      </c>
      <c r="OE42" s="45">
        <v>8.882000000000005</v>
      </c>
      <c r="OF42" s="46">
        <v>96.42</v>
      </c>
      <c r="OG42" s="44">
        <v>100</v>
      </c>
      <c r="OH42" s="44">
        <v>454.25400000000002</v>
      </c>
      <c r="OI42" s="44">
        <v>460</v>
      </c>
      <c r="OJ42" s="50">
        <v>-9.3260000000000218</v>
      </c>
      <c r="OK42" s="45">
        <v>9.3260000000000218</v>
      </c>
      <c r="OL42" s="44">
        <v>0</v>
      </c>
      <c r="OM42" s="43"/>
      <c r="ON42" s="44">
        <v>508.14</v>
      </c>
      <c r="OO42" s="44">
        <v>500</v>
      </c>
      <c r="OP42" s="47">
        <v>8.1399999999999864</v>
      </c>
      <c r="OQ42" s="45"/>
      <c r="OR42" s="46">
        <v>214.447</v>
      </c>
      <c r="OS42" s="44">
        <v>210</v>
      </c>
      <c r="OT42" s="44">
        <v>729.83799999999997</v>
      </c>
      <c r="OU42" s="44">
        <v>713</v>
      </c>
      <c r="OV42" s="47">
        <v>21.284999999999972</v>
      </c>
      <c r="OW42" s="45"/>
      <c r="OX42" s="46">
        <v>49.844000000000001</v>
      </c>
      <c r="OY42" s="44">
        <v>150</v>
      </c>
      <c r="OZ42" s="44">
        <v>149.21799999999999</v>
      </c>
      <c r="PA42" s="44">
        <v>150</v>
      </c>
      <c r="PB42" s="50">
        <v>-100.938</v>
      </c>
      <c r="PC42" s="45">
        <v>100.938</v>
      </c>
      <c r="PD42" s="46">
        <v>0</v>
      </c>
      <c r="PE42" s="44">
        <v>0</v>
      </c>
      <c r="PF42" s="44">
        <v>0</v>
      </c>
      <c r="PG42" s="44">
        <v>0</v>
      </c>
      <c r="PH42" s="47">
        <v>0</v>
      </c>
      <c r="PI42" s="45"/>
      <c r="PJ42" s="25">
        <v>49.963999999999999</v>
      </c>
      <c r="PK42" s="44">
        <v>0</v>
      </c>
      <c r="PL42" s="44">
        <v>0</v>
      </c>
      <c r="PM42" s="44">
        <v>0</v>
      </c>
      <c r="PN42" s="47">
        <v>49.963999999999999</v>
      </c>
      <c r="PO42" s="45"/>
      <c r="PP42" s="46">
        <v>0</v>
      </c>
      <c r="PQ42" s="44">
        <v>0</v>
      </c>
      <c r="PR42" s="44">
        <v>0</v>
      </c>
      <c r="PS42" s="44">
        <v>0</v>
      </c>
      <c r="PT42" s="47">
        <v>0</v>
      </c>
      <c r="PU42" s="45"/>
      <c r="PV42" s="46">
        <v>1426.3720000000001</v>
      </c>
      <c r="PW42" s="44">
        <v>1400</v>
      </c>
      <c r="PX42" s="47">
        <v>26.372000000000071</v>
      </c>
      <c r="PY42" s="45"/>
      <c r="PZ42" s="46">
        <v>0</v>
      </c>
      <c r="QA42" s="44">
        <v>0</v>
      </c>
      <c r="QB42" s="47">
        <v>0</v>
      </c>
      <c r="QC42" s="45"/>
      <c r="QD42" s="46">
        <v>452.50599999999997</v>
      </c>
      <c r="QE42" s="44">
        <v>450</v>
      </c>
      <c r="QF42" s="44">
        <v>401.03199999999998</v>
      </c>
      <c r="QG42" s="44">
        <v>398.28699999999992</v>
      </c>
      <c r="QH42" s="47">
        <v>5.25100000000009</v>
      </c>
      <c r="QI42" s="45"/>
      <c r="QJ42" s="46">
        <v>44.128</v>
      </c>
      <c r="QK42" s="44">
        <v>42</v>
      </c>
      <c r="QL42" s="47">
        <v>2.1280000000000001</v>
      </c>
      <c r="QM42" s="45"/>
      <c r="QN42" s="46">
        <v>267.65499999999997</v>
      </c>
      <c r="QO42" s="44">
        <v>270</v>
      </c>
      <c r="QP42" s="44">
        <v>204.85499999999999</v>
      </c>
      <c r="QQ42" s="44">
        <v>200</v>
      </c>
      <c r="QR42" s="47">
        <v>2.5099999999999909</v>
      </c>
      <c r="QS42" s="45"/>
      <c r="QT42" s="46">
        <v>0</v>
      </c>
      <c r="QU42" s="44">
        <v>0</v>
      </c>
      <c r="QV42" s="47">
        <v>0</v>
      </c>
      <c r="QW42" s="45"/>
      <c r="QX42" s="46">
        <v>0</v>
      </c>
      <c r="QY42" s="33">
        <v>300</v>
      </c>
      <c r="QZ42" s="44">
        <v>0</v>
      </c>
      <c r="RA42" s="33">
        <v>300</v>
      </c>
      <c r="RB42" s="50">
        <v>-600</v>
      </c>
      <c r="RC42" s="45">
        <v>600</v>
      </c>
      <c r="RD42" s="42">
        <v>973.45100000000002</v>
      </c>
      <c r="RE42" s="44">
        <v>1000</v>
      </c>
      <c r="RF42" s="44">
        <v>1025.847</v>
      </c>
      <c r="RG42" s="44">
        <v>1000</v>
      </c>
      <c r="RH42" s="47">
        <v>-0.70199999999999818</v>
      </c>
      <c r="RI42" s="45"/>
      <c r="RJ42" s="42">
        <v>0</v>
      </c>
      <c r="RK42" s="13">
        <v>300</v>
      </c>
      <c r="RL42" s="47">
        <v>0</v>
      </c>
      <c r="RM42" s="13">
        <v>400</v>
      </c>
      <c r="RN42" s="50">
        <v>-700</v>
      </c>
      <c r="RO42" s="43">
        <v>700</v>
      </c>
      <c r="RP42" s="42">
        <v>514.11400000000003</v>
      </c>
      <c r="RQ42" s="47">
        <v>818</v>
      </c>
      <c r="RR42" s="50">
        <v>-303.88600000000002</v>
      </c>
      <c r="RS42" s="43">
        <v>303.88600000000002</v>
      </c>
      <c r="RT42" s="42">
        <v>395.19900000000001</v>
      </c>
      <c r="RU42" s="47">
        <v>394</v>
      </c>
      <c r="RV42" s="47">
        <v>388.93299999999999</v>
      </c>
      <c r="RW42" s="47">
        <v>400</v>
      </c>
      <c r="RX42" s="50">
        <v>-9.8679999999999382</v>
      </c>
      <c r="RY42" s="43">
        <v>9.8679999999999382</v>
      </c>
      <c r="RZ42" s="42">
        <v>91.316000000000003</v>
      </c>
      <c r="SA42" s="47">
        <v>90</v>
      </c>
      <c r="SB42" s="47">
        <v>105.01900000000001</v>
      </c>
      <c r="SC42" s="47">
        <v>110</v>
      </c>
      <c r="SD42" s="47">
        <v>-3.664999999999992</v>
      </c>
      <c r="SE42" s="43"/>
      <c r="SF42" s="42">
        <v>304.78800000000001</v>
      </c>
      <c r="SG42" s="47">
        <v>300</v>
      </c>
      <c r="SH42" s="47">
        <v>156.916</v>
      </c>
      <c r="SI42" s="47">
        <v>450</v>
      </c>
      <c r="SJ42" s="50">
        <v>-288.29599999999999</v>
      </c>
      <c r="SK42" s="43">
        <v>288.29599999999999</v>
      </c>
      <c r="SL42" s="42">
        <v>195.89099999999999</v>
      </c>
      <c r="SM42" s="47">
        <v>200</v>
      </c>
      <c r="SN42" s="47">
        <v>-4.1090000000000089</v>
      </c>
      <c r="SO42" s="43"/>
      <c r="SP42" s="42">
        <v>313.11500000000001</v>
      </c>
      <c r="SQ42" s="47">
        <v>300</v>
      </c>
      <c r="SR42" s="47">
        <v>675.04100000000005</v>
      </c>
      <c r="SS42" s="47">
        <v>650</v>
      </c>
      <c r="ST42" s="47">
        <v>38.156000000000063</v>
      </c>
      <c r="SU42" s="43"/>
    </row>
    <row r="43" spans="1:515" x14ac:dyDescent="0.25">
      <c r="A43" s="47" t="s">
        <v>350</v>
      </c>
      <c r="B43" s="41">
        <v>1</v>
      </c>
      <c r="J43" s="42"/>
      <c r="K43" s="51"/>
      <c r="L43" s="51"/>
      <c r="M43" s="51"/>
      <c r="N43" s="51">
        <f t="shared" si="9"/>
        <v>0</v>
      </c>
      <c r="O43" s="43"/>
      <c r="P43" s="46"/>
      <c r="Q43" s="51"/>
      <c r="R43" s="51"/>
      <c r="S43" s="51"/>
      <c r="T43" s="51">
        <f t="shared" si="10"/>
        <v>0</v>
      </c>
      <c r="U43" s="43"/>
      <c r="V43" s="42"/>
      <c r="W43" s="51"/>
      <c r="X43" s="51"/>
      <c r="Y43" s="51"/>
      <c r="Z43" s="51">
        <f t="shared" si="11"/>
        <v>0</v>
      </c>
      <c r="AA43" s="43"/>
      <c r="AB43" s="42"/>
      <c r="AC43" s="51"/>
      <c r="AD43" s="51"/>
      <c r="AE43" s="51"/>
      <c r="AF43" s="51">
        <v>0</v>
      </c>
      <c r="AG43" s="43"/>
      <c r="AH43" s="51"/>
      <c r="AL43" s="47">
        <v>0</v>
      </c>
      <c r="AM43" s="43"/>
      <c r="AN43" s="42"/>
      <c r="AR43" s="47">
        <v>0</v>
      </c>
      <c r="AS43" s="43"/>
      <c r="AX43" s="47">
        <v>0</v>
      </c>
      <c r="AY43" s="43"/>
      <c r="BD43" s="47">
        <v>0</v>
      </c>
      <c r="BE43" s="43"/>
      <c r="BF43" s="42"/>
      <c r="BJ43" s="47">
        <v>0</v>
      </c>
      <c r="BK43" s="43"/>
      <c r="BL43" s="42"/>
      <c r="BP43" s="47">
        <v>0</v>
      </c>
      <c r="BQ43" s="43"/>
      <c r="BV43" s="47">
        <v>0</v>
      </c>
      <c r="BW43" s="43"/>
      <c r="BX43" s="42"/>
      <c r="CB43" s="47">
        <v>0</v>
      </c>
      <c r="CC43" s="43"/>
      <c r="CH43" s="47">
        <v>0</v>
      </c>
      <c r="CI43" s="43"/>
      <c r="CN43" s="47">
        <v>0</v>
      </c>
      <c r="CO43" s="43"/>
      <c r="CP43" s="42"/>
      <c r="CT43" s="47">
        <v>0</v>
      </c>
      <c r="CU43" s="43"/>
      <c r="CV43" s="42"/>
      <c r="CZ43" s="47">
        <v>0</v>
      </c>
      <c r="DA43" s="43"/>
      <c r="DG43" s="47">
        <v>0</v>
      </c>
      <c r="DH43" s="43"/>
      <c r="DK43" s="47">
        <v>0</v>
      </c>
      <c r="DL43" s="43"/>
      <c r="DM43" s="42"/>
      <c r="DQ43" s="47">
        <v>0</v>
      </c>
      <c r="DR43" s="43"/>
      <c r="DW43" s="47">
        <v>0</v>
      </c>
      <c r="DX43" s="43"/>
      <c r="EC43" s="47">
        <v>0</v>
      </c>
      <c r="ED43" s="43"/>
      <c r="EE43" s="42"/>
      <c r="EI43" s="47">
        <v>0</v>
      </c>
      <c r="EJ43" s="43"/>
      <c r="EO43" s="47">
        <v>0</v>
      </c>
      <c r="EP43" s="43"/>
      <c r="EQ43" s="42"/>
      <c r="EU43" s="47">
        <v>0</v>
      </c>
      <c r="EV43" s="43"/>
      <c r="EW43" s="42"/>
      <c r="FC43" s="47">
        <v>0</v>
      </c>
      <c r="FD43" s="43"/>
      <c r="FE43" s="42"/>
      <c r="FI43" s="47">
        <v>0</v>
      </c>
      <c r="FJ43" s="43"/>
      <c r="FQ43" s="47">
        <v>0</v>
      </c>
      <c r="FR43" s="43"/>
      <c r="FS43" s="42"/>
      <c r="FW43" s="47">
        <v>0</v>
      </c>
      <c r="FX43" s="43"/>
      <c r="FY43" s="42"/>
      <c r="GC43" s="47">
        <v>0</v>
      </c>
      <c r="GD43" s="43"/>
      <c r="GE43" s="42"/>
      <c r="GI43" s="47">
        <v>0</v>
      </c>
      <c r="GJ43" s="43"/>
      <c r="GQ43" s="47">
        <v>0</v>
      </c>
      <c r="GR43" s="43"/>
      <c r="GX43" s="47">
        <v>0</v>
      </c>
      <c r="GY43" s="43"/>
      <c r="GZ43" s="42"/>
      <c r="HC43" s="47">
        <v>0</v>
      </c>
      <c r="HD43" s="43"/>
      <c r="HE43" s="42"/>
      <c r="HH43" s="47">
        <v>0</v>
      </c>
      <c r="HI43" s="43"/>
      <c r="HN43" s="47">
        <v>0</v>
      </c>
      <c r="HO43" s="43"/>
      <c r="HP43" s="42"/>
      <c r="HU43" s="47">
        <v>0</v>
      </c>
      <c r="HV43" s="43"/>
      <c r="IA43" s="47">
        <v>0</v>
      </c>
      <c r="IB43" s="43"/>
      <c r="IC43" s="42"/>
      <c r="IG43" s="47">
        <v>0</v>
      </c>
      <c r="IH43" s="43"/>
      <c r="IM43" s="47">
        <v>0</v>
      </c>
      <c r="IN43" s="43"/>
      <c r="IO43" s="42"/>
      <c r="IQ43" s="47">
        <v>0</v>
      </c>
      <c r="IR43" s="43"/>
      <c r="IS43" s="42"/>
      <c r="IW43" s="47">
        <v>0</v>
      </c>
      <c r="IX43" s="43"/>
      <c r="IY43" s="42"/>
      <c r="JA43" s="47">
        <v>0</v>
      </c>
      <c r="JB43" s="43"/>
      <c r="JC43" s="42"/>
      <c r="JG43" s="47">
        <v>0</v>
      </c>
      <c r="JH43" s="43"/>
      <c r="JO43" s="47">
        <v>0</v>
      </c>
      <c r="JP43" s="43"/>
      <c r="JQ43" s="42"/>
      <c r="JU43" s="47">
        <v>0</v>
      </c>
      <c r="JV43" s="43"/>
      <c r="KA43" s="47">
        <v>0</v>
      </c>
      <c r="KB43" s="45"/>
      <c r="KG43" s="47">
        <v>0</v>
      </c>
      <c r="KH43" s="45"/>
      <c r="KM43" s="47">
        <v>0</v>
      </c>
      <c r="KN43" s="45"/>
      <c r="KS43" s="47">
        <v>0</v>
      </c>
      <c r="KT43" s="43"/>
      <c r="KW43" s="47">
        <v>0</v>
      </c>
      <c r="KX43" s="45"/>
      <c r="LC43" s="47">
        <v>0</v>
      </c>
      <c r="LD43" s="43"/>
      <c r="LE43" s="46"/>
      <c r="LG43" s="47">
        <v>0</v>
      </c>
      <c r="LH43" s="45"/>
      <c r="LM43" s="47">
        <v>0</v>
      </c>
      <c r="LN43" s="45"/>
      <c r="LS43" s="47">
        <v>0</v>
      </c>
      <c r="LT43" s="45"/>
      <c r="LY43" s="47">
        <v>0</v>
      </c>
      <c r="LZ43" s="45"/>
      <c r="ME43" s="47">
        <v>0</v>
      </c>
      <c r="MF43" s="45"/>
      <c r="MG43" s="46"/>
      <c r="MM43" s="47">
        <v>0</v>
      </c>
      <c r="MN43" s="45"/>
      <c r="MO43" s="44">
        <v>0</v>
      </c>
      <c r="MP43" s="44">
        <v>0</v>
      </c>
      <c r="MQ43" s="44">
        <v>0</v>
      </c>
      <c r="MR43" s="44">
        <v>0</v>
      </c>
      <c r="MS43" s="47">
        <v>0</v>
      </c>
      <c r="MT43" s="45"/>
      <c r="MU43" s="44">
        <v>0</v>
      </c>
      <c r="MV43" s="44">
        <v>0</v>
      </c>
      <c r="MW43" s="44">
        <v>0</v>
      </c>
      <c r="MX43" s="44">
        <v>0</v>
      </c>
      <c r="MY43" s="47">
        <v>0</v>
      </c>
      <c r="MZ43" s="45"/>
      <c r="NA43" s="46">
        <v>0</v>
      </c>
      <c r="NB43" s="44">
        <v>0</v>
      </c>
      <c r="NC43" s="47">
        <v>0</v>
      </c>
      <c r="ND43" s="45"/>
      <c r="NE43" s="46">
        <v>0</v>
      </c>
      <c r="NF43" s="44">
        <v>0</v>
      </c>
      <c r="NG43" s="44">
        <v>0</v>
      </c>
      <c r="NH43" s="44">
        <v>0</v>
      </c>
      <c r="NI43" s="44">
        <v>0</v>
      </c>
      <c r="NJ43" s="47">
        <v>0</v>
      </c>
      <c r="NK43" s="45"/>
      <c r="NL43" s="46">
        <v>0</v>
      </c>
      <c r="NM43" s="44">
        <v>0</v>
      </c>
      <c r="NN43" s="44">
        <v>0</v>
      </c>
      <c r="NO43" s="44">
        <v>0</v>
      </c>
      <c r="NP43" s="47">
        <v>0</v>
      </c>
      <c r="NQ43" s="45"/>
      <c r="NR43" s="46">
        <v>0</v>
      </c>
      <c r="NS43" s="44">
        <v>0</v>
      </c>
      <c r="NT43" s="47">
        <v>0</v>
      </c>
      <c r="NU43" s="45"/>
      <c r="NV43" s="46">
        <v>0</v>
      </c>
      <c r="NW43" s="44">
        <v>0</v>
      </c>
      <c r="NX43" s="44">
        <v>0</v>
      </c>
      <c r="NY43" s="44">
        <v>0</v>
      </c>
      <c r="NZ43" s="47">
        <v>0</v>
      </c>
      <c r="OA43" s="45"/>
      <c r="OB43" s="46">
        <v>0</v>
      </c>
      <c r="OC43" s="44">
        <v>0</v>
      </c>
      <c r="OD43" s="47">
        <v>0</v>
      </c>
      <c r="OE43" s="45"/>
      <c r="OF43" s="46">
        <v>0</v>
      </c>
      <c r="OG43" s="44">
        <v>0</v>
      </c>
      <c r="OH43" s="44">
        <v>0</v>
      </c>
      <c r="OI43" s="44">
        <v>0</v>
      </c>
      <c r="OJ43" s="47">
        <v>0</v>
      </c>
      <c r="OK43" s="45"/>
      <c r="OL43" s="44">
        <v>0</v>
      </c>
      <c r="OM43" s="43"/>
      <c r="ON43" s="44">
        <v>0</v>
      </c>
      <c r="OO43" s="44">
        <v>0</v>
      </c>
      <c r="OP43" s="47">
        <v>0</v>
      </c>
      <c r="OQ43" s="45"/>
      <c r="OR43" s="46">
        <v>0</v>
      </c>
      <c r="OS43" s="44">
        <v>0</v>
      </c>
      <c r="OT43" s="44">
        <v>0</v>
      </c>
      <c r="OU43" s="44">
        <v>0</v>
      </c>
      <c r="OV43" s="47">
        <v>0</v>
      </c>
      <c r="OW43" s="45"/>
      <c r="OX43" s="46">
        <v>0</v>
      </c>
      <c r="OY43" s="44">
        <v>0</v>
      </c>
      <c r="OZ43" s="44">
        <v>0</v>
      </c>
      <c r="PA43" s="44">
        <v>0</v>
      </c>
      <c r="PB43" s="47">
        <v>0</v>
      </c>
      <c r="PC43" s="45"/>
      <c r="PD43" s="46">
        <v>0</v>
      </c>
      <c r="PE43" s="44">
        <v>0</v>
      </c>
      <c r="PF43" s="44">
        <v>0</v>
      </c>
      <c r="PG43" s="44">
        <v>0</v>
      </c>
      <c r="PH43" s="47">
        <v>0</v>
      </c>
      <c r="PI43" s="45"/>
      <c r="PJ43" s="46">
        <v>0</v>
      </c>
      <c r="PK43" s="44">
        <v>0</v>
      </c>
      <c r="PL43" s="44">
        <v>0</v>
      </c>
      <c r="PM43" s="44">
        <v>0</v>
      </c>
      <c r="PN43" s="47">
        <v>0</v>
      </c>
      <c r="PO43" s="45"/>
      <c r="PP43" s="46">
        <v>0</v>
      </c>
      <c r="PQ43" s="44">
        <v>0</v>
      </c>
      <c r="PR43" s="44">
        <v>0</v>
      </c>
      <c r="PS43" s="44">
        <v>0</v>
      </c>
      <c r="PT43" s="47">
        <v>0</v>
      </c>
      <c r="PU43" s="45"/>
      <c r="PV43" s="46">
        <v>0</v>
      </c>
      <c r="PW43" s="44">
        <v>0</v>
      </c>
      <c r="PX43" s="47">
        <v>0</v>
      </c>
      <c r="PY43" s="45"/>
      <c r="PZ43" s="46">
        <v>0</v>
      </c>
      <c r="QA43" s="44">
        <v>0</v>
      </c>
      <c r="QB43" s="47">
        <v>0</v>
      </c>
      <c r="QC43" s="45"/>
      <c r="QD43" s="46">
        <v>0</v>
      </c>
      <c r="QE43" s="44">
        <v>0</v>
      </c>
      <c r="QF43" s="44">
        <v>0</v>
      </c>
      <c r="QG43" s="44">
        <v>0</v>
      </c>
      <c r="QH43" s="47">
        <v>0</v>
      </c>
      <c r="QI43" s="45"/>
      <c r="QJ43" s="46">
        <v>0</v>
      </c>
      <c r="QK43" s="44">
        <v>0</v>
      </c>
      <c r="QL43" s="47">
        <v>0</v>
      </c>
      <c r="QM43" s="45"/>
      <c r="QN43" s="46">
        <v>0</v>
      </c>
      <c r="QO43" s="44">
        <v>0</v>
      </c>
      <c r="QP43" s="44">
        <v>0</v>
      </c>
      <c r="QQ43" s="44">
        <v>0</v>
      </c>
      <c r="QR43" s="47">
        <v>0</v>
      </c>
      <c r="QS43" s="45"/>
      <c r="QT43" s="46">
        <v>0</v>
      </c>
      <c r="QU43" s="44">
        <v>0</v>
      </c>
      <c r="QV43" s="47">
        <v>0</v>
      </c>
      <c r="QW43" s="45"/>
      <c r="QX43" s="46">
        <v>0</v>
      </c>
      <c r="QY43" s="44">
        <v>0</v>
      </c>
      <c r="QZ43" s="44">
        <v>0</v>
      </c>
      <c r="RA43" s="44">
        <v>0</v>
      </c>
      <c r="RB43" s="47">
        <v>0</v>
      </c>
      <c r="RC43" s="45"/>
      <c r="RD43" s="42">
        <v>0</v>
      </c>
      <c r="RE43" s="44">
        <v>0</v>
      </c>
      <c r="RF43" s="44">
        <v>0</v>
      </c>
      <c r="RG43" s="44">
        <v>0</v>
      </c>
      <c r="RH43" s="47">
        <v>0</v>
      </c>
      <c r="RI43" s="45"/>
      <c r="RJ43" s="42">
        <v>0</v>
      </c>
      <c r="RK43" s="7">
        <v>150</v>
      </c>
      <c r="RL43" s="47">
        <v>0</v>
      </c>
      <c r="RM43" s="7">
        <v>150</v>
      </c>
      <c r="RN43" s="47">
        <v>-0.51499999999998636</v>
      </c>
      <c r="RO43" s="43"/>
      <c r="RP43" s="42">
        <v>0</v>
      </c>
      <c r="RQ43" s="7">
        <v>860</v>
      </c>
      <c r="RR43" s="47">
        <v>-5.6299999999999946</v>
      </c>
      <c r="RS43" s="43"/>
      <c r="RT43" s="42">
        <v>0</v>
      </c>
      <c r="RU43" s="7">
        <v>338</v>
      </c>
      <c r="RV43" s="47">
        <v>0</v>
      </c>
      <c r="RW43" s="7">
        <v>600</v>
      </c>
      <c r="RX43" s="47">
        <v>-7.77800000000002</v>
      </c>
      <c r="RY43" s="43"/>
      <c r="RZ43" s="42">
        <v>50.207999999999998</v>
      </c>
      <c r="SA43" s="47">
        <v>50</v>
      </c>
      <c r="SB43" s="47">
        <v>50.085999999999999</v>
      </c>
      <c r="SC43" s="47">
        <v>50</v>
      </c>
      <c r="SD43" s="47">
        <v>0.29399999999999687</v>
      </c>
      <c r="SE43" s="43"/>
      <c r="SF43" s="42">
        <v>0</v>
      </c>
      <c r="SG43" s="47">
        <v>0</v>
      </c>
      <c r="SH43" s="47">
        <v>442.49</v>
      </c>
      <c r="SI43" s="47">
        <v>0</v>
      </c>
      <c r="SJ43" s="47">
        <v>442.49</v>
      </c>
      <c r="SK43" s="43"/>
      <c r="SL43" s="42">
        <v>937.47299999999996</v>
      </c>
      <c r="SM43" s="47">
        <v>950</v>
      </c>
      <c r="SN43" s="50">
        <v>-12.52700000000004</v>
      </c>
      <c r="SO43" s="43">
        <v>12.52700000000004</v>
      </c>
      <c r="SP43" s="42">
        <v>0</v>
      </c>
      <c r="SQ43" s="47">
        <v>0</v>
      </c>
      <c r="SR43" s="47">
        <v>0</v>
      </c>
      <c r="SS43" s="47">
        <v>0</v>
      </c>
      <c r="ST43" s="47">
        <v>0</v>
      </c>
      <c r="SU43" s="43"/>
    </row>
    <row r="44" spans="1:515" x14ac:dyDescent="0.25">
      <c r="A44" s="47" t="s">
        <v>351</v>
      </c>
      <c r="B44" s="41">
        <v>0.36</v>
      </c>
      <c r="J44" s="42"/>
      <c r="K44" s="51"/>
      <c r="L44" s="51"/>
      <c r="M44" s="51"/>
      <c r="N44" s="51">
        <f t="shared" si="9"/>
        <v>0</v>
      </c>
      <c r="O44" s="43"/>
      <c r="P44" s="46"/>
      <c r="Q44" s="51"/>
      <c r="R44" s="51"/>
      <c r="S44" s="51"/>
      <c r="T44" s="51">
        <f t="shared" si="10"/>
        <v>0</v>
      </c>
      <c r="U44" s="43"/>
      <c r="V44" s="42"/>
      <c r="W44" s="51"/>
      <c r="X44" s="51"/>
      <c r="Y44" s="51"/>
      <c r="Z44" s="51">
        <f t="shared" si="11"/>
        <v>0</v>
      </c>
      <c r="AA44" s="43"/>
      <c r="AB44" s="42"/>
      <c r="AC44" s="51"/>
      <c r="AD44" s="51"/>
      <c r="AE44" s="51"/>
      <c r="AF44" s="51">
        <v>0</v>
      </c>
      <c r="AG44" s="43"/>
      <c r="AH44" s="51"/>
      <c r="AL44" s="47">
        <v>0</v>
      </c>
      <c r="AM44" s="43"/>
      <c r="AN44" s="42"/>
      <c r="AR44" s="47">
        <v>0</v>
      </c>
      <c r="AS44" s="43"/>
      <c r="AX44" s="47">
        <v>0</v>
      </c>
      <c r="AY44" s="43"/>
      <c r="BD44" s="47">
        <v>0</v>
      </c>
      <c r="BE44" s="43"/>
      <c r="BF44" s="42"/>
      <c r="BJ44" s="47">
        <v>0</v>
      </c>
      <c r="BK44" s="43"/>
      <c r="BL44" s="42"/>
      <c r="BP44" s="47">
        <v>0</v>
      </c>
      <c r="BQ44" s="43"/>
      <c r="BV44" s="47">
        <v>0</v>
      </c>
      <c r="BW44" s="43"/>
      <c r="BX44" s="42"/>
      <c r="CB44" s="47">
        <v>0</v>
      </c>
      <c r="CC44" s="43"/>
      <c r="CH44" s="47">
        <v>0</v>
      </c>
      <c r="CI44" s="43"/>
      <c r="CN44" s="47">
        <v>0</v>
      </c>
      <c r="CO44" s="43"/>
      <c r="CP44" s="42"/>
      <c r="CT44" s="47">
        <v>0</v>
      </c>
      <c r="CU44" s="43"/>
      <c r="CV44" s="42"/>
      <c r="CZ44" s="47">
        <v>0</v>
      </c>
      <c r="DA44" s="43"/>
      <c r="DG44" s="47">
        <v>0</v>
      </c>
      <c r="DH44" s="43"/>
      <c r="DK44" s="47">
        <v>0</v>
      </c>
      <c r="DL44" s="43"/>
      <c r="DM44" s="42"/>
      <c r="DQ44" s="47">
        <v>0</v>
      </c>
      <c r="DR44" s="43"/>
      <c r="DW44" s="47">
        <v>0</v>
      </c>
      <c r="DX44" s="43"/>
      <c r="EC44" s="47">
        <v>0</v>
      </c>
      <c r="ED44" s="43"/>
      <c r="EE44" s="42"/>
      <c r="EI44" s="47">
        <v>0</v>
      </c>
      <c r="EJ44" s="43"/>
      <c r="EO44" s="47">
        <v>0</v>
      </c>
      <c r="EP44" s="43"/>
      <c r="EQ44" s="42"/>
      <c r="EU44" s="47">
        <v>0</v>
      </c>
      <c r="EV44" s="43"/>
      <c r="EW44" s="42"/>
      <c r="FC44" s="47">
        <v>0</v>
      </c>
      <c r="FD44" s="43"/>
      <c r="FE44" s="42"/>
      <c r="FI44" s="47">
        <v>0</v>
      </c>
      <c r="FJ44" s="43"/>
      <c r="FQ44" s="47">
        <v>0</v>
      </c>
      <c r="FR44" s="43"/>
      <c r="FS44" s="42"/>
      <c r="FW44" s="47">
        <v>0</v>
      </c>
      <c r="FX44" s="43"/>
      <c r="FY44" s="42"/>
      <c r="GC44" s="47">
        <v>0</v>
      </c>
      <c r="GD44" s="43"/>
      <c r="GE44" s="42"/>
      <c r="GI44" s="47">
        <v>0</v>
      </c>
      <c r="GJ44" s="43"/>
      <c r="GQ44" s="47">
        <v>0</v>
      </c>
      <c r="GR44" s="43"/>
      <c r="GX44" s="47">
        <v>0</v>
      </c>
      <c r="GY44" s="43"/>
      <c r="GZ44" s="42"/>
      <c r="HC44" s="47">
        <v>0</v>
      </c>
      <c r="HD44" s="43"/>
      <c r="HE44" s="42"/>
      <c r="HH44" s="47">
        <v>0</v>
      </c>
      <c r="HI44" s="43"/>
      <c r="HN44" s="47">
        <v>0</v>
      </c>
      <c r="HO44" s="43"/>
      <c r="HP44" s="42"/>
      <c r="HU44" s="47">
        <v>0</v>
      </c>
      <c r="HV44" s="43"/>
      <c r="IA44" s="47">
        <v>0</v>
      </c>
      <c r="IB44" s="43"/>
      <c r="IC44" s="42"/>
      <c r="IG44" s="47">
        <v>0</v>
      </c>
      <c r="IH44" s="43"/>
      <c r="IM44" s="47">
        <v>0</v>
      </c>
      <c r="IN44" s="43"/>
      <c r="IO44" s="42"/>
      <c r="IQ44" s="47">
        <v>0</v>
      </c>
      <c r="IR44" s="43"/>
      <c r="IS44" s="42"/>
      <c r="IW44" s="47">
        <v>0</v>
      </c>
      <c r="IX44" s="43"/>
      <c r="IY44" s="42"/>
      <c r="JA44" s="47">
        <v>0</v>
      </c>
      <c r="JB44" s="43"/>
      <c r="JC44" s="42"/>
      <c r="JG44" s="47">
        <v>0</v>
      </c>
      <c r="JH44" s="43"/>
      <c r="JO44" s="47">
        <v>0</v>
      </c>
      <c r="JP44" s="43"/>
      <c r="JQ44" s="42"/>
      <c r="JU44" s="47">
        <v>0</v>
      </c>
      <c r="JV44" s="43"/>
      <c r="KA44" s="47">
        <v>0</v>
      </c>
      <c r="KB44" s="45"/>
      <c r="KG44" s="47">
        <v>0</v>
      </c>
      <c r="KH44" s="45"/>
      <c r="KM44" s="47">
        <v>0</v>
      </c>
      <c r="KN44" s="45"/>
      <c r="KS44" s="47">
        <v>0</v>
      </c>
      <c r="KT44" s="43"/>
      <c r="KW44" s="47">
        <v>0</v>
      </c>
      <c r="KX44" s="45"/>
      <c r="LC44" s="47">
        <v>0</v>
      </c>
      <c r="LD44" s="43"/>
      <c r="LE44" s="46"/>
      <c r="LG44" s="47">
        <v>0</v>
      </c>
      <c r="LH44" s="45"/>
      <c r="LM44" s="47">
        <v>0</v>
      </c>
      <c r="LN44" s="45"/>
      <c r="LS44" s="47">
        <v>0</v>
      </c>
      <c r="LT44" s="45"/>
      <c r="LY44" s="47">
        <v>0</v>
      </c>
      <c r="LZ44" s="45"/>
      <c r="ME44" s="47">
        <v>0</v>
      </c>
      <c r="MF44" s="45"/>
      <c r="MG44" s="46"/>
      <c r="MM44" s="47">
        <v>0</v>
      </c>
      <c r="MN44" s="45"/>
      <c r="MO44" s="44">
        <v>0</v>
      </c>
      <c r="MP44" s="44">
        <v>0</v>
      </c>
      <c r="MQ44" s="44">
        <v>0</v>
      </c>
      <c r="MR44" s="44">
        <v>0</v>
      </c>
      <c r="MS44" s="47">
        <v>0</v>
      </c>
      <c r="MT44" s="45"/>
      <c r="MU44" s="44">
        <v>0</v>
      </c>
      <c r="MV44" s="44">
        <v>0</v>
      </c>
      <c r="MW44" s="44">
        <v>0</v>
      </c>
      <c r="MX44" s="44">
        <v>0</v>
      </c>
      <c r="MY44" s="47">
        <v>0</v>
      </c>
      <c r="MZ44" s="45"/>
      <c r="NA44" s="46">
        <v>0</v>
      </c>
      <c r="NB44" s="44">
        <v>0</v>
      </c>
      <c r="NC44" s="47">
        <v>0</v>
      </c>
      <c r="ND44" s="45"/>
      <c r="NE44" s="46">
        <v>0</v>
      </c>
      <c r="NF44" s="44">
        <v>0</v>
      </c>
      <c r="NG44" s="44">
        <v>0</v>
      </c>
      <c r="NH44" s="44">
        <v>0</v>
      </c>
      <c r="NI44" s="44">
        <v>0</v>
      </c>
      <c r="NJ44" s="47">
        <v>0</v>
      </c>
      <c r="NK44" s="45"/>
      <c r="NL44" s="46">
        <v>0</v>
      </c>
      <c r="NM44" s="44">
        <v>0</v>
      </c>
      <c r="NN44" s="44">
        <v>0</v>
      </c>
      <c r="NO44" s="44">
        <v>0</v>
      </c>
      <c r="NP44" s="47">
        <v>0</v>
      </c>
      <c r="NQ44" s="45"/>
      <c r="NR44" s="46">
        <v>0</v>
      </c>
      <c r="NS44" s="44">
        <v>0</v>
      </c>
      <c r="NT44" s="47">
        <v>0</v>
      </c>
      <c r="NU44" s="45"/>
      <c r="NV44" s="46">
        <v>0</v>
      </c>
      <c r="NW44" s="44">
        <v>0</v>
      </c>
      <c r="NX44" s="44">
        <v>0</v>
      </c>
      <c r="NY44" s="44">
        <v>0</v>
      </c>
      <c r="NZ44" s="47">
        <v>0</v>
      </c>
      <c r="OA44" s="45"/>
      <c r="OB44" s="46">
        <v>0</v>
      </c>
      <c r="OC44" s="44">
        <v>0</v>
      </c>
      <c r="OD44" s="47">
        <v>0</v>
      </c>
      <c r="OE44" s="45"/>
      <c r="OF44" s="46">
        <v>0</v>
      </c>
      <c r="OG44" s="44">
        <v>0</v>
      </c>
      <c r="OH44" s="44">
        <v>0</v>
      </c>
      <c r="OI44" s="44">
        <v>0</v>
      </c>
      <c r="OJ44" s="47">
        <v>0</v>
      </c>
      <c r="OK44" s="45"/>
      <c r="OL44" s="44">
        <v>0</v>
      </c>
      <c r="OM44" s="43"/>
      <c r="ON44" s="44">
        <v>0</v>
      </c>
      <c r="OO44" s="44">
        <v>0</v>
      </c>
      <c r="OP44" s="47">
        <v>0</v>
      </c>
      <c r="OQ44" s="45"/>
      <c r="OR44" s="46">
        <v>0</v>
      </c>
      <c r="OS44" s="44">
        <v>0</v>
      </c>
      <c r="OT44" s="44">
        <v>0</v>
      </c>
      <c r="OU44" s="44">
        <v>0</v>
      </c>
      <c r="OV44" s="47">
        <v>0</v>
      </c>
      <c r="OW44" s="45"/>
      <c r="OX44" s="46">
        <v>0</v>
      </c>
      <c r="OY44" s="44">
        <v>0</v>
      </c>
      <c r="OZ44" s="44">
        <v>0</v>
      </c>
      <c r="PA44" s="44">
        <v>0</v>
      </c>
      <c r="PB44" s="47">
        <v>0</v>
      </c>
      <c r="PC44" s="45"/>
      <c r="PD44" s="46">
        <v>0</v>
      </c>
      <c r="PE44" s="44">
        <v>0</v>
      </c>
      <c r="PF44" s="44">
        <v>0</v>
      </c>
      <c r="PG44" s="44">
        <v>0</v>
      </c>
      <c r="PH44" s="47">
        <v>0</v>
      </c>
      <c r="PI44" s="45"/>
      <c r="PJ44" s="46">
        <v>0</v>
      </c>
      <c r="PK44" s="44">
        <v>0</v>
      </c>
      <c r="PL44" s="44">
        <v>0</v>
      </c>
      <c r="PM44" s="44">
        <v>0</v>
      </c>
      <c r="PN44" s="47">
        <v>0</v>
      </c>
      <c r="PO44" s="45"/>
      <c r="PP44" s="46">
        <v>0</v>
      </c>
      <c r="PQ44" s="44">
        <v>0</v>
      </c>
      <c r="PR44" s="44">
        <v>0</v>
      </c>
      <c r="PS44" s="44">
        <v>0</v>
      </c>
      <c r="PT44" s="47">
        <v>0</v>
      </c>
      <c r="PU44" s="45"/>
      <c r="PV44" s="46">
        <v>0</v>
      </c>
      <c r="PW44" s="44">
        <v>0</v>
      </c>
      <c r="PX44" s="47">
        <v>0</v>
      </c>
      <c r="PY44" s="45"/>
      <c r="PZ44" s="46">
        <v>0</v>
      </c>
      <c r="QA44" s="44">
        <v>0</v>
      </c>
      <c r="QB44" s="47">
        <v>0</v>
      </c>
      <c r="QC44" s="45"/>
      <c r="QD44" s="46">
        <v>0</v>
      </c>
      <c r="QE44" s="44">
        <v>0</v>
      </c>
      <c r="QF44" s="44">
        <v>0</v>
      </c>
      <c r="QG44" s="44">
        <v>0</v>
      </c>
      <c r="QH44" s="47">
        <v>0</v>
      </c>
      <c r="QI44" s="45"/>
      <c r="QJ44" s="46">
        <v>0</v>
      </c>
      <c r="QK44" s="44">
        <v>0</v>
      </c>
      <c r="QL44" s="47">
        <v>0</v>
      </c>
      <c r="QM44" s="45"/>
      <c r="QN44" s="46">
        <v>0</v>
      </c>
      <c r="QO44" s="44">
        <v>0</v>
      </c>
      <c r="QP44" s="44">
        <v>0</v>
      </c>
      <c r="QQ44" s="44">
        <v>0</v>
      </c>
      <c r="QR44" s="47">
        <v>0</v>
      </c>
      <c r="QS44" s="45"/>
      <c r="QT44" s="46">
        <v>0</v>
      </c>
      <c r="QU44" s="44">
        <v>0</v>
      </c>
      <c r="QV44" s="47">
        <v>0</v>
      </c>
      <c r="QW44" s="45"/>
      <c r="QX44" s="46">
        <v>0</v>
      </c>
      <c r="QY44" s="44">
        <v>0</v>
      </c>
      <c r="QZ44" s="44">
        <v>0</v>
      </c>
      <c r="RA44" s="33">
        <v>50</v>
      </c>
      <c r="RB44" s="50">
        <v>-50</v>
      </c>
      <c r="RC44" s="45">
        <v>18</v>
      </c>
      <c r="RD44" s="42">
        <v>0</v>
      </c>
      <c r="RE44" s="44">
        <v>0</v>
      </c>
      <c r="RF44" s="44">
        <v>0</v>
      </c>
      <c r="RG44" s="33">
        <v>130</v>
      </c>
      <c r="RH44" s="50">
        <v>-130</v>
      </c>
      <c r="RI44" s="45">
        <v>46.8</v>
      </c>
      <c r="RJ44" s="42">
        <v>100</v>
      </c>
      <c r="RK44" s="47">
        <v>100</v>
      </c>
      <c r="RL44" s="47">
        <v>150</v>
      </c>
      <c r="RM44" s="47">
        <v>150</v>
      </c>
      <c r="RN44" s="47">
        <v>0</v>
      </c>
      <c r="RO44" s="43"/>
      <c r="RP44" s="42">
        <v>40</v>
      </c>
      <c r="RQ44" s="47">
        <v>40</v>
      </c>
      <c r="RR44" s="47">
        <v>0</v>
      </c>
      <c r="RS44" s="43"/>
      <c r="RT44" s="42">
        <v>100</v>
      </c>
      <c r="RU44" s="47">
        <v>100</v>
      </c>
      <c r="RV44" s="47">
        <v>100</v>
      </c>
      <c r="RW44" s="47">
        <v>100</v>
      </c>
      <c r="RX44" s="47">
        <v>0</v>
      </c>
      <c r="RY44" s="43"/>
      <c r="RZ44" s="42">
        <v>50</v>
      </c>
      <c r="SA44" s="47">
        <v>50</v>
      </c>
      <c r="SB44" s="47">
        <v>70</v>
      </c>
      <c r="SC44" s="47">
        <v>70</v>
      </c>
      <c r="SD44" s="47">
        <v>0</v>
      </c>
      <c r="SE44" s="43"/>
      <c r="SF44" s="42">
        <v>40</v>
      </c>
      <c r="SG44" s="47">
        <v>42</v>
      </c>
      <c r="SH44" s="47">
        <v>0</v>
      </c>
      <c r="SI44" s="47">
        <v>50</v>
      </c>
      <c r="SJ44" s="50">
        <v>-52</v>
      </c>
      <c r="SK44" s="43">
        <v>18.72</v>
      </c>
      <c r="SL44" s="42">
        <v>0</v>
      </c>
      <c r="SM44" s="47">
        <v>0</v>
      </c>
      <c r="SN44" s="47">
        <v>0</v>
      </c>
      <c r="SO44" s="43"/>
      <c r="SP44" s="42">
        <v>0</v>
      </c>
      <c r="SQ44" s="47">
        <v>0</v>
      </c>
      <c r="SR44" s="47">
        <v>190</v>
      </c>
      <c r="SS44" s="47">
        <v>300</v>
      </c>
      <c r="ST44" s="50">
        <v>-110</v>
      </c>
      <c r="SU44" s="43">
        <v>39.6</v>
      </c>
    </row>
    <row r="45" spans="1:515" x14ac:dyDescent="0.25">
      <c r="A45" s="47" t="s">
        <v>352</v>
      </c>
      <c r="B45" s="41">
        <v>0.3</v>
      </c>
      <c r="J45" s="42"/>
      <c r="K45" s="51"/>
      <c r="L45" s="51"/>
      <c r="M45" s="51"/>
      <c r="N45" s="51">
        <f t="shared" si="9"/>
        <v>0</v>
      </c>
      <c r="O45" s="43"/>
      <c r="P45" s="46"/>
      <c r="Q45" s="51"/>
      <c r="R45" s="51"/>
      <c r="S45" s="51"/>
      <c r="T45" s="51">
        <f t="shared" si="10"/>
        <v>0</v>
      </c>
      <c r="U45" s="43"/>
      <c r="V45" s="42"/>
      <c r="W45" s="51"/>
      <c r="X45" s="51"/>
      <c r="Y45" s="51"/>
      <c r="Z45" s="51">
        <f t="shared" si="11"/>
        <v>0</v>
      </c>
      <c r="AA45" s="43"/>
      <c r="AB45" s="42"/>
      <c r="AC45" s="51"/>
      <c r="AD45" s="51"/>
      <c r="AE45" s="51"/>
      <c r="AF45" s="51">
        <v>0</v>
      </c>
      <c r="AG45" s="43"/>
      <c r="AH45" s="51"/>
      <c r="AL45" s="47">
        <v>0</v>
      </c>
      <c r="AM45" s="43"/>
      <c r="AN45" s="42"/>
      <c r="AR45" s="47">
        <v>0</v>
      </c>
      <c r="AS45" s="43"/>
      <c r="AX45" s="47">
        <v>0</v>
      </c>
      <c r="AY45" s="43"/>
      <c r="BD45" s="47">
        <v>0</v>
      </c>
      <c r="BE45" s="43"/>
      <c r="BF45" s="42"/>
      <c r="BJ45" s="47">
        <v>0</v>
      </c>
      <c r="BK45" s="43"/>
      <c r="BL45" s="42"/>
      <c r="BP45" s="47">
        <v>0</v>
      </c>
      <c r="BQ45" s="43"/>
      <c r="BV45" s="47">
        <v>0</v>
      </c>
      <c r="BW45" s="43"/>
      <c r="BX45" s="42"/>
      <c r="CB45" s="47">
        <v>0</v>
      </c>
      <c r="CC45" s="43"/>
      <c r="CH45" s="47">
        <v>0</v>
      </c>
      <c r="CI45" s="43"/>
      <c r="CN45" s="47">
        <v>0</v>
      </c>
      <c r="CO45" s="43"/>
      <c r="CP45" s="42"/>
      <c r="CT45" s="47">
        <v>0</v>
      </c>
      <c r="CU45" s="43"/>
      <c r="CV45" s="42"/>
      <c r="CZ45" s="47">
        <v>0</v>
      </c>
      <c r="DA45" s="43"/>
      <c r="DG45" s="47">
        <v>0</v>
      </c>
      <c r="DH45" s="43"/>
      <c r="DK45" s="47">
        <v>0</v>
      </c>
      <c r="DL45" s="43"/>
      <c r="DM45" s="42"/>
      <c r="DQ45" s="47">
        <v>0</v>
      </c>
      <c r="DR45" s="43"/>
      <c r="DW45" s="47">
        <v>0</v>
      </c>
      <c r="DX45" s="43"/>
      <c r="EC45" s="47">
        <v>0</v>
      </c>
      <c r="ED45" s="43"/>
      <c r="EE45" s="42"/>
      <c r="EI45" s="47">
        <v>0</v>
      </c>
      <c r="EJ45" s="43"/>
      <c r="EO45" s="47">
        <v>0</v>
      </c>
      <c r="EP45" s="43"/>
      <c r="EQ45" s="42"/>
      <c r="EU45" s="47">
        <v>0</v>
      </c>
      <c r="EV45" s="43"/>
      <c r="EW45" s="42"/>
      <c r="FC45" s="47">
        <v>0</v>
      </c>
      <c r="FD45" s="43"/>
      <c r="FE45" s="42"/>
      <c r="FI45" s="47">
        <v>0</v>
      </c>
      <c r="FJ45" s="43"/>
      <c r="FQ45" s="47">
        <v>0</v>
      </c>
      <c r="FR45" s="43"/>
      <c r="FS45" s="42"/>
      <c r="FW45" s="47">
        <v>0</v>
      </c>
      <c r="FX45" s="43"/>
      <c r="FY45" s="42"/>
      <c r="GC45" s="47">
        <v>0</v>
      </c>
      <c r="GD45" s="43"/>
      <c r="GE45" s="42"/>
      <c r="GI45" s="47">
        <v>0</v>
      </c>
      <c r="GJ45" s="43"/>
      <c r="GQ45" s="47">
        <v>0</v>
      </c>
      <c r="GR45" s="43"/>
      <c r="GX45" s="47">
        <v>0</v>
      </c>
      <c r="GY45" s="43"/>
      <c r="GZ45" s="42"/>
      <c r="HC45" s="47">
        <v>0</v>
      </c>
      <c r="HD45" s="43"/>
      <c r="HE45" s="42"/>
      <c r="HH45" s="47">
        <v>0</v>
      </c>
      <c r="HI45" s="43"/>
      <c r="HN45" s="47">
        <v>0</v>
      </c>
      <c r="HO45" s="43"/>
      <c r="HP45" s="42"/>
      <c r="HU45" s="47">
        <v>0</v>
      </c>
      <c r="HV45" s="43"/>
      <c r="IA45" s="47">
        <v>0</v>
      </c>
      <c r="IB45" s="43"/>
      <c r="IC45" s="42"/>
      <c r="IG45" s="47">
        <v>0</v>
      </c>
      <c r="IH45" s="43"/>
      <c r="IM45" s="47">
        <v>0</v>
      </c>
      <c r="IN45" s="43"/>
      <c r="IO45" s="42"/>
      <c r="IQ45" s="47">
        <v>0</v>
      </c>
      <c r="IR45" s="43"/>
      <c r="IS45" s="42"/>
      <c r="IW45" s="47">
        <v>0</v>
      </c>
      <c r="IX45" s="43"/>
      <c r="IY45" s="42"/>
      <c r="JA45" s="47">
        <v>0</v>
      </c>
      <c r="JB45" s="43"/>
      <c r="JC45" s="42"/>
      <c r="JG45" s="47">
        <v>0</v>
      </c>
      <c r="JH45" s="43"/>
      <c r="JO45" s="47">
        <v>0</v>
      </c>
      <c r="JP45" s="43"/>
      <c r="JQ45" s="42"/>
      <c r="JU45" s="47">
        <v>0</v>
      </c>
      <c r="JV45" s="43"/>
      <c r="KA45" s="47">
        <v>0</v>
      </c>
      <c r="KB45" s="45"/>
      <c r="KG45" s="47">
        <v>0</v>
      </c>
      <c r="KH45" s="45"/>
      <c r="KK45">
        <v>702</v>
      </c>
      <c r="KL45">
        <v>700</v>
      </c>
      <c r="KM45" s="47">
        <v>2</v>
      </c>
      <c r="KN45" s="45"/>
      <c r="KS45" s="47">
        <v>0</v>
      </c>
      <c r="KT45" s="43"/>
      <c r="KW45" s="47">
        <v>0</v>
      </c>
      <c r="KX45" s="45"/>
      <c r="KY45">
        <v>600</v>
      </c>
      <c r="KZ45">
        <v>600</v>
      </c>
      <c r="LC45" s="47">
        <v>0</v>
      </c>
      <c r="LD45" s="43"/>
      <c r="LE45" s="40">
        <v>450</v>
      </c>
      <c r="LF45" s="44">
        <v>450</v>
      </c>
      <c r="LG45" s="47">
        <v>0</v>
      </c>
      <c r="LH45" s="45"/>
      <c r="LM45" s="47">
        <v>0</v>
      </c>
      <c r="LN45" s="45"/>
      <c r="LS45" s="47">
        <v>0</v>
      </c>
      <c r="LT45" s="45"/>
      <c r="LU45">
        <v>48</v>
      </c>
      <c r="LV45">
        <v>50</v>
      </c>
      <c r="LW45">
        <v>102</v>
      </c>
      <c r="LX45">
        <v>100</v>
      </c>
      <c r="LY45" s="47">
        <v>0</v>
      </c>
      <c r="LZ45" s="45"/>
      <c r="MA45">
        <v>150</v>
      </c>
      <c r="MB45">
        <v>150</v>
      </c>
      <c r="MC45">
        <v>360</v>
      </c>
      <c r="MD45">
        <v>360</v>
      </c>
      <c r="ME45" s="47">
        <v>0</v>
      </c>
      <c r="MF45" s="45"/>
      <c r="MG45" s="46"/>
      <c r="MM45" s="47">
        <v>0</v>
      </c>
      <c r="MN45" s="45"/>
      <c r="MO45" s="44">
        <v>0</v>
      </c>
      <c r="MP45" s="44">
        <v>0</v>
      </c>
      <c r="MQ45" s="44">
        <v>48</v>
      </c>
      <c r="MR45" s="44">
        <v>50</v>
      </c>
      <c r="MS45" s="47">
        <v>-2</v>
      </c>
      <c r="MT45" s="45"/>
      <c r="MU45" s="44">
        <v>150</v>
      </c>
      <c r="MV45" s="44">
        <v>150</v>
      </c>
      <c r="MW45" s="44">
        <v>198</v>
      </c>
      <c r="MX45" s="44">
        <v>200</v>
      </c>
      <c r="MY45" s="47">
        <v>-2</v>
      </c>
      <c r="MZ45" s="45"/>
      <c r="NA45" s="46">
        <v>60</v>
      </c>
      <c r="NB45" s="44">
        <v>60</v>
      </c>
      <c r="NC45" s="47">
        <v>0</v>
      </c>
      <c r="ND45" s="45"/>
      <c r="NE45" s="46">
        <v>594</v>
      </c>
      <c r="NF45" s="44">
        <v>600</v>
      </c>
      <c r="NG45" s="44">
        <v>300</v>
      </c>
      <c r="NH45" s="44">
        <v>0</v>
      </c>
      <c r="NI45" s="44">
        <v>300</v>
      </c>
      <c r="NJ45" s="47">
        <v>-6</v>
      </c>
      <c r="NK45" s="45"/>
      <c r="NL45" s="46">
        <v>156</v>
      </c>
      <c r="NM45" s="44">
        <v>150</v>
      </c>
      <c r="NN45" s="44">
        <v>150</v>
      </c>
      <c r="NO45" s="44">
        <v>150</v>
      </c>
      <c r="NP45" s="47">
        <v>6</v>
      </c>
      <c r="NQ45" s="45"/>
      <c r="NR45" s="46">
        <v>0</v>
      </c>
      <c r="NS45" s="44">
        <v>0</v>
      </c>
      <c r="NT45" s="47">
        <v>0</v>
      </c>
      <c r="NU45" s="45"/>
      <c r="NV45" s="46">
        <v>0</v>
      </c>
      <c r="NW45" s="44">
        <v>0</v>
      </c>
      <c r="NX45" s="44">
        <v>42</v>
      </c>
      <c r="NY45" s="44">
        <v>40</v>
      </c>
      <c r="NZ45" s="47">
        <v>2</v>
      </c>
      <c r="OA45" s="45"/>
      <c r="OB45" s="46">
        <v>198</v>
      </c>
      <c r="OC45" s="44">
        <v>200</v>
      </c>
      <c r="OD45" s="47">
        <v>-2</v>
      </c>
      <c r="OE45" s="45"/>
      <c r="OF45" s="46">
        <v>0</v>
      </c>
      <c r="OG45" s="44">
        <v>0</v>
      </c>
      <c r="OH45" s="44">
        <v>0</v>
      </c>
      <c r="OI45" s="44">
        <v>0</v>
      </c>
      <c r="OJ45" s="47">
        <v>0</v>
      </c>
      <c r="OK45" s="45"/>
      <c r="OL45" s="44">
        <v>0</v>
      </c>
      <c r="OM45" s="43"/>
      <c r="ON45" s="44">
        <v>0</v>
      </c>
      <c r="OO45" s="44">
        <v>0</v>
      </c>
      <c r="OP45" s="47">
        <v>0</v>
      </c>
      <c r="OQ45" s="45"/>
      <c r="OR45" s="46">
        <v>0</v>
      </c>
      <c r="OS45" s="44">
        <v>0</v>
      </c>
      <c r="OT45" s="44">
        <v>0</v>
      </c>
      <c r="OU45" s="44">
        <v>0</v>
      </c>
      <c r="OV45" s="47">
        <v>0</v>
      </c>
      <c r="OW45" s="45"/>
      <c r="OX45" s="46">
        <v>150</v>
      </c>
      <c r="OY45" s="44">
        <v>20</v>
      </c>
      <c r="OZ45" s="44">
        <v>0</v>
      </c>
      <c r="PA45" s="44">
        <v>0</v>
      </c>
      <c r="PB45" s="47">
        <v>130</v>
      </c>
      <c r="PC45" s="45"/>
      <c r="PD45" s="46">
        <v>102</v>
      </c>
      <c r="PE45" s="44">
        <v>100</v>
      </c>
      <c r="PF45" s="44">
        <v>198</v>
      </c>
      <c r="PG45" s="44">
        <v>200</v>
      </c>
      <c r="PH45" s="47">
        <v>0</v>
      </c>
      <c r="PI45" s="45"/>
      <c r="PJ45" s="25">
        <v>48</v>
      </c>
      <c r="PK45" s="44">
        <v>0</v>
      </c>
      <c r="PL45" s="44">
        <v>42</v>
      </c>
      <c r="PM45" s="44">
        <v>40</v>
      </c>
      <c r="PN45" s="47">
        <v>50</v>
      </c>
      <c r="PO45" s="45"/>
      <c r="PP45" s="46">
        <v>0</v>
      </c>
      <c r="PQ45" s="44">
        <v>0</v>
      </c>
      <c r="PR45" s="44">
        <v>18</v>
      </c>
      <c r="PS45" s="44">
        <v>20</v>
      </c>
      <c r="PT45" s="47">
        <v>-2</v>
      </c>
      <c r="PU45" s="45"/>
      <c r="PV45" s="46">
        <v>204</v>
      </c>
      <c r="PW45" s="44">
        <v>100</v>
      </c>
      <c r="PX45" s="47">
        <v>104</v>
      </c>
      <c r="PY45" s="45"/>
      <c r="PZ45" s="46">
        <v>0</v>
      </c>
      <c r="QA45" s="44">
        <v>0</v>
      </c>
      <c r="QB45" s="47">
        <v>0</v>
      </c>
      <c r="QC45" s="45"/>
      <c r="QD45" s="46">
        <v>0</v>
      </c>
      <c r="QE45" s="44">
        <v>0</v>
      </c>
      <c r="QF45" s="44">
        <v>48</v>
      </c>
      <c r="QG45" s="44">
        <v>50</v>
      </c>
      <c r="QH45" s="47">
        <v>-2</v>
      </c>
      <c r="QI45" s="45"/>
      <c r="QJ45" s="46">
        <v>0</v>
      </c>
      <c r="QK45" s="44">
        <v>0</v>
      </c>
      <c r="QL45" s="47">
        <v>0</v>
      </c>
      <c r="QM45" s="45"/>
      <c r="QN45" s="46">
        <v>0</v>
      </c>
      <c r="QO45" s="44">
        <v>0</v>
      </c>
      <c r="QP45" s="44">
        <v>0</v>
      </c>
      <c r="QQ45" s="44">
        <v>0</v>
      </c>
      <c r="QR45" s="47">
        <v>0</v>
      </c>
      <c r="QS45" s="45"/>
      <c r="QT45" s="46">
        <v>60</v>
      </c>
      <c r="QU45" s="44">
        <v>61</v>
      </c>
      <c r="QV45" s="47">
        <v>-1</v>
      </c>
      <c r="QW45" s="45"/>
      <c r="QX45" s="46">
        <v>0</v>
      </c>
      <c r="QY45" s="44">
        <v>0</v>
      </c>
      <c r="QZ45" s="44">
        <v>0</v>
      </c>
      <c r="RA45" s="44">
        <v>0</v>
      </c>
      <c r="RB45" s="47">
        <v>0</v>
      </c>
      <c r="RC45" s="45"/>
      <c r="RD45" s="42">
        <v>0</v>
      </c>
      <c r="RE45" s="44">
        <v>0</v>
      </c>
      <c r="RF45" s="44">
        <v>0</v>
      </c>
      <c r="RG45" s="44">
        <v>0</v>
      </c>
      <c r="RH45" s="47">
        <v>0</v>
      </c>
      <c r="RI45" s="45"/>
      <c r="RJ45" s="42">
        <v>0</v>
      </c>
      <c r="RK45" s="47">
        <v>0</v>
      </c>
      <c r="RL45" s="47">
        <v>0</v>
      </c>
      <c r="RM45" s="47">
        <v>0</v>
      </c>
      <c r="RN45" s="47">
        <v>0</v>
      </c>
      <c r="RO45" s="43"/>
      <c r="RP45" s="8">
        <v>72</v>
      </c>
      <c r="RQ45" s="47">
        <v>0</v>
      </c>
      <c r="RR45" s="47">
        <v>0</v>
      </c>
      <c r="RS45" s="43"/>
      <c r="RT45" s="42">
        <v>0</v>
      </c>
      <c r="RU45" s="47">
        <v>0</v>
      </c>
      <c r="RV45" s="47">
        <v>0</v>
      </c>
      <c r="RW45" s="47">
        <v>0</v>
      </c>
      <c r="RX45" s="47">
        <v>0</v>
      </c>
      <c r="RY45" s="43"/>
      <c r="RZ45" s="42">
        <v>0</v>
      </c>
      <c r="SA45" s="47">
        <v>0</v>
      </c>
      <c r="SB45" s="47">
        <v>0</v>
      </c>
      <c r="SC45" s="47">
        <v>0</v>
      </c>
      <c r="SD45" s="47">
        <v>0</v>
      </c>
      <c r="SE45" s="43"/>
      <c r="SF45" s="42">
        <v>0</v>
      </c>
      <c r="SG45" s="47">
        <v>0</v>
      </c>
      <c r="SH45" s="47">
        <v>0</v>
      </c>
      <c r="SI45" s="47">
        <v>0</v>
      </c>
      <c r="SJ45" s="47">
        <v>0</v>
      </c>
      <c r="SK45" s="43"/>
      <c r="SL45" s="42">
        <v>0</v>
      </c>
      <c r="SM45" s="47">
        <v>0</v>
      </c>
      <c r="SN45" s="47">
        <v>0</v>
      </c>
      <c r="SO45" s="43"/>
      <c r="SP45" s="42">
        <v>0</v>
      </c>
      <c r="SQ45" s="47">
        <v>0</v>
      </c>
      <c r="SR45" s="47">
        <v>0</v>
      </c>
      <c r="SS45" s="47">
        <v>0</v>
      </c>
      <c r="ST45" s="47">
        <v>0</v>
      </c>
      <c r="SU45" s="43"/>
    </row>
    <row r="46" spans="1:515" x14ac:dyDescent="0.25">
      <c r="A46" s="47" t="s">
        <v>353</v>
      </c>
      <c r="B46" s="41">
        <v>0.15</v>
      </c>
      <c r="E46">
        <v>30</v>
      </c>
      <c r="F46">
        <v>20</v>
      </c>
      <c r="G46">
        <v>20</v>
      </c>
      <c r="J46" s="42"/>
      <c r="K46" s="51"/>
      <c r="L46" s="51"/>
      <c r="M46" s="51"/>
      <c r="N46" s="51">
        <f t="shared" si="9"/>
        <v>0</v>
      </c>
      <c r="O46" s="43"/>
      <c r="P46" s="46"/>
      <c r="Q46" s="51"/>
      <c r="R46" s="52">
        <v>10</v>
      </c>
      <c r="S46" s="52">
        <v>10</v>
      </c>
      <c r="T46" s="51">
        <f t="shared" si="10"/>
        <v>0</v>
      </c>
      <c r="U46" s="43"/>
      <c r="V46" s="42"/>
      <c r="W46" s="51"/>
      <c r="X46" s="51"/>
      <c r="Y46" s="51"/>
      <c r="Z46" s="51">
        <f t="shared" si="11"/>
        <v>0</v>
      </c>
      <c r="AA46" s="43"/>
      <c r="AB46" s="42"/>
      <c r="AC46" s="51"/>
      <c r="AD46" s="52">
        <v>10</v>
      </c>
      <c r="AE46" s="56">
        <v>15</v>
      </c>
      <c r="AF46" s="51">
        <v>-5</v>
      </c>
      <c r="AG46" s="43"/>
      <c r="AH46" s="52">
        <v>10</v>
      </c>
      <c r="AI46">
        <v>19</v>
      </c>
      <c r="AL46" s="47">
        <v>-9</v>
      </c>
      <c r="AM46" s="43"/>
      <c r="AN46" s="42"/>
      <c r="AR46" s="47">
        <v>0</v>
      </c>
      <c r="AS46" s="43"/>
      <c r="AV46">
        <v>70</v>
      </c>
      <c r="AW46">
        <v>70</v>
      </c>
      <c r="AX46" s="47">
        <v>0</v>
      </c>
      <c r="AY46" s="43"/>
      <c r="AZ46">
        <v>20</v>
      </c>
      <c r="BA46">
        <v>20</v>
      </c>
      <c r="BB46">
        <v>50</v>
      </c>
      <c r="BC46">
        <v>51</v>
      </c>
      <c r="BD46" s="47">
        <v>-1</v>
      </c>
      <c r="BE46" s="43"/>
      <c r="BF46" s="42"/>
      <c r="BH46">
        <v>30</v>
      </c>
      <c r="BI46">
        <v>29</v>
      </c>
      <c r="BJ46" s="47">
        <v>1</v>
      </c>
      <c r="BK46" s="43"/>
      <c r="BL46" s="42"/>
      <c r="BP46" s="47">
        <v>0</v>
      </c>
      <c r="BQ46" s="43"/>
      <c r="BV46" s="47">
        <v>0</v>
      </c>
      <c r="BW46" s="43"/>
      <c r="BX46" s="40">
        <v>20</v>
      </c>
      <c r="BY46" s="47">
        <v>20</v>
      </c>
      <c r="CB46" s="47">
        <v>0</v>
      </c>
      <c r="CC46" s="43"/>
      <c r="CF46">
        <v>70</v>
      </c>
      <c r="CH46" s="47">
        <v>70</v>
      </c>
      <c r="CI46" s="43"/>
      <c r="CN46" s="47">
        <v>0</v>
      </c>
      <c r="CO46" s="43"/>
      <c r="CP46" s="42"/>
      <c r="CT46" s="47">
        <v>0</v>
      </c>
      <c r="CU46" s="43"/>
      <c r="CV46" s="42"/>
      <c r="CZ46" s="47">
        <v>0</v>
      </c>
      <c r="DA46" s="43"/>
      <c r="DH46" s="43"/>
      <c r="DL46" s="43"/>
      <c r="DM46" s="42"/>
      <c r="DR46" s="43"/>
      <c r="DX46" s="43"/>
      <c r="ED46" s="43"/>
      <c r="EE46" s="42"/>
      <c r="EJ46" s="43"/>
      <c r="EP46" s="43"/>
      <c r="EQ46" s="42"/>
      <c r="EV46" s="43"/>
      <c r="EW46" s="42"/>
      <c r="FD46" s="43"/>
      <c r="FE46" s="42"/>
      <c r="FJ46" s="43"/>
      <c r="FR46" s="43"/>
      <c r="FS46" s="42"/>
      <c r="FX46" s="43"/>
      <c r="FY46" s="42"/>
      <c r="GD46" s="43"/>
      <c r="GE46" s="42"/>
      <c r="GJ46" s="43"/>
      <c r="GR46" s="43"/>
      <c r="GY46" s="43"/>
      <c r="GZ46" s="42"/>
      <c r="HD46" s="43"/>
      <c r="HE46" s="42"/>
      <c r="HI46" s="43"/>
      <c r="HO46" s="43"/>
      <c r="HP46" s="42"/>
      <c r="HV46" s="43"/>
      <c r="IB46" s="43"/>
      <c r="IC46" s="42"/>
      <c r="IH46" s="43"/>
      <c r="IN46" s="43"/>
      <c r="IO46" s="42"/>
      <c r="IR46" s="43"/>
      <c r="IS46" s="42"/>
      <c r="IX46" s="43"/>
      <c r="IY46" s="42"/>
      <c r="JB46" s="43"/>
      <c r="JC46" s="42"/>
      <c r="JH46" s="43"/>
      <c r="JP46" s="43"/>
      <c r="JQ46" s="42"/>
      <c r="JV46" s="43"/>
      <c r="KB46" s="45"/>
      <c r="KH46" s="45"/>
      <c r="KI46" s="44"/>
      <c r="KJ46" s="44"/>
      <c r="KN46" s="45"/>
      <c r="KT46" s="43"/>
      <c r="KX46" s="45"/>
      <c r="LD46" s="43"/>
      <c r="LE46" s="40"/>
      <c r="LF46" s="44"/>
      <c r="LH46" s="45"/>
      <c r="LN46" s="45"/>
      <c r="LT46" s="45"/>
      <c r="LZ46" s="45"/>
      <c r="MF46" s="45"/>
      <c r="MG46" s="46"/>
      <c r="MN46" s="45"/>
      <c r="MO46" s="44"/>
      <c r="MP46" s="44"/>
      <c r="MQ46" s="44"/>
      <c r="MR46" s="44"/>
      <c r="MT46" s="45"/>
      <c r="MU46" s="44"/>
      <c r="MV46" s="44"/>
      <c r="MW46" s="44"/>
      <c r="MX46" s="44"/>
      <c r="MZ46" s="45"/>
      <c r="NA46" s="46"/>
      <c r="NB46" s="44"/>
      <c r="ND46" s="45"/>
      <c r="NE46" s="46"/>
      <c r="NF46" s="44"/>
      <c r="NG46" s="44"/>
      <c r="NH46" s="44"/>
      <c r="NI46" s="44"/>
      <c r="NK46" s="45"/>
      <c r="NL46" s="46"/>
      <c r="NM46" s="44"/>
      <c r="NN46" s="44"/>
      <c r="NO46" s="44"/>
      <c r="NQ46" s="45"/>
      <c r="NR46" s="46"/>
      <c r="NS46" s="44"/>
      <c r="NU46" s="45"/>
      <c r="NV46" s="46"/>
      <c r="NW46" s="44"/>
      <c r="NX46" s="44"/>
      <c r="NY46" s="44"/>
      <c r="OA46" s="45"/>
      <c r="OB46" s="46"/>
      <c r="OC46" s="44"/>
      <c r="OE46" s="45"/>
      <c r="OF46" s="46"/>
      <c r="OG46" s="44"/>
      <c r="OH46" s="44"/>
      <c r="OI46" s="44"/>
      <c r="OK46" s="45"/>
      <c r="OL46" s="44"/>
      <c r="OM46" s="43"/>
      <c r="ON46" s="44"/>
      <c r="OO46" s="44"/>
      <c r="OQ46" s="45"/>
      <c r="OR46" s="46"/>
      <c r="OS46" s="44"/>
      <c r="OT46" s="44"/>
      <c r="OU46" s="44"/>
      <c r="OW46" s="45"/>
      <c r="OX46" s="46"/>
      <c r="OY46" s="44"/>
      <c r="OZ46" s="44"/>
      <c r="PA46" s="44"/>
      <c r="PC46" s="45"/>
      <c r="PD46" s="46"/>
      <c r="PE46" s="44"/>
      <c r="PF46" s="44"/>
      <c r="PG46" s="44"/>
      <c r="PI46" s="45"/>
      <c r="PJ46" s="46"/>
      <c r="PK46" s="44"/>
      <c r="PL46" s="44"/>
      <c r="PM46" s="44"/>
      <c r="PO46" s="45"/>
      <c r="PP46" s="46"/>
      <c r="PQ46" s="44"/>
      <c r="PR46" s="44"/>
      <c r="PS46" s="44"/>
      <c r="PU46" s="45"/>
      <c r="PV46" s="46"/>
      <c r="PW46" s="44"/>
      <c r="PY46" s="45"/>
      <c r="PZ46" s="46"/>
      <c r="QA46" s="44"/>
      <c r="QC46" s="45"/>
      <c r="QD46" s="46"/>
      <c r="QE46" s="44"/>
      <c r="QF46" s="44"/>
      <c r="QG46" s="44"/>
      <c r="QI46" s="45"/>
      <c r="QJ46" s="46"/>
      <c r="QK46" s="44"/>
      <c r="QM46" s="45"/>
      <c r="QN46" s="46"/>
      <c r="QO46" s="44"/>
      <c r="QP46" s="44"/>
      <c r="QQ46" s="44"/>
      <c r="QS46" s="45"/>
      <c r="QT46" s="46"/>
      <c r="QU46" s="44"/>
      <c r="QW46" s="45"/>
      <c r="QX46" s="46"/>
      <c r="QY46" s="44"/>
      <c r="QZ46" s="44"/>
      <c r="RA46" s="44"/>
      <c r="RC46" s="45"/>
      <c r="RD46" s="42"/>
      <c r="RE46" s="44"/>
      <c r="RF46" s="44"/>
      <c r="RG46" s="44"/>
      <c r="RI46" s="45"/>
      <c r="RJ46" s="42"/>
      <c r="RO46" s="43"/>
      <c r="RP46" s="42"/>
      <c r="RS46" s="43"/>
      <c r="RT46" s="42"/>
      <c r="RY46" s="43"/>
      <c r="RZ46" s="42"/>
      <c r="SE46" s="43"/>
      <c r="SF46" s="42"/>
      <c r="SK46" s="43"/>
      <c r="SL46" s="42"/>
      <c r="SO46" s="43"/>
      <c r="SP46" s="42"/>
      <c r="SU46" s="43"/>
    </row>
    <row r="47" spans="1:515" x14ac:dyDescent="0.25">
      <c r="A47" s="47" t="s">
        <v>354</v>
      </c>
      <c r="B47" s="41">
        <v>0.35</v>
      </c>
      <c r="J47" s="42"/>
      <c r="K47" s="51"/>
      <c r="L47" s="51"/>
      <c r="M47" s="51"/>
      <c r="N47" s="51">
        <f t="shared" si="9"/>
        <v>0</v>
      </c>
      <c r="O47" s="43"/>
      <c r="P47" s="46"/>
      <c r="Q47" s="51"/>
      <c r="R47" s="51"/>
      <c r="S47" s="51"/>
      <c r="T47" s="51">
        <f t="shared" si="10"/>
        <v>0</v>
      </c>
      <c r="U47" s="43"/>
      <c r="V47" s="42"/>
      <c r="W47" s="51"/>
      <c r="X47" s="51"/>
      <c r="Y47" s="51"/>
      <c r="Z47" s="51">
        <f t="shared" si="11"/>
        <v>0</v>
      </c>
      <c r="AA47" s="43"/>
      <c r="AB47" s="42"/>
      <c r="AC47" s="51"/>
      <c r="AD47" s="51"/>
      <c r="AE47" s="51"/>
      <c r="AF47" s="51">
        <v>0</v>
      </c>
      <c r="AG47" s="43"/>
      <c r="AH47" s="51"/>
      <c r="AL47" s="47">
        <v>0</v>
      </c>
      <c r="AM47" s="43"/>
      <c r="AN47" s="42"/>
      <c r="AR47" s="47">
        <v>0</v>
      </c>
      <c r="AS47" s="43"/>
      <c r="AX47" s="47">
        <v>0</v>
      </c>
      <c r="AY47" s="43"/>
      <c r="BD47" s="47">
        <v>0</v>
      </c>
      <c r="BE47" s="43"/>
      <c r="BF47" s="42"/>
      <c r="BJ47" s="47">
        <v>0</v>
      </c>
      <c r="BK47" s="43"/>
      <c r="BL47" s="42"/>
      <c r="BP47" s="47">
        <v>0</v>
      </c>
      <c r="BQ47" s="43"/>
      <c r="BV47" s="47">
        <v>0</v>
      </c>
      <c r="BW47" s="43"/>
      <c r="BX47" s="42"/>
      <c r="CB47" s="47">
        <v>0</v>
      </c>
      <c r="CC47" s="43"/>
      <c r="CH47" s="47">
        <v>0</v>
      </c>
      <c r="CI47" s="43"/>
      <c r="CN47" s="47">
        <v>0</v>
      </c>
      <c r="CO47" s="43"/>
      <c r="CP47" s="42"/>
      <c r="CT47" s="47">
        <v>0</v>
      </c>
      <c r="CU47" s="43"/>
      <c r="CV47" s="42"/>
      <c r="CZ47" s="47">
        <v>0</v>
      </c>
      <c r="DA47" s="43"/>
      <c r="DG47" s="47">
        <v>0</v>
      </c>
      <c r="DH47" s="43"/>
      <c r="DK47" s="47">
        <v>0</v>
      </c>
      <c r="DL47" s="43"/>
      <c r="DM47" s="42"/>
      <c r="DQ47" s="47">
        <v>0</v>
      </c>
      <c r="DR47" s="43"/>
      <c r="DW47" s="47">
        <v>0</v>
      </c>
      <c r="DX47" s="43"/>
      <c r="EC47" s="47">
        <v>0</v>
      </c>
      <c r="ED47" s="43"/>
      <c r="EE47" s="42"/>
      <c r="EI47" s="47">
        <v>0</v>
      </c>
      <c r="EJ47" s="43"/>
      <c r="EO47" s="47">
        <v>0</v>
      </c>
      <c r="EP47" s="43"/>
      <c r="EQ47" s="42"/>
      <c r="EU47" s="47">
        <v>0</v>
      </c>
      <c r="EV47" s="43"/>
      <c r="EW47" s="42"/>
      <c r="FC47" s="47">
        <v>0</v>
      </c>
      <c r="FD47" s="43"/>
      <c r="FE47" s="42"/>
      <c r="FI47" s="47">
        <v>0</v>
      </c>
      <c r="FJ47" s="43"/>
      <c r="FQ47" s="47">
        <v>0</v>
      </c>
      <c r="FR47" s="43"/>
      <c r="FS47" s="42"/>
      <c r="FW47" s="47">
        <v>0</v>
      </c>
      <c r="FX47" s="43"/>
      <c r="FY47" s="42"/>
      <c r="GC47" s="47">
        <v>0</v>
      </c>
      <c r="GD47" s="43"/>
      <c r="GE47" s="42"/>
      <c r="GI47" s="47">
        <v>0</v>
      </c>
      <c r="GJ47" s="43"/>
      <c r="GQ47" s="47">
        <v>0</v>
      </c>
      <c r="GR47" s="43"/>
      <c r="GX47" s="47">
        <v>0</v>
      </c>
      <c r="GY47" s="43"/>
      <c r="GZ47" s="42"/>
      <c r="HC47" s="47">
        <v>0</v>
      </c>
      <c r="HD47" s="43"/>
      <c r="HE47" s="42"/>
      <c r="HH47" s="47">
        <v>0</v>
      </c>
      <c r="HI47" s="43"/>
      <c r="HN47" s="47">
        <v>0</v>
      </c>
      <c r="HO47" s="43"/>
      <c r="HP47" s="42"/>
      <c r="HU47" s="47">
        <v>0</v>
      </c>
      <c r="HV47" s="43"/>
      <c r="IA47" s="47">
        <v>0</v>
      </c>
      <c r="IB47" s="43"/>
      <c r="IC47" s="42"/>
      <c r="IG47" s="47">
        <v>0</v>
      </c>
      <c r="IH47" s="43"/>
      <c r="IM47" s="47">
        <v>0</v>
      </c>
      <c r="IN47" s="43"/>
      <c r="IO47" s="42"/>
      <c r="IQ47" s="47">
        <v>0</v>
      </c>
      <c r="IR47" s="43"/>
      <c r="IS47" s="42"/>
      <c r="IW47" s="47">
        <v>0</v>
      </c>
      <c r="IX47" s="43"/>
      <c r="IY47" s="42"/>
      <c r="JA47" s="47">
        <v>0</v>
      </c>
      <c r="JB47" s="43"/>
      <c r="JC47" s="42"/>
      <c r="JG47" s="47">
        <v>0</v>
      </c>
      <c r="JH47" s="43"/>
      <c r="JO47" s="47">
        <v>0</v>
      </c>
      <c r="JP47" s="43"/>
      <c r="JQ47" s="42"/>
      <c r="JU47" s="47">
        <v>0</v>
      </c>
      <c r="JV47" s="43"/>
      <c r="KA47" s="47">
        <v>0</v>
      </c>
      <c r="KB47" s="45"/>
      <c r="KG47" s="47">
        <v>0</v>
      </c>
      <c r="KH47" s="45"/>
      <c r="KM47" s="47">
        <v>0</v>
      </c>
      <c r="KN47" s="45"/>
      <c r="KS47" s="47">
        <v>0</v>
      </c>
      <c r="KT47" s="43"/>
      <c r="KW47" s="47">
        <v>0</v>
      </c>
      <c r="KX47" s="45"/>
      <c r="LC47" s="47">
        <v>0</v>
      </c>
      <c r="LD47" s="43"/>
      <c r="LE47" s="46"/>
      <c r="LG47" s="47">
        <v>0</v>
      </c>
      <c r="LH47" s="45"/>
      <c r="LM47" s="47">
        <v>0</v>
      </c>
      <c r="LN47" s="45"/>
      <c r="LS47" s="47">
        <v>0</v>
      </c>
      <c r="LT47" s="45"/>
      <c r="LY47" s="47">
        <v>0</v>
      </c>
      <c r="LZ47" s="45"/>
      <c r="ME47" s="47">
        <v>0</v>
      </c>
      <c r="MF47" s="45"/>
      <c r="MG47" s="46"/>
      <c r="MM47" s="47">
        <v>0</v>
      </c>
      <c r="MN47" s="45"/>
      <c r="MO47" s="44">
        <v>0</v>
      </c>
      <c r="MP47" s="44">
        <v>0</v>
      </c>
      <c r="MQ47" s="44">
        <v>0</v>
      </c>
      <c r="MR47" s="44">
        <v>0</v>
      </c>
      <c r="MS47" s="47">
        <v>0</v>
      </c>
      <c r="MT47" s="45"/>
      <c r="MU47" s="44">
        <v>0</v>
      </c>
      <c r="MV47" s="44">
        <v>0</v>
      </c>
      <c r="MW47" s="44">
        <v>0</v>
      </c>
      <c r="MX47" s="44">
        <v>0</v>
      </c>
      <c r="MY47" s="47">
        <v>0</v>
      </c>
      <c r="MZ47" s="45"/>
      <c r="NA47" s="46">
        <v>0</v>
      </c>
      <c r="NB47" s="44">
        <v>0</v>
      </c>
      <c r="NC47" s="47">
        <v>0</v>
      </c>
      <c r="ND47" s="45"/>
      <c r="NE47" s="46">
        <v>0</v>
      </c>
      <c r="NF47" s="44">
        <v>0</v>
      </c>
      <c r="NG47" s="44">
        <v>0</v>
      </c>
      <c r="NH47" s="44">
        <v>0</v>
      </c>
      <c r="NI47" s="44">
        <v>0</v>
      </c>
      <c r="NJ47" s="47">
        <v>0</v>
      </c>
      <c r="NK47" s="45"/>
      <c r="NL47" s="46">
        <v>0</v>
      </c>
      <c r="NM47" s="44">
        <v>0</v>
      </c>
      <c r="NN47" s="44">
        <v>0</v>
      </c>
      <c r="NO47" s="44">
        <v>0</v>
      </c>
      <c r="NP47" s="47">
        <v>0</v>
      </c>
      <c r="NQ47" s="45"/>
      <c r="NR47" s="46">
        <v>0</v>
      </c>
      <c r="NS47" s="44">
        <v>0</v>
      </c>
      <c r="NT47" s="47">
        <v>0</v>
      </c>
      <c r="NU47" s="45"/>
      <c r="NV47" s="46">
        <v>0</v>
      </c>
      <c r="NW47" s="44">
        <v>0</v>
      </c>
      <c r="NX47" s="44">
        <v>0</v>
      </c>
      <c r="NY47" s="44">
        <v>0</v>
      </c>
      <c r="NZ47" s="47">
        <v>0</v>
      </c>
      <c r="OA47" s="45"/>
      <c r="OB47" s="46">
        <v>0</v>
      </c>
      <c r="OC47" s="44">
        <v>0</v>
      </c>
      <c r="OD47" s="47">
        <v>0</v>
      </c>
      <c r="OE47" s="45"/>
      <c r="OF47" s="46">
        <v>0</v>
      </c>
      <c r="OG47" s="44">
        <v>0</v>
      </c>
      <c r="OH47" s="44">
        <v>0</v>
      </c>
      <c r="OI47" s="44">
        <v>0</v>
      </c>
      <c r="OJ47" s="47">
        <v>0</v>
      </c>
      <c r="OK47" s="45"/>
      <c r="OL47" s="44">
        <v>0</v>
      </c>
      <c r="OM47" s="43"/>
      <c r="ON47" s="44">
        <v>0</v>
      </c>
      <c r="OO47" s="44">
        <v>0</v>
      </c>
      <c r="OP47" s="47">
        <v>0</v>
      </c>
      <c r="OQ47" s="45"/>
      <c r="OR47" s="46">
        <v>0</v>
      </c>
      <c r="OS47" s="44">
        <v>0</v>
      </c>
      <c r="OT47" s="44">
        <v>0</v>
      </c>
      <c r="OU47" s="44">
        <v>0</v>
      </c>
      <c r="OV47" s="47">
        <v>0</v>
      </c>
      <c r="OW47" s="45"/>
      <c r="OX47" s="46">
        <v>0</v>
      </c>
      <c r="OY47" s="44">
        <v>0</v>
      </c>
      <c r="OZ47" s="44">
        <v>0</v>
      </c>
      <c r="PA47" s="44">
        <v>0</v>
      </c>
      <c r="PB47" s="47">
        <v>0</v>
      </c>
      <c r="PC47" s="45"/>
      <c r="PD47" s="46">
        <v>0</v>
      </c>
      <c r="PE47" s="44">
        <v>0</v>
      </c>
      <c r="PF47" s="44">
        <v>0</v>
      </c>
      <c r="PG47" s="44">
        <v>0</v>
      </c>
      <c r="PH47" s="47">
        <v>0</v>
      </c>
      <c r="PI47" s="45"/>
      <c r="PJ47" s="46">
        <v>0</v>
      </c>
      <c r="PK47" s="44">
        <v>0</v>
      </c>
      <c r="PL47" s="44">
        <v>0</v>
      </c>
      <c r="PM47" s="44">
        <v>0</v>
      </c>
      <c r="PN47" s="47">
        <v>0</v>
      </c>
      <c r="PO47" s="45"/>
      <c r="PP47" s="46">
        <v>0</v>
      </c>
      <c r="PQ47" s="44">
        <v>0</v>
      </c>
      <c r="PR47" s="44">
        <v>0</v>
      </c>
      <c r="PS47" s="44">
        <v>0</v>
      </c>
      <c r="PT47" s="47">
        <v>0</v>
      </c>
      <c r="PU47" s="45"/>
      <c r="PV47" s="46">
        <v>0</v>
      </c>
      <c r="PW47" s="44">
        <v>0</v>
      </c>
      <c r="PX47" s="47">
        <v>0</v>
      </c>
      <c r="PY47" s="45"/>
      <c r="PZ47" s="46">
        <v>0</v>
      </c>
      <c r="QA47" s="44">
        <v>0</v>
      </c>
      <c r="QB47" s="47">
        <v>0</v>
      </c>
      <c r="QC47" s="45"/>
      <c r="QD47" s="46">
        <v>0</v>
      </c>
      <c r="QE47" s="44">
        <v>0</v>
      </c>
      <c r="QF47" s="44">
        <v>0</v>
      </c>
      <c r="QG47" s="44">
        <v>0</v>
      </c>
      <c r="QH47" s="47">
        <v>0</v>
      </c>
      <c r="QI47" s="45"/>
      <c r="QJ47" s="46">
        <v>0</v>
      </c>
      <c r="QK47" s="44">
        <v>0</v>
      </c>
      <c r="QL47" s="47">
        <v>0</v>
      </c>
      <c r="QM47" s="45"/>
      <c r="QN47" s="46">
        <v>0</v>
      </c>
      <c r="QO47" s="44">
        <v>0</v>
      </c>
      <c r="QP47" s="44">
        <v>0</v>
      </c>
      <c r="QQ47" s="44">
        <v>0</v>
      </c>
      <c r="QR47" s="47">
        <v>0</v>
      </c>
      <c r="QS47" s="45"/>
      <c r="QT47" s="46">
        <v>0</v>
      </c>
      <c r="QU47" s="44">
        <v>0</v>
      </c>
      <c r="QV47" s="47">
        <v>0</v>
      </c>
      <c r="QW47" s="45"/>
      <c r="QX47" s="46">
        <v>0</v>
      </c>
      <c r="QY47" s="44">
        <v>0</v>
      </c>
      <c r="QZ47" s="44">
        <v>0</v>
      </c>
      <c r="RA47" s="44">
        <v>0</v>
      </c>
      <c r="RB47" s="47">
        <v>0</v>
      </c>
      <c r="RC47" s="45"/>
      <c r="RD47" s="42">
        <v>0</v>
      </c>
      <c r="RE47" s="44">
        <v>0</v>
      </c>
      <c r="RF47" s="44">
        <v>0</v>
      </c>
      <c r="RG47" s="44">
        <v>0</v>
      </c>
      <c r="RH47" s="47">
        <v>0</v>
      </c>
      <c r="RI47" s="45"/>
      <c r="RJ47" s="42">
        <v>0</v>
      </c>
      <c r="RK47" s="47">
        <v>0</v>
      </c>
      <c r="RL47" s="47">
        <v>0</v>
      </c>
      <c r="RM47" s="47">
        <v>0</v>
      </c>
      <c r="RN47" s="47">
        <v>0</v>
      </c>
      <c r="RO47" s="43"/>
      <c r="RP47" s="42">
        <v>0</v>
      </c>
      <c r="RQ47" s="47">
        <v>0</v>
      </c>
      <c r="RR47" s="47">
        <v>0</v>
      </c>
      <c r="RS47" s="43"/>
      <c r="RT47" s="42">
        <v>0</v>
      </c>
      <c r="RU47" s="47">
        <v>0</v>
      </c>
      <c r="RV47" s="47">
        <v>0</v>
      </c>
      <c r="RW47" s="47">
        <v>0</v>
      </c>
      <c r="RX47" s="47">
        <v>0</v>
      </c>
      <c r="RY47" s="43"/>
      <c r="RZ47" s="42">
        <v>0</v>
      </c>
      <c r="SA47" s="47">
        <v>0</v>
      </c>
      <c r="SB47" s="47">
        <v>0</v>
      </c>
      <c r="SC47" s="47">
        <v>0</v>
      </c>
      <c r="SD47" s="47">
        <v>0</v>
      </c>
      <c r="SE47" s="43"/>
      <c r="SF47" s="42">
        <v>16</v>
      </c>
      <c r="SG47" s="47">
        <v>18</v>
      </c>
      <c r="SH47" s="47">
        <v>0</v>
      </c>
      <c r="SI47" s="47">
        <v>0</v>
      </c>
      <c r="SJ47" s="47">
        <v>-2</v>
      </c>
      <c r="SK47" s="43"/>
      <c r="SL47" s="42">
        <v>0</v>
      </c>
      <c r="SM47" s="47">
        <v>0</v>
      </c>
      <c r="SN47" s="47">
        <v>0</v>
      </c>
      <c r="SO47" s="43"/>
      <c r="SP47" s="42">
        <v>0</v>
      </c>
      <c r="SQ47" s="47">
        <v>0</v>
      </c>
      <c r="SR47" s="47">
        <v>0</v>
      </c>
      <c r="SS47" s="47">
        <v>0</v>
      </c>
      <c r="ST47" s="47">
        <v>0</v>
      </c>
      <c r="SU47" s="43"/>
    </row>
    <row r="48" spans="1:515" x14ac:dyDescent="0.25">
      <c r="A48" s="47" t="s">
        <v>355</v>
      </c>
      <c r="B48" s="41">
        <v>1</v>
      </c>
      <c r="E48">
        <v>148</v>
      </c>
      <c r="F48">
        <v>183</v>
      </c>
      <c r="G48">
        <v>182</v>
      </c>
      <c r="J48" s="40">
        <v>98</v>
      </c>
      <c r="K48" s="52">
        <v>98</v>
      </c>
      <c r="L48" s="52">
        <v>77</v>
      </c>
      <c r="M48" s="52">
        <v>79</v>
      </c>
      <c r="N48" s="51">
        <f t="shared" si="9"/>
        <v>-2</v>
      </c>
      <c r="O48" s="43"/>
      <c r="P48" s="40">
        <v>135</v>
      </c>
      <c r="Q48" s="52">
        <v>134</v>
      </c>
      <c r="R48" s="52">
        <v>155</v>
      </c>
      <c r="S48" s="52">
        <v>114</v>
      </c>
      <c r="T48" s="51">
        <f t="shared" si="10"/>
        <v>42</v>
      </c>
      <c r="U48" s="43"/>
      <c r="V48" s="40">
        <v>8</v>
      </c>
      <c r="W48" s="52">
        <v>8</v>
      </c>
      <c r="X48" s="51"/>
      <c r="Y48" s="51"/>
      <c r="Z48" s="51">
        <f t="shared" si="11"/>
        <v>0</v>
      </c>
      <c r="AA48" s="43"/>
      <c r="AB48" s="42"/>
      <c r="AC48" s="51"/>
      <c r="AD48" s="51"/>
      <c r="AE48" s="51"/>
      <c r="AF48" s="51">
        <v>0</v>
      </c>
      <c r="AG48" s="43"/>
      <c r="AH48" s="52">
        <v>108</v>
      </c>
      <c r="AI48">
        <v>111</v>
      </c>
      <c r="AJ48">
        <v>90</v>
      </c>
      <c r="AK48">
        <v>89</v>
      </c>
      <c r="AL48" s="47">
        <v>-2</v>
      </c>
      <c r="AM48" s="43"/>
      <c r="AN48" s="40">
        <v>93</v>
      </c>
      <c r="AO48">
        <v>100</v>
      </c>
      <c r="AP48">
        <v>155</v>
      </c>
      <c r="AQ48">
        <v>154</v>
      </c>
      <c r="AR48" s="47">
        <v>-6</v>
      </c>
      <c r="AS48" s="43"/>
      <c r="AV48">
        <v>97</v>
      </c>
      <c r="AW48">
        <v>100</v>
      </c>
      <c r="AX48" s="47">
        <v>-3</v>
      </c>
      <c r="AY48" s="43"/>
      <c r="AZ48">
        <v>61</v>
      </c>
      <c r="BA48">
        <v>60</v>
      </c>
      <c r="BB48">
        <v>90</v>
      </c>
      <c r="BC48">
        <v>90</v>
      </c>
      <c r="BD48" s="47">
        <v>1</v>
      </c>
      <c r="BE48" s="43"/>
      <c r="BF48" s="42"/>
      <c r="BI48">
        <v>140</v>
      </c>
      <c r="BJ48" s="50">
        <v>-140</v>
      </c>
      <c r="BK48" s="43">
        <v>140</v>
      </c>
      <c r="BL48" s="42"/>
      <c r="BM48">
        <v>40</v>
      </c>
      <c r="BO48">
        <v>44</v>
      </c>
      <c r="BP48" s="50">
        <v>-84</v>
      </c>
      <c r="BQ48" s="43">
        <v>84</v>
      </c>
      <c r="BV48" s="47">
        <v>0</v>
      </c>
      <c r="BW48" s="43"/>
      <c r="BX48" s="40">
        <v>48</v>
      </c>
      <c r="BY48" s="47">
        <v>50</v>
      </c>
      <c r="CB48" s="47">
        <v>-2</v>
      </c>
      <c r="CC48" s="43"/>
      <c r="CH48" s="47">
        <v>0</v>
      </c>
      <c r="CI48" s="43"/>
      <c r="CN48" s="47">
        <v>0</v>
      </c>
      <c r="CO48" s="43"/>
      <c r="CP48" s="42"/>
      <c r="CT48" s="47">
        <v>0</v>
      </c>
      <c r="CU48" s="43"/>
      <c r="CV48" s="42"/>
      <c r="CZ48" s="47">
        <v>0</v>
      </c>
      <c r="DA48" s="43"/>
      <c r="DG48" s="47">
        <v>0</v>
      </c>
      <c r="DH48" s="43"/>
      <c r="DK48" s="47">
        <v>0</v>
      </c>
      <c r="DL48" s="43"/>
      <c r="DM48" s="42"/>
      <c r="DQ48" s="47">
        <v>0</v>
      </c>
      <c r="DR48" s="43"/>
      <c r="DW48" s="47">
        <v>0</v>
      </c>
      <c r="DX48" s="43"/>
      <c r="EC48" s="47">
        <v>0</v>
      </c>
      <c r="ED48" s="43"/>
      <c r="EE48" s="42"/>
      <c r="EI48" s="47">
        <v>0</v>
      </c>
      <c r="EJ48" s="43"/>
      <c r="EO48" s="47">
        <v>0</v>
      </c>
      <c r="EP48" s="43"/>
      <c r="EQ48" s="42"/>
      <c r="EU48" s="47">
        <v>0</v>
      </c>
      <c r="EV48" s="43"/>
      <c r="EW48" s="42"/>
      <c r="FC48" s="47">
        <v>0</v>
      </c>
      <c r="FD48" s="43"/>
      <c r="FE48" s="42"/>
      <c r="FI48" s="47">
        <v>0</v>
      </c>
      <c r="FJ48" s="43"/>
      <c r="FQ48" s="47">
        <v>0</v>
      </c>
      <c r="FR48" s="43"/>
      <c r="FS48" s="42"/>
      <c r="FW48" s="47">
        <v>0</v>
      </c>
      <c r="FX48" s="43"/>
      <c r="FY48" s="42"/>
      <c r="GC48" s="47">
        <v>0</v>
      </c>
      <c r="GD48" s="43"/>
      <c r="GE48" s="42"/>
      <c r="GI48" s="47">
        <v>0</v>
      </c>
      <c r="GJ48" s="43"/>
      <c r="GQ48" s="47">
        <v>0</v>
      </c>
      <c r="GR48" s="43"/>
      <c r="GX48" s="47">
        <v>0</v>
      </c>
      <c r="GY48" s="43"/>
      <c r="GZ48" s="42"/>
      <c r="HC48" s="47">
        <v>0</v>
      </c>
      <c r="HD48" s="43"/>
      <c r="HE48" s="42"/>
      <c r="HH48" s="47">
        <v>0</v>
      </c>
      <c r="HI48" s="43"/>
      <c r="HN48" s="47">
        <v>0</v>
      </c>
      <c r="HO48" s="43"/>
      <c r="HP48" s="42"/>
      <c r="HU48" s="47">
        <v>0</v>
      </c>
      <c r="HV48" s="43"/>
      <c r="IA48" s="47">
        <v>0</v>
      </c>
      <c r="IB48" s="43"/>
      <c r="IC48" s="42"/>
      <c r="IG48" s="47">
        <v>0</v>
      </c>
      <c r="IH48" s="43"/>
      <c r="IM48" s="47">
        <v>0</v>
      </c>
      <c r="IN48" s="43"/>
      <c r="IO48" s="42"/>
      <c r="IQ48" s="47">
        <v>0</v>
      </c>
      <c r="IR48" s="43"/>
      <c r="IS48" s="42"/>
      <c r="IW48" s="47">
        <v>0</v>
      </c>
      <c r="IX48" s="43"/>
      <c r="IY48" s="42"/>
      <c r="JA48" s="47">
        <v>0</v>
      </c>
      <c r="JB48" s="43"/>
      <c r="JC48" s="42"/>
      <c r="JG48" s="47">
        <v>0</v>
      </c>
      <c r="JH48" s="43"/>
      <c r="JO48" s="47">
        <v>0</v>
      </c>
      <c r="JP48" s="43"/>
      <c r="JQ48" s="42"/>
      <c r="JU48" s="47">
        <v>0</v>
      </c>
      <c r="JV48" s="43"/>
      <c r="KA48" s="47">
        <v>0</v>
      </c>
      <c r="KB48" s="45"/>
      <c r="KG48" s="47">
        <v>0</v>
      </c>
      <c r="KH48" s="45"/>
      <c r="KM48" s="47">
        <v>0</v>
      </c>
      <c r="KN48" s="45"/>
      <c r="KS48" s="47">
        <v>0</v>
      </c>
      <c r="KT48" s="43"/>
      <c r="KW48" s="47">
        <v>0</v>
      </c>
      <c r="KX48" s="45"/>
      <c r="LC48" s="47">
        <v>0</v>
      </c>
      <c r="LD48" s="43"/>
      <c r="LE48" s="46"/>
      <c r="LG48" s="47">
        <v>0</v>
      </c>
      <c r="LH48" s="45"/>
      <c r="LM48" s="47">
        <v>0</v>
      </c>
      <c r="LN48" s="45"/>
      <c r="LS48" s="47">
        <v>0</v>
      </c>
      <c r="LT48" s="45"/>
      <c r="LY48" s="47">
        <v>0</v>
      </c>
      <c r="LZ48" s="45"/>
      <c r="ME48" s="47">
        <v>0</v>
      </c>
      <c r="MF48" s="45"/>
      <c r="MG48" s="46"/>
      <c r="MM48" s="47">
        <v>0</v>
      </c>
      <c r="MN48" s="45"/>
      <c r="MO48" s="44">
        <v>0</v>
      </c>
      <c r="MP48" s="44">
        <v>0</v>
      </c>
      <c r="MQ48" s="44">
        <v>0</v>
      </c>
      <c r="MR48" s="44">
        <v>0</v>
      </c>
      <c r="MS48" s="47">
        <v>0</v>
      </c>
      <c r="MT48" s="45"/>
      <c r="MU48" s="44">
        <v>0</v>
      </c>
      <c r="MV48" s="44">
        <v>0</v>
      </c>
      <c r="MW48" s="44">
        <v>0</v>
      </c>
      <c r="MX48" s="44">
        <v>0</v>
      </c>
      <c r="MY48" s="47">
        <v>0</v>
      </c>
      <c r="MZ48" s="45"/>
      <c r="NA48" s="46">
        <v>0</v>
      </c>
      <c r="NB48" s="44">
        <v>0</v>
      </c>
      <c r="NC48" s="47">
        <v>0</v>
      </c>
      <c r="ND48" s="45"/>
      <c r="NE48" s="46">
        <v>0</v>
      </c>
      <c r="NF48" s="44">
        <v>0</v>
      </c>
      <c r="NG48" s="44">
        <v>0</v>
      </c>
      <c r="NH48" s="44">
        <v>0</v>
      </c>
      <c r="NI48" s="44">
        <v>0</v>
      </c>
      <c r="NJ48" s="47">
        <v>0</v>
      </c>
      <c r="NK48" s="45"/>
      <c r="NL48" s="46">
        <v>0</v>
      </c>
      <c r="NM48" s="44">
        <v>0</v>
      </c>
      <c r="NN48" s="44">
        <v>0</v>
      </c>
      <c r="NO48" s="44">
        <v>0</v>
      </c>
      <c r="NP48" s="47">
        <v>0</v>
      </c>
      <c r="NQ48" s="45"/>
      <c r="NR48" s="46">
        <v>0</v>
      </c>
      <c r="NS48" s="44">
        <v>0</v>
      </c>
      <c r="NT48" s="47">
        <v>0</v>
      </c>
      <c r="NU48" s="45"/>
      <c r="NV48" s="46">
        <v>0</v>
      </c>
      <c r="NW48" s="44">
        <v>0</v>
      </c>
      <c r="NX48" s="44">
        <v>0</v>
      </c>
      <c r="NY48" s="44">
        <v>0</v>
      </c>
      <c r="NZ48" s="47">
        <v>0</v>
      </c>
      <c r="OA48" s="45"/>
      <c r="OB48" s="46">
        <v>0</v>
      </c>
      <c r="OC48" s="44">
        <v>0</v>
      </c>
      <c r="OD48" s="47">
        <v>0</v>
      </c>
      <c r="OE48" s="45"/>
      <c r="OF48" s="46">
        <v>0</v>
      </c>
      <c r="OG48" s="44">
        <v>0</v>
      </c>
      <c r="OH48" s="44">
        <v>0</v>
      </c>
      <c r="OI48" s="44">
        <v>0</v>
      </c>
      <c r="OJ48" s="47">
        <v>0</v>
      </c>
      <c r="OK48" s="45"/>
      <c r="OL48" s="44">
        <v>0</v>
      </c>
      <c r="OM48" s="43"/>
      <c r="ON48" s="44">
        <v>0</v>
      </c>
      <c r="OO48" s="44">
        <v>0</v>
      </c>
      <c r="OP48" s="47">
        <v>0</v>
      </c>
      <c r="OQ48" s="45"/>
      <c r="OR48" s="46">
        <v>0</v>
      </c>
      <c r="OS48" s="44">
        <v>0</v>
      </c>
      <c r="OT48" s="44">
        <v>0</v>
      </c>
      <c r="OU48" s="44">
        <v>0</v>
      </c>
      <c r="OV48" s="47">
        <v>0</v>
      </c>
      <c r="OW48" s="45"/>
      <c r="OX48" s="46">
        <v>0</v>
      </c>
      <c r="OY48" s="44">
        <v>0</v>
      </c>
      <c r="OZ48" s="44">
        <v>0</v>
      </c>
      <c r="PA48" s="44">
        <v>0</v>
      </c>
      <c r="PB48" s="47">
        <v>0</v>
      </c>
      <c r="PC48" s="45"/>
      <c r="PD48" s="46">
        <v>0</v>
      </c>
      <c r="PE48" s="44">
        <v>0</v>
      </c>
      <c r="PF48" s="44">
        <v>0</v>
      </c>
      <c r="PG48" s="44">
        <v>0</v>
      </c>
      <c r="PH48" s="47">
        <v>0</v>
      </c>
      <c r="PI48" s="45"/>
      <c r="PJ48" s="46">
        <v>0</v>
      </c>
      <c r="PK48" s="44">
        <v>0</v>
      </c>
      <c r="PL48" s="44">
        <v>0</v>
      </c>
      <c r="PM48" s="44">
        <v>0</v>
      </c>
      <c r="PN48" s="47">
        <v>0</v>
      </c>
      <c r="PO48" s="45"/>
      <c r="PP48" s="46">
        <v>0</v>
      </c>
      <c r="PQ48" s="44">
        <v>0</v>
      </c>
      <c r="PR48" s="44">
        <v>0</v>
      </c>
      <c r="PS48" s="44">
        <v>0</v>
      </c>
      <c r="PT48" s="47">
        <v>0</v>
      </c>
      <c r="PU48" s="45"/>
      <c r="PV48" s="46">
        <v>0</v>
      </c>
      <c r="PW48" s="44">
        <v>0</v>
      </c>
      <c r="PX48" s="47">
        <v>0</v>
      </c>
      <c r="PY48" s="45"/>
      <c r="PZ48" s="46">
        <v>0</v>
      </c>
      <c r="QA48" s="44">
        <v>0</v>
      </c>
      <c r="QB48" s="47">
        <v>0</v>
      </c>
      <c r="QC48" s="45"/>
      <c r="QD48" s="46">
        <v>0</v>
      </c>
      <c r="QE48" s="44">
        <v>0</v>
      </c>
      <c r="QF48" s="44">
        <v>0</v>
      </c>
      <c r="QG48" s="44">
        <v>0</v>
      </c>
      <c r="QH48" s="47">
        <v>0</v>
      </c>
      <c r="QI48" s="45"/>
      <c r="QJ48" s="46">
        <v>0</v>
      </c>
      <c r="QK48" s="44">
        <v>0</v>
      </c>
      <c r="QL48" s="47">
        <v>0</v>
      </c>
      <c r="QM48" s="45"/>
      <c r="QN48" s="46">
        <v>0</v>
      </c>
      <c r="QO48" s="44">
        <v>0</v>
      </c>
      <c r="QP48" s="44">
        <v>0</v>
      </c>
      <c r="QQ48" s="44">
        <v>0</v>
      </c>
      <c r="QR48" s="47">
        <v>0</v>
      </c>
      <c r="QS48" s="45"/>
      <c r="QT48" s="46">
        <v>0</v>
      </c>
      <c r="QU48" s="44">
        <v>0</v>
      </c>
      <c r="QV48" s="47">
        <v>0</v>
      </c>
      <c r="QW48" s="45"/>
      <c r="QX48" s="46">
        <v>77.066999999999993</v>
      </c>
      <c r="QY48" s="44">
        <v>150</v>
      </c>
      <c r="QZ48" s="44">
        <v>93.381</v>
      </c>
      <c r="RA48" s="44">
        <v>176</v>
      </c>
      <c r="RB48" s="50">
        <v>-155.55199999999999</v>
      </c>
      <c r="RC48" s="45">
        <v>155.55199999999999</v>
      </c>
      <c r="RD48" s="42">
        <v>0</v>
      </c>
      <c r="RE48" s="44">
        <v>0</v>
      </c>
      <c r="RF48" s="44">
        <v>149.15700000000001</v>
      </c>
      <c r="RG48" s="44">
        <v>150</v>
      </c>
      <c r="RH48" s="47">
        <v>-0.84299999999998931</v>
      </c>
      <c r="RI48" s="45"/>
      <c r="RJ48" s="42">
        <v>100.625</v>
      </c>
      <c r="RK48" s="47">
        <v>100</v>
      </c>
      <c r="RL48" s="47">
        <v>100.92700000000001</v>
      </c>
      <c r="RM48" s="47">
        <v>100</v>
      </c>
      <c r="RN48" s="47">
        <v>1.5520000000000209</v>
      </c>
      <c r="RO48" s="43"/>
      <c r="RP48" s="42">
        <v>223.452</v>
      </c>
      <c r="RQ48" s="47">
        <v>650</v>
      </c>
      <c r="RR48" s="50">
        <v>-426.548</v>
      </c>
      <c r="RS48" s="43">
        <v>426.548</v>
      </c>
      <c r="RT48" s="42">
        <v>75.457999999999998</v>
      </c>
      <c r="RU48" s="47">
        <v>100</v>
      </c>
      <c r="RV48" s="47">
        <v>76.715000000000003</v>
      </c>
      <c r="RW48" s="47">
        <v>100</v>
      </c>
      <c r="RX48" s="50">
        <v>-47.826999999999998</v>
      </c>
      <c r="RY48" s="43">
        <v>47.826999999999998</v>
      </c>
      <c r="RZ48" s="42">
        <v>101.229</v>
      </c>
      <c r="SA48" s="47">
        <v>100</v>
      </c>
      <c r="SB48" s="47">
        <v>201.69300000000001</v>
      </c>
      <c r="SC48" s="47">
        <v>200</v>
      </c>
      <c r="SD48" s="47">
        <v>2.922000000000025</v>
      </c>
      <c r="SE48" s="43"/>
      <c r="SF48" s="42">
        <v>56.06</v>
      </c>
      <c r="SG48" s="47">
        <v>100</v>
      </c>
      <c r="SH48" s="47">
        <v>64.054000000000002</v>
      </c>
      <c r="SI48" s="47">
        <v>200</v>
      </c>
      <c r="SJ48" s="50">
        <v>-179.886</v>
      </c>
      <c r="SK48" s="43">
        <v>179.886</v>
      </c>
      <c r="SL48" s="42">
        <v>101.48399999999999</v>
      </c>
      <c r="SM48" s="47">
        <v>100</v>
      </c>
      <c r="SN48" s="47">
        <v>1.4839999999999951</v>
      </c>
      <c r="SO48" s="43"/>
      <c r="SP48" s="42">
        <v>211.46100000000001</v>
      </c>
      <c r="SQ48" s="47">
        <v>300</v>
      </c>
      <c r="SR48" s="47">
        <v>93.471000000000004</v>
      </c>
      <c r="SS48" s="47">
        <v>300</v>
      </c>
      <c r="ST48" s="50">
        <v>-295.06799999999998</v>
      </c>
      <c r="SU48" s="43">
        <v>295.06799999999998</v>
      </c>
    </row>
    <row r="49" spans="1:515" x14ac:dyDescent="0.25">
      <c r="A49" s="47" t="s">
        <v>356</v>
      </c>
      <c r="B49" s="41">
        <v>0.09</v>
      </c>
      <c r="E49">
        <v>85</v>
      </c>
      <c r="F49">
        <v>100</v>
      </c>
      <c r="G49">
        <v>105</v>
      </c>
      <c r="J49" s="40">
        <v>160</v>
      </c>
      <c r="K49" s="52">
        <v>165</v>
      </c>
      <c r="L49" s="52">
        <v>130</v>
      </c>
      <c r="M49" s="52">
        <v>135</v>
      </c>
      <c r="N49" s="51">
        <f t="shared" si="9"/>
        <v>-10</v>
      </c>
      <c r="O49" s="43"/>
      <c r="P49" s="46"/>
      <c r="Q49" s="51"/>
      <c r="R49" s="51"/>
      <c r="S49" s="51"/>
      <c r="T49" s="51">
        <f t="shared" si="10"/>
        <v>0</v>
      </c>
      <c r="U49" s="43"/>
      <c r="V49" s="42"/>
      <c r="W49" s="51"/>
      <c r="X49" s="51"/>
      <c r="Y49" s="51"/>
      <c r="Z49" s="51">
        <f t="shared" si="11"/>
        <v>0</v>
      </c>
      <c r="AA49" s="43"/>
      <c r="AB49" s="42"/>
      <c r="AC49" s="51"/>
      <c r="AD49" s="51"/>
      <c r="AE49" s="51"/>
      <c r="AF49" s="51">
        <v>0</v>
      </c>
      <c r="AG49" s="43"/>
      <c r="AH49" s="51"/>
      <c r="AJ49">
        <v>200</v>
      </c>
      <c r="AK49">
        <v>200</v>
      </c>
      <c r="AL49" s="47">
        <v>0</v>
      </c>
      <c r="AM49" s="43"/>
      <c r="AN49" s="42"/>
      <c r="AP49">
        <v>1200</v>
      </c>
      <c r="AQ49">
        <v>1200</v>
      </c>
      <c r="AR49" s="47">
        <v>0</v>
      </c>
      <c r="AS49" s="43"/>
      <c r="AV49">
        <v>20</v>
      </c>
      <c r="AW49">
        <v>20</v>
      </c>
      <c r="AX49" s="47">
        <v>0</v>
      </c>
      <c r="AY49" s="43"/>
      <c r="AZ49">
        <v>70</v>
      </c>
      <c r="BA49">
        <v>70</v>
      </c>
      <c r="BB49">
        <v>90</v>
      </c>
      <c r="BC49">
        <v>92</v>
      </c>
      <c r="BD49" s="47">
        <v>-2</v>
      </c>
      <c r="BE49" s="43"/>
      <c r="BF49" s="42"/>
      <c r="BJ49" s="47">
        <v>0</v>
      </c>
      <c r="BK49" s="43"/>
      <c r="BL49" s="40">
        <v>40</v>
      </c>
      <c r="BM49">
        <v>40</v>
      </c>
      <c r="BN49">
        <v>60</v>
      </c>
      <c r="BO49">
        <v>65</v>
      </c>
      <c r="BP49" s="47">
        <v>-5</v>
      </c>
      <c r="BQ49" s="43"/>
      <c r="BV49" s="47">
        <v>0</v>
      </c>
      <c r="BW49" s="43"/>
      <c r="BX49" s="40">
        <v>20</v>
      </c>
      <c r="BY49">
        <v>20</v>
      </c>
      <c r="BZ49">
        <v>40</v>
      </c>
      <c r="CA49">
        <v>38</v>
      </c>
      <c r="CB49" s="47">
        <v>2</v>
      </c>
      <c r="CC49" s="43"/>
      <c r="CF49">
        <v>10</v>
      </c>
      <c r="CG49">
        <v>8</v>
      </c>
      <c r="CH49" s="47">
        <v>2</v>
      </c>
      <c r="CI49" s="43"/>
      <c r="CJ49">
        <v>20</v>
      </c>
      <c r="CK49">
        <v>20</v>
      </c>
      <c r="CL49">
        <v>20</v>
      </c>
      <c r="CM49">
        <v>21</v>
      </c>
      <c r="CN49" s="47">
        <v>-1</v>
      </c>
      <c r="CO49" s="43"/>
      <c r="CP49" s="42"/>
      <c r="CR49">
        <v>10</v>
      </c>
      <c r="CS49">
        <v>5</v>
      </c>
      <c r="CT49" s="47">
        <v>5</v>
      </c>
      <c r="CU49" s="43"/>
      <c r="CV49" s="42"/>
      <c r="CX49">
        <v>30</v>
      </c>
      <c r="CY49">
        <v>37</v>
      </c>
      <c r="CZ49" s="47">
        <v>-7</v>
      </c>
      <c r="DA49" s="43"/>
      <c r="DG49" s="47">
        <v>0</v>
      </c>
      <c r="DH49" s="43"/>
      <c r="DK49" s="47">
        <v>0</v>
      </c>
      <c r="DL49" s="43"/>
      <c r="DM49" s="40">
        <v>40</v>
      </c>
      <c r="DN49">
        <v>42</v>
      </c>
      <c r="DQ49" s="47">
        <v>-2</v>
      </c>
      <c r="DR49" s="43"/>
      <c r="DU49" s="47">
        <v>30</v>
      </c>
      <c r="DV49">
        <v>30</v>
      </c>
      <c r="DW49" s="47">
        <v>0</v>
      </c>
      <c r="DX49" s="43"/>
      <c r="EC49" s="47">
        <v>0</v>
      </c>
      <c r="ED49" s="43"/>
      <c r="EE49" s="42"/>
      <c r="EH49" s="47">
        <v>50</v>
      </c>
      <c r="EI49" s="50">
        <v>-50</v>
      </c>
      <c r="EJ49" s="43">
        <v>4.5</v>
      </c>
      <c r="EO49" s="47">
        <v>0</v>
      </c>
      <c r="EP49" s="43"/>
      <c r="EQ49" s="42"/>
      <c r="EU49" s="47">
        <v>0</v>
      </c>
      <c r="EV49" s="43"/>
      <c r="EW49" s="42"/>
      <c r="FC49" s="47">
        <v>0</v>
      </c>
      <c r="FD49" s="43"/>
      <c r="FE49" s="42"/>
      <c r="FI49" s="47">
        <v>0</v>
      </c>
      <c r="FJ49" s="43"/>
      <c r="FR49" s="43"/>
      <c r="FS49" s="42"/>
      <c r="FX49" s="43"/>
      <c r="FY49" s="42"/>
      <c r="GD49" s="43"/>
      <c r="GE49" s="42"/>
      <c r="GJ49" s="43"/>
      <c r="GR49" s="43"/>
      <c r="GY49" s="43"/>
      <c r="GZ49" s="42"/>
      <c r="HD49" s="43"/>
      <c r="HE49" s="42"/>
      <c r="HI49" s="43"/>
      <c r="HO49" s="43"/>
      <c r="HP49" s="42"/>
      <c r="HV49" s="43"/>
      <c r="IB49" s="43"/>
      <c r="IC49" s="42"/>
      <c r="IH49" s="43"/>
      <c r="IN49" s="43"/>
      <c r="IO49" s="42"/>
      <c r="IR49" s="43"/>
      <c r="IS49" s="42"/>
      <c r="IX49" s="43"/>
      <c r="IY49" s="42"/>
      <c r="JB49" s="43"/>
      <c r="JC49" s="42"/>
      <c r="JH49" s="43"/>
      <c r="JP49" s="43"/>
      <c r="JQ49" s="42"/>
      <c r="JV49" s="43"/>
      <c r="KB49" s="45"/>
      <c r="KH49" s="45"/>
      <c r="KN49" s="45"/>
      <c r="KT49" s="43"/>
      <c r="KX49" s="45"/>
      <c r="LD49" s="43"/>
      <c r="LE49" s="46"/>
      <c r="LH49" s="45"/>
      <c r="LN49" s="45"/>
      <c r="LT49" s="45"/>
      <c r="LU49" s="44"/>
      <c r="LW49" s="44"/>
      <c r="LX49" s="44"/>
      <c r="LZ49" s="45"/>
      <c r="MA49" s="44"/>
      <c r="MF49" s="45"/>
      <c r="MG49" s="46"/>
      <c r="MN49" s="45"/>
      <c r="MO49" s="44"/>
      <c r="MP49" s="44"/>
      <c r="MQ49" s="44"/>
      <c r="MR49" s="44"/>
      <c r="MT49" s="45"/>
      <c r="MU49" s="44"/>
      <c r="MV49" s="44"/>
      <c r="MW49" s="44"/>
      <c r="MX49" s="44"/>
      <c r="MZ49" s="45"/>
      <c r="NA49" s="46"/>
      <c r="NB49" s="44"/>
      <c r="ND49" s="45"/>
      <c r="NE49" s="46"/>
      <c r="NF49" s="44"/>
      <c r="NG49" s="44"/>
      <c r="NH49" s="44"/>
      <c r="NI49" s="44"/>
      <c r="NK49" s="45"/>
      <c r="NL49" s="46"/>
      <c r="NM49" s="44"/>
      <c r="NN49" s="44"/>
      <c r="NO49" s="44"/>
      <c r="NQ49" s="45"/>
      <c r="NR49" s="46"/>
      <c r="NS49" s="44"/>
      <c r="NU49" s="45"/>
      <c r="NV49" s="46"/>
      <c r="NW49" s="44"/>
      <c r="NX49" s="44"/>
      <c r="NY49" s="44"/>
      <c r="OA49" s="45"/>
      <c r="OB49" s="46"/>
      <c r="OC49" s="44"/>
      <c r="OE49" s="45"/>
      <c r="OF49" s="46"/>
      <c r="OG49" s="44"/>
      <c r="OH49" s="44"/>
      <c r="OI49" s="44"/>
      <c r="OK49" s="45"/>
      <c r="OL49" s="44"/>
      <c r="OM49" s="43"/>
      <c r="ON49" s="44"/>
      <c r="OO49" s="44"/>
      <c r="OQ49" s="45"/>
      <c r="OR49" s="46"/>
      <c r="OS49" s="44"/>
      <c r="OT49" s="44"/>
      <c r="OU49" s="44"/>
      <c r="OW49" s="45"/>
      <c r="OX49" s="46"/>
      <c r="OY49" s="44"/>
      <c r="OZ49" s="44"/>
      <c r="PA49" s="44"/>
      <c r="PC49" s="45"/>
      <c r="PD49" s="46"/>
      <c r="PE49" s="44"/>
      <c r="PF49" s="44"/>
      <c r="PG49" s="44"/>
      <c r="PI49" s="45"/>
      <c r="PJ49" s="46"/>
      <c r="PK49" s="44"/>
      <c r="PL49" s="44"/>
      <c r="PM49" s="44"/>
      <c r="PO49" s="45"/>
      <c r="PP49" s="46"/>
      <c r="PQ49" s="44"/>
      <c r="PR49" s="44"/>
      <c r="PS49" s="44"/>
      <c r="PU49" s="45"/>
      <c r="PV49" s="46"/>
      <c r="PW49" s="44"/>
      <c r="PY49" s="45"/>
      <c r="PZ49" s="46"/>
      <c r="QA49" s="44"/>
      <c r="QC49" s="45"/>
      <c r="QD49" s="46"/>
      <c r="QE49" s="44"/>
      <c r="QF49" s="44"/>
      <c r="QG49" s="44"/>
      <c r="QI49" s="45"/>
      <c r="QJ49" s="46"/>
      <c r="QK49" s="44"/>
      <c r="QM49" s="45"/>
      <c r="QN49" s="46"/>
      <c r="QO49" s="44"/>
      <c r="QP49" s="44"/>
      <c r="QQ49" s="44"/>
      <c r="QS49" s="45"/>
      <c r="QT49" s="46"/>
      <c r="QU49" s="44"/>
      <c r="QW49" s="45"/>
      <c r="QX49" s="46"/>
      <c r="QY49" s="44"/>
      <c r="QZ49" s="44"/>
      <c r="RA49" s="44"/>
      <c r="RC49" s="45"/>
      <c r="RD49" s="42"/>
      <c r="RE49" s="44"/>
      <c r="RF49" s="44"/>
      <c r="RG49" s="44"/>
      <c r="RI49" s="45"/>
      <c r="RJ49" s="42"/>
      <c r="RO49" s="43"/>
      <c r="RP49" s="42"/>
      <c r="RS49" s="43"/>
      <c r="RT49" s="42"/>
      <c r="RY49" s="43"/>
      <c r="RZ49" s="42"/>
      <c r="SE49" s="43"/>
      <c r="SF49" s="42"/>
      <c r="SK49" s="43"/>
      <c r="SL49" s="42"/>
      <c r="SO49" s="43"/>
      <c r="SP49" s="42"/>
      <c r="SU49" s="43"/>
    </row>
    <row r="50" spans="1:515" x14ac:dyDescent="0.25">
      <c r="A50" s="47" t="s">
        <v>357</v>
      </c>
      <c r="B50" s="41">
        <v>0.09</v>
      </c>
      <c r="E50">
        <v>130</v>
      </c>
      <c r="J50" s="40">
        <v>160</v>
      </c>
      <c r="K50" s="52">
        <v>163</v>
      </c>
      <c r="L50" s="52">
        <v>130</v>
      </c>
      <c r="M50" s="52">
        <v>133</v>
      </c>
      <c r="N50" s="51">
        <f t="shared" si="9"/>
        <v>-6</v>
      </c>
      <c r="O50" s="43"/>
      <c r="P50" s="46"/>
      <c r="Q50" s="51"/>
      <c r="R50" s="52">
        <v>30</v>
      </c>
      <c r="S50" s="52">
        <v>36</v>
      </c>
      <c r="T50" s="51">
        <f t="shared" si="10"/>
        <v>-6</v>
      </c>
      <c r="U50" s="43"/>
      <c r="V50" s="40">
        <v>170</v>
      </c>
      <c r="W50" s="52">
        <v>175</v>
      </c>
      <c r="X50" s="52">
        <v>80</v>
      </c>
      <c r="Y50" s="52">
        <v>87</v>
      </c>
      <c r="Z50" s="51">
        <f t="shared" si="11"/>
        <v>-12</v>
      </c>
      <c r="AA50" s="43"/>
      <c r="AB50" s="42"/>
      <c r="AC50" s="51"/>
      <c r="AD50" s="52">
        <v>10</v>
      </c>
      <c r="AE50" s="56">
        <v>8</v>
      </c>
      <c r="AF50" s="51">
        <v>2</v>
      </c>
      <c r="AG50" s="43"/>
      <c r="AH50" s="52">
        <v>90</v>
      </c>
      <c r="AI50">
        <v>92</v>
      </c>
      <c r="AJ50">
        <v>70</v>
      </c>
      <c r="AK50">
        <v>73</v>
      </c>
      <c r="AL50" s="47">
        <v>-5</v>
      </c>
      <c r="AM50" s="43"/>
      <c r="AN50" s="40">
        <v>50</v>
      </c>
      <c r="AO50">
        <v>50</v>
      </c>
      <c r="AP50">
        <v>70</v>
      </c>
      <c r="AQ50">
        <v>70</v>
      </c>
      <c r="AR50" s="47">
        <v>0</v>
      </c>
      <c r="AS50" s="43"/>
      <c r="AT50">
        <v>50</v>
      </c>
      <c r="AU50">
        <v>50</v>
      </c>
      <c r="AV50">
        <v>40</v>
      </c>
      <c r="AW50">
        <v>48</v>
      </c>
      <c r="AX50" s="47">
        <v>-8</v>
      </c>
      <c r="AY50" s="43"/>
      <c r="AZ50">
        <v>70</v>
      </c>
      <c r="BA50">
        <v>70</v>
      </c>
      <c r="BB50">
        <v>90</v>
      </c>
      <c r="BC50">
        <v>94</v>
      </c>
      <c r="BD50" s="47">
        <v>-4</v>
      </c>
      <c r="BE50" s="43"/>
      <c r="BF50" s="40">
        <v>100</v>
      </c>
      <c r="BG50">
        <v>100</v>
      </c>
      <c r="BH50">
        <v>120</v>
      </c>
      <c r="BI50">
        <v>126</v>
      </c>
      <c r="BJ50" s="47">
        <v>-6</v>
      </c>
      <c r="BK50" s="43"/>
      <c r="BL50" s="40">
        <v>30</v>
      </c>
      <c r="BM50">
        <v>30</v>
      </c>
      <c r="BN50">
        <v>60</v>
      </c>
      <c r="BO50">
        <v>66</v>
      </c>
      <c r="BP50" s="47">
        <v>-6</v>
      </c>
      <c r="BQ50" s="43"/>
      <c r="BV50" s="47">
        <v>0</v>
      </c>
      <c r="BW50" s="43"/>
      <c r="BX50" s="40">
        <v>120</v>
      </c>
      <c r="BY50">
        <v>120</v>
      </c>
      <c r="BZ50">
        <v>200</v>
      </c>
      <c r="CA50">
        <v>204</v>
      </c>
      <c r="CB50" s="47">
        <v>-4</v>
      </c>
      <c r="CC50" s="43"/>
      <c r="CH50" s="47">
        <v>0</v>
      </c>
      <c r="CI50" s="43"/>
      <c r="CJ50">
        <v>120</v>
      </c>
      <c r="CK50">
        <v>120</v>
      </c>
      <c r="CL50">
        <v>130</v>
      </c>
      <c r="CM50">
        <v>136</v>
      </c>
      <c r="CN50" s="47">
        <v>-6</v>
      </c>
      <c r="CO50" s="43"/>
      <c r="CP50" s="42"/>
      <c r="CR50">
        <v>60</v>
      </c>
      <c r="CS50">
        <v>60</v>
      </c>
      <c r="CT50" s="47">
        <v>0</v>
      </c>
      <c r="CU50" s="43"/>
      <c r="CV50" s="42"/>
      <c r="CZ50" s="47">
        <v>0</v>
      </c>
      <c r="DA50" s="43"/>
      <c r="DB50">
        <v>100</v>
      </c>
      <c r="DC50">
        <v>100</v>
      </c>
      <c r="DE50">
        <v>110</v>
      </c>
      <c r="DF50">
        <v>108</v>
      </c>
      <c r="DG50" s="47">
        <v>2</v>
      </c>
      <c r="DH50" s="43"/>
      <c r="DK50" s="47">
        <v>0</v>
      </c>
      <c r="DL50" s="43"/>
      <c r="DM50" s="42"/>
      <c r="DQ50" s="47">
        <v>0</v>
      </c>
      <c r="DR50" s="43"/>
      <c r="DS50">
        <v>120</v>
      </c>
      <c r="DT50">
        <v>120</v>
      </c>
      <c r="DU50">
        <v>190</v>
      </c>
      <c r="DV50">
        <v>188</v>
      </c>
      <c r="DW50" s="47">
        <v>2</v>
      </c>
      <c r="DX50" s="43"/>
      <c r="EA50">
        <v>60</v>
      </c>
      <c r="EB50">
        <v>64</v>
      </c>
      <c r="EC50" s="47">
        <v>-4</v>
      </c>
      <c r="ED50" s="43"/>
      <c r="EE50" s="42"/>
      <c r="EG50">
        <v>270</v>
      </c>
      <c r="EH50">
        <v>274</v>
      </c>
      <c r="EI50" s="47">
        <v>-4</v>
      </c>
      <c r="EJ50" s="43"/>
      <c r="EO50" s="47">
        <v>0</v>
      </c>
      <c r="EP50" s="43"/>
      <c r="EQ50" s="42"/>
      <c r="EU50" s="47">
        <v>0</v>
      </c>
      <c r="EV50" s="43"/>
      <c r="EW50" s="42"/>
      <c r="FA50">
        <v>340</v>
      </c>
      <c r="FB50">
        <v>340</v>
      </c>
      <c r="FC50" s="47">
        <v>0</v>
      </c>
      <c r="FD50" s="43"/>
      <c r="FE50" s="42"/>
      <c r="FI50" s="47">
        <v>0</v>
      </c>
      <c r="FJ50" s="43"/>
      <c r="FK50">
        <v>100</v>
      </c>
      <c r="FL50">
        <v>100</v>
      </c>
      <c r="FM50">
        <v>230</v>
      </c>
      <c r="FN50">
        <v>230</v>
      </c>
      <c r="FQ50" s="47">
        <v>0</v>
      </c>
      <c r="FR50" s="43"/>
      <c r="FS50" s="42"/>
      <c r="FW50" s="47">
        <v>0</v>
      </c>
      <c r="FX50" s="43"/>
      <c r="FY50" s="42"/>
      <c r="GB50">
        <v>110</v>
      </c>
      <c r="GC50" s="50">
        <v>-110</v>
      </c>
      <c r="GD50" s="43">
        <v>9.9</v>
      </c>
      <c r="GE50" s="40">
        <v>140</v>
      </c>
      <c r="GF50">
        <v>140</v>
      </c>
      <c r="GH50">
        <v>70</v>
      </c>
      <c r="GI50" s="50">
        <v>-70</v>
      </c>
      <c r="GJ50" s="43">
        <v>6.3</v>
      </c>
      <c r="GM50">
        <v>30</v>
      </c>
      <c r="GN50">
        <v>30</v>
      </c>
      <c r="GO50">
        <v>40</v>
      </c>
      <c r="GP50">
        <v>40</v>
      </c>
      <c r="GQ50" s="47">
        <v>0</v>
      </c>
      <c r="GR50" s="43"/>
      <c r="GU50">
        <v>230</v>
      </c>
      <c r="GW50">
        <v>230</v>
      </c>
      <c r="GX50" s="47">
        <v>0</v>
      </c>
      <c r="GY50" s="43"/>
      <c r="GZ50" s="42"/>
      <c r="HC50" s="47">
        <v>0</v>
      </c>
      <c r="HD50" s="43"/>
      <c r="HE50" s="40">
        <v>420</v>
      </c>
      <c r="HG50">
        <v>422</v>
      </c>
      <c r="HH50" s="47">
        <v>-2</v>
      </c>
      <c r="HI50" s="43"/>
      <c r="HJ50">
        <v>70</v>
      </c>
      <c r="HM50">
        <v>75</v>
      </c>
      <c r="HN50" s="47">
        <v>-5</v>
      </c>
      <c r="HO50" s="43"/>
      <c r="HP50" s="42"/>
      <c r="HR50">
        <v>10</v>
      </c>
      <c r="HU50" s="50">
        <v>-10</v>
      </c>
      <c r="HV50" s="43">
        <v>0.89999999999999991</v>
      </c>
      <c r="HW50">
        <v>130</v>
      </c>
      <c r="HX50">
        <v>130</v>
      </c>
      <c r="HY50">
        <v>130</v>
      </c>
      <c r="HZ50">
        <v>130</v>
      </c>
      <c r="IA50" s="47">
        <v>0</v>
      </c>
      <c r="IB50" s="43"/>
      <c r="IC50" s="42"/>
      <c r="IE50">
        <v>260</v>
      </c>
      <c r="IF50">
        <v>260</v>
      </c>
      <c r="IG50" s="47">
        <v>0</v>
      </c>
      <c r="IH50" s="43"/>
      <c r="IM50" s="47">
        <v>0</v>
      </c>
      <c r="IN50" s="43"/>
      <c r="IO50" s="40">
        <v>290</v>
      </c>
      <c r="IP50" s="44">
        <v>290</v>
      </c>
      <c r="IQ50" s="47">
        <v>0</v>
      </c>
      <c r="IR50" s="43"/>
      <c r="IS50" s="42"/>
      <c r="IW50" s="47">
        <v>0</v>
      </c>
      <c r="IX50" s="43"/>
      <c r="IY50" s="40">
        <v>210</v>
      </c>
      <c r="IZ50">
        <v>210</v>
      </c>
      <c r="JA50" s="47">
        <v>0</v>
      </c>
      <c r="JB50" s="43"/>
      <c r="JC50" s="40">
        <v>150</v>
      </c>
      <c r="JD50">
        <v>150</v>
      </c>
      <c r="JE50">
        <v>130</v>
      </c>
      <c r="JF50">
        <v>130</v>
      </c>
      <c r="JG50" s="47">
        <v>0</v>
      </c>
      <c r="JH50" s="43"/>
      <c r="JM50">
        <v>140</v>
      </c>
      <c r="JN50">
        <v>140</v>
      </c>
      <c r="JO50" s="47">
        <v>0</v>
      </c>
      <c r="JP50" s="43"/>
      <c r="JQ50" s="42"/>
      <c r="JS50">
        <v>10</v>
      </c>
      <c r="JT50">
        <v>10</v>
      </c>
      <c r="JU50" s="47">
        <v>0</v>
      </c>
      <c r="JV50" s="43"/>
      <c r="JW50">
        <v>150</v>
      </c>
      <c r="JX50">
        <v>150</v>
      </c>
      <c r="JY50">
        <v>170</v>
      </c>
      <c r="JZ50">
        <v>170</v>
      </c>
      <c r="KA50" s="47">
        <v>0</v>
      </c>
      <c r="KB50" s="45"/>
      <c r="KC50">
        <v>150</v>
      </c>
      <c r="KD50">
        <v>150</v>
      </c>
      <c r="KE50">
        <v>200</v>
      </c>
      <c r="KF50">
        <v>200</v>
      </c>
      <c r="KG50" s="47">
        <v>0</v>
      </c>
      <c r="KH50" s="45"/>
      <c r="KI50">
        <v>110</v>
      </c>
      <c r="KJ50">
        <v>110</v>
      </c>
      <c r="KK50">
        <v>70</v>
      </c>
      <c r="KL50">
        <v>70</v>
      </c>
      <c r="KM50" s="47">
        <v>0</v>
      </c>
      <c r="KN50" s="45"/>
      <c r="KO50">
        <v>230</v>
      </c>
      <c r="KP50">
        <v>230</v>
      </c>
      <c r="KQ50">
        <v>170</v>
      </c>
      <c r="KR50">
        <v>170</v>
      </c>
      <c r="KS50" s="47">
        <v>0</v>
      </c>
      <c r="KT50" s="43"/>
      <c r="KV50">
        <v>112</v>
      </c>
      <c r="KW50" s="50">
        <v>-112</v>
      </c>
      <c r="KX50" s="43">
        <v>10.08</v>
      </c>
      <c r="KY50">
        <v>200</v>
      </c>
      <c r="KZ50">
        <v>200</v>
      </c>
      <c r="LA50">
        <v>170</v>
      </c>
      <c r="LB50">
        <v>177</v>
      </c>
      <c r="LC50" s="47">
        <v>-7</v>
      </c>
      <c r="LD50" s="43"/>
      <c r="LE50" s="40">
        <v>100</v>
      </c>
      <c r="LF50" s="44">
        <v>100</v>
      </c>
      <c r="LG50" s="47">
        <v>0</v>
      </c>
      <c r="LH50" s="45"/>
      <c r="LM50" s="47">
        <v>0</v>
      </c>
      <c r="LN50" s="45"/>
      <c r="LO50">
        <v>250</v>
      </c>
      <c r="LP50">
        <v>250</v>
      </c>
      <c r="LQ50">
        <v>250</v>
      </c>
      <c r="LR50">
        <v>250</v>
      </c>
      <c r="LS50" s="47">
        <v>0</v>
      </c>
      <c r="LT50" s="45"/>
      <c r="LY50" s="47">
        <v>0</v>
      </c>
      <c r="LZ50" s="45"/>
      <c r="MA50">
        <v>150</v>
      </c>
      <c r="MB50">
        <v>150</v>
      </c>
      <c r="MC50">
        <v>320</v>
      </c>
      <c r="MD50">
        <v>320</v>
      </c>
      <c r="ME50" s="47">
        <v>0</v>
      </c>
      <c r="MF50" s="45"/>
      <c r="MG50" s="40">
        <v>50</v>
      </c>
      <c r="MH50">
        <v>50</v>
      </c>
      <c r="MI50">
        <v>100</v>
      </c>
      <c r="MJ50">
        <v>100</v>
      </c>
      <c r="MK50">
        <v>10</v>
      </c>
      <c r="ML50">
        <v>50</v>
      </c>
      <c r="MM50" s="50">
        <v>-40</v>
      </c>
      <c r="MN50" s="45">
        <v>3.6</v>
      </c>
      <c r="MO50" s="44">
        <v>0</v>
      </c>
      <c r="MP50" s="44">
        <v>0</v>
      </c>
      <c r="MQ50" s="44">
        <v>30</v>
      </c>
      <c r="MR50" s="44">
        <v>32</v>
      </c>
      <c r="MS50" s="47">
        <v>-2</v>
      </c>
      <c r="MT50" s="45"/>
      <c r="MU50" s="44">
        <v>100</v>
      </c>
      <c r="MV50" s="44">
        <v>100</v>
      </c>
      <c r="MW50" s="44">
        <v>180</v>
      </c>
      <c r="MX50" s="44">
        <v>180</v>
      </c>
      <c r="MY50" s="47">
        <v>0</v>
      </c>
      <c r="MZ50" s="45"/>
      <c r="NA50" s="46">
        <v>170</v>
      </c>
      <c r="NB50" s="44">
        <v>170</v>
      </c>
      <c r="NC50" s="47">
        <v>0</v>
      </c>
      <c r="ND50" s="45"/>
      <c r="NE50" s="46">
        <v>230</v>
      </c>
      <c r="NF50" s="44">
        <v>230</v>
      </c>
      <c r="NG50" s="44">
        <v>200</v>
      </c>
      <c r="NH50" s="44">
        <v>0</v>
      </c>
      <c r="NI50" s="44">
        <v>200</v>
      </c>
      <c r="NJ50" s="47">
        <v>0</v>
      </c>
      <c r="NK50" s="45"/>
      <c r="NL50" s="46">
        <v>40</v>
      </c>
      <c r="NM50" s="44">
        <v>40</v>
      </c>
      <c r="NN50" s="44">
        <v>40</v>
      </c>
      <c r="NO50" s="44">
        <v>40</v>
      </c>
      <c r="NP50" s="47">
        <v>0</v>
      </c>
      <c r="NQ50" s="45"/>
      <c r="NR50" s="46">
        <v>290</v>
      </c>
      <c r="NS50" s="44">
        <v>290</v>
      </c>
      <c r="NT50" s="47">
        <v>0</v>
      </c>
      <c r="NU50" s="45"/>
      <c r="NV50" s="46">
        <v>0</v>
      </c>
      <c r="NW50" s="44">
        <v>0</v>
      </c>
      <c r="NX50" s="44">
        <v>240</v>
      </c>
      <c r="NY50" s="44">
        <v>240</v>
      </c>
      <c r="NZ50" s="47">
        <v>0</v>
      </c>
      <c r="OA50" s="45"/>
      <c r="OB50" s="46">
        <v>190</v>
      </c>
      <c r="OC50" s="44">
        <v>190</v>
      </c>
      <c r="OD50" s="47">
        <v>0</v>
      </c>
      <c r="OE50" s="45"/>
      <c r="OF50" s="46">
        <v>0</v>
      </c>
      <c r="OG50" s="44">
        <v>0</v>
      </c>
      <c r="OH50" s="44">
        <v>260</v>
      </c>
      <c r="OI50" s="44">
        <v>261</v>
      </c>
      <c r="OJ50" s="47">
        <v>-1</v>
      </c>
      <c r="OK50" s="45"/>
      <c r="OL50" s="44">
        <v>0</v>
      </c>
      <c r="OM50" s="43"/>
      <c r="ON50" s="44">
        <v>30</v>
      </c>
      <c r="OO50" s="44">
        <v>30</v>
      </c>
      <c r="OP50" s="47">
        <v>0</v>
      </c>
      <c r="OQ50" s="45"/>
      <c r="OR50" s="46">
        <v>0</v>
      </c>
      <c r="OS50" s="44">
        <v>0</v>
      </c>
      <c r="OT50" s="44">
        <v>70</v>
      </c>
      <c r="OU50" s="44">
        <v>70</v>
      </c>
      <c r="OV50" s="47">
        <v>0</v>
      </c>
      <c r="OW50" s="45"/>
      <c r="OX50" s="25">
        <v>40</v>
      </c>
      <c r="OY50" s="44">
        <v>0</v>
      </c>
      <c r="OZ50" s="44">
        <v>0</v>
      </c>
      <c r="PA50" s="44">
        <v>0</v>
      </c>
      <c r="PB50" s="47">
        <v>40</v>
      </c>
      <c r="PC50" s="45"/>
      <c r="PD50" s="46">
        <v>160</v>
      </c>
      <c r="PE50" s="44">
        <v>160</v>
      </c>
      <c r="PF50" s="44">
        <v>200</v>
      </c>
      <c r="PG50" s="44">
        <v>200</v>
      </c>
      <c r="PH50" s="47">
        <v>0</v>
      </c>
      <c r="PI50" s="45"/>
      <c r="PJ50" s="46">
        <v>0</v>
      </c>
      <c r="PK50" s="44">
        <v>0</v>
      </c>
      <c r="PL50" s="44">
        <v>0</v>
      </c>
      <c r="PM50" s="44">
        <v>0</v>
      </c>
      <c r="PN50" s="47">
        <v>0</v>
      </c>
      <c r="PO50" s="45"/>
      <c r="PP50" s="46">
        <v>0</v>
      </c>
      <c r="PQ50" s="44">
        <v>0</v>
      </c>
      <c r="PR50" s="44">
        <v>150</v>
      </c>
      <c r="PS50" s="44">
        <v>150</v>
      </c>
      <c r="PT50" s="47">
        <v>0</v>
      </c>
      <c r="PU50" s="45"/>
      <c r="PV50" s="46">
        <v>350</v>
      </c>
      <c r="PW50" s="44">
        <v>350</v>
      </c>
      <c r="PX50" s="47">
        <v>0</v>
      </c>
      <c r="PY50" s="45"/>
      <c r="PZ50" s="46">
        <v>0</v>
      </c>
      <c r="QA50" s="44">
        <v>0</v>
      </c>
      <c r="QB50" s="47">
        <v>0</v>
      </c>
      <c r="QC50" s="45"/>
      <c r="QD50" s="46">
        <v>0</v>
      </c>
      <c r="QE50" s="44">
        <v>0</v>
      </c>
      <c r="QF50" s="44">
        <v>0</v>
      </c>
      <c r="QG50" s="44">
        <v>0</v>
      </c>
      <c r="QH50" s="47">
        <v>0</v>
      </c>
      <c r="QI50" s="45"/>
      <c r="QJ50" s="46">
        <v>0</v>
      </c>
      <c r="QK50" s="44">
        <v>0</v>
      </c>
      <c r="QL50" s="47">
        <v>0</v>
      </c>
      <c r="QM50" s="45"/>
      <c r="QN50" s="46">
        <v>0</v>
      </c>
      <c r="QO50" s="44">
        <v>0</v>
      </c>
      <c r="QP50" s="44">
        <v>0</v>
      </c>
      <c r="QQ50" s="44">
        <v>0</v>
      </c>
      <c r="QR50" s="47">
        <v>0</v>
      </c>
      <c r="QS50" s="45"/>
      <c r="QT50" s="46">
        <v>0</v>
      </c>
      <c r="QU50" s="44">
        <v>0</v>
      </c>
      <c r="QV50" s="47">
        <v>0</v>
      </c>
      <c r="QW50" s="45"/>
      <c r="QX50" s="46">
        <v>0</v>
      </c>
      <c r="QY50" s="44">
        <v>0</v>
      </c>
      <c r="QZ50" s="44">
        <v>30</v>
      </c>
      <c r="RA50" s="44">
        <v>30</v>
      </c>
      <c r="RB50" s="47">
        <v>0</v>
      </c>
      <c r="RC50" s="45"/>
      <c r="RD50" s="42">
        <v>0</v>
      </c>
      <c r="RE50" s="44">
        <v>0</v>
      </c>
      <c r="RF50" s="44">
        <v>120</v>
      </c>
      <c r="RG50" s="44">
        <v>124</v>
      </c>
      <c r="RH50" s="47">
        <v>-4</v>
      </c>
      <c r="RI50" s="45"/>
      <c r="RJ50" s="42">
        <v>0</v>
      </c>
      <c r="RK50" s="47">
        <v>0</v>
      </c>
      <c r="RL50" s="47">
        <v>0</v>
      </c>
      <c r="RM50" s="47">
        <v>0</v>
      </c>
      <c r="RN50" s="47">
        <v>0</v>
      </c>
      <c r="RO50" s="43"/>
      <c r="RP50" s="42">
        <v>0</v>
      </c>
      <c r="RQ50" s="47">
        <v>0</v>
      </c>
      <c r="RR50" s="47">
        <v>0</v>
      </c>
      <c r="RS50" s="43"/>
      <c r="RT50" s="42">
        <v>0</v>
      </c>
      <c r="RU50" s="47">
        <v>0</v>
      </c>
      <c r="RV50" s="47">
        <v>0</v>
      </c>
      <c r="RW50" s="47">
        <v>0</v>
      </c>
      <c r="RX50" s="47">
        <v>0</v>
      </c>
      <c r="RY50" s="43"/>
      <c r="RZ50" s="42">
        <v>0</v>
      </c>
      <c r="SA50" s="47">
        <v>0</v>
      </c>
      <c r="SB50" s="47">
        <v>0</v>
      </c>
      <c r="SC50" s="47">
        <v>0</v>
      </c>
      <c r="SD50" s="47">
        <v>0</v>
      </c>
      <c r="SE50" s="43"/>
      <c r="SF50" s="42">
        <v>0</v>
      </c>
      <c r="SG50" s="47">
        <v>0</v>
      </c>
      <c r="SH50" s="47">
        <v>110</v>
      </c>
      <c r="SI50" s="47">
        <v>0</v>
      </c>
      <c r="SJ50" s="47">
        <v>110</v>
      </c>
      <c r="SK50" s="43"/>
      <c r="SL50" s="42">
        <v>0</v>
      </c>
      <c r="SM50" s="47">
        <v>0</v>
      </c>
      <c r="SN50" s="47">
        <v>0</v>
      </c>
      <c r="SO50" s="43"/>
      <c r="SP50" s="42">
        <v>0</v>
      </c>
      <c r="SQ50" s="47">
        <v>0</v>
      </c>
      <c r="SR50" s="47">
        <v>0</v>
      </c>
      <c r="SS50" s="47">
        <v>0</v>
      </c>
      <c r="ST50" s="47">
        <v>0</v>
      </c>
      <c r="SU50" s="43"/>
    </row>
    <row r="51" spans="1:515" x14ac:dyDescent="0.25">
      <c r="A51" s="47" t="s">
        <v>358</v>
      </c>
      <c r="B51" s="41">
        <v>0.4</v>
      </c>
      <c r="E51">
        <v>99</v>
      </c>
      <c r="F51">
        <v>120</v>
      </c>
      <c r="G51">
        <v>121</v>
      </c>
      <c r="J51" s="40">
        <v>104</v>
      </c>
      <c r="K51" s="52">
        <v>105</v>
      </c>
      <c r="L51" s="52">
        <v>80</v>
      </c>
      <c r="M51" s="52">
        <v>85</v>
      </c>
      <c r="N51" s="51">
        <f t="shared" si="9"/>
        <v>-6</v>
      </c>
      <c r="O51" s="43"/>
      <c r="P51" s="40">
        <v>128</v>
      </c>
      <c r="Q51" s="52">
        <v>131</v>
      </c>
      <c r="R51" s="52">
        <v>112</v>
      </c>
      <c r="S51" s="52">
        <v>112</v>
      </c>
      <c r="T51" s="51">
        <f t="shared" si="10"/>
        <v>-3</v>
      </c>
      <c r="U51" s="43"/>
      <c r="V51" s="40">
        <v>64</v>
      </c>
      <c r="W51" s="52">
        <v>65</v>
      </c>
      <c r="X51" s="52">
        <v>32</v>
      </c>
      <c r="Y51" s="52">
        <v>33</v>
      </c>
      <c r="Z51" s="51">
        <f t="shared" si="11"/>
        <v>-2</v>
      </c>
      <c r="AA51" s="43"/>
      <c r="AB51" s="42"/>
      <c r="AC51" s="51"/>
      <c r="AD51" s="51"/>
      <c r="AE51" s="51"/>
      <c r="AF51" s="51">
        <v>0</v>
      </c>
      <c r="AG51" s="43"/>
      <c r="AH51" s="52">
        <v>64</v>
      </c>
      <c r="AI51">
        <v>68</v>
      </c>
      <c r="AJ51">
        <v>48</v>
      </c>
      <c r="AK51">
        <v>55</v>
      </c>
      <c r="AL51" s="47">
        <v>-11</v>
      </c>
      <c r="AM51" s="43"/>
      <c r="AN51" s="40">
        <v>96</v>
      </c>
      <c r="AO51">
        <v>100</v>
      </c>
      <c r="AP51">
        <v>192</v>
      </c>
      <c r="AQ51">
        <v>192</v>
      </c>
      <c r="AR51" s="47">
        <v>-4</v>
      </c>
      <c r="AS51" s="43"/>
      <c r="AV51">
        <v>32</v>
      </c>
      <c r="AW51">
        <v>32</v>
      </c>
      <c r="AX51" s="47">
        <v>0</v>
      </c>
      <c r="AY51" s="43"/>
      <c r="AZ51">
        <v>80</v>
      </c>
      <c r="BA51">
        <v>80</v>
      </c>
      <c r="BB51">
        <v>96</v>
      </c>
      <c r="BC51">
        <v>97</v>
      </c>
      <c r="BD51" s="47">
        <v>-1</v>
      </c>
      <c r="BE51" s="43"/>
      <c r="BF51" s="40">
        <v>56</v>
      </c>
      <c r="BG51">
        <v>60</v>
      </c>
      <c r="BH51">
        <v>56</v>
      </c>
      <c r="BI51">
        <v>59</v>
      </c>
      <c r="BJ51" s="47">
        <v>-7</v>
      </c>
      <c r="BK51" s="43"/>
      <c r="BL51" s="40">
        <v>96</v>
      </c>
      <c r="BM51">
        <v>100</v>
      </c>
      <c r="BN51">
        <v>112</v>
      </c>
      <c r="BO51">
        <v>117</v>
      </c>
      <c r="BP51" s="47">
        <v>-9</v>
      </c>
      <c r="BQ51" s="43"/>
      <c r="BR51">
        <v>96</v>
      </c>
      <c r="BS51">
        <v>96</v>
      </c>
      <c r="BT51">
        <v>96</v>
      </c>
      <c r="BU51">
        <v>100</v>
      </c>
      <c r="BV51" s="47">
        <v>-4</v>
      </c>
      <c r="BW51" s="43"/>
      <c r="BX51" s="40">
        <v>96</v>
      </c>
      <c r="BY51">
        <v>100</v>
      </c>
      <c r="BZ51">
        <v>128</v>
      </c>
      <c r="CA51">
        <v>132</v>
      </c>
      <c r="CB51" s="47">
        <v>-8</v>
      </c>
      <c r="CC51" s="43"/>
      <c r="CD51">
        <v>56</v>
      </c>
      <c r="CE51">
        <v>60</v>
      </c>
      <c r="CF51">
        <v>72</v>
      </c>
      <c r="CG51">
        <v>77</v>
      </c>
      <c r="CH51" s="47">
        <v>-9</v>
      </c>
      <c r="CI51" s="43"/>
      <c r="CJ51">
        <v>40</v>
      </c>
      <c r="CK51">
        <v>40</v>
      </c>
      <c r="CL51">
        <v>40</v>
      </c>
      <c r="CM51">
        <v>42</v>
      </c>
      <c r="CN51" s="47">
        <v>-2</v>
      </c>
      <c r="CO51" s="43"/>
      <c r="CP51" s="42"/>
      <c r="CT51" s="47">
        <v>0</v>
      </c>
      <c r="CU51" s="43"/>
      <c r="CV51" s="40">
        <v>168</v>
      </c>
      <c r="CW51">
        <v>170</v>
      </c>
      <c r="CX51">
        <v>200</v>
      </c>
      <c r="CY51">
        <v>200</v>
      </c>
      <c r="CZ51" s="47">
        <v>-2</v>
      </c>
      <c r="DA51" s="43"/>
      <c r="DB51">
        <v>40</v>
      </c>
      <c r="DC51">
        <v>40</v>
      </c>
      <c r="DG51" s="47">
        <v>0</v>
      </c>
      <c r="DH51" s="43"/>
      <c r="DI51">
        <v>152</v>
      </c>
      <c r="DJ51">
        <v>150</v>
      </c>
      <c r="DK51" s="47">
        <v>2</v>
      </c>
      <c r="DL51" s="43"/>
      <c r="DM51" s="40">
        <v>96</v>
      </c>
      <c r="DN51">
        <v>209</v>
      </c>
      <c r="DQ51" s="50">
        <v>-113</v>
      </c>
      <c r="DR51" s="43">
        <v>45.2</v>
      </c>
      <c r="DS51">
        <v>88</v>
      </c>
      <c r="DT51">
        <v>90</v>
      </c>
      <c r="DU51">
        <v>160</v>
      </c>
      <c r="DV51">
        <v>163</v>
      </c>
      <c r="DW51" s="47">
        <v>-5</v>
      </c>
      <c r="DX51" s="43"/>
      <c r="EC51" s="47">
        <v>0</v>
      </c>
      <c r="ED51" s="43"/>
      <c r="EE51" s="42"/>
      <c r="EG51">
        <v>208</v>
      </c>
      <c r="EH51" s="47">
        <v>211</v>
      </c>
      <c r="EI51" s="47">
        <v>-3</v>
      </c>
      <c r="EJ51" s="43"/>
      <c r="EO51" s="47">
        <v>0</v>
      </c>
      <c r="EP51" s="43"/>
      <c r="EQ51" s="42"/>
      <c r="ES51">
        <v>120</v>
      </c>
      <c r="ET51" s="47">
        <v>120</v>
      </c>
      <c r="EU51" s="47">
        <v>0</v>
      </c>
      <c r="EV51" s="43"/>
      <c r="EW51" s="42"/>
      <c r="FC51" s="47">
        <v>0</v>
      </c>
      <c r="FD51" s="43"/>
      <c r="FE51" s="42"/>
      <c r="FI51" s="47">
        <v>0</v>
      </c>
      <c r="FJ51" s="43"/>
      <c r="FR51" s="43"/>
      <c r="FS51" s="42"/>
      <c r="FX51" s="43"/>
      <c r="FY51" s="42"/>
      <c r="GD51" s="43"/>
      <c r="GE51" s="40"/>
      <c r="GJ51" s="43"/>
      <c r="GR51" s="43"/>
      <c r="GY51" s="43"/>
      <c r="GZ51" s="42"/>
      <c r="HD51" s="43"/>
      <c r="HE51" s="40"/>
      <c r="HI51" s="43"/>
      <c r="HO51" s="43"/>
      <c r="HP51" s="42"/>
      <c r="HV51" s="43"/>
      <c r="IB51" s="43"/>
      <c r="IC51" s="42"/>
      <c r="IH51" s="43"/>
      <c r="IN51" s="43"/>
      <c r="IO51" s="40"/>
      <c r="IR51" s="43"/>
      <c r="IS51" s="42"/>
      <c r="IX51" s="43"/>
      <c r="IY51" s="40"/>
      <c r="JB51" s="43"/>
      <c r="JC51" s="40"/>
      <c r="JH51" s="43"/>
      <c r="JP51" s="43"/>
      <c r="JQ51" s="42"/>
      <c r="JV51" s="43"/>
      <c r="KB51" s="45"/>
      <c r="KH51" s="45"/>
      <c r="KN51" s="45"/>
      <c r="KT51" s="43"/>
      <c r="KX51" s="43"/>
      <c r="LD51" s="43"/>
      <c r="LE51" s="40"/>
      <c r="LH51" s="45"/>
      <c r="LN51" s="45"/>
      <c r="LT51" s="45"/>
      <c r="LV51" s="44"/>
      <c r="LZ51" s="45"/>
      <c r="MF51" s="45"/>
      <c r="MG51" s="40"/>
      <c r="MN51" s="45"/>
      <c r="MO51" s="44"/>
      <c r="MP51" s="44"/>
      <c r="MQ51" s="44"/>
      <c r="MR51" s="44"/>
      <c r="MT51" s="45"/>
      <c r="MU51" s="44"/>
      <c r="MV51" s="44"/>
      <c r="MW51" s="44"/>
      <c r="MX51" s="44"/>
      <c r="MZ51" s="45"/>
      <c r="NA51" s="46"/>
      <c r="NB51" s="44"/>
      <c r="ND51" s="45"/>
      <c r="NE51" s="46"/>
      <c r="NF51" s="44"/>
      <c r="NG51" s="44"/>
      <c r="NH51" s="44"/>
      <c r="NI51" s="44"/>
      <c r="NK51" s="45"/>
      <c r="NL51" s="46"/>
      <c r="NM51" s="44"/>
      <c r="NN51" s="44"/>
      <c r="NO51" s="44"/>
      <c r="NQ51" s="45"/>
      <c r="NR51" s="46"/>
      <c r="NS51" s="44"/>
      <c r="NU51" s="45"/>
      <c r="NV51" s="46"/>
      <c r="NW51" s="44"/>
      <c r="NX51" s="44"/>
      <c r="NY51" s="44"/>
      <c r="OA51" s="45"/>
      <c r="OB51" s="46"/>
      <c r="OC51" s="44"/>
      <c r="OE51" s="45"/>
      <c r="OF51" s="46"/>
      <c r="OG51" s="44"/>
      <c r="OH51" s="44"/>
      <c r="OI51" s="44"/>
      <c r="OK51" s="45"/>
      <c r="OL51" s="44"/>
      <c r="OM51" s="43"/>
      <c r="ON51" s="44"/>
      <c r="OO51" s="44"/>
      <c r="OQ51" s="45"/>
      <c r="OR51" s="46"/>
      <c r="OS51" s="44"/>
      <c r="OT51" s="44"/>
      <c r="OU51" s="44"/>
      <c r="OW51" s="45"/>
      <c r="OX51" s="46"/>
      <c r="OY51" s="44"/>
      <c r="OZ51" s="44"/>
      <c r="PA51" s="44"/>
      <c r="PC51" s="45"/>
      <c r="PD51" s="46"/>
      <c r="PE51" s="44"/>
      <c r="PF51" s="44"/>
      <c r="PG51" s="44"/>
      <c r="PI51" s="45"/>
      <c r="PJ51" s="46"/>
      <c r="PK51" s="44"/>
      <c r="PL51" s="44"/>
      <c r="PM51" s="44"/>
      <c r="PO51" s="45"/>
      <c r="PP51" s="46"/>
      <c r="PQ51" s="44"/>
      <c r="PR51" s="44"/>
      <c r="PS51" s="44"/>
      <c r="PU51" s="45"/>
      <c r="PV51" s="46"/>
      <c r="PW51" s="44"/>
      <c r="PY51" s="45"/>
      <c r="PZ51" s="46"/>
      <c r="QA51" s="44"/>
      <c r="QC51" s="45"/>
      <c r="QD51" s="46"/>
      <c r="QE51" s="44"/>
      <c r="QF51" s="44"/>
      <c r="QG51" s="44"/>
      <c r="QI51" s="45"/>
      <c r="QJ51" s="46"/>
      <c r="QK51" s="44"/>
      <c r="QM51" s="45"/>
      <c r="QN51" s="46"/>
      <c r="QO51" s="44"/>
      <c r="QP51" s="44"/>
      <c r="QQ51" s="44"/>
      <c r="QS51" s="45"/>
      <c r="QT51" s="46"/>
      <c r="QU51" s="44"/>
      <c r="QW51" s="45"/>
      <c r="QX51" s="46"/>
      <c r="QY51" s="44"/>
      <c r="QZ51" s="44"/>
      <c r="RA51" s="44"/>
      <c r="RC51" s="45"/>
      <c r="RD51" s="42"/>
      <c r="RE51" s="44"/>
      <c r="RF51" s="44"/>
      <c r="RG51" s="44"/>
      <c r="RI51" s="45"/>
      <c r="RJ51" s="42"/>
      <c r="RO51" s="43"/>
      <c r="RP51" s="42"/>
      <c r="RS51" s="43"/>
      <c r="RT51" s="42"/>
      <c r="RY51" s="43"/>
      <c r="RZ51" s="42"/>
      <c r="SE51" s="43"/>
      <c r="SF51" s="42"/>
      <c r="SK51" s="43"/>
      <c r="SL51" s="42"/>
      <c r="SO51" s="43"/>
      <c r="SP51" s="42"/>
      <c r="SU51" s="43"/>
    </row>
    <row r="52" spans="1:515" x14ac:dyDescent="0.25">
      <c r="A52" s="47" t="s">
        <v>359</v>
      </c>
      <c r="B52" s="41">
        <v>0.15</v>
      </c>
      <c r="J52" s="40">
        <v>96</v>
      </c>
      <c r="K52" s="52">
        <v>103</v>
      </c>
      <c r="L52" s="52">
        <v>80</v>
      </c>
      <c r="M52" s="52">
        <v>84</v>
      </c>
      <c r="N52" s="51">
        <f t="shared" si="9"/>
        <v>-11</v>
      </c>
      <c r="O52" s="43"/>
      <c r="P52" s="46"/>
      <c r="Q52" s="51"/>
      <c r="R52" s="51"/>
      <c r="S52" s="51"/>
      <c r="T52" s="51">
        <f t="shared" si="10"/>
        <v>0</v>
      </c>
      <c r="U52" s="43"/>
      <c r="V52" s="40">
        <v>48</v>
      </c>
      <c r="W52" s="52">
        <v>50</v>
      </c>
      <c r="X52" s="52">
        <v>48</v>
      </c>
      <c r="Y52" s="52">
        <v>50</v>
      </c>
      <c r="Z52" s="51">
        <f t="shared" si="11"/>
        <v>-4</v>
      </c>
      <c r="AA52" s="43"/>
      <c r="AB52" s="42"/>
      <c r="AC52" s="51"/>
      <c r="AD52" s="52">
        <v>48</v>
      </c>
      <c r="AE52" s="56">
        <v>48</v>
      </c>
      <c r="AF52" s="51">
        <v>0</v>
      </c>
      <c r="AG52" s="43"/>
      <c r="AH52" s="51"/>
      <c r="AJ52">
        <v>72</v>
      </c>
      <c r="AK52">
        <v>74</v>
      </c>
      <c r="AL52" s="47">
        <v>-2</v>
      </c>
      <c r="AM52" s="43"/>
      <c r="AN52" s="42"/>
      <c r="AP52">
        <v>48</v>
      </c>
      <c r="AQ52">
        <v>50</v>
      </c>
      <c r="AR52" s="47">
        <v>-2</v>
      </c>
      <c r="AS52" s="43"/>
      <c r="AU52">
        <v>30</v>
      </c>
      <c r="AV52">
        <v>48</v>
      </c>
      <c r="AW52">
        <v>48</v>
      </c>
      <c r="AX52" s="50">
        <v>-30</v>
      </c>
      <c r="AY52" s="43">
        <v>4.5</v>
      </c>
      <c r="BD52" s="47">
        <v>0</v>
      </c>
      <c r="BE52" s="43"/>
      <c r="BF52" s="42"/>
      <c r="BG52">
        <v>30</v>
      </c>
      <c r="BH52">
        <v>40</v>
      </c>
      <c r="BI52">
        <v>38</v>
      </c>
      <c r="BJ52" s="50">
        <v>-28</v>
      </c>
      <c r="BK52" s="43">
        <v>4.2</v>
      </c>
      <c r="BL52" s="42"/>
      <c r="BP52" s="47">
        <v>0</v>
      </c>
      <c r="BQ52" s="43"/>
      <c r="BT52">
        <v>40</v>
      </c>
      <c r="BU52">
        <v>40</v>
      </c>
      <c r="BV52" s="47">
        <v>0</v>
      </c>
      <c r="BW52" s="43"/>
      <c r="BX52" s="42"/>
      <c r="CB52" s="47">
        <v>0</v>
      </c>
      <c r="CC52" s="43"/>
      <c r="CF52">
        <v>168</v>
      </c>
      <c r="CG52">
        <v>170</v>
      </c>
      <c r="CH52" s="47">
        <v>-2</v>
      </c>
      <c r="CI52" s="43"/>
      <c r="CN52" s="47">
        <v>0</v>
      </c>
      <c r="CO52" s="43"/>
      <c r="CP52" s="42"/>
      <c r="CT52" s="47">
        <v>0</v>
      </c>
      <c r="CU52" s="43"/>
      <c r="CV52" s="42"/>
      <c r="CX52">
        <v>8</v>
      </c>
      <c r="CY52">
        <v>8</v>
      </c>
      <c r="CZ52" s="47">
        <v>0</v>
      </c>
      <c r="DA52" s="43"/>
      <c r="DE52">
        <v>16</v>
      </c>
      <c r="DF52">
        <v>16</v>
      </c>
      <c r="DG52" s="47">
        <v>0</v>
      </c>
      <c r="DH52" s="43"/>
      <c r="DK52" s="47">
        <v>0</v>
      </c>
      <c r="DL52" s="43"/>
      <c r="DM52" s="42"/>
      <c r="DO52">
        <v>8</v>
      </c>
      <c r="DP52">
        <v>7</v>
      </c>
      <c r="DQ52" s="47">
        <v>1</v>
      </c>
      <c r="DR52" s="43"/>
      <c r="DW52" s="47">
        <v>0</v>
      </c>
      <c r="DX52" s="43"/>
      <c r="EC52" s="47">
        <v>0</v>
      </c>
      <c r="ED52" s="43"/>
      <c r="EE52" s="42"/>
      <c r="EG52" s="47">
        <v>48</v>
      </c>
      <c r="EH52" s="47">
        <v>50</v>
      </c>
      <c r="EI52" s="47">
        <v>-2</v>
      </c>
      <c r="EJ52" s="43"/>
      <c r="EO52" s="47">
        <v>0</v>
      </c>
      <c r="EP52" s="43"/>
      <c r="EQ52" s="42"/>
      <c r="EU52" s="47">
        <v>0</v>
      </c>
      <c r="EV52" s="43"/>
      <c r="EW52" s="42"/>
      <c r="FC52" s="47">
        <v>0</v>
      </c>
      <c r="FD52" s="43"/>
      <c r="FE52" s="42"/>
      <c r="FI52" s="47">
        <v>0</v>
      </c>
      <c r="FJ52" s="43"/>
      <c r="FR52" s="43"/>
      <c r="FS52" s="42"/>
      <c r="FX52" s="43"/>
      <c r="FY52" s="42"/>
      <c r="GD52" s="43"/>
      <c r="GE52" s="40"/>
      <c r="GJ52" s="43"/>
      <c r="GR52" s="43"/>
      <c r="GY52" s="43"/>
      <c r="GZ52" s="42"/>
      <c r="HD52" s="43"/>
      <c r="HE52" s="40"/>
      <c r="HI52" s="43"/>
      <c r="HO52" s="43"/>
      <c r="HP52" s="42"/>
      <c r="HV52" s="43"/>
      <c r="IB52" s="43"/>
      <c r="IC52" s="42"/>
      <c r="IH52" s="43"/>
      <c r="IN52" s="43"/>
      <c r="IO52" s="40"/>
      <c r="IR52" s="43"/>
      <c r="IS52" s="42"/>
      <c r="IX52" s="43"/>
      <c r="IY52" s="40"/>
      <c r="JB52" s="43"/>
      <c r="JC52" s="40"/>
      <c r="JH52" s="43"/>
      <c r="JP52" s="43"/>
      <c r="JQ52" s="42"/>
      <c r="JV52" s="43"/>
      <c r="KB52" s="45"/>
      <c r="KH52" s="45"/>
      <c r="KN52" s="45"/>
      <c r="KT52" s="43"/>
      <c r="KX52" s="43"/>
      <c r="LD52" s="43"/>
      <c r="LE52" s="40"/>
      <c r="LH52" s="45"/>
      <c r="LN52" s="45"/>
      <c r="LT52" s="45"/>
      <c r="LU52" s="44"/>
      <c r="LV52" s="44"/>
      <c r="LW52" s="44"/>
      <c r="LZ52" s="45"/>
      <c r="MF52" s="45"/>
      <c r="MG52" s="40"/>
      <c r="MN52" s="45"/>
      <c r="MO52" s="44"/>
      <c r="MP52" s="44"/>
      <c r="MQ52" s="44"/>
      <c r="MR52" s="44"/>
      <c r="MT52" s="45"/>
      <c r="MU52" s="44"/>
      <c r="MV52" s="44"/>
      <c r="MW52" s="44"/>
      <c r="MX52" s="44"/>
      <c r="MZ52" s="45"/>
      <c r="NA52" s="46"/>
      <c r="NB52" s="44"/>
      <c r="ND52" s="45"/>
      <c r="NE52" s="46"/>
      <c r="NF52" s="44"/>
      <c r="NG52" s="44"/>
      <c r="NH52" s="44"/>
      <c r="NI52" s="44"/>
      <c r="NK52" s="45"/>
      <c r="NL52" s="46"/>
      <c r="NM52" s="44"/>
      <c r="NN52" s="44"/>
      <c r="NO52" s="44"/>
      <c r="NQ52" s="45"/>
      <c r="NR52" s="46"/>
      <c r="NS52" s="44"/>
      <c r="NU52" s="45"/>
      <c r="NV52" s="46"/>
      <c r="NW52" s="44"/>
      <c r="NX52" s="44"/>
      <c r="NY52" s="44"/>
      <c r="OA52" s="45"/>
      <c r="OB52" s="46"/>
      <c r="OC52" s="44"/>
      <c r="OE52" s="45"/>
      <c r="OF52" s="46"/>
      <c r="OG52" s="44"/>
      <c r="OH52" s="44"/>
      <c r="OI52" s="44"/>
      <c r="OK52" s="45"/>
      <c r="OL52" s="44"/>
      <c r="OM52" s="43"/>
      <c r="ON52" s="44"/>
      <c r="OO52" s="44"/>
      <c r="OQ52" s="45"/>
      <c r="OR52" s="46"/>
      <c r="OS52" s="44"/>
      <c r="OT52" s="44"/>
      <c r="OU52" s="44"/>
      <c r="OW52" s="45"/>
      <c r="OX52" s="46"/>
      <c r="OY52" s="44"/>
      <c r="OZ52" s="44"/>
      <c r="PA52" s="44"/>
      <c r="PC52" s="45"/>
      <c r="PD52" s="46"/>
      <c r="PE52" s="44"/>
      <c r="PF52" s="44"/>
      <c r="PG52" s="44"/>
      <c r="PI52" s="45"/>
      <c r="PJ52" s="46"/>
      <c r="PK52" s="44"/>
      <c r="PL52" s="44"/>
      <c r="PM52" s="44"/>
      <c r="PO52" s="45"/>
      <c r="PP52" s="46"/>
      <c r="PQ52" s="44"/>
      <c r="PR52" s="44"/>
      <c r="PS52" s="44"/>
      <c r="PU52" s="45"/>
      <c r="PV52" s="46"/>
      <c r="PW52" s="44"/>
      <c r="PY52" s="45"/>
      <c r="PZ52" s="46"/>
      <c r="QA52" s="44"/>
      <c r="QC52" s="45"/>
      <c r="QD52" s="46"/>
      <c r="QE52" s="44"/>
      <c r="QF52" s="44"/>
      <c r="QG52" s="44"/>
      <c r="QI52" s="45"/>
      <c r="QJ52" s="46"/>
      <c r="QK52" s="44"/>
      <c r="QM52" s="45"/>
      <c r="QN52" s="46"/>
      <c r="QO52" s="44"/>
      <c r="QP52" s="44"/>
      <c r="QQ52" s="44"/>
      <c r="QS52" s="45"/>
      <c r="QT52" s="46"/>
      <c r="QU52" s="44"/>
      <c r="QW52" s="45"/>
      <c r="QX52" s="46"/>
      <c r="QY52" s="44"/>
      <c r="QZ52" s="44"/>
      <c r="RA52" s="44"/>
      <c r="RC52" s="45"/>
      <c r="RD52" s="42"/>
      <c r="RE52" s="44"/>
      <c r="RF52" s="44"/>
      <c r="RG52" s="44"/>
      <c r="RI52" s="45"/>
      <c r="RJ52" s="42"/>
      <c r="RO52" s="43"/>
      <c r="RP52" s="42"/>
      <c r="RS52" s="43"/>
      <c r="RT52" s="42"/>
      <c r="RY52" s="43"/>
      <c r="RZ52" s="42"/>
      <c r="SE52" s="43"/>
      <c r="SF52" s="42"/>
      <c r="SK52" s="43"/>
      <c r="SL52" s="42"/>
      <c r="SO52" s="43"/>
      <c r="SP52" s="42"/>
      <c r="SU52" s="43"/>
    </row>
    <row r="53" spans="1:515" x14ac:dyDescent="0.25">
      <c r="A53" s="47" t="s">
        <v>360</v>
      </c>
      <c r="B53" s="41">
        <v>0.3</v>
      </c>
      <c r="J53" s="42"/>
      <c r="K53" s="51"/>
      <c r="L53" s="51"/>
      <c r="M53" s="51"/>
      <c r="N53" s="51">
        <f t="shared" si="9"/>
        <v>0</v>
      </c>
      <c r="O53" s="43"/>
      <c r="P53" s="46"/>
      <c r="Q53" s="51"/>
      <c r="R53" s="51"/>
      <c r="S53" s="51"/>
      <c r="T53" s="51">
        <f t="shared" si="10"/>
        <v>0</v>
      </c>
      <c r="U53" s="43"/>
      <c r="V53" s="42"/>
      <c r="W53" s="51"/>
      <c r="X53" s="51"/>
      <c r="Y53" s="51"/>
      <c r="Z53" s="51">
        <f t="shared" si="11"/>
        <v>0</v>
      </c>
      <c r="AA53" s="43"/>
      <c r="AB53" s="42"/>
      <c r="AC53" s="51"/>
      <c r="AD53" s="51"/>
      <c r="AE53" s="51"/>
      <c r="AF53" s="51">
        <v>0</v>
      </c>
      <c r="AG53" s="43"/>
      <c r="AH53" s="51"/>
      <c r="AL53" s="47">
        <v>0</v>
      </c>
      <c r="AM53" s="43"/>
      <c r="AN53" s="42"/>
      <c r="AR53" s="47">
        <v>0</v>
      </c>
      <c r="AS53" s="43"/>
      <c r="AX53" s="47">
        <v>0</v>
      </c>
      <c r="AY53" s="43"/>
      <c r="BD53" s="47">
        <v>0</v>
      </c>
      <c r="BE53" s="43"/>
      <c r="BF53" s="42"/>
      <c r="BJ53" s="47">
        <v>0</v>
      </c>
      <c r="BK53" s="43"/>
      <c r="BL53" s="42"/>
      <c r="BP53" s="47">
        <v>0</v>
      </c>
      <c r="BQ53" s="43"/>
      <c r="BV53" s="47">
        <v>0</v>
      </c>
      <c r="BW53" s="43"/>
      <c r="BX53" s="42"/>
      <c r="CB53" s="47">
        <v>0</v>
      </c>
      <c r="CC53" s="43"/>
      <c r="CH53" s="47">
        <v>0</v>
      </c>
      <c r="CI53" s="43"/>
      <c r="CN53" s="47">
        <v>0</v>
      </c>
      <c r="CO53" s="43"/>
      <c r="CP53" s="42"/>
      <c r="CT53" s="47">
        <v>0</v>
      </c>
      <c r="CU53" s="43"/>
      <c r="CV53" s="42"/>
      <c r="CZ53" s="47">
        <v>0</v>
      </c>
      <c r="DA53" s="43"/>
      <c r="DG53" s="47">
        <v>0</v>
      </c>
      <c r="DH53" s="43"/>
      <c r="DK53" s="47">
        <v>0</v>
      </c>
      <c r="DL53" s="43"/>
      <c r="DM53" s="42"/>
      <c r="DQ53" s="47">
        <v>0</v>
      </c>
      <c r="DR53" s="43"/>
      <c r="DW53" s="47">
        <v>0</v>
      </c>
      <c r="DX53" s="43"/>
      <c r="EC53" s="47">
        <v>0</v>
      </c>
      <c r="ED53" s="43"/>
      <c r="EE53" s="42"/>
      <c r="EI53" s="47">
        <v>0</v>
      </c>
      <c r="EJ53" s="43"/>
      <c r="EO53" s="47">
        <v>0</v>
      </c>
      <c r="EP53" s="43"/>
      <c r="EQ53" s="42"/>
      <c r="EU53" s="47">
        <v>0</v>
      </c>
      <c r="EV53" s="43"/>
      <c r="EW53" s="42"/>
      <c r="FC53" s="47">
        <v>0</v>
      </c>
      <c r="FD53" s="43"/>
      <c r="FE53" s="42"/>
      <c r="FI53" s="47">
        <v>0</v>
      </c>
      <c r="FJ53" s="43"/>
      <c r="FQ53" s="47">
        <v>0</v>
      </c>
      <c r="FR53" s="43"/>
      <c r="FS53" s="42"/>
      <c r="FW53" s="47">
        <v>0</v>
      </c>
      <c r="FX53" s="43"/>
      <c r="FY53" s="42"/>
      <c r="GC53" s="47">
        <v>0</v>
      </c>
      <c r="GD53" s="43"/>
      <c r="GE53" s="42"/>
      <c r="GI53" s="47">
        <v>0</v>
      </c>
      <c r="GJ53" s="43"/>
      <c r="GQ53" s="47">
        <v>0</v>
      </c>
      <c r="GR53" s="43"/>
      <c r="GX53" s="47">
        <v>0</v>
      </c>
      <c r="GY53" s="43"/>
      <c r="GZ53" s="42"/>
      <c r="HC53" s="47">
        <v>0</v>
      </c>
      <c r="HD53" s="43"/>
      <c r="HE53" s="42"/>
      <c r="HH53" s="47">
        <v>0</v>
      </c>
      <c r="HI53" s="43"/>
      <c r="HN53" s="47">
        <v>0</v>
      </c>
      <c r="HO53" s="43"/>
      <c r="HP53" s="42"/>
      <c r="HU53" s="47">
        <v>0</v>
      </c>
      <c r="HV53" s="43"/>
      <c r="IA53" s="47">
        <v>0</v>
      </c>
      <c r="IB53" s="43"/>
      <c r="IC53" s="42"/>
      <c r="IG53" s="47">
        <v>0</v>
      </c>
      <c r="IH53" s="43"/>
      <c r="IM53" s="47">
        <v>0</v>
      </c>
      <c r="IN53" s="43"/>
      <c r="IO53" s="42"/>
      <c r="IQ53" s="47">
        <v>0</v>
      </c>
      <c r="IR53" s="43"/>
      <c r="IS53" s="42"/>
      <c r="IW53" s="47">
        <v>0</v>
      </c>
      <c r="IX53" s="43"/>
      <c r="IY53" s="42"/>
      <c r="JA53" s="47">
        <v>0</v>
      </c>
      <c r="JB53" s="43"/>
      <c r="JC53" s="42"/>
      <c r="JG53" s="47">
        <v>0</v>
      </c>
      <c r="JH53" s="43"/>
      <c r="JO53" s="47">
        <v>0</v>
      </c>
      <c r="JP53" s="43"/>
      <c r="JQ53" s="42"/>
      <c r="JU53" s="47">
        <v>0</v>
      </c>
      <c r="JV53" s="43"/>
      <c r="KA53" s="47">
        <v>0</v>
      </c>
      <c r="KB53" s="45"/>
      <c r="KG53" s="47">
        <v>0</v>
      </c>
      <c r="KH53" s="45"/>
      <c r="KM53" s="47">
        <v>0</v>
      </c>
      <c r="KN53" s="45"/>
      <c r="KS53" s="47">
        <v>0</v>
      </c>
      <c r="KT53" s="43"/>
      <c r="KW53" s="47">
        <v>0</v>
      </c>
      <c r="KX53" s="45"/>
      <c r="LC53" s="47">
        <v>0</v>
      </c>
      <c r="LD53" s="43"/>
      <c r="LE53" s="46"/>
      <c r="LG53" s="47">
        <v>0</v>
      </c>
      <c r="LH53" s="45"/>
      <c r="LM53" s="47">
        <v>0</v>
      </c>
      <c r="LN53" s="45"/>
      <c r="LS53" s="47">
        <v>0</v>
      </c>
      <c r="LT53" s="45"/>
      <c r="LY53" s="47">
        <v>0</v>
      </c>
      <c r="LZ53" s="45"/>
      <c r="ME53" s="47">
        <v>0</v>
      </c>
      <c r="MF53" s="45"/>
      <c r="MG53" s="46"/>
      <c r="MM53" s="47">
        <v>0</v>
      </c>
      <c r="MN53" s="45"/>
      <c r="MO53" s="44">
        <v>0</v>
      </c>
      <c r="MP53" s="44">
        <v>0</v>
      </c>
      <c r="MQ53" s="44">
        <v>0</v>
      </c>
      <c r="MR53" s="44">
        <v>0</v>
      </c>
      <c r="MS53" s="47">
        <v>0</v>
      </c>
      <c r="MT53" s="45"/>
      <c r="MU53" s="44">
        <v>0</v>
      </c>
      <c r="MV53" s="44">
        <v>0</v>
      </c>
      <c r="MW53" s="44">
        <v>0</v>
      </c>
      <c r="MX53" s="44">
        <v>0</v>
      </c>
      <c r="MY53" s="47">
        <v>0</v>
      </c>
      <c r="MZ53" s="45"/>
      <c r="NA53" s="46">
        <v>0</v>
      </c>
      <c r="NB53" s="44">
        <v>0</v>
      </c>
      <c r="NC53" s="47">
        <v>0</v>
      </c>
      <c r="ND53" s="45"/>
      <c r="NE53" s="46">
        <v>0</v>
      </c>
      <c r="NF53" s="44">
        <v>0</v>
      </c>
      <c r="NG53" s="44">
        <v>0</v>
      </c>
      <c r="NH53" s="44">
        <v>0</v>
      </c>
      <c r="NI53" s="44">
        <v>0</v>
      </c>
      <c r="NJ53" s="47">
        <v>0</v>
      </c>
      <c r="NK53" s="45"/>
      <c r="NL53" s="46">
        <v>0</v>
      </c>
      <c r="NM53" s="44">
        <v>0</v>
      </c>
      <c r="NN53" s="44">
        <v>0</v>
      </c>
      <c r="NO53" s="44">
        <v>0</v>
      </c>
      <c r="NP53" s="47">
        <v>0</v>
      </c>
      <c r="NQ53" s="45"/>
      <c r="NR53" s="46">
        <v>0</v>
      </c>
      <c r="NS53" s="44">
        <v>0</v>
      </c>
      <c r="NT53" s="47">
        <v>0</v>
      </c>
      <c r="NU53" s="45"/>
      <c r="NV53" s="46">
        <v>0</v>
      </c>
      <c r="NW53" s="44">
        <v>0</v>
      </c>
      <c r="NX53" s="44">
        <v>0</v>
      </c>
      <c r="NY53" s="44">
        <v>0</v>
      </c>
      <c r="NZ53" s="47">
        <v>0</v>
      </c>
      <c r="OA53" s="45"/>
      <c r="OB53" s="46">
        <v>0</v>
      </c>
      <c r="OC53" s="44">
        <v>0</v>
      </c>
      <c r="OD53" s="47">
        <v>0</v>
      </c>
      <c r="OE53" s="45"/>
      <c r="OF53" s="46">
        <v>0</v>
      </c>
      <c r="OG53" s="44">
        <v>0</v>
      </c>
      <c r="OH53" s="44">
        <v>0</v>
      </c>
      <c r="OI53" s="44">
        <v>0</v>
      </c>
      <c r="OJ53" s="47">
        <v>0</v>
      </c>
      <c r="OK53" s="45"/>
      <c r="OL53" s="44">
        <v>0</v>
      </c>
      <c r="OM53" s="43"/>
      <c r="ON53" s="44">
        <v>0</v>
      </c>
      <c r="OO53" s="44">
        <v>0</v>
      </c>
      <c r="OP53" s="47">
        <v>0</v>
      </c>
      <c r="OQ53" s="45"/>
      <c r="OR53" s="46">
        <v>0</v>
      </c>
      <c r="OS53" s="44">
        <v>0</v>
      </c>
      <c r="OT53" s="44">
        <v>0</v>
      </c>
      <c r="OU53" s="44">
        <v>0</v>
      </c>
      <c r="OV53" s="47">
        <v>0</v>
      </c>
      <c r="OW53" s="45"/>
      <c r="OX53" s="46">
        <v>0</v>
      </c>
      <c r="OY53" s="44">
        <v>0</v>
      </c>
      <c r="OZ53" s="44">
        <v>0</v>
      </c>
      <c r="PA53" s="44">
        <v>0</v>
      </c>
      <c r="PB53" s="47">
        <v>0</v>
      </c>
      <c r="PC53" s="45"/>
      <c r="PD53" s="46">
        <v>0</v>
      </c>
      <c r="PE53" s="44">
        <v>0</v>
      </c>
      <c r="PF53" s="44">
        <v>0</v>
      </c>
      <c r="PG53" s="44">
        <v>0</v>
      </c>
      <c r="PH53" s="47">
        <v>0</v>
      </c>
      <c r="PI53" s="45"/>
      <c r="PJ53" s="46">
        <v>0</v>
      </c>
      <c r="PK53" s="44">
        <v>0</v>
      </c>
      <c r="PL53" s="44">
        <v>0</v>
      </c>
      <c r="PM53" s="44">
        <v>0</v>
      </c>
      <c r="PN53" s="47">
        <v>0</v>
      </c>
      <c r="PO53" s="45"/>
      <c r="PP53" s="46">
        <v>0</v>
      </c>
      <c r="PQ53" s="44">
        <v>0</v>
      </c>
      <c r="PR53" s="44">
        <v>0</v>
      </c>
      <c r="PS53" s="44">
        <v>0</v>
      </c>
      <c r="PT53" s="47">
        <v>0</v>
      </c>
      <c r="PU53" s="45"/>
      <c r="PV53" s="46">
        <v>0</v>
      </c>
      <c r="PW53" s="44">
        <v>0</v>
      </c>
      <c r="PX53" s="47">
        <v>0</v>
      </c>
      <c r="PY53" s="45"/>
      <c r="PZ53" s="46">
        <v>0</v>
      </c>
      <c r="QA53" s="44">
        <v>0</v>
      </c>
      <c r="QB53" s="47">
        <v>0</v>
      </c>
      <c r="QC53" s="45"/>
      <c r="QD53" s="46">
        <v>0</v>
      </c>
      <c r="QE53" s="44">
        <v>0</v>
      </c>
      <c r="QF53" s="44">
        <v>0</v>
      </c>
      <c r="QG53" s="44">
        <v>0</v>
      </c>
      <c r="QH53" s="47">
        <v>0</v>
      </c>
      <c r="QI53" s="45"/>
      <c r="QJ53" s="46">
        <v>0</v>
      </c>
      <c r="QK53" s="44">
        <v>0</v>
      </c>
      <c r="QL53" s="47">
        <v>0</v>
      </c>
      <c r="QM53" s="45"/>
      <c r="QN53" s="46">
        <v>0</v>
      </c>
      <c r="QO53" s="44">
        <v>0</v>
      </c>
      <c r="QP53" s="44">
        <v>0</v>
      </c>
      <c r="QQ53" s="44">
        <v>0</v>
      </c>
      <c r="QR53" s="47">
        <v>0</v>
      </c>
      <c r="QS53" s="45"/>
      <c r="QT53" s="46">
        <v>0</v>
      </c>
      <c r="QU53" s="44">
        <v>0</v>
      </c>
      <c r="QV53" s="47">
        <v>0</v>
      </c>
      <c r="QW53" s="45"/>
      <c r="QX53" s="46">
        <v>0</v>
      </c>
      <c r="QY53" s="44">
        <v>0</v>
      </c>
      <c r="QZ53" s="44">
        <v>0</v>
      </c>
      <c r="RA53" s="44">
        <v>0</v>
      </c>
      <c r="RB53" s="47">
        <v>0</v>
      </c>
      <c r="RC53" s="45"/>
      <c r="RD53" s="42">
        <v>0</v>
      </c>
      <c r="RE53" s="44">
        <v>0</v>
      </c>
      <c r="RF53" s="44">
        <v>0</v>
      </c>
      <c r="RG53" s="44">
        <v>0</v>
      </c>
      <c r="RH53" s="47">
        <v>0</v>
      </c>
      <c r="RI53" s="45"/>
      <c r="RJ53" s="42">
        <v>0</v>
      </c>
      <c r="RK53" s="47">
        <v>0</v>
      </c>
      <c r="RL53" s="47">
        <v>0</v>
      </c>
      <c r="RM53" s="47">
        <v>0</v>
      </c>
      <c r="RN53" s="47">
        <v>0</v>
      </c>
      <c r="RO53" s="43"/>
      <c r="RP53" s="42">
        <v>0</v>
      </c>
      <c r="RQ53" s="7">
        <v>70</v>
      </c>
      <c r="RR53" s="47">
        <v>2</v>
      </c>
      <c r="RS53" s="43"/>
      <c r="RT53" s="42">
        <v>0</v>
      </c>
      <c r="RU53" s="47">
        <v>0</v>
      </c>
      <c r="RV53" s="47">
        <v>0</v>
      </c>
      <c r="RW53" s="47">
        <v>0</v>
      </c>
      <c r="RX53" s="47">
        <v>0</v>
      </c>
      <c r="RY53" s="43"/>
      <c r="RZ53" s="42">
        <v>36</v>
      </c>
      <c r="SA53" s="47">
        <v>50</v>
      </c>
      <c r="SB53" s="47">
        <v>72</v>
      </c>
      <c r="SC53" s="47">
        <v>70</v>
      </c>
      <c r="SD53" s="47">
        <v>-12</v>
      </c>
      <c r="SE53" s="43"/>
      <c r="SF53" s="42">
        <v>0</v>
      </c>
      <c r="SG53" s="47">
        <v>0</v>
      </c>
      <c r="SH53" s="47">
        <v>180</v>
      </c>
      <c r="SI53" s="47">
        <v>0</v>
      </c>
      <c r="SJ53" s="47">
        <v>180</v>
      </c>
      <c r="SK53" s="43"/>
      <c r="SL53" s="42">
        <v>264</v>
      </c>
      <c r="SM53" s="47">
        <v>266</v>
      </c>
      <c r="SN53" s="47">
        <v>-2</v>
      </c>
      <c r="SO53" s="43"/>
      <c r="SP53" s="42">
        <v>0</v>
      </c>
      <c r="SQ53" s="47">
        <v>0</v>
      </c>
      <c r="SR53" s="47">
        <v>228</v>
      </c>
      <c r="SS53" s="47">
        <v>229</v>
      </c>
      <c r="ST53" s="47">
        <v>-1</v>
      </c>
      <c r="SU53" s="43"/>
    </row>
    <row r="54" spans="1:515" x14ac:dyDescent="0.25">
      <c r="A54" s="47" t="s">
        <v>361</v>
      </c>
      <c r="B54" s="41">
        <v>0.27</v>
      </c>
      <c r="J54" s="42"/>
      <c r="K54" s="51"/>
      <c r="L54" s="51"/>
      <c r="M54" s="51"/>
      <c r="N54" s="51">
        <f t="shared" si="9"/>
        <v>0</v>
      </c>
      <c r="O54" s="43"/>
      <c r="P54" s="46"/>
      <c r="Q54" s="51"/>
      <c r="R54" s="51"/>
      <c r="S54" s="51"/>
      <c r="T54" s="51">
        <f t="shared" si="10"/>
        <v>0</v>
      </c>
      <c r="U54" s="43"/>
      <c r="V54" s="42"/>
      <c r="W54" s="51"/>
      <c r="X54" s="51"/>
      <c r="Y54" s="51"/>
      <c r="Z54" s="51">
        <f t="shared" si="11"/>
        <v>0</v>
      </c>
      <c r="AA54" s="43"/>
      <c r="AB54" s="42"/>
      <c r="AC54" s="51"/>
      <c r="AD54" s="51"/>
      <c r="AE54" s="51"/>
      <c r="AF54" s="51">
        <v>0</v>
      </c>
      <c r="AG54" s="43"/>
      <c r="AH54" s="51"/>
      <c r="AL54" s="47">
        <v>0</v>
      </c>
      <c r="AM54" s="43"/>
      <c r="AN54" s="42"/>
      <c r="AR54" s="47">
        <v>0</v>
      </c>
      <c r="AS54" s="43"/>
      <c r="AX54" s="47">
        <v>0</v>
      </c>
      <c r="AY54" s="43"/>
      <c r="BD54" s="47">
        <v>0</v>
      </c>
      <c r="BE54" s="43"/>
      <c r="BF54" s="42"/>
      <c r="BJ54" s="47">
        <v>0</v>
      </c>
      <c r="BK54" s="43"/>
      <c r="BL54" s="42"/>
      <c r="BP54" s="47">
        <v>0</v>
      </c>
      <c r="BQ54" s="43"/>
      <c r="BV54" s="47">
        <v>0</v>
      </c>
      <c r="BW54" s="43"/>
      <c r="BX54" s="42"/>
      <c r="CB54" s="47">
        <v>0</v>
      </c>
      <c r="CC54" s="43"/>
      <c r="CH54" s="47">
        <v>0</v>
      </c>
      <c r="CI54" s="43"/>
      <c r="CN54" s="47">
        <v>0</v>
      </c>
      <c r="CO54" s="43"/>
      <c r="CP54" s="42"/>
      <c r="CT54" s="47">
        <v>0</v>
      </c>
      <c r="CU54" s="43"/>
      <c r="CV54" s="42"/>
      <c r="CZ54" s="47">
        <v>0</v>
      </c>
      <c r="DA54" s="43"/>
      <c r="DG54" s="47">
        <v>0</v>
      </c>
      <c r="DH54" s="43"/>
      <c r="DK54" s="47">
        <v>0</v>
      </c>
      <c r="DL54" s="43"/>
      <c r="DM54" s="42"/>
      <c r="DQ54" s="47">
        <v>0</v>
      </c>
      <c r="DR54" s="43"/>
      <c r="DW54" s="47">
        <v>0</v>
      </c>
      <c r="DX54" s="43"/>
      <c r="EC54" s="47">
        <v>0</v>
      </c>
      <c r="ED54" s="43"/>
      <c r="EE54" s="42"/>
      <c r="EI54" s="47">
        <v>0</v>
      </c>
      <c r="EJ54" s="43"/>
      <c r="EO54" s="47">
        <v>0</v>
      </c>
      <c r="EP54" s="43"/>
      <c r="EQ54" s="42"/>
      <c r="EU54" s="47">
        <v>0</v>
      </c>
      <c r="EV54" s="43"/>
      <c r="EW54" s="42"/>
      <c r="FC54" s="47">
        <v>0</v>
      </c>
      <c r="FD54" s="43"/>
      <c r="FE54" s="42"/>
      <c r="FI54" s="47">
        <v>0</v>
      </c>
      <c r="FJ54" s="43"/>
      <c r="FQ54" s="47">
        <v>0</v>
      </c>
      <c r="FR54" s="43"/>
      <c r="FS54" s="42"/>
      <c r="FW54" s="47">
        <v>0</v>
      </c>
      <c r="FX54" s="43"/>
      <c r="FY54" s="42"/>
      <c r="GC54" s="47">
        <v>0</v>
      </c>
      <c r="GD54" s="43"/>
      <c r="GE54" s="42"/>
      <c r="GI54" s="47">
        <v>0</v>
      </c>
      <c r="GJ54" s="43"/>
      <c r="GQ54" s="47">
        <v>0</v>
      </c>
      <c r="GR54" s="43"/>
      <c r="GX54" s="47">
        <v>0</v>
      </c>
      <c r="GY54" s="43"/>
      <c r="GZ54" s="42"/>
      <c r="HC54" s="47">
        <v>0</v>
      </c>
      <c r="HD54" s="43"/>
      <c r="HE54" s="42"/>
      <c r="HH54" s="47">
        <v>0</v>
      </c>
      <c r="HI54" s="43"/>
      <c r="HN54" s="47">
        <v>0</v>
      </c>
      <c r="HO54" s="43"/>
      <c r="HP54" s="42"/>
      <c r="HU54" s="47">
        <v>0</v>
      </c>
      <c r="HV54" s="43"/>
      <c r="IA54" s="47">
        <v>0</v>
      </c>
      <c r="IB54" s="43"/>
      <c r="IC54" s="42"/>
      <c r="IG54" s="47">
        <v>0</v>
      </c>
      <c r="IH54" s="43"/>
      <c r="IM54" s="47">
        <v>0</v>
      </c>
      <c r="IN54" s="43"/>
      <c r="IO54" s="42"/>
      <c r="IQ54" s="47">
        <v>0</v>
      </c>
      <c r="IR54" s="43"/>
      <c r="IS54" s="42"/>
      <c r="IW54" s="47">
        <v>0</v>
      </c>
      <c r="IX54" s="43"/>
      <c r="IY54" s="42"/>
      <c r="JA54" s="47">
        <v>0</v>
      </c>
      <c r="JB54" s="43"/>
      <c r="JC54" s="42"/>
      <c r="JG54" s="47">
        <v>0</v>
      </c>
      <c r="JH54" s="43"/>
      <c r="JO54" s="47">
        <v>0</v>
      </c>
      <c r="JP54" s="43"/>
      <c r="JQ54" s="42"/>
      <c r="JU54" s="47">
        <v>0</v>
      </c>
      <c r="JV54" s="43"/>
      <c r="KA54" s="47">
        <v>0</v>
      </c>
      <c r="KB54" s="45"/>
      <c r="KG54" s="47">
        <v>0</v>
      </c>
      <c r="KH54" s="45"/>
      <c r="KM54" s="47">
        <v>0</v>
      </c>
      <c r="KN54" s="45"/>
      <c r="KS54" s="47">
        <v>0</v>
      </c>
      <c r="KT54" s="43"/>
      <c r="KW54" s="47">
        <v>0</v>
      </c>
      <c r="KX54" s="45"/>
      <c r="LC54" s="47">
        <v>0</v>
      </c>
      <c r="LD54" s="43"/>
      <c r="LE54" s="46"/>
      <c r="LG54" s="47">
        <v>0</v>
      </c>
      <c r="LH54" s="45"/>
      <c r="LM54" s="47">
        <v>0</v>
      </c>
      <c r="LN54" s="45"/>
      <c r="LS54" s="47">
        <v>0</v>
      </c>
      <c r="LT54" s="45"/>
      <c r="LY54" s="47">
        <v>0</v>
      </c>
      <c r="LZ54" s="45"/>
      <c r="ME54" s="47">
        <v>0</v>
      </c>
      <c r="MF54" s="45"/>
      <c r="MG54" s="46"/>
      <c r="MM54" s="47">
        <v>0</v>
      </c>
      <c r="MN54" s="45"/>
      <c r="MO54" s="44">
        <v>0</v>
      </c>
      <c r="MP54" s="44">
        <v>0</v>
      </c>
      <c r="MQ54" s="44">
        <v>0</v>
      </c>
      <c r="MR54" s="44">
        <v>0</v>
      </c>
      <c r="MS54" s="47">
        <v>0</v>
      </c>
      <c r="MT54" s="45"/>
      <c r="MU54" s="44">
        <v>0</v>
      </c>
      <c r="MV54" s="44">
        <v>0</v>
      </c>
      <c r="MW54" s="44">
        <v>0</v>
      </c>
      <c r="MX54" s="44">
        <v>0</v>
      </c>
      <c r="MY54" s="47">
        <v>0</v>
      </c>
      <c r="MZ54" s="45"/>
      <c r="NA54" s="46">
        <v>0</v>
      </c>
      <c r="NB54" s="44">
        <v>0</v>
      </c>
      <c r="NC54" s="47">
        <v>0</v>
      </c>
      <c r="ND54" s="45"/>
      <c r="NE54" s="46">
        <v>0</v>
      </c>
      <c r="NF54" s="44">
        <v>0</v>
      </c>
      <c r="NG54" s="44">
        <v>0</v>
      </c>
      <c r="NH54" s="44">
        <v>0</v>
      </c>
      <c r="NI54" s="44">
        <v>0</v>
      </c>
      <c r="NJ54" s="47">
        <v>0</v>
      </c>
      <c r="NK54" s="45"/>
      <c r="NL54" s="46">
        <v>0</v>
      </c>
      <c r="NM54" s="44">
        <v>0</v>
      </c>
      <c r="NN54" s="44">
        <v>0</v>
      </c>
      <c r="NO54" s="44">
        <v>0</v>
      </c>
      <c r="NP54" s="47">
        <v>0</v>
      </c>
      <c r="NQ54" s="45"/>
      <c r="NR54" s="46">
        <v>0</v>
      </c>
      <c r="NS54" s="44">
        <v>0</v>
      </c>
      <c r="NT54" s="47">
        <v>0</v>
      </c>
      <c r="NU54" s="45"/>
      <c r="NV54" s="46">
        <v>0</v>
      </c>
      <c r="NW54" s="44">
        <v>0</v>
      </c>
      <c r="NX54" s="44">
        <v>0</v>
      </c>
      <c r="NY54" s="44">
        <v>0</v>
      </c>
      <c r="NZ54" s="47">
        <v>0</v>
      </c>
      <c r="OA54" s="45"/>
      <c r="OB54" s="46">
        <v>0</v>
      </c>
      <c r="OC54" s="44">
        <v>0</v>
      </c>
      <c r="OD54" s="47">
        <v>0</v>
      </c>
      <c r="OE54" s="45"/>
      <c r="OF54" s="46">
        <v>0</v>
      </c>
      <c r="OG54" s="44">
        <v>0</v>
      </c>
      <c r="OH54" s="44">
        <v>0</v>
      </c>
      <c r="OI54" s="44">
        <v>0</v>
      </c>
      <c r="OJ54" s="47">
        <v>0</v>
      </c>
      <c r="OK54" s="45"/>
      <c r="OL54" s="44">
        <v>0</v>
      </c>
      <c r="OM54" s="43"/>
      <c r="ON54" s="44">
        <v>0</v>
      </c>
      <c r="OO54" s="44">
        <v>0</v>
      </c>
      <c r="OP54" s="47">
        <v>0</v>
      </c>
      <c r="OQ54" s="45"/>
      <c r="OR54" s="46">
        <v>0</v>
      </c>
      <c r="OS54" s="44">
        <v>0</v>
      </c>
      <c r="OT54" s="44">
        <v>0</v>
      </c>
      <c r="OU54" s="44">
        <v>0</v>
      </c>
      <c r="OV54" s="47">
        <v>0</v>
      </c>
      <c r="OW54" s="45"/>
      <c r="OX54" s="46">
        <v>0</v>
      </c>
      <c r="OY54" s="44">
        <v>0</v>
      </c>
      <c r="OZ54" s="44">
        <v>0</v>
      </c>
      <c r="PA54" s="44">
        <v>0</v>
      </c>
      <c r="PB54" s="47">
        <v>0</v>
      </c>
      <c r="PC54" s="45"/>
      <c r="PD54" s="46">
        <v>0</v>
      </c>
      <c r="PE54" s="44">
        <v>0</v>
      </c>
      <c r="PF54" s="44">
        <v>0</v>
      </c>
      <c r="PG54" s="44">
        <v>0</v>
      </c>
      <c r="PH54" s="47">
        <v>0</v>
      </c>
      <c r="PI54" s="45"/>
      <c r="PJ54" s="46">
        <v>0</v>
      </c>
      <c r="PK54" s="44">
        <v>0</v>
      </c>
      <c r="PL54" s="44">
        <v>0</v>
      </c>
      <c r="PM54" s="44">
        <v>0</v>
      </c>
      <c r="PN54" s="47">
        <v>0</v>
      </c>
      <c r="PO54" s="45"/>
      <c r="PP54" s="46">
        <v>0</v>
      </c>
      <c r="PQ54" s="44">
        <v>0</v>
      </c>
      <c r="PR54" s="44">
        <v>0</v>
      </c>
      <c r="PS54" s="44">
        <v>0</v>
      </c>
      <c r="PT54" s="47">
        <v>0</v>
      </c>
      <c r="PU54" s="45"/>
      <c r="PV54" s="46">
        <v>0</v>
      </c>
      <c r="PW54" s="44">
        <v>0</v>
      </c>
      <c r="PX54" s="47">
        <v>0</v>
      </c>
      <c r="PY54" s="45"/>
      <c r="PZ54" s="46">
        <v>0</v>
      </c>
      <c r="QA54" s="44">
        <v>0</v>
      </c>
      <c r="QB54" s="47">
        <v>0</v>
      </c>
      <c r="QC54" s="45"/>
      <c r="QD54" s="46">
        <v>0</v>
      </c>
      <c r="QE54" s="44">
        <v>0</v>
      </c>
      <c r="QF54" s="44">
        <v>0</v>
      </c>
      <c r="QG54" s="44">
        <v>0</v>
      </c>
      <c r="QH54" s="47">
        <v>0</v>
      </c>
      <c r="QI54" s="45"/>
      <c r="QJ54" s="46">
        <v>0</v>
      </c>
      <c r="QK54" s="17">
        <v>50</v>
      </c>
      <c r="QL54" s="47">
        <v>-2</v>
      </c>
      <c r="QM54" s="45"/>
      <c r="QN54" s="46">
        <v>0</v>
      </c>
      <c r="QO54" s="44">
        <v>0</v>
      </c>
      <c r="QP54" s="44">
        <v>0</v>
      </c>
      <c r="QQ54" s="33">
        <v>50</v>
      </c>
      <c r="QR54" s="50">
        <v>-50</v>
      </c>
      <c r="QS54" s="45">
        <v>13.5</v>
      </c>
      <c r="QT54" s="46">
        <v>0</v>
      </c>
      <c r="QU54" s="44">
        <v>0</v>
      </c>
      <c r="QV54" s="47">
        <v>0</v>
      </c>
      <c r="QW54" s="45"/>
      <c r="QX54" s="46">
        <v>0</v>
      </c>
      <c r="QY54" s="44">
        <v>0</v>
      </c>
      <c r="QZ54" s="44">
        <v>0</v>
      </c>
      <c r="RA54" s="44">
        <v>0</v>
      </c>
      <c r="RB54" s="47">
        <v>0</v>
      </c>
      <c r="RC54" s="45"/>
      <c r="RD54" s="18">
        <v>48</v>
      </c>
      <c r="RE54" s="44">
        <v>0</v>
      </c>
      <c r="RF54" s="44">
        <v>48</v>
      </c>
      <c r="RG54" s="44">
        <v>50</v>
      </c>
      <c r="RH54" s="47">
        <v>46</v>
      </c>
      <c r="RI54" s="45"/>
      <c r="RJ54" s="42">
        <v>0</v>
      </c>
      <c r="RK54" s="13">
        <v>30</v>
      </c>
      <c r="RL54" s="47">
        <v>0</v>
      </c>
      <c r="RM54" s="47">
        <v>0</v>
      </c>
      <c r="RN54" s="50">
        <v>-30</v>
      </c>
      <c r="RO54" s="43">
        <v>8.1000000000000014</v>
      </c>
      <c r="RP54" s="42">
        <v>204</v>
      </c>
      <c r="RQ54" s="47">
        <v>200</v>
      </c>
      <c r="RR54" s="47">
        <v>4</v>
      </c>
      <c r="RS54" s="43"/>
      <c r="RT54" s="42">
        <v>48</v>
      </c>
      <c r="RU54" s="47">
        <v>48</v>
      </c>
      <c r="RV54" s="47">
        <v>60</v>
      </c>
      <c r="RW54" s="47">
        <v>60</v>
      </c>
      <c r="RX54" s="47">
        <v>0</v>
      </c>
      <c r="RY54" s="43"/>
      <c r="RZ54" s="42">
        <v>36</v>
      </c>
      <c r="SA54" s="47">
        <v>40</v>
      </c>
      <c r="SB54" s="47">
        <v>48</v>
      </c>
      <c r="SC54" s="47">
        <v>50</v>
      </c>
      <c r="SD54" s="47">
        <v>-6</v>
      </c>
      <c r="SE54" s="43"/>
      <c r="SF54" s="42">
        <v>24</v>
      </c>
      <c r="SG54" s="47">
        <v>30</v>
      </c>
      <c r="SH54" s="47">
        <v>108</v>
      </c>
      <c r="SI54" s="47">
        <v>0</v>
      </c>
      <c r="SJ54" s="47">
        <v>102</v>
      </c>
      <c r="SK54" s="43"/>
      <c r="SL54" s="42">
        <v>60</v>
      </c>
      <c r="SM54" s="47">
        <v>60</v>
      </c>
      <c r="SN54" s="47">
        <v>0</v>
      </c>
      <c r="SO54" s="43"/>
      <c r="SP54" s="42">
        <v>0</v>
      </c>
      <c r="SQ54" s="47">
        <v>0</v>
      </c>
      <c r="SR54" s="47">
        <v>216</v>
      </c>
      <c r="SS54" s="47">
        <v>220</v>
      </c>
      <c r="ST54" s="47">
        <v>-4</v>
      </c>
      <c r="SU54" s="43"/>
    </row>
    <row r="55" spans="1:515" x14ac:dyDescent="0.25">
      <c r="A55" s="47" t="s">
        <v>362</v>
      </c>
      <c r="B55" s="41">
        <v>1</v>
      </c>
      <c r="E55">
        <v>374</v>
      </c>
      <c r="F55">
        <v>257</v>
      </c>
      <c r="G55">
        <v>250</v>
      </c>
      <c r="J55" s="40">
        <v>132</v>
      </c>
      <c r="K55" s="52">
        <v>128</v>
      </c>
      <c r="L55" s="52">
        <v>112</v>
      </c>
      <c r="M55" s="52">
        <v>105</v>
      </c>
      <c r="N55" s="51">
        <f t="shared" si="9"/>
        <v>11</v>
      </c>
      <c r="O55" s="43"/>
      <c r="P55" s="40">
        <v>77</v>
      </c>
      <c r="Q55" s="52">
        <v>75</v>
      </c>
      <c r="R55" s="52">
        <v>67</v>
      </c>
      <c r="S55" s="52">
        <v>65</v>
      </c>
      <c r="T55" s="51">
        <f t="shared" si="10"/>
        <v>4</v>
      </c>
      <c r="U55" s="43"/>
      <c r="V55" s="40">
        <v>229</v>
      </c>
      <c r="W55" s="52">
        <v>220</v>
      </c>
      <c r="X55" s="52">
        <v>92</v>
      </c>
      <c r="Y55" s="52">
        <v>92</v>
      </c>
      <c r="Z55" s="51">
        <f t="shared" si="11"/>
        <v>9</v>
      </c>
      <c r="AA55" s="43"/>
      <c r="AB55" s="40">
        <v>158</v>
      </c>
      <c r="AC55" s="56">
        <v>153</v>
      </c>
      <c r="AD55" s="51"/>
      <c r="AE55" s="51"/>
      <c r="AF55" s="51">
        <v>5</v>
      </c>
      <c r="AG55" s="43"/>
      <c r="AH55" s="52">
        <v>162</v>
      </c>
      <c r="AI55">
        <v>159</v>
      </c>
      <c r="AJ55">
        <v>241</v>
      </c>
      <c r="AK55">
        <v>128</v>
      </c>
      <c r="AL55" s="47">
        <v>116</v>
      </c>
      <c r="AM55" s="43"/>
      <c r="AN55" s="42"/>
      <c r="AR55" s="47">
        <v>0</v>
      </c>
      <c r="AS55" s="43"/>
      <c r="AT55">
        <v>339</v>
      </c>
      <c r="AU55">
        <v>320</v>
      </c>
      <c r="AV55">
        <v>221</v>
      </c>
      <c r="AW55">
        <v>215</v>
      </c>
      <c r="AX55" s="47">
        <v>25</v>
      </c>
      <c r="AY55" s="43"/>
      <c r="BD55" s="47">
        <v>0</v>
      </c>
      <c r="BE55" s="43"/>
      <c r="BF55" s="40">
        <v>284</v>
      </c>
      <c r="BG55">
        <v>270</v>
      </c>
      <c r="BH55">
        <v>305</v>
      </c>
      <c r="BI55">
        <v>283</v>
      </c>
      <c r="BJ55" s="47">
        <v>36</v>
      </c>
      <c r="BK55" s="43"/>
      <c r="BL55" s="40">
        <v>240</v>
      </c>
      <c r="BM55">
        <v>230</v>
      </c>
      <c r="BN55">
        <v>261</v>
      </c>
      <c r="BO55">
        <v>250</v>
      </c>
      <c r="BP55" s="47">
        <v>21</v>
      </c>
      <c r="BQ55" s="43"/>
      <c r="BR55">
        <v>103</v>
      </c>
      <c r="BS55">
        <v>100</v>
      </c>
      <c r="BT55">
        <v>78</v>
      </c>
      <c r="BU55">
        <v>74</v>
      </c>
      <c r="BV55" s="47">
        <v>7</v>
      </c>
      <c r="BW55" s="43"/>
      <c r="BX55" s="40">
        <v>143</v>
      </c>
      <c r="BY55">
        <v>140</v>
      </c>
      <c r="BZ55">
        <v>78</v>
      </c>
      <c r="CA55">
        <v>78</v>
      </c>
      <c r="CB55" s="47">
        <v>3</v>
      </c>
      <c r="CC55" s="43"/>
      <c r="CH55" s="47">
        <v>0</v>
      </c>
      <c r="CI55" s="43"/>
      <c r="CJ55">
        <v>221</v>
      </c>
      <c r="CK55">
        <v>210</v>
      </c>
      <c r="CL55">
        <v>227</v>
      </c>
      <c r="CM55">
        <v>215</v>
      </c>
      <c r="CN55" s="47">
        <v>23</v>
      </c>
      <c r="CO55" s="43"/>
      <c r="CP55" s="40">
        <v>126</v>
      </c>
      <c r="CQ55">
        <v>120</v>
      </c>
      <c r="CR55">
        <v>147</v>
      </c>
      <c r="CS55">
        <v>142</v>
      </c>
      <c r="CT55" s="47">
        <v>11</v>
      </c>
      <c r="CU55" s="43"/>
      <c r="CV55" s="40">
        <v>273</v>
      </c>
      <c r="CW55">
        <v>257</v>
      </c>
      <c r="CX55">
        <v>287</v>
      </c>
      <c r="CY55">
        <v>276</v>
      </c>
      <c r="CZ55" s="47">
        <v>27</v>
      </c>
      <c r="DA55" s="43"/>
      <c r="DB55">
        <v>74</v>
      </c>
      <c r="DC55">
        <v>70</v>
      </c>
      <c r="DE55">
        <v>60</v>
      </c>
      <c r="DF55">
        <v>58</v>
      </c>
      <c r="DG55" s="47">
        <v>6</v>
      </c>
      <c r="DH55" s="43"/>
      <c r="DI55">
        <v>62</v>
      </c>
      <c r="DJ55">
        <v>60</v>
      </c>
      <c r="DK55" s="47">
        <v>2</v>
      </c>
      <c r="DL55" s="43"/>
      <c r="DM55" s="40">
        <v>116</v>
      </c>
      <c r="DN55">
        <v>114</v>
      </c>
      <c r="DO55">
        <v>658</v>
      </c>
      <c r="DP55">
        <v>616</v>
      </c>
      <c r="DQ55" s="47">
        <v>44</v>
      </c>
      <c r="DR55" s="43"/>
      <c r="DS55">
        <v>82</v>
      </c>
      <c r="DT55">
        <v>80</v>
      </c>
      <c r="DU55">
        <v>166</v>
      </c>
      <c r="DV55">
        <v>154</v>
      </c>
      <c r="DW55" s="47">
        <v>14</v>
      </c>
      <c r="DX55" s="43"/>
      <c r="EA55">
        <v>190</v>
      </c>
      <c r="EB55">
        <v>183</v>
      </c>
      <c r="EC55" s="47">
        <v>7</v>
      </c>
      <c r="ED55" s="43"/>
      <c r="EE55" s="42"/>
      <c r="EG55">
        <v>379</v>
      </c>
      <c r="EH55">
        <v>357</v>
      </c>
      <c r="EI55" s="47">
        <v>22</v>
      </c>
      <c r="EJ55" s="43"/>
      <c r="EM55">
        <v>119</v>
      </c>
      <c r="EN55">
        <v>111</v>
      </c>
      <c r="EO55" s="47">
        <v>8</v>
      </c>
      <c r="EP55" s="43"/>
      <c r="EQ55" s="42"/>
      <c r="ES55">
        <v>152</v>
      </c>
      <c r="ET55">
        <v>143</v>
      </c>
      <c r="EU55" s="47">
        <v>9</v>
      </c>
      <c r="EV55" s="43"/>
      <c r="EW55" s="42"/>
      <c r="FA55">
        <v>132</v>
      </c>
      <c r="FB55">
        <v>130</v>
      </c>
      <c r="FC55" s="47">
        <v>2</v>
      </c>
      <c r="FD55" s="43"/>
      <c r="FE55" s="40">
        <v>221</v>
      </c>
      <c r="FF55">
        <v>200</v>
      </c>
      <c r="FG55">
        <v>213</v>
      </c>
      <c r="FH55">
        <v>200</v>
      </c>
      <c r="FI55" s="47">
        <v>34</v>
      </c>
      <c r="FJ55" s="43"/>
      <c r="FM55">
        <v>224</v>
      </c>
      <c r="FN55">
        <v>220</v>
      </c>
      <c r="FQ55" s="47">
        <v>4</v>
      </c>
      <c r="FR55" s="43"/>
      <c r="FS55" s="42"/>
      <c r="FU55">
        <v>123</v>
      </c>
      <c r="FV55">
        <v>118</v>
      </c>
      <c r="FW55" s="47">
        <v>5</v>
      </c>
      <c r="FX55" s="43"/>
      <c r="FY55" s="40">
        <v>208</v>
      </c>
      <c r="FZ55">
        <v>200</v>
      </c>
      <c r="GA55">
        <v>194</v>
      </c>
      <c r="GB55">
        <v>190</v>
      </c>
      <c r="GC55" s="47">
        <v>12</v>
      </c>
      <c r="GD55" s="43"/>
      <c r="GE55" s="42"/>
      <c r="GI55" s="47">
        <v>0</v>
      </c>
      <c r="GJ55" s="43"/>
      <c r="GK55">
        <v>348</v>
      </c>
      <c r="GL55">
        <v>330</v>
      </c>
      <c r="GM55">
        <v>339</v>
      </c>
      <c r="GN55">
        <v>330</v>
      </c>
      <c r="GO55">
        <v>510</v>
      </c>
      <c r="GP55">
        <v>480</v>
      </c>
      <c r="GQ55" s="47">
        <v>57</v>
      </c>
      <c r="GR55" s="43"/>
      <c r="GX55" s="47">
        <v>0</v>
      </c>
      <c r="GY55" s="43"/>
      <c r="GZ55" s="40">
        <v>516</v>
      </c>
      <c r="HB55" s="44">
        <v>479.78300000000002</v>
      </c>
      <c r="HC55" s="47">
        <v>36.216999999999977</v>
      </c>
      <c r="HD55" s="43"/>
      <c r="HE55" s="42"/>
      <c r="HH55" s="47">
        <v>0</v>
      </c>
      <c r="HI55" s="43"/>
      <c r="HJ55">
        <v>209</v>
      </c>
      <c r="HM55">
        <v>200</v>
      </c>
      <c r="HN55" s="47">
        <v>9</v>
      </c>
      <c r="HO55" s="43"/>
      <c r="HP55" s="42"/>
      <c r="HU55" s="47">
        <v>0</v>
      </c>
      <c r="HV55" s="43"/>
      <c r="HW55">
        <v>334</v>
      </c>
      <c r="HX55">
        <v>310</v>
      </c>
      <c r="HY55">
        <v>329</v>
      </c>
      <c r="HZ55">
        <v>310</v>
      </c>
      <c r="IA55" s="47">
        <v>43</v>
      </c>
      <c r="IB55" s="43"/>
      <c r="IC55" s="42"/>
      <c r="IG55" s="47">
        <v>0</v>
      </c>
      <c r="IH55" s="43"/>
      <c r="II55">
        <v>375</v>
      </c>
      <c r="IJ55">
        <v>350</v>
      </c>
      <c r="IK55">
        <v>431</v>
      </c>
      <c r="IL55">
        <v>400</v>
      </c>
      <c r="IM55" s="47">
        <v>56</v>
      </c>
      <c r="IN55" s="43"/>
      <c r="IO55" s="42"/>
      <c r="IQ55" s="47">
        <v>0</v>
      </c>
      <c r="IR55" s="43"/>
      <c r="IS55" s="40">
        <v>312</v>
      </c>
      <c r="IT55">
        <v>300</v>
      </c>
      <c r="IU55">
        <v>343</v>
      </c>
      <c r="IV55">
        <v>324</v>
      </c>
      <c r="IW55" s="47">
        <v>31</v>
      </c>
      <c r="IX55" s="43"/>
      <c r="IY55" s="40">
        <v>51</v>
      </c>
      <c r="IZ55">
        <v>50</v>
      </c>
      <c r="JA55" s="47">
        <v>1</v>
      </c>
      <c r="JB55" s="43"/>
      <c r="JC55" s="42"/>
      <c r="JG55" s="47">
        <v>0</v>
      </c>
      <c r="JH55" s="43"/>
      <c r="JI55">
        <v>289</v>
      </c>
      <c r="JJ55">
        <v>300</v>
      </c>
      <c r="JK55">
        <v>381</v>
      </c>
      <c r="JL55">
        <v>380</v>
      </c>
      <c r="JO55" s="50">
        <v>-10</v>
      </c>
      <c r="JP55" s="43">
        <v>10</v>
      </c>
      <c r="JQ55" s="42"/>
      <c r="JS55">
        <v>147</v>
      </c>
      <c r="JT55">
        <v>150</v>
      </c>
      <c r="JU55" s="47">
        <v>-3</v>
      </c>
      <c r="JV55" s="43"/>
      <c r="JY55">
        <v>172</v>
      </c>
      <c r="JZ55">
        <v>170</v>
      </c>
      <c r="KA55" s="47">
        <v>2</v>
      </c>
      <c r="KB55" s="45"/>
      <c r="KC55">
        <v>401</v>
      </c>
      <c r="KD55">
        <v>400</v>
      </c>
      <c r="KE55">
        <v>579</v>
      </c>
      <c r="KF55">
        <v>580</v>
      </c>
      <c r="KG55" s="47">
        <v>0</v>
      </c>
      <c r="KH55" s="45"/>
      <c r="KM55" s="47">
        <v>0</v>
      </c>
      <c r="KN55" s="45"/>
      <c r="KO55">
        <v>501</v>
      </c>
      <c r="KP55">
        <v>500</v>
      </c>
      <c r="KQ55">
        <v>403</v>
      </c>
      <c r="KR55">
        <v>400</v>
      </c>
      <c r="KS55" s="47">
        <v>4</v>
      </c>
      <c r="KT55" s="43"/>
      <c r="KU55">
        <v>52</v>
      </c>
      <c r="KV55">
        <v>50</v>
      </c>
      <c r="KW55" s="47">
        <v>2</v>
      </c>
      <c r="KX55" s="45"/>
      <c r="KY55">
        <v>181</v>
      </c>
      <c r="KZ55">
        <v>180</v>
      </c>
      <c r="LA55">
        <v>121</v>
      </c>
      <c r="LB55">
        <v>120</v>
      </c>
      <c r="LC55" s="47">
        <v>2</v>
      </c>
      <c r="LD55" s="43"/>
      <c r="LE55" s="40">
        <v>220</v>
      </c>
      <c r="LF55" s="44">
        <v>220</v>
      </c>
      <c r="LG55" s="47">
        <v>0</v>
      </c>
      <c r="LH55" s="45"/>
      <c r="LK55">
        <v>203</v>
      </c>
      <c r="LL55">
        <v>200</v>
      </c>
      <c r="LM55" s="47">
        <v>3</v>
      </c>
      <c r="LN55" s="45"/>
      <c r="LS55" s="47">
        <v>0</v>
      </c>
      <c r="LT55" s="45"/>
      <c r="LU55">
        <v>252</v>
      </c>
      <c r="LV55">
        <v>250</v>
      </c>
      <c r="LW55">
        <v>368</v>
      </c>
      <c r="LX55">
        <v>360</v>
      </c>
      <c r="LY55" s="47">
        <v>10</v>
      </c>
      <c r="LZ55" s="45"/>
      <c r="MA55">
        <v>62</v>
      </c>
      <c r="MB55">
        <v>60</v>
      </c>
      <c r="ME55" s="47">
        <v>2</v>
      </c>
      <c r="MF55" s="45"/>
      <c r="MG55" s="40">
        <v>145</v>
      </c>
      <c r="MH55">
        <v>140</v>
      </c>
      <c r="MI55">
        <v>202</v>
      </c>
      <c r="MJ55">
        <v>200</v>
      </c>
      <c r="MK55">
        <v>101</v>
      </c>
      <c r="ML55">
        <v>140</v>
      </c>
      <c r="MM55" s="50">
        <v>-32</v>
      </c>
      <c r="MN55" s="45">
        <v>32</v>
      </c>
      <c r="MO55" s="44">
        <v>296.32499999999999</v>
      </c>
      <c r="MP55" s="44">
        <v>300</v>
      </c>
      <c r="MQ55" s="44">
        <v>357.95499999999998</v>
      </c>
      <c r="MR55" s="44">
        <v>350</v>
      </c>
      <c r="MS55" s="47">
        <v>4.2799999999999727</v>
      </c>
      <c r="MT55" s="45"/>
      <c r="MU55" s="44">
        <v>0</v>
      </c>
      <c r="MV55" s="44">
        <v>0</v>
      </c>
      <c r="MW55" s="44">
        <v>0</v>
      </c>
      <c r="MX55" s="44">
        <v>0</v>
      </c>
      <c r="MY55" s="47">
        <v>0</v>
      </c>
      <c r="MZ55" s="45"/>
      <c r="NA55" s="46">
        <v>62.188000000000002</v>
      </c>
      <c r="NB55" s="44">
        <v>60</v>
      </c>
      <c r="NC55" s="47">
        <v>2.1880000000000019</v>
      </c>
      <c r="ND55" s="45"/>
      <c r="NE55" s="46">
        <v>253.57499999999999</v>
      </c>
      <c r="NF55" s="44">
        <v>250</v>
      </c>
      <c r="NG55" s="44">
        <v>273.90699999999998</v>
      </c>
      <c r="NH55" s="44">
        <v>0</v>
      </c>
      <c r="NI55" s="44">
        <v>240</v>
      </c>
      <c r="NJ55" s="47">
        <v>37.481999999999971</v>
      </c>
      <c r="NK55" s="45"/>
      <c r="NL55" s="46">
        <v>143.50299999999999</v>
      </c>
      <c r="NM55" s="44">
        <v>140</v>
      </c>
      <c r="NN55" s="44">
        <v>181.92500000000001</v>
      </c>
      <c r="NO55" s="44">
        <v>190</v>
      </c>
      <c r="NP55" s="47">
        <v>-4.5720000000000027</v>
      </c>
      <c r="NQ55" s="45"/>
      <c r="NR55" s="46">
        <v>202.46799999999999</v>
      </c>
      <c r="NS55" s="44">
        <v>200</v>
      </c>
      <c r="NT55" s="47">
        <v>2.4679999999999889</v>
      </c>
      <c r="NU55" s="45"/>
      <c r="NV55" s="46">
        <v>223.55799999999999</v>
      </c>
      <c r="NW55" s="44">
        <v>220</v>
      </c>
      <c r="NX55" s="44">
        <v>397.81</v>
      </c>
      <c r="NY55" s="44">
        <v>400</v>
      </c>
      <c r="NZ55" s="47">
        <v>1.3679999999999379</v>
      </c>
      <c r="OA55" s="45"/>
      <c r="OB55" s="46">
        <v>492.803</v>
      </c>
      <c r="OC55" s="44">
        <v>490</v>
      </c>
      <c r="OD55" s="47">
        <v>2.8029999999999968</v>
      </c>
      <c r="OE55" s="45"/>
      <c r="OF55" s="46">
        <v>72.004000000000005</v>
      </c>
      <c r="OG55" s="44">
        <v>70</v>
      </c>
      <c r="OH55" s="44">
        <v>348</v>
      </c>
      <c r="OI55" s="44">
        <v>344</v>
      </c>
      <c r="OJ55" s="47">
        <v>6.0040000000000191</v>
      </c>
      <c r="OK55" s="45"/>
      <c r="OL55" s="44">
        <v>0</v>
      </c>
      <c r="OM55" s="43"/>
      <c r="ON55" s="44">
        <v>301.822</v>
      </c>
      <c r="OO55" s="44">
        <v>300</v>
      </c>
      <c r="OP55" s="47">
        <v>1.822000000000003</v>
      </c>
      <c r="OQ55" s="45"/>
      <c r="OR55" s="46">
        <v>151.91999999999999</v>
      </c>
      <c r="OS55" s="44">
        <v>150</v>
      </c>
      <c r="OT55" s="44">
        <v>226.44499999999999</v>
      </c>
      <c r="OU55" s="44">
        <v>230</v>
      </c>
      <c r="OV55" s="47">
        <v>-1.6349999999999909</v>
      </c>
      <c r="OW55" s="45"/>
      <c r="OX55" s="46">
        <v>0</v>
      </c>
      <c r="OY55" s="33">
        <v>150</v>
      </c>
      <c r="OZ55" s="44">
        <v>302.084</v>
      </c>
      <c r="PA55" s="44">
        <v>300</v>
      </c>
      <c r="PB55" s="50">
        <v>-147.916</v>
      </c>
      <c r="PC55" s="45">
        <v>147.916</v>
      </c>
      <c r="PD55" s="46">
        <v>120.881</v>
      </c>
      <c r="PE55" s="44">
        <v>120</v>
      </c>
      <c r="PF55" s="44">
        <v>181.00899999999999</v>
      </c>
      <c r="PG55" s="44">
        <v>180</v>
      </c>
      <c r="PH55" s="47">
        <v>1.8899999999999859</v>
      </c>
      <c r="PI55" s="45"/>
      <c r="PJ55" s="25">
        <v>100.726</v>
      </c>
      <c r="PK55" s="44">
        <v>200</v>
      </c>
      <c r="PL55" s="44">
        <v>381.21</v>
      </c>
      <c r="PM55" s="44">
        <v>380</v>
      </c>
      <c r="PN55" s="50">
        <v>-98.064000000000021</v>
      </c>
      <c r="PO55" s="45">
        <v>98.064000000000021</v>
      </c>
      <c r="PP55" s="46">
        <v>152.93700000000001</v>
      </c>
      <c r="PQ55" s="44">
        <v>150</v>
      </c>
      <c r="PR55" s="44">
        <v>173.94</v>
      </c>
      <c r="PS55" s="44">
        <v>172</v>
      </c>
      <c r="PT55" s="47">
        <v>4.8770000000000104</v>
      </c>
      <c r="PU55" s="45"/>
      <c r="PV55" s="46">
        <v>502.14299999999997</v>
      </c>
      <c r="PW55" s="44">
        <v>500</v>
      </c>
      <c r="PX55" s="47">
        <v>2.1429999999999718</v>
      </c>
      <c r="PY55" s="45"/>
      <c r="PZ55" s="46">
        <v>496.27100000000002</v>
      </c>
      <c r="QA55" s="44">
        <v>496</v>
      </c>
      <c r="QB55" s="47">
        <v>0.27100000000001501</v>
      </c>
      <c r="QC55" s="45"/>
      <c r="QD55" s="46">
        <v>0</v>
      </c>
      <c r="QE55" s="44">
        <v>0</v>
      </c>
      <c r="QF55" s="44">
        <v>71.266000000000005</v>
      </c>
      <c r="QG55" s="44">
        <v>70</v>
      </c>
      <c r="QH55" s="47">
        <v>1.2660000000000049</v>
      </c>
      <c r="QI55" s="45"/>
      <c r="QJ55" s="46">
        <v>251.13900000000001</v>
      </c>
      <c r="QK55" s="44">
        <v>250</v>
      </c>
      <c r="QL55" s="47">
        <v>1.13900000000001</v>
      </c>
      <c r="QM55" s="45"/>
      <c r="QN55" s="46">
        <v>492.86099999999999</v>
      </c>
      <c r="QO55" s="44">
        <v>500</v>
      </c>
      <c r="QP55" s="44">
        <v>411.221</v>
      </c>
      <c r="QQ55" s="44">
        <v>414</v>
      </c>
      <c r="QR55" s="47">
        <v>-9.9180000000000064</v>
      </c>
      <c r="QS55" s="45"/>
      <c r="QT55" s="46">
        <v>119.059</v>
      </c>
      <c r="QU55" s="44">
        <v>117</v>
      </c>
      <c r="QV55" s="47">
        <v>2.0589999999999971</v>
      </c>
      <c r="QW55" s="45"/>
      <c r="QX55" s="46">
        <v>0</v>
      </c>
      <c r="QY55" s="44">
        <v>0</v>
      </c>
      <c r="QZ55" s="44">
        <v>161.79900000000001</v>
      </c>
      <c r="RA55" s="44">
        <v>163</v>
      </c>
      <c r="RB55" s="47">
        <v>-1.200999999999993</v>
      </c>
      <c r="RC55" s="45"/>
      <c r="RD55" s="42">
        <v>0</v>
      </c>
      <c r="RE55" s="44">
        <v>0</v>
      </c>
      <c r="RF55" s="44">
        <v>118.788</v>
      </c>
      <c r="RG55" s="44">
        <v>120</v>
      </c>
      <c r="RH55" s="47">
        <v>-1.2120000000000031</v>
      </c>
      <c r="RI55" s="45"/>
      <c r="RJ55" s="42">
        <v>252.08099999999999</v>
      </c>
      <c r="RK55" s="47">
        <v>250</v>
      </c>
      <c r="RL55" s="47">
        <v>246.59899999999999</v>
      </c>
      <c r="RM55" s="47">
        <v>250</v>
      </c>
      <c r="RN55" s="47">
        <v>-1.32000000000005</v>
      </c>
      <c r="RO55" s="43"/>
      <c r="RP55" s="42">
        <v>498.24799999999999</v>
      </c>
      <c r="RQ55" s="47">
        <v>500</v>
      </c>
      <c r="RR55" s="47">
        <v>-1.75200000000001</v>
      </c>
      <c r="RS55" s="43"/>
      <c r="RT55" s="42">
        <v>0</v>
      </c>
      <c r="RU55" s="47">
        <v>0</v>
      </c>
      <c r="RV55" s="47">
        <v>0</v>
      </c>
      <c r="RW55" s="47">
        <v>0</v>
      </c>
      <c r="RX55" s="47">
        <v>0</v>
      </c>
      <c r="RY55" s="43"/>
      <c r="RZ55" s="42">
        <v>352.09199999999998</v>
      </c>
      <c r="SA55" s="47">
        <v>350</v>
      </c>
      <c r="SB55" s="47">
        <v>551.05399999999997</v>
      </c>
      <c r="SC55" s="47">
        <v>550</v>
      </c>
      <c r="SD55" s="47">
        <v>3.1459999999999582</v>
      </c>
      <c r="SE55" s="43"/>
      <c r="SF55" s="42">
        <v>72.233000000000004</v>
      </c>
      <c r="SG55" s="47">
        <v>70</v>
      </c>
      <c r="SH55" s="47">
        <v>148.744</v>
      </c>
      <c r="SI55" s="47">
        <v>80</v>
      </c>
      <c r="SJ55" s="47">
        <v>70.977000000000004</v>
      </c>
      <c r="SK55" s="43"/>
      <c r="SL55" s="42">
        <v>0</v>
      </c>
      <c r="SM55" s="47">
        <v>0</v>
      </c>
      <c r="SN55" s="47">
        <v>0</v>
      </c>
      <c r="SO55" s="43"/>
      <c r="SP55" s="42">
        <v>300.13200000000001</v>
      </c>
      <c r="SQ55" s="47">
        <v>300</v>
      </c>
      <c r="SR55" s="47">
        <v>300.39</v>
      </c>
      <c r="SS55" s="47">
        <v>300</v>
      </c>
      <c r="ST55" s="47">
        <v>0.52199999999993452</v>
      </c>
      <c r="SU55" s="43"/>
    </row>
    <row r="56" spans="1:515" x14ac:dyDescent="0.25">
      <c r="A56" s="47" t="s">
        <v>363</v>
      </c>
      <c r="B56" s="41">
        <v>1</v>
      </c>
      <c r="J56" s="42"/>
      <c r="K56" s="51"/>
      <c r="L56" s="51"/>
      <c r="M56" s="51"/>
      <c r="N56" s="51">
        <f t="shared" si="9"/>
        <v>0</v>
      </c>
      <c r="O56" s="43"/>
      <c r="P56" s="46"/>
      <c r="Q56" s="51"/>
      <c r="R56" s="51"/>
      <c r="S56" s="51"/>
      <c r="T56" s="51">
        <f t="shared" si="10"/>
        <v>0</v>
      </c>
      <c r="U56" s="43"/>
      <c r="V56" s="42"/>
      <c r="W56" s="51"/>
      <c r="X56" s="51"/>
      <c r="Y56" s="51"/>
      <c r="Z56" s="51">
        <f t="shared" si="11"/>
        <v>0</v>
      </c>
      <c r="AA56" s="43"/>
      <c r="AB56" s="42"/>
      <c r="AC56" s="51"/>
      <c r="AD56" s="51"/>
      <c r="AE56" s="51"/>
      <c r="AF56" s="51">
        <v>0</v>
      </c>
      <c r="AG56" s="43"/>
      <c r="AH56" s="51"/>
      <c r="AL56" s="47">
        <v>0</v>
      </c>
      <c r="AM56" s="43"/>
      <c r="AN56" s="42"/>
      <c r="AR56" s="47">
        <v>0</v>
      </c>
      <c r="AS56" s="43"/>
      <c r="AX56" s="47">
        <v>0</v>
      </c>
      <c r="AY56" s="43"/>
      <c r="BD56" s="47">
        <v>0</v>
      </c>
      <c r="BE56" s="43"/>
      <c r="BF56" s="42"/>
      <c r="BJ56" s="47">
        <v>0</v>
      </c>
      <c r="BK56" s="43"/>
      <c r="BL56" s="42"/>
      <c r="BP56" s="47">
        <v>0</v>
      </c>
      <c r="BQ56" s="43"/>
      <c r="BV56" s="47">
        <v>0</v>
      </c>
      <c r="BW56" s="43"/>
      <c r="BX56" s="42"/>
      <c r="CB56" s="47">
        <v>0</v>
      </c>
      <c r="CC56" s="43"/>
      <c r="CH56" s="47">
        <v>0</v>
      </c>
      <c r="CI56" s="43"/>
      <c r="CN56" s="47">
        <v>0</v>
      </c>
      <c r="CO56" s="43"/>
      <c r="CP56" s="42"/>
      <c r="CT56" s="47">
        <v>0</v>
      </c>
      <c r="CU56" s="43"/>
      <c r="CV56" s="42"/>
      <c r="CZ56" s="47">
        <v>0</v>
      </c>
      <c r="DA56" s="43"/>
      <c r="DG56" s="47">
        <v>0</v>
      </c>
      <c r="DH56" s="43"/>
      <c r="DK56" s="47">
        <v>0</v>
      </c>
      <c r="DL56" s="43"/>
      <c r="DM56" s="42"/>
      <c r="DQ56" s="47">
        <v>0</v>
      </c>
      <c r="DR56" s="43"/>
      <c r="DW56" s="47">
        <v>0</v>
      </c>
      <c r="DX56" s="43"/>
      <c r="EC56" s="47">
        <v>0</v>
      </c>
      <c r="ED56" s="43"/>
      <c r="EE56" s="42"/>
      <c r="EI56" s="47">
        <v>0</v>
      </c>
      <c r="EJ56" s="43"/>
      <c r="EO56" s="47">
        <v>0</v>
      </c>
      <c r="EP56" s="43"/>
      <c r="EQ56" s="42"/>
      <c r="EU56" s="47">
        <v>0</v>
      </c>
      <c r="EV56" s="43"/>
      <c r="EW56" s="42"/>
      <c r="FC56" s="47">
        <v>0</v>
      </c>
      <c r="FD56" s="43"/>
      <c r="FE56" s="42"/>
      <c r="FI56" s="47">
        <v>0</v>
      </c>
      <c r="FJ56" s="43"/>
      <c r="FQ56" s="47">
        <v>0</v>
      </c>
      <c r="FR56" s="43"/>
      <c r="FS56" s="42"/>
      <c r="FW56" s="47">
        <v>0</v>
      </c>
      <c r="FX56" s="43"/>
      <c r="FY56" s="42"/>
      <c r="GC56" s="47">
        <v>0</v>
      </c>
      <c r="GD56" s="43"/>
      <c r="GE56" s="42"/>
      <c r="GI56" s="47">
        <v>0</v>
      </c>
      <c r="GJ56" s="43"/>
      <c r="GQ56" s="47">
        <v>0</v>
      </c>
      <c r="GR56" s="43"/>
      <c r="GX56" s="47">
        <v>0</v>
      </c>
      <c r="GY56" s="43"/>
      <c r="GZ56" s="42"/>
      <c r="HC56" s="47">
        <v>0</v>
      </c>
      <c r="HD56" s="43"/>
      <c r="HE56" s="42"/>
      <c r="HH56" s="47">
        <v>0</v>
      </c>
      <c r="HI56" s="43"/>
      <c r="HN56" s="47">
        <v>0</v>
      </c>
      <c r="HO56" s="43"/>
      <c r="HP56" s="42"/>
      <c r="HU56" s="47">
        <v>0</v>
      </c>
      <c r="HV56" s="43"/>
      <c r="IA56" s="47">
        <v>0</v>
      </c>
      <c r="IB56" s="43"/>
      <c r="IC56" s="42"/>
      <c r="IG56" s="47">
        <v>0</v>
      </c>
      <c r="IH56" s="43"/>
      <c r="IM56" s="47">
        <v>0</v>
      </c>
      <c r="IN56" s="43"/>
      <c r="IO56" s="42"/>
      <c r="IQ56" s="47">
        <v>0</v>
      </c>
      <c r="IR56" s="43"/>
      <c r="IS56" s="42"/>
      <c r="IW56" s="47">
        <v>0</v>
      </c>
      <c r="IX56" s="43"/>
      <c r="IY56" s="42"/>
      <c r="JA56" s="47">
        <v>0</v>
      </c>
      <c r="JB56" s="43"/>
      <c r="JC56" s="42"/>
      <c r="JG56" s="47">
        <v>0</v>
      </c>
      <c r="JH56" s="43"/>
      <c r="JO56" s="47">
        <v>0</v>
      </c>
      <c r="JP56" s="43"/>
      <c r="JQ56" s="42"/>
      <c r="JU56" s="47">
        <v>0</v>
      </c>
      <c r="JV56" s="43"/>
      <c r="KA56" s="47">
        <v>0</v>
      </c>
      <c r="KB56" s="45"/>
      <c r="KG56" s="47">
        <v>0</v>
      </c>
      <c r="KH56" s="45"/>
      <c r="KM56" s="47">
        <v>0</v>
      </c>
      <c r="KN56" s="45"/>
      <c r="KS56" s="47">
        <v>0</v>
      </c>
      <c r="KT56" s="43"/>
      <c r="KW56" s="47">
        <v>0</v>
      </c>
      <c r="KX56" s="45"/>
      <c r="LC56" s="47">
        <v>0</v>
      </c>
      <c r="LD56" s="43"/>
      <c r="LE56" s="46"/>
      <c r="LG56" s="47">
        <v>0</v>
      </c>
      <c r="LH56" s="45"/>
      <c r="LM56" s="47">
        <v>0</v>
      </c>
      <c r="LN56" s="45"/>
      <c r="LS56" s="47">
        <v>0</v>
      </c>
      <c r="LT56" s="45"/>
      <c r="LY56" s="47">
        <v>0</v>
      </c>
      <c r="LZ56" s="45"/>
      <c r="ME56" s="47">
        <v>0</v>
      </c>
      <c r="MF56" s="45"/>
      <c r="MG56" s="46"/>
      <c r="MM56" s="47">
        <v>0</v>
      </c>
      <c r="MN56" s="45"/>
      <c r="MO56" s="44">
        <v>0</v>
      </c>
      <c r="MP56" s="44">
        <v>0</v>
      </c>
      <c r="MQ56" s="44">
        <v>0</v>
      </c>
      <c r="MR56" s="44">
        <v>0</v>
      </c>
      <c r="MS56" s="47">
        <v>0</v>
      </c>
      <c r="MT56" s="45"/>
      <c r="MU56" s="44">
        <v>0</v>
      </c>
      <c r="MV56" s="44">
        <v>0</v>
      </c>
      <c r="MW56" s="44">
        <v>0</v>
      </c>
      <c r="MX56" s="44">
        <v>0</v>
      </c>
      <c r="MY56" s="47">
        <v>0</v>
      </c>
      <c r="MZ56" s="45"/>
      <c r="NA56" s="46">
        <v>0</v>
      </c>
      <c r="NB56" s="44">
        <v>0</v>
      </c>
      <c r="NC56" s="47">
        <v>0</v>
      </c>
      <c r="ND56" s="45"/>
      <c r="NE56" s="46">
        <v>0</v>
      </c>
      <c r="NF56" s="44">
        <v>0</v>
      </c>
      <c r="NG56" s="44">
        <v>0</v>
      </c>
      <c r="NH56" s="44">
        <v>0</v>
      </c>
      <c r="NI56" s="44">
        <v>0</v>
      </c>
      <c r="NJ56" s="47">
        <v>0</v>
      </c>
      <c r="NK56" s="45"/>
      <c r="NL56" s="46">
        <v>0</v>
      </c>
      <c r="NM56" s="44">
        <v>0</v>
      </c>
      <c r="NN56" s="44">
        <v>0</v>
      </c>
      <c r="NO56" s="44">
        <v>0</v>
      </c>
      <c r="NP56" s="47">
        <v>0</v>
      </c>
      <c r="NQ56" s="45"/>
      <c r="NR56" s="46">
        <v>0</v>
      </c>
      <c r="NS56" s="44">
        <v>0</v>
      </c>
      <c r="NT56" s="47">
        <v>0</v>
      </c>
      <c r="NU56" s="45"/>
      <c r="NV56" s="46">
        <v>0</v>
      </c>
      <c r="NW56" s="44">
        <v>0</v>
      </c>
      <c r="NX56" s="44">
        <v>0</v>
      </c>
      <c r="NY56" s="44">
        <v>0</v>
      </c>
      <c r="NZ56" s="47">
        <v>0</v>
      </c>
      <c r="OA56" s="45"/>
      <c r="OB56" s="46">
        <v>0</v>
      </c>
      <c r="OC56" s="44">
        <v>0</v>
      </c>
      <c r="OD56" s="47">
        <v>0</v>
      </c>
      <c r="OE56" s="45"/>
      <c r="OF56" s="46">
        <v>0</v>
      </c>
      <c r="OG56" s="44">
        <v>0</v>
      </c>
      <c r="OH56" s="44">
        <v>0</v>
      </c>
      <c r="OI56" s="44">
        <v>0</v>
      </c>
      <c r="OJ56" s="47">
        <v>0</v>
      </c>
      <c r="OK56" s="45"/>
      <c r="OL56" s="44">
        <v>0</v>
      </c>
      <c r="OM56" s="43"/>
      <c r="ON56" s="44">
        <v>0</v>
      </c>
      <c r="OO56" s="44">
        <v>0</v>
      </c>
      <c r="OP56" s="47">
        <v>0</v>
      </c>
      <c r="OQ56" s="45"/>
      <c r="OR56" s="46">
        <v>0</v>
      </c>
      <c r="OS56" s="44">
        <v>0</v>
      </c>
      <c r="OT56" s="44">
        <v>0</v>
      </c>
      <c r="OU56" s="44">
        <v>0</v>
      </c>
      <c r="OV56" s="47">
        <v>0</v>
      </c>
      <c r="OW56" s="45"/>
      <c r="OX56" s="46">
        <v>0</v>
      </c>
      <c r="OY56" s="44">
        <v>0</v>
      </c>
      <c r="OZ56" s="44">
        <v>0</v>
      </c>
      <c r="PA56" s="44">
        <v>0</v>
      </c>
      <c r="PB56" s="47">
        <v>0</v>
      </c>
      <c r="PC56" s="45"/>
      <c r="PD56" s="46">
        <v>0</v>
      </c>
      <c r="PE56" s="44">
        <v>0</v>
      </c>
      <c r="PF56" s="44">
        <v>0</v>
      </c>
      <c r="PG56" s="44">
        <v>0</v>
      </c>
      <c r="PH56" s="47">
        <v>0</v>
      </c>
      <c r="PI56" s="45"/>
      <c r="PJ56" s="46">
        <v>0</v>
      </c>
      <c r="PK56" s="44">
        <v>0</v>
      </c>
      <c r="PL56" s="44">
        <v>0</v>
      </c>
      <c r="PM56" s="44">
        <v>0</v>
      </c>
      <c r="PN56" s="47">
        <v>0</v>
      </c>
      <c r="PO56" s="45"/>
      <c r="PP56" s="46">
        <v>0</v>
      </c>
      <c r="PQ56" s="44">
        <v>0</v>
      </c>
      <c r="PR56" s="44">
        <v>0</v>
      </c>
      <c r="PS56" s="44">
        <v>0</v>
      </c>
      <c r="PT56" s="47">
        <v>0</v>
      </c>
      <c r="PU56" s="45"/>
      <c r="PV56" s="46">
        <v>0</v>
      </c>
      <c r="PW56" s="44">
        <v>0</v>
      </c>
      <c r="PX56" s="47">
        <v>0</v>
      </c>
      <c r="PY56" s="45"/>
      <c r="PZ56" s="46">
        <v>0</v>
      </c>
      <c r="QA56" s="44">
        <v>0</v>
      </c>
      <c r="QB56" s="47">
        <v>0</v>
      </c>
      <c r="QC56" s="45"/>
      <c r="QD56" s="46">
        <v>0</v>
      </c>
      <c r="QE56" s="44">
        <v>0</v>
      </c>
      <c r="QF56" s="44">
        <v>0</v>
      </c>
      <c r="QG56" s="44">
        <v>0</v>
      </c>
      <c r="QH56" s="47">
        <v>0</v>
      </c>
      <c r="QI56" s="45"/>
      <c r="QJ56" s="46">
        <v>0</v>
      </c>
      <c r="QK56" s="44">
        <v>0</v>
      </c>
      <c r="QL56" s="47">
        <v>0</v>
      </c>
      <c r="QM56" s="45"/>
      <c r="QN56" s="46">
        <v>0</v>
      </c>
      <c r="QO56" s="44">
        <v>0</v>
      </c>
      <c r="QP56" s="44">
        <v>0</v>
      </c>
      <c r="QQ56" s="44">
        <v>0</v>
      </c>
      <c r="QR56" s="47">
        <v>0</v>
      </c>
      <c r="QS56" s="45"/>
      <c r="QT56" s="46">
        <v>0</v>
      </c>
      <c r="QU56" s="44">
        <v>0</v>
      </c>
      <c r="QV56" s="47">
        <v>0</v>
      </c>
      <c r="QW56" s="45"/>
      <c r="QX56" s="46">
        <v>0</v>
      </c>
      <c r="QY56" s="44">
        <v>0</v>
      </c>
      <c r="QZ56" s="44">
        <v>0</v>
      </c>
      <c r="RA56" s="44">
        <v>0</v>
      </c>
      <c r="RB56" s="47">
        <v>0</v>
      </c>
      <c r="RC56" s="45"/>
      <c r="RD56" s="42">
        <v>0</v>
      </c>
      <c r="RE56" s="44">
        <v>0</v>
      </c>
      <c r="RF56" s="44">
        <v>0</v>
      </c>
      <c r="RG56" s="44">
        <v>0</v>
      </c>
      <c r="RH56" s="47">
        <v>0</v>
      </c>
      <c r="RI56" s="45"/>
      <c r="RJ56" s="42">
        <v>0</v>
      </c>
      <c r="RK56" s="13">
        <v>60</v>
      </c>
      <c r="RL56" s="47">
        <v>0</v>
      </c>
      <c r="RM56" s="47">
        <v>0</v>
      </c>
      <c r="RN56" s="50">
        <v>-60</v>
      </c>
      <c r="RO56" s="43">
        <v>60</v>
      </c>
      <c r="RP56" s="42">
        <v>0</v>
      </c>
      <c r="RQ56" s="47">
        <v>130</v>
      </c>
      <c r="RR56" s="50">
        <v>-130</v>
      </c>
      <c r="RS56" s="43">
        <v>130</v>
      </c>
      <c r="RT56" s="42">
        <v>59.267000000000003</v>
      </c>
      <c r="RU56" s="47">
        <v>59</v>
      </c>
      <c r="RV56" s="47">
        <v>0</v>
      </c>
      <c r="RW56" s="47">
        <v>70</v>
      </c>
      <c r="RX56" s="50">
        <v>-69.733000000000004</v>
      </c>
      <c r="RY56" s="43">
        <v>69.733000000000004</v>
      </c>
      <c r="RZ56" s="42">
        <v>0</v>
      </c>
      <c r="SA56" s="47">
        <v>0</v>
      </c>
      <c r="SB56" s="47">
        <v>0</v>
      </c>
      <c r="SC56" s="47">
        <v>0</v>
      </c>
      <c r="SD56" s="47">
        <v>0</v>
      </c>
      <c r="SE56" s="43"/>
      <c r="SF56" s="42">
        <v>67.935000000000002</v>
      </c>
      <c r="SG56" s="47">
        <v>69</v>
      </c>
      <c r="SH56" s="47">
        <v>50.942</v>
      </c>
      <c r="SI56" s="47">
        <v>70</v>
      </c>
      <c r="SJ56" s="50">
        <v>-20.12299999999999</v>
      </c>
      <c r="SK56" s="43">
        <v>20.12299999999999</v>
      </c>
      <c r="SL56" s="42">
        <v>102.377</v>
      </c>
      <c r="SM56" s="47">
        <v>100</v>
      </c>
      <c r="SN56" s="47">
        <v>2.3769999999999949</v>
      </c>
      <c r="SO56" s="43"/>
      <c r="SP56" s="42">
        <v>0</v>
      </c>
      <c r="SQ56" s="47">
        <v>0</v>
      </c>
      <c r="SR56" s="47">
        <v>53.868000000000002</v>
      </c>
      <c r="SS56" s="47">
        <v>53</v>
      </c>
      <c r="ST56" s="47">
        <v>0.8680000000000021</v>
      </c>
      <c r="SU56" s="43"/>
    </row>
    <row r="57" spans="1:515" x14ac:dyDescent="0.25">
      <c r="A57" s="47" t="s">
        <v>364</v>
      </c>
      <c r="B57" s="41">
        <v>0.4</v>
      </c>
      <c r="E57">
        <v>76</v>
      </c>
      <c r="F57">
        <v>88</v>
      </c>
      <c r="G57">
        <v>94</v>
      </c>
      <c r="J57" s="40">
        <v>128</v>
      </c>
      <c r="K57" s="52">
        <v>139</v>
      </c>
      <c r="L57" s="52">
        <v>112</v>
      </c>
      <c r="M57" s="52">
        <v>113</v>
      </c>
      <c r="N57" s="57">
        <f t="shared" si="9"/>
        <v>-12</v>
      </c>
      <c r="O57" s="43">
        <f>-1*N57*B57</f>
        <v>4.8000000000000007</v>
      </c>
      <c r="P57" s="46"/>
      <c r="Q57" s="51"/>
      <c r="R57" s="52">
        <v>144</v>
      </c>
      <c r="S57" s="52">
        <v>150</v>
      </c>
      <c r="T57" s="51">
        <f t="shared" si="10"/>
        <v>-6</v>
      </c>
      <c r="U57" s="43"/>
      <c r="V57" s="42"/>
      <c r="W57" s="51"/>
      <c r="X57" s="51"/>
      <c r="Y57" s="51"/>
      <c r="Z57" s="51">
        <f t="shared" si="11"/>
        <v>0</v>
      </c>
      <c r="AA57" s="43"/>
      <c r="AB57" s="40">
        <v>120</v>
      </c>
      <c r="AC57" s="56">
        <v>124.7826086956522</v>
      </c>
      <c r="AD57" s="52">
        <v>160</v>
      </c>
      <c r="AE57" s="56">
        <v>162.21739130434781</v>
      </c>
      <c r="AF57" s="51">
        <v>-7</v>
      </c>
      <c r="AG57" s="43"/>
      <c r="AH57" s="52">
        <v>24</v>
      </c>
      <c r="AI57">
        <v>28</v>
      </c>
      <c r="AL57" s="47">
        <v>-4</v>
      </c>
      <c r="AM57" s="43"/>
      <c r="AN57" s="40">
        <v>48</v>
      </c>
      <c r="AO57">
        <v>48</v>
      </c>
      <c r="AP57">
        <v>88</v>
      </c>
      <c r="AQ57">
        <v>88</v>
      </c>
      <c r="AR57" s="47">
        <v>0</v>
      </c>
      <c r="AS57" s="43"/>
      <c r="AT57">
        <v>80</v>
      </c>
      <c r="AU57">
        <v>80</v>
      </c>
      <c r="AV57">
        <v>96</v>
      </c>
      <c r="AW57">
        <v>99</v>
      </c>
      <c r="AX57" s="47">
        <v>-3</v>
      </c>
      <c r="AY57" s="43"/>
      <c r="AZ57">
        <v>24</v>
      </c>
      <c r="BA57">
        <v>24</v>
      </c>
      <c r="BB57">
        <v>64</v>
      </c>
      <c r="BC57">
        <v>68</v>
      </c>
      <c r="BD57" s="47">
        <v>-4</v>
      </c>
      <c r="BE57" s="43"/>
      <c r="BF57" s="42"/>
      <c r="BJ57" s="47">
        <v>0</v>
      </c>
      <c r="BK57" s="43"/>
      <c r="BL57" s="40">
        <v>160</v>
      </c>
      <c r="BM57">
        <v>160</v>
      </c>
      <c r="BN57">
        <v>160</v>
      </c>
      <c r="BO57">
        <v>163</v>
      </c>
      <c r="BP57" s="47">
        <v>-3</v>
      </c>
      <c r="BQ57" s="43"/>
      <c r="BV57" s="47">
        <v>0</v>
      </c>
      <c r="BW57" s="43"/>
      <c r="BX57" s="40">
        <v>152</v>
      </c>
      <c r="BY57">
        <v>152</v>
      </c>
      <c r="BZ57">
        <v>168</v>
      </c>
      <c r="CA57">
        <v>172</v>
      </c>
      <c r="CB57" s="47">
        <v>-4</v>
      </c>
      <c r="CC57" s="43"/>
      <c r="CH57" s="47">
        <v>0</v>
      </c>
      <c r="CI57" s="43"/>
      <c r="CJ57">
        <v>72</v>
      </c>
      <c r="CK57">
        <v>70</v>
      </c>
      <c r="CL57">
        <v>72</v>
      </c>
      <c r="CM57">
        <v>76</v>
      </c>
      <c r="CN57" s="47">
        <v>-2</v>
      </c>
      <c r="CO57" s="43"/>
      <c r="CP57" s="42"/>
      <c r="CR57">
        <v>48</v>
      </c>
      <c r="CS57">
        <v>49</v>
      </c>
      <c r="CT57" s="47">
        <v>-1</v>
      </c>
      <c r="CU57" s="43"/>
      <c r="CV57" s="42"/>
      <c r="CW57">
        <v>37</v>
      </c>
      <c r="CZ57" s="50">
        <v>-37</v>
      </c>
      <c r="DA57" s="43">
        <v>14.8</v>
      </c>
      <c r="DB57">
        <v>80</v>
      </c>
      <c r="DC57">
        <v>80</v>
      </c>
      <c r="DE57">
        <v>56</v>
      </c>
      <c r="DF57">
        <v>55</v>
      </c>
      <c r="DG57" s="47">
        <v>1</v>
      </c>
      <c r="DH57" s="43"/>
      <c r="DK57" s="47">
        <v>0</v>
      </c>
      <c r="DL57" s="43"/>
      <c r="DM57" s="40">
        <v>32</v>
      </c>
      <c r="DN57">
        <v>37</v>
      </c>
      <c r="DO57">
        <v>256</v>
      </c>
      <c r="DP57">
        <v>257</v>
      </c>
      <c r="DQ57" s="47">
        <v>-6</v>
      </c>
      <c r="DR57" s="43"/>
      <c r="DS57">
        <v>48</v>
      </c>
      <c r="DT57">
        <v>48</v>
      </c>
      <c r="DU57">
        <v>104</v>
      </c>
      <c r="DV57">
        <v>103</v>
      </c>
      <c r="DW57" s="47">
        <v>1</v>
      </c>
      <c r="DX57" s="43"/>
      <c r="EC57" s="47">
        <v>0</v>
      </c>
      <c r="ED57" s="43"/>
      <c r="EE57" s="42"/>
      <c r="EG57">
        <v>312</v>
      </c>
      <c r="EH57">
        <v>314</v>
      </c>
      <c r="EI57" s="47">
        <v>-2</v>
      </c>
      <c r="EJ57" s="43"/>
      <c r="EO57" s="47">
        <v>0</v>
      </c>
      <c r="EP57" s="43"/>
      <c r="EQ57" s="42"/>
      <c r="ES57">
        <v>72</v>
      </c>
      <c r="ET57">
        <v>73</v>
      </c>
      <c r="EU57" s="47">
        <v>-1</v>
      </c>
      <c r="EV57" s="43"/>
      <c r="EW57" s="42"/>
      <c r="FC57" s="47">
        <v>0</v>
      </c>
      <c r="FD57" s="43"/>
      <c r="FE57" s="42"/>
      <c r="FI57" s="47">
        <v>0</v>
      </c>
      <c r="FJ57" s="43"/>
      <c r="FM57">
        <v>272</v>
      </c>
      <c r="FN57">
        <v>270</v>
      </c>
      <c r="FO57">
        <v>120</v>
      </c>
      <c r="FP57">
        <v>120</v>
      </c>
      <c r="FQ57" s="47">
        <v>2</v>
      </c>
      <c r="FR57" s="43"/>
      <c r="FS57" s="42"/>
      <c r="FW57" s="47">
        <v>0</v>
      </c>
      <c r="FX57" s="43"/>
      <c r="FY57" s="42"/>
      <c r="GA57">
        <v>208</v>
      </c>
      <c r="GB57">
        <v>210</v>
      </c>
      <c r="GC57" s="47">
        <v>-2</v>
      </c>
      <c r="GD57" s="43"/>
      <c r="GE57" s="40">
        <v>40</v>
      </c>
      <c r="GF57">
        <v>40</v>
      </c>
      <c r="GI57" s="47">
        <v>0</v>
      </c>
      <c r="GJ57" s="43"/>
      <c r="GK57">
        <v>40</v>
      </c>
      <c r="GL57">
        <v>40</v>
      </c>
      <c r="GM57">
        <v>40</v>
      </c>
      <c r="GN57">
        <v>40</v>
      </c>
      <c r="GO57">
        <v>40</v>
      </c>
      <c r="GP57">
        <v>40</v>
      </c>
      <c r="GQ57" s="47">
        <v>0</v>
      </c>
      <c r="GR57" s="43"/>
      <c r="GU57">
        <v>176</v>
      </c>
      <c r="GW57">
        <v>180</v>
      </c>
      <c r="GX57" s="47">
        <v>-4</v>
      </c>
      <c r="GY57" s="43"/>
      <c r="GZ57" s="42"/>
      <c r="HC57" s="47">
        <v>0</v>
      </c>
      <c r="HD57" s="43"/>
      <c r="HE57" s="40">
        <v>224</v>
      </c>
      <c r="HG57">
        <v>222</v>
      </c>
      <c r="HH57" s="47">
        <v>2</v>
      </c>
      <c r="HI57" s="43"/>
      <c r="HJ57">
        <v>32</v>
      </c>
      <c r="HM57">
        <v>30</v>
      </c>
      <c r="HN57" s="47">
        <v>2</v>
      </c>
      <c r="HO57" s="43"/>
      <c r="HP57" s="42"/>
      <c r="HS57">
        <v>72</v>
      </c>
      <c r="HT57">
        <v>70</v>
      </c>
      <c r="HU57" s="47">
        <v>2</v>
      </c>
      <c r="HV57" s="43"/>
      <c r="HW57">
        <v>40</v>
      </c>
      <c r="HX57">
        <v>40</v>
      </c>
      <c r="HY57">
        <v>40</v>
      </c>
      <c r="HZ57">
        <v>40</v>
      </c>
      <c r="IA57" s="47">
        <v>0</v>
      </c>
      <c r="IB57" s="43"/>
      <c r="IC57" s="42"/>
      <c r="IE57">
        <v>112</v>
      </c>
      <c r="IF57">
        <v>110</v>
      </c>
      <c r="IG57" s="47">
        <v>2</v>
      </c>
      <c r="IH57" s="43"/>
      <c r="IK57">
        <v>168</v>
      </c>
      <c r="IL57">
        <v>170</v>
      </c>
      <c r="IM57" s="47">
        <v>-2</v>
      </c>
      <c r="IN57" s="43"/>
      <c r="IO57" s="40">
        <v>48</v>
      </c>
      <c r="IP57" s="44">
        <v>50</v>
      </c>
      <c r="IQ57" s="47">
        <v>-2</v>
      </c>
      <c r="IR57" s="43"/>
      <c r="IS57" s="42"/>
      <c r="IW57" s="47">
        <v>0</v>
      </c>
      <c r="IX57" s="43"/>
      <c r="IY57" s="40">
        <v>320</v>
      </c>
      <c r="IZ57">
        <v>324</v>
      </c>
      <c r="JA57" s="47">
        <v>-4</v>
      </c>
      <c r="JB57" s="43"/>
      <c r="JC57" s="42"/>
      <c r="JG57" s="47">
        <v>0</v>
      </c>
      <c r="JH57" s="43"/>
      <c r="JK57">
        <v>216</v>
      </c>
      <c r="JL57">
        <v>220</v>
      </c>
      <c r="JM57">
        <v>80</v>
      </c>
      <c r="JN57">
        <v>80</v>
      </c>
      <c r="JO57" s="47">
        <v>-4</v>
      </c>
      <c r="JP57" s="43"/>
      <c r="JQ57" s="42"/>
      <c r="JS57">
        <v>16</v>
      </c>
      <c r="JT57">
        <v>16</v>
      </c>
      <c r="JU57" s="47">
        <v>0</v>
      </c>
      <c r="JV57" s="43"/>
      <c r="KA57" s="47">
        <v>0</v>
      </c>
      <c r="KB57" s="45"/>
      <c r="KC57">
        <v>96</v>
      </c>
      <c r="KD57">
        <v>100</v>
      </c>
      <c r="KE57">
        <v>120</v>
      </c>
      <c r="KF57">
        <v>120</v>
      </c>
      <c r="KG57" s="47">
        <v>-4</v>
      </c>
      <c r="KH57" s="45"/>
      <c r="KI57">
        <v>48</v>
      </c>
      <c r="KJ57">
        <v>48</v>
      </c>
      <c r="KM57" s="47">
        <v>0</v>
      </c>
      <c r="KN57" s="45"/>
      <c r="KS57" s="47">
        <v>0</v>
      </c>
      <c r="KT57" s="43"/>
      <c r="KU57">
        <v>48</v>
      </c>
      <c r="KV57">
        <v>50</v>
      </c>
      <c r="KW57" s="47">
        <v>-2</v>
      </c>
      <c r="KX57" s="45"/>
      <c r="KY57">
        <v>72</v>
      </c>
      <c r="KZ57">
        <v>70</v>
      </c>
      <c r="LA57">
        <v>64</v>
      </c>
      <c r="LB57">
        <v>62</v>
      </c>
      <c r="LC57" s="47">
        <v>4</v>
      </c>
      <c r="LD57" s="43"/>
      <c r="LE57" s="46"/>
      <c r="LG57" s="47">
        <v>0</v>
      </c>
      <c r="LH57" s="45"/>
      <c r="LM57" s="47">
        <v>0</v>
      </c>
      <c r="LN57" s="45"/>
      <c r="LS57" s="47">
        <v>0</v>
      </c>
      <c r="LT57" s="45"/>
      <c r="LU57">
        <v>48</v>
      </c>
      <c r="LV57">
        <v>50</v>
      </c>
      <c r="LW57">
        <v>80</v>
      </c>
      <c r="LX57">
        <v>80</v>
      </c>
      <c r="LY57" s="47">
        <v>-2</v>
      </c>
      <c r="LZ57" s="45"/>
      <c r="ME57" s="47">
        <v>0</v>
      </c>
      <c r="MF57" s="45"/>
      <c r="MG57" s="40">
        <v>56</v>
      </c>
      <c r="MH57">
        <v>60</v>
      </c>
      <c r="MI57">
        <v>72</v>
      </c>
      <c r="MJ57">
        <v>70</v>
      </c>
      <c r="MK57">
        <v>56</v>
      </c>
      <c r="ML57">
        <v>70</v>
      </c>
      <c r="MM57" s="47">
        <v>-16</v>
      </c>
      <c r="MN57" s="45"/>
      <c r="MO57" s="44">
        <v>0</v>
      </c>
      <c r="MP57" s="44">
        <v>0</v>
      </c>
      <c r="MQ57" s="44">
        <v>48</v>
      </c>
      <c r="MR57" s="44">
        <v>50</v>
      </c>
      <c r="MS57" s="47">
        <v>-2</v>
      </c>
      <c r="MT57" s="45"/>
      <c r="MU57" s="44">
        <v>0</v>
      </c>
      <c r="MV57" s="44">
        <v>0</v>
      </c>
      <c r="MW57" s="44">
        <v>40</v>
      </c>
      <c r="MX57" s="44">
        <v>40</v>
      </c>
      <c r="MY57" s="47">
        <v>0</v>
      </c>
      <c r="MZ57" s="45"/>
      <c r="NA57" s="46">
        <v>96</v>
      </c>
      <c r="NB57" s="44">
        <v>100</v>
      </c>
      <c r="NC57" s="47">
        <v>-4</v>
      </c>
      <c r="ND57" s="45"/>
      <c r="NE57" s="46">
        <v>40</v>
      </c>
      <c r="NF57" s="44">
        <v>40</v>
      </c>
      <c r="NG57" s="44">
        <v>0</v>
      </c>
      <c r="NH57" s="44">
        <v>0</v>
      </c>
      <c r="NI57" s="44">
        <v>0</v>
      </c>
      <c r="NJ57" s="47">
        <v>0</v>
      </c>
      <c r="NK57" s="45"/>
      <c r="NL57" s="46">
        <v>0</v>
      </c>
      <c r="NM57" s="44">
        <v>0</v>
      </c>
      <c r="NN57" s="44">
        <v>0</v>
      </c>
      <c r="NO57" s="44">
        <v>0</v>
      </c>
      <c r="NP57" s="47">
        <v>0</v>
      </c>
      <c r="NQ57" s="45"/>
      <c r="NR57" s="46">
        <v>192</v>
      </c>
      <c r="NS57" s="44">
        <v>190</v>
      </c>
      <c r="NT57" s="47">
        <v>2</v>
      </c>
      <c r="NU57" s="45"/>
      <c r="NV57" s="46">
        <v>0</v>
      </c>
      <c r="NW57" s="44">
        <v>0</v>
      </c>
      <c r="NX57" s="44">
        <v>40</v>
      </c>
      <c r="NY57" s="44">
        <v>40</v>
      </c>
      <c r="NZ57" s="47">
        <v>0</v>
      </c>
      <c r="OA57" s="45"/>
      <c r="OB57" s="46">
        <v>40</v>
      </c>
      <c r="OC57" s="44">
        <v>40</v>
      </c>
      <c r="OD57" s="47">
        <v>0</v>
      </c>
      <c r="OE57" s="45"/>
      <c r="OF57" s="46">
        <v>80</v>
      </c>
      <c r="OG57" s="44">
        <v>80</v>
      </c>
      <c r="OH57" s="44">
        <v>0</v>
      </c>
      <c r="OI57" s="44">
        <v>0</v>
      </c>
      <c r="OJ57" s="47">
        <v>0</v>
      </c>
      <c r="OK57" s="45"/>
      <c r="OL57" s="44">
        <v>0</v>
      </c>
      <c r="OM57" s="43"/>
      <c r="OQ57" s="45"/>
      <c r="OR57" s="46"/>
      <c r="OW57" s="45"/>
      <c r="OX57" s="46"/>
      <c r="PC57" s="45"/>
      <c r="PD57" s="46"/>
      <c r="PI57" s="45"/>
      <c r="PJ57" s="46"/>
      <c r="PO57" s="45"/>
      <c r="PP57" s="46"/>
      <c r="PU57" s="45"/>
      <c r="PV57" s="46"/>
      <c r="PY57" s="45"/>
      <c r="PZ57" s="46"/>
      <c r="QC57" s="45"/>
      <c r="QD57" s="46"/>
      <c r="QI57" s="45"/>
      <c r="QJ57" s="46"/>
      <c r="QM57" s="45"/>
      <c r="QN57" s="46"/>
      <c r="QS57" s="45"/>
      <c r="QT57" s="46"/>
      <c r="QW57" s="45"/>
      <c r="QX57" s="46"/>
      <c r="RC57" s="45"/>
      <c r="RD57" s="42"/>
      <c r="RE57" s="44"/>
      <c r="RG57" s="44"/>
      <c r="RI57" s="45"/>
      <c r="RJ57" s="42"/>
      <c r="RO57" s="43"/>
      <c r="RP57" s="42"/>
      <c r="RS57" s="43"/>
      <c r="RT57" s="42"/>
      <c r="RY57" s="43"/>
      <c r="RZ57" s="42"/>
      <c r="SE57" s="43"/>
      <c r="SF57" s="42"/>
      <c r="SK57" s="43"/>
      <c r="SL57" s="42"/>
      <c r="SO57" s="43"/>
      <c r="SP57" s="42"/>
      <c r="SU57" s="43"/>
    </row>
    <row r="58" spans="1:515" x14ac:dyDescent="0.25">
      <c r="A58" s="47" t="s">
        <v>365</v>
      </c>
      <c r="B58" s="41">
        <v>0.4</v>
      </c>
      <c r="E58">
        <v>54</v>
      </c>
      <c r="F58">
        <v>64</v>
      </c>
      <c r="G58">
        <v>66</v>
      </c>
      <c r="J58" s="42"/>
      <c r="K58" s="51"/>
      <c r="L58" s="51"/>
      <c r="M58" s="51"/>
      <c r="N58" s="51">
        <f t="shared" si="9"/>
        <v>0</v>
      </c>
      <c r="O58" s="43"/>
      <c r="P58" s="40">
        <v>40</v>
      </c>
      <c r="Q58" s="52">
        <v>46</v>
      </c>
      <c r="R58" s="52">
        <v>32</v>
      </c>
      <c r="S58" s="52">
        <v>39</v>
      </c>
      <c r="T58" s="51">
        <f t="shared" si="10"/>
        <v>-13</v>
      </c>
      <c r="U58" s="43"/>
      <c r="V58" s="42"/>
      <c r="W58" s="51"/>
      <c r="X58" s="51"/>
      <c r="Y58" s="51"/>
      <c r="Z58" s="51">
        <f t="shared" si="11"/>
        <v>0</v>
      </c>
      <c r="AA58" s="43"/>
      <c r="AB58" s="42"/>
      <c r="AC58" s="51"/>
      <c r="AD58" s="51"/>
      <c r="AE58" s="51"/>
      <c r="AF58" s="51">
        <v>0</v>
      </c>
      <c r="AG58" s="43"/>
      <c r="AH58" s="51"/>
      <c r="AJ58">
        <v>64</v>
      </c>
      <c r="AK58">
        <v>65</v>
      </c>
      <c r="AL58" s="47">
        <v>-1</v>
      </c>
      <c r="AM58" s="43"/>
      <c r="AN58" s="42"/>
      <c r="AP58">
        <v>16</v>
      </c>
      <c r="AQ58">
        <v>18</v>
      </c>
      <c r="AR58" s="47">
        <v>-2</v>
      </c>
      <c r="AS58" s="43"/>
      <c r="AX58" s="47">
        <v>0</v>
      </c>
      <c r="AY58" s="43"/>
      <c r="AZ58">
        <v>24</v>
      </c>
      <c r="BA58">
        <v>24</v>
      </c>
      <c r="BB58">
        <v>40</v>
      </c>
      <c r="BC58">
        <v>43</v>
      </c>
      <c r="BD58" s="47">
        <v>-3</v>
      </c>
      <c r="BE58" s="43"/>
      <c r="BF58" s="42"/>
      <c r="BH58">
        <v>24</v>
      </c>
      <c r="BI58">
        <v>27</v>
      </c>
      <c r="BJ58" s="47">
        <v>-3</v>
      </c>
      <c r="BK58" s="43"/>
      <c r="BL58" s="40">
        <v>8</v>
      </c>
      <c r="BM58">
        <v>8</v>
      </c>
      <c r="BN58">
        <v>24</v>
      </c>
      <c r="BO58">
        <v>24</v>
      </c>
      <c r="BP58" s="47">
        <v>0</v>
      </c>
      <c r="BQ58" s="43"/>
      <c r="BT58">
        <v>32</v>
      </c>
      <c r="BU58">
        <v>36</v>
      </c>
      <c r="BV58" s="47">
        <v>-4</v>
      </c>
      <c r="BW58" s="43"/>
      <c r="BX58" s="42"/>
      <c r="CB58" s="47">
        <v>0</v>
      </c>
      <c r="CC58" s="43"/>
      <c r="CD58">
        <v>24</v>
      </c>
      <c r="CE58">
        <v>24</v>
      </c>
      <c r="CF58">
        <v>24</v>
      </c>
      <c r="CG58">
        <v>24</v>
      </c>
      <c r="CH58" s="47">
        <v>0</v>
      </c>
      <c r="CI58" s="43"/>
      <c r="CN58" s="47">
        <v>0</v>
      </c>
      <c r="CO58" s="43"/>
      <c r="CP58" s="42"/>
      <c r="CT58" s="47">
        <v>0</v>
      </c>
      <c r="CU58" s="43"/>
      <c r="CV58" s="42"/>
      <c r="CX58">
        <v>16</v>
      </c>
      <c r="CY58">
        <v>19</v>
      </c>
      <c r="CZ58" s="47">
        <v>-3</v>
      </c>
      <c r="DA58" s="43"/>
      <c r="DE58">
        <v>8</v>
      </c>
      <c r="DF58">
        <v>11</v>
      </c>
      <c r="DG58" s="47">
        <v>-3</v>
      </c>
      <c r="DH58" s="43"/>
      <c r="DK58" s="47">
        <v>0</v>
      </c>
      <c r="DL58" s="43"/>
      <c r="DM58" s="40">
        <v>8</v>
      </c>
      <c r="DN58">
        <v>13</v>
      </c>
      <c r="DQ58" s="47">
        <v>-5</v>
      </c>
      <c r="DR58" s="43"/>
      <c r="DU58">
        <v>48</v>
      </c>
      <c r="DV58">
        <v>52</v>
      </c>
      <c r="DW58" s="47">
        <v>-4</v>
      </c>
      <c r="DX58" s="43"/>
      <c r="EC58" s="47">
        <v>0</v>
      </c>
      <c r="ED58" s="43"/>
      <c r="EE58" s="42"/>
      <c r="EG58" s="47">
        <v>40</v>
      </c>
      <c r="EH58">
        <v>40</v>
      </c>
      <c r="EI58" s="47">
        <v>0</v>
      </c>
      <c r="EJ58" s="43"/>
      <c r="EO58" s="47">
        <v>0</v>
      </c>
      <c r="EP58" s="43"/>
      <c r="EQ58" s="42"/>
      <c r="EU58" s="47">
        <v>0</v>
      </c>
      <c r="EV58" s="43"/>
      <c r="EW58" s="42"/>
      <c r="FC58" s="47">
        <v>0</v>
      </c>
      <c r="FD58" s="43"/>
      <c r="FE58" s="42"/>
      <c r="FI58" s="47">
        <v>0</v>
      </c>
      <c r="FJ58" s="43"/>
      <c r="FR58" s="43"/>
      <c r="FS58" s="42"/>
      <c r="FX58" s="43"/>
      <c r="FY58" s="42"/>
      <c r="GD58" s="43"/>
      <c r="GE58" s="40"/>
      <c r="GJ58" s="43"/>
      <c r="GR58" s="43"/>
      <c r="GY58" s="43"/>
      <c r="GZ58" s="42"/>
      <c r="HD58" s="43"/>
      <c r="HE58" s="40"/>
      <c r="HI58" s="43"/>
      <c r="HO58" s="43"/>
      <c r="HP58" s="42"/>
      <c r="HV58" s="43"/>
      <c r="IB58" s="43"/>
      <c r="IC58" s="42"/>
      <c r="IH58" s="43"/>
      <c r="IN58" s="43"/>
      <c r="IO58" s="40"/>
      <c r="IR58" s="43"/>
      <c r="IS58" s="42"/>
      <c r="IX58" s="43"/>
      <c r="IY58" s="40"/>
      <c r="JB58" s="43"/>
      <c r="JC58" s="42"/>
      <c r="JH58" s="43"/>
      <c r="JP58" s="43"/>
      <c r="JQ58" s="42"/>
      <c r="JV58" s="43"/>
      <c r="KB58" s="45"/>
      <c r="KH58" s="45"/>
      <c r="KN58" s="45"/>
      <c r="KT58" s="43"/>
      <c r="KX58" s="45"/>
      <c r="LD58" s="43"/>
      <c r="LE58" s="46"/>
      <c r="LH58" s="45"/>
      <c r="LN58" s="45"/>
      <c r="LT58" s="45"/>
      <c r="LZ58" s="45"/>
      <c r="MA58" s="44"/>
      <c r="MF58" s="45"/>
      <c r="MG58" s="40"/>
      <c r="MN58" s="45"/>
      <c r="MO58" s="44"/>
      <c r="MP58" s="44"/>
      <c r="MQ58" s="44"/>
      <c r="MR58" s="44"/>
      <c r="MT58" s="45"/>
      <c r="MU58" s="44"/>
      <c r="MV58" s="44"/>
      <c r="MW58" s="44"/>
      <c r="MX58" s="44"/>
      <c r="MZ58" s="45"/>
      <c r="NA58" s="46"/>
      <c r="NB58" s="44"/>
      <c r="ND58" s="45"/>
      <c r="NE58" s="46"/>
      <c r="NF58" s="44"/>
      <c r="NG58" s="44"/>
      <c r="NH58" s="44"/>
      <c r="NI58" s="44"/>
      <c r="NK58" s="45"/>
      <c r="NL58" s="46"/>
      <c r="NM58" s="44"/>
      <c r="NN58" s="44"/>
      <c r="NO58" s="44"/>
      <c r="NQ58" s="45"/>
      <c r="NR58" s="46"/>
      <c r="NS58" s="44"/>
      <c r="NU58" s="45"/>
      <c r="NV58" s="46"/>
      <c r="NW58" s="44"/>
      <c r="NX58" s="44"/>
      <c r="NY58" s="44"/>
      <c r="OA58" s="45"/>
      <c r="OB58" s="46"/>
      <c r="OC58" s="44"/>
      <c r="OE58" s="45"/>
      <c r="OF58" s="46"/>
      <c r="OG58" s="44"/>
      <c r="OH58" s="44"/>
      <c r="OI58" s="44"/>
      <c r="OK58" s="45"/>
      <c r="OL58" s="44"/>
      <c r="OM58" s="43"/>
      <c r="OQ58" s="45"/>
      <c r="OR58" s="46"/>
      <c r="OW58" s="45"/>
      <c r="OX58" s="46"/>
      <c r="PC58" s="45"/>
      <c r="PD58" s="46"/>
      <c r="PI58" s="45"/>
      <c r="PJ58" s="46"/>
      <c r="PO58" s="45"/>
      <c r="PP58" s="46"/>
      <c r="PU58" s="45"/>
      <c r="PV58" s="46"/>
      <c r="PY58" s="45"/>
      <c r="PZ58" s="46"/>
      <c r="QC58" s="45"/>
      <c r="QD58" s="46"/>
      <c r="QI58" s="45"/>
      <c r="QJ58" s="46"/>
      <c r="QM58" s="45"/>
      <c r="QN58" s="46"/>
      <c r="QS58" s="45"/>
      <c r="QT58" s="46"/>
      <c r="QW58" s="45"/>
      <c r="QX58" s="46"/>
      <c r="RC58" s="45"/>
      <c r="RD58" s="42"/>
      <c r="RE58" s="44"/>
      <c r="RG58" s="44"/>
      <c r="RI58" s="45"/>
      <c r="RJ58" s="42"/>
      <c r="RO58" s="43"/>
      <c r="RP58" s="42"/>
      <c r="RS58" s="43"/>
      <c r="RT58" s="42"/>
      <c r="RY58" s="43"/>
      <c r="RZ58" s="42"/>
      <c r="SE58" s="43"/>
      <c r="SF58" s="42"/>
      <c r="SK58" s="43"/>
      <c r="SL58" s="42"/>
      <c r="SO58" s="43"/>
      <c r="SP58" s="42"/>
      <c r="SU58" s="43"/>
    </row>
    <row r="59" spans="1:515" x14ac:dyDescent="0.25">
      <c r="A59" s="47" t="s">
        <v>366</v>
      </c>
      <c r="B59" s="41">
        <v>0.5</v>
      </c>
      <c r="J59" s="42"/>
      <c r="K59" s="51"/>
      <c r="L59" s="51"/>
      <c r="M59" s="51"/>
      <c r="N59" s="51">
        <f t="shared" si="9"/>
        <v>0</v>
      </c>
      <c r="O59" s="43"/>
      <c r="P59" s="46"/>
      <c r="Q59" s="51"/>
      <c r="R59" s="51"/>
      <c r="S59" s="51"/>
      <c r="T59" s="51">
        <f t="shared" si="10"/>
        <v>0</v>
      </c>
      <c r="U59" s="43"/>
      <c r="V59" s="42"/>
      <c r="W59" s="51"/>
      <c r="X59" s="51"/>
      <c r="Y59" s="51"/>
      <c r="Z59" s="51">
        <f t="shared" si="11"/>
        <v>0</v>
      </c>
      <c r="AA59" s="43"/>
      <c r="AB59" s="42"/>
      <c r="AC59" s="51"/>
      <c r="AD59" s="51"/>
      <c r="AE59" s="51"/>
      <c r="AF59" s="51">
        <v>0</v>
      </c>
      <c r="AG59" s="43"/>
      <c r="AH59" s="51"/>
      <c r="AL59" s="47">
        <v>0</v>
      </c>
      <c r="AM59" s="43"/>
      <c r="AN59" s="42"/>
      <c r="AR59" s="47">
        <v>0</v>
      </c>
      <c r="AS59" s="43"/>
      <c r="AX59" s="47">
        <v>0</v>
      </c>
      <c r="AY59" s="43"/>
      <c r="BD59" s="47">
        <v>0</v>
      </c>
      <c r="BE59" s="43"/>
      <c r="BF59" s="42"/>
      <c r="BJ59" s="47">
        <v>0</v>
      </c>
      <c r="BK59" s="43"/>
      <c r="BL59" s="42"/>
      <c r="BP59" s="47">
        <v>0</v>
      </c>
      <c r="BQ59" s="43"/>
      <c r="BV59" s="47">
        <v>0</v>
      </c>
      <c r="BW59" s="43"/>
      <c r="BX59" s="42"/>
      <c r="CB59" s="47">
        <v>0</v>
      </c>
      <c r="CC59" s="43"/>
      <c r="CH59" s="47">
        <v>0</v>
      </c>
      <c r="CI59" s="43"/>
      <c r="CN59" s="47">
        <v>0</v>
      </c>
      <c r="CO59" s="43"/>
      <c r="CP59" s="42"/>
      <c r="CT59" s="47">
        <v>0</v>
      </c>
      <c r="CU59" s="43"/>
      <c r="CV59" s="42"/>
      <c r="CZ59" s="47">
        <v>0</v>
      </c>
      <c r="DA59" s="43"/>
      <c r="DG59" s="47">
        <v>0</v>
      </c>
      <c r="DH59" s="43"/>
      <c r="DK59" s="47">
        <v>0</v>
      </c>
      <c r="DL59" s="43"/>
      <c r="DM59" s="42"/>
      <c r="DQ59" s="47">
        <v>0</v>
      </c>
      <c r="DR59" s="43"/>
      <c r="DW59" s="47">
        <v>0</v>
      </c>
      <c r="DX59" s="43"/>
      <c r="EC59" s="47">
        <v>0</v>
      </c>
      <c r="ED59" s="43"/>
      <c r="EE59" s="42"/>
      <c r="EI59" s="47">
        <v>0</v>
      </c>
      <c r="EJ59" s="43"/>
      <c r="EO59" s="47">
        <v>0</v>
      </c>
      <c r="EP59" s="43"/>
      <c r="EQ59" s="42"/>
      <c r="EU59" s="47">
        <v>0</v>
      </c>
      <c r="EV59" s="43"/>
      <c r="EW59" s="42"/>
      <c r="FC59" s="47">
        <v>0</v>
      </c>
      <c r="FD59" s="43"/>
      <c r="FE59" s="42"/>
      <c r="FI59" s="47">
        <v>0</v>
      </c>
      <c r="FJ59" s="43"/>
      <c r="FQ59" s="47">
        <v>0</v>
      </c>
      <c r="FR59" s="43"/>
      <c r="FS59" s="42"/>
      <c r="FW59" s="47">
        <v>0</v>
      </c>
      <c r="FX59" s="43"/>
      <c r="FY59" s="42"/>
      <c r="GC59" s="47">
        <v>0</v>
      </c>
      <c r="GD59" s="43"/>
      <c r="GE59" s="42"/>
      <c r="GI59" s="47">
        <v>0</v>
      </c>
      <c r="GJ59" s="43"/>
      <c r="GQ59" s="47">
        <v>0</v>
      </c>
      <c r="GR59" s="43"/>
      <c r="GX59" s="47">
        <v>0</v>
      </c>
      <c r="GY59" s="43"/>
      <c r="GZ59" s="42"/>
      <c r="HC59" s="47">
        <v>0</v>
      </c>
      <c r="HD59" s="43"/>
      <c r="HE59" s="42"/>
      <c r="HH59" s="47">
        <v>0</v>
      </c>
      <c r="HI59" s="43"/>
      <c r="HN59" s="47">
        <v>0</v>
      </c>
      <c r="HO59" s="43"/>
      <c r="HP59" s="42"/>
      <c r="HU59" s="47">
        <v>0</v>
      </c>
      <c r="HV59" s="43"/>
      <c r="IA59" s="47">
        <v>0</v>
      </c>
      <c r="IB59" s="43"/>
      <c r="IC59" s="42"/>
      <c r="IG59" s="47">
        <v>0</v>
      </c>
      <c r="IH59" s="43"/>
      <c r="IM59" s="47">
        <v>0</v>
      </c>
      <c r="IN59" s="43"/>
      <c r="IO59" s="42"/>
      <c r="IQ59" s="47">
        <v>0</v>
      </c>
      <c r="IR59" s="43"/>
      <c r="IS59" s="42"/>
      <c r="IW59" s="47">
        <v>0</v>
      </c>
      <c r="IX59" s="43"/>
      <c r="IY59" s="42"/>
      <c r="JA59" s="47">
        <v>0</v>
      </c>
      <c r="JB59" s="43"/>
      <c r="JC59" s="42"/>
      <c r="JG59" s="47">
        <v>0</v>
      </c>
      <c r="JH59" s="43"/>
      <c r="JO59" s="47">
        <v>0</v>
      </c>
      <c r="JP59" s="43"/>
      <c r="JQ59" s="42"/>
      <c r="JU59" s="47">
        <v>0</v>
      </c>
      <c r="JV59" s="43"/>
      <c r="KA59" s="47">
        <v>0</v>
      </c>
      <c r="KB59" s="45"/>
      <c r="KG59" s="47">
        <v>0</v>
      </c>
      <c r="KH59" s="45"/>
      <c r="KM59" s="47">
        <v>0</v>
      </c>
      <c r="KN59" s="45"/>
      <c r="KS59" s="47">
        <v>0</v>
      </c>
      <c r="KT59" s="43"/>
      <c r="KW59" s="47">
        <v>0</v>
      </c>
      <c r="KX59" s="45"/>
      <c r="LC59" s="47">
        <v>0</v>
      </c>
      <c r="LD59" s="43"/>
      <c r="LE59" s="46"/>
      <c r="LG59" s="47">
        <v>0</v>
      </c>
      <c r="LH59" s="45"/>
      <c r="LM59" s="47">
        <v>0</v>
      </c>
      <c r="LN59" s="45"/>
      <c r="LS59" s="47">
        <v>0</v>
      </c>
      <c r="LT59" s="45"/>
      <c r="LY59" s="47">
        <v>0</v>
      </c>
      <c r="LZ59" s="45"/>
      <c r="ME59" s="47">
        <v>0</v>
      </c>
      <c r="MF59" s="45"/>
      <c r="MG59" s="46"/>
      <c r="MM59" s="47">
        <v>0</v>
      </c>
      <c r="MN59" s="45"/>
      <c r="MO59" s="44">
        <v>0</v>
      </c>
      <c r="MP59" s="44">
        <v>0</v>
      </c>
      <c r="MQ59" s="44">
        <v>0</v>
      </c>
      <c r="MR59" s="44">
        <v>0</v>
      </c>
      <c r="MS59" s="47">
        <v>0</v>
      </c>
      <c r="MT59" s="45"/>
      <c r="MU59" s="44">
        <v>0</v>
      </c>
      <c r="MV59" s="44">
        <v>0</v>
      </c>
      <c r="MW59" s="44">
        <v>0</v>
      </c>
      <c r="MX59" s="44">
        <v>0</v>
      </c>
      <c r="MY59" s="47">
        <v>0</v>
      </c>
      <c r="MZ59" s="45"/>
      <c r="NA59" s="46">
        <v>0</v>
      </c>
      <c r="NB59" s="44">
        <v>0</v>
      </c>
      <c r="NC59" s="47">
        <v>0</v>
      </c>
      <c r="ND59" s="45"/>
      <c r="NE59" s="46">
        <v>0</v>
      </c>
      <c r="NF59" s="44">
        <v>0</v>
      </c>
      <c r="NG59" s="44">
        <v>0</v>
      </c>
      <c r="NH59" s="44">
        <v>0</v>
      </c>
      <c r="NI59" s="44">
        <v>0</v>
      </c>
      <c r="NJ59" s="47">
        <v>0</v>
      </c>
      <c r="NK59" s="45"/>
      <c r="NL59" s="46">
        <v>0</v>
      </c>
      <c r="NM59" s="44">
        <v>0</v>
      </c>
      <c r="NN59" s="44">
        <v>0</v>
      </c>
      <c r="NO59" s="44">
        <v>0</v>
      </c>
      <c r="NP59" s="47">
        <v>0</v>
      </c>
      <c r="NQ59" s="45"/>
      <c r="NR59" s="46">
        <v>0</v>
      </c>
      <c r="NS59" s="44">
        <v>0</v>
      </c>
      <c r="NT59" s="47">
        <v>0</v>
      </c>
      <c r="NU59" s="45"/>
      <c r="NV59" s="46">
        <v>0</v>
      </c>
      <c r="NW59" s="44">
        <v>0</v>
      </c>
      <c r="NX59" s="44">
        <v>0</v>
      </c>
      <c r="NY59" s="44">
        <v>0</v>
      </c>
      <c r="NZ59" s="47">
        <v>0</v>
      </c>
      <c r="OA59" s="45"/>
      <c r="OB59" s="46">
        <v>0</v>
      </c>
      <c r="OC59" s="44">
        <v>0</v>
      </c>
      <c r="OD59" s="47">
        <v>0</v>
      </c>
      <c r="OE59" s="45"/>
      <c r="OF59" s="46">
        <v>0</v>
      </c>
      <c r="OG59" s="44">
        <v>0</v>
      </c>
      <c r="OH59" s="44">
        <v>0</v>
      </c>
      <c r="OI59" s="44">
        <v>0</v>
      </c>
      <c r="OJ59" s="47">
        <v>0</v>
      </c>
      <c r="OK59" s="45"/>
      <c r="OL59" s="44">
        <v>0</v>
      </c>
      <c r="OM59" s="43"/>
      <c r="ON59" s="44">
        <v>0</v>
      </c>
      <c r="OO59" s="44">
        <v>0</v>
      </c>
      <c r="OP59" s="47">
        <v>0</v>
      </c>
      <c r="OQ59" s="45"/>
      <c r="OR59" s="46">
        <v>0</v>
      </c>
      <c r="OS59" s="44">
        <v>0</v>
      </c>
      <c r="OT59" s="44">
        <v>0</v>
      </c>
      <c r="OU59" s="44">
        <v>0</v>
      </c>
      <c r="OV59" s="47">
        <v>0</v>
      </c>
      <c r="OW59" s="45"/>
      <c r="OX59" s="46">
        <v>0</v>
      </c>
      <c r="OY59" s="44">
        <v>0</v>
      </c>
      <c r="OZ59" s="44">
        <v>0</v>
      </c>
      <c r="PA59" s="44">
        <v>0</v>
      </c>
      <c r="PB59" s="47">
        <v>0</v>
      </c>
      <c r="PC59" s="45"/>
      <c r="PD59" s="46">
        <v>0</v>
      </c>
      <c r="PE59" s="44">
        <v>0</v>
      </c>
      <c r="PF59" s="44">
        <v>0</v>
      </c>
      <c r="PG59" s="44">
        <v>0</v>
      </c>
      <c r="PH59" s="47">
        <v>0</v>
      </c>
      <c r="PI59" s="45"/>
      <c r="PJ59" s="46">
        <v>0</v>
      </c>
      <c r="PK59" s="44">
        <v>0</v>
      </c>
      <c r="PL59" s="44">
        <v>0</v>
      </c>
      <c r="PM59" s="44">
        <v>0</v>
      </c>
      <c r="PN59" s="47">
        <v>0</v>
      </c>
      <c r="PO59" s="45"/>
      <c r="PP59" s="46">
        <v>0</v>
      </c>
      <c r="PQ59" s="44">
        <v>0</v>
      </c>
      <c r="PR59" s="44">
        <v>0</v>
      </c>
      <c r="PS59" s="44">
        <v>0</v>
      </c>
      <c r="PT59" s="47">
        <v>0</v>
      </c>
      <c r="PU59" s="45"/>
      <c r="PV59" s="46">
        <v>0</v>
      </c>
      <c r="PW59" s="44">
        <v>0</v>
      </c>
      <c r="PX59" s="47">
        <v>0</v>
      </c>
      <c r="PY59" s="45"/>
      <c r="PZ59" s="46">
        <v>0</v>
      </c>
      <c r="QA59" s="44">
        <v>0</v>
      </c>
      <c r="QB59" s="47">
        <v>0</v>
      </c>
      <c r="QC59" s="45"/>
      <c r="QD59" s="46">
        <v>0</v>
      </c>
      <c r="QE59" s="44">
        <v>0</v>
      </c>
      <c r="QF59" s="44">
        <v>0</v>
      </c>
      <c r="QG59" s="44">
        <v>0</v>
      </c>
      <c r="QH59" s="47">
        <v>0</v>
      </c>
      <c r="QI59" s="45"/>
      <c r="QJ59" s="46">
        <v>0</v>
      </c>
      <c r="QK59" s="44">
        <v>0</v>
      </c>
      <c r="QL59" s="47">
        <v>0</v>
      </c>
      <c r="QM59" s="45"/>
      <c r="QN59" s="46">
        <v>0</v>
      </c>
      <c r="QO59" s="44">
        <v>0</v>
      </c>
      <c r="QP59" s="44">
        <v>0</v>
      </c>
      <c r="QQ59" s="44">
        <v>0</v>
      </c>
      <c r="QR59" s="47">
        <v>0</v>
      </c>
      <c r="QS59" s="45"/>
      <c r="QT59" s="46">
        <v>0</v>
      </c>
      <c r="QU59" s="44">
        <v>0</v>
      </c>
      <c r="QV59" s="47">
        <v>0</v>
      </c>
      <c r="QW59" s="45"/>
      <c r="QX59" s="46">
        <v>0</v>
      </c>
      <c r="QY59" s="44">
        <v>0</v>
      </c>
      <c r="QZ59" s="44">
        <v>0</v>
      </c>
      <c r="RA59" s="44">
        <v>0</v>
      </c>
      <c r="RB59" s="47">
        <v>0</v>
      </c>
      <c r="RC59" s="45"/>
      <c r="RD59" s="42">
        <v>0</v>
      </c>
      <c r="RE59" s="44">
        <v>0</v>
      </c>
      <c r="RF59" s="44">
        <v>0</v>
      </c>
      <c r="RG59" s="44">
        <v>0</v>
      </c>
      <c r="RH59" s="47">
        <v>0</v>
      </c>
      <c r="RI59" s="45"/>
      <c r="RJ59" s="42">
        <v>0</v>
      </c>
      <c r="RK59" s="47">
        <v>0</v>
      </c>
      <c r="RL59" s="47">
        <v>0</v>
      </c>
      <c r="RM59" s="47">
        <v>0</v>
      </c>
      <c r="RN59" s="47">
        <v>0</v>
      </c>
      <c r="RO59" s="43"/>
      <c r="RP59" s="42">
        <v>0</v>
      </c>
      <c r="RQ59" s="47">
        <v>0</v>
      </c>
      <c r="RR59" s="47">
        <v>0</v>
      </c>
      <c r="RS59" s="43"/>
      <c r="RT59" s="42">
        <v>496</v>
      </c>
      <c r="RU59" s="47">
        <v>500</v>
      </c>
      <c r="RV59" s="47">
        <v>496</v>
      </c>
      <c r="RW59" s="47">
        <v>500</v>
      </c>
      <c r="RX59" s="47">
        <v>-8</v>
      </c>
      <c r="RY59" s="43"/>
      <c r="RZ59" s="42">
        <v>0</v>
      </c>
      <c r="SA59" s="47">
        <v>0</v>
      </c>
      <c r="SB59" s="47">
        <v>0</v>
      </c>
      <c r="SC59" s="47">
        <v>0</v>
      </c>
      <c r="SD59" s="47">
        <v>0</v>
      </c>
      <c r="SE59" s="43"/>
      <c r="SF59" s="42">
        <v>0</v>
      </c>
      <c r="SG59" s="47">
        <v>0</v>
      </c>
      <c r="SH59" s="47">
        <v>0</v>
      </c>
      <c r="SI59" s="47">
        <v>0</v>
      </c>
      <c r="SJ59" s="47">
        <v>0</v>
      </c>
      <c r="SK59" s="43"/>
      <c r="SL59" s="42">
        <v>0</v>
      </c>
      <c r="SM59" s="47">
        <v>0</v>
      </c>
      <c r="SN59" s="47">
        <v>0</v>
      </c>
      <c r="SO59" s="43"/>
      <c r="SP59" s="42">
        <v>0</v>
      </c>
      <c r="SQ59" s="47">
        <v>0</v>
      </c>
      <c r="SR59" s="47">
        <v>0</v>
      </c>
      <c r="SS59" s="47">
        <v>0</v>
      </c>
      <c r="ST59" s="47">
        <v>0</v>
      </c>
      <c r="SU59" s="43"/>
    </row>
    <row r="60" spans="1:515" x14ac:dyDescent="0.25">
      <c r="A60" s="47" t="s">
        <v>367</v>
      </c>
      <c r="B60" s="41">
        <v>0.4</v>
      </c>
      <c r="E60">
        <v>171</v>
      </c>
      <c r="F60">
        <v>208</v>
      </c>
      <c r="G60">
        <v>209</v>
      </c>
      <c r="J60" s="40">
        <v>184</v>
      </c>
      <c r="K60" s="52">
        <v>185</v>
      </c>
      <c r="L60" s="52">
        <v>144</v>
      </c>
      <c r="M60" s="52">
        <v>150</v>
      </c>
      <c r="N60" s="51">
        <f t="shared" si="9"/>
        <v>-7</v>
      </c>
      <c r="O60" s="43"/>
      <c r="P60" s="40">
        <v>296</v>
      </c>
      <c r="Q60" s="52">
        <v>300</v>
      </c>
      <c r="R60" s="52">
        <v>256</v>
      </c>
      <c r="S60" s="52">
        <v>257</v>
      </c>
      <c r="T60" s="51">
        <f t="shared" si="10"/>
        <v>-5</v>
      </c>
      <c r="U60" s="43"/>
      <c r="V60" s="40">
        <v>152</v>
      </c>
      <c r="W60" s="52">
        <v>152</v>
      </c>
      <c r="X60" s="52">
        <v>72</v>
      </c>
      <c r="Y60" s="52">
        <v>76</v>
      </c>
      <c r="Z60" s="51">
        <f t="shared" si="11"/>
        <v>-4</v>
      </c>
      <c r="AA60" s="43"/>
      <c r="AB60" s="40">
        <v>80</v>
      </c>
      <c r="AC60" s="56">
        <v>82</v>
      </c>
      <c r="AD60" s="51"/>
      <c r="AE60" s="51"/>
      <c r="AF60" s="51">
        <v>-2</v>
      </c>
      <c r="AG60" s="43"/>
      <c r="AH60" s="52">
        <v>216</v>
      </c>
      <c r="AI60">
        <v>218</v>
      </c>
      <c r="AJ60">
        <v>168</v>
      </c>
      <c r="AK60">
        <v>174</v>
      </c>
      <c r="AL60" s="47">
        <v>-8</v>
      </c>
      <c r="AM60" s="43"/>
      <c r="AN60" s="40">
        <v>240</v>
      </c>
      <c r="AO60">
        <v>240</v>
      </c>
      <c r="AP60">
        <v>360</v>
      </c>
      <c r="AQ60">
        <v>360</v>
      </c>
      <c r="AR60" s="47">
        <v>0</v>
      </c>
      <c r="AS60" s="43"/>
      <c r="AT60">
        <v>160</v>
      </c>
      <c r="AU60">
        <v>160</v>
      </c>
      <c r="AV60">
        <v>104</v>
      </c>
      <c r="AW60">
        <v>107</v>
      </c>
      <c r="AX60" s="47">
        <v>-3</v>
      </c>
      <c r="AY60" s="43"/>
      <c r="AZ60">
        <v>112</v>
      </c>
      <c r="BA60">
        <v>113</v>
      </c>
      <c r="BD60" s="47">
        <v>-1</v>
      </c>
      <c r="BE60" s="43"/>
      <c r="BF60" s="40">
        <v>128</v>
      </c>
      <c r="BG60">
        <v>130</v>
      </c>
      <c r="BH60">
        <v>112</v>
      </c>
      <c r="BI60">
        <v>115</v>
      </c>
      <c r="BJ60" s="47">
        <v>-5</v>
      </c>
      <c r="BK60" s="43"/>
      <c r="BL60" s="40">
        <v>240</v>
      </c>
      <c r="BM60">
        <v>240</v>
      </c>
      <c r="BN60">
        <v>208</v>
      </c>
      <c r="BO60">
        <v>207</v>
      </c>
      <c r="BP60" s="47">
        <v>1</v>
      </c>
      <c r="BQ60" s="43"/>
      <c r="BR60">
        <v>200</v>
      </c>
      <c r="BS60">
        <v>200</v>
      </c>
      <c r="BT60">
        <v>176</v>
      </c>
      <c r="BU60">
        <v>179</v>
      </c>
      <c r="BV60" s="47">
        <v>-3</v>
      </c>
      <c r="BW60" s="43"/>
      <c r="BX60" s="40">
        <v>160</v>
      </c>
      <c r="BY60">
        <v>160</v>
      </c>
      <c r="BZ60">
        <v>192</v>
      </c>
      <c r="CA60">
        <v>193</v>
      </c>
      <c r="CB60" s="47">
        <v>-1</v>
      </c>
      <c r="CC60" s="43"/>
      <c r="CD60">
        <v>200</v>
      </c>
      <c r="CE60">
        <v>200</v>
      </c>
      <c r="CF60">
        <v>216</v>
      </c>
      <c r="CG60">
        <v>216</v>
      </c>
      <c r="CH60" s="47">
        <v>0</v>
      </c>
      <c r="CI60" s="43"/>
      <c r="CJ60">
        <v>120</v>
      </c>
      <c r="CK60">
        <v>120</v>
      </c>
      <c r="CL60">
        <v>128</v>
      </c>
      <c r="CM60">
        <v>131</v>
      </c>
      <c r="CN60" s="47">
        <v>-3</v>
      </c>
      <c r="CO60" s="43"/>
      <c r="CP60" s="40">
        <v>48</v>
      </c>
      <c r="CQ60">
        <v>48</v>
      </c>
      <c r="CR60">
        <v>120</v>
      </c>
      <c r="CS60">
        <v>123</v>
      </c>
      <c r="CT60" s="47">
        <v>-3</v>
      </c>
      <c r="CU60" s="43"/>
      <c r="CV60" s="40">
        <v>240</v>
      </c>
      <c r="CW60">
        <v>240</v>
      </c>
      <c r="CX60">
        <v>184</v>
      </c>
      <c r="CY60">
        <v>188</v>
      </c>
      <c r="CZ60" s="47">
        <v>-4</v>
      </c>
      <c r="DA60" s="43"/>
      <c r="DB60">
        <v>104</v>
      </c>
      <c r="DC60">
        <v>105</v>
      </c>
      <c r="DG60" s="47">
        <v>-1</v>
      </c>
      <c r="DH60" s="43"/>
      <c r="DI60">
        <v>96</v>
      </c>
      <c r="DJ60">
        <v>96</v>
      </c>
      <c r="DK60" s="47">
        <v>0</v>
      </c>
      <c r="DL60" s="43"/>
      <c r="DM60" s="40">
        <v>136</v>
      </c>
      <c r="DN60">
        <v>141</v>
      </c>
      <c r="DO60">
        <v>704</v>
      </c>
      <c r="DP60">
        <v>705</v>
      </c>
      <c r="DQ60" s="47">
        <v>-6</v>
      </c>
      <c r="DR60" s="43"/>
      <c r="DS60">
        <v>80</v>
      </c>
      <c r="DT60">
        <v>80</v>
      </c>
      <c r="DU60">
        <v>56</v>
      </c>
      <c r="DV60">
        <v>59</v>
      </c>
      <c r="DW60" s="47">
        <v>-3</v>
      </c>
      <c r="DX60" s="43"/>
      <c r="DY60">
        <v>152</v>
      </c>
      <c r="DZ60">
        <v>150</v>
      </c>
      <c r="EA60">
        <v>152</v>
      </c>
      <c r="EB60">
        <v>151</v>
      </c>
      <c r="EC60" s="47">
        <v>3</v>
      </c>
      <c r="ED60" s="43"/>
      <c r="EE60" s="42"/>
      <c r="EG60">
        <v>280</v>
      </c>
      <c r="EH60">
        <v>282</v>
      </c>
      <c r="EI60" s="47">
        <v>-2</v>
      </c>
      <c r="EJ60" s="43"/>
      <c r="EK60">
        <v>120</v>
      </c>
      <c r="EL60">
        <v>120</v>
      </c>
      <c r="EM60">
        <v>192</v>
      </c>
      <c r="EN60">
        <v>196</v>
      </c>
      <c r="EO60" s="47">
        <v>-4</v>
      </c>
      <c r="EP60" s="43"/>
      <c r="EQ60" s="40">
        <v>96</v>
      </c>
      <c r="ER60">
        <v>100</v>
      </c>
      <c r="EU60" s="47">
        <v>-4</v>
      </c>
      <c r="EV60" s="43"/>
      <c r="EW60" s="42"/>
      <c r="FA60">
        <v>192</v>
      </c>
      <c r="FB60">
        <v>196</v>
      </c>
      <c r="FC60" s="47">
        <v>-4</v>
      </c>
      <c r="FD60" s="43"/>
      <c r="FE60" s="42"/>
      <c r="FG60">
        <v>80</v>
      </c>
      <c r="FH60">
        <v>80</v>
      </c>
      <c r="FI60" s="47">
        <v>0</v>
      </c>
      <c r="FJ60" s="43"/>
      <c r="FK60">
        <v>192</v>
      </c>
      <c r="FL60">
        <v>190</v>
      </c>
      <c r="FM60">
        <v>480</v>
      </c>
      <c r="FN60">
        <v>480</v>
      </c>
      <c r="FO60">
        <v>200</v>
      </c>
      <c r="FP60">
        <v>200</v>
      </c>
      <c r="FQ60" s="47">
        <v>2</v>
      </c>
      <c r="FR60" s="43"/>
      <c r="FS60" s="42"/>
      <c r="FU60">
        <v>192</v>
      </c>
      <c r="FV60">
        <v>192</v>
      </c>
      <c r="FW60" s="47">
        <v>0</v>
      </c>
      <c r="FX60" s="43"/>
      <c r="FY60" s="42"/>
      <c r="GA60">
        <v>328</v>
      </c>
      <c r="GB60">
        <v>330</v>
      </c>
      <c r="GC60" s="47">
        <v>-2</v>
      </c>
      <c r="GD60" s="43"/>
      <c r="GE60" s="40">
        <v>168</v>
      </c>
      <c r="GF60">
        <v>170</v>
      </c>
      <c r="GI60" s="47">
        <v>-2</v>
      </c>
      <c r="GJ60" s="43"/>
      <c r="GK60">
        <v>160</v>
      </c>
      <c r="GL60">
        <v>160</v>
      </c>
      <c r="GM60">
        <v>160</v>
      </c>
      <c r="GN60">
        <v>160</v>
      </c>
      <c r="GO60">
        <v>240</v>
      </c>
      <c r="GP60">
        <v>240</v>
      </c>
      <c r="GQ60" s="47">
        <v>0</v>
      </c>
      <c r="GR60" s="43"/>
      <c r="GU60">
        <v>192</v>
      </c>
      <c r="GW60">
        <v>190</v>
      </c>
      <c r="GX60" s="47">
        <v>2</v>
      </c>
      <c r="GY60" s="43"/>
      <c r="GZ60" s="40">
        <v>352</v>
      </c>
      <c r="HB60" s="44">
        <v>350</v>
      </c>
      <c r="HC60" s="47">
        <v>2</v>
      </c>
      <c r="HD60" s="43"/>
      <c r="HE60" s="40">
        <v>584</v>
      </c>
      <c r="HG60">
        <v>583</v>
      </c>
      <c r="HH60" s="47">
        <v>1</v>
      </c>
      <c r="HI60" s="43"/>
      <c r="HN60" s="47">
        <v>0</v>
      </c>
      <c r="HO60" s="43"/>
      <c r="HP60" s="42"/>
      <c r="HR60">
        <v>220</v>
      </c>
      <c r="HS60">
        <v>240</v>
      </c>
      <c r="HT60">
        <v>240</v>
      </c>
      <c r="HU60" s="50">
        <v>-220</v>
      </c>
      <c r="HV60" s="43">
        <v>88</v>
      </c>
      <c r="HW60">
        <v>72</v>
      </c>
      <c r="HX60">
        <v>70</v>
      </c>
      <c r="HY60">
        <v>80</v>
      </c>
      <c r="HZ60">
        <v>80</v>
      </c>
      <c r="IA60" s="47">
        <v>2</v>
      </c>
      <c r="IB60" s="43"/>
      <c r="IC60" s="42"/>
      <c r="IE60">
        <v>568</v>
      </c>
      <c r="IF60">
        <v>570</v>
      </c>
      <c r="IG60" s="47">
        <v>-2</v>
      </c>
      <c r="IH60" s="43"/>
      <c r="IK60">
        <v>152</v>
      </c>
      <c r="IL60">
        <v>150</v>
      </c>
      <c r="IM60" s="47">
        <v>2</v>
      </c>
      <c r="IN60" s="43"/>
      <c r="IO60" s="42"/>
      <c r="IQ60" s="47">
        <v>0</v>
      </c>
      <c r="IR60" s="43"/>
      <c r="IS60" s="40">
        <v>200</v>
      </c>
      <c r="IT60">
        <v>200</v>
      </c>
      <c r="IU60">
        <v>320</v>
      </c>
      <c r="IV60">
        <v>318</v>
      </c>
      <c r="IW60" s="47">
        <v>2</v>
      </c>
      <c r="IX60" s="43"/>
      <c r="IY60" s="40">
        <v>88</v>
      </c>
      <c r="IZ60">
        <v>90</v>
      </c>
      <c r="JA60" s="47">
        <v>-2</v>
      </c>
      <c r="JB60" s="43"/>
      <c r="JC60" s="40">
        <v>176</v>
      </c>
      <c r="JD60">
        <v>180</v>
      </c>
      <c r="JE60">
        <v>96</v>
      </c>
      <c r="JF60">
        <v>100</v>
      </c>
      <c r="JG60" s="47">
        <v>-8</v>
      </c>
      <c r="JH60" s="43"/>
      <c r="JK60">
        <v>328</v>
      </c>
      <c r="JL60">
        <v>330</v>
      </c>
      <c r="JO60" s="47">
        <v>-2</v>
      </c>
      <c r="JP60" s="43"/>
      <c r="JQ60" s="40">
        <v>296</v>
      </c>
      <c r="JR60">
        <v>300</v>
      </c>
      <c r="JS60">
        <v>248</v>
      </c>
      <c r="JT60">
        <v>250</v>
      </c>
      <c r="JU60" s="47">
        <v>-6</v>
      </c>
      <c r="JV60" s="43"/>
      <c r="JW60">
        <v>96</v>
      </c>
      <c r="JX60">
        <v>100</v>
      </c>
      <c r="JY60">
        <v>120</v>
      </c>
      <c r="JZ60">
        <v>120</v>
      </c>
      <c r="KA60" s="47">
        <v>-4</v>
      </c>
      <c r="KB60" s="45"/>
      <c r="KC60">
        <v>200</v>
      </c>
      <c r="KD60">
        <v>200</v>
      </c>
      <c r="KE60">
        <v>208</v>
      </c>
      <c r="KF60">
        <v>210</v>
      </c>
      <c r="KG60" s="47">
        <v>-2</v>
      </c>
      <c r="KH60" s="45"/>
      <c r="KI60">
        <v>200</v>
      </c>
      <c r="KJ60">
        <v>200</v>
      </c>
      <c r="KK60">
        <v>88</v>
      </c>
      <c r="KL60">
        <v>90</v>
      </c>
      <c r="KM60" s="47">
        <v>-2</v>
      </c>
      <c r="KN60" s="45"/>
      <c r="KO60">
        <v>216</v>
      </c>
      <c r="KP60">
        <v>220</v>
      </c>
      <c r="KQ60">
        <v>176</v>
      </c>
      <c r="KR60">
        <v>180</v>
      </c>
      <c r="KS60" s="47">
        <v>-8</v>
      </c>
      <c r="KT60" s="43"/>
      <c r="KU60">
        <v>120</v>
      </c>
      <c r="KV60">
        <v>120</v>
      </c>
      <c r="KW60" s="47">
        <v>0</v>
      </c>
      <c r="KX60" s="45"/>
      <c r="KY60">
        <v>152</v>
      </c>
      <c r="KZ60">
        <v>150</v>
      </c>
      <c r="LA60">
        <v>128</v>
      </c>
      <c r="LB60">
        <v>130</v>
      </c>
      <c r="LC60" s="47">
        <v>0</v>
      </c>
      <c r="LD60" s="43"/>
      <c r="LE60" s="40">
        <v>248</v>
      </c>
      <c r="LF60" s="44">
        <v>250</v>
      </c>
      <c r="LG60" s="47">
        <v>-2</v>
      </c>
      <c r="LH60" s="45"/>
      <c r="LK60">
        <v>616</v>
      </c>
      <c r="LL60">
        <v>620</v>
      </c>
      <c r="LM60" s="47">
        <v>-4</v>
      </c>
      <c r="LN60" s="45"/>
      <c r="LS60" s="47">
        <v>0</v>
      </c>
      <c r="LT60" s="45"/>
      <c r="LU60">
        <v>200</v>
      </c>
      <c r="LV60">
        <v>200</v>
      </c>
      <c r="LW60">
        <v>352</v>
      </c>
      <c r="LX60">
        <v>350</v>
      </c>
      <c r="LY60" s="47">
        <v>2</v>
      </c>
      <c r="LZ60" s="45"/>
      <c r="MA60">
        <v>96</v>
      </c>
      <c r="MB60">
        <v>100</v>
      </c>
      <c r="MC60">
        <v>248</v>
      </c>
      <c r="MD60">
        <v>250</v>
      </c>
      <c r="ME60" s="47">
        <v>-6</v>
      </c>
      <c r="MF60" s="45"/>
      <c r="MG60" s="40">
        <v>128</v>
      </c>
      <c r="MH60">
        <v>130</v>
      </c>
      <c r="MI60">
        <v>152</v>
      </c>
      <c r="MJ60">
        <v>150</v>
      </c>
      <c r="MK60">
        <v>128</v>
      </c>
      <c r="ML60">
        <v>130</v>
      </c>
      <c r="MM60" s="47">
        <v>-2</v>
      </c>
      <c r="MN60" s="45"/>
      <c r="MO60" s="44">
        <v>152</v>
      </c>
      <c r="MP60" s="44">
        <v>150</v>
      </c>
      <c r="MQ60" s="44">
        <v>200</v>
      </c>
      <c r="MR60" s="44">
        <v>200</v>
      </c>
      <c r="MS60" s="47">
        <v>2</v>
      </c>
      <c r="MT60" s="45"/>
      <c r="MU60" s="44">
        <v>0</v>
      </c>
      <c r="MV60" s="44">
        <v>0</v>
      </c>
      <c r="MW60" s="44">
        <v>0</v>
      </c>
      <c r="MX60" s="44">
        <v>0</v>
      </c>
      <c r="MY60" s="47">
        <v>0</v>
      </c>
      <c r="MZ60" s="45"/>
      <c r="NA60" s="46">
        <v>432</v>
      </c>
      <c r="NB60" s="44">
        <v>430</v>
      </c>
      <c r="NC60" s="47">
        <v>2</v>
      </c>
      <c r="ND60" s="45"/>
      <c r="NE60" s="46">
        <v>152</v>
      </c>
      <c r="NF60" s="44">
        <v>150</v>
      </c>
      <c r="NG60" s="44">
        <v>176</v>
      </c>
      <c r="NH60" s="44">
        <v>0</v>
      </c>
      <c r="NI60" s="44">
        <v>180</v>
      </c>
      <c r="NJ60" s="47">
        <v>-2</v>
      </c>
      <c r="NK60" s="45"/>
      <c r="NL60" s="46">
        <v>48</v>
      </c>
      <c r="NM60" s="44">
        <v>50</v>
      </c>
      <c r="NN60" s="44">
        <v>0</v>
      </c>
      <c r="NO60" s="44">
        <v>0</v>
      </c>
      <c r="NP60" s="47">
        <v>-2</v>
      </c>
      <c r="NQ60" s="45"/>
      <c r="NR60" s="46">
        <v>152</v>
      </c>
      <c r="NS60" s="44">
        <v>150</v>
      </c>
      <c r="NT60" s="47">
        <v>2</v>
      </c>
      <c r="NU60" s="45"/>
      <c r="NV60" s="46">
        <v>72</v>
      </c>
      <c r="NW60" s="44">
        <v>70</v>
      </c>
      <c r="NX60" s="44">
        <v>328</v>
      </c>
      <c r="NY60" s="44">
        <v>330</v>
      </c>
      <c r="NZ60" s="47">
        <v>0</v>
      </c>
      <c r="OA60" s="45"/>
      <c r="OB60" s="46">
        <v>416</v>
      </c>
      <c r="OC60" s="44">
        <v>420</v>
      </c>
      <c r="OD60" s="47">
        <v>-4</v>
      </c>
      <c r="OE60" s="45"/>
      <c r="OF60" s="46">
        <v>136</v>
      </c>
      <c r="OG60" s="44">
        <v>140</v>
      </c>
      <c r="OH60" s="44">
        <v>256</v>
      </c>
      <c r="OI60" s="44">
        <v>260</v>
      </c>
      <c r="OJ60" s="47">
        <v>-8</v>
      </c>
      <c r="OK60" s="45"/>
      <c r="OL60" s="44">
        <v>0</v>
      </c>
      <c r="OM60" s="43"/>
      <c r="ON60" s="44">
        <v>296</v>
      </c>
      <c r="OO60" s="44">
        <v>300</v>
      </c>
      <c r="OP60" s="47">
        <v>-4</v>
      </c>
      <c r="OQ60" s="45"/>
      <c r="OR60" s="46">
        <v>48</v>
      </c>
      <c r="OS60" s="44">
        <v>50</v>
      </c>
      <c r="OT60" s="44">
        <v>96</v>
      </c>
      <c r="OU60" s="44">
        <v>100</v>
      </c>
      <c r="OV60" s="47">
        <v>-6</v>
      </c>
      <c r="OW60" s="45"/>
      <c r="OX60" s="46">
        <v>152</v>
      </c>
      <c r="OY60" s="44">
        <v>150</v>
      </c>
      <c r="OZ60" s="44">
        <v>304</v>
      </c>
      <c r="PA60" s="44">
        <v>304</v>
      </c>
      <c r="PB60" s="47">
        <v>2</v>
      </c>
      <c r="PC60" s="45"/>
      <c r="PD60" s="46">
        <v>96</v>
      </c>
      <c r="PE60" s="44">
        <v>100</v>
      </c>
      <c r="PF60" s="26">
        <v>304</v>
      </c>
      <c r="PG60" s="44">
        <v>150</v>
      </c>
      <c r="PH60" s="47">
        <v>150</v>
      </c>
      <c r="PI60" s="45"/>
      <c r="PJ60" s="25">
        <v>96</v>
      </c>
      <c r="PK60" s="44">
        <v>150</v>
      </c>
      <c r="PL60" s="44">
        <v>288</v>
      </c>
      <c r="PM60" s="44">
        <v>290</v>
      </c>
      <c r="PN60" s="50">
        <v>-56</v>
      </c>
      <c r="PO60" s="45">
        <v>22.4</v>
      </c>
      <c r="PP60" s="46">
        <v>200</v>
      </c>
      <c r="PQ60" s="44">
        <v>200</v>
      </c>
      <c r="PR60" s="44">
        <v>208</v>
      </c>
      <c r="PS60" s="44">
        <v>200</v>
      </c>
      <c r="PT60" s="47">
        <v>8</v>
      </c>
      <c r="PU60" s="45"/>
      <c r="PV60" s="46">
        <v>448</v>
      </c>
      <c r="PW60" s="44">
        <v>450</v>
      </c>
      <c r="PX60" s="47">
        <v>-2</v>
      </c>
      <c r="PY60" s="45"/>
      <c r="PZ60" s="46">
        <v>504</v>
      </c>
      <c r="QA60" s="44">
        <v>503</v>
      </c>
      <c r="QB60" s="47">
        <v>1</v>
      </c>
      <c r="QC60" s="45"/>
      <c r="QD60" s="46">
        <v>152</v>
      </c>
      <c r="QE60" s="44">
        <v>150</v>
      </c>
      <c r="QF60" s="44">
        <v>152</v>
      </c>
      <c r="QG60" s="44">
        <v>150</v>
      </c>
      <c r="QH60" s="47">
        <v>4</v>
      </c>
      <c r="QI60" s="45"/>
      <c r="QJ60" s="46">
        <v>400</v>
      </c>
      <c r="QK60" s="44">
        <v>400</v>
      </c>
      <c r="QL60" s="47">
        <v>0</v>
      </c>
      <c r="QM60" s="45"/>
      <c r="QN60" s="46">
        <v>0</v>
      </c>
      <c r="QO60" s="44">
        <v>0</v>
      </c>
      <c r="QP60" s="44">
        <v>120</v>
      </c>
      <c r="QQ60" s="44">
        <v>110</v>
      </c>
      <c r="QR60" s="47">
        <v>10</v>
      </c>
      <c r="QS60" s="45"/>
      <c r="QT60" s="46">
        <v>0</v>
      </c>
      <c r="QU60" s="44">
        <v>0</v>
      </c>
      <c r="QV60" s="47">
        <v>0</v>
      </c>
      <c r="QW60" s="45"/>
      <c r="QX60" s="46">
        <v>0</v>
      </c>
      <c r="QY60" s="44">
        <v>0</v>
      </c>
      <c r="QZ60" s="44">
        <v>0</v>
      </c>
      <c r="RA60" s="44">
        <v>0</v>
      </c>
      <c r="RB60" s="47">
        <v>0</v>
      </c>
      <c r="RC60" s="45"/>
      <c r="RD60" s="42">
        <v>0</v>
      </c>
      <c r="RE60" s="44">
        <v>0</v>
      </c>
      <c r="RF60" s="44">
        <v>0</v>
      </c>
      <c r="RG60" s="44">
        <v>0</v>
      </c>
      <c r="RH60" s="47">
        <v>0</v>
      </c>
      <c r="RI60" s="45"/>
      <c r="RJ60" s="42">
        <v>0</v>
      </c>
      <c r="RK60" s="47">
        <v>0</v>
      </c>
      <c r="RL60" s="47">
        <v>0</v>
      </c>
      <c r="RM60" s="47">
        <v>0</v>
      </c>
      <c r="RN60" s="47">
        <v>0</v>
      </c>
      <c r="RO60" s="43"/>
      <c r="RP60" s="42">
        <v>752</v>
      </c>
      <c r="RQ60" s="47">
        <v>750</v>
      </c>
      <c r="RR60" s="47">
        <v>2</v>
      </c>
      <c r="RS60" s="43"/>
      <c r="RT60" s="42">
        <v>16</v>
      </c>
      <c r="RU60" s="47">
        <v>20</v>
      </c>
      <c r="RV60" s="47">
        <v>0</v>
      </c>
      <c r="RW60" s="47">
        <v>0</v>
      </c>
      <c r="RX60" s="47">
        <v>-4</v>
      </c>
      <c r="RY60" s="43"/>
      <c r="RZ60" s="42">
        <v>248</v>
      </c>
      <c r="SA60" s="47">
        <v>250</v>
      </c>
      <c r="SB60" s="47">
        <v>400</v>
      </c>
      <c r="SC60" s="47">
        <v>400</v>
      </c>
      <c r="SD60" s="47">
        <v>-2</v>
      </c>
      <c r="SE60" s="43"/>
      <c r="SF60" s="42">
        <v>72</v>
      </c>
      <c r="SG60" s="47">
        <v>70</v>
      </c>
      <c r="SH60" s="47">
        <v>176</v>
      </c>
      <c r="SI60" s="47">
        <v>80</v>
      </c>
      <c r="SJ60" s="47">
        <v>98</v>
      </c>
      <c r="SK60" s="43"/>
      <c r="SL60" s="42">
        <v>128</v>
      </c>
      <c r="SM60" s="47">
        <v>250</v>
      </c>
      <c r="SN60" s="50">
        <v>-122</v>
      </c>
      <c r="SO60" s="43">
        <v>48.8</v>
      </c>
      <c r="SP60" s="42">
        <v>96</v>
      </c>
      <c r="SQ60" s="47">
        <v>200</v>
      </c>
      <c r="SR60" s="47">
        <v>400</v>
      </c>
      <c r="SS60" s="47">
        <v>400</v>
      </c>
      <c r="ST60" s="50">
        <v>-104</v>
      </c>
      <c r="SU60" s="43">
        <v>41.6</v>
      </c>
    </row>
    <row r="61" spans="1:515" x14ac:dyDescent="0.25">
      <c r="A61" s="47" t="s">
        <v>368</v>
      </c>
      <c r="B61" s="41">
        <v>0.5</v>
      </c>
      <c r="J61" s="42"/>
      <c r="K61" s="51"/>
      <c r="L61" s="51"/>
      <c r="M61" s="51"/>
      <c r="N61" s="51">
        <f t="shared" si="9"/>
        <v>0</v>
      </c>
      <c r="O61" s="43"/>
      <c r="P61" s="46"/>
      <c r="Q61" s="51"/>
      <c r="R61" s="51"/>
      <c r="S61" s="51"/>
      <c r="T61" s="51">
        <f t="shared" si="10"/>
        <v>0</v>
      </c>
      <c r="U61" s="43"/>
      <c r="V61" s="42"/>
      <c r="W61" s="51"/>
      <c r="X61" s="51"/>
      <c r="Y61" s="51"/>
      <c r="Z61" s="51">
        <f t="shared" si="11"/>
        <v>0</v>
      </c>
      <c r="AA61" s="43"/>
      <c r="AB61" s="42"/>
      <c r="AC61" s="51"/>
      <c r="AD61" s="51"/>
      <c r="AE61" s="51"/>
      <c r="AF61" s="51">
        <v>0</v>
      </c>
      <c r="AG61" s="43"/>
      <c r="AH61" s="51"/>
      <c r="AL61" s="47">
        <v>0</v>
      </c>
      <c r="AM61" s="43"/>
      <c r="AN61" s="42"/>
      <c r="AR61" s="47">
        <v>0</v>
      </c>
      <c r="AS61" s="43"/>
      <c r="AX61" s="47">
        <v>0</v>
      </c>
      <c r="AY61" s="43"/>
      <c r="BD61" s="47">
        <v>0</v>
      </c>
      <c r="BE61" s="43"/>
      <c r="BF61" s="42"/>
      <c r="BJ61" s="47">
        <v>0</v>
      </c>
      <c r="BK61" s="43"/>
      <c r="BL61" s="42"/>
      <c r="BP61" s="47">
        <v>0</v>
      </c>
      <c r="BQ61" s="43"/>
      <c r="BV61" s="47">
        <v>0</v>
      </c>
      <c r="BW61" s="43"/>
      <c r="BX61" s="42"/>
      <c r="CB61" s="47">
        <v>0</v>
      </c>
      <c r="CC61" s="43"/>
      <c r="CH61" s="47">
        <v>0</v>
      </c>
      <c r="CI61" s="43"/>
      <c r="CN61" s="47">
        <v>0</v>
      </c>
      <c r="CO61" s="43"/>
      <c r="CP61" s="42"/>
      <c r="CT61" s="47">
        <v>0</v>
      </c>
      <c r="CU61" s="43"/>
      <c r="CV61" s="42"/>
      <c r="CZ61" s="47">
        <v>0</v>
      </c>
      <c r="DA61" s="43"/>
      <c r="DG61" s="47">
        <v>0</v>
      </c>
      <c r="DH61" s="43"/>
      <c r="DK61" s="47">
        <v>0</v>
      </c>
      <c r="DL61" s="43"/>
      <c r="DM61" s="42"/>
      <c r="DQ61" s="47">
        <v>0</v>
      </c>
      <c r="DR61" s="43"/>
      <c r="DW61" s="47">
        <v>0</v>
      </c>
      <c r="DX61" s="43"/>
      <c r="EC61" s="47">
        <v>0</v>
      </c>
      <c r="ED61" s="43"/>
      <c r="EE61" s="42"/>
      <c r="EI61" s="47">
        <v>0</v>
      </c>
      <c r="EJ61" s="43"/>
      <c r="EO61" s="47">
        <v>0</v>
      </c>
      <c r="EP61" s="43"/>
      <c r="EQ61" s="42"/>
      <c r="EU61" s="47">
        <v>0</v>
      </c>
      <c r="EV61" s="43"/>
      <c r="EW61" s="42"/>
      <c r="FC61" s="47">
        <v>0</v>
      </c>
      <c r="FD61" s="43"/>
      <c r="FE61" s="42"/>
      <c r="FI61" s="47">
        <v>0</v>
      </c>
      <c r="FJ61" s="43"/>
      <c r="FQ61" s="47">
        <v>0</v>
      </c>
      <c r="FR61" s="43"/>
      <c r="FS61" s="42"/>
      <c r="FW61" s="47">
        <v>0</v>
      </c>
      <c r="FX61" s="43"/>
      <c r="FY61" s="42"/>
      <c r="GC61" s="47">
        <v>0</v>
      </c>
      <c r="GD61" s="43"/>
      <c r="GE61" s="42"/>
      <c r="GI61" s="47">
        <v>0</v>
      </c>
      <c r="GJ61" s="43"/>
      <c r="GQ61" s="47">
        <v>0</v>
      </c>
      <c r="GR61" s="43"/>
      <c r="GX61" s="47">
        <v>0</v>
      </c>
      <c r="GY61" s="43"/>
      <c r="GZ61" s="42"/>
      <c r="HC61" s="47">
        <v>0</v>
      </c>
      <c r="HD61" s="43"/>
      <c r="HE61" s="40">
        <v>32</v>
      </c>
      <c r="HG61">
        <v>34</v>
      </c>
      <c r="HH61" s="47">
        <v>-2</v>
      </c>
      <c r="HI61" s="43"/>
      <c r="HN61" s="47">
        <v>0</v>
      </c>
      <c r="HO61" s="43"/>
      <c r="HP61" s="42"/>
      <c r="HU61" s="47">
        <v>0</v>
      </c>
      <c r="HV61" s="43"/>
      <c r="HY61">
        <v>40</v>
      </c>
      <c r="HZ61">
        <v>40</v>
      </c>
      <c r="IA61" s="47">
        <v>0</v>
      </c>
      <c r="IB61" s="43"/>
      <c r="IC61" s="42"/>
      <c r="IG61" s="47">
        <v>0</v>
      </c>
      <c r="IH61" s="43"/>
      <c r="IK61">
        <v>24</v>
      </c>
      <c r="IL61">
        <v>24</v>
      </c>
      <c r="IM61" s="47">
        <v>0</v>
      </c>
      <c r="IN61" s="43"/>
      <c r="IO61" s="42"/>
      <c r="IQ61" s="47">
        <v>0</v>
      </c>
      <c r="IR61" s="43"/>
      <c r="IS61" s="42"/>
      <c r="IU61">
        <v>8</v>
      </c>
      <c r="IV61">
        <v>10</v>
      </c>
      <c r="IW61" s="47">
        <v>-2</v>
      </c>
      <c r="IX61" s="43"/>
      <c r="IY61" s="42"/>
      <c r="JA61" s="47">
        <v>0</v>
      </c>
      <c r="JB61" s="43"/>
      <c r="JC61" s="42"/>
      <c r="JG61" s="47">
        <v>0</v>
      </c>
      <c r="JH61" s="43"/>
      <c r="JO61" s="47">
        <v>0</v>
      </c>
      <c r="JP61" s="43"/>
      <c r="JQ61" s="42"/>
      <c r="JU61" s="47">
        <v>0</v>
      </c>
      <c r="JV61" s="43"/>
      <c r="JY61">
        <v>152</v>
      </c>
      <c r="JZ61">
        <v>150</v>
      </c>
      <c r="KA61" s="47">
        <v>2</v>
      </c>
      <c r="KB61" s="45"/>
      <c r="KE61">
        <v>112</v>
      </c>
      <c r="KF61">
        <v>110</v>
      </c>
      <c r="KG61" s="47">
        <v>2</v>
      </c>
      <c r="KH61" s="45"/>
      <c r="KI61">
        <v>16</v>
      </c>
      <c r="KJ61">
        <v>16</v>
      </c>
      <c r="KM61" s="47">
        <v>0</v>
      </c>
      <c r="KN61" s="45"/>
      <c r="KS61" s="47">
        <v>0</v>
      </c>
      <c r="KT61" s="43"/>
      <c r="KU61">
        <v>88</v>
      </c>
      <c r="KV61">
        <v>92</v>
      </c>
      <c r="KW61" s="47">
        <v>-4</v>
      </c>
      <c r="KX61" s="45"/>
      <c r="LC61" s="47">
        <v>0</v>
      </c>
      <c r="LD61" s="43"/>
      <c r="LE61" s="40">
        <v>88</v>
      </c>
      <c r="LF61" s="44">
        <v>90</v>
      </c>
      <c r="LG61" s="47">
        <v>-2</v>
      </c>
      <c r="LH61" s="45"/>
      <c r="LK61">
        <v>168</v>
      </c>
      <c r="LL61">
        <v>170</v>
      </c>
      <c r="LM61" s="47">
        <v>-2</v>
      </c>
      <c r="LN61" s="45"/>
      <c r="LO61">
        <v>48</v>
      </c>
      <c r="LP61">
        <v>48</v>
      </c>
      <c r="LQ61">
        <v>32</v>
      </c>
      <c r="LR61">
        <v>32</v>
      </c>
      <c r="LS61" s="47">
        <v>0</v>
      </c>
      <c r="LT61" s="45"/>
      <c r="LW61">
        <v>48</v>
      </c>
      <c r="LX61">
        <v>50</v>
      </c>
      <c r="LY61" s="47">
        <v>-2</v>
      </c>
      <c r="LZ61" s="45"/>
      <c r="ME61" s="47">
        <v>0</v>
      </c>
      <c r="MF61" s="45"/>
      <c r="MG61" s="40">
        <v>80</v>
      </c>
      <c r="MH61">
        <v>80</v>
      </c>
      <c r="MI61">
        <v>96</v>
      </c>
      <c r="MJ61">
        <v>100</v>
      </c>
      <c r="MK61">
        <v>56</v>
      </c>
      <c r="ML61">
        <v>80</v>
      </c>
      <c r="MM61" s="50">
        <v>-28</v>
      </c>
      <c r="MN61" s="45">
        <v>14</v>
      </c>
      <c r="MO61" s="44">
        <v>0</v>
      </c>
      <c r="MP61" s="44">
        <v>0</v>
      </c>
      <c r="MQ61" s="44">
        <v>168</v>
      </c>
      <c r="MR61" s="44">
        <v>170</v>
      </c>
      <c r="MS61" s="47">
        <v>-2</v>
      </c>
      <c r="MT61" s="45"/>
      <c r="MU61" s="44">
        <v>0</v>
      </c>
      <c r="MV61" s="44">
        <v>0</v>
      </c>
      <c r="MW61" s="44">
        <v>96</v>
      </c>
      <c r="MX61" s="44">
        <v>100</v>
      </c>
      <c r="MY61" s="47">
        <v>-4</v>
      </c>
      <c r="MZ61" s="45"/>
      <c r="NA61" s="46">
        <v>80</v>
      </c>
      <c r="NB61" s="44">
        <v>80</v>
      </c>
      <c r="NC61" s="47">
        <v>0</v>
      </c>
      <c r="ND61" s="45"/>
      <c r="NE61" s="46">
        <v>80</v>
      </c>
      <c r="NF61" s="44">
        <v>80</v>
      </c>
      <c r="NG61" s="44">
        <v>328</v>
      </c>
      <c r="NH61" s="44">
        <v>300</v>
      </c>
      <c r="NI61" s="44">
        <v>40</v>
      </c>
      <c r="NJ61" s="50">
        <v>-12</v>
      </c>
      <c r="NK61" s="45">
        <v>6</v>
      </c>
      <c r="NL61" s="46">
        <v>48</v>
      </c>
      <c r="NM61" s="44">
        <v>48</v>
      </c>
      <c r="NN61" s="44">
        <v>88</v>
      </c>
      <c r="NO61" s="44">
        <v>92</v>
      </c>
      <c r="NP61" s="47">
        <v>-4</v>
      </c>
      <c r="NQ61" s="45"/>
      <c r="NR61" s="46">
        <v>16</v>
      </c>
      <c r="NS61" s="44">
        <v>20</v>
      </c>
      <c r="NT61" s="47">
        <v>-4</v>
      </c>
      <c r="NU61" s="45"/>
      <c r="NV61" s="46">
        <v>8</v>
      </c>
      <c r="NW61" s="44">
        <v>8</v>
      </c>
      <c r="NX61" s="44">
        <v>32</v>
      </c>
      <c r="NY61" s="44">
        <v>32</v>
      </c>
      <c r="NZ61" s="47">
        <v>0</v>
      </c>
      <c r="OA61" s="45"/>
      <c r="OB61" s="46">
        <v>0</v>
      </c>
      <c r="OC61" s="44">
        <v>0</v>
      </c>
      <c r="OD61" s="47">
        <v>0</v>
      </c>
      <c r="OE61" s="45"/>
      <c r="OF61" s="46">
        <v>0</v>
      </c>
      <c r="OG61" s="44">
        <v>0</v>
      </c>
      <c r="OH61" s="44">
        <v>120</v>
      </c>
      <c r="OI61" s="44">
        <v>120</v>
      </c>
      <c r="OJ61" s="47">
        <v>0</v>
      </c>
      <c r="OK61" s="45"/>
      <c r="OL61" s="44">
        <v>0</v>
      </c>
      <c r="OM61" s="43"/>
      <c r="ON61" s="44">
        <v>0</v>
      </c>
      <c r="OO61" s="44">
        <v>0</v>
      </c>
      <c r="OP61" s="47">
        <v>0</v>
      </c>
      <c r="OQ61" s="45"/>
      <c r="OR61" s="46">
        <v>0</v>
      </c>
      <c r="OS61" s="44">
        <v>0</v>
      </c>
      <c r="OT61" s="44">
        <v>0</v>
      </c>
      <c r="OU61" s="44">
        <v>0</v>
      </c>
      <c r="OV61" s="47">
        <v>0</v>
      </c>
      <c r="OW61" s="45"/>
      <c r="OX61" s="46">
        <v>0</v>
      </c>
      <c r="OY61" s="44">
        <v>0</v>
      </c>
      <c r="OZ61" s="44">
        <v>56</v>
      </c>
      <c r="PA61" s="44">
        <v>60</v>
      </c>
      <c r="PB61" s="47">
        <v>-4</v>
      </c>
      <c r="PC61" s="45"/>
      <c r="PD61" s="46">
        <v>0</v>
      </c>
      <c r="PE61" s="44">
        <v>0</v>
      </c>
      <c r="PF61" s="44">
        <v>0</v>
      </c>
      <c r="PG61" s="44">
        <v>0</v>
      </c>
      <c r="PH61" s="47">
        <v>0</v>
      </c>
      <c r="PI61" s="45"/>
      <c r="PJ61" s="46">
        <v>0</v>
      </c>
      <c r="PK61" s="44">
        <v>0</v>
      </c>
      <c r="PL61" s="44">
        <v>40</v>
      </c>
      <c r="PM61" s="44">
        <v>40</v>
      </c>
      <c r="PN61" s="47">
        <v>0</v>
      </c>
      <c r="PO61" s="45"/>
      <c r="PP61" s="46">
        <v>0</v>
      </c>
      <c r="PQ61" s="44">
        <v>0</v>
      </c>
      <c r="PR61" s="44">
        <v>16</v>
      </c>
      <c r="PS61" s="44">
        <v>16</v>
      </c>
      <c r="PT61" s="47">
        <v>0</v>
      </c>
      <c r="PU61" s="45"/>
      <c r="PV61" s="46">
        <v>0</v>
      </c>
      <c r="PW61" s="44">
        <v>0</v>
      </c>
      <c r="PX61" s="47">
        <v>0</v>
      </c>
      <c r="PY61" s="45"/>
      <c r="PZ61" s="46">
        <v>0</v>
      </c>
      <c r="QA61" s="44">
        <v>0</v>
      </c>
      <c r="QB61" s="47">
        <v>0</v>
      </c>
      <c r="QC61" s="45"/>
      <c r="QD61" s="46">
        <v>0</v>
      </c>
      <c r="QE61" s="44">
        <v>0</v>
      </c>
      <c r="QF61" s="44">
        <v>0</v>
      </c>
      <c r="QG61" s="44">
        <v>0</v>
      </c>
      <c r="QH61" s="47">
        <v>0</v>
      </c>
      <c r="QI61" s="45"/>
      <c r="QJ61" s="23">
        <v>96</v>
      </c>
      <c r="QK61" s="44">
        <v>0</v>
      </c>
      <c r="QL61" s="47">
        <v>0</v>
      </c>
      <c r="QM61" s="45"/>
      <c r="QN61" s="46">
        <v>0</v>
      </c>
      <c r="QO61" s="44">
        <v>0</v>
      </c>
      <c r="QP61" s="17">
        <v>48</v>
      </c>
      <c r="QQ61" s="44">
        <v>0</v>
      </c>
      <c r="QR61" s="47">
        <v>0</v>
      </c>
      <c r="QS61" s="45"/>
      <c r="QT61" s="46"/>
      <c r="QW61" s="45"/>
      <c r="QX61" s="46"/>
      <c r="RC61" s="45"/>
      <c r="RD61" s="42"/>
      <c r="RE61" s="44"/>
      <c r="RG61" s="44"/>
      <c r="RI61" s="45"/>
      <c r="RJ61" s="42"/>
      <c r="RO61" s="43"/>
      <c r="RP61" s="42"/>
      <c r="RS61" s="43"/>
      <c r="RT61" s="42"/>
      <c r="RY61" s="43"/>
      <c r="RZ61" s="42"/>
      <c r="SE61" s="43"/>
      <c r="SF61" s="42"/>
      <c r="SK61" s="43"/>
      <c r="SL61" s="42"/>
      <c r="SO61" s="43"/>
      <c r="SP61" s="42"/>
      <c r="SU61" s="43"/>
    </row>
    <row r="62" spans="1:515" x14ac:dyDescent="0.25">
      <c r="A62" s="47" t="s">
        <v>369</v>
      </c>
      <c r="B62" s="41">
        <v>0.5</v>
      </c>
      <c r="J62" s="42"/>
      <c r="K62" s="51"/>
      <c r="L62" s="51"/>
      <c r="M62" s="51"/>
      <c r="N62" s="51">
        <f t="shared" si="9"/>
        <v>0</v>
      </c>
      <c r="O62" s="43"/>
      <c r="P62" s="46"/>
      <c r="Q62" s="51"/>
      <c r="R62" s="51"/>
      <c r="S62" s="51"/>
      <c r="T62" s="51">
        <f t="shared" si="10"/>
        <v>0</v>
      </c>
      <c r="U62" s="43"/>
      <c r="V62" s="42"/>
      <c r="W62" s="51"/>
      <c r="X62" s="51"/>
      <c r="Y62" s="51"/>
      <c r="Z62" s="51">
        <f t="shared" si="11"/>
        <v>0</v>
      </c>
      <c r="AA62" s="43"/>
      <c r="AB62" s="42"/>
      <c r="AC62" s="51"/>
      <c r="AD62" s="51"/>
      <c r="AE62" s="51"/>
      <c r="AF62" s="51">
        <v>0</v>
      </c>
      <c r="AG62" s="43"/>
      <c r="AH62" s="51"/>
      <c r="AL62" s="47">
        <v>0</v>
      </c>
      <c r="AM62" s="43"/>
      <c r="AN62" s="42"/>
      <c r="AR62" s="47">
        <v>0</v>
      </c>
      <c r="AS62" s="43"/>
      <c r="AX62" s="47">
        <v>0</v>
      </c>
      <c r="AY62" s="43"/>
      <c r="BD62" s="47">
        <v>0</v>
      </c>
      <c r="BE62" s="43"/>
      <c r="BF62" s="42"/>
      <c r="BJ62" s="47">
        <v>0</v>
      </c>
      <c r="BK62" s="43"/>
      <c r="BL62" s="42"/>
      <c r="BP62" s="47">
        <v>0</v>
      </c>
      <c r="BQ62" s="43"/>
      <c r="BV62" s="47">
        <v>0</v>
      </c>
      <c r="BW62" s="43"/>
      <c r="BX62" s="42"/>
      <c r="CB62" s="47">
        <v>0</v>
      </c>
      <c r="CC62" s="43"/>
      <c r="CH62" s="47">
        <v>0</v>
      </c>
      <c r="CI62" s="43"/>
      <c r="CN62" s="47">
        <v>0</v>
      </c>
      <c r="CO62" s="43"/>
      <c r="CP62" s="42"/>
      <c r="CT62" s="47">
        <v>0</v>
      </c>
      <c r="CU62" s="43"/>
      <c r="CV62" s="42"/>
      <c r="CZ62" s="47">
        <v>0</v>
      </c>
      <c r="DA62" s="43"/>
      <c r="DG62" s="47">
        <v>0</v>
      </c>
      <c r="DH62" s="43"/>
      <c r="DK62" s="47">
        <v>0</v>
      </c>
      <c r="DL62" s="43"/>
      <c r="DM62" s="42"/>
      <c r="DQ62" s="47">
        <v>0</v>
      </c>
      <c r="DR62" s="43"/>
      <c r="DW62" s="47">
        <v>0</v>
      </c>
      <c r="DX62" s="43"/>
      <c r="EC62" s="47">
        <v>0</v>
      </c>
      <c r="ED62" s="43"/>
      <c r="EE62" s="42"/>
      <c r="EI62" s="47">
        <v>0</v>
      </c>
      <c r="EJ62" s="43"/>
      <c r="EO62" s="47">
        <v>0</v>
      </c>
      <c r="EP62" s="43"/>
      <c r="EQ62" s="42"/>
      <c r="EU62" s="47">
        <v>0</v>
      </c>
      <c r="EV62" s="43"/>
      <c r="EW62" s="42"/>
      <c r="FC62" s="47">
        <v>0</v>
      </c>
      <c r="FD62" s="43"/>
      <c r="FE62" s="42"/>
      <c r="FI62" s="47">
        <v>0</v>
      </c>
      <c r="FJ62" s="43"/>
      <c r="FQ62" s="47">
        <v>0</v>
      </c>
      <c r="FR62" s="43"/>
      <c r="FS62" s="42"/>
      <c r="FW62" s="47">
        <v>0</v>
      </c>
      <c r="FX62" s="43"/>
      <c r="FY62" s="42"/>
      <c r="GC62" s="47">
        <v>0</v>
      </c>
      <c r="GD62" s="43"/>
      <c r="GE62" s="42"/>
      <c r="GI62" s="47">
        <v>0</v>
      </c>
      <c r="GJ62" s="43"/>
      <c r="GQ62" s="47">
        <v>0</v>
      </c>
      <c r="GR62" s="43"/>
      <c r="GX62" s="47">
        <v>0</v>
      </c>
      <c r="GY62" s="43"/>
      <c r="GZ62" s="42"/>
      <c r="HC62" s="47">
        <v>0</v>
      </c>
      <c r="HD62" s="43"/>
      <c r="HE62" s="40">
        <v>8</v>
      </c>
      <c r="HG62">
        <v>8</v>
      </c>
      <c r="HH62" s="47">
        <v>0</v>
      </c>
      <c r="HI62" s="43"/>
      <c r="HJ62">
        <v>8</v>
      </c>
      <c r="HM62">
        <v>8</v>
      </c>
      <c r="HN62" s="47">
        <v>0</v>
      </c>
      <c r="HO62" s="43"/>
      <c r="HP62" s="42"/>
      <c r="HU62" s="47">
        <v>0</v>
      </c>
      <c r="HV62" s="43"/>
      <c r="IA62" s="47">
        <v>0</v>
      </c>
      <c r="IB62" s="43"/>
      <c r="IC62" s="42"/>
      <c r="IG62" s="47">
        <v>0</v>
      </c>
      <c r="IH62" s="43"/>
      <c r="IM62" s="47">
        <v>0</v>
      </c>
      <c r="IN62" s="43"/>
      <c r="IO62" s="42"/>
      <c r="IQ62" s="47">
        <v>0</v>
      </c>
      <c r="IR62" s="43"/>
      <c r="IS62" s="42"/>
      <c r="IW62" s="47">
        <v>0</v>
      </c>
      <c r="IX62" s="43"/>
      <c r="IY62" s="42"/>
      <c r="JA62" s="47">
        <v>0</v>
      </c>
      <c r="JB62" s="43"/>
      <c r="JC62" s="42"/>
      <c r="JE62">
        <v>32</v>
      </c>
      <c r="JF62">
        <v>30</v>
      </c>
      <c r="JG62" s="47">
        <v>2</v>
      </c>
      <c r="JH62" s="43"/>
      <c r="JM62">
        <v>8</v>
      </c>
      <c r="JN62">
        <v>7</v>
      </c>
      <c r="JO62" s="47">
        <v>1</v>
      </c>
      <c r="JP62" s="43"/>
      <c r="JQ62" s="42"/>
      <c r="JU62" s="47">
        <v>0</v>
      </c>
      <c r="JV62" s="43"/>
      <c r="KA62" s="47">
        <v>0</v>
      </c>
      <c r="KB62" s="45"/>
      <c r="KE62">
        <v>32</v>
      </c>
      <c r="KF62">
        <v>30</v>
      </c>
      <c r="KG62" s="47">
        <v>2</v>
      </c>
      <c r="KH62" s="45"/>
      <c r="KI62">
        <v>8</v>
      </c>
      <c r="KJ62">
        <v>8</v>
      </c>
      <c r="KM62" s="47">
        <v>0</v>
      </c>
      <c r="KN62" s="45"/>
      <c r="KQ62">
        <v>24</v>
      </c>
      <c r="KR62">
        <v>22</v>
      </c>
      <c r="KS62" s="47">
        <v>2</v>
      </c>
      <c r="KT62" s="43"/>
      <c r="KW62" s="47">
        <v>0</v>
      </c>
      <c r="KX62" s="45"/>
      <c r="LC62" s="47">
        <v>0</v>
      </c>
      <c r="LD62" s="43"/>
      <c r="LE62" s="40">
        <v>16</v>
      </c>
      <c r="LF62" s="44">
        <v>20</v>
      </c>
      <c r="LG62" s="47">
        <v>-4</v>
      </c>
      <c r="LH62" s="45"/>
      <c r="LM62" s="47">
        <v>0</v>
      </c>
      <c r="LN62" s="45"/>
      <c r="LQ62">
        <v>24</v>
      </c>
      <c r="LR62">
        <v>26</v>
      </c>
      <c r="LS62" s="47">
        <v>-2</v>
      </c>
      <c r="LT62" s="45"/>
      <c r="LY62" s="47">
        <v>0</v>
      </c>
      <c r="LZ62" s="45"/>
      <c r="ME62" s="47">
        <v>0</v>
      </c>
      <c r="MF62" s="45"/>
      <c r="MG62" s="40">
        <v>32</v>
      </c>
      <c r="MH62">
        <v>30</v>
      </c>
      <c r="ML62">
        <v>30</v>
      </c>
      <c r="MM62" s="50">
        <v>-28</v>
      </c>
      <c r="MN62" s="45">
        <v>14</v>
      </c>
      <c r="MO62" s="44">
        <v>0</v>
      </c>
      <c r="MP62" s="44">
        <v>0</v>
      </c>
      <c r="MQ62" s="44">
        <v>0</v>
      </c>
      <c r="MR62" s="44">
        <v>0</v>
      </c>
      <c r="MS62" s="47">
        <v>0</v>
      </c>
      <c r="MT62" s="45"/>
      <c r="MU62" s="44">
        <v>0</v>
      </c>
      <c r="MV62" s="44">
        <v>0</v>
      </c>
      <c r="MW62" s="44">
        <v>0</v>
      </c>
      <c r="MX62" s="44">
        <v>0</v>
      </c>
      <c r="MY62" s="47">
        <v>0</v>
      </c>
      <c r="MZ62" s="45"/>
      <c r="NA62" s="46">
        <v>32</v>
      </c>
      <c r="NB62" s="44">
        <v>30</v>
      </c>
      <c r="NC62" s="47">
        <v>2</v>
      </c>
      <c r="ND62" s="45"/>
      <c r="NE62" s="46">
        <v>0</v>
      </c>
      <c r="NF62" s="44">
        <v>0</v>
      </c>
      <c r="NG62" s="44">
        <v>0</v>
      </c>
      <c r="NH62" s="44">
        <v>0</v>
      </c>
      <c r="NI62" s="44">
        <v>0</v>
      </c>
      <c r="NJ62" s="47">
        <v>0</v>
      </c>
      <c r="NK62" s="45"/>
      <c r="NL62" s="46">
        <v>8</v>
      </c>
      <c r="NM62" s="44">
        <v>8</v>
      </c>
      <c r="NN62" s="44">
        <v>8</v>
      </c>
      <c r="NO62" s="44">
        <v>8</v>
      </c>
      <c r="NP62" s="47">
        <v>0</v>
      </c>
      <c r="NQ62" s="45"/>
      <c r="NR62" s="46">
        <v>0</v>
      </c>
      <c r="NS62" s="44">
        <v>0</v>
      </c>
      <c r="NT62" s="47">
        <v>0</v>
      </c>
      <c r="NU62" s="45"/>
      <c r="NV62" s="46">
        <v>0</v>
      </c>
      <c r="NW62" s="44">
        <v>0</v>
      </c>
      <c r="NX62" s="44">
        <v>8</v>
      </c>
      <c r="NY62" s="44">
        <v>10</v>
      </c>
      <c r="NZ62" s="47">
        <v>-2</v>
      </c>
      <c r="OA62" s="45"/>
      <c r="OB62" s="46">
        <v>8</v>
      </c>
      <c r="OC62" s="44">
        <v>8</v>
      </c>
      <c r="OD62" s="47">
        <v>0</v>
      </c>
      <c r="OE62" s="45"/>
      <c r="OF62" s="46">
        <v>0</v>
      </c>
      <c r="OG62" s="44">
        <v>0</v>
      </c>
      <c r="OH62" s="44">
        <v>24</v>
      </c>
      <c r="OI62" s="44">
        <v>25</v>
      </c>
      <c r="OJ62" s="47">
        <v>-1</v>
      </c>
      <c r="OK62" s="45"/>
      <c r="OL62" s="44">
        <v>0</v>
      </c>
      <c r="OM62" s="43"/>
      <c r="ON62" s="44">
        <v>0</v>
      </c>
      <c r="OO62" s="44">
        <v>0</v>
      </c>
      <c r="OP62" s="47">
        <v>0</v>
      </c>
      <c r="OQ62" s="45"/>
      <c r="OR62" s="46">
        <v>0</v>
      </c>
      <c r="OS62" s="44">
        <v>0</v>
      </c>
      <c r="OT62" s="44">
        <v>0</v>
      </c>
      <c r="OU62" s="44">
        <v>0</v>
      </c>
      <c r="OV62" s="47">
        <v>0</v>
      </c>
      <c r="OW62" s="45"/>
      <c r="OX62" s="46">
        <v>0</v>
      </c>
      <c r="OY62" s="44">
        <v>0</v>
      </c>
      <c r="OZ62" s="44">
        <v>32</v>
      </c>
      <c r="PA62" s="44">
        <v>30</v>
      </c>
      <c r="PB62" s="47">
        <v>2</v>
      </c>
      <c r="PC62" s="45"/>
      <c r="PD62" s="46">
        <v>0</v>
      </c>
      <c r="PE62" s="44">
        <v>0</v>
      </c>
      <c r="PF62" s="44">
        <v>0</v>
      </c>
      <c r="PG62" s="44">
        <v>0</v>
      </c>
      <c r="PH62" s="47">
        <v>0</v>
      </c>
      <c r="PI62" s="45"/>
      <c r="PJ62" s="46">
        <v>0</v>
      </c>
      <c r="PK62" s="44">
        <v>0</v>
      </c>
      <c r="PL62" s="44">
        <v>8</v>
      </c>
      <c r="PM62" s="44">
        <v>10</v>
      </c>
      <c r="PN62" s="47">
        <v>-2</v>
      </c>
      <c r="PO62" s="45"/>
      <c r="PP62" s="46">
        <v>0</v>
      </c>
      <c r="PQ62" s="44">
        <v>0</v>
      </c>
      <c r="PR62" s="44">
        <v>16</v>
      </c>
      <c r="PS62" s="44">
        <v>16</v>
      </c>
      <c r="PT62" s="47">
        <v>0</v>
      </c>
      <c r="PU62" s="45"/>
      <c r="PV62" s="46">
        <v>0</v>
      </c>
      <c r="PW62" s="44">
        <v>0</v>
      </c>
      <c r="PX62" s="47">
        <v>0</v>
      </c>
      <c r="PY62" s="45"/>
      <c r="PZ62" s="23">
        <v>8</v>
      </c>
      <c r="QA62" s="44">
        <v>0</v>
      </c>
      <c r="QB62" s="47">
        <v>0</v>
      </c>
      <c r="QC62" s="45"/>
      <c r="QD62" s="46"/>
      <c r="QI62" s="45"/>
      <c r="QJ62" s="46"/>
      <c r="QM62" s="45"/>
      <c r="QN62" s="46"/>
      <c r="QS62" s="45"/>
      <c r="QT62" s="46"/>
      <c r="QW62" s="45"/>
      <c r="QX62" s="46"/>
      <c r="RC62" s="45"/>
      <c r="RD62" s="42"/>
      <c r="RE62" s="44"/>
      <c r="RG62" s="44"/>
      <c r="RI62" s="45"/>
      <c r="RJ62" s="42"/>
      <c r="RO62" s="43"/>
      <c r="RP62" s="42"/>
      <c r="RS62" s="43"/>
      <c r="RT62" s="42"/>
      <c r="RY62" s="43"/>
      <c r="RZ62" s="42"/>
      <c r="SE62" s="43"/>
      <c r="SF62" s="42"/>
      <c r="SK62" s="43"/>
      <c r="SL62" s="42"/>
      <c r="SO62" s="43"/>
      <c r="SP62" s="42"/>
      <c r="SU62" s="43"/>
    </row>
    <row r="63" spans="1:515" x14ac:dyDescent="0.25">
      <c r="A63" s="47" t="s">
        <v>370</v>
      </c>
      <c r="B63" s="41">
        <v>0.5</v>
      </c>
      <c r="J63" s="42"/>
      <c r="K63" s="51"/>
      <c r="L63" s="51"/>
      <c r="M63" s="51"/>
      <c r="N63" s="51">
        <f t="shared" si="9"/>
        <v>0</v>
      </c>
      <c r="O63" s="43"/>
      <c r="P63" s="46"/>
      <c r="Q63" s="51"/>
      <c r="R63" s="51"/>
      <c r="S63" s="51"/>
      <c r="T63" s="51">
        <f t="shared" si="10"/>
        <v>0</v>
      </c>
      <c r="U63" s="43"/>
      <c r="V63" s="42"/>
      <c r="W63" s="51"/>
      <c r="X63" s="51"/>
      <c r="Y63" s="51"/>
      <c r="Z63" s="51">
        <f t="shared" si="11"/>
        <v>0</v>
      </c>
      <c r="AA63" s="43"/>
      <c r="AB63" s="42"/>
      <c r="AC63" s="51"/>
      <c r="AD63" s="51"/>
      <c r="AE63" s="51"/>
      <c r="AF63" s="51">
        <v>0</v>
      </c>
      <c r="AG63" s="43"/>
      <c r="AH63" s="51"/>
      <c r="AL63" s="47">
        <v>0</v>
      </c>
      <c r="AM63" s="43"/>
      <c r="AN63" s="42"/>
      <c r="AR63" s="47">
        <v>0</v>
      </c>
      <c r="AS63" s="43"/>
      <c r="AX63" s="47">
        <v>0</v>
      </c>
      <c r="AY63" s="43"/>
      <c r="BD63" s="47">
        <v>0</v>
      </c>
      <c r="BE63" s="43"/>
      <c r="BF63" s="42"/>
      <c r="BJ63" s="47">
        <v>0</v>
      </c>
      <c r="BK63" s="43"/>
      <c r="BL63" s="42"/>
      <c r="BP63" s="47">
        <v>0</v>
      </c>
      <c r="BQ63" s="43"/>
      <c r="BV63" s="47">
        <v>0</v>
      </c>
      <c r="BW63" s="43"/>
      <c r="BX63" s="42"/>
      <c r="CB63" s="47">
        <v>0</v>
      </c>
      <c r="CC63" s="43"/>
      <c r="CH63" s="47">
        <v>0</v>
      </c>
      <c r="CI63" s="43"/>
      <c r="CN63" s="47">
        <v>0</v>
      </c>
      <c r="CO63" s="43"/>
      <c r="CP63" s="42"/>
      <c r="CT63" s="47">
        <v>0</v>
      </c>
      <c r="CU63" s="43"/>
      <c r="CV63" s="42"/>
      <c r="CZ63" s="47">
        <v>0</v>
      </c>
      <c r="DA63" s="43"/>
      <c r="DG63" s="47">
        <v>0</v>
      </c>
      <c r="DH63" s="43"/>
      <c r="DK63" s="47">
        <v>0</v>
      </c>
      <c r="DL63" s="43"/>
      <c r="DM63" s="42"/>
      <c r="DQ63" s="47">
        <v>0</v>
      </c>
      <c r="DR63" s="43"/>
      <c r="DW63" s="47">
        <v>0</v>
      </c>
      <c r="DX63" s="43"/>
      <c r="EC63" s="47">
        <v>0</v>
      </c>
      <c r="ED63" s="43"/>
      <c r="EE63" s="42"/>
      <c r="EI63" s="47">
        <v>0</v>
      </c>
      <c r="EJ63" s="43"/>
      <c r="EO63" s="47">
        <v>0</v>
      </c>
      <c r="EP63" s="43"/>
      <c r="EQ63" s="42"/>
      <c r="EU63" s="47">
        <v>0</v>
      </c>
      <c r="EV63" s="43"/>
      <c r="EW63" s="42"/>
      <c r="FC63" s="47">
        <v>0</v>
      </c>
      <c r="FD63" s="43"/>
      <c r="FE63" s="42"/>
      <c r="FI63" s="47">
        <v>0</v>
      </c>
      <c r="FJ63" s="43"/>
      <c r="FQ63" s="47">
        <v>0</v>
      </c>
      <c r="FR63" s="43"/>
      <c r="FS63" s="42"/>
      <c r="FW63" s="47">
        <v>0</v>
      </c>
      <c r="FX63" s="43"/>
      <c r="FY63" s="42"/>
      <c r="GC63" s="47">
        <v>0</v>
      </c>
      <c r="GD63" s="43"/>
      <c r="GE63" s="42"/>
      <c r="GI63" s="47">
        <v>0</v>
      </c>
      <c r="GJ63" s="43"/>
      <c r="GQ63" s="47">
        <v>0</v>
      </c>
      <c r="GR63" s="43"/>
      <c r="GX63" s="47">
        <v>0</v>
      </c>
      <c r="GY63" s="43"/>
      <c r="GZ63" s="42"/>
      <c r="HC63" s="47">
        <v>0</v>
      </c>
      <c r="HD63" s="43"/>
      <c r="HE63" s="42"/>
      <c r="HH63" s="47">
        <v>0</v>
      </c>
      <c r="HI63" s="43"/>
      <c r="HN63" s="47">
        <v>0</v>
      </c>
      <c r="HO63" s="43"/>
      <c r="HP63" s="42"/>
      <c r="HU63" s="47">
        <v>0</v>
      </c>
      <c r="HV63" s="43"/>
      <c r="IA63" s="47">
        <v>0</v>
      </c>
      <c r="IB63" s="43"/>
      <c r="IC63" s="42"/>
      <c r="IG63" s="47">
        <v>0</v>
      </c>
      <c r="IH63" s="43"/>
      <c r="IM63" s="47">
        <v>0</v>
      </c>
      <c r="IN63" s="43"/>
      <c r="IO63" s="42"/>
      <c r="IQ63" s="47">
        <v>0</v>
      </c>
      <c r="IR63" s="43"/>
      <c r="IS63" s="42"/>
      <c r="IW63" s="47">
        <v>0</v>
      </c>
      <c r="IX63" s="43"/>
      <c r="IY63" s="42"/>
      <c r="JA63" s="47">
        <v>0</v>
      </c>
      <c r="JB63" s="43"/>
      <c r="JC63" s="42"/>
      <c r="JG63" s="47">
        <v>0</v>
      </c>
      <c r="JH63" s="43"/>
      <c r="JO63" s="47">
        <v>0</v>
      </c>
      <c r="JP63" s="43"/>
      <c r="JQ63" s="42"/>
      <c r="JU63" s="47">
        <v>0</v>
      </c>
      <c r="JV63" s="43"/>
      <c r="KA63" s="47">
        <v>0</v>
      </c>
      <c r="KB63" s="45"/>
      <c r="KG63" s="47">
        <v>0</v>
      </c>
      <c r="KH63" s="45"/>
      <c r="KM63" s="47">
        <v>0</v>
      </c>
      <c r="KN63" s="45"/>
      <c r="KS63" s="47">
        <v>0</v>
      </c>
      <c r="KT63" s="43"/>
      <c r="KW63" s="47">
        <v>0</v>
      </c>
      <c r="KX63" s="45"/>
      <c r="LC63" s="47">
        <v>0</v>
      </c>
      <c r="LD63" s="43"/>
      <c r="LE63" s="46"/>
      <c r="LG63" s="47">
        <v>0</v>
      </c>
      <c r="LH63" s="45"/>
      <c r="LM63" s="47">
        <v>0</v>
      </c>
      <c r="LN63" s="45"/>
      <c r="LS63" s="47">
        <v>0</v>
      </c>
      <c r="LT63" s="45"/>
      <c r="LY63" s="47">
        <v>0</v>
      </c>
      <c r="LZ63" s="45"/>
      <c r="ME63" s="47">
        <v>0</v>
      </c>
      <c r="MF63" s="45"/>
      <c r="MG63" s="46"/>
      <c r="MM63" s="47">
        <v>0</v>
      </c>
      <c r="MN63" s="45"/>
      <c r="MO63" s="44">
        <v>0</v>
      </c>
      <c r="MP63" s="44">
        <v>0</v>
      </c>
      <c r="MQ63" s="44">
        <v>0</v>
      </c>
      <c r="MR63" s="44">
        <v>0</v>
      </c>
      <c r="MS63" s="47">
        <v>0</v>
      </c>
      <c r="MT63" s="45"/>
      <c r="MU63" s="44">
        <v>0</v>
      </c>
      <c r="MV63" s="44">
        <v>0</v>
      </c>
      <c r="MW63" s="44">
        <v>0</v>
      </c>
      <c r="MX63" s="44">
        <v>0</v>
      </c>
      <c r="MY63" s="47">
        <v>0</v>
      </c>
      <c r="MZ63" s="45"/>
      <c r="NA63" s="46">
        <v>0</v>
      </c>
      <c r="NB63" s="44">
        <v>0</v>
      </c>
      <c r="NC63" s="47">
        <v>0</v>
      </c>
      <c r="ND63" s="45"/>
      <c r="NE63" s="46">
        <v>0</v>
      </c>
      <c r="NF63" s="44">
        <v>0</v>
      </c>
      <c r="NG63" s="44">
        <v>0</v>
      </c>
      <c r="NH63" s="44">
        <v>0</v>
      </c>
      <c r="NI63" s="44">
        <v>0</v>
      </c>
      <c r="NJ63" s="47">
        <v>0</v>
      </c>
      <c r="NK63" s="45"/>
      <c r="NL63" s="46">
        <v>0</v>
      </c>
      <c r="NM63" s="44">
        <v>0</v>
      </c>
      <c r="NN63" s="44">
        <v>0</v>
      </c>
      <c r="NO63" s="44">
        <v>0</v>
      </c>
      <c r="NP63" s="47">
        <v>0</v>
      </c>
      <c r="NQ63" s="45"/>
      <c r="NR63" s="46">
        <v>0</v>
      </c>
      <c r="NS63" s="44">
        <v>0</v>
      </c>
      <c r="NT63" s="47">
        <v>0</v>
      </c>
      <c r="NU63" s="45"/>
      <c r="NV63" s="46">
        <v>0</v>
      </c>
      <c r="NW63" s="44">
        <v>0</v>
      </c>
      <c r="NX63" s="44">
        <v>0</v>
      </c>
      <c r="NY63" s="44">
        <v>0</v>
      </c>
      <c r="NZ63" s="47">
        <v>0</v>
      </c>
      <c r="OA63" s="45"/>
      <c r="OB63" s="46">
        <v>0</v>
      </c>
      <c r="OC63" s="44">
        <v>0</v>
      </c>
      <c r="OD63" s="47">
        <v>0</v>
      </c>
      <c r="OE63" s="45"/>
      <c r="OF63" s="46">
        <v>0</v>
      </c>
      <c r="OG63" s="44">
        <v>0</v>
      </c>
      <c r="OH63" s="44">
        <v>0</v>
      </c>
      <c r="OI63" s="44">
        <v>0</v>
      </c>
      <c r="OJ63" s="47">
        <v>0</v>
      </c>
      <c r="OK63" s="45"/>
      <c r="OL63" s="44">
        <v>0</v>
      </c>
      <c r="OM63" s="43"/>
      <c r="ON63" s="44">
        <v>0</v>
      </c>
      <c r="OO63" s="44">
        <v>0</v>
      </c>
      <c r="OP63" s="47">
        <v>0</v>
      </c>
      <c r="OQ63" s="45"/>
      <c r="OR63" s="46">
        <v>0</v>
      </c>
      <c r="OS63" s="44">
        <v>0</v>
      </c>
      <c r="OT63" s="44">
        <v>0</v>
      </c>
      <c r="OU63" s="44">
        <v>0</v>
      </c>
      <c r="OV63" s="47">
        <v>0</v>
      </c>
      <c r="OW63" s="45"/>
      <c r="OX63" s="46">
        <v>0</v>
      </c>
      <c r="OY63" s="44">
        <v>0</v>
      </c>
      <c r="OZ63" s="44">
        <v>0</v>
      </c>
      <c r="PA63" s="44">
        <v>0</v>
      </c>
      <c r="PB63" s="47">
        <v>0</v>
      </c>
      <c r="PC63" s="45"/>
      <c r="PD63" s="46">
        <v>0</v>
      </c>
      <c r="PE63" s="44">
        <v>0</v>
      </c>
      <c r="PF63" s="44">
        <v>0</v>
      </c>
      <c r="PG63" s="44">
        <v>0</v>
      </c>
      <c r="PH63" s="47">
        <v>0</v>
      </c>
      <c r="PI63" s="45"/>
      <c r="PJ63" s="46">
        <v>0</v>
      </c>
      <c r="PK63" s="44">
        <v>0</v>
      </c>
      <c r="PL63" s="44">
        <v>0</v>
      </c>
      <c r="PM63" s="44">
        <v>0</v>
      </c>
      <c r="PN63" s="47">
        <v>0</v>
      </c>
      <c r="PO63" s="45"/>
      <c r="PP63" s="46">
        <v>0</v>
      </c>
      <c r="PQ63" s="44">
        <v>0</v>
      </c>
      <c r="PR63" s="44">
        <v>0</v>
      </c>
      <c r="PS63" s="44">
        <v>0</v>
      </c>
      <c r="PT63" s="47">
        <v>0</v>
      </c>
      <c r="PU63" s="45"/>
      <c r="PV63" s="46">
        <v>0</v>
      </c>
      <c r="PW63" s="44">
        <v>0</v>
      </c>
      <c r="PX63" s="47">
        <v>0</v>
      </c>
      <c r="PY63" s="45"/>
      <c r="PZ63" s="46">
        <v>0</v>
      </c>
      <c r="QA63" s="44">
        <v>0</v>
      </c>
      <c r="QB63" s="47">
        <v>0</v>
      </c>
      <c r="QC63" s="45"/>
      <c r="QD63" s="46">
        <v>0</v>
      </c>
      <c r="QE63" s="44">
        <v>0</v>
      </c>
      <c r="QF63" s="44">
        <v>0</v>
      </c>
      <c r="QG63" s="44">
        <v>0</v>
      </c>
      <c r="QH63" s="47">
        <v>0</v>
      </c>
      <c r="QI63" s="45"/>
      <c r="QJ63" s="46">
        <v>0</v>
      </c>
      <c r="QK63" s="44">
        <v>0</v>
      </c>
      <c r="QL63" s="47">
        <v>0</v>
      </c>
      <c r="QM63" s="45"/>
      <c r="QN63" s="46">
        <v>0</v>
      </c>
      <c r="QO63" s="44">
        <v>0</v>
      </c>
      <c r="QP63" s="44">
        <v>0</v>
      </c>
      <c r="QQ63" s="44">
        <v>0</v>
      </c>
      <c r="QR63" s="47">
        <v>0</v>
      </c>
      <c r="QS63" s="45"/>
      <c r="QT63" s="46">
        <v>0</v>
      </c>
      <c r="QU63" s="44">
        <v>0</v>
      </c>
      <c r="QV63" s="47">
        <v>0</v>
      </c>
      <c r="QW63" s="45"/>
      <c r="QX63" s="46">
        <v>0</v>
      </c>
      <c r="QY63" s="44">
        <v>0</v>
      </c>
      <c r="QZ63" s="44">
        <v>0</v>
      </c>
      <c r="RA63" s="44">
        <v>0</v>
      </c>
      <c r="RB63" s="47">
        <v>0</v>
      </c>
      <c r="RC63" s="45"/>
      <c r="RD63" s="42">
        <v>0</v>
      </c>
      <c r="RE63" s="44">
        <v>0</v>
      </c>
      <c r="RF63" s="44">
        <v>0</v>
      </c>
      <c r="RG63" s="44">
        <v>0</v>
      </c>
      <c r="RH63" s="47">
        <v>0</v>
      </c>
      <c r="RI63" s="45"/>
      <c r="RJ63" s="42">
        <v>0</v>
      </c>
      <c r="RK63" s="47">
        <v>0</v>
      </c>
      <c r="RL63" s="47">
        <v>0</v>
      </c>
      <c r="RM63" s="47">
        <v>0</v>
      </c>
      <c r="RN63" s="47">
        <v>0</v>
      </c>
      <c r="RO63" s="43"/>
      <c r="RP63" s="42">
        <v>0</v>
      </c>
      <c r="RQ63" s="47">
        <v>0</v>
      </c>
      <c r="RR63" s="47">
        <v>0</v>
      </c>
      <c r="RS63" s="43"/>
      <c r="RT63" s="42">
        <v>496</v>
      </c>
      <c r="RU63" s="47">
        <v>500</v>
      </c>
      <c r="RV63" s="47">
        <v>496</v>
      </c>
      <c r="RW63" s="47">
        <v>500</v>
      </c>
      <c r="RX63" s="47">
        <v>-8</v>
      </c>
      <c r="RY63" s="43"/>
      <c r="RZ63" s="42">
        <v>0</v>
      </c>
      <c r="SA63" s="47">
        <v>0</v>
      </c>
      <c r="SB63" s="47">
        <v>0</v>
      </c>
      <c r="SC63" s="47">
        <v>0</v>
      </c>
      <c r="SD63" s="47">
        <v>0</v>
      </c>
      <c r="SE63" s="43"/>
      <c r="SF63" s="42">
        <v>0</v>
      </c>
      <c r="SG63" s="47">
        <v>0</v>
      </c>
      <c r="SH63" s="47">
        <v>0</v>
      </c>
      <c r="SI63" s="47">
        <v>0</v>
      </c>
      <c r="SJ63" s="47">
        <v>0</v>
      </c>
      <c r="SK63" s="43"/>
      <c r="SL63" s="42">
        <v>0</v>
      </c>
      <c r="SM63" s="47">
        <v>0</v>
      </c>
      <c r="SN63" s="47">
        <v>0</v>
      </c>
      <c r="SO63" s="43"/>
      <c r="SP63" s="42">
        <v>0</v>
      </c>
      <c r="SQ63" s="47">
        <v>0</v>
      </c>
      <c r="SR63" s="47">
        <v>0</v>
      </c>
      <c r="SS63" s="47">
        <v>0</v>
      </c>
      <c r="ST63" s="47">
        <v>0</v>
      </c>
      <c r="SU63" s="43"/>
    </row>
    <row r="64" spans="1:515" x14ac:dyDescent="0.25">
      <c r="A64" s="47" t="s">
        <v>371</v>
      </c>
      <c r="B64" s="41">
        <v>0.4</v>
      </c>
      <c r="F64">
        <v>600</v>
      </c>
      <c r="G64">
        <v>600</v>
      </c>
      <c r="J64" s="42"/>
      <c r="K64" s="51"/>
      <c r="L64" s="52">
        <v>296</v>
      </c>
      <c r="M64" s="52">
        <v>300</v>
      </c>
      <c r="N64" s="51">
        <f t="shared" si="9"/>
        <v>-4</v>
      </c>
      <c r="O64" s="43"/>
      <c r="P64" s="46"/>
      <c r="Q64" s="51"/>
      <c r="R64" s="52">
        <v>16</v>
      </c>
      <c r="S64" s="52">
        <v>100</v>
      </c>
      <c r="T64" s="57">
        <f t="shared" si="10"/>
        <v>-84</v>
      </c>
      <c r="U64" s="43">
        <f>-1*T64*B64</f>
        <v>33.6</v>
      </c>
      <c r="V64" s="42"/>
      <c r="W64" s="51"/>
      <c r="X64" s="52">
        <v>400</v>
      </c>
      <c r="Y64" s="52">
        <v>400</v>
      </c>
      <c r="Z64" s="51">
        <f t="shared" si="11"/>
        <v>0</v>
      </c>
      <c r="AA64" s="43"/>
      <c r="AB64" s="40">
        <v>192</v>
      </c>
      <c r="AC64" s="56">
        <v>194.3478260869565</v>
      </c>
      <c r="AD64" s="52">
        <v>248</v>
      </c>
      <c r="AE64" s="56">
        <v>252.6521739130435</v>
      </c>
      <c r="AF64" s="51">
        <v>-7</v>
      </c>
      <c r="AG64" s="43"/>
      <c r="AH64" s="52">
        <v>144</v>
      </c>
      <c r="AI64">
        <v>147</v>
      </c>
      <c r="AJ64">
        <v>112</v>
      </c>
      <c r="AK64">
        <v>117</v>
      </c>
      <c r="AL64" s="47">
        <v>-8</v>
      </c>
      <c r="AM64" s="43"/>
      <c r="AN64" s="40">
        <v>80</v>
      </c>
      <c r="AO64">
        <v>80</v>
      </c>
      <c r="AP64">
        <v>96</v>
      </c>
      <c r="AQ64">
        <v>96</v>
      </c>
      <c r="AR64" s="47">
        <v>0</v>
      </c>
      <c r="AS64" s="43"/>
      <c r="AT64">
        <v>176</v>
      </c>
      <c r="AU64">
        <v>180</v>
      </c>
      <c r="AV64">
        <v>192</v>
      </c>
      <c r="AW64">
        <v>193</v>
      </c>
      <c r="AX64" s="47">
        <v>-5</v>
      </c>
      <c r="AY64" s="43"/>
      <c r="AZ64">
        <v>96</v>
      </c>
      <c r="BA64">
        <v>100</v>
      </c>
      <c r="BB64">
        <v>40</v>
      </c>
      <c r="BC64">
        <v>44</v>
      </c>
      <c r="BD64" s="47">
        <v>-8</v>
      </c>
      <c r="BE64" s="43"/>
      <c r="BF64" s="40">
        <v>152</v>
      </c>
      <c r="BG64">
        <v>150</v>
      </c>
      <c r="BH64">
        <v>200</v>
      </c>
      <c r="BI64">
        <v>205</v>
      </c>
      <c r="BJ64" s="47">
        <v>-3</v>
      </c>
      <c r="BK64" s="43"/>
      <c r="BL64" s="42"/>
      <c r="BP64" s="47">
        <v>0</v>
      </c>
      <c r="BQ64" s="43"/>
      <c r="BR64">
        <v>176</v>
      </c>
      <c r="BS64">
        <v>180</v>
      </c>
      <c r="BT64">
        <v>216</v>
      </c>
      <c r="BU64">
        <v>216</v>
      </c>
      <c r="BV64" s="47">
        <v>-4</v>
      </c>
      <c r="BW64" s="43"/>
      <c r="BX64" s="40">
        <v>112</v>
      </c>
      <c r="BY64">
        <v>110</v>
      </c>
      <c r="BZ64">
        <v>160</v>
      </c>
      <c r="CA64">
        <v>158</v>
      </c>
      <c r="CB64" s="47">
        <v>4</v>
      </c>
      <c r="CC64" s="43"/>
      <c r="CD64">
        <v>112</v>
      </c>
      <c r="CE64">
        <v>110</v>
      </c>
      <c r="CF64">
        <v>128</v>
      </c>
      <c r="CG64">
        <v>129</v>
      </c>
      <c r="CH64" s="47">
        <v>1</v>
      </c>
      <c r="CI64" s="43"/>
      <c r="CJ64">
        <v>16</v>
      </c>
      <c r="CK64">
        <v>80</v>
      </c>
      <c r="CL64">
        <v>80</v>
      </c>
      <c r="CM64">
        <v>85</v>
      </c>
      <c r="CN64" s="50">
        <v>-69</v>
      </c>
      <c r="CO64" s="43">
        <v>27.6</v>
      </c>
      <c r="CP64" s="40">
        <v>200</v>
      </c>
      <c r="CQ64">
        <v>200</v>
      </c>
      <c r="CS64">
        <v>240</v>
      </c>
      <c r="CT64" s="50">
        <v>-240</v>
      </c>
      <c r="CU64" s="43">
        <v>96</v>
      </c>
      <c r="CV64" s="42"/>
      <c r="CZ64" s="47">
        <v>0</v>
      </c>
      <c r="DA64" s="43"/>
      <c r="DB64">
        <v>120</v>
      </c>
      <c r="DC64">
        <v>120</v>
      </c>
      <c r="DF64">
        <v>180</v>
      </c>
      <c r="DG64" s="50">
        <v>-180</v>
      </c>
      <c r="DH64" s="43">
        <v>72</v>
      </c>
      <c r="DK64" s="47">
        <v>0</v>
      </c>
      <c r="DL64" s="43"/>
      <c r="DM64" s="40">
        <v>944</v>
      </c>
      <c r="DN64">
        <v>1000</v>
      </c>
      <c r="DO64">
        <v>568</v>
      </c>
      <c r="DP64">
        <v>1000</v>
      </c>
      <c r="DQ64" s="50">
        <v>-488</v>
      </c>
      <c r="DR64" s="43">
        <v>195.2</v>
      </c>
      <c r="DW64" s="47">
        <v>0</v>
      </c>
      <c r="DX64" s="43"/>
      <c r="EC64" s="47">
        <v>0</v>
      </c>
      <c r="ED64" s="43"/>
      <c r="EE64" s="42"/>
      <c r="EG64">
        <v>616</v>
      </c>
      <c r="EH64">
        <v>619</v>
      </c>
      <c r="EI64" s="47">
        <v>-3</v>
      </c>
      <c r="EJ64" s="43"/>
      <c r="EO64" s="47">
        <v>0</v>
      </c>
      <c r="EP64" s="43"/>
      <c r="EQ64" s="40">
        <v>200</v>
      </c>
      <c r="ER64">
        <v>200</v>
      </c>
      <c r="ET64">
        <v>186</v>
      </c>
      <c r="EU64" s="50">
        <v>-186</v>
      </c>
      <c r="EV64" s="43">
        <v>74.400000000000006</v>
      </c>
      <c r="EW64" s="42"/>
      <c r="EY64">
        <v>280</v>
      </c>
      <c r="EZ64">
        <v>300</v>
      </c>
      <c r="FB64">
        <v>245</v>
      </c>
      <c r="FC64" s="50">
        <v>-265</v>
      </c>
      <c r="FD64" s="43">
        <v>106</v>
      </c>
      <c r="FE64" s="42"/>
      <c r="FG64">
        <v>16</v>
      </c>
      <c r="FH64">
        <v>20</v>
      </c>
      <c r="FI64" s="47">
        <v>-4</v>
      </c>
      <c r="FJ64" s="43"/>
      <c r="FM64">
        <v>120</v>
      </c>
      <c r="FN64">
        <v>120</v>
      </c>
      <c r="FO64">
        <v>120</v>
      </c>
      <c r="FP64">
        <v>120</v>
      </c>
      <c r="FQ64" s="47">
        <v>0</v>
      </c>
      <c r="FR64" s="43"/>
      <c r="FS64" s="42"/>
      <c r="FU64">
        <v>992</v>
      </c>
      <c r="FV64">
        <v>990</v>
      </c>
      <c r="FW64" s="47">
        <v>2</v>
      </c>
      <c r="FX64" s="43"/>
      <c r="FY64" s="42"/>
      <c r="GA64">
        <v>16</v>
      </c>
      <c r="GB64">
        <v>16</v>
      </c>
      <c r="GC64" s="47">
        <v>0</v>
      </c>
      <c r="GD64" s="43"/>
      <c r="GE64" s="40">
        <v>320</v>
      </c>
      <c r="GF64">
        <v>320</v>
      </c>
      <c r="GG64">
        <v>296</v>
      </c>
      <c r="GH64">
        <v>300</v>
      </c>
      <c r="GI64" s="47">
        <v>-4</v>
      </c>
      <c r="GJ64" s="43"/>
      <c r="GK64">
        <v>96</v>
      </c>
      <c r="GL64">
        <v>100</v>
      </c>
      <c r="GM64">
        <v>96</v>
      </c>
      <c r="GN64">
        <v>100</v>
      </c>
      <c r="GO64">
        <v>96</v>
      </c>
      <c r="GP64">
        <v>100</v>
      </c>
      <c r="GQ64" s="47">
        <v>-12</v>
      </c>
      <c r="GR64" s="43"/>
      <c r="GU64">
        <v>296</v>
      </c>
      <c r="GW64">
        <v>300</v>
      </c>
      <c r="GX64" s="47">
        <v>-4</v>
      </c>
      <c r="GY64" s="43"/>
      <c r="GZ64" s="42"/>
      <c r="HC64" s="47">
        <v>0</v>
      </c>
      <c r="HD64" s="43"/>
      <c r="HE64" s="40">
        <v>984</v>
      </c>
      <c r="HG64">
        <v>986</v>
      </c>
      <c r="HH64" s="47">
        <v>-2</v>
      </c>
      <c r="HI64" s="43"/>
      <c r="HN64" s="47">
        <v>0</v>
      </c>
      <c r="HO64" s="43"/>
      <c r="HP64" s="40">
        <v>96</v>
      </c>
      <c r="HR64">
        <v>100</v>
      </c>
      <c r="HS64">
        <v>128</v>
      </c>
      <c r="HT64">
        <v>130</v>
      </c>
      <c r="HU64" s="47">
        <v>-6</v>
      </c>
      <c r="HV64" s="43"/>
      <c r="HW64">
        <v>256</v>
      </c>
      <c r="HX64">
        <v>260</v>
      </c>
      <c r="HY64">
        <v>240</v>
      </c>
      <c r="HZ64">
        <v>240</v>
      </c>
      <c r="IA64" s="47">
        <v>-4</v>
      </c>
      <c r="IB64" s="43"/>
      <c r="IC64" s="40">
        <v>352</v>
      </c>
      <c r="ID64">
        <v>350</v>
      </c>
      <c r="IE64">
        <v>400</v>
      </c>
      <c r="IF64">
        <v>400</v>
      </c>
      <c r="IG64" s="47">
        <v>2</v>
      </c>
      <c r="IH64" s="43"/>
      <c r="IK64">
        <v>48</v>
      </c>
      <c r="IL64">
        <v>50</v>
      </c>
      <c r="IM64" s="47">
        <v>-2</v>
      </c>
      <c r="IN64" s="43"/>
      <c r="IO64" s="42"/>
      <c r="IQ64" s="47">
        <v>0</v>
      </c>
      <c r="IR64" s="43"/>
      <c r="IS64" s="40">
        <v>296</v>
      </c>
      <c r="IT64">
        <v>300</v>
      </c>
      <c r="IU64">
        <v>488</v>
      </c>
      <c r="IV64">
        <v>491</v>
      </c>
      <c r="IW64" s="47">
        <v>-7</v>
      </c>
      <c r="IX64" s="43"/>
      <c r="IY64" s="40">
        <v>296</v>
      </c>
      <c r="IZ64">
        <v>300</v>
      </c>
      <c r="JA64" s="47">
        <v>-4</v>
      </c>
      <c r="JB64" s="43"/>
      <c r="JC64" s="40">
        <v>128</v>
      </c>
      <c r="JD64">
        <v>150</v>
      </c>
      <c r="JE64">
        <v>136</v>
      </c>
      <c r="JF64">
        <v>140</v>
      </c>
      <c r="JG64" s="50">
        <v>-26</v>
      </c>
      <c r="JH64" s="43">
        <v>10.4</v>
      </c>
      <c r="JI64">
        <v>496</v>
      </c>
      <c r="JJ64">
        <v>500</v>
      </c>
      <c r="JK64">
        <v>512</v>
      </c>
      <c r="JL64">
        <v>510</v>
      </c>
      <c r="JO64" s="47">
        <v>-2</v>
      </c>
      <c r="JP64" s="43"/>
      <c r="JQ64" s="42"/>
      <c r="JU64" s="47">
        <v>0</v>
      </c>
      <c r="JV64" s="43"/>
      <c r="JW64">
        <v>248</v>
      </c>
      <c r="JX64">
        <v>250</v>
      </c>
      <c r="JY64">
        <v>448</v>
      </c>
      <c r="JZ64">
        <v>450</v>
      </c>
      <c r="KA64" s="47">
        <v>-4</v>
      </c>
      <c r="KB64" s="45"/>
      <c r="KC64">
        <v>496</v>
      </c>
      <c r="KD64">
        <v>500</v>
      </c>
      <c r="KE64">
        <v>496</v>
      </c>
      <c r="KF64">
        <v>500</v>
      </c>
      <c r="KG64" s="47">
        <v>-8</v>
      </c>
      <c r="KH64" s="45"/>
      <c r="KI64">
        <v>232</v>
      </c>
      <c r="KJ64">
        <v>230</v>
      </c>
      <c r="KM64" s="47">
        <v>2</v>
      </c>
      <c r="KN64" s="45"/>
      <c r="KO64">
        <v>216</v>
      </c>
      <c r="KP64">
        <v>220</v>
      </c>
      <c r="KQ64">
        <v>176</v>
      </c>
      <c r="KR64">
        <v>180</v>
      </c>
      <c r="KS64" s="47">
        <v>-8</v>
      </c>
      <c r="KT64" s="43"/>
      <c r="KU64">
        <v>160</v>
      </c>
      <c r="KV64">
        <v>160</v>
      </c>
      <c r="KW64" s="47">
        <v>0</v>
      </c>
      <c r="KX64" s="45"/>
      <c r="KY64">
        <v>352</v>
      </c>
      <c r="KZ64">
        <v>350</v>
      </c>
      <c r="LA64">
        <v>272</v>
      </c>
      <c r="LB64">
        <v>276</v>
      </c>
      <c r="LC64" s="47">
        <v>-2</v>
      </c>
      <c r="LD64" s="43"/>
      <c r="LE64" s="40">
        <v>296</v>
      </c>
      <c r="LF64" s="44">
        <v>300</v>
      </c>
      <c r="LG64" s="47">
        <v>-4</v>
      </c>
      <c r="LH64" s="45"/>
      <c r="LK64">
        <v>152</v>
      </c>
      <c r="LL64">
        <v>150</v>
      </c>
      <c r="LM64" s="47">
        <v>2</v>
      </c>
      <c r="LN64" s="45"/>
      <c r="LO64">
        <v>400</v>
      </c>
      <c r="LP64">
        <v>400</v>
      </c>
      <c r="LQ64">
        <v>432</v>
      </c>
      <c r="LR64">
        <v>433</v>
      </c>
      <c r="LS64" s="47">
        <v>-1</v>
      </c>
      <c r="LT64" s="45"/>
      <c r="LY64" s="47">
        <v>0</v>
      </c>
      <c r="LZ64" s="45"/>
      <c r="ME64" s="47">
        <v>0</v>
      </c>
      <c r="MF64" s="45"/>
      <c r="MG64" s="40">
        <v>296</v>
      </c>
      <c r="MH64">
        <v>300</v>
      </c>
      <c r="MI64">
        <v>400</v>
      </c>
      <c r="MJ64">
        <v>400</v>
      </c>
      <c r="MK64">
        <v>24</v>
      </c>
      <c r="ML64">
        <v>290</v>
      </c>
      <c r="MM64" s="50">
        <v>-270</v>
      </c>
      <c r="MN64" s="45">
        <v>108</v>
      </c>
      <c r="MO64" s="44">
        <v>96</v>
      </c>
      <c r="MP64" s="44">
        <v>100</v>
      </c>
      <c r="MQ64" s="44">
        <v>96</v>
      </c>
      <c r="MR64" s="44">
        <v>100</v>
      </c>
      <c r="MS64" s="47">
        <v>-8</v>
      </c>
      <c r="MT64" s="45"/>
      <c r="MU64" s="44">
        <v>152</v>
      </c>
      <c r="MV64" s="44">
        <v>150</v>
      </c>
      <c r="MW64" s="44">
        <v>152</v>
      </c>
      <c r="MX64" s="44">
        <v>150</v>
      </c>
      <c r="MY64" s="47">
        <v>4</v>
      </c>
      <c r="MZ64" s="45"/>
      <c r="NA64" s="46">
        <v>352</v>
      </c>
      <c r="NB64" s="44">
        <v>350</v>
      </c>
      <c r="NC64" s="47">
        <v>2</v>
      </c>
      <c r="ND64" s="45"/>
      <c r="NE64" s="46">
        <v>240</v>
      </c>
      <c r="NF64" s="44">
        <v>240</v>
      </c>
      <c r="NG64" s="44">
        <v>200</v>
      </c>
      <c r="NH64" s="44">
        <v>0</v>
      </c>
      <c r="NI64" s="44">
        <v>200</v>
      </c>
      <c r="NJ64" s="47">
        <v>0</v>
      </c>
      <c r="NK64" s="45"/>
      <c r="NL64" s="46">
        <v>0</v>
      </c>
      <c r="NM64" s="44">
        <v>0</v>
      </c>
      <c r="NN64" s="44">
        <v>0</v>
      </c>
      <c r="NO64" s="44">
        <v>0</v>
      </c>
      <c r="NP64" s="47">
        <v>0</v>
      </c>
      <c r="NQ64" s="45"/>
      <c r="NR64" s="46">
        <v>0</v>
      </c>
      <c r="NS64" s="44">
        <v>0</v>
      </c>
      <c r="NT64" s="47">
        <v>0</v>
      </c>
      <c r="NU64" s="45"/>
      <c r="NV64" s="46">
        <v>80</v>
      </c>
      <c r="NW64" s="44">
        <v>80</v>
      </c>
      <c r="NX64" s="44">
        <v>0</v>
      </c>
      <c r="NY64" s="44">
        <v>0</v>
      </c>
      <c r="NZ64" s="47">
        <v>0</v>
      </c>
      <c r="OA64" s="45"/>
      <c r="OB64" s="46">
        <v>696</v>
      </c>
      <c r="OC64" s="44">
        <v>700</v>
      </c>
      <c r="OD64" s="47">
        <v>-4</v>
      </c>
      <c r="OE64" s="45"/>
      <c r="OF64" s="46">
        <v>200</v>
      </c>
      <c r="OG64" s="44">
        <v>200</v>
      </c>
      <c r="OH64" s="44">
        <v>600</v>
      </c>
      <c r="OI64" s="44">
        <v>600</v>
      </c>
      <c r="OJ64" s="47">
        <v>0</v>
      </c>
      <c r="OK64" s="45"/>
      <c r="OL64" s="44">
        <v>0</v>
      </c>
      <c r="OM64" s="43"/>
      <c r="ON64" s="44">
        <v>1496</v>
      </c>
      <c r="OO64" s="44">
        <v>1500</v>
      </c>
      <c r="OP64" s="47">
        <v>-4</v>
      </c>
      <c r="OQ64" s="45"/>
      <c r="OR64" s="46">
        <v>72</v>
      </c>
      <c r="OS64" s="44">
        <v>70</v>
      </c>
      <c r="OT64" s="44">
        <v>248</v>
      </c>
      <c r="OU64" s="44">
        <v>246</v>
      </c>
      <c r="OV64" s="47">
        <v>4</v>
      </c>
      <c r="OW64" s="45"/>
      <c r="OX64" s="46">
        <v>128</v>
      </c>
      <c r="OY64" s="44">
        <v>50</v>
      </c>
      <c r="OZ64" s="44">
        <v>0</v>
      </c>
      <c r="PA64" s="44">
        <v>0</v>
      </c>
      <c r="PB64" s="47">
        <v>78</v>
      </c>
      <c r="PC64" s="45"/>
      <c r="PD64" s="46">
        <v>200</v>
      </c>
      <c r="PE64" s="44">
        <v>200</v>
      </c>
      <c r="PF64" s="44">
        <v>296</v>
      </c>
      <c r="PG64" s="44">
        <v>300</v>
      </c>
      <c r="PH64" s="47">
        <v>-4</v>
      </c>
      <c r="PI64" s="45"/>
      <c r="PJ64" s="25">
        <v>152</v>
      </c>
      <c r="PK64" s="44">
        <v>0</v>
      </c>
      <c r="PL64" s="44">
        <v>48</v>
      </c>
      <c r="PM64" s="44">
        <v>50</v>
      </c>
      <c r="PN64" s="47">
        <v>150</v>
      </c>
      <c r="PO64" s="45"/>
      <c r="PP64" s="46">
        <v>248</v>
      </c>
      <c r="PQ64" s="44">
        <v>250</v>
      </c>
      <c r="PR64" s="44">
        <v>248</v>
      </c>
      <c r="PS64" s="44">
        <v>250</v>
      </c>
      <c r="PT64" s="47">
        <v>-4</v>
      </c>
      <c r="PU64" s="45"/>
      <c r="PV64" s="46">
        <v>400</v>
      </c>
      <c r="PW64" s="44">
        <v>400</v>
      </c>
      <c r="PX64" s="47">
        <v>0</v>
      </c>
      <c r="PY64" s="45"/>
      <c r="PZ64" s="46">
        <v>288</v>
      </c>
      <c r="QA64" s="44">
        <v>287</v>
      </c>
      <c r="QB64" s="47">
        <v>1</v>
      </c>
      <c r="QC64" s="45"/>
      <c r="QD64" s="46">
        <v>0</v>
      </c>
      <c r="QE64" s="44">
        <v>0</v>
      </c>
      <c r="QF64" s="44">
        <v>152</v>
      </c>
      <c r="QG64" s="44">
        <v>156.6</v>
      </c>
      <c r="QH64" s="47">
        <v>-4.6000000000000227</v>
      </c>
      <c r="QI64" s="45"/>
      <c r="QJ64" s="46">
        <v>0</v>
      </c>
      <c r="QK64" s="44">
        <v>0</v>
      </c>
      <c r="QL64" s="47">
        <v>0</v>
      </c>
      <c r="QM64" s="45"/>
      <c r="QN64" s="46">
        <v>200</v>
      </c>
      <c r="QO64" s="44">
        <v>200</v>
      </c>
      <c r="QP64" s="44">
        <v>32</v>
      </c>
      <c r="QQ64" s="44">
        <v>169</v>
      </c>
      <c r="QR64" s="50">
        <v>-137</v>
      </c>
      <c r="QS64" s="45">
        <v>54.8</v>
      </c>
      <c r="QT64" s="46">
        <v>0</v>
      </c>
      <c r="QU64" s="44">
        <v>0</v>
      </c>
      <c r="QV64" s="47">
        <v>0</v>
      </c>
      <c r="QW64" s="45"/>
      <c r="QX64" s="46">
        <v>0</v>
      </c>
      <c r="QY64" s="44">
        <v>0</v>
      </c>
      <c r="QZ64" s="44">
        <v>72</v>
      </c>
      <c r="RA64" s="44">
        <v>107</v>
      </c>
      <c r="RB64" s="50">
        <v>-35</v>
      </c>
      <c r="RC64" s="45">
        <v>14</v>
      </c>
      <c r="RD64" s="42">
        <v>0</v>
      </c>
      <c r="RE64" s="44">
        <v>0</v>
      </c>
      <c r="RF64" s="44">
        <v>248</v>
      </c>
      <c r="RG64" s="44">
        <v>253</v>
      </c>
      <c r="RH64" s="47">
        <v>-5</v>
      </c>
      <c r="RI64" s="45"/>
      <c r="RJ64" s="42">
        <v>0</v>
      </c>
      <c r="RK64" s="47">
        <v>0</v>
      </c>
      <c r="RL64" s="47">
        <v>0</v>
      </c>
      <c r="RM64" s="47">
        <v>0</v>
      </c>
      <c r="RN64" s="47">
        <v>0</v>
      </c>
      <c r="RO64" s="43"/>
      <c r="RP64" s="42">
        <v>216</v>
      </c>
      <c r="RQ64" s="47">
        <v>220</v>
      </c>
      <c r="RR64" s="47">
        <v>-4</v>
      </c>
      <c r="RS64" s="43"/>
      <c r="RT64" s="42">
        <v>0</v>
      </c>
      <c r="RU64" s="47">
        <v>0</v>
      </c>
      <c r="RV64" s="47">
        <v>0</v>
      </c>
      <c r="RW64" s="47">
        <v>0</v>
      </c>
      <c r="RX64" s="47">
        <v>0</v>
      </c>
      <c r="RY64" s="43"/>
      <c r="RZ64" s="42">
        <v>128</v>
      </c>
      <c r="SA64" s="47">
        <v>130</v>
      </c>
      <c r="SB64" s="47">
        <v>168</v>
      </c>
      <c r="SC64" s="47">
        <v>170</v>
      </c>
      <c r="SD64" s="47">
        <v>-4</v>
      </c>
      <c r="SE64" s="43"/>
      <c r="SF64" s="42">
        <v>0</v>
      </c>
      <c r="SG64" s="47">
        <v>0</v>
      </c>
      <c r="SH64" s="47">
        <v>176</v>
      </c>
      <c r="SI64" s="47">
        <v>0</v>
      </c>
      <c r="SJ64" s="47">
        <v>176</v>
      </c>
      <c r="SK64" s="43"/>
      <c r="SL64" s="42">
        <v>152</v>
      </c>
      <c r="SM64" s="47">
        <v>150</v>
      </c>
      <c r="SN64" s="47">
        <v>2</v>
      </c>
      <c r="SO64" s="43"/>
      <c r="SP64" s="42">
        <v>48</v>
      </c>
      <c r="SQ64" s="47">
        <v>50</v>
      </c>
      <c r="SR64" s="47">
        <v>200</v>
      </c>
      <c r="SS64" s="47">
        <v>200</v>
      </c>
      <c r="ST64" s="47">
        <v>-2</v>
      </c>
      <c r="SU64" s="43"/>
    </row>
    <row r="65" spans="1:515" x14ac:dyDescent="0.25">
      <c r="A65" s="47" t="s">
        <v>372</v>
      </c>
      <c r="B65" s="41">
        <v>0.4</v>
      </c>
      <c r="F65">
        <v>400</v>
      </c>
      <c r="G65">
        <v>400</v>
      </c>
      <c r="J65" s="42"/>
      <c r="K65" s="51"/>
      <c r="L65" s="52">
        <v>2000</v>
      </c>
      <c r="M65" s="52">
        <v>2000</v>
      </c>
      <c r="N65" s="51">
        <f t="shared" si="9"/>
        <v>0</v>
      </c>
      <c r="O65" s="43"/>
      <c r="P65" s="46"/>
      <c r="Q65" s="51"/>
      <c r="R65" s="51"/>
      <c r="S65" s="51"/>
      <c r="T65" s="51">
        <f t="shared" si="10"/>
        <v>0</v>
      </c>
      <c r="U65" s="43"/>
      <c r="V65" s="42"/>
      <c r="W65" s="51"/>
      <c r="X65" s="52">
        <v>2296</v>
      </c>
      <c r="Y65" s="52">
        <v>2300</v>
      </c>
      <c r="Z65" s="51">
        <f t="shared" si="11"/>
        <v>-4</v>
      </c>
      <c r="AA65" s="43"/>
      <c r="AB65" s="42"/>
      <c r="AC65" s="51"/>
      <c r="AD65" s="51"/>
      <c r="AE65" s="51"/>
      <c r="AF65" s="51">
        <v>0</v>
      </c>
      <c r="AG65" s="43"/>
      <c r="AH65" s="51"/>
      <c r="AJ65">
        <v>696</v>
      </c>
      <c r="AK65">
        <v>700</v>
      </c>
      <c r="AL65" s="47">
        <v>-4</v>
      </c>
      <c r="AM65" s="43"/>
      <c r="AN65" s="42"/>
      <c r="AP65">
        <v>696</v>
      </c>
      <c r="AQ65">
        <v>700</v>
      </c>
      <c r="AR65" s="47">
        <v>-4</v>
      </c>
      <c r="AS65" s="43"/>
      <c r="AT65">
        <v>600</v>
      </c>
      <c r="AU65">
        <v>600</v>
      </c>
      <c r="AV65">
        <v>424</v>
      </c>
      <c r="AW65">
        <v>430</v>
      </c>
      <c r="AX65" s="47">
        <v>-6</v>
      </c>
      <c r="AY65" s="43"/>
      <c r="AZ65">
        <v>248</v>
      </c>
      <c r="BA65">
        <v>250</v>
      </c>
      <c r="BB65">
        <v>232</v>
      </c>
      <c r="BC65">
        <v>235</v>
      </c>
      <c r="BD65" s="47">
        <v>-5</v>
      </c>
      <c r="BE65" s="43"/>
      <c r="BF65" s="42"/>
      <c r="BJ65" s="47">
        <v>0</v>
      </c>
      <c r="BK65" s="43"/>
      <c r="BL65" s="42"/>
      <c r="BN65">
        <v>496</v>
      </c>
      <c r="BO65">
        <v>500</v>
      </c>
      <c r="BP65" s="47">
        <v>-4</v>
      </c>
      <c r="BQ65" s="43"/>
      <c r="BT65">
        <v>1600</v>
      </c>
      <c r="BU65">
        <v>1600</v>
      </c>
      <c r="BV65" s="47">
        <v>0</v>
      </c>
      <c r="BW65" s="43"/>
      <c r="BX65" s="40">
        <v>248</v>
      </c>
      <c r="BY65">
        <v>250</v>
      </c>
      <c r="BZ65">
        <v>664</v>
      </c>
      <c r="CA65">
        <v>146</v>
      </c>
      <c r="CB65" s="47">
        <v>516</v>
      </c>
      <c r="CC65" s="43"/>
      <c r="CD65">
        <v>552</v>
      </c>
      <c r="CE65">
        <v>550</v>
      </c>
      <c r="CF65">
        <v>600</v>
      </c>
      <c r="CG65">
        <v>605</v>
      </c>
      <c r="CH65" s="47">
        <v>-3</v>
      </c>
      <c r="CI65" s="43"/>
      <c r="CJ65">
        <v>104</v>
      </c>
      <c r="CK65">
        <v>106</v>
      </c>
      <c r="CN65" s="47">
        <v>-2</v>
      </c>
      <c r="CO65" s="43"/>
      <c r="CP65" s="40">
        <v>96</v>
      </c>
      <c r="CQ65">
        <v>100</v>
      </c>
      <c r="CR65">
        <v>144</v>
      </c>
      <c r="CS65">
        <v>148</v>
      </c>
      <c r="CT65" s="47">
        <v>-8</v>
      </c>
      <c r="CU65" s="43"/>
      <c r="CV65" s="40">
        <v>400</v>
      </c>
      <c r="CW65">
        <v>400</v>
      </c>
      <c r="CX65">
        <v>312</v>
      </c>
      <c r="CY65">
        <v>316</v>
      </c>
      <c r="CZ65" s="47">
        <v>-4</v>
      </c>
      <c r="DA65" s="43"/>
      <c r="DB65">
        <v>448</v>
      </c>
      <c r="DC65">
        <v>450</v>
      </c>
      <c r="DE65">
        <v>256</v>
      </c>
      <c r="DF65">
        <v>257</v>
      </c>
      <c r="DG65" s="47">
        <v>-3</v>
      </c>
      <c r="DH65" s="43"/>
      <c r="DI65">
        <v>400</v>
      </c>
      <c r="DJ65">
        <v>400</v>
      </c>
      <c r="DK65" s="47">
        <v>0</v>
      </c>
      <c r="DL65" s="43"/>
      <c r="DM65" s="40">
        <v>768</v>
      </c>
      <c r="DN65">
        <v>767</v>
      </c>
      <c r="DQ65" s="47">
        <v>1</v>
      </c>
      <c r="DR65" s="43"/>
      <c r="DS65">
        <v>160</v>
      </c>
      <c r="DT65">
        <v>160</v>
      </c>
      <c r="DU65">
        <v>152</v>
      </c>
      <c r="DV65">
        <v>152</v>
      </c>
      <c r="DW65" s="47">
        <v>0</v>
      </c>
      <c r="DX65" s="43"/>
      <c r="DY65">
        <v>280</v>
      </c>
      <c r="DZ65">
        <v>280</v>
      </c>
      <c r="EA65">
        <v>160</v>
      </c>
      <c r="EB65">
        <v>163</v>
      </c>
      <c r="EC65" s="47">
        <v>-3</v>
      </c>
      <c r="ED65" s="43"/>
      <c r="EE65" s="40">
        <v>288</v>
      </c>
      <c r="EF65">
        <v>290</v>
      </c>
      <c r="EG65">
        <v>688</v>
      </c>
      <c r="EH65">
        <v>686</v>
      </c>
      <c r="EI65" s="47">
        <v>0</v>
      </c>
      <c r="EJ65" s="43"/>
      <c r="EO65" s="47">
        <v>0</v>
      </c>
      <c r="EP65" s="43"/>
      <c r="EQ65" s="40">
        <v>248</v>
      </c>
      <c r="ER65">
        <v>250</v>
      </c>
      <c r="ES65">
        <v>232</v>
      </c>
      <c r="ET65">
        <v>234</v>
      </c>
      <c r="EU65" s="47">
        <v>-4</v>
      </c>
      <c r="EV65" s="43"/>
      <c r="EW65" s="42"/>
      <c r="EY65">
        <v>296</v>
      </c>
      <c r="EZ65">
        <v>300</v>
      </c>
      <c r="FA65">
        <v>280</v>
      </c>
      <c r="FB65">
        <v>283</v>
      </c>
      <c r="FC65" s="47">
        <v>-7</v>
      </c>
      <c r="FD65" s="43"/>
      <c r="FE65" s="42"/>
      <c r="FG65">
        <v>112</v>
      </c>
      <c r="FH65">
        <v>110</v>
      </c>
      <c r="FI65" s="47">
        <v>2</v>
      </c>
      <c r="FJ65" s="43"/>
      <c r="FK65">
        <v>312</v>
      </c>
      <c r="FL65">
        <v>310</v>
      </c>
      <c r="FM65">
        <v>288</v>
      </c>
      <c r="FN65">
        <v>290</v>
      </c>
      <c r="FO65">
        <v>496</v>
      </c>
      <c r="FP65">
        <v>500</v>
      </c>
      <c r="FQ65" s="47">
        <v>-4</v>
      </c>
      <c r="FR65" s="43"/>
      <c r="FS65" s="42"/>
      <c r="FU65">
        <v>120</v>
      </c>
      <c r="FV65">
        <v>120</v>
      </c>
      <c r="FW65" s="47">
        <v>0</v>
      </c>
      <c r="FX65" s="43"/>
      <c r="FY65" s="40">
        <v>496</v>
      </c>
      <c r="FZ65">
        <v>500</v>
      </c>
      <c r="GA65">
        <v>576</v>
      </c>
      <c r="GB65">
        <v>590</v>
      </c>
      <c r="GC65" s="50">
        <v>-18</v>
      </c>
      <c r="GD65" s="43">
        <v>7.2</v>
      </c>
      <c r="GE65" s="40">
        <v>120</v>
      </c>
      <c r="GF65">
        <v>120</v>
      </c>
      <c r="GG65">
        <v>120</v>
      </c>
      <c r="GH65">
        <v>120</v>
      </c>
      <c r="GI65" s="47">
        <v>0</v>
      </c>
      <c r="GJ65" s="43"/>
      <c r="GK65">
        <v>120</v>
      </c>
      <c r="GL65">
        <v>120</v>
      </c>
      <c r="GM65">
        <v>120</v>
      </c>
      <c r="GN65">
        <v>120</v>
      </c>
      <c r="GO65">
        <v>160</v>
      </c>
      <c r="GP65">
        <v>160</v>
      </c>
      <c r="GQ65" s="47">
        <v>0</v>
      </c>
      <c r="GR65" s="43"/>
      <c r="GU65">
        <v>552</v>
      </c>
      <c r="GW65">
        <v>550</v>
      </c>
      <c r="GX65" s="47">
        <v>2</v>
      </c>
      <c r="GY65" s="43"/>
      <c r="GZ65" s="42"/>
      <c r="HC65" s="47">
        <v>0</v>
      </c>
      <c r="HD65" s="43"/>
      <c r="HE65" s="42"/>
      <c r="HH65" s="47">
        <v>0</v>
      </c>
      <c r="HI65" s="43"/>
      <c r="HJ65">
        <v>1600</v>
      </c>
      <c r="HM65">
        <v>1600</v>
      </c>
      <c r="HN65" s="47">
        <v>0</v>
      </c>
      <c r="HO65" s="43"/>
      <c r="HP65" s="42"/>
      <c r="HU65" s="47">
        <v>0</v>
      </c>
      <c r="HV65" s="43"/>
      <c r="HW65">
        <v>336</v>
      </c>
      <c r="HX65">
        <v>340</v>
      </c>
      <c r="HY65">
        <v>320</v>
      </c>
      <c r="HZ65">
        <v>320</v>
      </c>
      <c r="IA65" s="47">
        <v>-4</v>
      </c>
      <c r="IB65" s="43"/>
      <c r="IC65" s="40">
        <v>248</v>
      </c>
      <c r="ID65">
        <v>250</v>
      </c>
      <c r="IE65">
        <v>248</v>
      </c>
      <c r="IF65">
        <v>250</v>
      </c>
      <c r="IG65" s="47">
        <v>-4</v>
      </c>
      <c r="IH65" s="43"/>
      <c r="II65">
        <v>152</v>
      </c>
      <c r="IJ65">
        <v>150</v>
      </c>
      <c r="IK65">
        <v>232</v>
      </c>
      <c r="IL65">
        <v>230</v>
      </c>
      <c r="IM65" s="47">
        <v>4</v>
      </c>
      <c r="IN65" s="43"/>
      <c r="IO65" s="40">
        <v>320</v>
      </c>
      <c r="IP65" s="44">
        <v>320</v>
      </c>
      <c r="IQ65" s="47">
        <v>0</v>
      </c>
      <c r="IR65" s="43"/>
      <c r="IS65" s="40">
        <v>200</v>
      </c>
      <c r="IT65">
        <v>200</v>
      </c>
      <c r="IU65">
        <v>280</v>
      </c>
      <c r="IV65">
        <v>280</v>
      </c>
      <c r="IW65" s="47">
        <v>0</v>
      </c>
      <c r="IX65" s="43"/>
      <c r="IY65" s="40">
        <v>240</v>
      </c>
      <c r="IZ65">
        <v>240</v>
      </c>
      <c r="JA65" s="47">
        <v>0</v>
      </c>
      <c r="JB65" s="43"/>
      <c r="JC65" s="40">
        <v>352</v>
      </c>
      <c r="JD65">
        <v>350</v>
      </c>
      <c r="JE65">
        <v>352</v>
      </c>
      <c r="JF65">
        <v>350</v>
      </c>
      <c r="JG65" s="47">
        <v>4</v>
      </c>
      <c r="JH65" s="43"/>
      <c r="JM65">
        <v>216</v>
      </c>
      <c r="JN65">
        <v>220</v>
      </c>
      <c r="JO65" s="47">
        <v>-4</v>
      </c>
      <c r="JP65" s="43"/>
      <c r="JQ65" s="40">
        <v>248</v>
      </c>
      <c r="JR65">
        <v>250</v>
      </c>
      <c r="JS65">
        <v>248</v>
      </c>
      <c r="JT65">
        <v>250</v>
      </c>
      <c r="JU65" s="47">
        <v>-4</v>
      </c>
      <c r="JV65" s="43"/>
      <c r="JW65">
        <v>496</v>
      </c>
      <c r="JX65">
        <v>500</v>
      </c>
      <c r="JY65">
        <v>712</v>
      </c>
      <c r="JZ65">
        <v>715</v>
      </c>
      <c r="KA65" s="47">
        <v>-7</v>
      </c>
      <c r="KB65" s="45"/>
      <c r="KE65">
        <v>1096</v>
      </c>
      <c r="KF65">
        <v>1100</v>
      </c>
      <c r="KG65" s="47">
        <v>-4</v>
      </c>
      <c r="KH65" s="45"/>
      <c r="KK65">
        <v>1496</v>
      </c>
      <c r="KL65">
        <v>1500</v>
      </c>
      <c r="KM65" s="47">
        <v>-4</v>
      </c>
      <c r="KN65" s="45"/>
      <c r="KO65">
        <v>136</v>
      </c>
      <c r="KP65">
        <v>140</v>
      </c>
      <c r="KQ65">
        <v>96</v>
      </c>
      <c r="KR65">
        <v>100</v>
      </c>
      <c r="KS65" s="47">
        <v>-8</v>
      </c>
      <c r="KT65" s="43"/>
      <c r="KU65">
        <v>120</v>
      </c>
      <c r="KV65">
        <v>120</v>
      </c>
      <c r="KW65" s="47">
        <v>0</v>
      </c>
      <c r="KX65" s="45"/>
      <c r="KY65">
        <v>160</v>
      </c>
      <c r="KZ65">
        <v>160</v>
      </c>
      <c r="LA65">
        <v>144</v>
      </c>
      <c r="LB65">
        <v>144</v>
      </c>
      <c r="LC65" s="47">
        <v>0</v>
      </c>
      <c r="LD65" s="43"/>
      <c r="LE65" s="40">
        <v>632</v>
      </c>
      <c r="LF65" s="44">
        <v>630</v>
      </c>
      <c r="LG65" s="47">
        <v>2</v>
      </c>
      <c r="LH65" s="45"/>
      <c r="LK65">
        <v>488</v>
      </c>
      <c r="LL65">
        <v>490</v>
      </c>
      <c r="LM65" s="47">
        <v>-2</v>
      </c>
      <c r="LN65" s="45"/>
      <c r="LO65">
        <v>200</v>
      </c>
      <c r="LP65">
        <v>200</v>
      </c>
      <c r="LQ65">
        <v>296</v>
      </c>
      <c r="LR65">
        <v>299</v>
      </c>
      <c r="LS65" s="47">
        <v>-3</v>
      </c>
      <c r="LT65" s="45"/>
      <c r="LU65">
        <v>136</v>
      </c>
      <c r="LV65">
        <v>140</v>
      </c>
      <c r="LW65">
        <v>96</v>
      </c>
      <c r="LX65">
        <v>100</v>
      </c>
      <c r="LY65" s="47">
        <v>-8</v>
      </c>
      <c r="LZ65" s="45"/>
      <c r="ME65" s="47">
        <v>0</v>
      </c>
      <c r="MF65" s="45"/>
      <c r="MG65" s="40">
        <v>296</v>
      </c>
      <c r="MH65">
        <v>300</v>
      </c>
      <c r="MI65">
        <v>400</v>
      </c>
      <c r="MJ65">
        <v>400</v>
      </c>
      <c r="MK65">
        <v>296</v>
      </c>
      <c r="ML65">
        <v>300</v>
      </c>
      <c r="MM65" s="47">
        <v>-8</v>
      </c>
      <c r="MN65" s="45"/>
      <c r="MO65" s="44">
        <v>0</v>
      </c>
      <c r="MP65" s="44">
        <v>0</v>
      </c>
      <c r="MQ65" s="44">
        <v>96</v>
      </c>
      <c r="MR65" s="44">
        <v>100</v>
      </c>
      <c r="MS65" s="47">
        <v>-4</v>
      </c>
      <c r="MT65" s="45"/>
      <c r="MU65" s="44">
        <v>96</v>
      </c>
      <c r="MV65" s="44">
        <v>100</v>
      </c>
      <c r="MW65" s="44">
        <v>96</v>
      </c>
      <c r="MX65" s="44">
        <v>100</v>
      </c>
      <c r="MY65" s="47">
        <v>-8</v>
      </c>
      <c r="MZ65" s="45"/>
      <c r="NA65" s="46">
        <v>616</v>
      </c>
      <c r="NB65" s="44">
        <v>620</v>
      </c>
      <c r="NC65" s="47">
        <v>-4</v>
      </c>
      <c r="ND65" s="45"/>
      <c r="NE65" s="46">
        <v>200</v>
      </c>
      <c r="NF65" s="44">
        <v>200</v>
      </c>
      <c r="NG65" s="44">
        <v>152</v>
      </c>
      <c r="NH65" s="44">
        <v>0</v>
      </c>
      <c r="NI65" s="44">
        <v>154</v>
      </c>
      <c r="NJ65" s="47">
        <v>-2</v>
      </c>
      <c r="NK65" s="45"/>
      <c r="NL65" s="46">
        <v>0</v>
      </c>
      <c r="NM65" s="44">
        <v>0</v>
      </c>
      <c r="NN65" s="44">
        <v>0</v>
      </c>
      <c r="NO65" s="44">
        <v>0</v>
      </c>
      <c r="NP65" s="47">
        <v>0</v>
      </c>
      <c r="NQ65" s="45"/>
      <c r="NR65" s="46">
        <v>0</v>
      </c>
      <c r="NS65" s="44">
        <v>0</v>
      </c>
      <c r="NT65" s="47">
        <v>0</v>
      </c>
      <c r="NU65" s="45"/>
      <c r="NV65" s="46">
        <v>0</v>
      </c>
      <c r="NW65" s="44">
        <v>0</v>
      </c>
      <c r="NX65" s="44">
        <v>0</v>
      </c>
      <c r="NY65" s="44">
        <v>0</v>
      </c>
      <c r="NZ65" s="47">
        <v>0</v>
      </c>
      <c r="OA65" s="45"/>
      <c r="OB65" s="46">
        <v>0</v>
      </c>
      <c r="OC65" s="44">
        <v>0</v>
      </c>
      <c r="OD65" s="47">
        <v>0</v>
      </c>
      <c r="OE65" s="45"/>
      <c r="OF65" s="46">
        <v>800</v>
      </c>
      <c r="OG65" s="44">
        <v>800</v>
      </c>
      <c r="OH65" s="44">
        <v>2800</v>
      </c>
      <c r="OI65" s="44">
        <v>2800</v>
      </c>
      <c r="OJ65" s="47">
        <v>0</v>
      </c>
      <c r="OK65" s="45"/>
      <c r="OL65" s="44">
        <v>0</v>
      </c>
      <c r="OM65" s="43"/>
      <c r="ON65" s="44">
        <v>696</v>
      </c>
      <c r="OO65" s="44">
        <v>700</v>
      </c>
      <c r="OP65" s="47">
        <v>-4</v>
      </c>
      <c r="OQ65" s="45"/>
      <c r="OR65" s="46">
        <v>1344</v>
      </c>
      <c r="OS65" s="44">
        <v>250</v>
      </c>
      <c r="OT65" s="44">
        <v>648</v>
      </c>
      <c r="OU65" s="44">
        <v>650</v>
      </c>
      <c r="OV65" s="47">
        <v>1092</v>
      </c>
      <c r="OW65" s="45"/>
      <c r="OX65" s="46">
        <v>152</v>
      </c>
      <c r="OY65" s="44">
        <v>240</v>
      </c>
      <c r="OZ65" s="44">
        <v>0</v>
      </c>
      <c r="PA65" s="33">
        <v>210</v>
      </c>
      <c r="PB65" s="50">
        <v>-298</v>
      </c>
      <c r="PC65" s="45">
        <v>119.2</v>
      </c>
      <c r="PD65" s="46">
        <v>400</v>
      </c>
      <c r="PE65" s="44">
        <v>400</v>
      </c>
      <c r="PF65" s="44">
        <v>600</v>
      </c>
      <c r="PG65" s="44">
        <v>600</v>
      </c>
      <c r="PH65" s="47">
        <v>0</v>
      </c>
      <c r="PI65" s="45"/>
      <c r="PJ65" s="46">
        <v>0</v>
      </c>
      <c r="PK65" s="33">
        <v>100</v>
      </c>
      <c r="PL65" s="44">
        <v>168</v>
      </c>
      <c r="PM65" s="44">
        <v>170</v>
      </c>
      <c r="PN65" s="50">
        <v>-102</v>
      </c>
      <c r="PO65" s="45">
        <v>40.799999999999997</v>
      </c>
      <c r="PP65" s="46">
        <v>0</v>
      </c>
      <c r="PQ65" s="44">
        <v>0</v>
      </c>
      <c r="PR65" s="44">
        <v>96</v>
      </c>
      <c r="PS65" s="44">
        <v>100</v>
      </c>
      <c r="PT65" s="47">
        <v>-4</v>
      </c>
      <c r="PU65" s="45"/>
      <c r="PV65" s="46">
        <v>400</v>
      </c>
      <c r="PW65" s="44">
        <v>400</v>
      </c>
      <c r="PX65" s="47">
        <v>0</v>
      </c>
      <c r="PY65" s="45"/>
      <c r="PZ65" s="46">
        <v>120</v>
      </c>
      <c r="QA65" s="44">
        <v>120</v>
      </c>
      <c r="QB65" s="47">
        <v>0</v>
      </c>
      <c r="QC65" s="45"/>
      <c r="QD65" s="46">
        <v>0</v>
      </c>
      <c r="QE65" s="44">
        <v>0</v>
      </c>
      <c r="QF65" s="44">
        <v>16</v>
      </c>
      <c r="QG65" s="44">
        <v>15</v>
      </c>
      <c r="QH65" s="47">
        <v>1</v>
      </c>
      <c r="QI65" s="45"/>
      <c r="QJ65" s="46">
        <v>72</v>
      </c>
      <c r="QK65" s="44">
        <v>70</v>
      </c>
      <c r="QL65" s="47">
        <v>2</v>
      </c>
      <c r="QM65" s="45"/>
      <c r="QN65" s="46">
        <v>0</v>
      </c>
      <c r="QO65" s="44">
        <v>0</v>
      </c>
      <c r="QP65" s="44">
        <v>0</v>
      </c>
      <c r="QQ65" s="44">
        <v>0</v>
      </c>
      <c r="QR65" s="47">
        <v>0</v>
      </c>
      <c r="QS65" s="45"/>
      <c r="QT65" s="46">
        <v>0</v>
      </c>
      <c r="QU65" s="44">
        <v>0</v>
      </c>
      <c r="QV65" s="47">
        <v>0</v>
      </c>
      <c r="QW65" s="45"/>
      <c r="QX65" s="46">
        <v>0</v>
      </c>
      <c r="QY65" s="44">
        <v>0</v>
      </c>
      <c r="QZ65" s="44">
        <v>0</v>
      </c>
      <c r="RA65" s="44">
        <v>0</v>
      </c>
      <c r="RB65" s="47">
        <v>0</v>
      </c>
      <c r="RC65" s="45"/>
      <c r="RD65" s="42">
        <v>0</v>
      </c>
      <c r="RE65" s="44">
        <v>0</v>
      </c>
      <c r="RF65" s="44">
        <v>0</v>
      </c>
      <c r="RG65" s="44">
        <v>0</v>
      </c>
      <c r="RH65" s="47">
        <v>0</v>
      </c>
      <c r="RI65" s="45"/>
      <c r="RJ65" s="42">
        <v>0</v>
      </c>
      <c r="RK65" s="47">
        <v>0</v>
      </c>
      <c r="RL65" s="47">
        <v>0</v>
      </c>
      <c r="RM65" s="47">
        <v>0</v>
      </c>
      <c r="RN65" s="47">
        <v>0</v>
      </c>
      <c r="RO65" s="43"/>
      <c r="RP65" s="42">
        <v>48</v>
      </c>
      <c r="RQ65" s="47">
        <v>50</v>
      </c>
      <c r="RR65" s="47">
        <v>-2</v>
      </c>
      <c r="RS65" s="43"/>
      <c r="RT65" s="42">
        <v>0</v>
      </c>
      <c r="RU65" s="47">
        <v>0</v>
      </c>
      <c r="RV65" s="47">
        <v>0</v>
      </c>
      <c r="RW65" s="47">
        <v>0</v>
      </c>
      <c r="RX65" s="47">
        <v>0</v>
      </c>
      <c r="RY65" s="43"/>
      <c r="RZ65" s="42">
        <v>48</v>
      </c>
      <c r="SA65" s="47">
        <v>50</v>
      </c>
      <c r="SB65" s="47">
        <v>0</v>
      </c>
      <c r="SC65" s="47">
        <v>0</v>
      </c>
      <c r="SD65" s="47">
        <v>-2</v>
      </c>
      <c r="SE65" s="43"/>
      <c r="SF65" s="42">
        <v>40</v>
      </c>
      <c r="SG65" s="47">
        <v>44</v>
      </c>
      <c r="SH65" s="47">
        <v>296</v>
      </c>
      <c r="SI65" s="47">
        <v>40</v>
      </c>
      <c r="SJ65" s="47">
        <v>252</v>
      </c>
      <c r="SK65" s="43"/>
      <c r="SL65" s="42">
        <v>72</v>
      </c>
      <c r="SM65" s="47">
        <v>76</v>
      </c>
      <c r="SN65" s="47">
        <v>-4</v>
      </c>
      <c r="SO65" s="43"/>
      <c r="SP65" s="42">
        <v>0</v>
      </c>
      <c r="SQ65" s="47">
        <v>0</v>
      </c>
      <c r="SR65" s="47">
        <v>104</v>
      </c>
      <c r="SS65" s="47">
        <v>102</v>
      </c>
      <c r="ST65" s="47">
        <v>2</v>
      </c>
      <c r="SU65" s="43"/>
    </row>
    <row r="66" spans="1:515" x14ac:dyDescent="0.25">
      <c r="A66" s="44" t="s">
        <v>373</v>
      </c>
      <c r="B66" s="36">
        <v>0.84</v>
      </c>
      <c r="J66" s="42"/>
      <c r="K66" s="51"/>
      <c r="L66" s="51"/>
      <c r="M66" s="51"/>
      <c r="N66" s="51">
        <f t="shared" si="9"/>
        <v>0</v>
      </c>
      <c r="O66" s="43"/>
      <c r="P66" s="46"/>
      <c r="Q66" s="51"/>
      <c r="R66" s="51"/>
      <c r="S66" s="51"/>
      <c r="T66" s="51">
        <f t="shared" si="10"/>
        <v>0</v>
      </c>
      <c r="U66" s="43"/>
      <c r="V66" s="42"/>
      <c r="W66" s="51"/>
      <c r="X66" s="51"/>
      <c r="Y66" s="51"/>
      <c r="Z66" s="51">
        <f t="shared" si="11"/>
        <v>0</v>
      </c>
      <c r="AA66" s="43"/>
      <c r="AB66" s="42"/>
      <c r="AC66" s="51"/>
      <c r="AD66" s="51"/>
      <c r="AE66" s="51"/>
      <c r="AF66" s="51">
        <v>0</v>
      </c>
      <c r="AG66" s="43"/>
      <c r="AH66" s="51"/>
      <c r="AL66" s="47">
        <v>0</v>
      </c>
      <c r="AM66" s="43"/>
      <c r="AN66" s="42"/>
      <c r="AR66" s="47">
        <v>0</v>
      </c>
      <c r="AS66" s="43"/>
      <c r="AX66" s="47">
        <v>0</v>
      </c>
      <c r="AY66" s="43"/>
      <c r="BD66" s="47">
        <v>0</v>
      </c>
      <c r="BE66" s="43"/>
      <c r="BF66" s="42"/>
      <c r="BJ66" s="47">
        <v>0</v>
      </c>
      <c r="BK66" s="43"/>
      <c r="BL66" s="42"/>
      <c r="BP66" s="47">
        <v>0</v>
      </c>
      <c r="BQ66" s="43"/>
      <c r="BV66" s="47">
        <v>0</v>
      </c>
      <c r="BW66" s="43"/>
      <c r="BX66" s="42"/>
      <c r="CB66" s="47">
        <v>0</v>
      </c>
      <c r="CC66" s="43"/>
      <c r="CH66" s="47">
        <v>0</v>
      </c>
      <c r="CI66" s="43"/>
      <c r="CN66" s="47">
        <v>0</v>
      </c>
      <c r="CO66" s="43"/>
      <c r="CP66" s="42"/>
      <c r="CT66" s="47">
        <v>0</v>
      </c>
      <c r="CU66" s="43"/>
      <c r="CV66" s="42"/>
      <c r="CZ66" s="47">
        <v>0</v>
      </c>
      <c r="DA66" s="43"/>
      <c r="DG66" s="47">
        <v>0</v>
      </c>
      <c r="DH66" s="43"/>
      <c r="DK66" s="47">
        <v>0</v>
      </c>
      <c r="DL66" s="43"/>
      <c r="DM66" s="42"/>
      <c r="DQ66" s="47">
        <v>0</v>
      </c>
      <c r="DR66" s="43"/>
      <c r="DW66" s="47">
        <v>0</v>
      </c>
      <c r="DX66" s="43"/>
      <c r="EC66" s="47">
        <v>0</v>
      </c>
      <c r="ED66" s="43"/>
      <c r="EE66" s="42"/>
      <c r="EI66" s="47">
        <v>0</v>
      </c>
      <c r="EJ66" s="43"/>
      <c r="EO66" s="47">
        <v>0</v>
      </c>
      <c r="EP66" s="43"/>
      <c r="EQ66" s="42"/>
      <c r="EU66" s="47">
        <v>0</v>
      </c>
      <c r="EV66" s="43"/>
      <c r="EW66" s="42"/>
      <c r="FC66" s="47">
        <v>0</v>
      </c>
      <c r="FD66" s="43"/>
      <c r="FE66" s="42"/>
      <c r="FI66" s="47">
        <v>0</v>
      </c>
      <c r="FJ66" s="43"/>
      <c r="FQ66" s="47">
        <v>0</v>
      </c>
      <c r="FR66" s="43"/>
      <c r="FS66" s="42"/>
      <c r="FW66" s="47">
        <v>0</v>
      </c>
      <c r="FX66" s="43"/>
      <c r="FY66" s="42"/>
      <c r="GC66" s="47">
        <v>0</v>
      </c>
      <c r="GD66" s="43"/>
      <c r="GE66" s="42"/>
      <c r="GI66" s="47">
        <v>0</v>
      </c>
      <c r="GJ66" s="43"/>
      <c r="GQ66" s="47">
        <v>0</v>
      </c>
      <c r="GR66" s="43"/>
      <c r="GX66" s="47">
        <v>0</v>
      </c>
      <c r="GY66" s="43"/>
      <c r="GZ66" s="42"/>
      <c r="HC66" s="47">
        <v>0</v>
      </c>
      <c r="HD66" s="43"/>
      <c r="HE66" s="42"/>
      <c r="HH66" s="47">
        <v>0</v>
      </c>
      <c r="HI66" s="43"/>
      <c r="HN66" s="47">
        <v>0</v>
      </c>
      <c r="HO66" s="43"/>
      <c r="HP66" s="42"/>
      <c r="HU66" s="47">
        <v>0</v>
      </c>
      <c r="HV66" s="43"/>
      <c r="IA66" s="47">
        <v>0</v>
      </c>
      <c r="IB66" s="43"/>
      <c r="IC66" s="42"/>
      <c r="IG66" s="47">
        <v>0</v>
      </c>
      <c r="IH66" s="43"/>
      <c r="IM66" s="47">
        <v>0</v>
      </c>
      <c r="IN66" s="43"/>
      <c r="IO66" s="42"/>
      <c r="IQ66" s="47">
        <v>0</v>
      </c>
      <c r="IR66" s="43"/>
      <c r="IS66" s="42"/>
      <c r="IW66" s="47">
        <v>0</v>
      </c>
      <c r="IX66" s="43"/>
      <c r="IY66" s="42"/>
      <c r="JA66" s="47">
        <v>0</v>
      </c>
      <c r="JB66" s="43"/>
      <c r="JC66" s="42"/>
      <c r="JG66" s="47">
        <v>0</v>
      </c>
      <c r="JH66" s="43"/>
      <c r="JM66">
        <v>42</v>
      </c>
      <c r="JN66">
        <v>41</v>
      </c>
      <c r="JO66" s="47">
        <v>1</v>
      </c>
      <c r="JP66" s="43"/>
      <c r="JQ66" s="42"/>
      <c r="JU66" s="47">
        <v>0</v>
      </c>
      <c r="JV66" s="43"/>
      <c r="KA66" s="47">
        <v>0</v>
      </c>
      <c r="KB66" s="45"/>
      <c r="KG66" s="47">
        <v>0</v>
      </c>
      <c r="KH66" s="45"/>
      <c r="KM66" s="47">
        <v>0</v>
      </c>
      <c r="KN66" s="45"/>
      <c r="KS66" s="47">
        <v>0</v>
      </c>
      <c r="KT66" s="43"/>
      <c r="KU66">
        <v>18</v>
      </c>
      <c r="KV66" s="47">
        <v>20</v>
      </c>
      <c r="KW66" s="47">
        <v>-2</v>
      </c>
      <c r="KX66" s="45"/>
      <c r="KY66">
        <v>78</v>
      </c>
      <c r="KZ66">
        <v>80</v>
      </c>
      <c r="LC66" s="47">
        <v>-2</v>
      </c>
      <c r="LD66" s="43"/>
      <c r="LE66" s="42"/>
      <c r="LH66" s="45"/>
      <c r="LN66" s="45"/>
      <c r="LT66" s="45"/>
      <c r="LZ66" s="45"/>
      <c r="MF66" s="45"/>
      <c r="MG66" s="40"/>
      <c r="MN66" s="45"/>
      <c r="MT66" s="45"/>
      <c r="MZ66" s="45"/>
      <c r="NA66" s="46"/>
      <c r="ND66" s="45"/>
      <c r="NE66" s="46"/>
      <c r="NK66" s="45"/>
      <c r="NL66" s="46"/>
      <c r="NQ66" s="45"/>
      <c r="NR66" s="46"/>
      <c r="NU66" s="45"/>
      <c r="NV66" s="46"/>
      <c r="OA66" s="45"/>
      <c r="OB66" s="46"/>
      <c r="OE66" s="45"/>
      <c r="OF66" s="46"/>
      <c r="OK66" s="45"/>
      <c r="OM66" s="43"/>
      <c r="OQ66" s="45"/>
      <c r="OR66" s="46"/>
      <c r="OW66" s="45"/>
      <c r="OX66" s="46"/>
      <c r="PC66" s="45"/>
      <c r="PD66" s="46"/>
      <c r="PI66" s="45"/>
      <c r="PJ66" s="46"/>
      <c r="PO66" s="45"/>
      <c r="PP66" s="46"/>
      <c r="PU66" s="45"/>
      <c r="PV66" s="46"/>
      <c r="PY66" s="45"/>
      <c r="PZ66" s="46"/>
      <c r="QC66" s="45"/>
      <c r="QD66" s="46"/>
      <c r="QI66" s="45"/>
      <c r="QJ66" s="46"/>
      <c r="QK66" s="44"/>
      <c r="QM66" s="45"/>
      <c r="QN66" s="46"/>
      <c r="QO66" s="44"/>
      <c r="QP66" s="44"/>
      <c r="QQ66" s="44"/>
      <c r="QS66" s="45"/>
      <c r="QT66" s="46"/>
      <c r="QU66" s="44"/>
      <c r="QW66" s="45"/>
      <c r="QX66" s="46"/>
      <c r="QY66" s="44"/>
      <c r="QZ66" s="44"/>
      <c r="RA66" s="44"/>
      <c r="RC66" s="45"/>
      <c r="RD66" s="42"/>
      <c r="RE66" s="44"/>
      <c r="RF66" s="44"/>
      <c r="RG66" s="44"/>
      <c r="RI66" s="45"/>
      <c r="RJ66" s="42"/>
      <c r="RO66" s="43"/>
      <c r="RP66" s="42"/>
      <c r="RS66" s="43"/>
      <c r="RT66" s="42"/>
      <c r="RY66" s="43"/>
      <c r="RZ66" s="42"/>
      <c r="SE66" s="43"/>
      <c r="SF66" s="42"/>
      <c r="SK66" s="43"/>
      <c r="SL66" s="42"/>
      <c r="SO66" s="43"/>
      <c r="SP66" s="42"/>
      <c r="SU66" s="43"/>
    </row>
    <row r="67" spans="1:515" x14ac:dyDescent="0.25">
      <c r="A67" s="47" t="s">
        <v>374</v>
      </c>
      <c r="B67" s="41">
        <v>0.1</v>
      </c>
      <c r="J67" s="40">
        <v>50</v>
      </c>
      <c r="K67" s="52">
        <v>55</v>
      </c>
      <c r="L67" s="52">
        <v>40</v>
      </c>
      <c r="M67" s="52">
        <v>45</v>
      </c>
      <c r="N67" s="51">
        <f t="shared" si="9"/>
        <v>-10</v>
      </c>
      <c r="O67" s="43"/>
      <c r="P67" s="46"/>
      <c r="Q67" s="51"/>
      <c r="R67" s="51"/>
      <c r="S67" s="51"/>
      <c r="T67" s="51">
        <f t="shared" si="10"/>
        <v>0</v>
      </c>
      <c r="U67" s="43"/>
      <c r="V67" s="42"/>
      <c r="W67" s="52">
        <v>30</v>
      </c>
      <c r="X67" s="52">
        <v>30</v>
      </c>
      <c r="Y67" s="52">
        <v>36</v>
      </c>
      <c r="Z67" s="57">
        <f t="shared" si="11"/>
        <v>-36</v>
      </c>
      <c r="AA67" s="43">
        <f>-1*Z67*B67</f>
        <v>3.6</v>
      </c>
      <c r="AB67" s="42"/>
      <c r="AC67" s="51"/>
      <c r="AD67" s="52">
        <v>30</v>
      </c>
      <c r="AE67" s="56">
        <v>30</v>
      </c>
      <c r="AF67" s="51">
        <v>0</v>
      </c>
      <c r="AG67" s="43"/>
      <c r="AH67" s="51"/>
      <c r="AL67" s="47">
        <v>0</v>
      </c>
      <c r="AM67" s="43"/>
      <c r="AN67" s="40">
        <v>20</v>
      </c>
      <c r="AO67">
        <v>22</v>
      </c>
      <c r="AR67" s="47">
        <v>-2</v>
      </c>
      <c r="AS67" s="43"/>
      <c r="AT67">
        <v>20</v>
      </c>
      <c r="AU67">
        <v>20</v>
      </c>
      <c r="AX67" s="47">
        <v>0</v>
      </c>
      <c r="AY67" s="43"/>
      <c r="AZ67">
        <v>30</v>
      </c>
      <c r="BA67">
        <v>30</v>
      </c>
      <c r="BB67">
        <v>50</v>
      </c>
      <c r="BC67">
        <v>50</v>
      </c>
      <c r="BD67" s="47">
        <v>0</v>
      </c>
      <c r="BE67" s="43"/>
      <c r="BF67" s="42"/>
      <c r="BJ67" s="47">
        <v>0</v>
      </c>
      <c r="BK67" s="43"/>
      <c r="BL67" s="42"/>
      <c r="BP67" s="47">
        <v>0</v>
      </c>
      <c r="BQ67" s="43"/>
      <c r="BV67" s="47">
        <v>0</v>
      </c>
      <c r="BW67" s="43"/>
      <c r="BX67" s="42"/>
      <c r="CB67" s="47">
        <v>0</v>
      </c>
      <c r="CC67" s="43"/>
      <c r="CD67">
        <v>60</v>
      </c>
      <c r="CE67">
        <v>60</v>
      </c>
      <c r="CF67">
        <v>40</v>
      </c>
      <c r="CG67">
        <v>40</v>
      </c>
      <c r="CH67" s="47">
        <v>0</v>
      </c>
      <c r="CI67" s="43"/>
      <c r="CN67" s="47">
        <v>0</v>
      </c>
      <c r="CO67" s="43"/>
      <c r="CP67" s="42"/>
      <c r="CR67">
        <v>20</v>
      </c>
      <c r="CS67">
        <v>20</v>
      </c>
      <c r="CT67" s="47">
        <v>0</v>
      </c>
      <c r="CU67" s="43"/>
      <c r="CV67" s="42"/>
      <c r="CZ67" s="47">
        <v>0</v>
      </c>
      <c r="DA67" s="43"/>
      <c r="DG67" s="47">
        <v>0</v>
      </c>
      <c r="DH67" s="43"/>
      <c r="DK67" s="47">
        <v>0</v>
      </c>
      <c r="DL67" s="43"/>
      <c r="DM67" s="40">
        <v>10</v>
      </c>
      <c r="DN67">
        <v>6</v>
      </c>
      <c r="DQ67" s="47">
        <v>4</v>
      </c>
      <c r="DR67" s="43"/>
      <c r="DW67" s="47">
        <v>0</v>
      </c>
      <c r="DX67" s="43"/>
      <c r="EC67" s="47">
        <v>0</v>
      </c>
      <c r="ED67" s="43"/>
      <c r="EE67" s="42"/>
      <c r="EG67">
        <v>110</v>
      </c>
      <c r="EH67">
        <v>110</v>
      </c>
      <c r="EI67" s="47">
        <v>0</v>
      </c>
      <c r="EJ67" s="43"/>
      <c r="EO67" s="47">
        <v>0</v>
      </c>
      <c r="EP67" s="43"/>
      <c r="EQ67" s="42"/>
      <c r="EU67" s="47">
        <v>0</v>
      </c>
      <c r="EV67" s="43"/>
      <c r="EW67" s="42"/>
      <c r="FA67">
        <v>30</v>
      </c>
      <c r="FB67">
        <v>30</v>
      </c>
      <c r="FC67" s="47">
        <v>0</v>
      </c>
      <c r="FD67" s="43"/>
      <c r="FE67" s="42"/>
      <c r="FI67" s="47">
        <v>0</v>
      </c>
      <c r="FJ67" s="43"/>
      <c r="FQ67" s="47">
        <v>0</v>
      </c>
      <c r="FR67" s="43"/>
      <c r="FS67" s="42"/>
      <c r="FU67">
        <v>240</v>
      </c>
      <c r="FV67">
        <v>240</v>
      </c>
      <c r="FW67" s="47">
        <v>0</v>
      </c>
      <c r="FX67" s="43"/>
      <c r="FY67" s="42"/>
      <c r="GC67" s="47">
        <v>0</v>
      </c>
      <c r="GD67" s="43"/>
      <c r="GE67" s="42"/>
      <c r="GI67" s="47">
        <v>0</v>
      </c>
      <c r="GJ67" s="43"/>
      <c r="GQ67" s="47">
        <v>0</v>
      </c>
      <c r="GR67" s="43"/>
      <c r="GS67">
        <v>400</v>
      </c>
      <c r="GT67">
        <v>400</v>
      </c>
      <c r="GU67">
        <v>300</v>
      </c>
      <c r="GW67">
        <v>300</v>
      </c>
      <c r="GX67" s="47">
        <v>0</v>
      </c>
      <c r="GY67" s="43"/>
      <c r="GZ67" s="40">
        <v>100</v>
      </c>
      <c r="HB67" s="44">
        <v>100</v>
      </c>
      <c r="HC67" s="47">
        <v>0</v>
      </c>
      <c r="HD67" s="43"/>
      <c r="HE67" s="42"/>
      <c r="HH67" s="47">
        <v>0</v>
      </c>
      <c r="HI67" s="43"/>
      <c r="HN67" s="47">
        <v>0</v>
      </c>
      <c r="HO67" s="43"/>
      <c r="HP67" s="42"/>
      <c r="HU67" s="47">
        <v>0</v>
      </c>
      <c r="HV67" s="43"/>
      <c r="IA67" s="47">
        <v>0</v>
      </c>
      <c r="IB67" s="43"/>
      <c r="IC67" s="42"/>
      <c r="IG67" s="47">
        <v>0</v>
      </c>
      <c r="IH67" s="43"/>
      <c r="IM67" s="47">
        <v>0</v>
      </c>
      <c r="IN67" s="43"/>
      <c r="IO67" s="42"/>
      <c r="IQ67" s="47">
        <v>0</v>
      </c>
      <c r="IR67" s="43"/>
      <c r="IS67" s="42"/>
      <c r="IU67">
        <v>2500</v>
      </c>
      <c r="IV67">
        <v>2500</v>
      </c>
      <c r="IW67" s="47">
        <v>0</v>
      </c>
      <c r="IX67" s="43"/>
      <c r="IY67" s="42"/>
      <c r="JA67" s="47">
        <v>0</v>
      </c>
      <c r="JB67" s="43"/>
      <c r="JC67" s="42"/>
      <c r="JG67" s="47">
        <v>0</v>
      </c>
      <c r="JH67" s="43"/>
      <c r="JO67" s="47">
        <v>0</v>
      </c>
      <c r="JP67" s="43"/>
      <c r="JQ67" s="40">
        <v>170</v>
      </c>
      <c r="JR67">
        <v>170</v>
      </c>
      <c r="JS67">
        <v>170</v>
      </c>
      <c r="JT67">
        <v>170</v>
      </c>
      <c r="JU67" s="47">
        <v>0</v>
      </c>
      <c r="JV67" s="43"/>
      <c r="JW67">
        <v>250</v>
      </c>
      <c r="JX67">
        <v>250</v>
      </c>
      <c r="JY67">
        <v>310</v>
      </c>
      <c r="JZ67">
        <v>315</v>
      </c>
      <c r="KA67" s="47">
        <v>-5</v>
      </c>
      <c r="KB67" s="45"/>
      <c r="KE67">
        <v>200</v>
      </c>
      <c r="KF67">
        <v>200</v>
      </c>
      <c r="KG67" s="47">
        <v>0</v>
      </c>
      <c r="KH67" s="45"/>
      <c r="KK67">
        <v>800</v>
      </c>
      <c r="KL67">
        <v>800</v>
      </c>
      <c r="KM67" s="47">
        <v>0</v>
      </c>
      <c r="KN67" s="45"/>
      <c r="KO67">
        <v>110</v>
      </c>
      <c r="KP67">
        <v>110</v>
      </c>
      <c r="KQ67">
        <v>100</v>
      </c>
      <c r="KR67">
        <v>100</v>
      </c>
      <c r="KS67" s="47">
        <v>0</v>
      </c>
      <c r="KT67" s="43"/>
      <c r="KU67">
        <v>50</v>
      </c>
      <c r="KV67">
        <v>50</v>
      </c>
      <c r="KW67" s="47">
        <v>0</v>
      </c>
      <c r="KX67" s="45"/>
      <c r="KY67">
        <v>250</v>
      </c>
      <c r="KZ67">
        <v>250</v>
      </c>
      <c r="LA67">
        <v>180</v>
      </c>
      <c r="LB67">
        <v>184</v>
      </c>
      <c r="LC67" s="47">
        <v>-4</v>
      </c>
      <c r="LD67" s="43"/>
      <c r="LE67" s="40">
        <v>320</v>
      </c>
      <c r="LF67" s="44">
        <v>320</v>
      </c>
      <c r="LG67" s="47">
        <v>0</v>
      </c>
      <c r="LH67" s="45"/>
      <c r="LL67">
        <v>50</v>
      </c>
      <c r="LM67" s="50">
        <v>-50</v>
      </c>
      <c r="LN67" s="45">
        <v>5</v>
      </c>
      <c r="LP67">
        <v>20</v>
      </c>
      <c r="LS67" s="50">
        <v>-20</v>
      </c>
      <c r="LT67" s="45">
        <v>2</v>
      </c>
      <c r="LY67" s="47">
        <v>0</v>
      </c>
      <c r="LZ67" s="45"/>
      <c r="MC67">
        <v>460</v>
      </c>
      <c r="MD67">
        <v>460</v>
      </c>
      <c r="ME67" s="47">
        <v>0</v>
      </c>
      <c r="MF67" s="45"/>
      <c r="MG67" s="40">
        <v>130</v>
      </c>
      <c r="MH67">
        <v>130</v>
      </c>
      <c r="MI67">
        <v>200</v>
      </c>
      <c r="MJ67">
        <v>200</v>
      </c>
      <c r="MK67">
        <v>130</v>
      </c>
      <c r="ML67">
        <v>130</v>
      </c>
      <c r="MM67" s="47">
        <v>0</v>
      </c>
      <c r="MN67" s="45"/>
      <c r="MO67" s="44">
        <v>70</v>
      </c>
      <c r="MP67" s="44">
        <v>70</v>
      </c>
      <c r="MQ67" s="44">
        <v>100</v>
      </c>
      <c r="MR67" s="44">
        <v>100</v>
      </c>
      <c r="MS67" s="47">
        <v>0</v>
      </c>
      <c r="MT67" s="45"/>
      <c r="MU67" s="44">
        <v>0</v>
      </c>
      <c r="MV67" s="44">
        <v>0</v>
      </c>
      <c r="MW67" s="44">
        <v>30</v>
      </c>
      <c r="MX67" s="44">
        <v>30</v>
      </c>
      <c r="MY67" s="47">
        <v>0</v>
      </c>
      <c r="MZ67" s="45"/>
      <c r="NA67" s="46">
        <v>220</v>
      </c>
      <c r="NB67" s="44">
        <v>220</v>
      </c>
      <c r="NC67" s="47">
        <v>0</v>
      </c>
      <c r="ND67" s="45"/>
      <c r="NE67" s="46">
        <v>300</v>
      </c>
      <c r="NF67" s="44">
        <v>300</v>
      </c>
      <c r="NG67" s="44">
        <v>190</v>
      </c>
      <c r="NH67" s="44">
        <v>0</v>
      </c>
      <c r="NI67" s="44">
        <v>190</v>
      </c>
      <c r="NJ67" s="47">
        <v>0</v>
      </c>
      <c r="NK67" s="45"/>
      <c r="NL67" s="46">
        <v>60</v>
      </c>
      <c r="NM67" s="44">
        <v>60</v>
      </c>
      <c r="NN67" s="44">
        <v>60</v>
      </c>
      <c r="NO67" s="44">
        <v>60</v>
      </c>
      <c r="NP67" s="47">
        <v>0</v>
      </c>
      <c r="NQ67" s="45"/>
      <c r="NR67" s="46">
        <v>50</v>
      </c>
      <c r="NS67" s="44">
        <v>50</v>
      </c>
      <c r="NT67" s="47">
        <v>0</v>
      </c>
      <c r="NU67" s="45"/>
      <c r="NV67" s="46">
        <v>0</v>
      </c>
      <c r="NW67" s="44">
        <v>0</v>
      </c>
      <c r="NX67" s="44">
        <v>0</v>
      </c>
      <c r="NY67" s="44">
        <v>0</v>
      </c>
      <c r="NZ67" s="47">
        <v>0</v>
      </c>
      <c r="OA67" s="45"/>
      <c r="OB67" s="46">
        <v>0</v>
      </c>
      <c r="OC67" s="44">
        <v>0</v>
      </c>
      <c r="OD67" s="47">
        <v>0</v>
      </c>
      <c r="OE67" s="45"/>
      <c r="OF67" s="46">
        <v>150</v>
      </c>
      <c r="OG67" s="44">
        <v>150</v>
      </c>
      <c r="OH67" s="44">
        <v>340</v>
      </c>
      <c r="OI67" s="44">
        <v>346</v>
      </c>
      <c r="OJ67" s="47">
        <v>-6</v>
      </c>
      <c r="OK67" s="45"/>
      <c r="OL67" s="44">
        <v>0</v>
      </c>
      <c r="OM67" s="43"/>
      <c r="ON67" s="44">
        <v>950</v>
      </c>
      <c r="OO67" s="44">
        <v>950</v>
      </c>
      <c r="OP67" s="47">
        <v>0</v>
      </c>
      <c r="OQ67" s="45"/>
      <c r="OR67" s="46">
        <v>200</v>
      </c>
      <c r="OS67" s="44">
        <v>200</v>
      </c>
      <c r="OT67" s="44">
        <v>400</v>
      </c>
      <c r="OU67" s="44">
        <v>400</v>
      </c>
      <c r="OV67" s="47">
        <v>0</v>
      </c>
      <c r="OW67" s="45"/>
      <c r="OX67" s="46">
        <v>0</v>
      </c>
      <c r="OY67" s="44">
        <v>0</v>
      </c>
      <c r="OZ67" s="44">
        <v>0</v>
      </c>
      <c r="PA67" s="44">
        <v>0</v>
      </c>
      <c r="PB67" s="47">
        <v>0</v>
      </c>
      <c r="PC67" s="45"/>
      <c r="PD67" s="46">
        <v>400</v>
      </c>
      <c r="PE67" s="44">
        <v>400</v>
      </c>
      <c r="PF67" s="44">
        <v>600</v>
      </c>
      <c r="PG67" s="44">
        <v>600</v>
      </c>
      <c r="PH67" s="47">
        <v>0</v>
      </c>
      <c r="PI67" s="45"/>
      <c r="PJ67" s="46">
        <v>50</v>
      </c>
      <c r="PK67" s="44">
        <v>90</v>
      </c>
      <c r="PL67" s="44">
        <v>140</v>
      </c>
      <c r="PM67" s="44">
        <v>140</v>
      </c>
      <c r="PN67" s="50">
        <v>-40</v>
      </c>
      <c r="PO67" s="45">
        <v>4</v>
      </c>
      <c r="PP67" s="46">
        <v>0</v>
      </c>
      <c r="PQ67" s="44">
        <v>0</v>
      </c>
      <c r="PR67" s="44">
        <v>190</v>
      </c>
      <c r="PS67" s="44">
        <v>190</v>
      </c>
      <c r="PT67" s="47">
        <v>0</v>
      </c>
      <c r="PU67" s="45"/>
      <c r="PV67" s="46">
        <v>590</v>
      </c>
      <c r="PW67" s="44">
        <v>600</v>
      </c>
      <c r="PX67" s="47">
        <v>-10</v>
      </c>
      <c r="PY67" s="45"/>
      <c r="PZ67" s="46">
        <v>230</v>
      </c>
      <c r="QA67" s="44">
        <v>234</v>
      </c>
      <c r="QB67" s="47">
        <v>-4</v>
      </c>
      <c r="QC67" s="45"/>
      <c r="QD67" s="46">
        <v>0</v>
      </c>
      <c r="QE67" s="44">
        <v>0</v>
      </c>
      <c r="QF67" s="44">
        <v>0</v>
      </c>
      <c r="QG67" s="44">
        <v>0</v>
      </c>
      <c r="QH67" s="47">
        <v>0</v>
      </c>
      <c r="QI67" s="45"/>
      <c r="QJ67" s="46">
        <v>190</v>
      </c>
      <c r="QK67" s="44">
        <v>200</v>
      </c>
      <c r="QL67" s="47">
        <v>-10</v>
      </c>
      <c r="QM67" s="45"/>
      <c r="QN67" s="46">
        <v>130</v>
      </c>
      <c r="QO67" s="44">
        <v>130</v>
      </c>
      <c r="QP67" s="44">
        <v>100</v>
      </c>
      <c r="QQ67" s="44">
        <v>100</v>
      </c>
      <c r="QR67" s="47">
        <v>0</v>
      </c>
      <c r="QS67" s="45"/>
      <c r="QT67" s="46">
        <v>110</v>
      </c>
      <c r="QU67" s="44">
        <v>114</v>
      </c>
      <c r="QV67" s="47">
        <v>-4</v>
      </c>
      <c r="QW67" s="45"/>
      <c r="QX67" s="46">
        <v>0</v>
      </c>
      <c r="QY67" s="44">
        <v>0</v>
      </c>
      <c r="QZ67" s="44">
        <v>0</v>
      </c>
      <c r="RA67" s="44">
        <v>0</v>
      </c>
      <c r="RB67" s="47">
        <v>0</v>
      </c>
      <c r="RC67" s="45"/>
      <c r="RD67" s="42">
        <v>0</v>
      </c>
      <c r="RE67" s="44">
        <v>0</v>
      </c>
      <c r="RF67" s="44">
        <v>130</v>
      </c>
      <c r="RG67" s="44">
        <v>134</v>
      </c>
      <c r="RH67" s="47">
        <v>-4</v>
      </c>
      <c r="RI67" s="45"/>
      <c r="RJ67" s="42">
        <v>100</v>
      </c>
      <c r="RK67" s="47">
        <v>100</v>
      </c>
      <c r="RL67" s="47">
        <v>140</v>
      </c>
      <c r="RM67" s="47">
        <v>150</v>
      </c>
      <c r="RN67" s="47">
        <v>-10</v>
      </c>
      <c r="RO67" s="43"/>
      <c r="RP67" s="42">
        <v>90</v>
      </c>
      <c r="RQ67" s="47">
        <v>92</v>
      </c>
      <c r="RR67" s="47">
        <v>-2</v>
      </c>
      <c r="RS67" s="43"/>
      <c r="RT67" s="42">
        <v>0</v>
      </c>
      <c r="RU67" s="47">
        <v>0</v>
      </c>
      <c r="RV67" s="47">
        <v>0</v>
      </c>
      <c r="RW67" s="47">
        <v>0</v>
      </c>
      <c r="RX67" s="47">
        <v>0</v>
      </c>
      <c r="RY67" s="43"/>
      <c r="RZ67" s="42">
        <v>150</v>
      </c>
      <c r="SA67" s="47">
        <v>150</v>
      </c>
      <c r="SB67" s="47">
        <v>200</v>
      </c>
      <c r="SC67" s="47">
        <v>200</v>
      </c>
      <c r="SD67" s="47">
        <v>0</v>
      </c>
      <c r="SE67" s="43"/>
      <c r="SF67" s="42">
        <v>60</v>
      </c>
      <c r="SG67" s="47">
        <v>63</v>
      </c>
      <c r="SH67" s="47">
        <v>0</v>
      </c>
      <c r="SI67" s="47">
        <v>60</v>
      </c>
      <c r="SJ67" s="50">
        <v>-63</v>
      </c>
      <c r="SK67" s="43">
        <v>6.3000000000000007</v>
      </c>
      <c r="SL67" s="42">
        <v>0</v>
      </c>
      <c r="SM67" s="47">
        <v>255</v>
      </c>
      <c r="SN67" s="50">
        <v>-255</v>
      </c>
      <c r="SO67" s="43">
        <v>25.5</v>
      </c>
      <c r="SP67" s="42">
        <v>0</v>
      </c>
      <c r="SQ67" s="47">
        <v>0</v>
      </c>
      <c r="SR67" s="47">
        <v>320</v>
      </c>
      <c r="SS67" s="47">
        <v>331</v>
      </c>
      <c r="ST67" s="47">
        <v>-11</v>
      </c>
      <c r="SU67" s="43"/>
    </row>
    <row r="68" spans="1:515" x14ac:dyDescent="0.25">
      <c r="A68" s="47" t="s">
        <v>375</v>
      </c>
      <c r="B68" s="41">
        <v>0.1</v>
      </c>
      <c r="E68">
        <v>90</v>
      </c>
      <c r="F68">
        <v>98</v>
      </c>
      <c r="G68">
        <v>110</v>
      </c>
      <c r="J68" s="40">
        <v>266</v>
      </c>
      <c r="K68" s="52">
        <v>279</v>
      </c>
      <c r="L68" s="52">
        <v>224</v>
      </c>
      <c r="M68" s="52">
        <v>228</v>
      </c>
      <c r="N68" s="51">
        <f t="shared" ref="N68:N131" si="12">J68+L68-K68-M68</f>
        <v>-17</v>
      </c>
      <c r="O68" s="43"/>
      <c r="P68" s="40">
        <v>154</v>
      </c>
      <c r="Q68" s="52">
        <v>159</v>
      </c>
      <c r="R68" s="52">
        <v>126</v>
      </c>
      <c r="S68" s="52">
        <v>137</v>
      </c>
      <c r="T68" s="51">
        <f t="shared" ref="T68:T131" si="13">P68+R68-Q68-S68</f>
        <v>-16</v>
      </c>
      <c r="U68" s="43"/>
      <c r="V68" s="40">
        <v>84</v>
      </c>
      <c r="W68" s="52">
        <v>87</v>
      </c>
      <c r="X68" s="52">
        <v>42</v>
      </c>
      <c r="Y68" s="52">
        <v>44</v>
      </c>
      <c r="Z68" s="51">
        <f t="shared" ref="Z68:Z131" si="14">V68+X68-W68-Y68</f>
        <v>-5</v>
      </c>
      <c r="AA68" s="43"/>
      <c r="AB68" s="40">
        <v>98</v>
      </c>
      <c r="AC68" s="56">
        <v>103.04347826086961</v>
      </c>
      <c r="AD68" s="52">
        <v>126</v>
      </c>
      <c r="AE68" s="56">
        <v>133.95652173913041</v>
      </c>
      <c r="AF68" s="51">
        <v>-13.000000000000011</v>
      </c>
      <c r="AG68" s="43"/>
      <c r="AH68" s="51"/>
      <c r="AJ68">
        <v>42</v>
      </c>
      <c r="AK68">
        <v>42</v>
      </c>
      <c r="AL68" s="47">
        <v>0</v>
      </c>
      <c r="AM68" s="43"/>
      <c r="AN68" s="42"/>
      <c r="AP68">
        <v>308</v>
      </c>
      <c r="AQ68">
        <v>308</v>
      </c>
      <c r="AR68" s="47">
        <v>0</v>
      </c>
      <c r="AS68" s="43"/>
      <c r="AT68">
        <v>98</v>
      </c>
      <c r="AU68">
        <v>100</v>
      </c>
      <c r="AV68">
        <v>126</v>
      </c>
      <c r="AW68">
        <v>126</v>
      </c>
      <c r="AX68" s="47">
        <v>-2</v>
      </c>
      <c r="AY68" s="43"/>
      <c r="AZ68">
        <v>112</v>
      </c>
      <c r="BA68">
        <v>120</v>
      </c>
      <c r="BB68">
        <v>140</v>
      </c>
      <c r="BC68">
        <v>144</v>
      </c>
      <c r="BD68" s="47">
        <v>-12</v>
      </c>
      <c r="BE68" s="43"/>
      <c r="BF68" s="42"/>
      <c r="BH68">
        <v>14</v>
      </c>
      <c r="BI68">
        <v>14</v>
      </c>
      <c r="BJ68" s="47">
        <v>0</v>
      </c>
      <c r="BK68" s="43"/>
      <c r="BL68" s="40">
        <v>140</v>
      </c>
      <c r="BM68">
        <v>140</v>
      </c>
      <c r="BN68">
        <v>140</v>
      </c>
      <c r="BO68">
        <v>149</v>
      </c>
      <c r="BP68" s="47">
        <v>-9</v>
      </c>
      <c r="BQ68" s="43"/>
      <c r="BR68">
        <v>140</v>
      </c>
      <c r="BS68">
        <v>150</v>
      </c>
      <c r="BT68">
        <v>210</v>
      </c>
      <c r="BU68">
        <v>212</v>
      </c>
      <c r="BV68" s="47">
        <v>-12</v>
      </c>
      <c r="BW68" s="43"/>
      <c r="BX68" s="40">
        <v>56</v>
      </c>
      <c r="BY68">
        <v>56</v>
      </c>
      <c r="BZ68">
        <v>98</v>
      </c>
      <c r="CA68">
        <v>101</v>
      </c>
      <c r="CB68" s="47">
        <v>-3</v>
      </c>
      <c r="CC68" s="43"/>
      <c r="CE68">
        <v>70</v>
      </c>
      <c r="CF68">
        <v>56</v>
      </c>
      <c r="CG68">
        <v>88</v>
      </c>
      <c r="CH68" s="50">
        <v>-102</v>
      </c>
      <c r="CI68" s="43">
        <v>10.199999999999999</v>
      </c>
      <c r="CJ68">
        <v>182</v>
      </c>
      <c r="CK68">
        <v>182</v>
      </c>
      <c r="CL68">
        <v>182</v>
      </c>
      <c r="CM68">
        <v>193</v>
      </c>
      <c r="CN68" s="47">
        <v>-11</v>
      </c>
      <c r="CO68" s="43"/>
      <c r="CP68" s="42"/>
      <c r="CT68" s="47">
        <v>0</v>
      </c>
      <c r="CU68" s="43"/>
      <c r="CV68" s="40">
        <v>84</v>
      </c>
      <c r="CW68">
        <v>95</v>
      </c>
      <c r="CZ68" s="47">
        <v>-11</v>
      </c>
      <c r="DA68" s="43"/>
      <c r="DB68">
        <v>196</v>
      </c>
      <c r="DC68">
        <v>200</v>
      </c>
      <c r="DE68">
        <v>238</v>
      </c>
      <c r="DF68">
        <v>248</v>
      </c>
      <c r="DG68" s="47">
        <v>-14</v>
      </c>
      <c r="DH68" s="43"/>
      <c r="DK68" s="47">
        <v>0</v>
      </c>
      <c r="DL68" s="43"/>
      <c r="DM68" s="42"/>
      <c r="DQ68" s="47">
        <v>0</v>
      </c>
      <c r="DR68" s="43"/>
      <c r="DS68">
        <v>140</v>
      </c>
      <c r="DT68">
        <v>150</v>
      </c>
      <c r="DU68">
        <v>224</v>
      </c>
      <c r="DV68">
        <v>233</v>
      </c>
      <c r="DW68" s="50">
        <v>-19</v>
      </c>
      <c r="DX68" s="43">
        <v>1.9</v>
      </c>
      <c r="EA68">
        <v>70</v>
      </c>
      <c r="EB68">
        <v>73</v>
      </c>
      <c r="EC68" s="47">
        <v>-3</v>
      </c>
      <c r="ED68" s="43"/>
      <c r="EE68" s="42"/>
      <c r="EG68">
        <v>126</v>
      </c>
      <c r="EH68">
        <v>134</v>
      </c>
      <c r="EI68" s="47">
        <v>-8</v>
      </c>
      <c r="EJ68" s="43"/>
      <c r="EO68" s="47">
        <v>0</v>
      </c>
      <c r="EP68" s="43"/>
      <c r="EQ68" s="42"/>
      <c r="EU68" s="47">
        <v>0</v>
      </c>
      <c r="EV68" s="43"/>
      <c r="EW68" s="42"/>
      <c r="EY68">
        <v>392</v>
      </c>
      <c r="EZ68">
        <v>400</v>
      </c>
      <c r="FA68">
        <v>266</v>
      </c>
      <c r="FB68">
        <v>268</v>
      </c>
      <c r="FC68" s="47">
        <v>-10</v>
      </c>
      <c r="FD68" s="43"/>
      <c r="FE68" s="40">
        <v>140</v>
      </c>
      <c r="FF68">
        <v>140</v>
      </c>
      <c r="FG68">
        <v>168</v>
      </c>
      <c r="FH68">
        <v>170</v>
      </c>
      <c r="FI68" s="47">
        <v>-2</v>
      </c>
      <c r="FJ68" s="43"/>
      <c r="FM68">
        <v>126</v>
      </c>
      <c r="FN68">
        <v>130</v>
      </c>
      <c r="FQ68" s="47">
        <v>-4</v>
      </c>
      <c r="FR68" s="43"/>
      <c r="FS68" s="42"/>
      <c r="FU68">
        <v>224</v>
      </c>
      <c r="FV68">
        <v>230</v>
      </c>
      <c r="FW68" s="47">
        <v>-6</v>
      </c>
      <c r="FX68" s="43"/>
      <c r="FY68" s="42"/>
      <c r="GC68" s="47">
        <v>0</v>
      </c>
      <c r="GD68" s="43"/>
      <c r="GE68" s="40">
        <v>294</v>
      </c>
      <c r="GF68">
        <v>300</v>
      </c>
      <c r="GG68">
        <v>280</v>
      </c>
      <c r="GH68">
        <v>290</v>
      </c>
      <c r="GI68" s="47">
        <v>-16</v>
      </c>
      <c r="GJ68" s="43"/>
      <c r="GK68">
        <v>56</v>
      </c>
      <c r="GL68">
        <v>56</v>
      </c>
      <c r="GM68">
        <v>56</v>
      </c>
      <c r="GN68">
        <v>56</v>
      </c>
      <c r="GO68">
        <v>84</v>
      </c>
      <c r="GP68">
        <v>88</v>
      </c>
      <c r="GQ68" s="47">
        <v>-4</v>
      </c>
      <c r="GR68" s="43"/>
      <c r="GU68">
        <v>252</v>
      </c>
      <c r="GW68">
        <v>260</v>
      </c>
      <c r="GX68" s="47">
        <v>-8</v>
      </c>
      <c r="GY68" s="43"/>
      <c r="GZ68" s="40">
        <v>14</v>
      </c>
      <c r="HB68" s="44">
        <v>13</v>
      </c>
      <c r="HC68" s="47">
        <v>1</v>
      </c>
      <c r="HD68" s="43"/>
      <c r="HE68" s="40">
        <v>462</v>
      </c>
      <c r="HG68">
        <v>467</v>
      </c>
      <c r="HH68" s="47">
        <v>-5</v>
      </c>
      <c r="HI68" s="43"/>
      <c r="HJ68">
        <v>140</v>
      </c>
      <c r="HM68">
        <v>150</v>
      </c>
      <c r="HN68" s="47">
        <v>-10</v>
      </c>
      <c r="HO68" s="43"/>
      <c r="HP68" s="42"/>
      <c r="HS68">
        <v>28</v>
      </c>
      <c r="HT68">
        <v>30</v>
      </c>
      <c r="HU68" s="47">
        <v>-2</v>
      </c>
      <c r="HV68" s="43"/>
      <c r="HW68">
        <v>154</v>
      </c>
      <c r="HX68">
        <v>154</v>
      </c>
      <c r="HY68">
        <v>182</v>
      </c>
      <c r="HZ68">
        <v>180</v>
      </c>
      <c r="IA68" s="47">
        <v>2</v>
      </c>
      <c r="IB68" s="43"/>
      <c r="IC68" s="40">
        <v>196</v>
      </c>
      <c r="ID68">
        <v>200</v>
      </c>
      <c r="IE68">
        <v>196</v>
      </c>
      <c r="IF68">
        <v>200</v>
      </c>
      <c r="IG68" s="47">
        <v>-8</v>
      </c>
      <c r="IH68" s="43"/>
      <c r="IK68">
        <v>42</v>
      </c>
      <c r="IL68">
        <v>50</v>
      </c>
      <c r="IM68" s="47">
        <v>-8</v>
      </c>
      <c r="IN68" s="43"/>
      <c r="IO68" s="40">
        <v>84</v>
      </c>
      <c r="IP68" s="44">
        <v>90</v>
      </c>
      <c r="IQ68" s="47">
        <v>-6</v>
      </c>
      <c r="IR68" s="43"/>
      <c r="IS68" s="40">
        <v>196</v>
      </c>
      <c r="IT68">
        <v>200</v>
      </c>
      <c r="IU68">
        <v>336</v>
      </c>
      <c r="IV68">
        <v>340</v>
      </c>
      <c r="IW68" s="47">
        <v>-8</v>
      </c>
      <c r="IX68" s="43"/>
      <c r="IY68" s="40">
        <v>98</v>
      </c>
      <c r="IZ68">
        <v>100</v>
      </c>
      <c r="JA68" s="47">
        <v>-2</v>
      </c>
      <c r="JB68" s="43"/>
      <c r="JC68" s="42"/>
      <c r="JE68">
        <v>182</v>
      </c>
      <c r="JF68">
        <v>190</v>
      </c>
      <c r="JG68" s="47">
        <v>-8</v>
      </c>
      <c r="JH68" s="43"/>
      <c r="JM68">
        <v>210</v>
      </c>
      <c r="JN68">
        <v>210</v>
      </c>
      <c r="JO68" s="47">
        <v>0</v>
      </c>
      <c r="JP68" s="43"/>
      <c r="JQ68" s="40">
        <v>168</v>
      </c>
      <c r="JR68">
        <v>170</v>
      </c>
      <c r="JS68">
        <v>154</v>
      </c>
      <c r="JT68">
        <v>160</v>
      </c>
      <c r="JU68" s="47">
        <v>-8</v>
      </c>
      <c r="JV68" s="43"/>
      <c r="JY68">
        <v>140</v>
      </c>
      <c r="JZ68">
        <v>150</v>
      </c>
      <c r="KA68" s="47">
        <v>-10</v>
      </c>
      <c r="KB68" s="45"/>
      <c r="KC68">
        <v>98</v>
      </c>
      <c r="KD68">
        <v>100</v>
      </c>
      <c r="KE68">
        <v>154</v>
      </c>
      <c r="KF68">
        <v>160</v>
      </c>
      <c r="KG68" s="47">
        <v>-8</v>
      </c>
      <c r="KH68" s="45"/>
      <c r="KI68">
        <v>112</v>
      </c>
      <c r="KJ68">
        <v>120</v>
      </c>
      <c r="KM68" s="47">
        <v>-8</v>
      </c>
      <c r="KN68" s="45"/>
      <c r="KO68">
        <v>224</v>
      </c>
      <c r="KP68">
        <v>230</v>
      </c>
      <c r="KQ68">
        <v>196</v>
      </c>
      <c r="KR68">
        <v>200</v>
      </c>
      <c r="KS68" s="47">
        <v>-10</v>
      </c>
      <c r="KT68" s="43"/>
      <c r="KU68">
        <v>42</v>
      </c>
      <c r="KV68">
        <v>50</v>
      </c>
      <c r="KW68" s="47">
        <v>-8</v>
      </c>
      <c r="KX68" s="45"/>
      <c r="KY68">
        <v>140</v>
      </c>
      <c r="KZ68">
        <v>150</v>
      </c>
      <c r="LA68">
        <v>308</v>
      </c>
      <c r="LB68">
        <v>319</v>
      </c>
      <c r="LC68" s="50">
        <v>-21</v>
      </c>
      <c r="LD68" s="43">
        <v>2.1</v>
      </c>
      <c r="LE68" s="40">
        <v>252</v>
      </c>
      <c r="LF68" s="44">
        <v>250</v>
      </c>
      <c r="LG68" s="47">
        <v>2</v>
      </c>
      <c r="LH68" s="45"/>
      <c r="LK68">
        <v>42</v>
      </c>
      <c r="LL68">
        <v>50</v>
      </c>
      <c r="LM68" s="47">
        <v>-8</v>
      </c>
      <c r="LN68" s="45"/>
      <c r="LO68">
        <v>196</v>
      </c>
      <c r="LP68">
        <v>200</v>
      </c>
      <c r="LQ68">
        <v>238</v>
      </c>
      <c r="LR68">
        <v>239</v>
      </c>
      <c r="LS68" s="47">
        <v>-5</v>
      </c>
      <c r="LT68" s="45"/>
      <c r="LW68">
        <v>322</v>
      </c>
      <c r="LX68">
        <v>330</v>
      </c>
      <c r="LY68" s="47">
        <v>-8</v>
      </c>
      <c r="LZ68" s="45"/>
      <c r="MA68">
        <v>42</v>
      </c>
      <c r="MB68">
        <v>42</v>
      </c>
      <c r="MC68">
        <v>98</v>
      </c>
      <c r="MD68">
        <v>108</v>
      </c>
      <c r="ME68" s="47">
        <v>-10</v>
      </c>
      <c r="MF68" s="45"/>
      <c r="MG68" s="40">
        <v>70</v>
      </c>
      <c r="MH68">
        <v>80</v>
      </c>
      <c r="MI68">
        <v>98</v>
      </c>
      <c r="MJ68">
        <v>100</v>
      </c>
      <c r="MK68">
        <v>42</v>
      </c>
      <c r="ML68">
        <v>60</v>
      </c>
      <c r="MM68" s="50">
        <v>-30</v>
      </c>
      <c r="MN68" s="45">
        <v>3</v>
      </c>
      <c r="MO68" s="44">
        <v>0</v>
      </c>
      <c r="MP68" s="44">
        <v>0</v>
      </c>
      <c r="MQ68" s="44">
        <v>42</v>
      </c>
      <c r="MR68" s="44">
        <v>50</v>
      </c>
      <c r="MS68" s="47">
        <v>-8</v>
      </c>
      <c r="MT68" s="45"/>
      <c r="MU68" s="44">
        <v>140</v>
      </c>
      <c r="MV68" s="44">
        <v>150</v>
      </c>
      <c r="MW68" s="44">
        <v>196</v>
      </c>
      <c r="MX68" s="44">
        <v>200</v>
      </c>
      <c r="MY68" s="47">
        <v>-14</v>
      </c>
      <c r="MZ68" s="45"/>
      <c r="NA68" s="46">
        <v>182</v>
      </c>
      <c r="NB68" s="44">
        <v>180</v>
      </c>
      <c r="NC68" s="47">
        <v>2</v>
      </c>
      <c r="ND68" s="45"/>
      <c r="NE68" s="46">
        <v>126</v>
      </c>
      <c r="NF68" s="44">
        <v>130</v>
      </c>
      <c r="NG68" s="44">
        <v>112</v>
      </c>
      <c r="NH68" s="44">
        <v>0</v>
      </c>
      <c r="NI68" s="44">
        <v>110</v>
      </c>
      <c r="NJ68" s="47">
        <v>-2</v>
      </c>
      <c r="NK68" s="45"/>
      <c r="NL68" s="46">
        <v>140</v>
      </c>
      <c r="NM68" s="44">
        <v>150</v>
      </c>
      <c r="NN68" s="44">
        <v>196</v>
      </c>
      <c r="NO68" s="44">
        <v>200</v>
      </c>
      <c r="NP68" s="47">
        <v>-14</v>
      </c>
      <c r="NQ68" s="45"/>
      <c r="NR68" s="46">
        <v>252</v>
      </c>
      <c r="NS68" s="44">
        <v>250</v>
      </c>
      <c r="NT68" s="47">
        <v>2</v>
      </c>
      <c r="NU68" s="45"/>
      <c r="NV68" s="46">
        <v>0</v>
      </c>
      <c r="NW68" s="44">
        <v>0</v>
      </c>
      <c r="NX68" s="44">
        <v>294</v>
      </c>
      <c r="NY68" s="44">
        <v>300</v>
      </c>
      <c r="NZ68" s="47">
        <v>-6</v>
      </c>
      <c r="OA68" s="45"/>
      <c r="OB68" s="46">
        <v>0</v>
      </c>
      <c r="OC68" s="44">
        <v>0</v>
      </c>
      <c r="OD68" s="47">
        <v>0</v>
      </c>
      <c r="OE68" s="45"/>
      <c r="OF68" s="46">
        <v>56</v>
      </c>
      <c r="OG68" s="44">
        <v>60</v>
      </c>
      <c r="OH68" s="44">
        <v>406</v>
      </c>
      <c r="OI68" s="44">
        <v>407</v>
      </c>
      <c r="OJ68" s="47">
        <v>-5</v>
      </c>
      <c r="OK68" s="45"/>
      <c r="OL68" s="44">
        <v>42</v>
      </c>
      <c r="OM68" s="43">
        <v>-4.2</v>
      </c>
      <c r="ON68" s="44">
        <v>0</v>
      </c>
      <c r="OO68" s="44">
        <v>50</v>
      </c>
      <c r="OP68" s="50">
        <v>-50</v>
      </c>
      <c r="OQ68" s="45">
        <v>5</v>
      </c>
      <c r="OR68" s="46">
        <v>42</v>
      </c>
      <c r="OS68" s="44">
        <v>50</v>
      </c>
      <c r="OT68" s="44">
        <v>252</v>
      </c>
      <c r="OU68" s="44">
        <v>255</v>
      </c>
      <c r="OV68" s="47">
        <v>-11</v>
      </c>
      <c r="OW68" s="45"/>
      <c r="OX68" s="46">
        <v>0</v>
      </c>
      <c r="OY68" s="44">
        <v>0</v>
      </c>
      <c r="OZ68" s="44">
        <v>0</v>
      </c>
      <c r="PA68" s="44">
        <v>0</v>
      </c>
      <c r="PB68" s="47">
        <v>0</v>
      </c>
      <c r="PC68" s="45"/>
      <c r="PD68" s="46">
        <v>112</v>
      </c>
      <c r="PE68" s="44">
        <v>120</v>
      </c>
      <c r="PF68" s="44">
        <v>182</v>
      </c>
      <c r="PG68" s="44">
        <v>180</v>
      </c>
      <c r="PH68" s="47">
        <v>-6</v>
      </c>
      <c r="PI68" s="45"/>
      <c r="PJ68" s="46">
        <v>0</v>
      </c>
      <c r="PK68" s="44">
        <v>0</v>
      </c>
      <c r="PL68" s="44">
        <v>70</v>
      </c>
      <c r="PM68" s="44">
        <v>80</v>
      </c>
      <c r="PN68" s="50">
        <v>-10</v>
      </c>
      <c r="PO68" s="45">
        <v>1</v>
      </c>
      <c r="PP68" s="46">
        <v>98</v>
      </c>
      <c r="PQ68" s="44">
        <v>100</v>
      </c>
      <c r="PR68" s="44">
        <v>98</v>
      </c>
      <c r="PS68" s="44">
        <v>100</v>
      </c>
      <c r="PT68" s="47">
        <v>-4</v>
      </c>
      <c r="PU68" s="45"/>
      <c r="PV68" s="46">
        <v>588</v>
      </c>
      <c r="PW68" s="44">
        <v>600</v>
      </c>
      <c r="PX68" s="47">
        <v>-12</v>
      </c>
      <c r="PY68" s="45"/>
      <c r="PZ68" s="46">
        <v>0</v>
      </c>
      <c r="QA68" s="44">
        <v>0</v>
      </c>
      <c r="QB68" s="47">
        <v>0</v>
      </c>
      <c r="QC68" s="45"/>
      <c r="QD68" s="46">
        <v>0</v>
      </c>
      <c r="QE68" s="44">
        <v>0</v>
      </c>
      <c r="QF68" s="44">
        <v>140</v>
      </c>
      <c r="QG68" s="44">
        <v>130</v>
      </c>
      <c r="QH68" s="47">
        <v>10</v>
      </c>
      <c r="QI68" s="45"/>
      <c r="QJ68" s="46">
        <v>98</v>
      </c>
      <c r="QK68" s="44">
        <v>100</v>
      </c>
      <c r="QL68" s="47">
        <v>-2</v>
      </c>
      <c r="QM68" s="45"/>
      <c r="QN68" s="46">
        <v>0</v>
      </c>
      <c r="QO68" s="44">
        <v>0</v>
      </c>
      <c r="QP68" s="44">
        <v>42</v>
      </c>
      <c r="QQ68" s="44">
        <v>40</v>
      </c>
      <c r="QR68" s="47">
        <v>2</v>
      </c>
      <c r="QS68" s="45"/>
      <c r="QT68" s="46">
        <v>112</v>
      </c>
      <c r="QU68" s="44">
        <v>122</v>
      </c>
      <c r="QV68" s="47">
        <v>-10</v>
      </c>
      <c r="QW68" s="45"/>
      <c r="QX68" s="46">
        <v>0</v>
      </c>
      <c r="QY68" s="44">
        <v>0</v>
      </c>
      <c r="QZ68" s="44">
        <v>0</v>
      </c>
      <c r="RA68" s="44">
        <v>0</v>
      </c>
      <c r="RB68" s="47">
        <v>0</v>
      </c>
      <c r="RC68" s="45"/>
      <c r="RD68" s="42">
        <v>0</v>
      </c>
      <c r="RE68" s="44">
        <v>0</v>
      </c>
      <c r="RF68" s="44">
        <v>56</v>
      </c>
      <c r="RG68" s="44">
        <v>55</v>
      </c>
      <c r="RH68" s="47">
        <v>1</v>
      </c>
      <c r="RI68" s="45"/>
      <c r="RJ68" s="42">
        <v>0</v>
      </c>
      <c r="RK68" s="13">
        <v>40</v>
      </c>
      <c r="RL68" s="47">
        <v>0</v>
      </c>
      <c r="RM68" s="47">
        <v>0</v>
      </c>
      <c r="RN68" s="50">
        <v>-40</v>
      </c>
      <c r="RO68" s="43">
        <v>4</v>
      </c>
      <c r="RP68" s="42">
        <v>0</v>
      </c>
      <c r="RQ68" s="47">
        <v>0</v>
      </c>
      <c r="RR68" s="47">
        <v>0</v>
      </c>
      <c r="RS68" s="43"/>
      <c r="RT68" s="42">
        <v>0</v>
      </c>
      <c r="RU68" s="47">
        <v>0</v>
      </c>
      <c r="RV68" s="47">
        <v>0</v>
      </c>
      <c r="RW68" s="47">
        <v>0</v>
      </c>
      <c r="RX68" s="47">
        <v>0</v>
      </c>
      <c r="RY68" s="43"/>
      <c r="RZ68" s="42">
        <v>14</v>
      </c>
      <c r="SA68" s="47">
        <v>25</v>
      </c>
      <c r="SB68" s="47">
        <v>0</v>
      </c>
      <c r="SC68" s="47">
        <v>0</v>
      </c>
      <c r="SD68" s="47">
        <v>-11</v>
      </c>
      <c r="SE68" s="43"/>
      <c r="SF68" s="42">
        <v>0</v>
      </c>
      <c r="SG68" s="47">
        <v>0</v>
      </c>
      <c r="SH68" s="47">
        <v>112</v>
      </c>
      <c r="SI68" s="47">
        <v>0</v>
      </c>
      <c r="SJ68" s="47">
        <v>112</v>
      </c>
      <c r="SK68" s="43"/>
      <c r="SL68" s="42">
        <v>84</v>
      </c>
      <c r="SM68" s="47">
        <v>95</v>
      </c>
      <c r="SN68" s="47">
        <v>-11</v>
      </c>
      <c r="SO68" s="43"/>
      <c r="SP68" s="42">
        <v>0</v>
      </c>
      <c r="SQ68" s="47">
        <v>0</v>
      </c>
      <c r="SR68" s="47">
        <v>0</v>
      </c>
      <c r="SS68" s="47">
        <v>0</v>
      </c>
      <c r="ST68" s="47">
        <v>0</v>
      </c>
      <c r="SU68" s="43"/>
    </row>
    <row r="69" spans="1:515" x14ac:dyDescent="0.25">
      <c r="A69" s="47" t="s">
        <v>376</v>
      </c>
      <c r="B69" s="41">
        <v>0.1</v>
      </c>
      <c r="E69">
        <v>117</v>
      </c>
      <c r="F69">
        <v>140</v>
      </c>
      <c r="G69">
        <v>142</v>
      </c>
      <c r="J69" s="42"/>
      <c r="K69" s="51"/>
      <c r="L69" s="51"/>
      <c r="M69" s="51"/>
      <c r="N69" s="51">
        <f t="shared" si="12"/>
        <v>0</v>
      </c>
      <c r="O69" s="43"/>
      <c r="P69" s="40">
        <v>420</v>
      </c>
      <c r="Q69" s="52">
        <v>426</v>
      </c>
      <c r="R69" s="52">
        <v>360</v>
      </c>
      <c r="S69" s="52">
        <v>365</v>
      </c>
      <c r="T69" s="51">
        <f t="shared" si="13"/>
        <v>-11</v>
      </c>
      <c r="U69" s="43"/>
      <c r="V69" s="40">
        <v>70</v>
      </c>
      <c r="W69" s="52">
        <v>73</v>
      </c>
      <c r="X69" s="51"/>
      <c r="Y69" s="51"/>
      <c r="Z69" s="51">
        <f t="shared" si="14"/>
        <v>-3</v>
      </c>
      <c r="AA69" s="43"/>
      <c r="AB69" s="40">
        <v>190</v>
      </c>
      <c r="AC69" s="56">
        <v>190.43478260869571</v>
      </c>
      <c r="AD69" s="52">
        <v>240</v>
      </c>
      <c r="AE69" s="56">
        <v>247.56521739130429</v>
      </c>
      <c r="AF69" s="51">
        <v>-8</v>
      </c>
      <c r="AG69" s="43"/>
      <c r="AH69" s="51"/>
      <c r="AJ69">
        <v>70</v>
      </c>
      <c r="AK69">
        <v>76</v>
      </c>
      <c r="AL69" s="47">
        <v>-6</v>
      </c>
      <c r="AM69" s="43"/>
      <c r="AN69" s="40">
        <v>20</v>
      </c>
      <c r="AO69">
        <v>23</v>
      </c>
      <c r="AR69" s="47">
        <v>-3</v>
      </c>
      <c r="AS69" s="43"/>
      <c r="AT69">
        <v>170</v>
      </c>
      <c r="AU69">
        <v>170</v>
      </c>
      <c r="AV69">
        <v>170</v>
      </c>
      <c r="AW69">
        <v>172</v>
      </c>
      <c r="AX69" s="47">
        <v>-2</v>
      </c>
      <c r="AY69" s="43"/>
      <c r="AZ69">
        <v>20</v>
      </c>
      <c r="BA69">
        <v>20</v>
      </c>
      <c r="BD69" s="47">
        <v>0</v>
      </c>
      <c r="BE69" s="43"/>
      <c r="BF69" s="40">
        <v>50</v>
      </c>
      <c r="BG69">
        <v>50</v>
      </c>
      <c r="BH69">
        <v>10</v>
      </c>
      <c r="BI69">
        <v>10</v>
      </c>
      <c r="BJ69" s="47">
        <v>0</v>
      </c>
      <c r="BK69" s="43"/>
      <c r="BL69" s="40">
        <v>320</v>
      </c>
      <c r="BM69">
        <v>320</v>
      </c>
      <c r="BN69">
        <v>360</v>
      </c>
      <c r="BO69">
        <v>361</v>
      </c>
      <c r="BP69" s="47">
        <v>-1</v>
      </c>
      <c r="BQ69" s="43"/>
      <c r="BR69">
        <v>150</v>
      </c>
      <c r="BS69">
        <v>150</v>
      </c>
      <c r="BT69">
        <v>250</v>
      </c>
      <c r="BU69">
        <v>250</v>
      </c>
      <c r="BV69" s="47">
        <v>0</v>
      </c>
      <c r="BW69" s="43"/>
      <c r="BX69" s="42"/>
      <c r="CB69" s="47">
        <v>0</v>
      </c>
      <c r="CC69" s="43"/>
      <c r="CD69">
        <v>200</v>
      </c>
      <c r="CE69">
        <v>200</v>
      </c>
      <c r="CF69">
        <v>200</v>
      </c>
      <c r="CG69">
        <v>200</v>
      </c>
      <c r="CH69" s="47">
        <v>0</v>
      </c>
      <c r="CI69" s="43"/>
      <c r="CJ69">
        <v>80</v>
      </c>
      <c r="CK69">
        <v>80</v>
      </c>
      <c r="CL69">
        <v>670</v>
      </c>
      <c r="CM69">
        <v>670</v>
      </c>
      <c r="CN69" s="47">
        <v>0</v>
      </c>
      <c r="CO69" s="43"/>
      <c r="CP69" s="40">
        <v>100</v>
      </c>
      <c r="CQ69">
        <v>100</v>
      </c>
      <c r="CR69">
        <v>230</v>
      </c>
      <c r="CS69">
        <v>236</v>
      </c>
      <c r="CT69" s="47">
        <v>-6</v>
      </c>
      <c r="CU69" s="43"/>
      <c r="CV69" s="40">
        <v>20</v>
      </c>
      <c r="CW69">
        <v>20</v>
      </c>
      <c r="CX69">
        <v>30</v>
      </c>
      <c r="CY69">
        <v>30</v>
      </c>
      <c r="CZ69" s="47">
        <v>0</v>
      </c>
      <c r="DA69" s="43"/>
      <c r="DG69" s="47">
        <v>0</v>
      </c>
      <c r="DH69" s="43"/>
      <c r="DI69">
        <v>200</v>
      </c>
      <c r="DJ69">
        <v>200</v>
      </c>
      <c r="DK69" s="47">
        <v>0</v>
      </c>
      <c r="DL69" s="43"/>
      <c r="DM69" s="40">
        <v>310</v>
      </c>
      <c r="DN69">
        <v>311</v>
      </c>
      <c r="DQ69" s="47">
        <v>-1</v>
      </c>
      <c r="DR69" s="43"/>
      <c r="DW69" s="47">
        <v>0</v>
      </c>
      <c r="DX69" s="43"/>
      <c r="EC69" s="47">
        <v>0</v>
      </c>
      <c r="ED69" s="43"/>
      <c r="EE69" s="42"/>
      <c r="EG69">
        <v>600</v>
      </c>
      <c r="EH69">
        <v>600</v>
      </c>
      <c r="EI69" s="47">
        <v>0</v>
      </c>
      <c r="EJ69" s="43"/>
      <c r="EM69">
        <v>70</v>
      </c>
      <c r="EN69">
        <v>70</v>
      </c>
      <c r="EO69" s="47">
        <v>0</v>
      </c>
      <c r="EP69" s="43"/>
      <c r="EQ69" s="42"/>
      <c r="EU69" s="47">
        <v>0</v>
      </c>
      <c r="EV69" s="43"/>
      <c r="EW69" s="42"/>
      <c r="EY69">
        <v>500</v>
      </c>
      <c r="EZ69">
        <v>500</v>
      </c>
      <c r="FA69">
        <v>400</v>
      </c>
      <c r="FB69">
        <v>400</v>
      </c>
      <c r="FC69" s="47">
        <v>0</v>
      </c>
      <c r="FD69" s="43"/>
      <c r="FE69" s="42"/>
      <c r="FG69">
        <v>1190</v>
      </c>
      <c r="FH69">
        <v>1190</v>
      </c>
      <c r="FI69" s="47">
        <v>0</v>
      </c>
      <c r="FJ69" s="43"/>
      <c r="FM69">
        <v>130</v>
      </c>
      <c r="FN69">
        <v>130</v>
      </c>
      <c r="FQ69" s="47">
        <v>0</v>
      </c>
      <c r="FR69" s="43"/>
      <c r="FS69" s="42"/>
      <c r="FU69">
        <v>350</v>
      </c>
      <c r="FV69">
        <v>350</v>
      </c>
      <c r="FW69" s="47">
        <v>0</v>
      </c>
      <c r="FX69" s="43"/>
      <c r="FY69" s="42"/>
      <c r="GA69">
        <v>170</v>
      </c>
      <c r="GB69">
        <v>170</v>
      </c>
      <c r="GC69" s="47">
        <v>0</v>
      </c>
      <c r="GD69" s="43"/>
      <c r="GE69" s="40">
        <v>220</v>
      </c>
      <c r="GF69">
        <v>220</v>
      </c>
      <c r="GG69">
        <v>200</v>
      </c>
      <c r="GH69">
        <v>200</v>
      </c>
      <c r="GI69" s="47">
        <v>0</v>
      </c>
      <c r="GJ69" s="43"/>
      <c r="GQ69" s="47">
        <v>0</v>
      </c>
      <c r="GR69" s="43"/>
      <c r="GU69">
        <v>650</v>
      </c>
      <c r="GW69">
        <v>650</v>
      </c>
      <c r="GX69" s="47">
        <v>0</v>
      </c>
      <c r="GY69" s="43"/>
      <c r="GZ69" s="42"/>
      <c r="HC69" s="47">
        <v>0</v>
      </c>
      <c r="HD69" s="43"/>
      <c r="HE69" s="40">
        <v>700</v>
      </c>
      <c r="HG69">
        <v>700</v>
      </c>
      <c r="HH69" s="47">
        <v>0</v>
      </c>
      <c r="HI69" s="43"/>
      <c r="HJ69">
        <v>50</v>
      </c>
      <c r="HM69">
        <v>50</v>
      </c>
      <c r="HN69" s="47">
        <v>0</v>
      </c>
      <c r="HO69" s="43"/>
      <c r="HP69" s="40">
        <v>30</v>
      </c>
      <c r="HR69">
        <v>40</v>
      </c>
      <c r="HS69">
        <v>50</v>
      </c>
      <c r="HT69">
        <v>50</v>
      </c>
      <c r="HU69" s="50">
        <v>-10</v>
      </c>
      <c r="HV69" s="43">
        <v>1</v>
      </c>
      <c r="HW69">
        <v>140</v>
      </c>
      <c r="HX69">
        <v>140</v>
      </c>
      <c r="HY69">
        <v>160</v>
      </c>
      <c r="HZ69">
        <v>158</v>
      </c>
      <c r="IA69" s="47">
        <v>2</v>
      </c>
      <c r="IB69" s="43"/>
      <c r="IC69" s="40">
        <v>200</v>
      </c>
      <c r="ID69">
        <v>200</v>
      </c>
      <c r="IE69">
        <v>200</v>
      </c>
      <c r="IF69">
        <v>200</v>
      </c>
      <c r="IG69" s="47">
        <v>0</v>
      </c>
      <c r="IH69" s="43"/>
      <c r="II69">
        <v>100</v>
      </c>
      <c r="IJ69">
        <v>100</v>
      </c>
      <c r="IK69">
        <v>110</v>
      </c>
      <c r="IL69">
        <v>110</v>
      </c>
      <c r="IM69" s="47">
        <v>0</v>
      </c>
      <c r="IN69" s="43"/>
      <c r="IO69" s="40">
        <v>150</v>
      </c>
      <c r="IP69" s="44">
        <v>150</v>
      </c>
      <c r="IQ69" s="47">
        <v>0</v>
      </c>
      <c r="IR69" s="43"/>
      <c r="IS69" s="40">
        <v>200</v>
      </c>
      <c r="IT69">
        <v>200</v>
      </c>
      <c r="IU69">
        <v>230</v>
      </c>
      <c r="IV69">
        <v>230</v>
      </c>
      <c r="IW69" s="47">
        <v>0</v>
      </c>
      <c r="IX69" s="43"/>
      <c r="IY69" s="40">
        <v>70</v>
      </c>
      <c r="IZ69">
        <v>70</v>
      </c>
      <c r="JA69" s="47">
        <v>0</v>
      </c>
      <c r="JB69" s="43"/>
      <c r="JC69" s="40">
        <v>120</v>
      </c>
      <c r="JD69">
        <v>120</v>
      </c>
      <c r="JE69">
        <v>100</v>
      </c>
      <c r="JF69">
        <v>100</v>
      </c>
      <c r="JG69" s="47">
        <v>0</v>
      </c>
      <c r="JH69" s="43"/>
      <c r="JK69">
        <v>410</v>
      </c>
      <c r="JL69">
        <v>410</v>
      </c>
      <c r="JO69" s="47">
        <v>0</v>
      </c>
      <c r="JP69" s="43"/>
      <c r="JQ69" s="40">
        <v>70</v>
      </c>
      <c r="JR69">
        <v>70</v>
      </c>
      <c r="JU69" s="47">
        <v>0</v>
      </c>
      <c r="JV69" s="43"/>
      <c r="JY69">
        <v>130</v>
      </c>
      <c r="JZ69">
        <v>130</v>
      </c>
      <c r="KA69" s="47">
        <v>0</v>
      </c>
      <c r="KB69" s="45"/>
      <c r="KC69">
        <v>100</v>
      </c>
      <c r="KD69">
        <v>100</v>
      </c>
      <c r="KE69">
        <v>220</v>
      </c>
      <c r="KF69">
        <v>220</v>
      </c>
      <c r="KG69" s="47">
        <v>0</v>
      </c>
      <c r="KH69" s="45"/>
      <c r="KI69">
        <v>40</v>
      </c>
      <c r="KJ69">
        <v>40</v>
      </c>
      <c r="KM69" s="47">
        <v>0</v>
      </c>
      <c r="KN69" s="45"/>
      <c r="KO69">
        <v>150</v>
      </c>
      <c r="KP69">
        <v>150</v>
      </c>
      <c r="KQ69">
        <v>130</v>
      </c>
      <c r="KR69">
        <v>130</v>
      </c>
      <c r="KS69" s="47">
        <v>0</v>
      </c>
      <c r="KT69" s="43"/>
      <c r="KU69">
        <v>40</v>
      </c>
      <c r="KV69">
        <v>40</v>
      </c>
      <c r="KW69" s="47">
        <v>0</v>
      </c>
      <c r="KX69" s="45"/>
      <c r="KY69">
        <v>400</v>
      </c>
      <c r="KZ69">
        <v>400</v>
      </c>
      <c r="LA69">
        <v>200</v>
      </c>
      <c r="LB69">
        <v>200</v>
      </c>
      <c r="LC69" s="47">
        <v>0</v>
      </c>
      <c r="LD69" s="43"/>
      <c r="LE69" s="40">
        <v>400</v>
      </c>
      <c r="LF69" s="44">
        <v>400</v>
      </c>
      <c r="LG69" s="47">
        <v>0</v>
      </c>
      <c r="LH69" s="45"/>
      <c r="LK69">
        <v>300</v>
      </c>
      <c r="LL69">
        <v>300</v>
      </c>
      <c r="LM69" s="47">
        <v>0</v>
      </c>
      <c r="LN69" s="45"/>
      <c r="LO69">
        <v>150</v>
      </c>
      <c r="LP69">
        <v>150</v>
      </c>
      <c r="LQ69">
        <v>210</v>
      </c>
      <c r="LR69">
        <v>210</v>
      </c>
      <c r="LS69" s="47">
        <v>0</v>
      </c>
      <c r="LT69" s="45"/>
      <c r="LY69" s="47">
        <v>0</v>
      </c>
      <c r="LZ69" s="45"/>
      <c r="MA69">
        <v>50</v>
      </c>
      <c r="MB69">
        <v>50</v>
      </c>
      <c r="MC69">
        <v>100</v>
      </c>
      <c r="MD69">
        <v>100</v>
      </c>
      <c r="ME69" s="47">
        <v>0</v>
      </c>
      <c r="MF69" s="45"/>
      <c r="MG69" s="40">
        <v>130</v>
      </c>
      <c r="MH69">
        <v>130</v>
      </c>
      <c r="MI69">
        <v>170</v>
      </c>
      <c r="MJ69">
        <v>170</v>
      </c>
      <c r="MK69">
        <v>130</v>
      </c>
      <c r="ML69">
        <v>130</v>
      </c>
      <c r="MM69" s="47">
        <v>0</v>
      </c>
      <c r="MN69" s="45"/>
      <c r="MO69" s="44">
        <v>0</v>
      </c>
      <c r="MP69" s="44">
        <v>0</v>
      </c>
      <c r="MQ69" s="44">
        <v>0</v>
      </c>
      <c r="MR69" s="44">
        <v>0</v>
      </c>
      <c r="MS69" s="47">
        <v>0</v>
      </c>
      <c r="MT69" s="45"/>
      <c r="MU69" s="44">
        <v>0</v>
      </c>
      <c r="MV69" s="44">
        <v>0</v>
      </c>
      <c r="MW69" s="44">
        <v>0</v>
      </c>
      <c r="MX69" s="44">
        <v>0</v>
      </c>
      <c r="MY69" s="47">
        <v>0</v>
      </c>
      <c r="MZ69" s="45"/>
      <c r="NA69" s="46">
        <v>480</v>
      </c>
      <c r="NB69" s="44">
        <v>486</v>
      </c>
      <c r="NC69" s="47">
        <v>-6</v>
      </c>
      <c r="ND69" s="45"/>
      <c r="NE69" s="46">
        <v>150</v>
      </c>
      <c r="NF69" s="44">
        <v>150</v>
      </c>
      <c r="NG69" s="44">
        <v>120</v>
      </c>
      <c r="NH69" s="44">
        <v>0</v>
      </c>
      <c r="NI69" s="44">
        <v>130</v>
      </c>
      <c r="NJ69" s="50">
        <v>-10</v>
      </c>
      <c r="NK69" s="45">
        <v>1</v>
      </c>
      <c r="NL69" s="46">
        <v>50</v>
      </c>
      <c r="NM69" s="44">
        <v>50</v>
      </c>
      <c r="NN69" s="44">
        <v>100</v>
      </c>
      <c r="NO69" s="44">
        <v>100</v>
      </c>
      <c r="NP69" s="47">
        <v>0</v>
      </c>
      <c r="NQ69" s="45"/>
      <c r="NR69" s="46">
        <v>90</v>
      </c>
      <c r="NS69" s="44">
        <v>92</v>
      </c>
      <c r="NT69" s="47">
        <v>-2</v>
      </c>
      <c r="NU69" s="45"/>
      <c r="NV69" s="46">
        <v>0</v>
      </c>
      <c r="NW69" s="44">
        <v>0</v>
      </c>
      <c r="NX69" s="44">
        <v>170</v>
      </c>
      <c r="NY69" s="44">
        <v>170</v>
      </c>
      <c r="NZ69" s="47">
        <v>0</v>
      </c>
      <c r="OA69" s="45"/>
      <c r="OB69" s="46">
        <v>350</v>
      </c>
      <c r="OC69" s="44">
        <v>350</v>
      </c>
      <c r="OD69" s="47">
        <v>0</v>
      </c>
      <c r="OE69" s="45"/>
      <c r="OF69" s="46">
        <v>0</v>
      </c>
      <c r="OG69" s="44">
        <v>0</v>
      </c>
      <c r="OH69" s="44">
        <v>0</v>
      </c>
      <c r="OI69" s="44">
        <v>0</v>
      </c>
      <c r="OJ69" s="47">
        <v>0</v>
      </c>
      <c r="OK69" s="45"/>
      <c r="OL69" s="44">
        <v>0</v>
      </c>
      <c r="OM69" s="43"/>
      <c r="ON69" s="44">
        <v>1000</v>
      </c>
      <c r="OO69" s="44">
        <v>1000</v>
      </c>
      <c r="OP69" s="47">
        <v>0</v>
      </c>
      <c r="OQ69" s="45"/>
      <c r="OR69" s="46">
        <v>0</v>
      </c>
      <c r="OS69" s="44">
        <v>0</v>
      </c>
      <c r="OT69" s="44">
        <v>0</v>
      </c>
      <c r="OU69" s="44">
        <v>0</v>
      </c>
      <c r="OV69" s="47">
        <v>0</v>
      </c>
      <c r="OW69" s="45"/>
      <c r="OX69" s="46">
        <v>0</v>
      </c>
      <c r="OY69" s="44">
        <v>0</v>
      </c>
      <c r="OZ69" s="44">
        <v>0</v>
      </c>
      <c r="PA69" s="44">
        <v>0</v>
      </c>
      <c r="PB69" s="47">
        <v>0</v>
      </c>
      <c r="PC69" s="45"/>
      <c r="PD69" s="46">
        <v>200</v>
      </c>
      <c r="PE69" s="44">
        <v>200</v>
      </c>
      <c r="PF69" s="44">
        <v>350</v>
      </c>
      <c r="PG69" s="44">
        <v>350</v>
      </c>
      <c r="PH69" s="47">
        <v>0</v>
      </c>
      <c r="PI69" s="45"/>
      <c r="PJ69" s="25">
        <v>100</v>
      </c>
      <c r="PK69" s="44">
        <v>0</v>
      </c>
      <c r="PL69" s="44">
        <v>60</v>
      </c>
      <c r="PM69" s="44">
        <v>60</v>
      </c>
      <c r="PN69" s="47">
        <v>100</v>
      </c>
      <c r="PO69" s="45"/>
      <c r="PP69" s="46">
        <v>150</v>
      </c>
      <c r="PQ69" s="44">
        <v>150</v>
      </c>
      <c r="PR69" s="44">
        <v>200</v>
      </c>
      <c r="PS69" s="44">
        <v>200</v>
      </c>
      <c r="PT69" s="47">
        <v>0</v>
      </c>
      <c r="PU69" s="45"/>
      <c r="PV69" s="46">
        <v>310</v>
      </c>
      <c r="PW69" s="44">
        <v>350</v>
      </c>
      <c r="PX69" s="50">
        <v>-40</v>
      </c>
      <c r="PY69" s="45">
        <v>4</v>
      </c>
      <c r="PZ69" s="46">
        <v>320</v>
      </c>
      <c r="QA69" s="44">
        <v>320</v>
      </c>
      <c r="QB69" s="47">
        <v>0</v>
      </c>
      <c r="QC69" s="45"/>
      <c r="QD69" s="46">
        <v>0</v>
      </c>
      <c r="QE69" s="44">
        <v>0</v>
      </c>
      <c r="QF69" s="44">
        <v>30</v>
      </c>
      <c r="QG69" s="44">
        <v>60</v>
      </c>
      <c r="QH69" s="50">
        <v>-30</v>
      </c>
      <c r="QI69" s="45">
        <v>3</v>
      </c>
      <c r="QJ69" s="46">
        <v>60</v>
      </c>
      <c r="QK69" s="44">
        <v>100</v>
      </c>
      <c r="QL69" s="50">
        <v>-40</v>
      </c>
      <c r="QM69" s="45">
        <v>4</v>
      </c>
      <c r="QN69" s="46">
        <v>150</v>
      </c>
      <c r="QO69" s="44">
        <v>150</v>
      </c>
      <c r="QP69" s="44">
        <v>0</v>
      </c>
      <c r="QQ69" s="33">
        <v>100</v>
      </c>
      <c r="QR69" s="50">
        <v>-100</v>
      </c>
      <c r="QS69" s="45">
        <v>10</v>
      </c>
      <c r="QT69" s="46">
        <v>0</v>
      </c>
      <c r="QU69" s="33">
        <v>55</v>
      </c>
      <c r="QV69" s="50">
        <v>-55</v>
      </c>
      <c r="QW69" s="45">
        <v>5.5</v>
      </c>
      <c r="QX69" s="46">
        <v>0</v>
      </c>
      <c r="QY69" s="44">
        <v>0</v>
      </c>
      <c r="QZ69" s="44">
        <v>0</v>
      </c>
      <c r="RA69" s="33">
        <v>125</v>
      </c>
      <c r="RB69" s="50">
        <v>-125</v>
      </c>
      <c r="RC69" s="45">
        <v>12.5</v>
      </c>
      <c r="RD69" s="42">
        <v>0</v>
      </c>
      <c r="RE69" s="44">
        <v>0</v>
      </c>
      <c r="RF69" s="44">
        <v>10</v>
      </c>
      <c r="RG69" s="44">
        <v>81</v>
      </c>
      <c r="RH69" s="50">
        <v>-71</v>
      </c>
      <c r="RI69" s="45">
        <v>7.1000000000000014</v>
      </c>
      <c r="RJ69" s="42">
        <v>70</v>
      </c>
      <c r="RK69" s="47">
        <v>70</v>
      </c>
      <c r="RL69" s="47">
        <v>80</v>
      </c>
      <c r="RM69" s="47">
        <v>80</v>
      </c>
      <c r="RN69" s="47">
        <v>0</v>
      </c>
      <c r="RO69" s="43"/>
      <c r="RP69" s="42">
        <v>140</v>
      </c>
      <c r="RQ69" s="47">
        <v>144</v>
      </c>
      <c r="RR69" s="47">
        <v>-4</v>
      </c>
      <c r="RS69" s="43"/>
      <c r="RT69" s="42">
        <v>50</v>
      </c>
      <c r="RU69" s="47">
        <v>56</v>
      </c>
      <c r="RV69" s="47">
        <v>0</v>
      </c>
      <c r="RW69" s="47">
        <v>0</v>
      </c>
      <c r="RX69" s="47">
        <v>-6</v>
      </c>
      <c r="RY69" s="43"/>
      <c r="RZ69" s="42">
        <v>50</v>
      </c>
      <c r="SA69" s="47">
        <v>50</v>
      </c>
      <c r="SB69" s="47">
        <v>0</v>
      </c>
      <c r="SC69" s="47">
        <v>0</v>
      </c>
      <c r="SD69" s="47">
        <v>0</v>
      </c>
      <c r="SE69" s="43"/>
      <c r="SF69" s="42">
        <v>170</v>
      </c>
      <c r="SG69" s="47">
        <v>168</v>
      </c>
      <c r="SH69" s="47">
        <v>0</v>
      </c>
      <c r="SI69" s="47">
        <v>0</v>
      </c>
      <c r="SJ69" s="47">
        <v>2</v>
      </c>
      <c r="SK69" s="43"/>
      <c r="SL69" s="42">
        <v>250</v>
      </c>
      <c r="SM69" s="47">
        <v>248</v>
      </c>
      <c r="SN69" s="47">
        <v>2</v>
      </c>
      <c r="SO69" s="43"/>
      <c r="SP69" s="42">
        <v>0</v>
      </c>
      <c r="SQ69" s="47">
        <v>0</v>
      </c>
      <c r="SR69" s="47">
        <v>0</v>
      </c>
      <c r="SS69" s="47">
        <v>0</v>
      </c>
      <c r="ST69" s="47">
        <v>0</v>
      </c>
      <c r="SU69" s="43"/>
    </row>
    <row r="70" spans="1:515" x14ac:dyDescent="0.25">
      <c r="A70" s="47" t="s">
        <v>377</v>
      </c>
      <c r="B70" s="41">
        <v>0.1</v>
      </c>
      <c r="E70">
        <v>165</v>
      </c>
      <c r="F70">
        <v>110</v>
      </c>
      <c r="G70">
        <v>110</v>
      </c>
      <c r="J70" s="42"/>
      <c r="K70" s="51"/>
      <c r="L70" s="52">
        <v>80</v>
      </c>
      <c r="M70" s="52">
        <v>80</v>
      </c>
      <c r="N70" s="51">
        <f t="shared" si="12"/>
        <v>0</v>
      </c>
      <c r="O70" s="43"/>
      <c r="P70" s="40">
        <v>120</v>
      </c>
      <c r="Q70" s="52">
        <v>127</v>
      </c>
      <c r="R70" s="52">
        <v>100</v>
      </c>
      <c r="S70" s="52">
        <v>108</v>
      </c>
      <c r="T70" s="51">
        <f t="shared" si="13"/>
        <v>-15</v>
      </c>
      <c r="U70" s="43"/>
      <c r="V70" s="40">
        <v>50</v>
      </c>
      <c r="W70" s="52">
        <v>50</v>
      </c>
      <c r="X70" s="52">
        <v>60</v>
      </c>
      <c r="Y70" s="52">
        <v>62</v>
      </c>
      <c r="Z70" s="51">
        <f t="shared" si="14"/>
        <v>-2</v>
      </c>
      <c r="AA70" s="43"/>
      <c r="AB70" s="42"/>
      <c r="AC70" s="51"/>
      <c r="AD70" s="52">
        <v>110</v>
      </c>
      <c r="AE70" s="56">
        <v>114</v>
      </c>
      <c r="AF70" s="51">
        <v>-4</v>
      </c>
      <c r="AG70" s="43"/>
      <c r="AH70" s="51"/>
      <c r="AJ70">
        <v>90</v>
      </c>
      <c r="AK70">
        <v>97</v>
      </c>
      <c r="AL70" s="47">
        <v>-7</v>
      </c>
      <c r="AM70" s="43"/>
      <c r="AN70" s="40">
        <v>30</v>
      </c>
      <c r="AO70">
        <v>30</v>
      </c>
      <c r="AP70">
        <v>40</v>
      </c>
      <c r="AQ70">
        <v>42</v>
      </c>
      <c r="AR70" s="47">
        <v>-2</v>
      </c>
      <c r="AS70" s="43"/>
      <c r="AT70">
        <v>50</v>
      </c>
      <c r="AU70">
        <v>50</v>
      </c>
      <c r="AV70">
        <v>50</v>
      </c>
      <c r="AW70">
        <v>50</v>
      </c>
      <c r="AX70" s="47">
        <v>0</v>
      </c>
      <c r="AY70" s="43"/>
      <c r="BD70" s="47">
        <v>0</v>
      </c>
      <c r="BE70" s="43"/>
      <c r="BF70" s="40">
        <v>60</v>
      </c>
      <c r="BG70">
        <v>60</v>
      </c>
      <c r="BH70">
        <v>70</v>
      </c>
      <c r="BI70">
        <v>75</v>
      </c>
      <c r="BJ70" s="47">
        <v>-5</v>
      </c>
      <c r="BK70" s="43"/>
      <c r="BL70" s="40">
        <v>20</v>
      </c>
      <c r="BM70">
        <v>20</v>
      </c>
      <c r="BN70">
        <v>30</v>
      </c>
      <c r="BO70">
        <v>30</v>
      </c>
      <c r="BP70" s="47">
        <v>0</v>
      </c>
      <c r="BQ70" s="43"/>
      <c r="BR70">
        <v>20</v>
      </c>
      <c r="BS70">
        <v>20</v>
      </c>
      <c r="BT70">
        <v>40</v>
      </c>
      <c r="BU70">
        <v>40</v>
      </c>
      <c r="BV70" s="47">
        <v>0</v>
      </c>
      <c r="BW70" s="43"/>
      <c r="BX70" s="40">
        <v>20</v>
      </c>
      <c r="BY70">
        <v>20</v>
      </c>
      <c r="BZ70">
        <v>20</v>
      </c>
      <c r="CA70">
        <v>24</v>
      </c>
      <c r="CB70" s="47">
        <v>-4</v>
      </c>
      <c r="CC70" s="43"/>
      <c r="CF70">
        <v>30</v>
      </c>
      <c r="CG70">
        <v>33</v>
      </c>
      <c r="CH70" s="47">
        <v>-3</v>
      </c>
      <c r="CI70" s="43"/>
      <c r="CL70">
        <v>20</v>
      </c>
      <c r="CM70">
        <v>25</v>
      </c>
      <c r="CN70" s="47">
        <v>-5</v>
      </c>
      <c r="CO70" s="43"/>
      <c r="CP70" s="42"/>
      <c r="CR70">
        <v>10</v>
      </c>
      <c r="CS70">
        <v>17</v>
      </c>
      <c r="CT70" s="47">
        <v>-7</v>
      </c>
      <c r="CU70" s="43"/>
      <c r="CV70" s="42"/>
      <c r="CX70">
        <v>10</v>
      </c>
      <c r="CY70">
        <v>7</v>
      </c>
      <c r="CZ70" s="47">
        <v>3</v>
      </c>
      <c r="DA70" s="43"/>
      <c r="DE70">
        <v>30</v>
      </c>
      <c r="DF70">
        <v>36</v>
      </c>
      <c r="DG70" s="47">
        <v>-6</v>
      </c>
      <c r="DH70" s="43"/>
      <c r="DK70" s="47">
        <v>0</v>
      </c>
      <c r="DL70" s="43"/>
      <c r="DM70" s="40">
        <v>10</v>
      </c>
      <c r="DN70">
        <v>14</v>
      </c>
      <c r="DO70">
        <v>20</v>
      </c>
      <c r="DP70">
        <v>22</v>
      </c>
      <c r="DQ70" s="47">
        <v>-6</v>
      </c>
      <c r="DR70" s="43"/>
      <c r="DU70">
        <v>40</v>
      </c>
      <c r="DV70">
        <v>45</v>
      </c>
      <c r="DW70" s="47">
        <v>-5</v>
      </c>
      <c r="DX70" s="43"/>
      <c r="EC70" s="47">
        <v>0</v>
      </c>
      <c r="ED70" s="43"/>
      <c r="EE70" s="42"/>
      <c r="EG70" s="47">
        <v>50</v>
      </c>
      <c r="EH70">
        <v>50</v>
      </c>
      <c r="EI70" s="47">
        <v>0</v>
      </c>
      <c r="EJ70" s="43"/>
      <c r="EO70" s="47">
        <v>0</v>
      </c>
      <c r="EP70" s="43"/>
      <c r="EQ70" s="42"/>
      <c r="EU70" s="47">
        <v>0</v>
      </c>
      <c r="EV70" s="43"/>
      <c r="EW70" s="42"/>
      <c r="FC70" s="47">
        <v>0</v>
      </c>
      <c r="FD70" s="43"/>
      <c r="FE70" s="42"/>
      <c r="FI70" s="47">
        <v>0</v>
      </c>
      <c r="FJ70" s="43"/>
      <c r="FR70" s="43"/>
      <c r="FS70" s="42"/>
      <c r="FX70" s="43"/>
      <c r="FY70" s="42"/>
      <c r="GD70" s="43"/>
      <c r="GE70" s="40"/>
      <c r="GJ70" s="43"/>
      <c r="GR70" s="43"/>
      <c r="GY70" s="43"/>
      <c r="GZ70" s="42"/>
      <c r="HD70" s="43"/>
      <c r="HE70" s="40"/>
      <c r="HI70" s="43"/>
      <c r="HO70" s="43"/>
      <c r="HP70" s="40"/>
      <c r="HU70" s="50"/>
      <c r="HV70" s="43"/>
      <c r="IB70" s="43"/>
      <c r="IC70" s="40"/>
      <c r="IH70" s="43"/>
      <c r="IN70" s="43"/>
      <c r="IO70" s="40"/>
      <c r="IR70" s="43"/>
      <c r="IS70" s="40"/>
      <c r="IX70" s="43"/>
      <c r="IY70" s="40"/>
      <c r="JB70" s="43"/>
      <c r="JC70" s="40"/>
      <c r="JH70" s="43"/>
      <c r="JP70" s="43"/>
      <c r="JQ70" s="40"/>
      <c r="JV70" s="43"/>
      <c r="KB70" s="45"/>
      <c r="KH70" s="45"/>
      <c r="KN70" s="45"/>
      <c r="KT70" s="43"/>
      <c r="KX70" s="45"/>
      <c r="LD70" s="43"/>
      <c r="LE70" s="40"/>
      <c r="LH70" s="45"/>
      <c r="LN70" s="45"/>
      <c r="LT70" s="45"/>
      <c r="LZ70" s="45"/>
      <c r="MF70" s="45"/>
      <c r="MG70" s="40"/>
      <c r="MN70" s="45"/>
      <c r="MO70" s="44"/>
      <c r="MP70" s="44"/>
      <c r="MQ70" s="44"/>
      <c r="MR70" s="44"/>
      <c r="MT70" s="45"/>
      <c r="MU70" s="44"/>
      <c r="MV70" s="44"/>
      <c r="MW70" s="44"/>
      <c r="MX70" s="44"/>
      <c r="MZ70" s="45"/>
      <c r="NA70" s="46"/>
      <c r="NB70" s="44"/>
      <c r="ND70" s="45"/>
      <c r="NE70" s="46"/>
      <c r="NF70" s="44"/>
      <c r="NG70" s="44"/>
      <c r="NH70" s="44"/>
      <c r="NI70" s="44"/>
      <c r="NJ70" s="50"/>
      <c r="NK70" s="45"/>
      <c r="NL70" s="46"/>
      <c r="NM70" s="44"/>
      <c r="NN70" s="44"/>
      <c r="NO70" s="44"/>
      <c r="NQ70" s="45"/>
      <c r="NR70" s="46"/>
      <c r="NS70" s="44"/>
      <c r="NU70" s="45"/>
      <c r="NV70" s="46"/>
      <c r="NW70" s="44"/>
      <c r="NX70" s="44"/>
      <c r="NY70" s="44"/>
      <c r="OA70" s="45"/>
      <c r="OB70" s="46"/>
      <c r="OC70" s="44"/>
      <c r="OE70" s="45"/>
      <c r="OF70" s="46"/>
      <c r="OG70" s="44"/>
      <c r="OH70" s="44"/>
      <c r="OI70" s="44"/>
      <c r="OK70" s="45"/>
      <c r="OL70" s="44"/>
      <c r="OM70" s="43"/>
      <c r="ON70" s="44"/>
      <c r="OO70" s="44"/>
      <c r="OQ70" s="45"/>
      <c r="OR70" s="46"/>
      <c r="OS70" s="44"/>
      <c r="OT70" s="44"/>
      <c r="OU70" s="44"/>
      <c r="OW70" s="45"/>
      <c r="OX70" s="46"/>
      <c r="OY70" s="44"/>
      <c r="OZ70" s="44"/>
      <c r="PA70" s="44"/>
      <c r="PC70" s="45"/>
      <c r="PD70" s="46"/>
      <c r="PE70" s="44"/>
      <c r="PF70" s="44"/>
      <c r="PG70" s="44"/>
      <c r="PI70" s="45"/>
      <c r="PJ70" s="25"/>
      <c r="PK70" s="44"/>
      <c r="PL70" s="44"/>
      <c r="PM70" s="44"/>
      <c r="PO70" s="45"/>
      <c r="PP70" s="46"/>
      <c r="PQ70" s="44"/>
      <c r="PR70" s="44"/>
      <c r="PS70" s="44"/>
      <c r="PU70" s="45"/>
      <c r="PV70" s="46"/>
      <c r="PW70" s="44"/>
      <c r="PX70" s="50"/>
      <c r="PY70" s="45"/>
      <c r="PZ70" s="46"/>
      <c r="QA70" s="44"/>
      <c r="QC70" s="45"/>
      <c r="QD70" s="46"/>
      <c r="QE70" s="44"/>
      <c r="QF70" s="44"/>
      <c r="QG70" s="44"/>
      <c r="QH70" s="50"/>
      <c r="QI70" s="45"/>
      <c r="QJ70" s="46"/>
      <c r="QK70" s="44"/>
      <c r="QL70" s="50"/>
      <c r="QM70" s="45"/>
      <c r="QN70" s="46"/>
      <c r="QO70" s="44"/>
      <c r="QP70" s="44"/>
      <c r="QQ70" s="33"/>
      <c r="QR70" s="50"/>
      <c r="QS70" s="45"/>
      <c r="QT70" s="46"/>
      <c r="QU70" s="33"/>
      <c r="QV70" s="50"/>
      <c r="QW70" s="45"/>
      <c r="QX70" s="46"/>
      <c r="QY70" s="44"/>
      <c r="QZ70" s="44"/>
      <c r="RA70" s="33"/>
      <c r="RB70" s="50"/>
      <c r="RC70" s="45"/>
      <c r="RD70" s="42"/>
      <c r="RE70" s="44"/>
      <c r="RF70" s="44"/>
      <c r="RG70" s="44"/>
      <c r="RH70" s="50"/>
      <c r="RI70" s="45"/>
      <c r="RJ70" s="42"/>
      <c r="RO70" s="43"/>
      <c r="RP70" s="42"/>
      <c r="RS70" s="43"/>
      <c r="RT70" s="42"/>
      <c r="RY70" s="43"/>
      <c r="RZ70" s="42"/>
      <c r="SE70" s="43"/>
      <c r="SF70" s="42"/>
      <c r="SK70" s="43"/>
      <c r="SL70" s="42"/>
      <c r="SO70" s="43"/>
      <c r="SP70" s="42"/>
      <c r="SU70" s="43"/>
    </row>
    <row r="71" spans="1:515" x14ac:dyDescent="0.25">
      <c r="A71" s="47" t="s">
        <v>378</v>
      </c>
      <c r="B71" s="41">
        <v>0.4</v>
      </c>
      <c r="E71">
        <v>241</v>
      </c>
      <c r="F71">
        <v>156</v>
      </c>
      <c r="G71">
        <v>160</v>
      </c>
      <c r="J71" s="40">
        <v>72</v>
      </c>
      <c r="K71" s="52">
        <v>73</v>
      </c>
      <c r="L71" s="52">
        <v>54</v>
      </c>
      <c r="M71" s="52">
        <v>59</v>
      </c>
      <c r="N71" s="51">
        <f t="shared" si="12"/>
        <v>-6</v>
      </c>
      <c r="O71" s="43"/>
      <c r="P71" s="46"/>
      <c r="Q71" s="51"/>
      <c r="R71" s="51"/>
      <c r="S71" s="51"/>
      <c r="T71" s="51">
        <f t="shared" si="13"/>
        <v>0</v>
      </c>
      <c r="U71" s="43"/>
      <c r="V71" s="40">
        <v>222</v>
      </c>
      <c r="W71" s="52">
        <v>227</v>
      </c>
      <c r="X71" s="52">
        <v>108</v>
      </c>
      <c r="Y71" s="52">
        <v>113</v>
      </c>
      <c r="Z71" s="51">
        <f t="shared" si="14"/>
        <v>-10</v>
      </c>
      <c r="AA71" s="43"/>
      <c r="AB71" s="42"/>
      <c r="AC71" s="51"/>
      <c r="AD71" s="52">
        <v>42</v>
      </c>
      <c r="AE71" s="56">
        <v>44</v>
      </c>
      <c r="AF71" s="51">
        <v>-2</v>
      </c>
      <c r="AG71" s="43"/>
      <c r="AH71" s="52">
        <v>132</v>
      </c>
      <c r="AI71">
        <v>133</v>
      </c>
      <c r="AJ71">
        <v>102</v>
      </c>
      <c r="AK71">
        <v>107</v>
      </c>
      <c r="AL71" s="47">
        <v>-6</v>
      </c>
      <c r="AM71" s="43"/>
      <c r="AN71" s="40">
        <v>36</v>
      </c>
      <c r="AO71">
        <v>40</v>
      </c>
      <c r="AP71">
        <v>72</v>
      </c>
      <c r="AQ71">
        <v>74</v>
      </c>
      <c r="AR71" s="47">
        <v>-6</v>
      </c>
      <c r="AS71" s="43"/>
      <c r="AT71">
        <v>72</v>
      </c>
      <c r="AU71">
        <v>72</v>
      </c>
      <c r="AX71" s="47">
        <v>0</v>
      </c>
      <c r="AY71" s="43"/>
      <c r="AZ71">
        <v>162</v>
      </c>
      <c r="BA71">
        <v>160</v>
      </c>
      <c r="BB71">
        <v>180</v>
      </c>
      <c r="BC71">
        <v>183</v>
      </c>
      <c r="BD71" s="47">
        <v>-1</v>
      </c>
      <c r="BE71" s="43"/>
      <c r="BF71" s="42"/>
      <c r="BH71">
        <v>12</v>
      </c>
      <c r="BI71">
        <v>10</v>
      </c>
      <c r="BJ71" s="47">
        <v>2</v>
      </c>
      <c r="BK71" s="43"/>
      <c r="BL71" s="40">
        <v>78</v>
      </c>
      <c r="BM71">
        <v>80</v>
      </c>
      <c r="BN71">
        <v>96</v>
      </c>
      <c r="BO71">
        <v>98</v>
      </c>
      <c r="BP71" s="47">
        <v>-4</v>
      </c>
      <c r="BQ71" s="43"/>
      <c r="BV71" s="47">
        <v>0</v>
      </c>
      <c r="BW71" s="43"/>
      <c r="BX71" s="40">
        <v>198</v>
      </c>
      <c r="BY71">
        <v>200</v>
      </c>
      <c r="BZ71">
        <v>246</v>
      </c>
      <c r="CA71">
        <v>248</v>
      </c>
      <c r="CB71" s="47">
        <v>-4</v>
      </c>
      <c r="CC71" s="43"/>
      <c r="CH71" s="47">
        <v>0</v>
      </c>
      <c r="CI71" s="43"/>
      <c r="CN71" s="47">
        <v>0</v>
      </c>
      <c r="CO71" s="43"/>
      <c r="CP71" s="40">
        <v>198</v>
      </c>
      <c r="CQ71">
        <v>200</v>
      </c>
      <c r="CR71">
        <v>240</v>
      </c>
      <c r="CS71">
        <v>241</v>
      </c>
      <c r="CT71" s="47">
        <v>-3</v>
      </c>
      <c r="CU71" s="43"/>
      <c r="CV71" s="42"/>
      <c r="CZ71" s="47">
        <v>0</v>
      </c>
      <c r="DA71" s="43"/>
      <c r="DB71">
        <v>150</v>
      </c>
      <c r="DC71">
        <v>150</v>
      </c>
      <c r="DE71">
        <v>198</v>
      </c>
      <c r="DF71">
        <v>196</v>
      </c>
      <c r="DG71" s="47">
        <v>2</v>
      </c>
      <c r="DH71" s="43"/>
      <c r="DK71" s="47">
        <v>0</v>
      </c>
      <c r="DL71" s="43"/>
      <c r="DM71" s="40">
        <v>120</v>
      </c>
      <c r="DN71">
        <v>122</v>
      </c>
      <c r="DO71">
        <v>210</v>
      </c>
      <c r="DP71">
        <v>212</v>
      </c>
      <c r="DQ71" s="47">
        <v>-4</v>
      </c>
      <c r="DR71" s="43"/>
      <c r="DW71" s="47">
        <v>0</v>
      </c>
      <c r="DX71" s="43"/>
      <c r="EA71">
        <v>90</v>
      </c>
      <c r="EB71">
        <v>88</v>
      </c>
      <c r="EC71" s="47">
        <v>2</v>
      </c>
      <c r="ED71" s="43"/>
      <c r="EE71" s="42"/>
      <c r="EG71">
        <v>210</v>
      </c>
      <c r="EH71">
        <v>210</v>
      </c>
      <c r="EI71" s="47">
        <v>0</v>
      </c>
      <c r="EJ71" s="43"/>
      <c r="EM71">
        <v>72</v>
      </c>
      <c r="EN71">
        <v>74</v>
      </c>
      <c r="EO71" s="47">
        <v>-2</v>
      </c>
      <c r="EP71" s="43"/>
      <c r="EQ71" s="42"/>
      <c r="EU71" s="47">
        <v>0</v>
      </c>
      <c r="EV71" s="43"/>
      <c r="EW71" s="42"/>
      <c r="FA71">
        <v>210</v>
      </c>
      <c r="FB71">
        <v>210</v>
      </c>
      <c r="FC71" s="47">
        <v>0</v>
      </c>
      <c r="FD71" s="43"/>
      <c r="FE71" s="42"/>
      <c r="FI71" s="47">
        <v>0</v>
      </c>
      <c r="FJ71" s="43"/>
      <c r="FM71">
        <v>138</v>
      </c>
      <c r="FN71">
        <v>140</v>
      </c>
      <c r="FO71">
        <v>198</v>
      </c>
      <c r="FP71">
        <v>200</v>
      </c>
      <c r="FQ71" s="47">
        <v>-4</v>
      </c>
      <c r="FR71" s="43"/>
      <c r="FS71" s="42"/>
      <c r="FW71" s="47">
        <v>0</v>
      </c>
      <c r="FX71" s="43"/>
      <c r="FY71" s="42"/>
      <c r="GC71" s="47">
        <v>0</v>
      </c>
      <c r="GD71" s="43"/>
      <c r="GE71" s="40">
        <v>150</v>
      </c>
      <c r="GF71">
        <v>150</v>
      </c>
      <c r="GG71">
        <v>150</v>
      </c>
      <c r="GH71">
        <v>150</v>
      </c>
      <c r="GI71" s="47">
        <v>0</v>
      </c>
      <c r="GJ71" s="43"/>
      <c r="GQ71" s="47">
        <v>0</v>
      </c>
      <c r="GR71" s="43"/>
      <c r="GU71">
        <v>180</v>
      </c>
      <c r="GW71">
        <v>180</v>
      </c>
      <c r="GX71" s="47">
        <v>0</v>
      </c>
      <c r="GY71" s="43"/>
      <c r="GZ71" s="40">
        <v>6</v>
      </c>
      <c r="HB71" s="44">
        <v>6</v>
      </c>
      <c r="HC71" s="47">
        <v>0</v>
      </c>
      <c r="HD71" s="43"/>
      <c r="HE71" s="42"/>
      <c r="HH71" s="47">
        <v>0</v>
      </c>
      <c r="HI71" s="43"/>
      <c r="HN71" s="47">
        <v>0</v>
      </c>
      <c r="HO71" s="43"/>
      <c r="HP71" s="40">
        <v>78</v>
      </c>
      <c r="HR71">
        <v>80</v>
      </c>
      <c r="HS71">
        <v>102</v>
      </c>
      <c r="HT71">
        <v>100</v>
      </c>
      <c r="HU71" s="47">
        <v>0</v>
      </c>
      <c r="HV71" s="43"/>
      <c r="IA71" s="47">
        <v>0</v>
      </c>
      <c r="IB71" s="43"/>
      <c r="IC71" s="42"/>
      <c r="IE71">
        <v>108</v>
      </c>
      <c r="IF71">
        <v>110</v>
      </c>
      <c r="IG71" s="47">
        <v>-2</v>
      </c>
      <c r="IH71" s="43"/>
      <c r="IM71" s="47">
        <v>0</v>
      </c>
      <c r="IN71" s="43"/>
      <c r="IO71" s="42"/>
      <c r="IQ71" s="47">
        <v>0</v>
      </c>
      <c r="IR71" s="43"/>
      <c r="IS71" s="40">
        <v>102</v>
      </c>
      <c r="IT71">
        <v>100</v>
      </c>
      <c r="IU71">
        <v>138</v>
      </c>
      <c r="IV71">
        <v>140</v>
      </c>
      <c r="IW71" s="47">
        <v>0</v>
      </c>
      <c r="IX71" s="43"/>
      <c r="IY71" s="40">
        <v>42</v>
      </c>
      <c r="IZ71">
        <v>40</v>
      </c>
      <c r="JA71" s="47">
        <v>2</v>
      </c>
      <c r="JB71" s="43"/>
      <c r="JC71" s="42"/>
      <c r="JG71" s="47">
        <v>0</v>
      </c>
      <c r="JH71" s="43"/>
      <c r="JM71">
        <v>228</v>
      </c>
      <c r="JN71">
        <v>230</v>
      </c>
      <c r="JO71" s="47">
        <v>-2</v>
      </c>
      <c r="JP71" s="43"/>
      <c r="JQ71" s="42"/>
      <c r="JU71" s="47">
        <v>0</v>
      </c>
      <c r="JV71" s="43"/>
      <c r="JW71">
        <v>102</v>
      </c>
      <c r="JX71">
        <v>100</v>
      </c>
      <c r="JY71">
        <v>144</v>
      </c>
      <c r="JZ71">
        <v>145</v>
      </c>
      <c r="KA71" s="47">
        <v>1</v>
      </c>
      <c r="KB71" s="45"/>
      <c r="KG71" s="47">
        <v>0</v>
      </c>
      <c r="KH71" s="45"/>
      <c r="KI71">
        <v>78</v>
      </c>
      <c r="KJ71">
        <v>80</v>
      </c>
      <c r="KK71">
        <v>60</v>
      </c>
      <c r="KL71">
        <v>60</v>
      </c>
      <c r="KM71" s="47">
        <v>-2</v>
      </c>
      <c r="KN71" s="45"/>
      <c r="KQ71">
        <v>18</v>
      </c>
      <c r="KR71">
        <v>16</v>
      </c>
      <c r="KS71" s="47">
        <v>2</v>
      </c>
      <c r="KT71" s="43"/>
      <c r="KU71">
        <v>102</v>
      </c>
      <c r="KV71">
        <v>100</v>
      </c>
      <c r="KW71" s="47">
        <v>2</v>
      </c>
      <c r="KX71" s="45"/>
      <c r="LA71">
        <v>60</v>
      </c>
      <c r="LB71">
        <v>61</v>
      </c>
      <c r="LC71" s="47">
        <v>-1</v>
      </c>
      <c r="LD71" s="43"/>
      <c r="LE71" s="40">
        <v>42</v>
      </c>
      <c r="LF71" s="44">
        <v>40</v>
      </c>
      <c r="LG71" s="47">
        <v>2</v>
      </c>
      <c r="LH71" s="45"/>
      <c r="LK71">
        <v>48</v>
      </c>
      <c r="LL71">
        <v>50</v>
      </c>
      <c r="LM71" s="47">
        <v>-2</v>
      </c>
      <c r="LN71" s="45"/>
      <c r="LS71" s="47">
        <v>0</v>
      </c>
      <c r="LT71" s="45"/>
      <c r="LW71">
        <v>210</v>
      </c>
      <c r="LX71">
        <v>210</v>
      </c>
      <c r="LY71" s="47">
        <v>0</v>
      </c>
      <c r="LZ71" s="45"/>
      <c r="MA71">
        <v>18</v>
      </c>
      <c r="MB71">
        <v>20</v>
      </c>
      <c r="ME71" s="47">
        <v>-2</v>
      </c>
      <c r="MF71" s="45"/>
      <c r="MG71" s="40">
        <v>60</v>
      </c>
      <c r="MH71">
        <v>60</v>
      </c>
      <c r="MI71">
        <v>60</v>
      </c>
      <c r="MJ71">
        <v>60</v>
      </c>
      <c r="MK71">
        <v>60</v>
      </c>
      <c r="ML71">
        <v>60</v>
      </c>
      <c r="MM71" s="47">
        <v>0</v>
      </c>
      <c r="MN71" s="45"/>
      <c r="MO71" s="44">
        <v>0</v>
      </c>
      <c r="MP71" s="44">
        <v>0</v>
      </c>
      <c r="MQ71" s="44">
        <v>120</v>
      </c>
      <c r="MR71" s="44">
        <v>120</v>
      </c>
      <c r="MS71" s="47">
        <v>0</v>
      </c>
      <c r="MT71" s="45"/>
      <c r="MU71" s="44">
        <v>0</v>
      </c>
      <c r="MV71" s="44">
        <v>0</v>
      </c>
      <c r="MW71" s="44">
        <v>18</v>
      </c>
      <c r="MX71" s="44">
        <v>20</v>
      </c>
      <c r="MY71" s="47">
        <v>-2</v>
      </c>
      <c r="MZ71" s="45"/>
      <c r="NA71" s="46">
        <v>42</v>
      </c>
      <c r="NB71" s="44">
        <v>40</v>
      </c>
      <c r="NC71" s="47">
        <v>2</v>
      </c>
      <c r="ND71" s="45"/>
      <c r="NE71" s="46">
        <v>120</v>
      </c>
      <c r="NF71" s="44">
        <v>120</v>
      </c>
      <c r="NG71" s="44">
        <v>102</v>
      </c>
      <c r="NH71" s="44">
        <v>0</v>
      </c>
      <c r="NI71" s="44">
        <v>100</v>
      </c>
      <c r="NJ71" s="47">
        <v>2</v>
      </c>
      <c r="NK71" s="45"/>
      <c r="NL71" s="46">
        <v>0</v>
      </c>
      <c r="NM71" s="44">
        <v>0</v>
      </c>
      <c r="NN71" s="44">
        <v>102</v>
      </c>
      <c r="NO71" s="44">
        <v>100</v>
      </c>
      <c r="NP71" s="47">
        <v>2</v>
      </c>
      <c r="NQ71" s="45"/>
      <c r="NR71" s="46">
        <v>18</v>
      </c>
      <c r="NS71" s="44">
        <v>20</v>
      </c>
      <c r="NT71" s="47">
        <v>-2</v>
      </c>
      <c r="NU71" s="45"/>
      <c r="NV71" s="46">
        <v>0</v>
      </c>
      <c r="NW71" s="44">
        <v>0</v>
      </c>
      <c r="NX71" s="44">
        <v>0</v>
      </c>
      <c r="NY71" s="44">
        <v>0</v>
      </c>
      <c r="NZ71" s="47">
        <v>0</v>
      </c>
      <c r="OA71" s="45"/>
      <c r="OB71" s="46">
        <v>288</v>
      </c>
      <c r="OC71" s="44">
        <v>290</v>
      </c>
      <c r="OD71" s="47">
        <v>-2</v>
      </c>
      <c r="OE71" s="45"/>
      <c r="OF71" s="46">
        <v>0</v>
      </c>
      <c r="OG71" s="44">
        <v>0</v>
      </c>
      <c r="OH71" s="44">
        <v>0</v>
      </c>
      <c r="OI71" s="44">
        <v>0</v>
      </c>
      <c r="OJ71" s="47">
        <v>0</v>
      </c>
      <c r="OK71" s="45"/>
      <c r="OL71" s="44">
        <v>0</v>
      </c>
      <c r="OM71" s="43"/>
      <c r="ON71" s="44">
        <v>102</v>
      </c>
      <c r="OO71" s="44">
        <v>100</v>
      </c>
      <c r="OP71" s="47">
        <v>2</v>
      </c>
      <c r="OQ71" s="45"/>
      <c r="OR71" s="46">
        <v>0</v>
      </c>
      <c r="OS71" s="44">
        <v>0</v>
      </c>
      <c r="OT71" s="44">
        <v>84</v>
      </c>
      <c r="OU71" s="44">
        <v>85</v>
      </c>
      <c r="OV71" s="47">
        <v>-1</v>
      </c>
      <c r="OW71" s="45"/>
      <c r="OX71" s="25">
        <v>72</v>
      </c>
      <c r="OY71" s="44">
        <v>0</v>
      </c>
      <c r="OZ71" s="44">
        <v>84</v>
      </c>
      <c r="PA71" s="44">
        <v>85</v>
      </c>
      <c r="PB71" s="47">
        <v>71</v>
      </c>
      <c r="PC71" s="45"/>
      <c r="PD71" s="46">
        <v>0</v>
      </c>
      <c r="PE71" s="44">
        <v>0</v>
      </c>
      <c r="PF71" s="44">
        <v>0</v>
      </c>
      <c r="PG71" s="44">
        <v>0</v>
      </c>
      <c r="PH71" s="47">
        <v>0</v>
      </c>
      <c r="PI71" s="45"/>
      <c r="PJ71" s="46">
        <v>0</v>
      </c>
      <c r="PK71" s="44">
        <v>0</v>
      </c>
      <c r="PL71" s="44">
        <v>48</v>
      </c>
      <c r="PM71" s="44">
        <v>50</v>
      </c>
      <c r="PN71" s="47">
        <v>-2</v>
      </c>
      <c r="PO71" s="45"/>
      <c r="PP71" s="46">
        <v>0</v>
      </c>
      <c r="PQ71" s="44">
        <v>0</v>
      </c>
      <c r="PR71" s="32">
        <v>252</v>
      </c>
      <c r="PS71" s="44">
        <v>30</v>
      </c>
      <c r="PT71" s="47">
        <v>222</v>
      </c>
      <c r="PU71" s="45"/>
      <c r="PV71" s="46">
        <v>24</v>
      </c>
      <c r="PW71" s="44">
        <v>25</v>
      </c>
      <c r="PX71" s="47">
        <v>-1</v>
      </c>
      <c r="PY71" s="45"/>
      <c r="PZ71" s="46">
        <v>0</v>
      </c>
      <c r="QA71" s="44">
        <v>0</v>
      </c>
      <c r="QB71" s="47">
        <v>0</v>
      </c>
      <c r="QC71" s="45"/>
      <c r="QD71" s="46">
        <v>0</v>
      </c>
      <c r="QE71" s="44">
        <v>0</v>
      </c>
      <c r="QF71" s="44">
        <v>30</v>
      </c>
      <c r="QG71" s="44">
        <v>30</v>
      </c>
      <c r="QH71" s="47">
        <v>0</v>
      </c>
      <c r="QI71" s="45"/>
      <c r="QJ71" s="46">
        <v>0</v>
      </c>
      <c r="QK71" s="44">
        <v>0</v>
      </c>
      <c r="QL71" s="47">
        <v>0</v>
      </c>
      <c r="QM71" s="45"/>
      <c r="QN71" s="46">
        <v>72</v>
      </c>
      <c r="QO71" s="44">
        <v>70</v>
      </c>
      <c r="QP71" s="44">
        <v>60</v>
      </c>
      <c r="QQ71" s="44">
        <v>60</v>
      </c>
      <c r="QR71" s="47">
        <v>2</v>
      </c>
      <c r="QS71" s="45"/>
      <c r="QT71" s="46">
        <v>12</v>
      </c>
      <c r="QU71" s="44">
        <v>14</v>
      </c>
      <c r="QV71" s="47">
        <v>-2</v>
      </c>
      <c r="QW71" s="45"/>
      <c r="QX71" s="46">
        <v>0</v>
      </c>
      <c r="QY71" s="44">
        <v>0</v>
      </c>
      <c r="QZ71" s="44">
        <v>36</v>
      </c>
      <c r="RA71" s="44">
        <v>35</v>
      </c>
      <c r="RB71" s="47">
        <v>1</v>
      </c>
      <c r="RC71" s="45"/>
      <c r="RD71" s="42">
        <v>0</v>
      </c>
      <c r="RE71" s="44">
        <v>0</v>
      </c>
      <c r="RF71" s="44">
        <v>108</v>
      </c>
      <c r="RG71" s="44">
        <v>107</v>
      </c>
      <c r="RH71" s="47">
        <v>1</v>
      </c>
      <c r="RI71" s="45"/>
      <c r="RJ71" s="42">
        <v>18</v>
      </c>
      <c r="RK71" s="47">
        <v>20</v>
      </c>
      <c r="RL71" s="47">
        <v>0</v>
      </c>
      <c r="RM71" s="47">
        <v>0</v>
      </c>
      <c r="RN71" s="47">
        <v>-2</v>
      </c>
      <c r="RO71" s="43"/>
      <c r="RP71" s="42">
        <v>42</v>
      </c>
      <c r="RQ71" s="47">
        <v>40</v>
      </c>
      <c r="RR71" s="47">
        <v>2</v>
      </c>
      <c r="RS71" s="43"/>
      <c r="RT71" s="42">
        <v>60</v>
      </c>
      <c r="RU71" s="47">
        <v>59</v>
      </c>
      <c r="RV71" s="47">
        <v>72</v>
      </c>
      <c r="RW71" s="47">
        <v>70</v>
      </c>
      <c r="RX71" s="47">
        <v>3</v>
      </c>
      <c r="RY71" s="43"/>
      <c r="RZ71" s="42">
        <v>30</v>
      </c>
      <c r="SA71" s="47">
        <v>30</v>
      </c>
      <c r="SB71" s="47">
        <v>0</v>
      </c>
      <c r="SC71" s="47">
        <v>0</v>
      </c>
      <c r="SD71" s="47">
        <v>0</v>
      </c>
      <c r="SE71" s="43"/>
      <c r="SF71" s="42">
        <v>0</v>
      </c>
      <c r="SG71" s="47">
        <v>80</v>
      </c>
      <c r="SH71" s="47">
        <v>0</v>
      </c>
      <c r="SI71" s="47">
        <v>0</v>
      </c>
      <c r="SJ71" s="50">
        <v>-80</v>
      </c>
      <c r="SK71" s="43">
        <v>32</v>
      </c>
      <c r="SL71" s="42">
        <v>78</v>
      </c>
      <c r="SM71" s="47">
        <v>80</v>
      </c>
      <c r="SN71" s="47">
        <v>-2</v>
      </c>
      <c r="SO71" s="43"/>
      <c r="SP71" s="42">
        <v>0</v>
      </c>
      <c r="SQ71" s="47">
        <v>0</v>
      </c>
      <c r="SR71" s="47">
        <v>138</v>
      </c>
      <c r="SS71" s="47">
        <v>137</v>
      </c>
      <c r="ST71" s="47">
        <v>1</v>
      </c>
      <c r="SU71" s="43"/>
    </row>
    <row r="72" spans="1:515" x14ac:dyDescent="0.25">
      <c r="A72" s="47" t="s">
        <v>379</v>
      </c>
      <c r="B72" s="41">
        <v>0.4</v>
      </c>
      <c r="J72" s="42"/>
      <c r="K72" s="51"/>
      <c r="L72" s="51"/>
      <c r="M72" s="51"/>
      <c r="N72" s="51">
        <f t="shared" si="12"/>
        <v>0</v>
      </c>
      <c r="O72" s="43"/>
      <c r="P72" s="46"/>
      <c r="Q72" s="51"/>
      <c r="R72" s="51"/>
      <c r="S72" s="51"/>
      <c r="T72" s="51">
        <f t="shared" si="13"/>
        <v>0</v>
      </c>
      <c r="U72" s="43"/>
      <c r="V72" s="42"/>
      <c r="W72" s="51"/>
      <c r="X72" s="51"/>
      <c r="Y72" s="51"/>
      <c r="Z72" s="51">
        <f t="shared" si="14"/>
        <v>0</v>
      </c>
      <c r="AA72" s="43"/>
      <c r="AB72" s="42"/>
      <c r="AC72" s="51"/>
      <c r="AD72" s="51"/>
      <c r="AE72" s="51"/>
      <c r="AF72" s="51">
        <v>0</v>
      </c>
      <c r="AG72" s="43"/>
      <c r="AH72" s="51"/>
      <c r="AL72" s="47">
        <v>0</v>
      </c>
      <c r="AM72" s="43"/>
      <c r="AN72" s="42"/>
      <c r="AR72" s="47">
        <v>0</v>
      </c>
      <c r="AS72" s="43"/>
      <c r="AX72" s="47">
        <v>0</v>
      </c>
      <c r="AY72" s="43"/>
      <c r="BD72" s="47">
        <v>0</v>
      </c>
      <c r="BE72" s="43"/>
      <c r="BF72" s="42"/>
      <c r="BJ72" s="47">
        <v>0</v>
      </c>
      <c r="BK72" s="43"/>
      <c r="BL72" s="42"/>
      <c r="BP72" s="47">
        <v>0</v>
      </c>
      <c r="BQ72" s="43"/>
      <c r="BV72" s="47">
        <v>0</v>
      </c>
      <c r="BW72" s="43"/>
      <c r="BX72" s="42"/>
      <c r="CB72" s="47">
        <v>0</v>
      </c>
      <c r="CC72" s="43"/>
      <c r="CH72" s="47">
        <v>0</v>
      </c>
      <c r="CI72" s="43"/>
      <c r="CN72" s="47">
        <v>0</v>
      </c>
      <c r="CO72" s="43"/>
      <c r="CP72" s="42"/>
      <c r="CT72" s="47">
        <v>0</v>
      </c>
      <c r="CU72" s="43"/>
      <c r="CV72" s="42"/>
      <c r="CZ72" s="47">
        <v>0</v>
      </c>
      <c r="DA72" s="43"/>
      <c r="DG72" s="47">
        <v>0</v>
      </c>
      <c r="DH72" s="43"/>
      <c r="DK72" s="47">
        <v>0</v>
      </c>
      <c r="DL72" s="43"/>
      <c r="DM72" s="42"/>
      <c r="DQ72" s="47">
        <v>0</v>
      </c>
      <c r="DR72" s="43"/>
      <c r="DW72" s="47">
        <v>0</v>
      </c>
      <c r="DX72" s="43"/>
      <c r="EC72" s="47">
        <v>0</v>
      </c>
      <c r="ED72" s="43"/>
      <c r="EE72" s="42"/>
      <c r="EI72" s="47">
        <v>0</v>
      </c>
      <c r="EJ72" s="43"/>
      <c r="EO72" s="47">
        <v>0</v>
      </c>
      <c r="EP72" s="43"/>
      <c r="EQ72" s="42"/>
      <c r="EU72" s="47">
        <v>0</v>
      </c>
      <c r="EV72" s="43"/>
      <c r="EW72" s="42"/>
      <c r="FC72" s="47">
        <v>0</v>
      </c>
      <c r="FD72" s="43"/>
      <c r="FE72" s="42"/>
      <c r="FI72" s="47">
        <v>0</v>
      </c>
      <c r="FJ72" s="43"/>
      <c r="FQ72" s="47">
        <v>0</v>
      </c>
      <c r="FR72" s="43"/>
      <c r="FS72" s="42"/>
      <c r="FW72" s="47">
        <v>0</v>
      </c>
      <c r="FX72" s="43"/>
      <c r="FY72" s="42"/>
      <c r="GC72" s="47">
        <v>0</v>
      </c>
      <c r="GD72" s="43"/>
      <c r="GE72" s="42"/>
      <c r="GI72" s="47">
        <v>0</v>
      </c>
      <c r="GJ72" s="43"/>
      <c r="GQ72" s="47">
        <v>0</v>
      </c>
      <c r="GR72" s="43"/>
      <c r="GX72" s="47">
        <v>0</v>
      </c>
      <c r="GY72" s="43"/>
      <c r="GZ72" s="42"/>
      <c r="HC72" s="47">
        <v>0</v>
      </c>
      <c r="HD72" s="43"/>
      <c r="HE72" s="40">
        <v>6</v>
      </c>
      <c r="HG72">
        <v>7</v>
      </c>
      <c r="HH72" s="47">
        <v>-1</v>
      </c>
      <c r="HI72" s="43"/>
      <c r="HN72" s="47">
        <v>0</v>
      </c>
      <c r="HO72" s="43"/>
      <c r="HP72" s="42"/>
      <c r="HU72" s="47">
        <v>0</v>
      </c>
      <c r="HV72" s="43"/>
      <c r="HW72">
        <v>42</v>
      </c>
      <c r="HX72">
        <v>42</v>
      </c>
      <c r="HY72">
        <v>60</v>
      </c>
      <c r="HZ72">
        <v>58</v>
      </c>
      <c r="IA72" s="47">
        <v>2</v>
      </c>
      <c r="IB72" s="43"/>
      <c r="IC72" s="42"/>
      <c r="IE72">
        <v>12</v>
      </c>
      <c r="IF72">
        <v>12</v>
      </c>
      <c r="IG72" s="47">
        <v>0</v>
      </c>
      <c r="IH72" s="43"/>
      <c r="IM72" s="47">
        <v>0</v>
      </c>
      <c r="IN72" s="43"/>
      <c r="IO72" s="40">
        <v>210</v>
      </c>
      <c r="IP72" s="44">
        <v>210</v>
      </c>
      <c r="IQ72" s="47">
        <v>0</v>
      </c>
      <c r="IR72" s="43"/>
      <c r="IS72" s="42"/>
      <c r="IU72">
        <v>78</v>
      </c>
      <c r="IV72">
        <v>80</v>
      </c>
      <c r="IW72" s="47">
        <v>-2</v>
      </c>
      <c r="IX72" s="43"/>
      <c r="IY72" s="40">
        <v>150</v>
      </c>
      <c r="IZ72">
        <v>150</v>
      </c>
      <c r="JA72" s="47">
        <v>0</v>
      </c>
      <c r="JB72" s="43"/>
      <c r="JC72" s="42"/>
      <c r="JG72" s="47">
        <v>0</v>
      </c>
      <c r="JH72" s="43"/>
      <c r="JK72">
        <v>198</v>
      </c>
      <c r="JL72">
        <v>200</v>
      </c>
      <c r="JM72">
        <v>150</v>
      </c>
      <c r="JN72">
        <v>150</v>
      </c>
      <c r="JO72" s="47">
        <v>-2</v>
      </c>
      <c r="JP72" s="43"/>
      <c r="JQ72" s="42"/>
      <c r="JS72">
        <v>24</v>
      </c>
      <c r="JT72">
        <v>24</v>
      </c>
      <c r="JU72" s="47">
        <v>0</v>
      </c>
      <c r="JV72" s="43"/>
      <c r="JY72">
        <v>72</v>
      </c>
      <c r="JZ72">
        <v>70</v>
      </c>
      <c r="KA72" s="47">
        <v>2</v>
      </c>
      <c r="KB72" s="45"/>
      <c r="KG72" s="47">
        <v>0</v>
      </c>
      <c r="KH72" s="45"/>
      <c r="KM72" s="47">
        <v>0</v>
      </c>
      <c r="KN72" s="45"/>
      <c r="KS72" s="47">
        <v>0</v>
      </c>
      <c r="KT72" s="43"/>
      <c r="KU72">
        <v>102</v>
      </c>
      <c r="KV72">
        <v>100</v>
      </c>
      <c r="KW72" s="47">
        <v>2</v>
      </c>
      <c r="KX72" s="45"/>
      <c r="LC72" s="47">
        <v>0</v>
      </c>
      <c r="LD72" s="43"/>
      <c r="LE72" s="40">
        <v>120</v>
      </c>
      <c r="LF72" s="44">
        <v>120</v>
      </c>
      <c r="LG72" s="47">
        <v>0</v>
      </c>
      <c r="LH72" s="45"/>
      <c r="LK72">
        <v>72</v>
      </c>
      <c r="LL72">
        <v>70</v>
      </c>
      <c r="LM72" s="47">
        <v>2</v>
      </c>
      <c r="LN72" s="45"/>
      <c r="LO72">
        <v>12</v>
      </c>
      <c r="LP72">
        <v>15</v>
      </c>
      <c r="LS72" s="47">
        <v>-3</v>
      </c>
      <c r="LT72" s="45"/>
      <c r="LW72">
        <v>102</v>
      </c>
      <c r="LX72">
        <v>100</v>
      </c>
      <c r="LY72" s="47">
        <v>2</v>
      </c>
      <c r="LZ72" s="45"/>
      <c r="MA72">
        <v>48</v>
      </c>
      <c r="MB72">
        <v>50</v>
      </c>
      <c r="MC72">
        <v>120</v>
      </c>
      <c r="MD72">
        <v>120</v>
      </c>
      <c r="ME72" s="47">
        <v>-2</v>
      </c>
      <c r="MF72" s="45"/>
      <c r="MG72" s="40">
        <v>78</v>
      </c>
      <c r="MH72">
        <v>80</v>
      </c>
      <c r="MI72">
        <v>78</v>
      </c>
      <c r="MJ72">
        <v>80</v>
      </c>
      <c r="MK72">
        <v>48</v>
      </c>
      <c r="ML72">
        <v>70</v>
      </c>
      <c r="MM72" s="50">
        <v>-26</v>
      </c>
      <c r="MN72" s="45">
        <v>10.4</v>
      </c>
      <c r="MO72" s="44">
        <v>0</v>
      </c>
      <c r="MP72" s="44">
        <v>0</v>
      </c>
      <c r="MQ72" s="44">
        <v>0</v>
      </c>
      <c r="MR72" s="44">
        <v>0</v>
      </c>
      <c r="MS72" s="47">
        <v>0</v>
      </c>
      <c r="MT72" s="45"/>
      <c r="MU72" s="44">
        <v>78</v>
      </c>
      <c r="MV72" s="44">
        <v>80</v>
      </c>
      <c r="MW72" s="44">
        <v>108</v>
      </c>
      <c r="MX72" s="44">
        <v>106</v>
      </c>
      <c r="MY72" s="47">
        <v>0</v>
      </c>
      <c r="MZ72" s="45"/>
      <c r="NA72" s="46">
        <v>126</v>
      </c>
      <c r="NB72" s="44">
        <v>530</v>
      </c>
      <c r="NC72" s="50">
        <v>-404</v>
      </c>
      <c r="ND72" s="45">
        <v>161.6</v>
      </c>
      <c r="NE72" s="46">
        <v>78</v>
      </c>
      <c r="NF72" s="44">
        <v>80</v>
      </c>
      <c r="NG72" s="44">
        <v>108</v>
      </c>
      <c r="NH72" s="44">
        <v>0</v>
      </c>
      <c r="NI72" s="44">
        <v>70</v>
      </c>
      <c r="NJ72" s="47">
        <v>36</v>
      </c>
      <c r="NK72" s="45"/>
      <c r="NL72" s="46">
        <v>150</v>
      </c>
      <c r="NM72" s="44">
        <v>150</v>
      </c>
      <c r="NN72" s="44">
        <v>54</v>
      </c>
      <c r="NO72" s="44">
        <v>50</v>
      </c>
      <c r="NP72" s="47">
        <v>4</v>
      </c>
      <c r="NQ72" s="45"/>
      <c r="NR72" s="46">
        <v>300</v>
      </c>
      <c r="NS72" s="44">
        <v>300</v>
      </c>
      <c r="NT72" s="47">
        <v>0</v>
      </c>
      <c r="NU72" s="45"/>
      <c r="NV72" s="46">
        <v>0</v>
      </c>
      <c r="NW72" s="44">
        <v>0</v>
      </c>
      <c r="NX72" s="44">
        <v>0</v>
      </c>
      <c r="NY72" s="44">
        <v>0</v>
      </c>
      <c r="NZ72" s="47">
        <v>0</v>
      </c>
      <c r="OA72" s="45"/>
      <c r="OB72" s="46"/>
      <c r="OE72" s="45"/>
      <c r="OF72" s="46"/>
      <c r="OK72" s="45"/>
      <c r="OM72" s="43"/>
      <c r="OQ72" s="45"/>
      <c r="OR72" s="46"/>
      <c r="OW72" s="45"/>
      <c r="OX72" s="25"/>
      <c r="PC72" s="45"/>
      <c r="PD72" s="46"/>
      <c r="PI72" s="45"/>
      <c r="PJ72" s="46"/>
      <c r="PO72" s="45"/>
      <c r="PP72" s="46"/>
      <c r="PR72" s="32"/>
      <c r="PU72" s="45"/>
      <c r="PV72" s="46"/>
      <c r="PY72" s="45"/>
      <c r="PZ72" s="46"/>
      <c r="QC72" s="45"/>
      <c r="QD72" s="46"/>
      <c r="QI72" s="45"/>
      <c r="QJ72" s="46"/>
      <c r="QM72" s="45"/>
      <c r="QN72" s="46"/>
      <c r="QS72" s="45"/>
      <c r="QT72" s="46"/>
      <c r="QW72" s="45"/>
      <c r="QX72" s="46"/>
      <c r="RC72" s="45"/>
      <c r="RD72" s="42"/>
      <c r="RE72" s="44"/>
      <c r="RG72" s="44"/>
      <c r="RI72" s="45"/>
      <c r="RJ72" s="42"/>
      <c r="RO72" s="43"/>
      <c r="RP72" s="42"/>
      <c r="RS72" s="43"/>
      <c r="RT72" s="42"/>
      <c r="RY72" s="43"/>
      <c r="RZ72" s="42"/>
      <c r="SE72" s="43"/>
      <c r="SF72" s="42"/>
      <c r="SJ72" s="50"/>
      <c r="SK72" s="43"/>
      <c r="SL72" s="42"/>
      <c r="SO72" s="43"/>
      <c r="SP72" s="42"/>
      <c r="SU72" s="43"/>
    </row>
    <row r="73" spans="1:515" x14ac:dyDescent="0.25">
      <c r="A73" s="47" t="s">
        <v>380</v>
      </c>
      <c r="B73" s="41">
        <v>1</v>
      </c>
      <c r="E73">
        <v>168</v>
      </c>
      <c r="F73">
        <v>207</v>
      </c>
      <c r="G73">
        <v>205</v>
      </c>
      <c r="J73" s="40">
        <v>88</v>
      </c>
      <c r="K73" s="52">
        <v>88</v>
      </c>
      <c r="L73" s="52">
        <v>68</v>
      </c>
      <c r="M73" s="52">
        <v>71</v>
      </c>
      <c r="N73" s="51">
        <f t="shared" si="12"/>
        <v>-3</v>
      </c>
      <c r="O73" s="43"/>
      <c r="P73" s="40">
        <v>52</v>
      </c>
      <c r="Q73" s="52">
        <v>52</v>
      </c>
      <c r="R73" s="52">
        <v>44</v>
      </c>
      <c r="S73" s="52">
        <v>45</v>
      </c>
      <c r="T73" s="51">
        <f t="shared" si="13"/>
        <v>-1</v>
      </c>
      <c r="U73" s="43"/>
      <c r="V73" s="40">
        <v>128</v>
      </c>
      <c r="W73" s="52">
        <v>130</v>
      </c>
      <c r="X73" s="52">
        <v>40</v>
      </c>
      <c r="Y73" s="52">
        <v>42</v>
      </c>
      <c r="Z73" s="51">
        <f t="shared" si="14"/>
        <v>-4</v>
      </c>
      <c r="AA73" s="43"/>
      <c r="AB73" s="42"/>
      <c r="AC73" s="51"/>
      <c r="AD73" s="51"/>
      <c r="AE73" s="51"/>
      <c r="AF73" s="51">
        <v>0</v>
      </c>
      <c r="AG73" s="43"/>
      <c r="AH73" s="52">
        <v>105</v>
      </c>
      <c r="AI73">
        <v>106</v>
      </c>
      <c r="AJ73">
        <v>84</v>
      </c>
      <c r="AK73">
        <v>84</v>
      </c>
      <c r="AL73" s="47">
        <v>-1</v>
      </c>
      <c r="AM73" s="43"/>
      <c r="AN73" s="40">
        <v>41</v>
      </c>
      <c r="AO73">
        <v>42</v>
      </c>
      <c r="AR73" s="47">
        <v>-1</v>
      </c>
      <c r="AS73" s="43"/>
      <c r="AT73">
        <v>199</v>
      </c>
      <c r="AU73">
        <v>200</v>
      </c>
      <c r="AV73">
        <v>113</v>
      </c>
      <c r="AW73">
        <v>112</v>
      </c>
      <c r="AX73" s="47">
        <v>0</v>
      </c>
      <c r="AY73" s="43"/>
      <c r="AZ73">
        <v>121</v>
      </c>
      <c r="BA73">
        <v>120</v>
      </c>
      <c r="BB73">
        <v>148</v>
      </c>
      <c r="BC73">
        <v>149</v>
      </c>
      <c r="BD73" s="47">
        <v>0</v>
      </c>
      <c r="BE73" s="43"/>
      <c r="BF73" s="42"/>
      <c r="BH73">
        <v>12</v>
      </c>
      <c r="BI73">
        <v>12</v>
      </c>
      <c r="BJ73" s="47">
        <v>0</v>
      </c>
      <c r="BK73" s="43"/>
      <c r="BL73" s="40">
        <v>100</v>
      </c>
      <c r="BM73">
        <v>100</v>
      </c>
      <c r="BN73">
        <v>98</v>
      </c>
      <c r="BO73">
        <v>95</v>
      </c>
      <c r="BP73" s="47">
        <v>3</v>
      </c>
      <c r="BQ73" s="43"/>
      <c r="BV73" s="47">
        <v>0</v>
      </c>
      <c r="BW73" s="43"/>
      <c r="BX73" s="40">
        <v>182</v>
      </c>
      <c r="BY73">
        <v>180</v>
      </c>
      <c r="BZ73">
        <v>235</v>
      </c>
      <c r="CA73">
        <v>235</v>
      </c>
      <c r="CB73" s="47">
        <v>2</v>
      </c>
      <c r="CC73" s="43"/>
      <c r="CD73">
        <v>72</v>
      </c>
      <c r="CE73">
        <v>70</v>
      </c>
      <c r="CF73">
        <v>84</v>
      </c>
      <c r="CG73">
        <v>82</v>
      </c>
      <c r="CH73" s="47">
        <v>4</v>
      </c>
      <c r="CI73" s="43"/>
      <c r="CJ73">
        <v>101</v>
      </c>
      <c r="CK73">
        <v>100</v>
      </c>
      <c r="CL73">
        <v>116</v>
      </c>
      <c r="CM73">
        <v>117</v>
      </c>
      <c r="CN73" s="47">
        <v>0</v>
      </c>
      <c r="CO73" s="43"/>
      <c r="CP73" s="42"/>
      <c r="CR73">
        <v>36</v>
      </c>
      <c r="CS73">
        <v>36</v>
      </c>
      <c r="CT73" s="47">
        <v>0</v>
      </c>
      <c r="CU73" s="43"/>
      <c r="CV73" s="40">
        <v>154</v>
      </c>
      <c r="CW73">
        <v>150</v>
      </c>
      <c r="CX73">
        <v>167</v>
      </c>
      <c r="CY73">
        <v>164</v>
      </c>
      <c r="CZ73" s="47">
        <v>7</v>
      </c>
      <c r="DA73" s="43"/>
      <c r="DG73" s="47">
        <v>0</v>
      </c>
      <c r="DH73" s="43"/>
      <c r="DI73">
        <v>36</v>
      </c>
      <c r="DJ73">
        <v>36</v>
      </c>
      <c r="DK73" s="47">
        <v>0</v>
      </c>
      <c r="DL73" s="43"/>
      <c r="DM73" s="42"/>
      <c r="DN73">
        <v>90</v>
      </c>
      <c r="DO73">
        <v>247</v>
      </c>
      <c r="DP73">
        <v>246</v>
      </c>
      <c r="DQ73" s="50">
        <v>-89</v>
      </c>
      <c r="DR73" s="43">
        <v>89</v>
      </c>
      <c r="DS73">
        <v>72</v>
      </c>
      <c r="DT73">
        <v>70</v>
      </c>
      <c r="DU73">
        <v>73</v>
      </c>
      <c r="DV73">
        <v>70</v>
      </c>
      <c r="DW73" s="47">
        <v>5</v>
      </c>
      <c r="DX73" s="43"/>
      <c r="DY73">
        <v>52</v>
      </c>
      <c r="DZ73">
        <v>50</v>
      </c>
      <c r="EA73">
        <v>171</v>
      </c>
      <c r="EB73">
        <v>173</v>
      </c>
      <c r="EC73" s="47">
        <v>0</v>
      </c>
      <c r="ED73" s="43"/>
      <c r="EE73" s="42"/>
      <c r="EG73">
        <v>125</v>
      </c>
      <c r="EH73">
        <v>125</v>
      </c>
      <c r="EI73" s="47">
        <v>0</v>
      </c>
      <c r="EJ73" s="43"/>
      <c r="EK73">
        <v>60</v>
      </c>
      <c r="EL73">
        <v>60</v>
      </c>
      <c r="EM73">
        <v>72</v>
      </c>
      <c r="EN73">
        <v>70</v>
      </c>
      <c r="EO73" s="47">
        <v>2</v>
      </c>
      <c r="EP73" s="43"/>
      <c r="EQ73" s="40">
        <v>100</v>
      </c>
      <c r="ER73">
        <v>100</v>
      </c>
      <c r="ES73">
        <v>104</v>
      </c>
      <c r="ET73">
        <v>103</v>
      </c>
      <c r="EU73" s="47">
        <v>1</v>
      </c>
      <c r="EV73" s="43"/>
      <c r="EW73" s="42"/>
      <c r="FA73">
        <v>120</v>
      </c>
      <c r="FB73">
        <v>120</v>
      </c>
      <c r="FC73" s="47">
        <v>0</v>
      </c>
      <c r="FD73" s="43"/>
      <c r="FE73" s="42"/>
      <c r="FG73">
        <v>20</v>
      </c>
      <c r="FH73">
        <v>20</v>
      </c>
      <c r="FI73" s="47">
        <v>0</v>
      </c>
      <c r="FJ73" s="43"/>
      <c r="FK73">
        <v>101</v>
      </c>
      <c r="FL73">
        <v>100</v>
      </c>
      <c r="FM73">
        <v>161</v>
      </c>
      <c r="FN73">
        <v>160</v>
      </c>
      <c r="FO73">
        <v>200</v>
      </c>
      <c r="FP73">
        <v>200</v>
      </c>
      <c r="FQ73" s="47">
        <v>2</v>
      </c>
      <c r="FR73" s="43"/>
      <c r="FS73" s="42"/>
      <c r="FU73">
        <v>201</v>
      </c>
      <c r="FV73">
        <v>200</v>
      </c>
      <c r="FW73" s="47">
        <v>1</v>
      </c>
      <c r="FX73" s="43"/>
      <c r="FY73" s="42"/>
      <c r="GC73" s="47">
        <v>0</v>
      </c>
      <c r="GD73" s="43"/>
      <c r="GE73" s="40">
        <v>100</v>
      </c>
      <c r="GF73">
        <v>100</v>
      </c>
      <c r="GG73">
        <v>61</v>
      </c>
      <c r="GH73">
        <v>60</v>
      </c>
      <c r="GI73" s="47">
        <v>1</v>
      </c>
      <c r="GJ73" s="43"/>
      <c r="GK73">
        <v>113</v>
      </c>
      <c r="GL73">
        <v>110</v>
      </c>
      <c r="GM73">
        <v>112</v>
      </c>
      <c r="GN73">
        <v>110</v>
      </c>
      <c r="GO73">
        <v>132</v>
      </c>
      <c r="GP73">
        <v>130</v>
      </c>
      <c r="GQ73" s="47">
        <v>7</v>
      </c>
      <c r="GR73" s="43"/>
      <c r="GS73">
        <v>51</v>
      </c>
      <c r="GT73">
        <v>50</v>
      </c>
      <c r="GX73" s="47">
        <v>1</v>
      </c>
      <c r="GY73" s="43"/>
      <c r="GZ73" s="40">
        <v>196</v>
      </c>
      <c r="HB73" s="44">
        <v>194.37100000000001</v>
      </c>
      <c r="HC73" s="47">
        <v>1.6289999999999909</v>
      </c>
      <c r="HD73" s="43"/>
      <c r="HE73" s="42"/>
      <c r="HH73" s="47">
        <v>0</v>
      </c>
      <c r="HI73" s="43"/>
      <c r="HJ73">
        <v>413</v>
      </c>
      <c r="HM73">
        <v>410</v>
      </c>
      <c r="HN73" s="47">
        <v>3</v>
      </c>
      <c r="HO73" s="43"/>
      <c r="HP73" s="40">
        <v>112</v>
      </c>
      <c r="HR73">
        <v>110</v>
      </c>
      <c r="HS73">
        <v>112</v>
      </c>
      <c r="HT73">
        <v>110</v>
      </c>
      <c r="HU73" s="47">
        <v>4</v>
      </c>
      <c r="HV73" s="43"/>
      <c r="HW73">
        <v>52</v>
      </c>
      <c r="HX73">
        <v>50</v>
      </c>
      <c r="HY73">
        <v>53</v>
      </c>
      <c r="HZ73">
        <v>50</v>
      </c>
      <c r="IA73" s="47">
        <v>5</v>
      </c>
      <c r="IB73" s="43"/>
      <c r="IC73" s="42"/>
      <c r="IE73">
        <v>120</v>
      </c>
      <c r="IF73">
        <v>120</v>
      </c>
      <c r="IG73" s="47">
        <v>0</v>
      </c>
      <c r="IH73" s="43"/>
      <c r="IK73">
        <v>192</v>
      </c>
      <c r="IL73">
        <v>190</v>
      </c>
      <c r="IM73" s="47">
        <v>2</v>
      </c>
      <c r="IN73" s="43"/>
      <c r="IO73" s="40">
        <v>198</v>
      </c>
      <c r="IP73" s="44">
        <v>195.46340000000001</v>
      </c>
      <c r="IQ73" s="47">
        <v>2.5365999999999929</v>
      </c>
      <c r="IR73" s="43"/>
      <c r="IS73" s="40">
        <v>100</v>
      </c>
      <c r="IT73">
        <v>100</v>
      </c>
      <c r="IU73">
        <v>286</v>
      </c>
      <c r="IV73">
        <v>283</v>
      </c>
      <c r="IW73" s="47">
        <v>3</v>
      </c>
      <c r="IX73" s="43"/>
      <c r="IY73" s="42"/>
      <c r="JA73" s="47">
        <v>0</v>
      </c>
      <c r="JB73" s="43"/>
      <c r="JC73" s="40">
        <v>199</v>
      </c>
      <c r="JD73">
        <v>200</v>
      </c>
      <c r="JE73">
        <v>140</v>
      </c>
      <c r="JF73">
        <v>140</v>
      </c>
      <c r="JG73" s="47">
        <v>-1</v>
      </c>
      <c r="JH73" s="43"/>
      <c r="JM73">
        <v>260</v>
      </c>
      <c r="JN73">
        <v>260</v>
      </c>
      <c r="JO73" s="47">
        <v>0</v>
      </c>
      <c r="JP73" s="43"/>
      <c r="JQ73" s="40">
        <v>221</v>
      </c>
      <c r="JR73">
        <v>220</v>
      </c>
      <c r="JS73">
        <v>201</v>
      </c>
      <c r="JT73">
        <v>200</v>
      </c>
      <c r="JU73" s="47">
        <v>2</v>
      </c>
      <c r="JV73" s="43"/>
      <c r="JY73">
        <v>52</v>
      </c>
      <c r="JZ73">
        <v>50</v>
      </c>
      <c r="KA73" s="47">
        <v>2</v>
      </c>
      <c r="KB73" s="45"/>
      <c r="KC73">
        <v>152</v>
      </c>
      <c r="KD73">
        <v>150</v>
      </c>
      <c r="KG73" s="47">
        <v>2</v>
      </c>
      <c r="KH73" s="45"/>
      <c r="KM73" s="47">
        <v>0</v>
      </c>
      <c r="KN73" s="45"/>
      <c r="KO73">
        <v>302</v>
      </c>
      <c r="KP73">
        <v>300</v>
      </c>
      <c r="KQ73">
        <v>281</v>
      </c>
      <c r="KR73">
        <v>280</v>
      </c>
      <c r="KS73" s="47">
        <v>3</v>
      </c>
      <c r="KT73" s="43"/>
      <c r="KU73">
        <v>64</v>
      </c>
      <c r="KV73">
        <v>50</v>
      </c>
      <c r="KW73" s="47">
        <v>14</v>
      </c>
      <c r="KX73" s="45"/>
      <c r="KY73">
        <v>352</v>
      </c>
      <c r="KZ73">
        <v>350</v>
      </c>
      <c r="LA73">
        <v>221</v>
      </c>
      <c r="LB73">
        <v>219</v>
      </c>
      <c r="LC73" s="47">
        <v>4</v>
      </c>
      <c r="LD73" s="43"/>
      <c r="LE73" s="46"/>
      <c r="LG73" s="47">
        <v>0</v>
      </c>
      <c r="LH73" s="45"/>
      <c r="LK73">
        <v>313</v>
      </c>
      <c r="LL73">
        <v>310</v>
      </c>
      <c r="LM73" s="47">
        <v>3</v>
      </c>
      <c r="LN73" s="45"/>
      <c r="LS73" s="47">
        <v>0</v>
      </c>
      <c r="LT73" s="45"/>
      <c r="LU73">
        <v>153</v>
      </c>
      <c r="LV73">
        <v>150</v>
      </c>
      <c r="LW73">
        <v>240</v>
      </c>
      <c r="LX73">
        <v>240</v>
      </c>
      <c r="LY73" s="47">
        <v>3</v>
      </c>
      <c r="LZ73" s="45"/>
      <c r="MA73">
        <v>100</v>
      </c>
      <c r="MB73">
        <v>100</v>
      </c>
      <c r="MC73">
        <v>220</v>
      </c>
      <c r="MD73">
        <v>220</v>
      </c>
      <c r="ME73" s="47">
        <v>0</v>
      </c>
      <c r="MF73" s="45"/>
      <c r="MG73" s="40">
        <v>72</v>
      </c>
      <c r="MH73">
        <v>70</v>
      </c>
      <c r="MI73">
        <v>80</v>
      </c>
      <c r="MJ73">
        <v>80</v>
      </c>
      <c r="MK73">
        <v>72</v>
      </c>
      <c r="ML73">
        <v>70</v>
      </c>
      <c r="MM73" s="47">
        <v>4</v>
      </c>
      <c r="MN73" s="45"/>
      <c r="MO73" s="44">
        <v>100.93899999999999</v>
      </c>
      <c r="MP73" s="44">
        <v>100</v>
      </c>
      <c r="MQ73" s="44">
        <v>168.863</v>
      </c>
      <c r="MR73" s="44">
        <v>169</v>
      </c>
      <c r="MS73" s="47">
        <v>0.80200000000002092</v>
      </c>
      <c r="MT73" s="45"/>
      <c r="MU73" s="44">
        <v>0</v>
      </c>
      <c r="MV73" s="44">
        <v>0</v>
      </c>
      <c r="MW73" s="44">
        <v>31.966999999999999</v>
      </c>
      <c r="MX73" s="44">
        <v>33</v>
      </c>
      <c r="MY73" s="47">
        <v>-1.033000000000001</v>
      </c>
      <c r="MZ73" s="45"/>
      <c r="NA73" s="46">
        <v>0</v>
      </c>
      <c r="NB73" s="44">
        <v>0</v>
      </c>
      <c r="NC73" s="47">
        <v>0</v>
      </c>
      <c r="ND73" s="45"/>
      <c r="NE73" s="46">
        <v>353.27800000000002</v>
      </c>
      <c r="NF73" s="44">
        <v>350</v>
      </c>
      <c r="NG73" s="44">
        <v>252.88399999999999</v>
      </c>
      <c r="NH73" s="44">
        <v>0</v>
      </c>
      <c r="NI73" s="44">
        <v>250</v>
      </c>
      <c r="NJ73" s="47">
        <v>6.1620000000000346</v>
      </c>
      <c r="NK73" s="45"/>
      <c r="NL73" s="46">
        <v>52.183999999999997</v>
      </c>
      <c r="NM73" s="44">
        <v>50</v>
      </c>
      <c r="NN73" s="44">
        <v>59.732999999999997</v>
      </c>
      <c r="NO73" s="44">
        <v>60</v>
      </c>
      <c r="NP73" s="47">
        <v>1.917000000000002</v>
      </c>
      <c r="NQ73" s="45"/>
      <c r="NR73" s="46">
        <v>152.48400000000001</v>
      </c>
      <c r="NS73" s="44">
        <v>150</v>
      </c>
      <c r="NT73" s="47">
        <v>2.4840000000000089</v>
      </c>
      <c r="NU73" s="45"/>
      <c r="NV73" s="46">
        <v>100.26600000000001</v>
      </c>
      <c r="NW73" s="44">
        <v>100</v>
      </c>
      <c r="NX73" s="44">
        <v>95.536000000000001</v>
      </c>
      <c r="NY73" s="44">
        <v>100</v>
      </c>
      <c r="NZ73" s="47">
        <v>-4.1979999999999791</v>
      </c>
      <c r="OA73" s="45"/>
      <c r="OB73" s="46">
        <v>448.24200000000002</v>
      </c>
      <c r="OC73" s="44">
        <v>450</v>
      </c>
      <c r="OD73" s="47">
        <v>-1.7579999999999809</v>
      </c>
      <c r="OE73" s="45"/>
      <c r="OF73" s="46">
        <v>31.966999999999999</v>
      </c>
      <c r="OG73" s="44">
        <v>40</v>
      </c>
      <c r="OH73" s="44">
        <v>60.051000000000002</v>
      </c>
      <c r="OI73" s="44">
        <v>60</v>
      </c>
      <c r="OJ73" s="50">
        <v>-7.9819999999999993</v>
      </c>
      <c r="OK73" s="45">
        <v>7.9819999999999993</v>
      </c>
      <c r="OL73" s="44">
        <v>0</v>
      </c>
      <c r="OM73" s="43"/>
      <c r="ON73" s="44">
        <v>198.691</v>
      </c>
      <c r="OO73" s="44">
        <v>200</v>
      </c>
      <c r="OP73" s="47">
        <v>-1.3089999999999971</v>
      </c>
      <c r="OQ73" s="45"/>
      <c r="OR73" s="46">
        <v>100.413</v>
      </c>
      <c r="OS73" s="44">
        <v>100</v>
      </c>
      <c r="OT73" s="44">
        <v>234.392</v>
      </c>
      <c r="OU73" s="44">
        <v>230</v>
      </c>
      <c r="OV73" s="47">
        <v>4.8050000000000068</v>
      </c>
      <c r="OW73" s="45"/>
      <c r="OX73" s="25">
        <v>52.284999999999997</v>
      </c>
      <c r="OY73" s="44">
        <v>0</v>
      </c>
      <c r="OZ73" s="44">
        <v>0</v>
      </c>
      <c r="PA73" s="44">
        <v>0</v>
      </c>
      <c r="PB73" s="47">
        <v>52.284999999999997</v>
      </c>
      <c r="PC73" s="45"/>
      <c r="PD73" s="46">
        <v>120.57299999999999</v>
      </c>
      <c r="PE73" s="44">
        <v>120</v>
      </c>
      <c r="PF73" s="44">
        <v>179.78399999999999</v>
      </c>
      <c r="PG73" s="44">
        <v>180</v>
      </c>
      <c r="PH73" s="47">
        <v>0.3569999999999709</v>
      </c>
      <c r="PI73" s="45"/>
      <c r="PJ73" s="46">
        <v>0</v>
      </c>
      <c r="PK73" s="44">
        <v>0</v>
      </c>
      <c r="PL73" s="44">
        <v>52.031999999999996</v>
      </c>
      <c r="PM73" s="44">
        <v>50</v>
      </c>
      <c r="PN73" s="47">
        <v>2.031999999999996</v>
      </c>
      <c r="PO73" s="45"/>
      <c r="PP73" s="46">
        <v>151.816</v>
      </c>
      <c r="PQ73" s="44">
        <v>150</v>
      </c>
      <c r="PR73" s="44">
        <v>152.52099999999999</v>
      </c>
      <c r="PS73" s="44">
        <v>143</v>
      </c>
      <c r="PT73" s="47">
        <v>11.336999999999991</v>
      </c>
      <c r="PU73" s="45"/>
      <c r="PV73" s="46">
        <v>224.589</v>
      </c>
      <c r="PW73" s="44">
        <v>222</v>
      </c>
      <c r="PX73" s="47">
        <v>2.5889999999999991</v>
      </c>
      <c r="PY73" s="45"/>
      <c r="PZ73" s="46">
        <v>40.128999999999998</v>
      </c>
      <c r="QA73" s="44">
        <v>40</v>
      </c>
      <c r="QB73" s="47">
        <v>0.12899999999999781</v>
      </c>
      <c r="QC73" s="45"/>
      <c r="QD73" s="46">
        <v>402.892</v>
      </c>
      <c r="QE73" s="44">
        <v>400</v>
      </c>
      <c r="QF73" s="44">
        <v>354.38400000000001</v>
      </c>
      <c r="QG73" s="44">
        <v>350</v>
      </c>
      <c r="QH73" s="47">
        <v>7.2760000000000673</v>
      </c>
      <c r="QI73" s="45"/>
      <c r="QJ73" s="46">
        <v>31.995999999999999</v>
      </c>
      <c r="QK73" s="44">
        <v>31</v>
      </c>
      <c r="QL73" s="47">
        <v>0.99599999999999866</v>
      </c>
      <c r="QM73" s="45"/>
      <c r="QN73" s="46">
        <v>131.26599999999999</v>
      </c>
      <c r="QO73" s="44">
        <v>130</v>
      </c>
      <c r="QP73" s="44">
        <v>104.233</v>
      </c>
      <c r="QQ73" s="44">
        <v>104</v>
      </c>
      <c r="QR73" s="47">
        <v>1.498999999999995</v>
      </c>
      <c r="QS73" s="45"/>
      <c r="QT73" s="46">
        <v>0</v>
      </c>
      <c r="QU73" s="44">
        <v>0</v>
      </c>
      <c r="QV73" s="47">
        <v>0</v>
      </c>
      <c r="QW73" s="45"/>
      <c r="QX73" s="46">
        <v>100.08199999999999</v>
      </c>
      <c r="QY73" s="44">
        <v>100</v>
      </c>
      <c r="QZ73" s="44">
        <v>189.56899999999999</v>
      </c>
      <c r="RA73" s="44">
        <v>189</v>
      </c>
      <c r="RB73" s="47">
        <v>0.65099999999995362</v>
      </c>
      <c r="RC73" s="45"/>
      <c r="RD73" s="42">
        <v>0</v>
      </c>
      <c r="RE73" s="44">
        <v>0</v>
      </c>
      <c r="RF73" s="44">
        <v>141.06899999999999</v>
      </c>
      <c r="RG73" s="44">
        <v>140</v>
      </c>
      <c r="RH73" s="47">
        <v>1.068999999999988</v>
      </c>
      <c r="RI73" s="45"/>
      <c r="RJ73" s="42">
        <v>100.633</v>
      </c>
      <c r="RK73" s="47">
        <v>100</v>
      </c>
      <c r="RL73" s="47">
        <v>151.785</v>
      </c>
      <c r="RM73" s="47">
        <v>150</v>
      </c>
      <c r="RN73" s="47">
        <v>2.4180000000000059</v>
      </c>
      <c r="RO73" s="43"/>
      <c r="RP73" s="42">
        <v>59.970999999999997</v>
      </c>
      <c r="RQ73" s="47">
        <v>60</v>
      </c>
      <c r="RR73" s="47">
        <v>-2.9000000000003471E-2</v>
      </c>
      <c r="RS73" s="43"/>
      <c r="RT73" s="42">
        <v>87.954999999999998</v>
      </c>
      <c r="RU73" s="47">
        <v>88</v>
      </c>
      <c r="RV73" s="47">
        <v>101.39</v>
      </c>
      <c r="RW73" s="47">
        <v>100</v>
      </c>
      <c r="RX73" s="47">
        <v>1.3449999999999991</v>
      </c>
      <c r="RY73" s="43"/>
      <c r="RZ73" s="42">
        <v>80.456999999999994</v>
      </c>
      <c r="SA73" s="47">
        <v>80</v>
      </c>
      <c r="SB73" s="47">
        <v>152.31100000000001</v>
      </c>
      <c r="SC73" s="47">
        <v>150</v>
      </c>
      <c r="SD73" s="47">
        <v>2.7680000000000011</v>
      </c>
      <c r="SE73" s="43"/>
      <c r="SF73" s="42">
        <v>75.721999999999994</v>
      </c>
      <c r="SG73" s="47">
        <v>75</v>
      </c>
      <c r="SH73" s="47">
        <v>80.134</v>
      </c>
      <c r="SI73" s="47">
        <v>80</v>
      </c>
      <c r="SJ73" s="47">
        <v>0.85599999999999454</v>
      </c>
      <c r="SK73" s="43"/>
      <c r="SL73" s="42">
        <v>152.00800000000001</v>
      </c>
      <c r="SM73" s="47">
        <v>150</v>
      </c>
      <c r="SN73" s="47">
        <v>2.0080000000000102</v>
      </c>
      <c r="SO73" s="43"/>
      <c r="SP73" s="42">
        <v>99.412000000000006</v>
      </c>
      <c r="SQ73" s="47">
        <v>100</v>
      </c>
      <c r="SR73" s="47">
        <v>127.629</v>
      </c>
      <c r="SS73" s="47">
        <v>128</v>
      </c>
      <c r="ST73" s="47">
        <v>-0.95900000000000318</v>
      </c>
      <c r="SU73" s="43"/>
    </row>
    <row r="74" spans="1:515" x14ac:dyDescent="0.25">
      <c r="A74" s="47" t="s">
        <v>381</v>
      </c>
      <c r="B74" s="41">
        <v>1</v>
      </c>
      <c r="E74">
        <v>80</v>
      </c>
      <c r="F74">
        <v>19</v>
      </c>
      <c r="G74">
        <v>20</v>
      </c>
      <c r="J74" s="40">
        <v>49</v>
      </c>
      <c r="K74" s="52">
        <v>48</v>
      </c>
      <c r="L74" s="52">
        <v>40</v>
      </c>
      <c r="M74" s="52">
        <v>40</v>
      </c>
      <c r="N74" s="51">
        <f t="shared" si="12"/>
        <v>1</v>
      </c>
      <c r="O74" s="43"/>
      <c r="P74" s="40">
        <v>37</v>
      </c>
      <c r="Q74" s="52">
        <v>36</v>
      </c>
      <c r="R74" s="52">
        <v>31</v>
      </c>
      <c r="S74" s="52">
        <v>30</v>
      </c>
      <c r="T74" s="51">
        <f t="shared" si="13"/>
        <v>2</v>
      </c>
      <c r="U74" s="43"/>
      <c r="V74" s="40">
        <v>40</v>
      </c>
      <c r="W74" s="52">
        <v>40</v>
      </c>
      <c r="X74" s="52">
        <v>22</v>
      </c>
      <c r="Y74" s="52">
        <v>22</v>
      </c>
      <c r="Z74" s="51">
        <f t="shared" si="14"/>
        <v>0</v>
      </c>
      <c r="AA74" s="43"/>
      <c r="AB74" s="42"/>
      <c r="AC74" s="51"/>
      <c r="AD74" s="52">
        <v>137</v>
      </c>
      <c r="AE74" s="56">
        <v>133</v>
      </c>
      <c r="AF74" s="51">
        <v>4</v>
      </c>
      <c r="AG74" s="43"/>
      <c r="AH74" s="51"/>
      <c r="AL74" s="47">
        <v>0</v>
      </c>
      <c r="AM74" s="43"/>
      <c r="AN74" s="42"/>
      <c r="AR74" s="47">
        <v>0</v>
      </c>
      <c r="AS74" s="43"/>
      <c r="AT74">
        <v>50</v>
      </c>
      <c r="AU74">
        <v>50</v>
      </c>
      <c r="AV74">
        <v>59</v>
      </c>
      <c r="AW74">
        <v>58</v>
      </c>
      <c r="AX74" s="47">
        <v>1</v>
      </c>
      <c r="AY74" s="43"/>
      <c r="AZ74">
        <v>43</v>
      </c>
      <c r="BA74">
        <v>40</v>
      </c>
      <c r="BB74">
        <v>72</v>
      </c>
      <c r="BC74">
        <v>67</v>
      </c>
      <c r="BD74" s="47">
        <v>8</v>
      </c>
      <c r="BE74" s="43"/>
      <c r="BF74" s="40">
        <v>53</v>
      </c>
      <c r="BG74">
        <v>50</v>
      </c>
      <c r="BH74">
        <v>60</v>
      </c>
      <c r="BI74">
        <v>57</v>
      </c>
      <c r="BJ74" s="47">
        <v>6</v>
      </c>
      <c r="BK74" s="43"/>
      <c r="BL74" s="40">
        <v>31</v>
      </c>
      <c r="BM74">
        <v>30</v>
      </c>
      <c r="BN74">
        <v>44</v>
      </c>
      <c r="BO74">
        <v>42</v>
      </c>
      <c r="BP74" s="47">
        <v>3</v>
      </c>
      <c r="BQ74" s="43"/>
      <c r="BR74">
        <v>31</v>
      </c>
      <c r="BS74">
        <v>30</v>
      </c>
      <c r="BT74">
        <v>47</v>
      </c>
      <c r="BU74">
        <v>44</v>
      </c>
      <c r="BV74" s="47">
        <v>4</v>
      </c>
      <c r="BW74" s="43"/>
      <c r="BX74" s="40">
        <v>28</v>
      </c>
      <c r="BY74">
        <v>27</v>
      </c>
      <c r="CB74" s="47">
        <v>1</v>
      </c>
      <c r="CC74" s="43"/>
      <c r="CD74">
        <v>53</v>
      </c>
      <c r="CE74">
        <v>50</v>
      </c>
      <c r="CF74">
        <v>65</v>
      </c>
      <c r="CG74">
        <v>61</v>
      </c>
      <c r="CH74" s="47">
        <v>7</v>
      </c>
      <c r="CI74" s="43"/>
      <c r="CJ74">
        <v>62</v>
      </c>
      <c r="CK74">
        <v>60</v>
      </c>
      <c r="CL74">
        <v>68</v>
      </c>
      <c r="CM74">
        <v>64</v>
      </c>
      <c r="CN74" s="47">
        <v>6</v>
      </c>
      <c r="CO74" s="43"/>
      <c r="CP74" s="42"/>
      <c r="CR74">
        <v>6</v>
      </c>
      <c r="CS74">
        <v>6</v>
      </c>
      <c r="CT74" s="47">
        <v>0</v>
      </c>
      <c r="CU74" s="43"/>
      <c r="CV74" s="40">
        <v>31</v>
      </c>
      <c r="CW74">
        <v>30</v>
      </c>
      <c r="CX74">
        <v>65</v>
      </c>
      <c r="CY74">
        <v>61</v>
      </c>
      <c r="CZ74" s="47">
        <v>5</v>
      </c>
      <c r="DA74" s="43"/>
      <c r="DE74">
        <v>90</v>
      </c>
      <c r="DF74">
        <v>85</v>
      </c>
      <c r="DG74" s="47">
        <v>5</v>
      </c>
      <c r="DH74" s="43"/>
      <c r="DK74" s="47">
        <v>0</v>
      </c>
      <c r="DL74" s="43"/>
      <c r="DM74" s="40">
        <v>71</v>
      </c>
      <c r="DN74">
        <v>67</v>
      </c>
      <c r="DO74">
        <v>50</v>
      </c>
      <c r="DP74">
        <v>43</v>
      </c>
      <c r="DQ74" s="47">
        <v>11</v>
      </c>
      <c r="DR74" s="43"/>
      <c r="DU74">
        <v>62</v>
      </c>
      <c r="DV74">
        <v>58</v>
      </c>
      <c r="DW74" s="47">
        <v>4</v>
      </c>
      <c r="DX74" s="43"/>
      <c r="DY74">
        <v>43</v>
      </c>
      <c r="DZ74">
        <v>40</v>
      </c>
      <c r="EA74">
        <v>78</v>
      </c>
      <c r="EB74">
        <v>73</v>
      </c>
      <c r="EC74" s="47">
        <v>8</v>
      </c>
      <c r="ED74" s="43"/>
      <c r="EE74" s="42"/>
      <c r="EG74">
        <v>90</v>
      </c>
      <c r="EH74">
        <v>85</v>
      </c>
      <c r="EI74" s="47">
        <v>5</v>
      </c>
      <c r="EJ74" s="43"/>
      <c r="EM74">
        <v>25</v>
      </c>
      <c r="EN74">
        <v>22</v>
      </c>
      <c r="EO74" s="47">
        <v>3</v>
      </c>
      <c r="EP74" s="43"/>
      <c r="EQ74" s="42"/>
      <c r="ES74">
        <v>132</v>
      </c>
      <c r="ET74">
        <v>126</v>
      </c>
      <c r="EU74" s="47">
        <v>6</v>
      </c>
      <c r="EV74" s="43"/>
      <c r="EW74" s="42"/>
      <c r="FA74">
        <v>44</v>
      </c>
      <c r="FB74">
        <v>40</v>
      </c>
      <c r="FC74" s="47">
        <v>4</v>
      </c>
      <c r="FD74" s="43"/>
      <c r="FE74" s="42"/>
      <c r="FG74">
        <v>13</v>
      </c>
      <c r="FH74">
        <v>10</v>
      </c>
      <c r="FI74" s="47">
        <v>3</v>
      </c>
      <c r="FJ74" s="43"/>
      <c r="FM74">
        <v>106</v>
      </c>
      <c r="FN74">
        <v>100</v>
      </c>
      <c r="FO74">
        <v>106</v>
      </c>
      <c r="FP74">
        <v>100</v>
      </c>
      <c r="FQ74" s="47">
        <v>12</v>
      </c>
      <c r="FR74" s="43"/>
      <c r="FS74" s="42"/>
      <c r="FW74" s="47">
        <v>0</v>
      </c>
      <c r="FX74" s="43"/>
      <c r="FY74" s="42"/>
      <c r="GA74">
        <v>25</v>
      </c>
      <c r="GB74">
        <v>24</v>
      </c>
      <c r="GC74" s="47">
        <v>1</v>
      </c>
      <c r="GD74" s="43"/>
      <c r="GE74" s="40">
        <v>106</v>
      </c>
      <c r="GF74">
        <v>100</v>
      </c>
      <c r="GG74">
        <v>93</v>
      </c>
      <c r="GH74">
        <v>90</v>
      </c>
      <c r="GI74" s="47">
        <v>9</v>
      </c>
      <c r="GJ74" s="43"/>
      <c r="GM74">
        <v>31</v>
      </c>
      <c r="GN74">
        <v>30</v>
      </c>
      <c r="GO74">
        <v>43</v>
      </c>
      <c r="GP74">
        <v>40</v>
      </c>
      <c r="GQ74" s="47">
        <v>4</v>
      </c>
      <c r="GR74" s="43"/>
      <c r="GX74" s="47">
        <v>0</v>
      </c>
      <c r="GY74" s="43"/>
      <c r="GZ74" s="42"/>
      <c r="HC74" s="47">
        <v>0</v>
      </c>
      <c r="HD74" s="43"/>
      <c r="HE74" s="40">
        <v>131</v>
      </c>
      <c r="HG74">
        <v>125</v>
      </c>
      <c r="HH74" s="47">
        <v>6</v>
      </c>
      <c r="HI74" s="43"/>
      <c r="HJ74">
        <v>93</v>
      </c>
      <c r="HM74">
        <v>90</v>
      </c>
      <c r="HN74" s="47">
        <v>3</v>
      </c>
      <c r="HO74" s="43"/>
      <c r="HP74" s="42"/>
      <c r="HS74">
        <v>22</v>
      </c>
      <c r="HT74">
        <v>20</v>
      </c>
      <c r="HU74" s="47">
        <v>2</v>
      </c>
      <c r="HV74" s="43"/>
      <c r="IA74" s="47">
        <v>0</v>
      </c>
      <c r="IB74" s="43"/>
      <c r="IC74" s="42"/>
      <c r="IE74">
        <v>169</v>
      </c>
      <c r="IF74">
        <v>160</v>
      </c>
      <c r="IG74" s="47">
        <v>9</v>
      </c>
      <c r="IH74" s="43"/>
      <c r="IK74">
        <v>105</v>
      </c>
      <c r="IL74">
        <v>100</v>
      </c>
      <c r="IM74" s="47">
        <v>5</v>
      </c>
      <c r="IN74" s="43"/>
      <c r="IO74" s="40">
        <v>84</v>
      </c>
      <c r="IP74" s="44">
        <v>79.895399999999995</v>
      </c>
      <c r="IQ74" s="47">
        <v>4.1046000000000049</v>
      </c>
      <c r="IR74" s="43"/>
      <c r="IS74" s="42"/>
      <c r="IU74">
        <v>187</v>
      </c>
      <c r="IV74">
        <v>180</v>
      </c>
      <c r="IW74" s="47">
        <v>7</v>
      </c>
      <c r="IX74" s="43"/>
      <c r="IY74" s="42"/>
      <c r="JA74" s="47">
        <v>0</v>
      </c>
      <c r="JB74" s="43"/>
      <c r="JC74" s="42"/>
      <c r="JE74">
        <v>114</v>
      </c>
      <c r="JF74">
        <v>110</v>
      </c>
      <c r="JG74" s="47">
        <v>4</v>
      </c>
      <c r="JH74" s="43"/>
      <c r="JM74">
        <v>176</v>
      </c>
      <c r="JN74">
        <v>180</v>
      </c>
      <c r="JO74" s="47">
        <v>-4</v>
      </c>
      <c r="JP74" s="43"/>
      <c r="JQ74" s="42"/>
      <c r="JS74">
        <v>41</v>
      </c>
      <c r="JT74">
        <v>40</v>
      </c>
      <c r="JU74" s="47">
        <v>1</v>
      </c>
      <c r="JV74" s="43"/>
      <c r="JW74">
        <v>101</v>
      </c>
      <c r="JX74">
        <v>100</v>
      </c>
      <c r="JY74">
        <v>99</v>
      </c>
      <c r="JZ74">
        <v>100</v>
      </c>
      <c r="KA74" s="47">
        <v>0</v>
      </c>
      <c r="KB74" s="45"/>
      <c r="KC74">
        <v>50</v>
      </c>
      <c r="KD74">
        <v>50</v>
      </c>
      <c r="KE74">
        <v>90</v>
      </c>
      <c r="KF74">
        <v>90</v>
      </c>
      <c r="KG74" s="47">
        <v>0</v>
      </c>
      <c r="KH74" s="45"/>
      <c r="KM74" s="47">
        <v>0</v>
      </c>
      <c r="KN74" s="45"/>
      <c r="KO74">
        <v>131</v>
      </c>
      <c r="KP74">
        <v>130</v>
      </c>
      <c r="KQ74">
        <v>101</v>
      </c>
      <c r="KR74">
        <v>100</v>
      </c>
      <c r="KS74" s="47">
        <v>2</v>
      </c>
      <c r="KT74" s="43"/>
      <c r="KU74">
        <v>21</v>
      </c>
      <c r="KV74">
        <v>20</v>
      </c>
      <c r="KW74" s="47">
        <v>1</v>
      </c>
      <c r="KX74" s="45"/>
      <c r="LA74">
        <v>74</v>
      </c>
      <c r="LB74">
        <v>75</v>
      </c>
      <c r="LC74" s="47">
        <v>-1</v>
      </c>
      <c r="LD74" s="43"/>
      <c r="LE74" s="40">
        <v>90</v>
      </c>
      <c r="LF74" s="44">
        <v>90</v>
      </c>
      <c r="LG74" s="47">
        <v>0</v>
      </c>
      <c r="LH74" s="45"/>
      <c r="LK74">
        <v>69</v>
      </c>
      <c r="LL74">
        <v>69</v>
      </c>
      <c r="LM74" s="47">
        <v>0</v>
      </c>
      <c r="LN74" s="45"/>
      <c r="LS74" s="47">
        <v>0</v>
      </c>
      <c r="LT74" s="45"/>
      <c r="LW74">
        <v>12</v>
      </c>
      <c r="LX74">
        <v>10</v>
      </c>
      <c r="LY74" s="47">
        <v>2</v>
      </c>
      <c r="LZ74" s="45"/>
      <c r="MA74">
        <v>51</v>
      </c>
      <c r="MB74">
        <v>50</v>
      </c>
      <c r="MC74">
        <v>200</v>
      </c>
      <c r="MD74">
        <v>200</v>
      </c>
      <c r="ME74" s="47">
        <v>1</v>
      </c>
      <c r="MF74" s="45"/>
      <c r="MG74" s="46"/>
      <c r="MK74">
        <v>21</v>
      </c>
      <c r="ML74">
        <v>20</v>
      </c>
      <c r="MM74" s="47">
        <v>1</v>
      </c>
      <c r="MN74" s="45"/>
      <c r="MO74" s="44">
        <v>0</v>
      </c>
      <c r="MP74" s="44">
        <v>0</v>
      </c>
      <c r="MQ74" s="44">
        <v>162.15199999999999</v>
      </c>
      <c r="MR74" s="44">
        <v>160</v>
      </c>
      <c r="MS74" s="47">
        <v>2.1519999999999868</v>
      </c>
      <c r="MT74" s="45"/>
      <c r="MU74" s="44">
        <v>0</v>
      </c>
      <c r="MV74" s="44">
        <v>0</v>
      </c>
      <c r="MW74" s="44">
        <v>50.744</v>
      </c>
      <c r="MX74" s="44">
        <v>50</v>
      </c>
      <c r="MY74" s="47">
        <v>0.74399999999999977</v>
      </c>
      <c r="MZ74" s="45"/>
      <c r="NA74" s="46">
        <v>0</v>
      </c>
      <c r="NB74" s="44">
        <v>0</v>
      </c>
      <c r="NC74" s="47">
        <v>0</v>
      </c>
      <c r="ND74" s="45"/>
      <c r="NE74" s="46">
        <v>59.787999999999997</v>
      </c>
      <c r="NF74" s="44">
        <v>60</v>
      </c>
      <c r="NG74" s="44">
        <v>51.795000000000002</v>
      </c>
      <c r="NH74" s="44">
        <v>0</v>
      </c>
      <c r="NI74" s="44">
        <v>50</v>
      </c>
      <c r="NJ74" s="47">
        <v>1.582999999999998</v>
      </c>
      <c r="NK74" s="45"/>
      <c r="NL74" s="46">
        <v>80.233000000000004</v>
      </c>
      <c r="NM74" s="44">
        <v>80</v>
      </c>
      <c r="NN74" s="44">
        <v>102.286</v>
      </c>
      <c r="NO74" s="44">
        <v>100</v>
      </c>
      <c r="NP74" s="47">
        <v>2.519000000000005</v>
      </c>
      <c r="NQ74" s="45"/>
      <c r="NR74" s="46">
        <v>51.118000000000002</v>
      </c>
      <c r="NS74" s="44">
        <v>50</v>
      </c>
      <c r="NT74" s="47">
        <v>1.1180000000000021</v>
      </c>
      <c r="NU74" s="45"/>
      <c r="NV74" s="46">
        <v>0</v>
      </c>
      <c r="NW74" s="44">
        <v>0</v>
      </c>
      <c r="NX74" s="44">
        <v>50.24</v>
      </c>
      <c r="NY74" s="44">
        <v>50</v>
      </c>
      <c r="NZ74" s="47">
        <v>0.24000000000000199</v>
      </c>
      <c r="OA74" s="45"/>
      <c r="OB74" s="46">
        <v>201.97200000000001</v>
      </c>
      <c r="OC74" s="44">
        <v>200</v>
      </c>
      <c r="OD74" s="47">
        <v>1.972000000000008</v>
      </c>
      <c r="OE74" s="45"/>
      <c r="OF74" s="46">
        <v>0</v>
      </c>
      <c r="OG74" s="44">
        <v>0</v>
      </c>
      <c r="OH74" s="44">
        <v>122.66500000000001</v>
      </c>
      <c r="OI74" s="44">
        <v>122</v>
      </c>
      <c r="OJ74" s="47">
        <v>0.66500000000000625</v>
      </c>
      <c r="OK74" s="45"/>
      <c r="OL74" s="44">
        <v>0</v>
      </c>
      <c r="OM74" s="43"/>
      <c r="ON74" s="44">
        <v>45.119</v>
      </c>
      <c r="OO74" s="44">
        <v>45</v>
      </c>
      <c r="OP74" s="47">
        <v>0.1189999999999998</v>
      </c>
      <c r="OQ74" s="45"/>
      <c r="OR74" s="46">
        <v>0</v>
      </c>
      <c r="OS74" s="44">
        <v>0</v>
      </c>
      <c r="OT74" s="44">
        <v>119.65600000000001</v>
      </c>
      <c r="OU74" s="44">
        <v>120</v>
      </c>
      <c r="OV74" s="47">
        <v>-0.34399999999999409</v>
      </c>
      <c r="OW74" s="45"/>
      <c r="OX74" s="25">
        <v>50.600999999999999</v>
      </c>
      <c r="OY74" s="44">
        <v>0</v>
      </c>
      <c r="OZ74" s="44">
        <v>42.173000000000002</v>
      </c>
      <c r="PA74" s="44">
        <v>40</v>
      </c>
      <c r="PB74" s="47">
        <v>52.774000000000001</v>
      </c>
      <c r="PC74" s="45"/>
      <c r="PD74" s="46">
        <v>0</v>
      </c>
      <c r="PE74" s="44">
        <v>0</v>
      </c>
      <c r="PF74" s="44">
        <v>72.813999999999993</v>
      </c>
      <c r="PG74" s="44">
        <v>70</v>
      </c>
      <c r="PH74" s="47">
        <v>2.813999999999993</v>
      </c>
      <c r="PI74" s="45"/>
      <c r="PJ74" s="46">
        <v>0</v>
      </c>
      <c r="PK74" s="44">
        <v>0</v>
      </c>
      <c r="PL74" s="44">
        <v>139.863</v>
      </c>
      <c r="PM74" s="44">
        <v>143</v>
      </c>
      <c r="PN74" s="47">
        <v>-3.137</v>
      </c>
      <c r="PO74" s="45"/>
      <c r="PP74" s="46">
        <v>0</v>
      </c>
      <c r="PQ74" s="44">
        <v>0</v>
      </c>
      <c r="PR74" s="44">
        <v>26.385000000000002</v>
      </c>
      <c r="PS74" s="44">
        <v>25</v>
      </c>
      <c r="PT74" s="47">
        <v>1.385000000000002</v>
      </c>
      <c r="PU74" s="45"/>
      <c r="PV74" s="46">
        <v>50.670999999999999</v>
      </c>
      <c r="PW74" s="44">
        <v>50</v>
      </c>
      <c r="PX74" s="47">
        <v>0.67099999999999937</v>
      </c>
      <c r="PY74" s="45"/>
      <c r="PZ74" s="46">
        <v>149.251</v>
      </c>
      <c r="QA74" s="44">
        <v>150</v>
      </c>
      <c r="QB74" s="47">
        <v>-0.74899999999999523</v>
      </c>
      <c r="QC74" s="45"/>
      <c r="QD74" s="46">
        <v>0</v>
      </c>
      <c r="QE74" s="44">
        <v>0</v>
      </c>
      <c r="QF74" s="44">
        <v>56.779000000000003</v>
      </c>
      <c r="QG74" s="44">
        <v>56.695400000000006</v>
      </c>
      <c r="QH74" s="47">
        <v>8.359999999999701E-2</v>
      </c>
      <c r="QI74" s="45"/>
      <c r="QJ74" s="46">
        <v>0</v>
      </c>
      <c r="QK74" s="44">
        <v>0</v>
      </c>
      <c r="QL74" s="47">
        <v>0</v>
      </c>
      <c r="QM74" s="45"/>
      <c r="QN74" s="46">
        <v>80.67</v>
      </c>
      <c r="QO74" s="44">
        <v>80</v>
      </c>
      <c r="QP74" s="44">
        <v>71.738</v>
      </c>
      <c r="QQ74" s="44">
        <v>70</v>
      </c>
      <c r="QR74" s="47">
        <v>2.408000000000015</v>
      </c>
      <c r="QS74" s="45"/>
      <c r="QT74" s="46">
        <v>60.744999999999997</v>
      </c>
      <c r="QU74" s="44">
        <v>0</v>
      </c>
      <c r="QV74" s="47">
        <v>60.744999999999997</v>
      </c>
      <c r="QW74" s="45"/>
      <c r="QX74" s="46">
        <v>0</v>
      </c>
      <c r="QY74" s="44">
        <v>0</v>
      </c>
      <c r="QZ74" s="44">
        <v>0</v>
      </c>
      <c r="RA74" s="44">
        <v>0</v>
      </c>
      <c r="RB74" s="47">
        <v>0</v>
      </c>
      <c r="RC74" s="45"/>
      <c r="RD74" s="42">
        <v>0</v>
      </c>
      <c r="RE74" s="44">
        <v>0</v>
      </c>
      <c r="RF74" s="44">
        <v>0</v>
      </c>
      <c r="RG74" s="44">
        <v>0</v>
      </c>
      <c r="RH74" s="47">
        <v>0</v>
      </c>
      <c r="RI74" s="45"/>
      <c r="RJ74" s="42">
        <v>50.67</v>
      </c>
      <c r="RK74" s="47">
        <v>50</v>
      </c>
      <c r="RL74" s="47">
        <v>59.954999999999998</v>
      </c>
      <c r="RM74" s="47">
        <v>60</v>
      </c>
      <c r="RN74" s="47">
        <v>0.625</v>
      </c>
      <c r="RO74" s="43"/>
      <c r="RP74" s="42">
        <v>141.11600000000001</v>
      </c>
      <c r="RQ74" s="47">
        <v>140</v>
      </c>
      <c r="RR74" s="47">
        <v>1.1160000000000141</v>
      </c>
      <c r="RS74" s="43"/>
      <c r="RT74" s="42">
        <v>0</v>
      </c>
      <c r="RU74" s="47">
        <v>0</v>
      </c>
      <c r="RV74" s="47">
        <v>0</v>
      </c>
      <c r="RW74" s="47">
        <v>0</v>
      </c>
      <c r="RX74" s="47">
        <v>0</v>
      </c>
      <c r="RY74" s="43"/>
      <c r="RZ74" s="42">
        <v>0</v>
      </c>
      <c r="SA74" s="47">
        <v>0</v>
      </c>
      <c r="SB74" s="47">
        <v>0</v>
      </c>
      <c r="SC74" s="47">
        <v>0</v>
      </c>
      <c r="SD74" s="47">
        <v>0</v>
      </c>
      <c r="SE74" s="43"/>
      <c r="SF74" s="42">
        <v>50.906999999999996</v>
      </c>
      <c r="SG74" s="47">
        <v>50</v>
      </c>
      <c r="SH74" s="47">
        <v>101.43300000000001</v>
      </c>
      <c r="SI74" s="47">
        <v>0</v>
      </c>
      <c r="SJ74" s="47">
        <v>102.34</v>
      </c>
      <c r="SK74" s="43"/>
      <c r="SL74" s="42">
        <v>149.072</v>
      </c>
      <c r="SM74" s="47">
        <v>150</v>
      </c>
      <c r="SN74" s="47">
        <v>-0.92799999999999727</v>
      </c>
      <c r="SO74" s="43"/>
      <c r="SP74" s="42">
        <v>0</v>
      </c>
      <c r="SQ74" s="47">
        <v>0</v>
      </c>
      <c r="SR74" s="47">
        <v>0</v>
      </c>
      <c r="SS74" s="47">
        <v>0</v>
      </c>
      <c r="ST74" s="47">
        <v>0</v>
      </c>
      <c r="SU74" s="43"/>
    </row>
    <row r="75" spans="1:515" x14ac:dyDescent="0.25">
      <c r="A75" s="47" t="s">
        <v>382</v>
      </c>
      <c r="B75" s="41">
        <v>1</v>
      </c>
      <c r="E75">
        <v>95</v>
      </c>
      <c r="F75">
        <v>65</v>
      </c>
      <c r="G75">
        <v>63</v>
      </c>
      <c r="J75" s="40">
        <v>40</v>
      </c>
      <c r="K75" s="52">
        <v>39</v>
      </c>
      <c r="L75" s="52">
        <v>31</v>
      </c>
      <c r="M75" s="52">
        <v>31</v>
      </c>
      <c r="N75" s="51">
        <f t="shared" si="12"/>
        <v>1</v>
      </c>
      <c r="O75" s="43"/>
      <c r="P75" s="40">
        <v>28</v>
      </c>
      <c r="Q75" s="52">
        <v>27</v>
      </c>
      <c r="R75" s="52">
        <v>22</v>
      </c>
      <c r="S75" s="52">
        <v>23</v>
      </c>
      <c r="T75" s="51">
        <f t="shared" si="13"/>
        <v>0</v>
      </c>
      <c r="U75" s="43"/>
      <c r="V75" s="40">
        <v>82</v>
      </c>
      <c r="W75" s="52">
        <v>80</v>
      </c>
      <c r="X75" s="52">
        <v>68</v>
      </c>
      <c r="Y75" s="52">
        <v>66</v>
      </c>
      <c r="Z75" s="51">
        <f t="shared" si="14"/>
        <v>4</v>
      </c>
      <c r="AA75" s="43"/>
      <c r="AB75" s="42"/>
      <c r="AC75" s="51"/>
      <c r="AD75" s="52">
        <v>6</v>
      </c>
      <c r="AE75" s="56">
        <v>8</v>
      </c>
      <c r="AF75" s="51">
        <v>-2</v>
      </c>
      <c r="AG75" s="43"/>
      <c r="AH75" s="52">
        <v>78</v>
      </c>
      <c r="AI75">
        <v>75</v>
      </c>
      <c r="AJ75">
        <v>63</v>
      </c>
      <c r="AK75">
        <v>60</v>
      </c>
      <c r="AL75" s="47">
        <v>6</v>
      </c>
      <c r="AM75" s="43"/>
      <c r="AN75" s="42"/>
      <c r="AR75" s="47">
        <v>0</v>
      </c>
      <c r="AS75" s="43"/>
      <c r="AT75">
        <v>93</v>
      </c>
      <c r="AU75">
        <v>90</v>
      </c>
      <c r="AV75">
        <v>96</v>
      </c>
      <c r="AW75">
        <v>93</v>
      </c>
      <c r="AX75" s="47">
        <v>6</v>
      </c>
      <c r="AY75" s="43"/>
      <c r="BD75" s="47">
        <v>0</v>
      </c>
      <c r="BE75" s="43"/>
      <c r="BF75" s="40">
        <v>53</v>
      </c>
      <c r="BG75">
        <v>50</v>
      </c>
      <c r="BH75">
        <v>62</v>
      </c>
      <c r="BI75">
        <v>60</v>
      </c>
      <c r="BJ75" s="47">
        <v>5</v>
      </c>
      <c r="BK75" s="43"/>
      <c r="BL75" s="40">
        <v>6</v>
      </c>
      <c r="BM75">
        <v>5</v>
      </c>
      <c r="BP75" s="47">
        <v>1</v>
      </c>
      <c r="BQ75" s="43"/>
      <c r="BV75" s="47">
        <v>0</v>
      </c>
      <c r="BW75" s="43"/>
      <c r="BX75" s="40">
        <v>107</v>
      </c>
      <c r="BY75">
        <v>100</v>
      </c>
      <c r="BZ75">
        <v>182</v>
      </c>
      <c r="CA75">
        <v>176</v>
      </c>
      <c r="CB75" s="47">
        <v>13</v>
      </c>
      <c r="CC75" s="43"/>
      <c r="CD75">
        <v>63</v>
      </c>
      <c r="CE75">
        <v>60</v>
      </c>
      <c r="CF75">
        <v>82</v>
      </c>
      <c r="CG75">
        <v>78</v>
      </c>
      <c r="CH75" s="47">
        <v>7</v>
      </c>
      <c r="CI75" s="43"/>
      <c r="CJ75">
        <v>28</v>
      </c>
      <c r="CK75">
        <v>27</v>
      </c>
      <c r="CN75" s="47">
        <v>1</v>
      </c>
      <c r="CO75" s="43"/>
      <c r="CP75" s="40">
        <v>61</v>
      </c>
      <c r="CQ75">
        <v>60</v>
      </c>
      <c r="CR75">
        <v>106</v>
      </c>
      <c r="CS75">
        <v>100</v>
      </c>
      <c r="CT75" s="47">
        <v>7</v>
      </c>
      <c r="CU75" s="43"/>
      <c r="CV75" s="40">
        <v>31</v>
      </c>
      <c r="CW75">
        <v>30</v>
      </c>
      <c r="CX75">
        <v>68</v>
      </c>
      <c r="CY75">
        <v>64</v>
      </c>
      <c r="CZ75" s="47">
        <v>5</v>
      </c>
      <c r="DA75" s="43"/>
      <c r="DE75">
        <v>56</v>
      </c>
      <c r="DF75">
        <v>52</v>
      </c>
      <c r="DG75" s="47">
        <v>4</v>
      </c>
      <c r="DH75" s="43"/>
      <c r="DK75" s="47">
        <v>0</v>
      </c>
      <c r="DL75" s="43"/>
      <c r="DM75" s="40">
        <v>94</v>
      </c>
      <c r="DN75">
        <v>90</v>
      </c>
      <c r="DO75">
        <v>255</v>
      </c>
      <c r="DP75">
        <v>241</v>
      </c>
      <c r="DQ75" s="47">
        <v>18</v>
      </c>
      <c r="DR75" s="43"/>
      <c r="DU75">
        <v>18</v>
      </c>
      <c r="DV75">
        <v>18</v>
      </c>
      <c r="DW75" s="47">
        <v>0</v>
      </c>
      <c r="DX75" s="43"/>
      <c r="DY75">
        <v>53</v>
      </c>
      <c r="DZ75">
        <v>50</v>
      </c>
      <c r="EA75">
        <v>132</v>
      </c>
      <c r="EB75">
        <v>128</v>
      </c>
      <c r="EC75" s="47">
        <v>7</v>
      </c>
      <c r="ED75" s="43"/>
      <c r="EE75" s="42"/>
      <c r="EG75">
        <v>18</v>
      </c>
      <c r="EH75">
        <v>17</v>
      </c>
      <c r="EI75" s="47">
        <v>1</v>
      </c>
      <c r="EJ75" s="43"/>
      <c r="EM75">
        <v>56</v>
      </c>
      <c r="EN75">
        <v>53</v>
      </c>
      <c r="EO75" s="47">
        <v>3</v>
      </c>
      <c r="EP75" s="43"/>
      <c r="EQ75" s="42"/>
      <c r="EU75" s="47">
        <v>0</v>
      </c>
      <c r="EV75" s="43"/>
      <c r="EW75" s="42"/>
      <c r="FA75">
        <v>238</v>
      </c>
      <c r="FB75">
        <v>230</v>
      </c>
      <c r="FC75" s="47">
        <v>8</v>
      </c>
      <c r="FD75" s="43"/>
      <c r="FE75" s="40">
        <v>62</v>
      </c>
      <c r="FF75">
        <v>60</v>
      </c>
      <c r="FG75">
        <v>53</v>
      </c>
      <c r="FH75">
        <v>50</v>
      </c>
      <c r="FI75" s="47">
        <v>5</v>
      </c>
      <c r="FJ75" s="43"/>
      <c r="FM75">
        <v>216</v>
      </c>
      <c r="FN75">
        <v>210</v>
      </c>
      <c r="FO75">
        <v>107</v>
      </c>
      <c r="FP75">
        <v>100</v>
      </c>
      <c r="FQ75" s="47">
        <v>13</v>
      </c>
      <c r="FR75" s="43"/>
      <c r="FS75" s="42"/>
      <c r="FU75">
        <v>100</v>
      </c>
      <c r="FV75">
        <v>96</v>
      </c>
      <c r="FW75" s="47">
        <v>4</v>
      </c>
      <c r="FX75" s="43"/>
      <c r="FY75" s="42"/>
      <c r="GA75">
        <v>147</v>
      </c>
      <c r="GB75">
        <v>140</v>
      </c>
      <c r="GC75" s="47">
        <v>7</v>
      </c>
      <c r="GD75" s="43"/>
      <c r="GE75" s="42"/>
      <c r="GI75" s="47">
        <v>0</v>
      </c>
      <c r="GJ75" s="43"/>
      <c r="GK75">
        <v>125</v>
      </c>
      <c r="GL75">
        <v>120</v>
      </c>
      <c r="GM75">
        <v>156</v>
      </c>
      <c r="GN75">
        <v>150</v>
      </c>
      <c r="GO75">
        <v>154</v>
      </c>
      <c r="GP75">
        <v>150</v>
      </c>
      <c r="GQ75" s="47">
        <v>15</v>
      </c>
      <c r="GR75" s="43"/>
      <c r="GX75" s="47">
        <v>0</v>
      </c>
      <c r="GY75" s="43"/>
      <c r="GZ75" s="40">
        <v>97</v>
      </c>
      <c r="HB75" s="44">
        <v>92.220399999999984</v>
      </c>
      <c r="HC75" s="47">
        <v>4.7796000000000163</v>
      </c>
      <c r="HD75" s="43"/>
      <c r="HE75" s="40">
        <v>56</v>
      </c>
      <c r="HG75">
        <v>52</v>
      </c>
      <c r="HH75" s="47">
        <v>4</v>
      </c>
      <c r="HI75" s="43"/>
      <c r="HJ75">
        <v>163</v>
      </c>
      <c r="HM75">
        <v>160</v>
      </c>
      <c r="HN75" s="47">
        <v>3</v>
      </c>
      <c r="HO75" s="43"/>
      <c r="HP75" s="40">
        <v>53</v>
      </c>
      <c r="HR75">
        <v>50</v>
      </c>
      <c r="HS75">
        <v>53</v>
      </c>
      <c r="HT75">
        <v>50</v>
      </c>
      <c r="HU75" s="47">
        <v>6</v>
      </c>
      <c r="HV75" s="43"/>
      <c r="HY75">
        <v>62</v>
      </c>
      <c r="HZ75">
        <v>60</v>
      </c>
      <c r="IA75" s="47">
        <v>2</v>
      </c>
      <c r="IB75" s="43"/>
      <c r="IC75" s="40">
        <v>156</v>
      </c>
      <c r="ID75">
        <v>150</v>
      </c>
      <c r="IE75">
        <v>187</v>
      </c>
      <c r="IF75">
        <v>180</v>
      </c>
      <c r="IG75" s="47">
        <v>13</v>
      </c>
      <c r="IH75" s="43"/>
      <c r="IK75">
        <v>21</v>
      </c>
      <c r="IL75">
        <v>20</v>
      </c>
      <c r="IM75" s="47">
        <v>1</v>
      </c>
      <c r="IN75" s="43"/>
      <c r="IO75" s="40">
        <v>244</v>
      </c>
      <c r="IP75" s="44">
        <v>235.75620000000001</v>
      </c>
      <c r="IQ75" s="47">
        <v>8.2437999999999931</v>
      </c>
      <c r="IR75" s="43"/>
      <c r="IS75" s="40">
        <v>108</v>
      </c>
      <c r="IT75">
        <v>100</v>
      </c>
      <c r="IU75">
        <v>207</v>
      </c>
      <c r="IV75">
        <v>200</v>
      </c>
      <c r="IW75" s="47">
        <v>15</v>
      </c>
      <c r="IX75" s="43"/>
      <c r="IY75" s="42"/>
      <c r="JA75" s="47">
        <v>0</v>
      </c>
      <c r="JB75" s="43"/>
      <c r="JC75" s="42"/>
      <c r="JE75">
        <v>146</v>
      </c>
      <c r="JF75">
        <v>140</v>
      </c>
      <c r="JG75" s="47">
        <v>6</v>
      </c>
      <c r="JH75" s="43"/>
      <c r="JM75">
        <v>219</v>
      </c>
      <c r="JN75">
        <v>220</v>
      </c>
      <c r="JO75" s="47">
        <v>-1</v>
      </c>
      <c r="JP75" s="43"/>
      <c r="JQ75" s="42"/>
      <c r="JS75">
        <v>88</v>
      </c>
      <c r="JT75">
        <v>90</v>
      </c>
      <c r="JU75" s="47">
        <v>-2</v>
      </c>
      <c r="JV75" s="43"/>
      <c r="JY75">
        <v>21</v>
      </c>
      <c r="JZ75">
        <v>20</v>
      </c>
      <c r="KA75" s="47">
        <v>1</v>
      </c>
      <c r="KB75" s="45"/>
      <c r="KC75">
        <v>199</v>
      </c>
      <c r="KD75">
        <v>200</v>
      </c>
      <c r="KE75">
        <v>249</v>
      </c>
      <c r="KF75">
        <v>250</v>
      </c>
      <c r="KG75" s="47">
        <v>-2</v>
      </c>
      <c r="KH75" s="45"/>
      <c r="KI75">
        <v>148</v>
      </c>
      <c r="KJ75">
        <v>150</v>
      </c>
      <c r="KM75" s="47">
        <v>-2</v>
      </c>
      <c r="KN75" s="45"/>
      <c r="KO75">
        <v>133</v>
      </c>
      <c r="KP75">
        <v>130</v>
      </c>
      <c r="KQ75">
        <v>118</v>
      </c>
      <c r="KR75">
        <v>120</v>
      </c>
      <c r="KS75" s="47">
        <v>1</v>
      </c>
      <c r="KT75" s="43"/>
      <c r="KU75">
        <v>41</v>
      </c>
      <c r="KV75">
        <v>40</v>
      </c>
      <c r="KW75" s="47">
        <v>1</v>
      </c>
      <c r="KX75" s="45"/>
      <c r="KY75">
        <v>149</v>
      </c>
      <c r="KZ75">
        <v>150</v>
      </c>
      <c r="LA75">
        <v>125</v>
      </c>
      <c r="LB75">
        <v>126</v>
      </c>
      <c r="LC75" s="47">
        <v>-2</v>
      </c>
      <c r="LD75" s="43"/>
      <c r="LE75" s="40">
        <v>197</v>
      </c>
      <c r="LF75" s="44">
        <v>200</v>
      </c>
      <c r="LG75" s="47">
        <v>-3</v>
      </c>
      <c r="LH75" s="45"/>
      <c r="LK75">
        <v>129</v>
      </c>
      <c r="LL75">
        <v>130</v>
      </c>
      <c r="LM75" s="47">
        <v>-1</v>
      </c>
      <c r="LN75" s="45"/>
      <c r="LO75">
        <v>101</v>
      </c>
      <c r="LP75">
        <v>100</v>
      </c>
      <c r="LQ75">
        <v>102</v>
      </c>
      <c r="LR75">
        <v>100</v>
      </c>
      <c r="LS75" s="47">
        <v>3</v>
      </c>
      <c r="LT75" s="45"/>
      <c r="LW75">
        <v>60</v>
      </c>
      <c r="LX75">
        <v>60</v>
      </c>
      <c r="LY75" s="47">
        <v>0</v>
      </c>
      <c r="LZ75" s="45"/>
      <c r="MA75">
        <v>148</v>
      </c>
      <c r="MB75">
        <v>150</v>
      </c>
      <c r="MC75">
        <v>188</v>
      </c>
      <c r="MD75">
        <v>190</v>
      </c>
      <c r="ME75" s="47">
        <v>-4</v>
      </c>
      <c r="MF75" s="45"/>
      <c r="MG75" s="40">
        <v>30</v>
      </c>
      <c r="MH75">
        <v>30</v>
      </c>
      <c r="MI75">
        <v>42</v>
      </c>
      <c r="MJ75">
        <v>40</v>
      </c>
      <c r="MK75">
        <v>42</v>
      </c>
      <c r="ML75">
        <v>40</v>
      </c>
      <c r="MM75" s="47">
        <v>4</v>
      </c>
      <c r="MN75" s="45"/>
      <c r="MO75" s="44">
        <v>101.16500000000001</v>
      </c>
      <c r="MP75" s="44">
        <v>100</v>
      </c>
      <c r="MQ75" s="44">
        <v>151.715</v>
      </c>
      <c r="MR75" s="44">
        <v>150</v>
      </c>
      <c r="MS75" s="47">
        <v>2.879999999999995</v>
      </c>
      <c r="MT75" s="45"/>
      <c r="MU75" s="44">
        <v>0</v>
      </c>
      <c r="MV75" s="44">
        <v>0</v>
      </c>
      <c r="MW75" s="44">
        <v>0</v>
      </c>
      <c r="MX75" s="44">
        <v>0</v>
      </c>
      <c r="MY75" s="47">
        <v>0</v>
      </c>
      <c r="MZ75" s="45"/>
      <c r="NA75" s="46">
        <v>119.40600000000001</v>
      </c>
      <c r="NB75" s="44">
        <v>120</v>
      </c>
      <c r="NC75" s="47">
        <v>-0.59399999999999409</v>
      </c>
      <c r="ND75" s="45"/>
      <c r="NE75" s="46">
        <v>121.908</v>
      </c>
      <c r="NF75" s="44">
        <v>120</v>
      </c>
      <c r="NG75" s="44">
        <v>132.333</v>
      </c>
      <c r="NH75" s="44">
        <v>0</v>
      </c>
      <c r="NI75" s="44">
        <v>130</v>
      </c>
      <c r="NJ75" s="47">
        <v>4.2409999999999846</v>
      </c>
      <c r="NK75" s="45"/>
      <c r="NL75" s="46">
        <v>20.815000000000001</v>
      </c>
      <c r="NM75" s="44">
        <v>20</v>
      </c>
      <c r="NN75" s="44">
        <v>29.776</v>
      </c>
      <c r="NO75" s="44">
        <v>30</v>
      </c>
      <c r="NP75" s="47">
        <v>0.59100000000000108</v>
      </c>
      <c r="NQ75" s="45"/>
      <c r="NR75" s="46">
        <v>122.53700000000001</v>
      </c>
      <c r="NS75" s="44">
        <v>120</v>
      </c>
      <c r="NT75" s="47">
        <v>2.5370000000000061</v>
      </c>
      <c r="NU75" s="45"/>
      <c r="NV75" s="46">
        <v>142.62899999999999</v>
      </c>
      <c r="NW75" s="44">
        <v>140</v>
      </c>
      <c r="NX75" s="44">
        <v>302.31700000000001</v>
      </c>
      <c r="NY75" s="44">
        <v>300</v>
      </c>
      <c r="NZ75" s="47">
        <v>4.9460000000000264</v>
      </c>
      <c r="OA75" s="45"/>
      <c r="OB75" s="46">
        <v>59.725000000000001</v>
      </c>
      <c r="OC75" s="44">
        <v>60</v>
      </c>
      <c r="OD75" s="47">
        <v>-0.27499999999999858</v>
      </c>
      <c r="OE75" s="45"/>
      <c r="OF75" s="46">
        <v>72.388999999999996</v>
      </c>
      <c r="OG75" s="44">
        <v>70</v>
      </c>
      <c r="OH75" s="44">
        <v>292.49299999999999</v>
      </c>
      <c r="OI75" s="44">
        <v>290</v>
      </c>
      <c r="OJ75" s="47">
        <v>4.882000000000005</v>
      </c>
      <c r="OK75" s="45"/>
      <c r="OL75" s="44">
        <v>0</v>
      </c>
      <c r="OM75" s="43"/>
      <c r="ON75" s="44">
        <v>91.444000000000003</v>
      </c>
      <c r="OO75" s="44">
        <v>90</v>
      </c>
      <c r="OP75" s="47">
        <v>1.4440000000000031</v>
      </c>
      <c r="OQ75" s="45"/>
      <c r="OR75" s="46">
        <v>50.338999999999999</v>
      </c>
      <c r="OS75" s="44">
        <v>50</v>
      </c>
      <c r="OT75" s="44">
        <v>101.428</v>
      </c>
      <c r="OU75" s="44">
        <v>100</v>
      </c>
      <c r="OV75" s="47">
        <v>1.7669999999999959</v>
      </c>
      <c r="OW75" s="45"/>
      <c r="OX75" s="46">
        <v>0</v>
      </c>
      <c r="OY75" s="33">
        <v>30</v>
      </c>
      <c r="OZ75" s="44">
        <v>72.173000000000002</v>
      </c>
      <c r="PA75" s="44">
        <v>72</v>
      </c>
      <c r="PB75" s="50">
        <v>-29.827000000000002</v>
      </c>
      <c r="PC75" s="45">
        <v>29.827000000000002</v>
      </c>
      <c r="PD75" s="46">
        <v>81.272999999999996</v>
      </c>
      <c r="PE75" s="44">
        <v>80</v>
      </c>
      <c r="PF75" s="44">
        <v>62.179000000000002</v>
      </c>
      <c r="PG75" s="44">
        <v>120</v>
      </c>
      <c r="PH75" s="50">
        <v>-56.548000000000002</v>
      </c>
      <c r="PI75" s="45">
        <v>56.548000000000002</v>
      </c>
      <c r="PJ75" s="46">
        <v>0</v>
      </c>
      <c r="PK75" s="44">
        <v>0</v>
      </c>
      <c r="PL75" s="44">
        <v>151.22900000000001</v>
      </c>
      <c r="PM75" s="44">
        <v>150</v>
      </c>
      <c r="PN75" s="47">
        <v>1.229000000000013</v>
      </c>
      <c r="PO75" s="45"/>
      <c r="PP75" s="46">
        <v>0</v>
      </c>
      <c r="PQ75" s="44">
        <v>0</v>
      </c>
      <c r="PR75" s="44">
        <v>79.944999999999993</v>
      </c>
      <c r="PS75" s="44">
        <v>80</v>
      </c>
      <c r="PT75" s="47">
        <v>-5.5000000000006821E-2</v>
      </c>
      <c r="PU75" s="45"/>
      <c r="PV75" s="46">
        <v>50.7</v>
      </c>
      <c r="PW75" s="44">
        <v>50</v>
      </c>
      <c r="PX75" s="47">
        <v>0.70000000000000284</v>
      </c>
      <c r="PY75" s="45"/>
      <c r="PZ75" s="46">
        <v>281.28500000000003</v>
      </c>
      <c r="QA75" s="44">
        <v>281</v>
      </c>
      <c r="QB75" s="47">
        <v>0.28500000000002501</v>
      </c>
      <c r="QC75" s="45"/>
      <c r="QD75" s="46">
        <v>0</v>
      </c>
      <c r="QE75" s="44">
        <v>0</v>
      </c>
      <c r="QF75" s="44">
        <v>149.33699999999999</v>
      </c>
      <c r="QG75" s="44">
        <v>150</v>
      </c>
      <c r="QH75" s="47">
        <v>-0.66300000000001091</v>
      </c>
      <c r="QI75" s="45"/>
      <c r="QJ75" s="46">
        <v>41.936</v>
      </c>
      <c r="QK75" s="44">
        <v>40</v>
      </c>
      <c r="QL75" s="47">
        <v>1.9359999999999999</v>
      </c>
      <c r="QM75" s="45"/>
      <c r="QN75" s="46">
        <v>130.85499999999999</v>
      </c>
      <c r="QO75" s="44">
        <v>130</v>
      </c>
      <c r="QP75" s="44">
        <v>110.497</v>
      </c>
      <c r="QQ75" s="44">
        <v>110</v>
      </c>
      <c r="QR75" s="47">
        <v>1.351999999999975</v>
      </c>
      <c r="QS75" s="45"/>
      <c r="QT75" s="46">
        <v>0</v>
      </c>
      <c r="QU75" s="44">
        <v>0</v>
      </c>
      <c r="QV75" s="47">
        <v>0</v>
      </c>
      <c r="QW75" s="45"/>
      <c r="QX75" s="46">
        <v>0</v>
      </c>
      <c r="QY75" s="44">
        <v>0</v>
      </c>
      <c r="QZ75" s="44">
        <v>0</v>
      </c>
      <c r="RA75" s="44">
        <v>0</v>
      </c>
      <c r="RB75" s="47">
        <v>0</v>
      </c>
      <c r="RC75" s="45"/>
      <c r="RD75" s="42">
        <v>0</v>
      </c>
      <c r="RE75" s="44">
        <v>0</v>
      </c>
      <c r="RF75" s="44">
        <v>0</v>
      </c>
      <c r="RG75" s="44">
        <v>0</v>
      </c>
      <c r="RH75" s="47">
        <v>0</v>
      </c>
      <c r="RI75" s="45"/>
      <c r="RJ75" s="42">
        <v>132.52199999999999</v>
      </c>
      <c r="RK75" s="47">
        <v>130</v>
      </c>
      <c r="RL75" s="47">
        <v>101.83499999999999</v>
      </c>
      <c r="RM75" s="47">
        <v>100</v>
      </c>
      <c r="RN75" s="47">
        <v>4.3569999999999709</v>
      </c>
      <c r="RO75" s="43"/>
      <c r="RP75" s="42">
        <v>191.678</v>
      </c>
      <c r="RQ75" s="47">
        <v>190</v>
      </c>
      <c r="RR75" s="47">
        <v>1.677999999999997</v>
      </c>
      <c r="RS75" s="43"/>
      <c r="RT75" s="42">
        <v>51.127000000000002</v>
      </c>
      <c r="RU75" s="47">
        <v>50</v>
      </c>
      <c r="RV75" s="47">
        <v>51.298999999999999</v>
      </c>
      <c r="RW75" s="47">
        <v>50</v>
      </c>
      <c r="RX75" s="47">
        <v>2.4260000000000019</v>
      </c>
      <c r="RY75" s="43"/>
      <c r="RZ75" s="42">
        <v>71.664000000000001</v>
      </c>
      <c r="SA75" s="47">
        <v>70</v>
      </c>
      <c r="SB75" s="47">
        <v>80.296999999999997</v>
      </c>
      <c r="SC75" s="47">
        <v>80</v>
      </c>
      <c r="SD75" s="47">
        <v>1.961000000000013</v>
      </c>
      <c r="SE75" s="43"/>
      <c r="SF75" s="42">
        <v>48.773000000000003</v>
      </c>
      <c r="SG75" s="47">
        <v>48</v>
      </c>
      <c r="SH75" s="47">
        <v>0</v>
      </c>
      <c r="SI75" s="47">
        <v>50</v>
      </c>
      <c r="SJ75" s="50">
        <v>-49.226999999999997</v>
      </c>
      <c r="SK75" s="43">
        <v>49.226999999999997</v>
      </c>
      <c r="SL75" s="42">
        <v>0</v>
      </c>
      <c r="SM75" s="47">
        <v>0</v>
      </c>
      <c r="SN75" s="47">
        <v>0</v>
      </c>
      <c r="SO75" s="43"/>
      <c r="SP75" s="42">
        <v>0</v>
      </c>
      <c r="SQ75" s="47">
        <v>0</v>
      </c>
      <c r="SR75" s="47">
        <v>0</v>
      </c>
      <c r="SS75" s="47">
        <v>0</v>
      </c>
      <c r="ST75" s="47">
        <v>0</v>
      </c>
      <c r="SU75" s="43"/>
    </row>
    <row r="76" spans="1:515" x14ac:dyDescent="0.25">
      <c r="A76" s="47" t="s">
        <v>383</v>
      </c>
      <c r="B76" s="41">
        <v>0.1</v>
      </c>
      <c r="J76" s="42"/>
      <c r="K76" s="51"/>
      <c r="L76" s="51"/>
      <c r="M76" s="51"/>
      <c r="N76" s="51">
        <f t="shared" si="12"/>
        <v>0</v>
      </c>
      <c r="O76" s="43"/>
      <c r="P76" s="46"/>
      <c r="Q76" s="51"/>
      <c r="R76" s="51"/>
      <c r="S76" s="51"/>
      <c r="T76" s="51">
        <f t="shared" si="13"/>
        <v>0</v>
      </c>
      <c r="U76" s="43"/>
      <c r="V76" s="42"/>
      <c r="W76" s="51"/>
      <c r="X76" s="51"/>
      <c r="Y76" s="51"/>
      <c r="Z76" s="51">
        <f t="shared" si="14"/>
        <v>0</v>
      </c>
      <c r="AA76" s="43"/>
      <c r="AB76" s="42"/>
      <c r="AC76" s="51"/>
      <c r="AD76" s="51"/>
      <c r="AE76" s="51"/>
      <c r="AF76" s="51">
        <v>0</v>
      </c>
      <c r="AG76" s="43"/>
      <c r="AH76" s="51"/>
      <c r="AL76" s="47">
        <v>0</v>
      </c>
      <c r="AM76" s="43"/>
      <c r="AN76" s="42"/>
      <c r="AR76" s="47">
        <v>0</v>
      </c>
      <c r="AS76" s="43"/>
      <c r="AX76" s="47">
        <v>0</v>
      </c>
      <c r="AY76" s="43"/>
      <c r="BD76" s="47">
        <v>0</v>
      </c>
      <c r="BE76" s="43"/>
      <c r="BF76" s="42"/>
      <c r="BJ76" s="47">
        <v>0</v>
      </c>
      <c r="BK76" s="43"/>
      <c r="BL76" s="42"/>
      <c r="BP76" s="47">
        <v>0</v>
      </c>
      <c r="BQ76" s="43"/>
      <c r="BV76" s="47">
        <v>0</v>
      </c>
      <c r="BW76" s="43"/>
      <c r="BX76" s="42"/>
      <c r="CB76" s="47">
        <v>0</v>
      </c>
      <c r="CC76" s="43"/>
      <c r="CH76" s="47">
        <v>0</v>
      </c>
      <c r="CI76" s="43"/>
      <c r="CN76" s="47">
        <v>0</v>
      </c>
      <c r="CO76" s="43"/>
      <c r="CP76" s="42"/>
      <c r="CT76" s="47">
        <v>0</v>
      </c>
      <c r="CU76" s="43"/>
      <c r="CV76" s="42"/>
      <c r="CZ76" s="47">
        <v>0</v>
      </c>
      <c r="DA76" s="43"/>
      <c r="DG76" s="47">
        <v>0</v>
      </c>
      <c r="DH76" s="43"/>
      <c r="DK76" s="47">
        <v>0</v>
      </c>
      <c r="DL76" s="43"/>
      <c r="DM76" s="42"/>
      <c r="DQ76" s="47">
        <v>0</v>
      </c>
      <c r="DR76" s="43"/>
      <c r="DW76" s="47">
        <v>0</v>
      </c>
      <c r="DX76" s="43"/>
      <c r="EC76" s="47">
        <v>0</v>
      </c>
      <c r="ED76" s="43"/>
      <c r="EE76" s="42"/>
      <c r="EI76" s="47">
        <v>0</v>
      </c>
      <c r="EJ76" s="43"/>
      <c r="EO76" s="47">
        <v>0</v>
      </c>
      <c r="EP76" s="43"/>
      <c r="EQ76" s="42"/>
      <c r="EU76" s="47">
        <v>0</v>
      </c>
      <c r="EV76" s="43"/>
      <c r="EW76" s="42"/>
      <c r="FC76" s="47">
        <v>0</v>
      </c>
      <c r="FD76" s="43"/>
      <c r="FE76" s="42"/>
      <c r="FI76" s="47">
        <v>0</v>
      </c>
      <c r="FJ76" s="43"/>
      <c r="FQ76" s="47">
        <v>0</v>
      </c>
      <c r="FR76" s="43"/>
      <c r="FS76" s="42"/>
      <c r="FW76" s="47">
        <v>0</v>
      </c>
      <c r="FX76" s="43"/>
      <c r="FY76" s="42"/>
      <c r="GC76" s="47">
        <v>0</v>
      </c>
      <c r="GD76" s="43"/>
      <c r="GE76" s="42"/>
      <c r="GI76" s="47">
        <v>0</v>
      </c>
      <c r="GJ76" s="43"/>
      <c r="GQ76" s="47">
        <v>0</v>
      </c>
      <c r="GR76" s="43"/>
      <c r="GX76" s="47">
        <v>0</v>
      </c>
      <c r="GY76" s="43"/>
      <c r="GZ76" s="42"/>
      <c r="HC76" s="47">
        <v>0</v>
      </c>
      <c r="HD76" s="43"/>
      <c r="HE76" s="42"/>
      <c r="HH76" s="47">
        <v>0</v>
      </c>
      <c r="HI76" s="43"/>
      <c r="HN76" s="47">
        <v>0</v>
      </c>
      <c r="HO76" s="43"/>
      <c r="HP76" s="42"/>
      <c r="HU76" s="47">
        <v>0</v>
      </c>
      <c r="HV76" s="43"/>
      <c r="IA76" s="47">
        <v>0</v>
      </c>
      <c r="IB76" s="43"/>
      <c r="IC76" s="42"/>
      <c r="IG76" s="47">
        <v>0</v>
      </c>
      <c r="IH76" s="43"/>
      <c r="IM76" s="47">
        <v>0</v>
      </c>
      <c r="IN76" s="43"/>
      <c r="IO76" s="42"/>
      <c r="IQ76" s="47">
        <v>0</v>
      </c>
      <c r="IR76" s="43"/>
      <c r="IS76" s="42"/>
      <c r="IW76" s="47">
        <v>0</v>
      </c>
      <c r="IX76" s="43"/>
      <c r="IY76" s="42"/>
      <c r="JA76" s="47">
        <v>0</v>
      </c>
      <c r="JB76" s="43"/>
      <c r="JC76" s="42"/>
      <c r="JG76" s="47">
        <v>0</v>
      </c>
      <c r="JH76" s="43"/>
      <c r="JO76" s="47">
        <v>0</v>
      </c>
      <c r="JP76" s="43"/>
      <c r="JQ76" s="42"/>
      <c r="JU76" s="47">
        <v>0</v>
      </c>
      <c r="JV76" s="43"/>
      <c r="KA76" s="47">
        <v>0</v>
      </c>
      <c r="KB76" s="45"/>
      <c r="KG76" s="47">
        <v>0</v>
      </c>
      <c r="KH76" s="45"/>
      <c r="KM76" s="47">
        <v>0</v>
      </c>
      <c r="KN76" s="45"/>
      <c r="KS76" s="47">
        <v>0</v>
      </c>
      <c r="KT76" s="43"/>
      <c r="KW76" s="47">
        <v>0</v>
      </c>
      <c r="KX76" s="45"/>
      <c r="LC76" s="47">
        <v>0</v>
      </c>
      <c r="LD76" s="43"/>
      <c r="LE76" s="46"/>
      <c r="LG76" s="47">
        <v>0</v>
      </c>
      <c r="LH76" s="45"/>
      <c r="LM76" s="47">
        <v>0</v>
      </c>
      <c r="LN76" s="45"/>
      <c r="LS76" s="47">
        <v>0</v>
      </c>
      <c r="LT76" s="45"/>
      <c r="LY76" s="47">
        <v>0</v>
      </c>
      <c r="LZ76" s="45"/>
      <c r="ME76" s="47">
        <v>0</v>
      </c>
      <c r="MF76" s="45"/>
      <c r="MG76" s="46"/>
      <c r="MM76" s="47">
        <v>0</v>
      </c>
      <c r="MN76" s="45"/>
      <c r="MO76" s="44">
        <v>0</v>
      </c>
      <c r="MP76" s="44">
        <v>0</v>
      </c>
      <c r="MQ76" s="44">
        <v>0</v>
      </c>
      <c r="MR76" s="44">
        <v>0</v>
      </c>
      <c r="MS76" s="47">
        <v>0</v>
      </c>
      <c r="MT76" s="45"/>
      <c r="MU76" s="44">
        <v>0</v>
      </c>
      <c r="MV76" s="44">
        <v>0</v>
      </c>
      <c r="MW76" s="44">
        <v>0</v>
      </c>
      <c r="MX76" s="44">
        <v>0</v>
      </c>
      <c r="MY76" s="47">
        <v>0</v>
      </c>
      <c r="MZ76" s="45"/>
      <c r="NA76" s="46">
        <v>0</v>
      </c>
      <c r="NB76" s="44">
        <v>0</v>
      </c>
      <c r="NC76" s="47">
        <v>0</v>
      </c>
      <c r="ND76" s="45"/>
      <c r="NE76" s="46">
        <v>0</v>
      </c>
      <c r="NF76" s="44">
        <v>0</v>
      </c>
      <c r="NG76" s="44">
        <v>0</v>
      </c>
      <c r="NH76" s="44">
        <v>0</v>
      </c>
      <c r="NI76" s="44">
        <v>0</v>
      </c>
      <c r="NJ76" s="47">
        <v>0</v>
      </c>
      <c r="NK76" s="45"/>
      <c r="NL76" s="46">
        <v>0</v>
      </c>
      <c r="NM76" s="44">
        <v>0</v>
      </c>
      <c r="NN76" s="44">
        <v>0</v>
      </c>
      <c r="NO76" s="44">
        <v>0</v>
      </c>
      <c r="NP76" s="47">
        <v>0</v>
      </c>
      <c r="NQ76" s="45"/>
      <c r="NR76" s="46">
        <v>0</v>
      </c>
      <c r="NS76" s="44">
        <v>0</v>
      </c>
      <c r="NT76" s="47">
        <v>0</v>
      </c>
      <c r="NU76" s="45"/>
      <c r="NV76" s="46">
        <v>0</v>
      </c>
      <c r="NW76" s="44">
        <v>0</v>
      </c>
      <c r="NX76" s="44">
        <v>0</v>
      </c>
      <c r="NY76" s="44">
        <v>0</v>
      </c>
      <c r="NZ76" s="47">
        <v>0</v>
      </c>
      <c r="OA76" s="45"/>
      <c r="OB76" s="46">
        <v>0</v>
      </c>
      <c r="OC76" s="44">
        <v>0</v>
      </c>
      <c r="OD76" s="47">
        <v>0</v>
      </c>
      <c r="OE76" s="45"/>
      <c r="OF76" s="46">
        <v>0</v>
      </c>
      <c r="OG76" s="44">
        <v>0</v>
      </c>
      <c r="OH76" s="44">
        <v>0</v>
      </c>
      <c r="OI76" s="44">
        <v>0</v>
      </c>
      <c r="OJ76" s="47">
        <v>0</v>
      </c>
      <c r="OK76" s="45"/>
      <c r="OL76" s="44">
        <v>0</v>
      </c>
      <c r="OM76" s="43"/>
      <c r="ON76" s="44">
        <v>0</v>
      </c>
      <c r="OO76" s="44">
        <v>0</v>
      </c>
      <c r="OP76" s="47">
        <v>0</v>
      </c>
      <c r="OQ76" s="45"/>
      <c r="OR76" s="46">
        <v>0</v>
      </c>
      <c r="OS76" s="44">
        <v>0</v>
      </c>
      <c r="OT76" s="44">
        <v>0</v>
      </c>
      <c r="OU76" s="44">
        <v>0</v>
      </c>
      <c r="OV76" s="47">
        <v>0</v>
      </c>
      <c r="OW76" s="45"/>
      <c r="OX76" s="46">
        <v>0</v>
      </c>
      <c r="OY76" s="44">
        <v>0</v>
      </c>
      <c r="OZ76" s="44">
        <v>0</v>
      </c>
      <c r="PA76" s="44">
        <v>0</v>
      </c>
      <c r="PB76" s="47">
        <v>0</v>
      </c>
      <c r="PC76" s="45"/>
      <c r="PD76" s="46">
        <v>0</v>
      </c>
      <c r="PE76" s="44">
        <v>0</v>
      </c>
      <c r="PF76" s="44">
        <v>0</v>
      </c>
      <c r="PG76" s="44">
        <v>0</v>
      </c>
      <c r="PH76" s="47">
        <v>0</v>
      </c>
      <c r="PI76" s="45"/>
      <c r="PJ76" s="46">
        <v>0</v>
      </c>
      <c r="PK76" s="44">
        <v>0</v>
      </c>
      <c r="PL76" s="44">
        <v>0</v>
      </c>
      <c r="PM76" s="44">
        <v>0</v>
      </c>
      <c r="PN76" s="47">
        <v>0</v>
      </c>
      <c r="PO76" s="45"/>
      <c r="PP76" s="46">
        <v>0</v>
      </c>
      <c r="PQ76" s="44">
        <v>0</v>
      </c>
      <c r="PR76" s="44">
        <v>0</v>
      </c>
      <c r="PS76" s="44">
        <v>0</v>
      </c>
      <c r="PT76" s="47">
        <v>0</v>
      </c>
      <c r="PU76" s="45"/>
      <c r="PV76" s="46">
        <v>0</v>
      </c>
      <c r="PW76" s="44">
        <v>0</v>
      </c>
      <c r="PX76" s="47">
        <v>0</v>
      </c>
      <c r="PY76" s="45"/>
      <c r="PZ76" s="46">
        <v>0</v>
      </c>
      <c r="QA76" s="44">
        <v>0</v>
      </c>
      <c r="QB76" s="47">
        <v>0</v>
      </c>
      <c r="QC76" s="45"/>
      <c r="QD76" s="46">
        <v>0</v>
      </c>
      <c r="QE76" s="44">
        <v>0</v>
      </c>
      <c r="QF76" s="44">
        <v>0</v>
      </c>
      <c r="QG76" s="44">
        <v>0</v>
      </c>
      <c r="QH76" s="47">
        <v>0</v>
      </c>
      <c r="QI76" s="45"/>
      <c r="QJ76" s="46">
        <v>0</v>
      </c>
      <c r="QK76" s="44">
        <v>0</v>
      </c>
      <c r="QL76" s="47">
        <v>0</v>
      </c>
      <c r="QM76" s="45"/>
      <c r="QN76" s="46">
        <v>0</v>
      </c>
      <c r="QO76" s="44">
        <v>0</v>
      </c>
      <c r="QP76" s="44">
        <v>0</v>
      </c>
      <c r="QQ76" s="44">
        <v>0</v>
      </c>
      <c r="QR76" s="47">
        <v>0</v>
      </c>
      <c r="QS76" s="45"/>
      <c r="QT76" s="46">
        <v>0</v>
      </c>
      <c r="QU76" s="44">
        <v>0</v>
      </c>
      <c r="QV76" s="47">
        <v>0</v>
      </c>
      <c r="QW76" s="45"/>
      <c r="QX76" s="46">
        <v>0</v>
      </c>
      <c r="QY76" s="44">
        <v>0</v>
      </c>
      <c r="QZ76" s="44">
        <v>30</v>
      </c>
      <c r="RA76" s="44">
        <v>30</v>
      </c>
      <c r="RB76" s="47">
        <v>0</v>
      </c>
      <c r="RC76" s="45"/>
      <c r="RD76" s="42">
        <v>0</v>
      </c>
      <c r="RE76" s="44">
        <v>0</v>
      </c>
      <c r="RF76" s="44">
        <v>50</v>
      </c>
      <c r="RG76" s="44">
        <v>54</v>
      </c>
      <c r="RH76" s="47">
        <v>-4</v>
      </c>
      <c r="RI76" s="45"/>
      <c r="RJ76" s="42">
        <v>60</v>
      </c>
      <c r="RK76" s="47">
        <v>62</v>
      </c>
      <c r="RL76" s="47">
        <v>0</v>
      </c>
      <c r="RM76" s="47">
        <v>0</v>
      </c>
      <c r="RN76" s="47">
        <v>-2</v>
      </c>
      <c r="RO76" s="43"/>
      <c r="RP76" s="42">
        <v>0</v>
      </c>
      <c r="RQ76" s="47">
        <v>0</v>
      </c>
      <c r="RR76" s="47">
        <v>0</v>
      </c>
      <c r="RS76" s="43"/>
      <c r="RT76" s="42">
        <v>0</v>
      </c>
      <c r="RU76" s="47">
        <v>0</v>
      </c>
      <c r="RV76" s="47">
        <v>0</v>
      </c>
      <c r="RW76" s="47">
        <v>0</v>
      </c>
      <c r="RX76" s="47">
        <v>0</v>
      </c>
      <c r="RY76" s="43"/>
      <c r="RZ76" s="42">
        <v>70</v>
      </c>
      <c r="SA76" s="47">
        <v>70</v>
      </c>
      <c r="SB76" s="47">
        <v>0</v>
      </c>
      <c r="SC76" s="47">
        <v>0</v>
      </c>
      <c r="SD76" s="47">
        <v>0</v>
      </c>
      <c r="SE76" s="43"/>
      <c r="SF76" s="42">
        <v>0</v>
      </c>
      <c r="SG76" s="47">
        <v>0</v>
      </c>
      <c r="SH76" s="47">
        <v>60</v>
      </c>
      <c r="SI76" s="47">
        <v>0</v>
      </c>
      <c r="SJ76" s="47">
        <v>60</v>
      </c>
      <c r="SK76" s="43"/>
      <c r="SL76" s="42">
        <v>60</v>
      </c>
      <c r="SM76" s="47">
        <v>60</v>
      </c>
      <c r="SN76" s="47">
        <v>0</v>
      </c>
      <c r="SO76" s="43"/>
      <c r="SP76" s="42">
        <v>0</v>
      </c>
      <c r="SQ76" s="47">
        <v>0</v>
      </c>
      <c r="SR76" s="47">
        <v>90</v>
      </c>
      <c r="SS76" s="47">
        <v>92</v>
      </c>
      <c r="ST76" s="47">
        <v>-2</v>
      </c>
      <c r="SU76" s="43"/>
    </row>
    <row r="77" spans="1:515" x14ac:dyDescent="0.25">
      <c r="A77" s="47" t="s">
        <v>384</v>
      </c>
      <c r="B77" s="41">
        <v>1</v>
      </c>
      <c r="J77" s="42"/>
      <c r="K77" s="51"/>
      <c r="L77" s="51"/>
      <c r="M77" s="51"/>
      <c r="N77" s="51">
        <f t="shared" si="12"/>
        <v>0</v>
      </c>
      <c r="O77" s="43"/>
      <c r="P77" s="46"/>
      <c r="Q77" s="51"/>
      <c r="R77" s="51"/>
      <c r="S77" s="51"/>
      <c r="T77" s="51">
        <f t="shared" si="13"/>
        <v>0</v>
      </c>
      <c r="U77" s="43"/>
      <c r="V77" s="42"/>
      <c r="W77" s="51"/>
      <c r="X77" s="51"/>
      <c r="Y77" s="51"/>
      <c r="Z77" s="51">
        <f t="shared" si="14"/>
        <v>0</v>
      </c>
      <c r="AA77" s="43"/>
      <c r="AB77" s="42"/>
      <c r="AC77" s="51"/>
      <c r="AD77" s="51"/>
      <c r="AE77" s="51"/>
      <c r="AF77" s="51">
        <v>0</v>
      </c>
      <c r="AG77" s="43"/>
      <c r="AH77" s="51"/>
      <c r="AL77" s="47">
        <v>0</v>
      </c>
      <c r="AM77" s="43"/>
      <c r="AN77" s="42"/>
      <c r="AR77" s="47">
        <v>0</v>
      </c>
      <c r="AS77" s="43"/>
      <c r="AX77" s="47">
        <v>0</v>
      </c>
      <c r="AY77" s="43"/>
      <c r="BD77" s="47">
        <v>0</v>
      </c>
      <c r="BE77" s="43"/>
      <c r="BF77" s="42"/>
      <c r="BJ77" s="47">
        <v>0</v>
      </c>
      <c r="BK77" s="43"/>
      <c r="BL77" s="42"/>
      <c r="BP77" s="47">
        <v>0</v>
      </c>
      <c r="BQ77" s="43"/>
      <c r="BV77" s="47">
        <v>0</v>
      </c>
      <c r="BW77" s="43"/>
      <c r="BX77" s="42"/>
      <c r="CB77" s="47">
        <v>0</v>
      </c>
      <c r="CC77" s="43"/>
      <c r="CH77" s="47">
        <v>0</v>
      </c>
      <c r="CI77" s="43"/>
      <c r="CN77" s="47">
        <v>0</v>
      </c>
      <c r="CO77" s="43"/>
      <c r="CP77" s="42"/>
      <c r="CT77" s="47">
        <v>0</v>
      </c>
      <c r="CU77" s="43"/>
      <c r="CV77" s="42"/>
      <c r="CZ77" s="47">
        <v>0</v>
      </c>
      <c r="DA77" s="43"/>
      <c r="DG77" s="47">
        <v>0</v>
      </c>
      <c r="DH77" s="43"/>
      <c r="DK77" s="47">
        <v>0</v>
      </c>
      <c r="DL77" s="43"/>
      <c r="DM77" s="42"/>
      <c r="DQ77" s="47">
        <v>0</v>
      </c>
      <c r="DR77" s="43"/>
      <c r="DW77" s="47">
        <v>0</v>
      </c>
      <c r="DX77" s="43"/>
      <c r="EC77" s="47">
        <v>0</v>
      </c>
      <c r="ED77" s="43"/>
      <c r="EE77" s="42"/>
      <c r="EI77" s="47">
        <v>0</v>
      </c>
      <c r="EJ77" s="43"/>
      <c r="EO77" s="47">
        <v>0</v>
      </c>
      <c r="EP77" s="43"/>
      <c r="EQ77" s="42"/>
      <c r="EU77" s="47">
        <v>0</v>
      </c>
      <c r="EV77" s="43"/>
      <c r="EW77" s="42"/>
      <c r="FC77" s="47">
        <v>0</v>
      </c>
      <c r="FD77" s="43"/>
      <c r="FE77" s="42"/>
      <c r="FI77" s="47">
        <v>0</v>
      </c>
      <c r="FJ77" s="43"/>
      <c r="FQ77" s="47">
        <v>0</v>
      </c>
      <c r="FR77" s="43"/>
      <c r="FS77" s="42"/>
      <c r="FW77" s="47">
        <v>0</v>
      </c>
      <c r="FX77" s="43"/>
      <c r="FY77" s="42"/>
      <c r="GC77" s="47">
        <v>0</v>
      </c>
      <c r="GD77" s="43"/>
      <c r="GE77" s="42"/>
      <c r="GI77" s="47">
        <v>0</v>
      </c>
      <c r="GJ77" s="43"/>
      <c r="GQ77" s="47">
        <v>0</v>
      </c>
      <c r="GR77" s="43"/>
      <c r="GX77" s="47">
        <v>0</v>
      </c>
      <c r="GY77" s="43"/>
      <c r="GZ77" s="42"/>
      <c r="HC77" s="47">
        <v>0</v>
      </c>
      <c r="HD77" s="43"/>
      <c r="HE77" s="42"/>
      <c r="HH77" s="47">
        <v>0</v>
      </c>
      <c r="HI77" s="43"/>
      <c r="HN77" s="47">
        <v>0</v>
      </c>
      <c r="HO77" s="43"/>
      <c r="HP77" s="42"/>
      <c r="HU77" s="47">
        <v>0</v>
      </c>
      <c r="HV77" s="43"/>
      <c r="IA77" s="47">
        <v>0</v>
      </c>
      <c r="IB77" s="43"/>
      <c r="IC77" s="42"/>
      <c r="IG77" s="47">
        <v>0</v>
      </c>
      <c r="IH77" s="43"/>
      <c r="IM77" s="47">
        <v>0</v>
      </c>
      <c r="IN77" s="43"/>
      <c r="IO77" s="42"/>
      <c r="IQ77" s="47">
        <v>0</v>
      </c>
      <c r="IR77" s="43"/>
      <c r="IS77" s="42"/>
      <c r="IW77" s="47">
        <v>0</v>
      </c>
      <c r="IX77" s="43"/>
      <c r="IY77" s="42"/>
      <c r="JA77" s="47">
        <v>0</v>
      </c>
      <c r="JB77" s="43"/>
      <c r="JC77" s="42"/>
      <c r="JG77" s="47">
        <v>0</v>
      </c>
      <c r="JH77" s="43"/>
      <c r="JO77" s="47">
        <v>0</v>
      </c>
      <c r="JP77" s="43"/>
      <c r="JQ77" s="42"/>
      <c r="JU77" s="47">
        <v>0</v>
      </c>
      <c r="JV77" s="43"/>
      <c r="KA77" s="47">
        <v>0</v>
      </c>
      <c r="KB77" s="45"/>
      <c r="KG77" s="47">
        <v>0</v>
      </c>
      <c r="KH77" s="45"/>
      <c r="KM77" s="47">
        <v>0</v>
      </c>
      <c r="KN77" s="45"/>
      <c r="KS77" s="47">
        <v>0</v>
      </c>
      <c r="KT77" s="43"/>
      <c r="KW77" s="47">
        <v>0</v>
      </c>
      <c r="KX77" s="45"/>
      <c r="LC77" s="47">
        <v>0</v>
      </c>
      <c r="LD77" s="43"/>
      <c r="LE77" s="46"/>
      <c r="LG77" s="47">
        <v>0</v>
      </c>
      <c r="LH77" s="45"/>
      <c r="LM77" s="47">
        <v>0</v>
      </c>
      <c r="LN77" s="45"/>
      <c r="LS77" s="47">
        <v>0</v>
      </c>
      <c r="LT77" s="45"/>
      <c r="LY77" s="47">
        <v>0</v>
      </c>
      <c r="LZ77" s="45"/>
      <c r="ME77" s="47">
        <v>0</v>
      </c>
      <c r="MF77" s="45"/>
      <c r="MG77" s="46"/>
      <c r="MM77" s="47">
        <v>0</v>
      </c>
      <c r="MN77" s="45"/>
      <c r="MO77" s="44">
        <v>0</v>
      </c>
      <c r="MP77" s="44">
        <v>0</v>
      </c>
      <c r="MQ77" s="44">
        <v>0</v>
      </c>
      <c r="MR77" s="44">
        <v>0</v>
      </c>
      <c r="MS77" s="47">
        <v>0</v>
      </c>
      <c r="MT77" s="45"/>
      <c r="MU77" s="44">
        <v>0</v>
      </c>
      <c r="MV77" s="44">
        <v>0</v>
      </c>
      <c r="MW77" s="44">
        <v>0</v>
      </c>
      <c r="MX77" s="44">
        <v>0</v>
      </c>
      <c r="MY77" s="47">
        <v>0</v>
      </c>
      <c r="MZ77" s="45"/>
      <c r="NA77" s="46">
        <v>0</v>
      </c>
      <c r="NB77" s="44">
        <v>0</v>
      </c>
      <c r="NC77" s="47">
        <v>0</v>
      </c>
      <c r="ND77" s="45"/>
      <c r="NE77" s="46">
        <v>0</v>
      </c>
      <c r="NF77" s="44">
        <v>0</v>
      </c>
      <c r="NG77" s="44">
        <v>0</v>
      </c>
      <c r="NH77" s="44">
        <v>0</v>
      </c>
      <c r="NI77" s="44">
        <v>0</v>
      </c>
      <c r="NJ77" s="47">
        <v>0</v>
      </c>
      <c r="NK77" s="45"/>
      <c r="NL77" s="46">
        <v>0</v>
      </c>
      <c r="NM77" s="44">
        <v>0</v>
      </c>
      <c r="NN77" s="44">
        <v>0</v>
      </c>
      <c r="NO77" s="44">
        <v>0</v>
      </c>
      <c r="NP77" s="47">
        <v>0</v>
      </c>
      <c r="NQ77" s="45"/>
      <c r="NR77" s="46">
        <v>0</v>
      </c>
      <c r="NS77" s="44">
        <v>0</v>
      </c>
      <c r="NT77" s="47">
        <v>0</v>
      </c>
      <c r="NU77" s="45"/>
      <c r="NV77" s="46">
        <v>0</v>
      </c>
      <c r="NW77" s="44">
        <v>0</v>
      </c>
      <c r="NX77" s="44">
        <v>0</v>
      </c>
      <c r="NY77" s="44">
        <v>0</v>
      </c>
      <c r="NZ77" s="47">
        <v>0</v>
      </c>
      <c r="OA77" s="45"/>
      <c r="OB77" s="46">
        <v>0</v>
      </c>
      <c r="OC77" s="44">
        <v>0</v>
      </c>
      <c r="OD77" s="47">
        <v>0</v>
      </c>
      <c r="OE77" s="45"/>
      <c r="OF77" s="46">
        <v>0</v>
      </c>
      <c r="OG77" s="44">
        <v>0</v>
      </c>
      <c r="OH77" s="44">
        <v>0</v>
      </c>
      <c r="OI77" s="44">
        <v>0</v>
      </c>
      <c r="OJ77" s="47">
        <v>0</v>
      </c>
      <c r="OK77" s="45"/>
      <c r="OL77" s="44">
        <v>0</v>
      </c>
      <c r="OM77" s="43"/>
      <c r="ON77" s="44">
        <v>0</v>
      </c>
      <c r="OO77" s="44">
        <v>0</v>
      </c>
      <c r="OP77" s="47">
        <v>0</v>
      </c>
      <c r="OQ77" s="45"/>
      <c r="OR77" s="46">
        <v>0</v>
      </c>
      <c r="OS77" s="44">
        <v>0</v>
      </c>
      <c r="OT77" s="44">
        <v>0</v>
      </c>
      <c r="OU77" s="44">
        <v>0</v>
      </c>
      <c r="OV77" s="47">
        <v>0</v>
      </c>
      <c r="OW77" s="45"/>
      <c r="OX77" s="46">
        <v>0</v>
      </c>
      <c r="OY77" s="44">
        <v>0</v>
      </c>
      <c r="OZ77" s="44">
        <v>0</v>
      </c>
      <c r="PA77" s="44">
        <v>0</v>
      </c>
      <c r="PB77" s="47">
        <v>0</v>
      </c>
      <c r="PC77" s="45"/>
      <c r="PD77" s="46">
        <v>0</v>
      </c>
      <c r="PE77" s="44">
        <v>0</v>
      </c>
      <c r="PF77" s="44">
        <v>0</v>
      </c>
      <c r="PG77" s="44">
        <v>0</v>
      </c>
      <c r="PH77" s="47">
        <v>0</v>
      </c>
      <c r="PI77" s="45"/>
      <c r="PJ77" s="46">
        <v>0</v>
      </c>
      <c r="PK77" s="44">
        <v>0</v>
      </c>
      <c r="PL77" s="44">
        <v>0</v>
      </c>
      <c r="PM77" s="44">
        <v>0</v>
      </c>
      <c r="PN77" s="47">
        <v>0</v>
      </c>
      <c r="PO77" s="45"/>
      <c r="PP77" s="46">
        <v>0</v>
      </c>
      <c r="PQ77" s="44">
        <v>0</v>
      </c>
      <c r="PR77" s="44">
        <v>0</v>
      </c>
      <c r="PS77" s="44">
        <v>0</v>
      </c>
      <c r="PT77" s="47">
        <v>0</v>
      </c>
      <c r="PU77" s="45"/>
      <c r="PV77" s="46">
        <v>0</v>
      </c>
      <c r="PW77" s="44">
        <v>0</v>
      </c>
      <c r="PX77" s="47">
        <v>0</v>
      </c>
      <c r="PY77" s="45"/>
      <c r="PZ77" s="46">
        <v>0</v>
      </c>
      <c r="QA77" s="44">
        <v>0</v>
      </c>
      <c r="QB77" s="47">
        <v>0</v>
      </c>
      <c r="QC77" s="45"/>
      <c r="QD77" s="46">
        <v>0</v>
      </c>
      <c r="QE77" s="44">
        <v>0</v>
      </c>
      <c r="QF77" s="44">
        <v>0</v>
      </c>
      <c r="QG77" s="44">
        <v>0</v>
      </c>
      <c r="QH77" s="47">
        <v>0</v>
      </c>
      <c r="QI77" s="45"/>
      <c r="QJ77" s="46">
        <v>0</v>
      </c>
      <c r="QK77" s="44">
        <v>0</v>
      </c>
      <c r="QL77" s="47">
        <v>0</v>
      </c>
      <c r="QM77" s="45"/>
      <c r="QN77" s="46">
        <v>0</v>
      </c>
      <c r="QO77" s="44">
        <v>0</v>
      </c>
      <c r="QP77" s="44">
        <v>0</v>
      </c>
      <c r="QQ77" s="44">
        <v>0</v>
      </c>
      <c r="QR77" s="47">
        <v>0</v>
      </c>
      <c r="QS77" s="45"/>
      <c r="QT77" s="46">
        <v>0</v>
      </c>
      <c r="QU77" s="44">
        <v>0</v>
      </c>
      <c r="QV77" s="47">
        <v>0</v>
      </c>
      <c r="QW77" s="45"/>
      <c r="QX77" s="46">
        <v>0</v>
      </c>
      <c r="QY77" s="44">
        <v>0</v>
      </c>
      <c r="QZ77" s="44">
        <v>0</v>
      </c>
      <c r="RA77" s="44">
        <v>0</v>
      </c>
      <c r="RB77" s="47">
        <v>0</v>
      </c>
      <c r="RC77" s="45"/>
      <c r="RD77" s="42">
        <v>0</v>
      </c>
      <c r="RE77" s="44">
        <v>0</v>
      </c>
      <c r="RF77" s="44">
        <v>0</v>
      </c>
      <c r="RG77" s="44">
        <v>0</v>
      </c>
      <c r="RH77" s="47">
        <v>0</v>
      </c>
      <c r="RI77" s="45"/>
      <c r="RJ77" s="42">
        <v>0</v>
      </c>
      <c r="RK77" s="47">
        <v>0</v>
      </c>
      <c r="RL77" s="47">
        <v>0</v>
      </c>
      <c r="RM77" s="47">
        <v>0</v>
      </c>
      <c r="RN77" s="47">
        <v>0</v>
      </c>
      <c r="RO77" s="43"/>
      <c r="RP77" s="42">
        <v>0</v>
      </c>
      <c r="RQ77" s="47">
        <v>0</v>
      </c>
      <c r="RR77" s="47">
        <v>0</v>
      </c>
      <c r="RS77" s="43"/>
      <c r="RT77" s="42">
        <v>0</v>
      </c>
      <c r="RU77" s="47">
        <v>0</v>
      </c>
      <c r="RV77" s="47">
        <v>0</v>
      </c>
      <c r="RW77" s="47">
        <v>0</v>
      </c>
      <c r="RX77" s="47">
        <v>0</v>
      </c>
      <c r="RY77" s="43"/>
      <c r="RZ77" s="42">
        <v>38.463000000000001</v>
      </c>
      <c r="SA77" s="47">
        <v>35</v>
      </c>
      <c r="SB77" s="47">
        <v>0</v>
      </c>
      <c r="SC77" s="47">
        <v>0</v>
      </c>
      <c r="SD77" s="47">
        <v>3.463000000000001</v>
      </c>
      <c r="SE77" s="43"/>
      <c r="SF77" s="42">
        <v>0</v>
      </c>
      <c r="SG77" s="47">
        <v>0</v>
      </c>
      <c r="SH77" s="47">
        <v>0</v>
      </c>
      <c r="SI77" s="47">
        <v>0</v>
      </c>
      <c r="SJ77" s="47">
        <v>0</v>
      </c>
      <c r="SK77" s="43"/>
      <c r="SL77" s="42">
        <v>275.10399999999998</v>
      </c>
      <c r="SM77" s="47">
        <v>280</v>
      </c>
      <c r="SN77" s="47">
        <v>-4.896000000000015</v>
      </c>
      <c r="SO77" s="43"/>
      <c r="SP77" s="42">
        <v>0</v>
      </c>
      <c r="SQ77" s="47">
        <v>0</v>
      </c>
      <c r="SR77" s="47">
        <v>81.358000000000004</v>
      </c>
      <c r="SS77" s="47">
        <v>82</v>
      </c>
      <c r="ST77" s="47">
        <v>-0.64199999999999591</v>
      </c>
      <c r="SU77" s="43"/>
    </row>
    <row r="78" spans="1:515" x14ac:dyDescent="0.25">
      <c r="A78" s="47" t="s">
        <v>385</v>
      </c>
      <c r="B78" s="41">
        <v>0.09</v>
      </c>
      <c r="J78" s="42"/>
      <c r="K78" s="51"/>
      <c r="L78" s="51"/>
      <c r="M78" s="51"/>
      <c r="N78" s="51">
        <f t="shared" si="12"/>
        <v>0</v>
      </c>
      <c r="O78" s="43"/>
      <c r="P78" s="46"/>
      <c r="Q78" s="51"/>
      <c r="R78" s="51"/>
      <c r="S78" s="51"/>
      <c r="T78" s="51">
        <f t="shared" si="13"/>
        <v>0</v>
      </c>
      <c r="U78" s="43"/>
      <c r="V78" s="42"/>
      <c r="W78" s="51"/>
      <c r="X78" s="51"/>
      <c r="Y78" s="51"/>
      <c r="Z78" s="51">
        <f t="shared" si="14"/>
        <v>0</v>
      </c>
      <c r="AA78" s="43"/>
      <c r="AB78" s="42"/>
      <c r="AC78" s="51"/>
      <c r="AD78" s="51"/>
      <c r="AE78" s="51"/>
      <c r="AF78" s="51">
        <v>0</v>
      </c>
      <c r="AG78" s="43"/>
      <c r="AH78" s="51"/>
      <c r="AL78" s="47">
        <v>0</v>
      </c>
      <c r="AM78" s="43"/>
      <c r="AN78" s="42"/>
      <c r="AR78" s="47">
        <v>0</v>
      </c>
      <c r="AS78" s="43"/>
      <c r="AX78" s="47">
        <v>0</v>
      </c>
      <c r="AY78" s="43"/>
      <c r="BD78" s="47">
        <v>0</v>
      </c>
      <c r="BE78" s="43"/>
      <c r="BF78" s="42"/>
      <c r="BJ78" s="47">
        <v>0</v>
      </c>
      <c r="BK78" s="43"/>
      <c r="BL78" s="42"/>
      <c r="BP78" s="47">
        <v>0</v>
      </c>
      <c r="BQ78" s="43"/>
      <c r="BV78" s="47">
        <v>0</v>
      </c>
      <c r="BW78" s="43"/>
      <c r="BX78" s="42"/>
      <c r="CB78" s="47">
        <v>0</v>
      </c>
      <c r="CC78" s="43"/>
      <c r="CE78">
        <v>10</v>
      </c>
      <c r="CH78" s="50">
        <v>-10</v>
      </c>
      <c r="CI78" s="43">
        <v>0.89999999999999991</v>
      </c>
      <c r="CK78">
        <v>10</v>
      </c>
      <c r="CN78" s="50">
        <v>-10</v>
      </c>
      <c r="CO78" s="43">
        <v>0.89999999999999991</v>
      </c>
      <c r="CP78" s="42"/>
      <c r="CS78">
        <v>10</v>
      </c>
      <c r="CT78" s="50">
        <v>-10</v>
      </c>
      <c r="CU78" s="43">
        <v>0.89999999999999991</v>
      </c>
      <c r="CV78" s="42"/>
      <c r="CY78">
        <v>10</v>
      </c>
      <c r="CZ78" s="50">
        <v>-10</v>
      </c>
      <c r="DA78" s="43">
        <v>0.89999999999999991</v>
      </c>
      <c r="DF78">
        <v>20</v>
      </c>
      <c r="DG78" s="50">
        <v>-20</v>
      </c>
      <c r="DH78" s="43">
        <v>1.8</v>
      </c>
      <c r="DK78" s="47">
        <v>0</v>
      </c>
      <c r="DL78" s="43"/>
      <c r="DM78" s="42"/>
      <c r="DP78">
        <v>20</v>
      </c>
      <c r="DQ78" s="50">
        <v>-20</v>
      </c>
      <c r="DR78" s="43">
        <v>1.8</v>
      </c>
      <c r="DV78">
        <v>14</v>
      </c>
      <c r="DW78" s="50">
        <v>-14</v>
      </c>
      <c r="DX78" s="43">
        <v>1.26</v>
      </c>
      <c r="EC78" s="47">
        <v>0</v>
      </c>
      <c r="ED78" s="43"/>
      <c r="EE78" s="42"/>
      <c r="EG78">
        <v>10</v>
      </c>
      <c r="EH78">
        <v>6</v>
      </c>
      <c r="EI78" s="47">
        <v>4</v>
      </c>
      <c r="EJ78" s="43"/>
      <c r="EM78">
        <v>20</v>
      </c>
      <c r="EN78">
        <v>20</v>
      </c>
      <c r="EO78" s="47">
        <v>0</v>
      </c>
      <c r="EP78" s="43"/>
      <c r="EQ78" s="42"/>
      <c r="EU78" s="47">
        <v>0</v>
      </c>
      <c r="EV78" s="43"/>
      <c r="EW78" s="42"/>
      <c r="FC78" s="47">
        <v>0</v>
      </c>
      <c r="FD78" s="43"/>
      <c r="FE78" s="42"/>
      <c r="FI78" s="47">
        <v>0</v>
      </c>
      <c r="FJ78" s="43"/>
      <c r="FM78">
        <v>60</v>
      </c>
      <c r="FN78">
        <v>60</v>
      </c>
      <c r="FQ78" s="47">
        <v>0</v>
      </c>
      <c r="FR78" s="43"/>
      <c r="FS78" s="42"/>
      <c r="FW78" s="47">
        <v>0</v>
      </c>
      <c r="FX78" s="43"/>
      <c r="FY78" s="42"/>
      <c r="GA78">
        <v>30</v>
      </c>
      <c r="GB78">
        <v>36</v>
      </c>
      <c r="GC78" s="47">
        <v>-6</v>
      </c>
      <c r="GD78" s="43"/>
      <c r="GE78" s="42"/>
      <c r="GI78" s="47">
        <v>0</v>
      </c>
      <c r="GJ78" s="43"/>
      <c r="GM78">
        <v>10</v>
      </c>
      <c r="GN78">
        <v>8</v>
      </c>
      <c r="GQ78" s="47">
        <v>2</v>
      </c>
      <c r="GR78" s="43"/>
      <c r="GU78">
        <v>50</v>
      </c>
      <c r="GW78">
        <v>50</v>
      </c>
      <c r="GX78" s="47">
        <v>0</v>
      </c>
      <c r="GY78" s="43"/>
      <c r="GZ78" s="42"/>
      <c r="HC78" s="47">
        <v>0</v>
      </c>
      <c r="HD78" s="43"/>
      <c r="HE78" s="42"/>
      <c r="HH78" s="47">
        <v>0</v>
      </c>
      <c r="HI78" s="43"/>
      <c r="HJ78">
        <v>50</v>
      </c>
      <c r="HM78">
        <v>50</v>
      </c>
      <c r="HN78" s="47">
        <v>0</v>
      </c>
      <c r="HO78" s="43"/>
      <c r="HP78" s="42"/>
      <c r="HU78" s="47">
        <v>0</v>
      </c>
      <c r="HV78" s="43"/>
      <c r="HY78">
        <v>30</v>
      </c>
      <c r="HZ78">
        <v>30</v>
      </c>
      <c r="IA78" s="47">
        <v>0</v>
      </c>
      <c r="IB78" s="43"/>
      <c r="IC78" s="42"/>
      <c r="IG78" s="47">
        <v>0</v>
      </c>
      <c r="IH78" s="43"/>
      <c r="IK78">
        <v>10</v>
      </c>
      <c r="IL78">
        <v>10</v>
      </c>
      <c r="IM78" s="47">
        <v>0</v>
      </c>
      <c r="IN78" s="43"/>
      <c r="IO78" s="40">
        <v>20</v>
      </c>
      <c r="IP78" s="44">
        <v>27</v>
      </c>
      <c r="IQ78" s="47">
        <v>-7</v>
      </c>
      <c r="IR78" s="43"/>
      <c r="IS78" s="42"/>
      <c r="IW78" s="47">
        <v>0</v>
      </c>
      <c r="IX78" s="43"/>
      <c r="IY78" s="40">
        <v>40</v>
      </c>
      <c r="IZ78">
        <v>40</v>
      </c>
      <c r="JA78" s="47">
        <v>0</v>
      </c>
      <c r="JB78" s="43"/>
      <c r="JC78" s="42"/>
      <c r="JG78" s="47">
        <v>0</v>
      </c>
      <c r="JH78" s="43"/>
      <c r="JN78">
        <v>40</v>
      </c>
      <c r="JO78" s="50">
        <v>-40</v>
      </c>
      <c r="JP78" s="43">
        <v>3.6</v>
      </c>
      <c r="JQ78" s="42"/>
      <c r="JU78" s="47">
        <v>0</v>
      </c>
      <c r="JV78" s="43"/>
      <c r="JY78">
        <v>30</v>
      </c>
      <c r="JZ78">
        <v>31</v>
      </c>
      <c r="KA78" s="47">
        <v>-1</v>
      </c>
      <c r="KB78" s="45"/>
      <c r="KG78" s="47">
        <v>0</v>
      </c>
      <c r="KH78" s="45"/>
      <c r="KK78">
        <v>20</v>
      </c>
      <c r="KL78">
        <v>20</v>
      </c>
      <c r="KM78" s="47">
        <v>0</v>
      </c>
      <c r="KN78" s="45"/>
      <c r="KR78">
        <v>10</v>
      </c>
      <c r="KS78" s="50">
        <v>-10</v>
      </c>
      <c r="KT78" s="43">
        <v>0.89999999999999991</v>
      </c>
      <c r="KU78">
        <v>10</v>
      </c>
      <c r="KV78">
        <v>10</v>
      </c>
      <c r="KW78" s="47">
        <v>0</v>
      </c>
      <c r="KX78" s="45"/>
      <c r="LC78" s="47">
        <v>0</v>
      </c>
      <c r="LD78" s="43"/>
      <c r="LE78" s="46"/>
      <c r="LG78" s="47">
        <v>0</v>
      </c>
      <c r="LH78" s="45"/>
      <c r="LK78">
        <v>40</v>
      </c>
      <c r="LL78">
        <v>40</v>
      </c>
      <c r="LM78" s="47">
        <v>0</v>
      </c>
      <c r="LN78" s="45"/>
      <c r="LS78" s="47">
        <v>0</v>
      </c>
      <c r="LT78" s="45"/>
      <c r="LW78">
        <v>10</v>
      </c>
      <c r="LX78">
        <v>10</v>
      </c>
      <c r="LY78" s="47">
        <v>0</v>
      </c>
      <c r="LZ78" s="45"/>
      <c r="MD78">
        <v>7</v>
      </c>
      <c r="ME78" s="50">
        <v>-7</v>
      </c>
      <c r="MF78" s="45">
        <v>0.63</v>
      </c>
      <c r="MG78" s="46"/>
      <c r="MM78" s="47">
        <v>0</v>
      </c>
      <c r="MN78" s="45"/>
      <c r="MO78" s="44">
        <v>0</v>
      </c>
      <c r="MP78" s="44">
        <v>0</v>
      </c>
      <c r="MQ78" s="44">
        <v>0</v>
      </c>
      <c r="MR78" s="44">
        <v>0</v>
      </c>
      <c r="MS78" s="47">
        <v>0</v>
      </c>
      <c r="MT78" s="45"/>
      <c r="MU78" s="44">
        <v>0</v>
      </c>
      <c r="MV78" s="44">
        <v>0</v>
      </c>
      <c r="MW78" s="44">
        <v>0</v>
      </c>
      <c r="MX78" s="44">
        <v>0</v>
      </c>
      <c r="MY78" s="47">
        <v>0</v>
      </c>
      <c r="MZ78" s="45"/>
      <c r="NA78" s="46">
        <v>0</v>
      </c>
      <c r="NB78" s="44">
        <v>0</v>
      </c>
      <c r="NC78" s="47">
        <v>0</v>
      </c>
      <c r="ND78" s="45"/>
      <c r="NE78" s="46">
        <v>0</v>
      </c>
      <c r="NF78" s="44">
        <v>0</v>
      </c>
      <c r="NG78" s="44">
        <v>10</v>
      </c>
      <c r="NH78" s="44">
        <v>0</v>
      </c>
      <c r="NI78" s="44">
        <v>10</v>
      </c>
      <c r="NJ78" s="47">
        <v>0</v>
      </c>
      <c r="NK78" s="45"/>
      <c r="NL78" s="46">
        <v>10</v>
      </c>
      <c r="NM78" s="44">
        <v>10</v>
      </c>
      <c r="NN78" s="44">
        <v>10</v>
      </c>
      <c r="NO78" s="44">
        <v>10</v>
      </c>
      <c r="NP78" s="47">
        <v>0</v>
      </c>
      <c r="NQ78" s="45"/>
      <c r="NR78" s="46">
        <v>0</v>
      </c>
      <c r="NS78" s="44">
        <v>0</v>
      </c>
      <c r="NT78" s="47">
        <v>0</v>
      </c>
      <c r="NU78" s="45"/>
      <c r="NV78" s="46">
        <v>0</v>
      </c>
      <c r="NW78" s="44">
        <v>0</v>
      </c>
      <c r="NX78" s="44">
        <v>0</v>
      </c>
      <c r="NY78" s="44">
        <v>0</v>
      </c>
      <c r="NZ78" s="47">
        <v>0</v>
      </c>
      <c r="OA78" s="45"/>
      <c r="OB78" s="46">
        <v>0</v>
      </c>
      <c r="OC78" s="44">
        <v>0</v>
      </c>
      <c r="OD78" s="47">
        <v>0</v>
      </c>
      <c r="OE78" s="45"/>
      <c r="OF78" s="46">
        <v>0</v>
      </c>
      <c r="OG78" s="44">
        <v>0</v>
      </c>
      <c r="OH78" s="44">
        <v>0</v>
      </c>
      <c r="OI78" s="44">
        <v>0</v>
      </c>
      <c r="OJ78" s="47">
        <v>0</v>
      </c>
      <c r="OK78" s="45"/>
      <c r="OL78" s="44">
        <v>0</v>
      </c>
      <c r="OM78" s="43"/>
      <c r="ON78" s="44">
        <v>0</v>
      </c>
      <c r="OO78" s="44">
        <v>0</v>
      </c>
      <c r="OP78" s="47">
        <v>0</v>
      </c>
      <c r="OQ78" s="45"/>
      <c r="OR78" s="46">
        <v>0</v>
      </c>
      <c r="OS78" s="44">
        <v>0</v>
      </c>
      <c r="OT78" s="44">
        <v>0</v>
      </c>
      <c r="OU78" s="44">
        <v>0</v>
      </c>
      <c r="OV78" s="47">
        <v>0</v>
      </c>
      <c r="OW78" s="45"/>
      <c r="OX78" s="46">
        <v>0</v>
      </c>
      <c r="OY78" s="44">
        <v>0</v>
      </c>
      <c r="OZ78" s="44">
        <v>0</v>
      </c>
      <c r="PA78" s="44">
        <v>0</v>
      </c>
      <c r="PB78" s="47">
        <v>0</v>
      </c>
      <c r="PC78" s="45"/>
      <c r="PD78" s="46">
        <v>0</v>
      </c>
      <c r="PE78" s="44">
        <v>0</v>
      </c>
      <c r="PF78" s="44">
        <v>80</v>
      </c>
      <c r="PG78" s="44">
        <v>80</v>
      </c>
      <c r="PH78" s="47">
        <v>0</v>
      </c>
      <c r="PI78" s="45"/>
      <c r="PJ78" s="46">
        <v>0</v>
      </c>
      <c r="PK78" s="44">
        <v>0</v>
      </c>
      <c r="PL78" s="44">
        <v>80</v>
      </c>
      <c r="PM78" s="44">
        <v>80</v>
      </c>
      <c r="PN78" s="47">
        <v>0</v>
      </c>
      <c r="PO78" s="45"/>
      <c r="PP78" s="46">
        <v>0</v>
      </c>
      <c r="PQ78" s="44">
        <v>0</v>
      </c>
      <c r="PR78" s="44">
        <v>0</v>
      </c>
      <c r="PS78" s="44">
        <v>0</v>
      </c>
      <c r="PT78" s="47">
        <v>0</v>
      </c>
      <c r="PU78" s="45"/>
      <c r="PV78" s="46">
        <v>0</v>
      </c>
      <c r="PW78" s="44">
        <v>0</v>
      </c>
      <c r="PX78" s="47">
        <v>0</v>
      </c>
      <c r="PY78" s="45"/>
      <c r="PZ78" s="46">
        <v>0</v>
      </c>
      <c r="QA78" s="44">
        <v>0</v>
      </c>
      <c r="QB78" s="47">
        <v>0</v>
      </c>
      <c r="QC78" s="45"/>
      <c r="QD78" s="46">
        <v>0</v>
      </c>
      <c r="QE78" s="44">
        <v>0</v>
      </c>
      <c r="QF78" s="44">
        <v>0</v>
      </c>
      <c r="QG78" s="44">
        <v>0</v>
      </c>
      <c r="QH78" s="47">
        <v>0</v>
      </c>
      <c r="QI78" s="45"/>
      <c r="QJ78" s="46">
        <v>0</v>
      </c>
      <c r="QK78" s="44">
        <v>0</v>
      </c>
      <c r="QL78" s="47">
        <v>0</v>
      </c>
      <c r="QM78" s="45"/>
      <c r="QN78" s="46">
        <v>0</v>
      </c>
      <c r="QO78" s="44">
        <v>0</v>
      </c>
      <c r="QP78" s="44">
        <v>0</v>
      </c>
      <c r="QQ78" s="44">
        <v>0</v>
      </c>
      <c r="QR78" s="47">
        <v>0</v>
      </c>
      <c r="QS78" s="45"/>
      <c r="QT78" s="46">
        <v>0</v>
      </c>
      <c r="QU78" s="44">
        <v>0</v>
      </c>
      <c r="QV78" s="47">
        <v>0</v>
      </c>
      <c r="QW78" s="45"/>
      <c r="QX78" s="46">
        <v>0</v>
      </c>
      <c r="QY78" s="44">
        <v>0</v>
      </c>
      <c r="QZ78" s="44">
        <v>0</v>
      </c>
      <c r="RA78" s="44">
        <v>0</v>
      </c>
      <c r="RB78" s="47">
        <v>0</v>
      </c>
      <c r="RC78" s="45"/>
      <c r="RD78" s="42">
        <v>0</v>
      </c>
      <c r="RE78" s="44">
        <v>0</v>
      </c>
      <c r="RF78" s="44">
        <v>0</v>
      </c>
      <c r="RG78" s="44">
        <v>0</v>
      </c>
      <c r="RH78" s="47">
        <v>0</v>
      </c>
      <c r="RI78" s="45"/>
      <c r="RJ78" s="42">
        <v>0</v>
      </c>
      <c r="RK78" s="47">
        <v>0</v>
      </c>
      <c r="RL78" s="47">
        <v>0</v>
      </c>
      <c r="RM78" s="47">
        <v>0</v>
      </c>
      <c r="RN78" s="47">
        <v>0</v>
      </c>
      <c r="RO78" s="43"/>
      <c r="RP78" s="42">
        <v>0</v>
      </c>
      <c r="RQ78" s="47">
        <v>0</v>
      </c>
      <c r="RR78" s="47">
        <v>0</v>
      </c>
      <c r="RS78" s="43"/>
      <c r="RT78" s="42">
        <v>0</v>
      </c>
      <c r="RU78" s="47">
        <v>0</v>
      </c>
      <c r="RV78" s="47">
        <v>0</v>
      </c>
      <c r="RW78" s="47">
        <v>0</v>
      </c>
      <c r="RX78" s="47">
        <v>0</v>
      </c>
      <c r="RY78" s="43"/>
      <c r="RZ78" s="42">
        <v>0</v>
      </c>
      <c r="SA78" s="47">
        <v>0</v>
      </c>
      <c r="SB78" s="47">
        <v>0</v>
      </c>
      <c r="SC78" s="47">
        <v>0</v>
      </c>
      <c r="SD78" s="47">
        <v>0</v>
      </c>
      <c r="SE78" s="43"/>
      <c r="SF78" s="42">
        <v>0</v>
      </c>
      <c r="SG78" s="47">
        <v>0</v>
      </c>
      <c r="SH78" s="47">
        <v>150</v>
      </c>
      <c r="SI78" s="47">
        <v>0</v>
      </c>
      <c r="SJ78" s="47">
        <v>150</v>
      </c>
      <c r="SK78" s="43"/>
      <c r="SL78" s="42">
        <v>0</v>
      </c>
      <c r="SM78" s="47">
        <v>0</v>
      </c>
      <c r="SN78" s="47">
        <v>0</v>
      </c>
      <c r="SO78" s="43"/>
      <c r="SP78" s="42">
        <v>0</v>
      </c>
      <c r="SQ78" s="47">
        <v>0</v>
      </c>
      <c r="SR78" s="47">
        <v>0</v>
      </c>
      <c r="SS78" s="47">
        <v>0</v>
      </c>
      <c r="ST78" s="47">
        <v>0</v>
      </c>
      <c r="SU78" s="43"/>
    </row>
    <row r="79" spans="1:515" x14ac:dyDescent="0.25">
      <c r="A79" s="47" t="s">
        <v>386</v>
      </c>
      <c r="B79" s="41">
        <v>1</v>
      </c>
      <c r="J79" s="42"/>
      <c r="K79" s="51"/>
      <c r="L79" s="51"/>
      <c r="M79" s="51"/>
      <c r="N79" s="51">
        <f t="shared" si="12"/>
        <v>0</v>
      </c>
      <c r="O79" s="43"/>
      <c r="P79" s="46"/>
      <c r="Q79" s="51"/>
      <c r="R79" s="51"/>
      <c r="S79" s="51"/>
      <c r="T79" s="51">
        <f t="shared" si="13"/>
        <v>0</v>
      </c>
      <c r="U79" s="43"/>
      <c r="V79" s="42"/>
      <c r="W79" s="51"/>
      <c r="X79" s="51"/>
      <c r="Y79" s="51"/>
      <c r="Z79" s="51">
        <f t="shared" si="14"/>
        <v>0</v>
      </c>
      <c r="AA79" s="43"/>
      <c r="AB79" s="42"/>
      <c r="AC79" s="51"/>
      <c r="AD79" s="51"/>
      <c r="AE79" s="51"/>
      <c r="AF79" s="51">
        <v>0</v>
      </c>
      <c r="AG79" s="43"/>
      <c r="AH79" s="51"/>
      <c r="AL79" s="47">
        <v>0</v>
      </c>
      <c r="AM79" s="43"/>
      <c r="AN79" s="42"/>
      <c r="AR79" s="47">
        <v>0</v>
      </c>
      <c r="AS79" s="43"/>
      <c r="AX79" s="47">
        <v>0</v>
      </c>
      <c r="AY79" s="43"/>
      <c r="BD79" s="47">
        <v>0</v>
      </c>
      <c r="BE79" s="43"/>
      <c r="BF79" s="42"/>
      <c r="BJ79" s="47">
        <v>0</v>
      </c>
      <c r="BK79" s="43"/>
      <c r="BL79" s="42"/>
      <c r="BP79" s="47">
        <v>0</v>
      </c>
      <c r="BQ79" s="43"/>
      <c r="BV79" s="47">
        <v>0</v>
      </c>
      <c r="BW79" s="43"/>
      <c r="BX79" s="42"/>
      <c r="CB79" s="47">
        <v>0</v>
      </c>
      <c r="CC79" s="43"/>
      <c r="CH79" s="47">
        <v>0</v>
      </c>
      <c r="CI79" s="43"/>
      <c r="CN79" s="47">
        <v>0</v>
      </c>
      <c r="CO79" s="43"/>
      <c r="CP79" s="42"/>
      <c r="CT79" s="47">
        <v>0</v>
      </c>
      <c r="CU79" s="43"/>
      <c r="CV79" s="42"/>
      <c r="CZ79" s="47">
        <v>0</v>
      </c>
      <c r="DA79" s="43"/>
      <c r="DG79" s="47">
        <v>0</v>
      </c>
      <c r="DH79" s="43"/>
      <c r="DK79" s="47">
        <v>0</v>
      </c>
      <c r="DL79" s="43"/>
      <c r="DM79" s="42"/>
      <c r="DQ79" s="47">
        <v>0</v>
      </c>
      <c r="DR79" s="43"/>
      <c r="DW79" s="47">
        <v>0</v>
      </c>
      <c r="DX79" s="43"/>
      <c r="EC79" s="47">
        <v>0</v>
      </c>
      <c r="ED79" s="43"/>
      <c r="EE79" s="42"/>
      <c r="EI79" s="47">
        <v>0</v>
      </c>
      <c r="EJ79" s="43"/>
      <c r="EO79" s="47">
        <v>0</v>
      </c>
      <c r="EP79" s="43"/>
      <c r="EQ79" s="42"/>
      <c r="EU79" s="47">
        <v>0</v>
      </c>
      <c r="EV79" s="43"/>
      <c r="EW79" s="42"/>
      <c r="FC79" s="47">
        <v>0</v>
      </c>
      <c r="FD79" s="43"/>
      <c r="FE79" s="42"/>
      <c r="FI79" s="47">
        <v>0</v>
      </c>
      <c r="FJ79" s="43"/>
      <c r="FQ79" s="47">
        <v>0</v>
      </c>
      <c r="FR79" s="43"/>
      <c r="FS79" s="42"/>
      <c r="FW79" s="47">
        <v>0</v>
      </c>
      <c r="FX79" s="43"/>
      <c r="FY79" s="42"/>
      <c r="GC79" s="47">
        <v>0</v>
      </c>
      <c r="GD79" s="43"/>
      <c r="GE79" s="42"/>
      <c r="GI79" s="47">
        <v>0</v>
      </c>
      <c r="GJ79" s="43"/>
      <c r="GQ79" s="47">
        <v>0</v>
      </c>
      <c r="GR79" s="43"/>
      <c r="GX79" s="47">
        <v>0</v>
      </c>
      <c r="GY79" s="43"/>
      <c r="GZ79" s="42"/>
      <c r="HC79" s="47">
        <v>0</v>
      </c>
      <c r="HD79" s="43"/>
      <c r="HE79" s="42"/>
      <c r="HH79" s="47">
        <v>0</v>
      </c>
      <c r="HI79" s="43"/>
      <c r="HN79" s="47">
        <v>0</v>
      </c>
      <c r="HO79" s="43"/>
      <c r="HP79" s="42"/>
      <c r="HU79" s="47">
        <v>0</v>
      </c>
      <c r="HV79" s="43"/>
      <c r="IA79" s="47">
        <v>0</v>
      </c>
      <c r="IB79" s="43"/>
      <c r="IC79" s="42"/>
      <c r="IG79" s="47">
        <v>0</v>
      </c>
      <c r="IH79" s="43"/>
      <c r="IM79" s="47">
        <v>0</v>
      </c>
      <c r="IN79" s="43"/>
      <c r="IO79" s="42"/>
      <c r="IQ79" s="47">
        <v>0</v>
      </c>
      <c r="IR79" s="43"/>
      <c r="IS79" s="42"/>
      <c r="IW79" s="47">
        <v>0</v>
      </c>
      <c r="IX79" s="43"/>
      <c r="IY79" s="42"/>
      <c r="JA79" s="47">
        <v>0</v>
      </c>
      <c r="JB79" s="43"/>
      <c r="JC79" s="42"/>
      <c r="JG79" s="47">
        <v>0</v>
      </c>
      <c r="JH79" s="43"/>
      <c r="JO79" s="47">
        <v>0</v>
      </c>
      <c r="JP79" s="43"/>
      <c r="JQ79" s="42"/>
      <c r="JU79" s="47">
        <v>0</v>
      </c>
      <c r="JV79" s="43"/>
      <c r="KA79" s="47">
        <v>0</v>
      </c>
      <c r="KB79" s="45"/>
      <c r="KG79" s="47">
        <v>0</v>
      </c>
      <c r="KH79" s="45"/>
      <c r="KM79" s="47">
        <v>0</v>
      </c>
      <c r="KN79" s="45"/>
      <c r="KS79" s="47">
        <v>0</v>
      </c>
      <c r="KT79" s="43"/>
      <c r="KW79" s="47">
        <v>0</v>
      </c>
      <c r="KX79" s="45"/>
      <c r="LC79" s="47">
        <v>0</v>
      </c>
      <c r="LD79" s="43"/>
      <c r="LE79" s="46"/>
      <c r="LG79" s="47">
        <v>0</v>
      </c>
      <c r="LH79" s="45"/>
      <c r="LM79" s="47">
        <v>0</v>
      </c>
      <c r="LN79" s="45"/>
      <c r="LS79" s="47">
        <v>0</v>
      </c>
      <c r="LT79" s="45"/>
      <c r="LY79" s="47">
        <v>0</v>
      </c>
      <c r="LZ79" s="45"/>
      <c r="ME79" s="47">
        <v>0</v>
      </c>
      <c r="MF79" s="45"/>
      <c r="MG79" s="46"/>
      <c r="MM79" s="47">
        <v>0</v>
      </c>
      <c r="MN79" s="45"/>
      <c r="MO79" s="44">
        <v>0</v>
      </c>
      <c r="MP79" s="44">
        <v>0</v>
      </c>
      <c r="MQ79" s="44">
        <v>0</v>
      </c>
      <c r="MR79" s="44">
        <v>0</v>
      </c>
      <c r="MS79" s="47">
        <v>0</v>
      </c>
      <c r="MT79" s="45"/>
      <c r="MU79" s="44">
        <v>0</v>
      </c>
      <c r="MV79" s="44">
        <v>0</v>
      </c>
      <c r="MW79" s="44">
        <v>0</v>
      </c>
      <c r="MX79" s="44">
        <v>0</v>
      </c>
      <c r="MY79" s="47">
        <v>0</v>
      </c>
      <c r="MZ79" s="45"/>
      <c r="NA79" s="46">
        <v>0</v>
      </c>
      <c r="NB79" s="44">
        <v>0</v>
      </c>
      <c r="NC79" s="47">
        <v>0</v>
      </c>
      <c r="ND79" s="45"/>
      <c r="NE79" s="46">
        <v>0</v>
      </c>
      <c r="NF79" s="44">
        <v>0</v>
      </c>
      <c r="NG79" s="44">
        <v>0</v>
      </c>
      <c r="NH79" s="44">
        <v>0</v>
      </c>
      <c r="NI79" s="44">
        <v>0</v>
      </c>
      <c r="NJ79" s="47">
        <v>0</v>
      </c>
      <c r="NK79" s="45"/>
      <c r="NL79" s="46">
        <v>0</v>
      </c>
      <c r="NM79" s="44">
        <v>0</v>
      </c>
      <c r="NN79" s="44">
        <v>0</v>
      </c>
      <c r="NO79" s="44">
        <v>0</v>
      </c>
      <c r="NP79" s="47">
        <v>0</v>
      </c>
      <c r="NQ79" s="45"/>
      <c r="NR79" s="46">
        <v>0</v>
      </c>
      <c r="NS79" s="44">
        <v>0</v>
      </c>
      <c r="NT79" s="47">
        <v>0</v>
      </c>
      <c r="NU79" s="45"/>
      <c r="NV79" s="46">
        <v>0</v>
      </c>
      <c r="NW79" s="44">
        <v>0</v>
      </c>
      <c r="NX79" s="44">
        <v>0</v>
      </c>
      <c r="NY79" s="44">
        <v>0</v>
      </c>
      <c r="NZ79" s="47">
        <v>0</v>
      </c>
      <c r="OA79" s="45"/>
      <c r="OB79" s="46">
        <v>0</v>
      </c>
      <c r="OC79" s="44">
        <v>0</v>
      </c>
      <c r="OD79" s="47">
        <v>0</v>
      </c>
      <c r="OE79" s="45"/>
      <c r="OF79" s="46">
        <v>0</v>
      </c>
      <c r="OG79" s="44">
        <v>0</v>
      </c>
      <c r="OH79" s="44">
        <v>0</v>
      </c>
      <c r="OI79" s="44">
        <v>0</v>
      </c>
      <c r="OJ79" s="47">
        <v>0</v>
      </c>
      <c r="OK79" s="45"/>
      <c r="OL79" s="44">
        <v>0</v>
      </c>
      <c r="OM79" s="43"/>
      <c r="ON79" s="44">
        <v>0</v>
      </c>
      <c r="OO79" s="44">
        <v>0</v>
      </c>
      <c r="OP79" s="47">
        <v>0</v>
      </c>
      <c r="OQ79" s="45"/>
      <c r="OR79" s="46">
        <v>0</v>
      </c>
      <c r="OS79" s="44">
        <v>0</v>
      </c>
      <c r="OT79" s="44">
        <v>0</v>
      </c>
      <c r="OU79" s="44">
        <v>0</v>
      </c>
      <c r="OV79" s="47">
        <v>0</v>
      </c>
      <c r="OW79" s="45"/>
      <c r="OX79" s="46">
        <v>0</v>
      </c>
      <c r="OY79" s="44">
        <v>0</v>
      </c>
      <c r="OZ79" s="44">
        <v>0</v>
      </c>
      <c r="PA79" s="44">
        <v>0</v>
      </c>
      <c r="PB79" s="47">
        <v>0</v>
      </c>
      <c r="PC79" s="45"/>
      <c r="PD79" s="46">
        <v>0</v>
      </c>
      <c r="PE79" s="44">
        <v>0</v>
      </c>
      <c r="PF79" s="44">
        <v>0</v>
      </c>
      <c r="PG79" s="44">
        <v>0</v>
      </c>
      <c r="PH79" s="47">
        <v>0</v>
      </c>
      <c r="PI79" s="45"/>
      <c r="PJ79" s="46">
        <v>0</v>
      </c>
      <c r="PK79" s="44">
        <v>0</v>
      </c>
      <c r="PL79" s="44">
        <v>0</v>
      </c>
      <c r="PM79" s="44">
        <v>0</v>
      </c>
      <c r="PN79" s="47">
        <v>0</v>
      </c>
      <c r="PO79" s="45"/>
      <c r="PP79" s="46">
        <v>0</v>
      </c>
      <c r="PQ79" s="44">
        <v>0</v>
      </c>
      <c r="PR79" s="44">
        <v>0</v>
      </c>
      <c r="PS79" s="44">
        <v>0</v>
      </c>
      <c r="PT79" s="47">
        <v>0</v>
      </c>
      <c r="PU79" s="45"/>
      <c r="PV79" s="46">
        <v>0</v>
      </c>
      <c r="PW79" s="44">
        <v>0</v>
      </c>
      <c r="PX79" s="47">
        <v>0</v>
      </c>
      <c r="PY79" s="45"/>
      <c r="PZ79" s="46">
        <v>0</v>
      </c>
      <c r="QA79" s="44">
        <v>0</v>
      </c>
      <c r="QB79" s="47">
        <v>0</v>
      </c>
      <c r="QC79" s="45"/>
      <c r="QD79" s="46">
        <v>0</v>
      </c>
      <c r="QE79" s="44">
        <v>0</v>
      </c>
      <c r="QF79" s="44">
        <v>0</v>
      </c>
      <c r="QG79" s="44">
        <v>0</v>
      </c>
      <c r="QH79" s="47">
        <v>0</v>
      </c>
      <c r="QI79" s="45"/>
      <c r="QJ79" s="46">
        <v>0</v>
      </c>
      <c r="QK79" s="44">
        <v>0</v>
      </c>
      <c r="QL79" s="47">
        <v>0</v>
      </c>
      <c r="QM79" s="45"/>
      <c r="QN79" s="46">
        <v>0</v>
      </c>
      <c r="QO79" s="44">
        <v>0</v>
      </c>
      <c r="QP79" s="44">
        <v>0</v>
      </c>
      <c r="QQ79" s="44">
        <v>0</v>
      </c>
      <c r="QR79" s="47">
        <v>0</v>
      </c>
      <c r="QS79" s="45"/>
      <c r="QT79" s="46">
        <v>0</v>
      </c>
      <c r="QU79" s="44">
        <v>0</v>
      </c>
      <c r="QV79" s="47">
        <v>0</v>
      </c>
      <c r="QW79" s="45"/>
      <c r="QX79" s="46">
        <v>0</v>
      </c>
      <c r="QY79" s="44">
        <v>0</v>
      </c>
      <c r="QZ79" s="44">
        <v>0</v>
      </c>
      <c r="RA79" s="44">
        <v>0</v>
      </c>
      <c r="RB79" s="47">
        <v>0</v>
      </c>
      <c r="RC79" s="45"/>
      <c r="RD79" s="42">
        <v>0</v>
      </c>
      <c r="RE79" s="44">
        <v>0</v>
      </c>
      <c r="RF79" s="44">
        <v>0</v>
      </c>
      <c r="RG79" s="44">
        <v>0</v>
      </c>
      <c r="RH79" s="47">
        <v>0</v>
      </c>
      <c r="RI79" s="45"/>
      <c r="RJ79" s="42">
        <v>0</v>
      </c>
      <c r="RK79" s="47">
        <v>0</v>
      </c>
      <c r="RL79" s="47">
        <v>0</v>
      </c>
      <c r="RM79" s="47">
        <v>0</v>
      </c>
      <c r="RN79" s="47">
        <v>0</v>
      </c>
      <c r="RO79" s="43"/>
      <c r="RP79" s="42">
        <v>0</v>
      </c>
      <c r="RQ79" s="47">
        <v>0</v>
      </c>
      <c r="RR79" s="47">
        <v>0</v>
      </c>
      <c r="RS79" s="43"/>
      <c r="RT79" s="42">
        <v>0</v>
      </c>
      <c r="RU79" s="47">
        <v>0</v>
      </c>
      <c r="RV79" s="47">
        <v>0</v>
      </c>
      <c r="RW79" s="47">
        <v>0</v>
      </c>
      <c r="RX79" s="47">
        <v>0</v>
      </c>
      <c r="RY79" s="43"/>
      <c r="RZ79" s="42">
        <v>0</v>
      </c>
      <c r="SA79" s="47">
        <v>0</v>
      </c>
      <c r="SB79" s="47">
        <v>0</v>
      </c>
      <c r="SC79" s="47">
        <v>0</v>
      </c>
      <c r="SD79" s="47">
        <v>0</v>
      </c>
      <c r="SE79" s="43"/>
      <c r="SF79" s="42">
        <v>0</v>
      </c>
      <c r="SG79" s="47">
        <v>0</v>
      </c>
      <c r="SH79" s="47">
        <v>0</v>
      </c>
      <c r="SI79" s="47">
        <v>0</v>
      </c>
      <c r="SJ79" s="47">
        <v>0</v>
      </c>
      <c r="SK79" s="43"/>
      <c r="SL79" s="42">
        <v>56.698</v>
      </c>
      <c r="SM79" s="47">
        <v>55</v>
      </c>
      <c r="SN79" s="47">
        <v>1.698</v>
      </c>
      <c r="SO79" s="43"/>
      <c r="SP79" s="42">
        <v>0</v>
      </c>
      <c r="SQ79" s="47">
        <v>0</v>
      </c>
      <c r="SR79" s="47">
        <v>0</v>
      </c>
      <c r="SS79" s="47">
        <v>12</v>
      </c>
      <c r="ST79" s="50">
        <v>-12</v>
      </c>
      <c r="SU79" s="43">
        <v>12</v>
      </c>
    </row>
    <row r="80" spans="1:515" x14ac:dyDescent="0.25">
      <c r="A80" s="47" t="s">
        <v>387</v>
      </c>
      <c r="B80" s="41">
        <v>1</v>
      </c>
      <c r="J80" s="42"/>
      <c r="K80" s="51"/>
      <c r="L80" s="51"/>
      <c r="M80" s="51"/>
      <c r="N80" s="51">
        <f t="shared" si="12"/>
        <v>0</v>
      </c>
      <c r="O80" s="43"/>
      <c r="P80" s="46"/>
      <c r="Q80" s="51"/>
      <c r="R80" s="51"/>
      <c r="S80" s="51"/>
      <c r="T80" s="51">
        <f t="shared" si="13"/>
        <v>0</v>
      </c>
      <c r="U80" s="43"/>
      <c r="V80" s="42"/>
      <c r="W80" s="51"/>
      <c r="X80" s="51"/>
      <c r="Y80" s="51"/>
      <c r="Z80" s="51">
        <f t="shared" si="14"/>
        <v>0</v>
      </c>
      <c r="AA80" s="43"/>
      <c r="AB80" s="42"/>
      <c r="AC80" s="51"/>
      <c r="AD80" s="51"/>
      <c r="AE80" s="51"/>
      <c r="AF80" s="51">
        <v>0</v>
      </c>
      <c r="AG80" s="43"/>
      <c r="AH80" s="51"/>
      <c r="AL80" s="47">
        <v>0</v>
      </c>
      <c r="AM80" s="43"/>
      <c r="AN80" s="42"/>
      <c r="AR80" s="47">
        <v>0</v>
      </c>
      <c r="AS80" s="43"/>
      <c r="AX80" s="47">
        <v>0</v>
      </c>
      <c r="AY80" s="43"/>
      <c r="BD80" s="47">
        <v>0</v>
      </c>
      <c r="BE80" s="43"/>
      <c r="BF80" s="42"/>
      <c r="BJ80" s="47">
        <v>0</v>
      </c>
      <c r="BK80" s="43"/>
      <c r="BL80" s="42"/>
      <c r="BP80" s="47">
        <v>0</v>
      </c>
      <c r="BQ80" s="43"/>
      <c r="BV80" s="47">
        <v>0</v>
      </c>
      <c r="BW80" s="43"/>
      <c r="BX80" s="42"/>
      <c r="CB80" s="47">
        <v>0</v>
      </c>
      <c r="CC80" s="43"/>
      <c r="CH80" s="47">
        <v>0</v>
      </c>
      <c r="CI80" s="43"/>
      <c r="CN80" s="47">
        <v>0</v>
      </c>
      <c r="CO80" s="43"/>
      <c r="CP80" s="42"/>
      <c r="CT80" s="47">
        <v>0</v>
      </c>
      <c r="CU80" s="43"/>
      <c r="CV80" s="42"/>
      <c r="CZ80" s="47">
        <v>0</v>
      </c>
      <c r="DA80" s="43"/>
      <c r="DG80" s="47">
        <v>0</v>
      </c>
      <c r="DH80" s="43"/>
      <c r="DK80" s="47">
        <v>0</v>
      </c>
      <c r="DL80" s="43"/>
      <c r="DM80" s="42"/>
      <c r="DQ80" s="47">
        <v>0</v>
      </c>
      <c r="DR80" s="43"/>
      <c r="DW80" s="47">
        <v>0</v>
      </c>
      <c r="DX80" s="43"/>
      <c r="EC80" s="47">
        <v>0</v>
      </c>
      <c r="ED80" s="43"/>
      <c r="EE80" s="42"/>
      <c r="EI80" s="47">
        <v>0</v>
      </c>
      <c r="EJ80" s="43"/>
      <c r="EO80" s="47">
        <v>0</v>
      </c>
      <c r="EP80" s="43"/>
      <c r="EQ80" s="42"/>
      <c r="EU80" s="47">
        <v>0</v>
      </c>
      <c r="EV80" s="43"/>
      <c r="EW80" s="42"/>
      <c r="FC80" s="47">
        <v>0</v>
      </c>
      <c r="FD80" s="43"/>
      <c r="FE80" s="42"/>
      <c r="FI80" s="47">
        <v>0</v>
      </c>
      <c r="FJ80" s="43"/>
      <c r="FQ80" s="47">
        <v>0</v>
      </c>
      <c r="FR80" s="43"/>
      <c r="FS80" s="42"/>
      <c r="FW80" s="47">
        <v>0</v>
      </c>
      <c r="FX80" s="43"/>
      <c r="FY80" s="42"/>
      <c r="GC80" s="47">
        <v>0</v>
      </c>
      <c r="GD80" s="43"/>
      <c r="GE80" s="42"/>
      <c r="GI80" s="47">
        <v>0</v>
      </c>
      <c r="GJ80" s="43"/>
      <c r="GQ80" s="47">
        <v>0</v>
      </c>
      <c r="GR80" s="43"/>
      <c r="GX80" s="47">
        <v>0</v>
      </c>
      <c r="GY80" s="43"/>
      <c r="GZ80" s="42"/>
      <c r="HC80" s="47">
        <v>0</v>
      </c>
      <c r="HD80" s="43"/>
      <c r="HE80" s="42"/>
      <c r="HH80" s="47">
        <v>0</v>
      </c>
      <c r="HI80" s="43"/>
      <c r="HN80" s="47">
        <v>0</v>
      </c>
      <c r="HO80" s="43"/>
      <c r="HP80" s="42"/>
      <c r="HU80" s="47">
        <v>0</v>
      </c>
      <c r="HV80" s="43"/>
      <c r="IA80" s="47">
        <v>0</v>
      </c>
      <c r="IB80" s="43"/>
      <c r="IC80" s="42"/>
      <c r="IG80" s="47">
        <v>0</v>
      </c>
      <c r="IH80" s="43"/>
      <c r="IM80" s="47">
        <v>0</v>
      </c>
      <c r="IN80" s="43"/>
      <c r="IO80" s="42"/>
      <c r="IQ80" s="47">
        <v>0</v>
      </c>
      <c r="IR80" s="43"/>
      <c r="IS80" s="42"/>
      <c r="IW80" s="47">
        <v>0</v>
      </c>
      <c r="IX80" s="43"/>
      <c r="IY80" s="42"/>
      <c r="JA80" s="47">
        <v>0</v>
      </c>
      <c r="JB80" s="43"/>
      <c r="JC80" s="42"/>
      <c r="JG80" s="47">
        <v>0</v>
      </c>
      <c r="JH80" s="43"/>
      <c r="JO80" s="47">
        <v>0</v>
      </c>
      <c r="JP80" s="43"/>
      <c r="JQ80" s="42"/>
      <c r="JU80" s="47">
        <v>0</v>
      </c>
      <c r="JV80" s="43"/>
      <c r="KA80" s="47">
        <v>0</v>
      </c>
      <c r="KB80" s="45"/>
      <c r="KG80" s="47">
        <v>0</v>
      </c>
      <c r="KH80" s="45"/>
      <c r="KM80" s="47">
        <v>0</v>
      </c>
      <c r="KN80" s="45"/>
      <c r="KS80" s="47">
        <v>0</v>
      </c>
      <c r="KT80" s="43"/>
      <c r="KW80" s="47">
        <v>0</v>
      </c>
      <c r="KX80" s="45"/>
      <c r="LC80" s="47">
        <v>0</v>
      </c>
      <c r="LD80" s="43"/>
      <c r="LE80" s="46"/>
      <c r="LG80" s="47">
        <v>0</v>
      </c>
      <c r="LH80" s="45"/>
      <c r="LM80" s="47">
        <v>0</v>
      </c>
      <c r="LN80" s="45"/>
      <c r="LS80" s="47">
        <v>0</v>
      </c>
      <c r="LT80" s="45"/>
      <c r="LY80" s="47">
        <v>0</v>
      </c>
      <c r="LZ80" s="45"/>
      <c r="ME80" s="47">
        <v>0</v>
      </c>
      <c r="MF80" s="45"/>
      <c r="MG80" s="46"/>
      <c r="MM80" s="47">
        <v>0</v>
      </c>
      <c r="MN80" s="45"/>
      <c r="MO80" s="44">
        <v>0</v>
      </c>
      <c r="MP80" s="44">
        <v>0</v>
      </c>
      <c r="MQ80" s="44">
        <v>0</v>
      </c>
      <c r="MR80" s="44">
        <v>0</v>
      </c>
      <c r="MS80" s="47">
        <v>0</v>
      </c>
      <c r="MT80" s="45"/>
      <c r="MU80" s="44">
        <v>0</v>
      </c>
      <c r="MV80" s="44">
        <v>0</v>
      </c>
      <c r="MW80" s="44">
        <v>0</v>
      </c>
      <c r="MX80" s="44">
        <v>0</v>
      </c>
      <c r="MY80" s="47">
        <v>0</v>
      </c>
      <c r="MZ80" s="45"/>
      <c r="NA80" s="46">
        <v>0</v>
      </c>
      <c r="NB80" s="44">
        <v>0</v>
      </c>
      <c r="NC80" s="47">
        <v>0</v>
      </c>
      <c r="ND80" s="45"/>
      <c r="NE80" s="46">
        <v>0</v>
      </c>
      <c r="NF80" s="44">
        <v>0</v>
      </c>
      <c r="NG80" s="44">
        <v>0</v>
      </c>
      <c r="NH80" s="44">
        <v>0</v>
      </c>
      <c r="NI80" s="44">
        <v>0</v>
      </c>
      <c r="NJ80" s="47">
        <v>0</v>
      </c>
      <c r="NK80" s="45"/>
      <c r="NL80" s="46">
        <v>0</v>
      </c>
      <c r="NM80" s="44">
        <v>0</v>
      </c>
      <c r="NN80" s="44">
        <v>0</v>
      </c>
      <c r="NO80" s="44">
        <v>0</v>
      </c>
      <c r="NP80" s="47">
        <v>0</v>
      </c>
      <c r="NQ80" s="45"/>
      <c r="NR80" s="46">
        <v>0</v>
      </c>
      <c r="NS80" s="44">
        <v>0</v>
      </c>
      <c r="NT80" s="47">
        <v>0</v>
      </c>
      <c r="NU80" s="45"/>
      <c r="NV80" s="46">
        <v>0</v>
      </c>
      <c r="NW80" s="44">
        <v>0</v>
      </c>
      <c r="NX80" s="44">
        <v>0</v>
      </c>
      <c r="NY80" s="44">
        <v>0</v>
      </c>
      <c r="NZ80" s="47">
        <v>0</v>
      </c>
      <c r="OA80" s="45"/>
      <c r="OB80" s="46">
        <v>0</v>
      </c>
      <c r="OC80" s="44">
        <v>0</v>
      </c>
      <c r="OD80" s="47">
        <v>0</v>
      </c>
      <c r="OE80" s="45"/>
      <c r="OF80" s="46">
        <v>0</v>
      </c>
      <c r="OG80" s="44">
        <v>0</v>
      </c>
      <c r="OH80" s="44">
        <v>0</v>
      </c>
      <c r="OI80" s="44">
        <v>0</v>
      </c>
      <c r="OJ80" s="47">
        <v>0</v>
      </c>
      <c r="OK80" s="45"/>
      <c r="OL80" s="44">
        <v>0</v>
      </c>
      <c r="OM80" s="43"/>
      <c r="ON80" s="44">
        <v>0</v>
      </c>
      <c r="OO80" s="44">
        <v>0</v>
      </c>
      <c r="OP80" s="47">
        <v>0</v>
      </c>
      <c r="OQ80" s="45"/>
      <c r="OR80" s="46">
        <v>0</v>
      </c>
      <c r="OS80" s="44">
        <v>0</v>
      </c>
      <c r="OT80" s="44">
        <v>0</v>
      </c>
      <c r="OU80" s="44">
        <v>0</v>
      </c>
      <c r="OV80" s="47">
        <v>0</v>
      </c>
      <c r="OW80" s="45"/>
      <c r="OX80" s="46">
        <v>0</v>
      </c>
      <c r="OY80" s="44">
        <v>0</v>
      </c>
      <c r="OZ80" s="44">
        <v>0</v>
      </c>
      <c r="PA80" s="44">
        <v>0</v>
      </c>
      <c r="PB80" s="47">
        <v>0</v>
      </c>
      <c r="PC80" s="45"/>
      <c r="PD80" s="46">
        <v>0</v>
      </c>
      <c r="PE80" s="44">
        <v>0</v>
      </c>
      <c r="PF80" s="44">
        <v>0</v>
      </c>
      <c r="PG80" s="44">
        <v>0</v>
      </c>
      <c r="PH80" s="47">
        <v>0</v>
      </c>
      <c r="PI80" s="45"/>
      <c r="PJ80" s="46">
        <v>0</v>
      </c>
      <c r="PK80" s="44">
        <v>0</v>
      </c>
      <c r="PL80" s="44">
        <v>0</v>
      </c>
      <c r="PM80" s="44">
        <v>0</v>
      </c>
      <c r="PN80" s="47">
        <v>0</v>
      </c>
      <c r="PO80" s="45"/>
      <c r="PP80" s="46">
        <v>0</v>
      </c>
      <c r="PQ80" s="44">
        <v>0</v>
      </c>
      <c r="PR80" s="44">
        <v>0</v>
      </c>
      <c r="PS80" s="44">
        <v>0</v>
      </c>
      <c r="PT80" s="47">
        <v>0</v>
      </c>
      <c r="PU80" s="45"/>
      <c r="PV80" s="46">
        <v>0</v>
      </c>
      <c r="PW80" s="44">
        <v>0</v>
      </c>
      <c r="PX80" s="47">
        <v>0</v>
      </c>
      <c r="PY80" s="45"/>
      <c r="PZ80" s="46">
        <v>0</v>
      </c>
      <c r="QA80" s="44">
        <v>0</v>
      </c>
      <c r="QB80" s="47">
        <v>0</v>
      </c>
      <c r="QC80" s="45"/>
      <c r="QD80" s="46">
        <v>0</v>
      </c>
      <c r="QE80" s="44">
        <v>0</v>
      </c>
      <c r="QF80" s="44">
        <v>0</v>
      </c>
      <c r="QG80" s="44">
        <v>0</v>
      </c>
      <c r="QH80" s="47">
        <v>0</v>
      </c>
      <c r="QI80" s="45"/>
      <c r="QJ80" s="46">
        <v>0</v>
      </c>
      <c r="QK80" s="44">
        <v>0</v>
      </c>
      <c r="QL80" s="47">
        <v>0</v>
      </c>
      <c r="QM80" s="45"/>
      <c r="QN80" s="46">
        <v>0</v>
      </c>
      <c r="QO80" s="44">
        <v>0</v>
      </c>
      <c r="QP80" s="44">
        <v>0</v>
      </c>
      <c r="QQ80" s="44">
        <v>0</v>
      </c>
      <c r="QR80" s="47">
        <v>0</v>
      </c>
      <c r="QS80" s="45"/>
      <c r="QT80" s="46">
        <v>0</v>
      </c>
      <c r="QU80" s="44">
        <v>0</v>
      </c>
      <c r="QV80" s="47">
        <v>0</v>
      </c>
      <c r="QW80" s="45"/>
      <c r="QX80" s="46">
        <v>0</v>
      </c>
      <c r="QY80" s="44">
        <v>0</v>
      </c>
      <c r="QZ80" s="44">
        <v>0</v>
      </c>
      <c r="RA80" s="44">
        <v>0</v>
      </c>
      <c r="RB80" s="47">
        <v>0</v>
      </c>
      <c r="RC80" s="45"/>
      <c r="RD80" s="42">
        <v>0</v>
      </c>
      <c r="RE80" s="44">
        <v>0</v>
      </c>
      <c r="RF80" s="44">
        <v>0</v>
      </c>
      <c r="RG80" s="44">
        <v>0</v>
      </c>
      <c r="RH80" s="47">
        <v>0</v>
      </c>
      <c r="RI80" s="45"/>
      <c r="RJ80" s="42">
        <v>0</v>
      </c>
      <c r="RK80" s="47">
        <v>0</v>
      </c>
      <c r="RL80" s="47">
        <v>0</v>
      </c>
      <c r="RM80" s="47">
        <v>0</v>
      </c>
      <c r="RN80" s="47">
        <v>0</v>
      </c>
      <c r="RO80" s="43"/>
      <c r="RP80" s="42">
        <v>0</v>
      </c>
      <c r="RQ80" s="47">
        <v>0</v>
      </c>
      <c r="RR80" s="47">
        <v>0</v>
      </c>
      <c r="RS80" s="43"/>
      <c r="RT80" s="42">
        <v>0</v>
      </c>
      <c r="RU80" s="47">
        <v>0</v>
      </c>
      <c r="RV80" s="47">
        <v>0</v>
      </c>
      <c r="RW80" s="47">
        <v>0</v>
      </c>
      <c r="RX80" s="47">
        <v>0</v>
      </c>
      <c r="RY80" s="43"/>
      <c r="RZ80" s="42">
        <v>0</v>
      </c>
      <c r="SA80" s="47">
        <v>0</v>
      </c>
      <c r="SB80" s="47">
        <v>0</v>
      </c>
      <c r="SC80" s="47">
        <v>0</v>
      </c>
      <c r="SD80" s="47">
        <v>0</v>
      </c>
      <c r="SE80" s="43"/>
      <c r="SF80" s="42">
        <v>88.95</v>
      </c>
      <c r="SG80" s="47">
        <v>88</v>
      </c>
      <c r="SH80" s="47">
        <v>0</v>
      </c>
      <c r="SI80" s="47">
        <v>0</v>
      </c>
      <c r="SJ80" s="47">
        <v>0.95000000000000284</v>
      </c>
      <c r="SK80" s="43"/>
      <c r="SL80" s="42">
        <v>40.651000000000003</v>
      </c>
      <c r="SM80" s="47">
        <v>40</v>
      </c>
      <c r="SN80" s="47">
        <v>0.65100000000000335</v>
      </c>
      <c r="SO80" s="43"/>
      <c r="SP80" s="42">
        <v>0</v>
      </c>
      <c r="SQ80" s="47">
        <v>0</v>
      </c>
      <c r="SR80" s="47">
        <v>0</v>
      </c>
      <c r="SS80" s="47">
        <v>0</v>
      </c>
      <c r="ST80" s="47">
        <v>0</v>
      </c>
      <c r="SU80" s="43"/>
    </row>
    <row r="81" spans="1:515" x14ac:dyDescent="0.25">
      <c r="A81" s="47" t="s">
        <v>388</v>
      </c>
      <c r="B81" s="41">
        <v>0.35</v>
      </c>
      <c r="E81">
        <v>13</v>
      </c>
      <c r="J81" s="40">
        <v>32</v>
      </c>
      <c r="K81" s="52">
        <v>32</v>
      </c>
      <c r="L81" s="52">
        <v>24</v>
      </c>
      <c r="M81" s="52">
        <v>26</v>
      </c>
      <c r="N81" s="51">
        <f t="shared" si="12"/>
        <v>-2</v>
      </c>
      <c r="O81" s="43"/>
      <c r="P81" s="46"/>
      <c r="Q81" s="51"/>
      <c r="R81" s="52">
        <v>16</v>
      </c>
      <c r="S81" s="52">
        <v>20</v>
      </c>
      <c r="T81" s="51">
        <f t="shared" si="13"/>
        <v>-4</v>
      </c>
      <c r="U81" s="43"/>
      <c r="V81" s="40">
        <v>24</v>
      </c>
      <c r="W81" s="52">
        <v>24</v>
      </c>
      <c r="X81" s="52">
        <v>32</v>
      </c>
      <c r="Y81" s="52">
        <v>33</v>
      </c>
      <c r="Z81" s="51">
        <f t="shared" si="14"/>
        <v>-1</v>
      </c>
      <c r="AA81" s="43"/>
      <c r="AB81" s="42"/>
      <c r="AC81" s="51"/>
      <c r="AD81" s="52">
        <v>112</v>
      </c>
      <c r="AE81" s="56">
        <v>114</v>
      </c>
      <c r="AF81" s="51">
        <v>-2</v>
      </c>
      <c r="AG81" s="43"/>
      <c r="AH81" s="51"/>
      <c r="AL81" s="47">
        <v>0</v>
      </c>
      <c r="AM81" s="43"/>
      <c r="AN81" s="42"/>
      <c r="AR81" s="47">
        <v>0</v>
      </c>
      <c r="AS81" s="43"/>
      <c r="AT81">
        <v>16</v>
      </c>
      <c r="AU81">
        <v>16</v>
      </c>
      <c r="AX81" s="47">
        <v>0</v>
      </c>
      <c r="AY81" s="43"/>
      <c r="AZ81">
        <v>80</v>
      </c>
      <c r="BA81">
        <v>80</v>
      </c>
      <c r="BB81">
        <v>104</v>
      </c>
      <c r="BC81">
        <v>106</v>
      </c>
      <c r="BD81" s="47">
        <v>-2</v>
      </c>
      <c r="BE81" s="43"/>
      <c r="BF81" s="42"/>
      <c r="BH81">
        <v>32</v>
      </c>
      <c r="BI81">
        <v>33</v>
      </c>
      <c r="BJ81" s="47">
        <v>-1</v>
      </c>
      <c r="BK81" s="43"/>
      <c r="BL81" s="40">
        <v>32</v>
      </c>
      <c r="BM81">
        <v>30</v>
      </c>
      <c r="BP81" s="47">
        <v>2</v>
      </c>
      <c r="BQ81" s="43"/>
      <c r="BV81" s="47">
        <v>0</v>
      </c>
      <c r="BW81" s="43"/>
      <c r="BX81" s="40">
        <v>32</v>
      </c>
      <c r="BY81">
        <v>35</v>
      </c>
      <c r="CB81" s="47">
        <v>-3</v>
      </c>
      <c r="CC81" s="43"/>
      <c r="CH81" s="47">
        <v>0</v>
      </c>
      <c r="CI81" s="43"/>
      <c r="CJ81">
        <v>96</v>
      </c>
      <c r="CK81">
        <v>96</v>
      </c>
      <c r="CL81">
        <v>96</v>
      </c>
      <c r="CM81">
        <v>96</v>
      </c>
      <c r="CN81" s="47">
        <v>0</v>
      </c>
      <c r="CO81" s="43"/>
      <c r="CP81" s="42"/>
      <c r="CR81">
        <v>96</v>
      </c>
      <c r="CS81">
        <v>95</v>
      </c>
      <c r="CT81" s="47">
        <v>1</v>
      </c>
      <c r="CU81" s="43"/>
      <c r="CV81" s="42"/>
      <c r="CZ81" s="47">
        <v>0</v>
      </c>
      <c r="DA81" s="43"/>
      <c r="DB81">
        <v>120</v>
      </c>
      <c r="DC81">
        <v>120</v>
      </c>
      <c r="DE81">
        <v>120</v>
      </c>
      <c r="DF81">
        <v>124</v>
      </c>
      <c r="DG81" s="47">
        <v>-4</v>
      </c>
      <c r="DH81" s="43"/>
      <c r="DK81" s="47">
        <v>0</v>
      </c>
      <c r="DL81" s="43"/>
      <c r="DM81" s="42"/>
      <c r="DQ81" s="47">
        <v>0</v>
      </c>
      <c r="DR81" s="43"/>
      <c r="DW81" s="47">
        <v>0</v>
      </c>
      <c r="DX81" s="43"/>
      <c r="EC81" s="47">
        <v>0</v>
      </c>
      <c r="ED81" s="43"/>
      <c r="EE81" s="42"/>
      <c r="EG81">
        <v>464</v>
      </c>
      <c r="EH81">
        <v>469</v>
      </c>
      <c r="EI81" s="47">
        <v>-5</v>
      </c>
      <c r="EJ81" s="43"/>
      <c r="EO81" s="47">
        <v>0</v>
      </c>
      <c r="EP81" s="43"/>
      <c r="EQ81" s="42"/>
      <c r="ES81">
        <v>136</v>
      </c>
      <c r="ET81">
        <v>136</v>
      </c>
      <c r="EU81" s="47">
        <v>0</v>
      </c>
      <c r="EV81" s="43"/>
      <c r="EW81" s="42"/>
      <c r="FA81">
        <v>152</v>
      </c>
      <c r="FB81">
        <v>150</v>
      </c>
      <c r="FC81" s="47">
        <v>2</v>
      </c>
      <c r="FD81" s="43"/>
      <c r="FE81" s="40">
        <v>160</v>
      </c>
      <c r="FF81">
        <v>160</v>
      </c>
      <c r="FG81">
        <v>160</v>
      </c>
      <c r="FH81">
        <v>160</v>
      </c>
      <c r="FI81" s="47">
        <v>0</v>
      </c>
      <c r="FJ81" s="43"/>
      <c r="FQ81" s="47">
        <v>0</v>
      </c>
      <c r="FR81" s="43"/>
      <c r="FS81" s="42"/>
      <c r="FU81">
        <v>480</v>
      </c>
      <c r="FV81">
        <v>480</v>
      </c>
      <c r="FW81" s="47">
        <v>0</v>
      </c>
      <c r="FX81" s="43"/>
      <c r="FY81" s="42"/>
      <c r="GC81" s="47">
        <v>0</v>
      </c>
      <c r="GD81" s="43"/>
      <c r="GE81" s="40">
        <v>216</v>
      </c>
      <c r="GF81">
        <v>220</v>
      </c>
      <c r="GG81">
        <v>200</v>
      </c>
      <c r="GH81">
        <v>200</v>
      </c>
      <c r="GI81" s="47">
        <v>-4</v>
      </c>
      <c r="GJ81" s="43"/>
      <c r="GQ81" s="47">
        <v>0</v>
      </c>
      <c r="GR81" s="43"/>
      <c r="GU81">
        <v>136</v>
      </c>
      <c r="GW81">
        <v>140</v>
      </c>
      <c r="GX81" s="47">
        <v>-4</v>
      </c>
      <c r="GY81" s="43"/>
      <c r="GZ81" s="42"/>
      <c r="HC81" s="47">
        <v>0</v>
      </c>
      <c r="HD81" s="43"/>
      <c r="HE81" s="40">
        <v>376</v>
      </c>
      <c r="HG81">
        <v>376</v>
      </c>
      <c r="HH81" s="47">
        <v>0</v>
      </c>
      <c r="HI81" s="43"/>
      <c r="HN81" s="47">
        <v>0</v>
      </c>
      <c r="HO81" s="43"/>
      <c r="HP81" s="42"/>
      <c r="HU81" s="47">
        <v>0</v>
      </c>
      <c r="HV81" s="43"/>
      <c r="HW81">
        <v>72</v>
      </c>
      <c r="HX81">
        <v>70</v>
      </c>
      <c r="HY81">
        <v>96</v>
      </c>
      <c r="HZ81">
        <v>100</v>
      </c>
      <c r="IA81" s="47">
        <v>-2</v>
      </c>
      <c r="IB81" s="43"/>
      <c r="IC81" s="40">
        <v>152</v>
      </c>
      <c r="ID81">
        <v>150</v>
      </c>
      <c r="IE81">
        <v>232</v>
      </c>
      <c r="IF81">
        <v>236</v>
      </c>
      <c r="IG81" s="47">
        <v>-2</v>
      </c>
      <c r="IH81" s="43"/>
      <c r="IK81">
        <v>80</v>
      </c>
      <c r="IL81">
        <v>80</v>
      </c>
      <c r="IM81" s="47">
        <v>0</v>
      </c>
      <c r="IN81" s="43"/>
      <c r="IO81" s="42"/>
      <c r="IQ81" s="47">
        <v>0</v>
      </c>
      <c r="IR81" s="43"/>
      <c r="IS81" s="40">
        <v>96</v>
      </c>
      <c r="IT81">
        <v>100</v>
      </c>
      <c r="IU81">
        <v>208</v>
      </c>
      <c r="IV81">
        <v>210</v>
      </c>
      <c r="IW81" s="47">
        <v>-6</v>
      </c>
      <c r="IX81" s="43"/>
      <c r="IY81" s="42"/>
      <c r="JA81" s="47">
        <v>0</v>
      </c>
      <c r="JB81" s="43"/>
      <c r="JC81" s="42"/>
      <c r="JG81" s="47">
        <v>0</v>
      </c>
      <c r="JH81" s="43"/>
      <c r="JK81">
        <v>536</v>
      </c>
      <c r="JL81">
        <v>540</v>
      </c>
      <c r="JO81" s="47">
        <v>-4</v>
      </c>
      <c r="JP81" s="43"/>
      <c r="JQ81" s="40">
        <v>64</v>
      </c>
      <c r="JR81">
        <v>64</v>
      </c>
      <c r="JS81">
        <v>64</v>
      </c>
      <c r="JT81">
        <v>66</v>
      </c>
      <c r="JU81" s="47">
        <v>-2</v>
      </c>
      <c r="JV81" s="43"/>
      <c r="JW81">
        <v>200</v>
      </c>
      <c r="JX81">
        <v>200</v>
      </c>
      <c r="JY81">
        <v>304</v>
      </c>
      <c r="JZ81">
        <v>305</v>
      </c>
      <c r="KA81" s="47">
        <v>-1</v>
      </c>
      <c r="KB81" s="45"/>
      <c r="KC81">
        <v>48</v>
      </c>
      <c r="KD81">
        <v>50</v>
      </c>
      <c r="KE81">
        <v>112</v>
      </c>
      <c r="KF81">
        <v>110</v>
      </c>
      <c r="KG81" s="47">
        <v>0</v>
      </c>
      <c r="KH81" s="45"/>
      <c r="KI81">
        <v>216</v>
      </c>
      <c r="KJ81">
        <v>220</v>
      </c>
      <c r="KK81">
        <v>176</v>
      </c>
      <c r="KL81">
        <v>179</v>
      </c>
      <c r="KM81" s="47">
        <v>-7</v>
      </c>
      <c r="KN81" s="45"/>
      <c r="KO81">
        <v>96</v>
      </c>
      <c r="KP81">
        <v>100</v>
      </c>
      <c r="KR81">
        <v>50</v>
      </c>
      <c r="KS81" s="50">
        <v>-54</v>
      </c>
      <c r="KT81" s="43">
        <v>18.899999999999999</v>
      </c>
      <c r="KU81">
        <v>88</v>
      </c>
      <c r="KV81">
        <v>90</v>
      </c>
      <c r="KW81" s="47">
        <v>-2</v>
      </c>
      <c r="KX81" s="45"/>
      <c r="KY81">
        <v>96</v>
      </c>
      <c r="KZ81">
        <v>100</v>
      </c>
      <c r="LA81">
        <v>80</v>
      </c>
      <c r="LB81">
        <v>80</v>
      </c>
      <c r="LC81" s="47">
        <v>-4</v>
      </c>
      <c r="LD81" s="43"/>
      <c r="LE81" s="40">
        <v>288</v>
      </c>
      <c r="LF81" s="44">
        <v>290</v>
      </c>
      <c r="LG81" s="47">
        <v>-2</v>
      </c>
      <c r="LH81" s="45"/>
      <c r="LK81">
        <v>112</v>
      </c>
      <c r="LL81">
        <v>110</v>
      </c>
      <c r="LM81" s="47">
        <v>2</v>
      </c>
      <c r="LN81" s="45"/>
      <c r="LO81">
        <v>152</v>
      </c>
      <c r="LP81">
        <v>150</v>
      </c>
      <c r="LQ81">
        <v>160</v>
      </c>
      <c r="LR81">
        <v>160</v>
      </c>
      <c r="LS81" s="47">
        <v>2</v>
      </c>
      <c r="LT81" s="45"/>
      <c r="LY81" s="47">
        <v>0</v>
      </c>
      <c r="LZ81" s="45"/>
      <c r="MA81">
        <v>152</v>
      </c>
      <c r="MB81">
        <v>150</v>
      </c>
      <c r="MC81">
        <v>192</v>
      </c>
      <c r="MD81">
        <v>190</v>
      </c>
      <c r="ME81" s="47">
        <v>4</v>
      </c>
      <c r="MF81" s="45"/>
      <c r="MG81" s="40">
        <v>56</v>
      </c>
      <c r="MH81">
        <v>60</v>
      </c>
      <c r="MI81">
        <v>80</v>
      </c>
      <c r="MJ81">
        <v>80</v>
      </c>
      <c r="MK81">
        <v>40</v>
      </c>
      <c r="ML81">
        <v>60</v>
      </c>
      <c r="MM81" s="50">
        <v>-24</v>
      </c>
      <c r="MN81" s="45">
        <v>8.3999999999999986</v>
      </c>
      <c r="MO81" s="44">
        <v>0</v>
      </c>
      <c r="MP81" s="44">
        <v>0</v>
      </c>
      <c r="MQ81" s="44">
        <v>152</v>
      </c>
      <c r="MR81" s="44">
        <v>150</v>
      </c>
      <c r="MS81" s="47">
        <v>2</v>
      </c>
      <c r="MT81" s="45"/>
      <c r="MU81" s="44">
        <v>0</v>
      </c>
      <c r="MV81" s="44">
        <v>0</v>
      </c>
      <c r="MW81" s="44">
        <v>120</v>
      </c>
      <c r="MX81" s="44">
        <v>120</v>
      </c>
      <c r="MY81" s="47">
        <v>0</v>
      </c>
      <c r="MZ81" s="45"/>
      <c r="NA81" s="46">
        <v>168</v>
      </c>
      <c r="NB81" s="44">
        <v>170</v>
      </c>
      <c r="NC81" s="47">
        <v>-2</v>
      </c>
      <c r="ND81" s="45"/>
      <c r="NE81" s="46">
        <v>272</v>
      </c>
      <c r="NF81" s="44">
        <v>270</v>
      </c>
      <c r="NG81" s="44">
        <v>248</v>
      </c>
      <c r="NH81" s="44">
        <v>0</v>
      </c>
      <c r="NI81" s="44">
        <v>253</v>
      </c>
      <c r="NJ81" s="47">
        <v>-3</v>
      </c>
      <c r="NK81" s="45"/>
      <c r="NL81" s="46">
        <v>248</v>
      </c>
      <c r="NM81" s="44">
        <v>250</v>
      </c>
      <c r="NN81" s="44">
        <v>96</v>
      </c>
      <c r="NO81" s="44">
        <v>100</v>
      </c>
      <c r="NP81" s="47">
        <v>-6</v>
      </c>
      <c r="NQ81" s="45"/>
      <c r="NR81" s="46">
        <v>352</v>
      </c>
      <c r="NS81" s="44">
        <v>350</v>
      </c>
      <c r="NT81" s="47">
        <v>2</v>
      </c>
      <c r="NU81" s="45"/>
      <c r="NV81" s="46">
        <v>0</v>
      </c>
      <c r="NW81" s="44">
        <v>0</v>
      </c>
      <c r="NX81" s="44">
        <v>0</v>
      </c>
      <c r="NY81" s="44">
        <v>0</v>
      </c>
      <c r="NZ81" s="47">
        <v>0</v>
      </c>
      <c r="OA81" s="45"/>
      <c r="OB81" s="46">
        <v>0</v>
      </c>
      <c r="OC81" s="44">
        <v>0</v>
      </c>
      <c r="OD81" s="47">
        <v>0</v>
      </c>
      <c r="OE81" s="45"/>
      <c r="OF81" s="46">
        <v>0</v>
      </c>
      <c r="OG81" s="44">
        <v>0</v>
      </c>
      <c r="OH81" s="44">
        <v>0</v>
      </c>
      <c r="OI81" s="44">
        <v>0</v>
      </c>
      <c r="OJ81" s="47">
        <v>0</v>
      </c>
      <c r="OK81" s="45"/>
      <c r="OL81" s="44">
        <v>0</v>
      </c>
      <c r="OM81" s="43"/>
      <c r="ON81" s="44">
        <v>216</v>
      </c>
      <c r="OO81" s="44">
        <v>220</v>
      </c>
      <c r="OP81" s="47">
        <v>-4</v>
      </c>
      <c r="OQ81" s="45"/>
      <c r="OR81" s="46">
        <v>48</v>
      </c>
      <c r="OS81" s="44">
        <v>50</v>
      </c>
      <c r="OT81" s="44">
        <v>96</v>
      </c>
      <c r="OU81" s="44">
        <v>100</v>
      </c>
      <c r="OV81" s="47">
        <v>-6</v>
      </c>
      <c r="OW81" s="45"/>
      <c r="OX81" s="46">
        <v>0</v>
      </c>
      <c r="OY81" s="44">
        <v>0</v>
      </c>
      <c r="OZ81" s="44">
        <v>40</v>
      </c>
      <c r="PA81" s="44">
        <v>40</v>
      </c>
      <c r="PB81" s="47">
        <v>0</v>
      </c>
      <c r="PC81" s="45"/>
      <c r="PD81" s="46">
        <v>72</v>
      </c>
      <c r="PE81" s="44">
        <v>70</v>
      </c>
      <c r="PF81" s="44">
        <v>120</v>
      </c>
      <c r="PG81" s="44">
        <v>120</v>
      </c>
      <c r="PH81" s="47">
        <v>2</v>
      </c>
      <c r="PI81" s="45"/>
      <c r="PJ81" s="46">
        <v>0</v>
      </c>
      <c r="PK81" s="33">
        <v>80</v>
      </c>
      <c r="PL81" s="44">
        <v>152</v>
      </c>
      <c r="PM81" s="44">
        <v>150</v>
      </c>
      <c r="PN81" s="50">
        <v>-78</v>
      </c>
      <c r="PO81" s="45">
        <v>27.3</v>
      </c>
      <c r="PP81" s="46">
        <v>0</v>
      </c>
      <c r="PQ81" s="44">
        <v>0</v>
      </c>
      <c r="PR81" s="44">
        <v>96</v>
      </c>
      <c r="PS81" s="44">
        <v>100</v>
      </c>
      <c r="PT81" s="47">
        <v>-4</v>
      </c>
      <c r="PU81" s="45"/>
      <c r="PV81" s="46">
        <v>200</v>
      </c>
      <c r="PW81" s="44">
        <v>200</v>
      </c>
      <c r="PX81" s="47">
        <v>0</v>
      </c>
      <c r="PY81" s="45"/>
      <c r="PZ81" s="46">
        <v>0</v>
      </c>
      <c r="QA81" s="44">
        <v>0</v>
      </c>
      <c r="QB81" s="47">
        <v>0</v>
      </c>
      <c r="QC81" s="45"/>
      <c r="QD81" s="46">
        <v>0</v>
      </c>
      <c r="QE81" s="44">
        <v>0</v>
      </c>
      <c r="QF81" s="44">
        <v>48</v>
      </c>
      <c r="QG81" s="44">
        <v>50</v>
      </c>
      <c r="QH81" s="47">
        <v>-2</v>
      </c>
      <c r="QI81" s="45"/>
      <c r="QJ81" s="46">
        <v>0</v>
      </c>
      <c r="QK81" s="44">
        <v>0</v>
      </c>
      <c r="QL81" s="47">
        <v>0</v>
      </c>
      <c r="QM81" s="45"/>
      <c r="QN81" s="46">
        <v>0</v>
      </c>
      <c r="QO81" s="44">
        <v>0</v>
      </c>
      <c r="QP81" s="44">
        <v>0</v>
      </c>
      <c r="QQ81" s="44">
        <v>0</v>
      </c>
      <c r="QR81" s="47">
        <v>0</v>
      </c>
      <c r="QS81" s="45"/>
      <c r="QT81" s="46">
        <v>0</v>
      </c>
      <c r="QU81" s="44">
        <v>0</v>
      </c>
      <c r="QV81" s="47">
        <v>0</v>
      </c>
      <c r="QW81" s="45"/>
      <c r="QX81" s="46">
        <v>0</v>
      </c>
      <c r="QY81" s="44">
        <v>0</v>
      </c>
      <c r="QZ81" s="44">
        <v>40</v>
      </c>
      <c r="RA81" s="44">
        <v>40</v>
      </c>
      <c r="RB81" s="47">
        <v>0</v>
      </c>
      <c r="RC81" s="45"/>
      <c r="RD81" s="42">
        <v>0</v>
      </c>
      <c r="RE81" s="44">
        <v>0</v>
      </c>
      <c r="RF81" s="44">
        <v>80</v>
      </c>
      <c r="RG81" s="44">
        <v>81</v>
      </c>
      <c r="RH81" s="47">
        <v>-1</v>
      </c>
      <c r="RI81" s="45"/>
      <c r="RJ81" s="42">
        <v>48</v>
      </c>
      <c r="RK81" s="47">
        <v>50</v>
      </c>
      <c r="RL81" s="47">
        <v>0</v>
      </c>
      <c r="RM81" s="47">
        <v>0</v>
      </c>
      <c r="RN81" s="47">
        <v>-2</v>
      </c>
      <c r="RO81" s="43"/>
      <c r="RP81" s="42">
        <v>48</v>
      </c>
      <c r="RQ81" s="47">
        <v>50</v>
      </c>
      <c r="RR81" s="47">
        <v>-2</v>
      </c>
      <c r="RS81" s="43"/>
      <c r="RT81" s="42">
        <v>56</v>
      </c>
      <c r="RU81" s="47">
        <v>60</v>
      </c>
      <c r="RV81" s="47">
        <v>72</v>
      </c>
      <c r="RW81" s="47">
        <v>70</v>
      </c>
      <c r="RX81" s="47">
        <v>-2</v>
      </c>
      <c r="RY81" s="43"/>
      <c r="RZ81" s="42">
        <v>32</v>
      </c>
      <c r="SA81" s="47">
        <v>30</v>
      </c>
      <c r="SB81" s="47">
        <v>0</v>
      </c>
      <c r="SC81" s="47">
        <v>0</v>
      </c>
      <c r="SD81" s="47">
        <v>2</v>
      </c>
      <c r="SE81" s="43"/>
      <c r="SF81" s="42">
        <v>56</v>
      </c>
      <c r="SG81" s="47">
        <v>60</v>
      </c>
      <c r="SH81" s="47">
        <v>0</v>
      </c>
      <c r="SI81" s="47">
        <v>100</v>
      </c>
      <c r="SJ81" s="50">
        <v>-104</v>
      </c>
      <c r="SK81" s="43">
        <v>36.4</v>
      </c>
      <c r="SL81" s="42">
        <v>0</v>
      </c>
      <c r="SM81" s="47">
        <v>0</v>
      </c>
      <c r="SN81" s="47">
        <v>0</v>
      </c>
      <c r="SO81" s="43"/>
      <c r="SP81" s="42">
        <v>0</v>
      </c>
      <c r="SQ81" s="47">
        <v>0</v>
      </c>
      <c r="SR81" s="47">
        <v>96</v>
      </c>
      <c r="SS81" s="47">
        <v>99</v>
      </c>
      <c r="ST81" s="47">
        <v>-3</v>
      </c>
      <c r="SU81" s="43"/>
    </row>
    <row r="82" spans="1:515" x14ac:dyDescent="0.25">
      <c r="A82" s="47" t="s">
        <v>389</v>
      </c>
      <c r="B82" s="41">
        <v>1</v>
      </c>
      <c r="J82" s="42"/>
      <c r="K82" s="51"/>
      <c r="L82" s="51"/>
      <c r="M82" s="51"/>
      <c r="N82" s="51">
        <f t="shared" si="12"/>
        <v>0</v>
      </c>
      <c r="O82" s="43"/>
      <c r="P82" s="46"/>
      <c r="Q82" s="51"/>
      <c r="R82" s="51"/>
      <c r="S82" s="51"/>
      <c r="T82" s="51">
        <f t="shared" si="13"/>
        <v>0</v>
      </c>
      <c r="U82" s="43"/>
      <c r="V82" s="42"/>
      <c r="W82" s="51"/>
      <c r="X82" s="51"/>
      <c r="Y82" s="51"/>
      <c r="Z82" s="51">
        <f t="shared" si="14"/>
        <v>0</v>
      </c>
      <c r="AA82" s="43"/>
      <c r="AB82" s="42"/>
      <c r="AC82" s="51"/>
      <c r="AD82" s="51"/>
      <c r="AE82" s="51"/>
      <c r="AF82" s="51">
        <v>0</v>
      </c>
      <c r="AG82" s="43"/>
      <c r="AH82" s="51"/>
      <c r="AL82" s="47">
        <v>0</v>
      </c>
      <c r="AM82" s="43"/>
      <c r="AN82" s="42"/>
      <c r="AR82" s="47">
        <v>0</v>
      </c>
      <c r="AS82" s="43"/>
      <c r="AX82" s="47">
        <v>0</v>
      </c>
      <c r="AY82" s="43"/>
      <c r="BD82" s="47">
        <v>0</v>
      </c>
      <c r="BE82" s="43"/>
      <c r="BF82" s="42"/>
      <c r="BJ82" s="47">
        <v>0</v>
      </c>
      <c r="BK82" s="43"/>
      <c r="BL82" s="42"/>
      <c r="BP82" s="47">
        <v>0</v>
      </c>
      <c r="BQ82" s="43"/>
      <c r="BV82" s="47">
        <v>0</v>
      </c>
      <c r="BW82" s="43"/>
      <c r="BX82" s="42"/>
      <c r="CB82" s="47">
        <v>0</v>
      </c>
      <c r="CC82" s="43"/>
      <c r="CH82" s="47">
        <v>0</v>
      </c>
      <c r="CI82" s="43"/>
      <c r="CN82" s="47">
        <v>0</v>
      </c>
      <c r="CO82" s="43"/>
      <c r="CP82" s="42"/>
      <c r="CT82" s="47">
        <v>0</v>
      </c>
      <c r="CU82" s="43"/>
      <c r="CV82" s="42"/>
      <c r="CZ82" s="47">
        <v>0</v>
      </c>
      <c r="DA82" s="43"/>
      <c r="DG82" s="47">
        <v>0</v>
      </c>
      <c r="DH82" s="43"/>
      <c r="DK82" s="47">
        <v>0</v>
      </c>
      <c r="DL82" s="43"/>
      <c r="DM82" s="42"/>
      <c r="DQ82" s="47">
        <v>0</v>
      </c>
      <c r="DR82" s="43"/>
      <c r="DW82" s="47">
        <v>0</v>
      </c>
      <c r="DX82" s="43"/>
      <c r="EC82" s="47">
        <v>0</v>
      </c>
      <c r="ED82" s="43"/>
      <c r="EE82" s="42"/>
      <c r="EI82" s="47">
        <v>0</v>
      </c>
      <c r="EJ82" s="43"/>
      <c r="EO82" s="47">
        <v>0</v>
      </c>
      <c r="EP82" s="43"/>
      <c r="EQ82" s="42"/>
      <c r="EU82" s="47">
        <v>0</v>
      </c>
      <c r="EV82" s="43"/>
      <c r="EW82" s="42"/>
      <c r="FC82" s="47">
        <v>0</v>
      </c>
      <c r="FD82" s="43"/>
      <c r="FE82" s="42"/>
      <c r="FI82" s="47">
        <v>0</v>
      </c>
      <c r="FJ82" s="43"/>
      <c r="FQ82" s="47">
        <v>0</v>
      </c>
      <c r="FR82" s="43"/>
      <c r="FS82" s="42"/>
      <c r="FW82" s="47">
        <v>0</v>
      </c>
      <c r="FX82" s="43"/>
      <c r="FY82" s="42"/>
      <c r="GC82" s="47">
        <v>0</v>
      </c>
      <c r="GD82" s="43"/>
      <c r="GE82" s="42"/>
      <c r="GI82" s="47">
        <v>0</v>
      </c>
      <c r="GJ82" s="43"/>
      <c r="GQ82" s="47">
        <v>0</v>
      </c>
      <c r="GR82" s="43"/>
      <c r="GX82" s="47">
        <v>0</v>
      </c>
      <c r="GY82" s="43"/>
      <c r="GZ82" s="42"/>
      <c r="HC82" s="47">
        <v>0</v>
      </c>
      <c r="HD82" s="43"/>
      <c r="HE82" s="42"/>
      <c r="HH82" s="47">
        <v>0</v>
      </c>
      <c r="HI82" s="43"/>
      <c r="HN82" s="47">
        <v>0</v>
      </c>
      <c r="HO82" s="43"/>
      <c r="HP82" s="42"/>
      <c r="HU82" s="47">
        <v>0</v>
      </c>
      <c r="HV82" s="43"/>
      <c r="IA82" s="47">
        <v>0</v>
      </c>
      <c r="IB82" s="43"/>
      <c r="IC82" s="42"/>
      <c r="IG82" s="47">
        <v>0</v>
      </c>
      <c r="IH82" s="43"/>
      <c r="IM82" s="47">
        <v>0</v>
      </c>
      <c r="IN82" s="43"/>
      <c r="IO82" s="42"/>
      <c r="IQ82" s="47">
        <v>0</v>
      </c>
      <c r="IR82" s="43"/>
      <c r="IS82" s="42"/>
      <c r="IW82" s="47">
        <v>0</v>
      </c>
      <c r="IX82" s="43"/>
      <c r="IY82" s="42"/>
      <c r="JA82" s="47">
        <v>0</v>
      </c>
      <c r="JB82" s="43"/>
      <c r="JC82" s="42"/>
      <c r="JG82" s="47">
        <v>0</v>
      </c>
      <c r="JH82" s="43"/>
      <c r="JO82" s="47">
        <v>0</v>
      </c>
      <c r="JP82" s="43"/>
      <c r="JQ82" s="42"/>
      <c r="JU82" s="47">
        <v>0</v>
      </c>
      <c r="JV82" s="43"/>
      <c r="KA82" s="47">
        <v>0</v>
      </c>
      <c r="KB82" s="45"/>
      <c r="KG82" s="47">
        <v>0</v>
      </c>
      <c r="KH82" s="45"/>
      <c r="KM82" s="47">
        <v>0</v>
      </c>
      <c r="KN82" s="45"/>
      <c r="KS82" s="47">
        <v>0</v>
      </c>
      <c r="KT82" s="43"/>
      <c r="KW82" s="47">
        <v>0</v>
      </c>
      <c r="KX82" s="45"/>
      <c r="LC82" s="47">
        <v>0</v>
      </c>
      <c r="LD82" s="43"/>
      <c r="LE82" s="46"/>
      <c r="LG82" s="47">
        <v>0</v>
      </c>
      <c r="LH82" s="45"/>
      <c r="LM82" s="47">
        <v>0</v>
      </c>
      <c r="LN82" s="45"/>
      <c r="LS82" s="47">
        <v>0</v>
      </c>
      <c r="LT82" s="45"/>
      <c r="LY82" s="47">
        <v>0</v>
      </c>
      <c r="LZ82" s="45"/>
      <c r="ME82" s="47">
        <v>0</v>
      </c>
      <c r="MF82" s="45"/>
      <c r="MG82" s="46"/>
      <c r="MM82" s="47">
        <v>0</v>
      </c>
      <c r="MN82" s="45"/>
      <c r="MO82" s="44">
        <v>0</v>
      </c>
      <c r="MP82" s="44">
        <v>0</v>
      </c>
      <c r="MQ82" s="44">
        <v>0</v>
      </c>
      <c r="MR82" s="44">
        <v>0</v>
      </c>
      <c r="MS82" s="47">
        <v>0</v>
      </c>
      <c r="MT82" s="45"/>
      <c r="MU82" s="44">
        <v>0</v>
      </c>
      <c r="MV82" s="44">
        <v>0</v>
      </c>
      <c r="MW82" s="44">
        <v>102.563</v>
      </c>
      <c r="MX82" s="44">
        <v>100</v>
      </c>
      <c r="MY82" s="47">
        <v>2.5630000000000019</v>
      </c>
      <c r="MZ82" s="45"/>
      <c r="NA82" s="46">
        <v>254.92699999999999</v>
      </c>
      <c r="NB82" s="44">
        <v>250</v>
      </c>
      <c r="NC82" s="47">
        <v>4.9269999999999916</v>
      </c>
      <c r="ND82" s="45"/>
      <c r="NE82" s="46">
        <v>102.624</v>
      </c>
      <c r="NF82" s="44">
        <v>100</v>
      </c>
      <c r="NG82" s="44">
        <v>102.825</v>
      </c>
      <c r="NH82" s="44">
        <v>0</v>
      </c>
      <c r="NI82" s="44">
        <v>100</v>
      </c>
      <c r="NJ82" s="47">
        <v>5.4490000000000123</v>
      </c>
      <c r="NK82" s="45"/>
      <c r="NL82" s="46">
        <v>154.69300000000001</v>
      </c>
      <c r="NM82" s="44">
        <v>150</v>
      </c>
      <c r="NN82" s="44">
        <v>196.119</v>
      </c>
      <c r="NO82" s="44">
        <v>200</v>
      </c>
      <c r="NP82" s="47">
        <v>0.81200000000001182</v>
      </c>
      <c r="NQ82" s="45"/>
      <c r="NR82" s="46">
        <v>0</v>
      </c>
      <c r="NS82" s="44">
        <v>0</v>
      </c>
      <c r="NT82" s="47">
        <v>0</v>
      </c>
      <c r="NU82" s="45"/>
      <c r="NV82" s="46">
        <v>90.8</v>
      </c>
      <c r="NW82" s="44">
        <v>90</v>
      </c>
      <c r="NX82" s="44">
        <v>171.89699999999999</v>
      </c>
      <c r="NY82" s="44">
        <v>170</v>
      </c>
      <c r="NZ82" s="47">
        <v>2.6970000000000032</v>
      </c>
      <c r="OA82" s="45"/>
      <c r="OB82" s="46">
        <v>450.35899999999998</v>
      </c>
      <c r="OC82" s="44">
        <v>450</v>
      </c>
      <c r="OD82" s="47">
        <v>0.35899999999998039</v>
      </c>
      <c r="OE82" s="45"/>
      <c r="OF82" s="46">
        <v>50.524999999999999</v>
      </c>
      <c r="OG82" s="44">
        <v>50</v>
      </c>
      <c r="OH82" s="44">
        <v>162.524</v>
      </c>
      <c r="OI82" s="44">
        <v>162</v>
      </c>
      <c r="OJ82" s="47">
        <v>1.049000000000007</v>
      </c>
      <c r="OK82" s="45"/>
      <c r="OL82" s="44">
        <v>18.074000000000002</v>
      </c>
      <c r="OM82" s="43">
        <v>-18.074000000000002</v>
      </c>
      <c r="ON82" s="44">
        <v>385.58600000000001</v>
      </c>
      <c r="OO82" s="44">
        <v>400</v>
      </c>
      <c r="OP82" s="50">
        <v>-14.413999999999991</v>
      </c>
      <c r="OQ82" s="45">
        <v>14.413999999999991</v>
      </c>
      <c r="OR82" s="46">
        <v>0</v>
      </c>
      <c r="OS82" s="44">
        <v>0</v>
      </c>
      <c r="OT82" s="44">
        <v>133.261</v>
      </c>
      <c r="OU82" s="44">
        <v>130</v>
      </c>
      <c r="OV82" s="47">
        <v>3.2609999999999961</v>
      </c>
      <c r="OW82" s="45"/>
      <c r="OX82" s="46">
        <v>0</v>
      </c>
      <c r="OY82" s="33">
        <v>100</v>
      </c>
      <c r="OZ82" s="44">
        <v>102.142</v>
      </c>
      <c r="PA82" s="44">
        <v>100</v>
      </c>
      <c r="PB82" s="50">
        <v>-97.858000000000004</v>
      </c>
      <c r="PC82" s="45">
        <v>97.858000000000004</v>
      </c>
      <c r="PD82" s="46">
        <v>149.971</v>
      </c>
      <c r="PE82" s="44">
        <v>150</v>
      </c>
      <c r="PF82" s="44">
        <v>199.57</v>
      </c>
      <c r="PG82" s="44">
        <v>200</v>
      </c>
      <c r="PH82" s="47">
        <v>-0.45900000000000318</v>
      </c>
      <c r="PI82" s="45"/>
      <c r="PJ82" s="46">
        <v>0</v>
      </c>
      <c r="PK82" s="33">
        <v>80</v>
      </c>
      <c r="PL82" s="44">
        <v>150.05199999999999</v>
      </c>
      <c r="PM82" s="44">
        <v>150</v>
      </c>
      <c r="PN82" s="50">
        <v>-79.948000000000008</v>
      </c>
      <c r="PO82" s="45">
        <v>79.948000000000008</v>
      </c>
      <c r="PP82" s="46">
        <v>102.221</v>
      </c>
      <c r="PQ82" s="44">
        <v>100</v>
      </c>
      <c r="PR82" s="44">
        <v>102.22799999999999</v>
      </c>
      <c r="PS82" s="44">
        <v>100</v>
      </c>
      <c r="PT82" s="47">
        <v>4.4490000000000123</v>
      </c>
      <c r="PU82" s="45"/>
      <c r="PV82" s="46">
        <v>171.28200000000001</v>
      </c>
      <c r="PW82" s="44">
        <v>170</v>
      </c>
      <c r="PX82" s="47">
        <v>1.2820000000000109</v>
      </c>
      <c r="PY82" s="45"/>
      <c r="PZ82" s="46">
        <v>179.08099999999999</v>
      </c>
      <c r="QA82" s="44">
        <v>178</v>
      </c>
      <c r="QB82" s="47">
        <v>1.0809999999999891</v>
      </c>
      <c r="QC82" s="45"/>
      <c r="QD82" s="46">
        <v>0</v>
      </c>
      <c r="QE82" s="44">
        <v>0</v>
      </c>
      <c r="QF82" s="44">
        <v>181.67699999999999</v>
      </c>
      <c r="QG82" s="44">
        <v>180</v>
      </c>
      <c r="QH82" s="47">
        <v>1.6769999999999921</v>
      </c>
      <c r="QI82" s="45"/>
      <c r="QJ82" s="46">
        <v>29.88</v>
      </c>
      <c r="QK82" s="44">
        <v>30</v>
      </c>
      <c r="QL82" s="47">
        <v>-0.12000000000000099</v>
      </c>
      <c r="QM82" s="45"/>
      <c r="QN82" s="46">
        <v>210.76499999999999</v>
      </c>
      <c r="QO82" s="44">
        <v>210</v>
      </c>
      <c r="QP82" s="44">
        <v>180.41499999999999</v>
      </c>
      <c r="QQ82" s="44">
        <v>180</v>
      </c>
      <c r="QR82" s="47">
        <v>1.17999999999995</v>
      </c>
      <c r="QS82" s="45"/>
      <c r="QT82" s="46">
        <v>0</v>
      </c>
      <c r="QU82" s="44">
        <v>0</v>
      </c>
      <c r="QV82" s="47">
        <v>0</v>
      </c>
      <c r="QW82" s="45"/>
      <c r="QX82" s="46">
        <v>0</v>
      </c>
      <c r="QY82" s="44">
        <v>0</v>
      </c>
      <c r="QZ82" s="44">
        <v>69.287000000000006</v>
      </c>
      <c r="RA82" s="44">
        <v>69</v>
      </c>
      <c r="RB82" s="47">
        <v>0.28700000000000608</v>
      </c>
      <c r="RC82" s="45"/>
      <c r="RD82" s="42">
        <v>0</v>
      </c>
      <c r="RE82" s="44">
        <v>0</v>
      </c>
      <c r="RF82" s="44">
        <v>0</v>
      </c>
      <c r="RG82" s="44">
        <v>0</v>
      </c>
      <c r="RH82" s="47">
        <v>0</v>
      </c>
      <c r="RI82" s="45"/>
      <c r="RJ82" s="42">
        <v>102.441</v>
      </c>
      <c r="RK82" s="47">
        <v>100</v>
      </c>
      <c r="RL82" s="47">
        <v>103.313</v>
      </c>
      <c r="RM82" s="47">
        <v>100</v>
      </c>
      <c r="RN82" s="47">
        <v>5.7540000000000191</v>
      </c>
      <c r="RO82" s="43"/>
      <c r="RP82" s="42">
        <v>299.67</v>
      </c>
      <c r="RQ82" s="47">
        <v>300</v>
      </c>
      <c r="RR82" s="47">
        <v>-0.32999999999998408</v>
      </c>
      <c r="RS82" s="43"/>
      <c r="RT82" s="42">
        <v>99.474999999999994</v>
      </c>
      <c r="RU82" s="47">
        <v>98</v>
      </c>
      <c r="RV82" s="47">
        <v>118.321</v>
      </c>
      <c r="RW82" s="47">
        <v>120</v>
      </c>
      <c r="RX82" s="47">
        <v>-0.2040000000000077</v>
      </c>
      <c r="RY82" s="43"/>
      <c r="RZ82" s="42">
        <v>0</v>
      </c>
      <c r="SA82" s="47">
        <v>0</v>
      </c>
      <c r="SB82" s="47">
        <v>0</v>
      </c>
      <c r="SC82" s="47">
        <v>0</v>
      </c>
      <c r="SD82" s="47">
        <v>0</v>
      </c>
      <c r="SE82" s="43"/>
      <c r="SF82" s="42">
        <v>102.59</v>
      </c>
      <c r="SG82" s="47">
        <v>100</v>
      </c>
      <c r="SH82" s="47">
        <v>0</v>
      </c>
      <c r="SI82" s="47">
        <v>100</v>
      </c>
      <c r="SJ82" s="50">
        <v>-97.41</v>
      </c>
      <c r="SK82" s="43">
        <v>97.41</v>
      </c>
      <c r="SL82" s="42">
        <v>230.565</v>
      </c>
      <c r="SM82" s="47">
        <v>230</v>
      </c>
      <c r="SN82" s="47">
        <v>0.56499999999999773</v>
      </c>
      <c r="SO82" s="43"/>
      <c r="SP82" s="42">
        <v>0</v>
      </c>
      <c r="SQ82" s="47">
        <v>0</v>
      </c>
      <c r="SR82" s="47">
        <v>0</v>
      </c>
      <c r="SS82" s="47">
        <v>0</v>
      </c>
      <c r="ST82" s="47">
        <v>0</v>
      </c>
      <c r="SU82" s="43"/>
    </row>
    <row r="83" spans="1:515" x14ac:dyDescent="0.25">
      <c r="A83" s="47" t="s">
        <v>390</v>
      </c>
      <c r="B83" s="41">
        <v>1</v>
      </c>
      <c r="E83">
        <v>30</v>
      </c>
      <c r="J83" s="40">
        <v>135</v>
      </c>
      <c r="K83" s="52">
        <v>129</v>
      </c>
      <c r="L83" s="52">
        <v>108</v>
      </c>
      <c r="M83" s="52">
        <v>106</v>
      </c>
      <c r="N83" s="51">
        <f t="shared" si="12"/>
        <v>8</v>
      </c>
      <c r="O83" s="43"/>
      <c r="P83" s="40">
        <v>201</v>
      </c>
      <c r="Q83" s="52">
        <v>197</v>
      </c>
      <c r="R83" s="52">
        <v>174</v>
      </c>
      <c r="S83" s="52">
        <v>169</v>
      </c>
      <c r="T83" s="51">
        <f t="shared" si="13"/>
        <v>9</v>
      </c>
      <c r="U83" s="43"/>
      <c r="V83" s="42"/>
      <c r="W83" s="51"/>
      <c r="X83" s="51"/>
      <c r="Y83" s="51"/>
      <c r="Z83" s="51">
        <f t="shared" si="14"/>
        <v>0</v>
      </c>
      <c r="AA83" s="43"/>
      <c r="AB83" s="42"/>
      <c r="AC83" s="51"/>
      <c r="AD83" s="51"/>
      <c r="AE83" s="51"/>
      <c r="AF83" s="51">
        <v>0</v>
      </c>
      <c r="AG83" s="43"/>
      <c r="AH83" s="52">
        <v>223</v>
      </c>
      <c r="AI83">
        <v>214</v>
      </c>
      <c r="AJ83">
        <v>179</v>
      </c>
      <c r="AK83">
        <v>172</v>
      </c>
      <c r="AL83" s="47">
        <v>16</v>
      </c>
      <c r="AM83" s="43"/>
      <c r="AN83" s="40">
        <v>37</v>
      </c>
      <c r="AO83">
        <v>38</v>
      </c>
      <c r="AR83" s="47">
        <v>-1</v>
      </c>
      <c r="AS83" s="43"/>
      <c r="AT83">
        <v>82</v>
      </c>
      <c r="AU83">
        <v>80</v>
      </c>
      <c r="AV83">
        <v>31</v>
      </c>
      <c r="AW83">
        <v>32</v>
      </c>
      <c r="AX83" s="47">
        <v>1</v>
      </c>
      <c r="AY83" s="43"/>
      <c r="AZ83">
        <v>158</v>
      </c>
      <c r="BA83">
        <v>150</v>
      </c>
      <c r="BB83">
        <v>173</v>
      </c>
      <c r="BC83">
        <v>164</v>
      </c>
      <c r="BD83" s="47">
        <v>17</v>
      </c>
      <c r="BE83" s="43"/>
      <c r="BF83" s="40">
        <v>93</v>
      </c>
      <c r="BG83">
        <v>90</v>
      </c>
      <c r="BH83">
        <v>108</v>
      </c>
      <c r="BI83">
        <v>104</v>
      </c>
      <c r="BJ83" s="47">
        <v>7</v>
      </c>
      <c r="BK83" s="43"/>
      <c r="BL83" s="40">
        <v>75</v>
      </c>
      <c r="BM83">
        <v>70</v>
      </c>
      <c r="BN83">
        <v>85</v>
      </c>
      <c r="BO83">
        <v>80</v>
      </c>
      <c r="BP83" s="47">
        <v>10</v>
      </c>
      <c r="BQ83" s="43"/>
      <c r="BV83" s="47">
        <v>0</v>
      </c>
      <c r="BW83" s="43"/>
      <c r="BX83" s="40">
        <v>124</v>
      </c>
      <c r="BY83">
        <v>120</v>
      </c>
      <c r="BZ83">
        <v>201</v>
      </c>
      <c r="CA83">
        <v>193</v>
      </c>
      <c r="CB83" s="47">
        <v>12</v>
      </c>
      <c r="CC83" s="43"/>
      <c r="CD83">
        <v>93</v>
      </c>
      <c r="CE83">
        <v>90</v>
      </c>
      <c r="CF83">
        <v>97</v>
      </c>
      <c r="CG83">
        <v>92</v>
      </c>
      <c r="CH83" s="47">
        <v>8</v>
      </c>
      <c r="CI83" s="43"/>
      <c r="CJ83">
        <v>31</v>
      </c>
      <c r="CK83">
        <v>30</v>
      </c>
      <c r="CN83" s="47">
        <v>1</v>
      </c>
      <c r="CO83" s="43"/>
      <c r="CP83" s="40">
        <v>62</v>
      </c>
      <c r="CQ83">
        <v>60</v>
      </c>
      <c r="CR83">
        <v>106</v>
      </c>
      <c r="CS83">
        <v>100</v>
      </c>
      <c r="CT83" s="47">
        <v>8</v>
      </c>
      <c r="CU83" s="43"/>
      <c r="CV83" s="40">
        <v>53</v>
      </c>
      <c r="CW83">
        <v>50</v>
      </c>
      <c r="CX83">
        <v>64</v>
      </c>
      <c r="CY83">
        <v>63</v>
      </c>
      <c r="CZ83" s="47">
        <v>4</v>
      </c>
      <c r="DA83" s="43"/>
      <c r="DB83">
        <v>186</v>
      </c>
      <c r="DC83">
        <v>180</v>
      </c>
      <c r="DE83">
        <v>199</v>
      </c>
      <c r="DF83">
        <v>190</v>
      </c>
      <c r="DG83" s="47">
        <v>15</v>
      </c>
      <c r="DH83" s="43"/>
      <c r="DK83" s="47">
        <v>0</v>
      </c>
      <c r="DL83" s="43"/>
      <c r="DM83" s="40">
        <v>139</v>
      </c>
      <c r="DN83">
        <v>135</v>
      </c>
      <c r="DO83">
        <v>210</v>
      </c>
      <c r="DP83">
        <v>204</v>
      </c>
      <c r="DQ83" s="47">
        <v>10</v>
      </c>
      <c r="DR83" s="43"/>
      <c r="DU83">
        <v>117</v>
      </c>
      <c r="DV83">
        <v>112</v>
      </c>
      <c r="DW83" s="47">
        <v>5</v>
      </c>
      <c r="DX83" s="43"/>
      <c r="DY83">
        <v>52</v>
      </c>
      <c r="DZ83">
        <v>50</v>
      </c>
      <c r="EA83">
        <v>182</v>
      </c>
      <c r="EB83">
        <v>176</v>
      </c>
      <c r="EC83" s="47">
        <v>8</v>
      </c>
      <c r="ED83" s="43"/>
      <c r="EE83" s="42"/>
      <c r="EG83">
        <v>138</v>
      </c>
      <c r="EH83">
        <v>130</v>
      </c>
      <c r="EI83" s="47">
        <v>8</v>
      </c>
      <c r="EJ83" s="43"/>
      <c r="EM83">
        <v>279</v>
      </c>
      <c r="EN83">
        <v>269</v>
      </c>
      <c r="EO83" s="47">
        <v>10</v>
      </c>
      <c r="EP83" s="43"/>
      <c r="EQ83" s="42"/>
      <c r="ES83">
        <v>97</v>
      </c>
      <c r="ET83">
        <v>91</v>
      </c>
      <c r="EU83" s="47">
        <v>6</v>
      </c>
      <c r="EV83" s="43"/>
      <c r="EW83" s="42"/>
      <c r="FA83">
        <v>115</v>
      </c>
      <c r="FB83">
        <v>110</v>
      </c>
      <c r="FC83" s="47">
        <v>5</v>
      </c>
      <c r="FD83" s="43"/>
      <c r="FE83" s="40">
        <v>170</v>
      </c>
      <c r="FF83">
        <v>160</v>
      </c>
      <c r="FG83">
        <v>125</v>
      </c>
      <c r="FH83">
        <v>120</v>
      </c>
      <c r="FI83" s="47">
        <v>15</v>
      </c>
      <c r="FJ83" s="43"/>
      <c r="FK83">
        <v>106</v>
      </c>
      <c r="FL83">
        <v>100</v>
      </c>
      <c r="FM83">
        <v>261</v>
      </c>
      <c r="FN83">
        <v>250</v>
      </c>
      <c r="FQ83" s="47">
        <v>17</v>
      </c>
      <c r="FR83" s="43"/>
      <c r="FS83" s="42"/>
      <c r="FU83">
        <v>241</v>
      </c>
      <c r="FV83">
        <v>230</v>
      </c>
      <c r="FW83" s="47">
        <v>11</v>
      </c>
      <c r="FX83" s="43"/>
      <c r="FY83" s="42"/>
      <c r="GA83">
        <v>31</v>
      </c>
      <c r="GB83">
        <v>30</v>
      </c>
      <c r="GC83" s="47">
        <v>1</v>
      </c>
      <c r="GD83" s="43"/>
      <c r="GE83" s="40">
        <v>170</v>
      </c>
      <c r="GF83">
        <v>160</v>
      </c>
      <c r="GG83">
        <v>177</v>
      </c>
      <c r="GH83">
        <v>170</v>
      </c>
      <c r="GI83" s="47">
        <v>17</v>
      </c>
      <c r="GJ83" s="43"/>
      <c r="GK83">
        <v>106</v>
      </c>
      <c r="GL83">
        <v>100</v>
      </c>
      <c r="GM83">
        <v>106</v>
      </c>
      <c r="GN83">
        <v>100</v>
      </c>
      <c r="GO83">
        <v>155</v>
      </c>
      <c r="GP83">
        <v>150</v>
      </c>
      <c r="GQ83" s="47">
        <v>17</v>
      </c>
      <c r="GR83" s="43"/>
      <c r="GU83">
        <v>242</v>
      </c>
      <c r="GW83">
        <v>220</v>
      </c>
      <c r="GX83" s="47">
        <v>22</v>
      </c>
      <c r="GY83" s="43"/>
      <c r="GZ83" s="40">
        <v>88</v>
      </c>
      <c r="HB83" s="44">
        <v>83.617999999999938</v>
      </c>
      <c r="HC83" s="47">
        <v>4.3820000000000618</v>
      </c>
      <c r="HD83" s="43"/>
      <c r="HE83" s="42"/>
      <c r="HH83" s="47">
        <v>0</v>
      </c>
      <c r="HI83" s="43"/>
      <c r="HJ83">
        <v>261</v>
      </c>
      <c r="HM83">
        <v>250</v>
      </c>
      <c r="HN83" s="47">
        <v>11</v>
      </c>
      <c r="HO83" s="43"/>
      <c r="HP83" s="40">
        <v>115</v>
      </c>
      <c r="HR83">
        <v>110</v>
      </c>
      <c r="HS83">
        <v>114</v>
      </c>
      <c r="HT83">
        <v>110</v>
      </c>
      <c r="HU83" s="47">
        <v>9</v>
      </c>
      <c r="HV83" s="43"/>
      <c r="HY83">
        <v>21</v>
      </c>
      <c r="HZ83">
        <v>20</v>
      </c>
      <c r="IA83" s="47">
        <v>1</v>
      </c>
      <c r="IB83" s="43"/>
      <c r="IC83" s="40">
        <v>155</v>
      </c>
      <c r="ID83">
        <v>150</v>
      </c>
      <c r="IE83">
        <v>189</v>
      </c>
      <c r="IF83">
        <v>180</v>
      </c>
      <c r="IG83" s="47">
        <v>14</v>
      </c>
      <c r="IH83" s="43"/>
      <c r="II83">
        <v>153</v>
      </c>
      <c r="IJ83">
        <v>150</v>
      </c>
      <c r="IK83">
        <v>176</v>
      </c>
      <c r="IL83">
        <v>170</v>
      </c>
      <c r="IM83" s="47">
        <v>9</v>
      </c>
      <c r="IN83" s="43"/>
      <c r="IO83" s="40">
        <v>37</v>
      </c>
      <c r="IP83" s="44">
        <v>36.031799999999997</v>
      </c>
      <c r="IQ83" s="47">
        <v>0.96820000000000306</v>
      </c>
      <c r="IR83" s="43"/>
      <c r="IS83" s="40">
        <v>209</v>
      </c>
      <c r="IT83">
        <v>200</v>
      </c>
      <c r="IU83">
        <v>241</v>
      </c>
      <c r="IV83">
        <v>230</v>
      </c>
      <c r="IW83" s="47">
        <v>20</v>
      </c>
      <c r="IX83" s="43"/>
      <c r="IY83" s="42"/>
      <c r="JA83" s="47">
        <v>0</v>
      </c>
      <c r="JB83" s="43"/>
      <c r="JC83" s="40">
        <v>106</v>
      </c>
      <c r="JD83">
        <v>100</v>
      </c>
      <c r="JE83">
        <v>105</v>
      </c>
      <c r="JF83">
        <v>100</v>
      </c>
      <c r="JG83" s="47">
        <v>11</v>
      </c>
      <c r="JH83" s="43"/>
      <c r="JM83">
        <v>315</v>
      </c>
      <c r="JN83">
        <v>320</v>
      </c>
      <c r="JO83" s="50">
        <v>-5</v>
      </c>
      <c r="JP83" s="43">
        <v>5</v>
      </c>
      <c r="JQ83" s="40">
        <v>112</v>
      </c>
      <c r="JR83">
        <v>110</v>
      </c>
      <c r="JS83">
        <v>79</v>
      </c>
      <c r="JT83">
        <v>80</v>
      </c>
      <c r="JU83" s="47">
        <v>1</v>
      </c>
      <c r="JV83" s="43"/>
      <c r="JY83">
        <v>149</v>
      </c>
      <c r="JZ83">
        <v>150</v>
      </c>
      <c r="KA83" s="47">
        <v>-1</v>
      </c>
      <c r="KB83" s="45"/>
      <c r="KC83">
        <v>101</v>
      </c>
      <c r="KD83">
        <v>100</v>
      </c>
      <c r="KE83">
        <v>189</v>
      </c>
      <c r="KF83">
        <v>190</v>
      </c>
      <c r="KG83" s="47">
        <v>0</v>
      </c>
      <c r="KH83" s="45"/>
      <c r="KI83">
        <v>101</v>
      </c>
      <c r="KJ83">
        <v>100</v>
      </c>
      <c r="KK83">
        <v>73</v>
      </c>
      <c r="KL83">
        <v>70</v>
      </c>
      <c r="KM83" s="47">
        <v>4</v>
      </c>
      <c r="KN83" s="45"/>
      <c r="KO83">
        <v>258</v>
      </c>
      <c r="KP83">
        <v>260</v>
      </c>
      <c r="KQ83">
        <v>231</v>
      </c>
      <c r="KR83">
        <v>230</v>
      </c>
      <c r="KS83" s="47">
        <v>-1</v>
      </c>
      <c r="KT83" s="43"/>
      <c r="KW83" s="47">
        <v>0</v>
      </c>
      <c r="KX83" s="45"/>
      <c r="KY83">
        <v>130</v>
      </c>
      <c r="KZ83">
        <v>130</v>
      </c>
      <c r="LA83">
        <v>103</v>
      </c>
      <c r="LB83">
        <v>104</v>
      </c>
      <c r="LC83" s="47">
        <v>-1</v>
      </c>
      <c r="LD83" s="43"/>
      <c r="LE83" s="46"/>
      <c r="LG83" s="47">
        <v>0</v>
      </c>
      <c r="LH83" s="45"/>
      <c r="LM83" s="47">
        <v>0</v>
      </c>
      <c r="LN83" s="45"/>
      <c r="LO83">
        <v>199</v>
      </c>
      <c r="LP83">
        <v>200</v>
      </c>
      <c r="LQ83">
        <v>291</v>
      </c>
      <c r="LR83">
        <v>300</v>
      </c>
      <c r="LS83" s="50">
        <v>-10</v>
      </c>
      <c r="LT83" s="45">
        <v>10</v>
      </c>
      <c r="LY83" s="47">
        <v>0</v>
      </c>
      <c r="LZ83" s="45"/>
      <c r="ME83" s="47">
        <v>0</v>
      </c>
      <c r="MF83" s="45"/>
      <c r="MG83" s="40">
        <v>82</v>
      </c>
      <c r="MH83">
        <v>80</v>
      </c>
      <c r="MI83">
        <v>102</v>
      </c>
      <c r="MJ83">
        <v>100</v>
      </c>
      <c r="MK83">
        <v>85</v>
      </c>
      <c r="ML83">
        <v>82</v>
      </c>
      <c r="MM83" s="47">
        <v>7</v>
      </c>
      <c r="MN83" s="45"/>
      <c r="MO83" s="44">
        <v>0</v>
      </c>
      <c r="MP83" s="44">
        <v>0</v>
      </c>
      <c r="MQ83" s="44">
        <v>94.778000000000006</v>
      </c>
      <c r="MR83" s="44">
        <v>94</v>
      </c>
      <c r="MS83" s="47">
        <v>0.7780000000000058</v>
      </c>
      <c r="MT83" s="45"/>
      <c r="MZ83" s="45"/>
      <c r="NA83" s="46"/>
      <c r="ND83" s="45"/>
      <c r="NE83" s="46"/>
      <c r="NK83" s="45"/>
      <c r="NL83" s="46"/>
      <c r="NQ83" s="45"/>
      <c r="NR83" s="46"/>
      <c r="NU83" s="45"/>
      <c r="NV83" s="46"/>
      <c r="OA83" s="45"/>
      <c r="OB83" s="46"/>
      <c r="OE83" s="45"/>
      <c r="OF83" s="46"/>
      <c r="OK83" s="45"/>
      <c r="OM83" s="43"/>
      <c r="OQ83" s="45"/>
      <c r="OR83" s="46"/>
      <c r="OW83" s="45"/>
      <c r="OX83" s="46"/>
      <c r="PC83" s="45"/>
      <c r="PD83" s="46"/>
      <c r="PI83" s="45"/>
      <c r="PJ83" s="46"/>
      <c r="PO83" s="45"/>
      <c r="PP83" s="46"/>
      <c r="PU83" s="45"/>
      <c r="PV83" s="46"/>
      <c r="PY83" s="45"/>
      <c r="PZ83" s="46"/>
      <c r="QC83" s="45"/>
      <c r="QD83" s="46"/>
      <c r="QI83" s="45"/>
      <c r="QJ83" s="46"/>
      <c r="QM83" s="45"/>
      <c r="QN83" s="46"/>
      <c r="QS83" s="45"/>
      <c r="QT83" s="46"/>
      <c r="QW83" s="45"/>
      <c r="QX83" s="46"/>
      <c r="RC83" s="45"/>
      <c r="RD83" s="42"/>
      <c r="RE83" s="44"/>
      <c r="RG83" s="44"/>
      <c r="RI83" s="45"/>
      <c r="RJ83" s="42"/>
      <c r="RO83" s="43"/>
      <c r="RP83" s="42"/>
      <c r="RS83" s="43"/>
      <c r="RT83" s="42"/>
      <c r="RY83" s="43"/>
      <c r="RZ83" s="42"/>
      <c r="SE83" s="43"/>
      <c r="SF83" s="42"/>
      <c r="SK83" s="43"/>
      <c r="SL83" s="42"/>
      <c r="SO83" s="43"/>
      <c r="SP83" s="42"/>
      <c r="SU83" s="43"/>
    </row>
    <row r="84" spans="1:515" x14ac:dyDescent="0.25">
      <c r="A84" s="47" t="s">
        <v>391</v>
      </c>
      <c r="B84" s="41">
        <v>0.4</v>
      </c>
      <c r="J84" s="42"/>
      <c r="K84" s="51"/>
      <c r="L84" s="51"/>
      <c r="M84" s="51"/>
      <c r="N84" s="51">
        <f t="shared" si="12"/>
        <v>0</v>
      </c>
      <c r="O84" s="43"/>
      <c r="P84" s="46"/>
      <c r="Q84" s="51"/>
      <c r="R84" s="51"/>
      <c r="S84" s="51"/>
      <c r="T84" s="51">
        <f t="shared" si="13"/>
        <v>0</v>
      </c>
      <c r="U84" s="43"/>
      <c r="V84" s="42"/>
      <c r="W84" s="51"/>
      <c r="X84" s="51"/>
      <c r="Y84" s="51"/>
      <c r="Z84" s="51">
        <f t="shared" si="14"/>
        <v>0</v>
      </c>
      <c r="AA84" s="43"/>
      <c r="AB84" s="42"/>
      <c r="AC84" s="51"/>
      <c r="AD84" s="51"/>
      <c r="AE84" s="51"/>
      <c r="AF84" s="51">
        <v>0</v>
      </c>
      <c r="AG84" s="43"/>
      <c r="AH84" s="51"/>
      <c r="AL84" s="47">
        <v>0</v>
      </c>
      <c r="AM84" s="43"/>
      <c r="AN84" s="42"/>
      <c r="AR84" s="47">
        <v>0</v>
      </c>
      <c r="AS84" s="43"/>
      <c r="AX84" s="47">
        <v>0</v>
      </c>
      <c r="AY84" s="43"/>
      <c r="BD84" s="47">
        <v>0</v>
      </c>
      <c r="BE84" s="43"/>
      <c r="BF84" s="42"/>
      <c r="BH84">
        <v>42</v>
      </c>
      <c r="BI84">
        <v>45</v>
      </c>
      <c r="BJ84" s="47">
        <v>-3</v>
      </c>
      <c r="BK84" s="43"/>
      <c r="BL84" s="42"/>
      <c r="BO84">
        <v>30</v>
      </c>
      <c r="BP84" s="50">
        <v>-30</v>
      </c>
      <c r="BQ84" s="43">
        <v>12</v>
      </c>
      <c r="BV84" s="47">
        <v>0</v>
      </c>
      <c r="BW84" s="43"/>
      <c r="BX84" s="42"/>
      <c r="BZ84">
        <v>48</v>
      </c>
      <c r="CA84">
        <v>49</v>
      </c>
      <c r="CB84" s="47">
        <v>-1</v>
      </c>
      <c r="CC84" s="43"/>
      <c r="CH84" s="47">
        <v>0</v>
      </c>
      <c r="CI84" s="43"/>
      <c r="CN84" s="47">
        <v>0</v>
      </c>
      <c r="CO84" s="43"/>
      <c r="CP84" s="42"/>
      <c r="CT84" s="47">
        <v>0</v>
      </c>
      <c r="CU84" s="43"/>
      <c r="CV84" s="42"/>
      <c r="CZ84" s="47">
        <v>0</v>
      </c>
      <c r="DA84" s="43"/>
      <c r="DE84">
        <v>24</v>
      </c>
      <c r="DF84">
        <v>23</v>
      </c>
      <c r="DG84" s="47">
        <v>1</v>
      </c>
      <c r="DH84" s="43"/>
      <c r="DK84" s="47">
        <v>0</v>
      </c>
      <c r="DL84" s="43"/>
      <c r="DM84" s="42"/>
      <c r="DO84">
        <v>84</v>
      </c>
      <c r="DP84">
        <v>87</v>
      </c>
      <c r="DQ84" s="47">
        <v>-3</v>
      </c>
      <c r="DR84" s="43"/>
      <c r="DU84">
        <v>66</v>
      </c>
      <c r="DV84">
        <v>65</v>
      </c>
      <c r="DW84" s="47">
        <v>1</v>
      </c>
      <c r="DX84" s="43"/>
      <c r="EC84" s="47">
        <v>0</v>
      </c>
      <c r="ED84" s="43"/>
      <c r="EE84" s="42"/>
      <c r="EG84" s="47">
        <v>150</v>
      </c>
      <c r="EH84" s="47">
        <v>150</v>
      </c>
      <c r="EI84" s="47">
        <v>0</v>
      </c>
      <c r="EJ84" s="43"/>
      <c r="EO84" s="47">
        <v>0</v>
      </c>
      <c r="EP84" s="43"/>
      <c r="EQ84" s="42"/>
      <c r="EU84" s="47">
        <v>0</v>
      </c>
      <c r="EV84" s="43"/>
      <c r="EW84" s="42"/>
      <c r="FC84" s="47">
        <v>0</v>
      </c>
      <c r="FD84" s="43"/>
      <c r="FE84" s="42"/>
      <c r="FI84" s="47">
        <v>0</v>
      </c>
      <c r="FJ84" s="43"/>
      <c r="FQ84" s="47">
        <v>0</v>
      </c>
      <c r="FR84" s="43"/>
      <c r="FS84" s="42"/>
      <c r="FW84" s="47">
        <v>0</v>
      </c>
      <c r="FX84" s="43"/>
      <c r="FY84" s="42"/>
      <c r="GC84" s="47">
        <v>0</v>
      </c>
      <c r="GD84" s="43"/>
      <c r="GE84" s="42"/>
      <c r="GI84" s="47">
        <v>0</v>
      </c>
      <c r="GJ84" s="43"/>
      <c r="GQ84" s="47">
        <v>0</v>
      </c>
      <c r="GR84" s="43"/>
      <c r="GX84" s="47">
        <v>0</v>
      </c>
      <c r="GY84" s="43"/>
      <c r="GZ84" s="42"/>
      <c r="HC84" s="47">
        <v>0</v>
      </c>
      <c r="HD84" s="43"/>
      <c r="HE84" s="42"/>
      <c r="HH84" s="47">
        <v>0</v>
      </c>
      <c r="HI84" s="43"/>
      <c r="HN84" s="47">
        <v>0</v>
      </c>
      <c r="HO84" s="43"/>
      <c r="HP84" s="42"/>
      <c r="HU84" s="47">
        <v>0</v>
      </c>
      <c r="HV84" s="43"/>
      <c r="IA84" s="47">
        <v>0</v>
      </c>
      <c r="IB84" s="43"/>
      <c r="IC84" s="42"/>
      <c r="IG84" s="47">
        <v>0</v>
      </c>
      <c r="IH84" s="43"/>
      <c r="IM84" s="47">
        <v>0</v>
      </c>
      <c r="IN84" s="43"/>
      <c r="IO84" s="42"/>
      <c r="IQ84" s="47">
        <v>0</v>
      </c>
      <c r="IR84" s="43"/>
      <c r="IS84" s="42"/>
      <c r="IW84" s="47">
        <v>0</v>
      </c>
      <c r="IX84" s="43"/>
      <c r="IY84" s="42"/>
      <c r="JA84" s="47">
        <v>0</v>
      </c>
      <c r="JB84" s="43"/>
      <c r="JC84" s="42"/>
      <c r="JG84" s="47">
        <v>0</v>
      </c>
      <c r="JH84" s="43"/>
      <c r="JO84" s="47">
        <v>0</v>
      </c>
      <c r="JP84" s="43"/>
      <c r="JQ84" s="42"/>
      <c r="JU84" s="47">
        <v>0</v>
      </c>
      <c r="JV84" s="43"/>
      <c r="KA84" s="47">
        <v>0</v>
      </c>
      <c r="KB84" s="45"/>
      <c r="KG84" s="47">
        <v>0</v>
      </c>
      <c r="KH84" s="45"/>
      <c r="KM84" s="47">
        <v>0</v>
      </c>
      <c r="KN84" s="45"/>
      <c r="KS84" s="47">
        <v>0</v>
      </c>
      <c r="KT84" s="43"/>
      <c r="KW84" s="47">
        <v>0</v>
      </c>
      <c r="KX84" s="45"/>
      <c r="LC84" s="47">
        <v>0</v>
      </c>
      <c r="LD84" s="43"/>
      <c r="LE84" s="46"/>
      <c r="LG84" s="47">
        <v>0</v>
      </c>
      <c r="LH84" s="45"/>
      <c r="LM84" s="47">
        <v>0</v>
      </c>
      <c r="LN84" s="45"/>
      <c r="LS84" s="47">
        <v>0</v>
      </c>
      <c r="LT84" s="45"/>
      <c r="LY84" s="47">
        <v>0</v>
      </c>
      <c r="LZ84" s="45"/>
      <c r="ME84" s="47">
        <v>0</v>
      </c>
      <c r="MF84" s="45"/>
      <c r="MG84" s="46"/>
      <c r="MM84" s="47">
        <v>0</v>
      </c>
      <c r="MN84" s="45"/>
      <c r="MO84" s="44">
        <v>0</v>
      </c>
      <c r="MP84" s="44">
        <v>0</v>
      </c>
      <c r="MQ84" s="44">
        <v>0</v>
      </c>
      <c r="MR84" s="44">
        <v>0</v>
      </c>
      <c r="MS84" s="47">
        <v>0</v>
      </c>
      <c r="MT84" s="45"/>
      <c r="MU84" s="44">
        <v>0</v>
      </c>
      <c r="MV84" s="44">
        <v>0</v>
      </c>
      <c r="MW84" s="44">
        <v>0</v>
      </c>
      <c r="MX84" s="44">
        <v>0</v>
      </c>
      <c r="MY84" s="47">
        <v>0</v>
      </c>
      <c r="MZ84" s="45"/>
      <c r="NA84" s="46">
        <v>0</v>
      </c>
      <c r="NB84" s="44">
        <v>0</v>
      </c>
      <c r="NC84" s="47">
        <v>0</v>
      </c>
      <c r="ND84" s="45"/>
      <c r="NE84" s="46">
        <v>0</v>
      </c>
      <c r="NF84" s="44">
        <v>0</v>
      </c>
      <c r="NG84" s="44">
        <v>0</v>
      </c>
      <c r="NH84" s="44">
        <v>0</v>
      </c>
      <c r="NI84" s="44">
        <v>0</v>
      </c>
      <c r="NJ84" s="47">
        <v>0</v>
      </c>
      <c r="NK84" s="45"/>
      <c r="NL84" s="46">
        <v>0</v>
      </c>
      <c r="NM84" s="44">
        <v>0</v>
      </c>
      <c r="NN84" s="44">
        <v>0</v>
      </c>
      <c r="NO84" s="44">
        <v>0</v>
      </c>
      <c r="NP84" s="47">
        <v>0</v>
      </c>
      <c r="NQ84" s="45"/>
      <c r="NR84" s="46">
        <v>0</v>
      </c>
      <c r="NS84" s="44">
        <v>0</v>
      </c>
      <c r="NT84" s="47">
        <v>0</v>
      </c>
      <c r="NU84" s="45"/>
      <c r="NV84" s="46">
        <v>0</v>
      </c>
      <c r="NW84" s="44">
        <v>0</v>
      </c>
      <c r="NX84" s="44">
        <v>0</v>
      </c>
      <c r="NY84" s="44">
        <v>0</v>
      </c>
      <c r="NZ84" s="47">
        <v>0</v>
      </c>
      <c r="OA84" s="45"/>
      <c r="OB84" s="46">
        <v>0</v>
      </c>
      <c r="OC84" s="44">
        <v>0</v>
      </c>
      <c r="OD84" s="47">
        <v>0</v>
      </c>
      <c r="OE84" s="45"/>
      <c r="OF84" s="46">
        <v>0</v>
      </c>
      <c r="OG84" s="44">
        <v>0</v>
      </c>
      <c r="OH84" s="44">
        <v>0</v>
      </c>
      <c r="OI84" s="44">
        <v>0</v>
      </c>
      <c r="OJ84" s="47">
        <v>0</v>
      </c>
      <c r="OK84" s="45"/>
      <c r="OL84" s="44">
        <v>0</v>
      </c>
      <c r="OM84" s="43"/>
      <c r="ON84" s="44">
        <v>0</v>
      </c>
      <c r="OO84" s="44">
        <v>0</v>
      </c>
      <c r="OP84" s="47">
        <v>0</v>
      </c>
      <c r="OQ84" s="45"/>
      <c r="OR84" s="46">
        <v>0</v>
      </c>
      <c r="OS84" s="44">
        <v>0</v>
      </c>
      <c r="OT84" s="44">
        <v>0</v>
      </c>
      <c r="OU84" s="44">
        <v>0</v>
      </c>
      <c r="OV84" s="47">
        <v>0</v>
      </c>
      <c r="OW84" s="45"/>
      <c r="OX84" s="46">
        <v>0</v>
      </c>
      <c r="OY84" s="44">
        <v>0</v>
      </c>
      <c r="OZ84" s="44">
        <v>0</v>
      </c>
      <c r="PA84" s="44">
        <v>0</v>
      </c>
      <c r="PB84" s="47">
        <v>0</v>
      </c>
      <c r="PC84" s="45"/>
      <c r="PD84" s="46">
        <v>0</v>
      </c>
      <c r="PE84" s="44">
        <v>0</v>
      </c>
      <c r="PF84" s="44">
        <v>0</v>
      </c>
      <c r="PG84" s="44">
        <v>0</v>
      </c>
      <c r="PH84" s="47">
        <v>0</v>
      </c>
      <c r="PI84" s="45"/>
      <c r="PJ84" s="46">
        <v>0</v>
      </c>
      <c r="PK84" s="44">
        <v>0</v>
      </c>
      <c r="PL84" s="44">
        <v>0</v>
      </c>
      <c r="PM84" s="44">
        <v>0</v>
      </c>
      <c r="PN84" s="47">
        <v>0</v>
      </c>
      <c r="PO84" s="45"/>
      <c r="PP84" s="46">
        <v>0</v>
      </c>
      <c r="PQ84" s="44">
        <v>0</v>
      </c>
      <c r="PR84" s="44">
        <v>0</v>
      </c>
      <c r="PS84" s="44">
        <v>0</v>
      </c>
      <c r="PT84" s="47">
        <v>0</v>
      </c>
      <c r="PU84" s="45"/>
      <c r="PV84" s="46">
        <v>0</v>
      </c>
      <c r="PW84" s="44">
        <v>0</v>
      </c>
      <c r="PX84" s="47">
        <v>0</v>
      </c>
      <c r="PY84" s="45"/>
      <c r="PZ84" s="46">
        <v>0</v>
      </c>
      <c r="QA84" s="44">
        <v>0</v>
      </c>
      <c r="QB84" s="47">
        <v>0</v>
      </c>
      <c r="QC84" s="45"/>
      <c r="QD84" s="46">
        <v>0</v>
      </c>
      <c r="QE84" s="44">
        <v>0</v>
      </c>
      <c r="QF84" s="44">
        <v>0</v>
      </c>
      <c r="QG84" s="44">
        <v>0</v>
      </c>
      <c r="QH84" s="47">
        <v>0</v>
      </c>
      <c r="QI84" s="45"/>
      <c r="QJ84" s="46">
        <v>0</v>
      </c>
      <c r="QK84" s="44">
        <v>0</v>
      </c>
      <c r="QL84" s="47">
        <v>0</v>
      </c>
      <c r="QM84" s="45"/>
      <c r="QN84" s="46">
        <v>0</v>
      </c>
      <c r="QO84" s="44">
        <v>0</v>
      </c>
      <c r="QP84" s="44">
        <v>0</v>
      </c>
      <c r="QQ84" s="44">
        <v>0</v>
      </c>
      <c r="QR84" s="47">
        <v>0</v>
      </c>
      <c r="QS84" s="45"/>
      <c r="QT84" s="46">
        <v>0</v>
      </c>
      <c r="QU84" s="44">
        <v>0</v>
      </c>
      <c r="QV84" s="47">
        <v>0</v>
      </c>
      <c r="QW84" s="45"/>
      <c r="QX84" s="46">
        <v>0</v>
      </c>
      <c r="QY84" s="44">
        <v>0</v>
      </c>
      <c r="QZ84" s="44">
        <v>0</v>
      </c>
      <c r="RA84" s="44">
        <v>0</v>
      </c>
      <c r="RB84" s="47">
        <v>0</v>
      </c>
      <c r="RC84" s="45"/>
      <c r="RD84" s="42">
        <v>0</v>
      </c>
      <c r="RE84" s="44">
        <v>0</v>
      </c>
      <c r="RF84" s="44">
        <v>0</v>
      </c>
      <c r="RG84" s="44">
        <v>0</v>
      </c>
      <c r="RH84" s="47">
        <v>0</v>
      </c>
      <c r="RI84" s="45"/>
      <c r="RJ84" s="42">
        <v>0</v>
      </c>
      <c r="RK84" s="47">
        <v>0</v>
      </c>
      <c r="RL84" s="47">
        <v>0</v>
      </c>
      <c r="RM84" s="47">
        <v>0</v>
      </c>
      <c r="RN84" s="47">
        <v>0</v>
      </c>
      <c r="RO84" s="43"/>
      <c r="RP84" s="42">
        <v>0</v>
      </c>
      <c r="RQ84" s="47">
        <v>0</v>
      </c>
      <c r="RR84" s="47">
        <v>0</v>
      </c>
      <c r="RS84" s="43"/>
      <c r="RT84" s="42">
        <v>0</v>
      </c>
      <c r="RU84" s="47">
        <v>0</v>
      </c>
      <c r="RV84" s="47">
        <v>0</v>
      </c>
      <c r="RW84" s="47">
        <v>0</v>
      </c>
      <c r="RX84" s="47">
        <v>0</v>
      </c>
      <c r="RY84" s="43"/>
      <c r="RZ84" s="42">
        <v>0</v>
      </c>
      <c r="SA84" s="47">
        <v>0</v>
      </c>
      <c r="SB84" s="47">
        <v>0</v>
      </c>
      <c r="SC84" s="47">
        <v>0</v>
      </c>
      <c r="SD84" s="47">
        <v>0</v>
      </c>
      <c r="SE84" s="43"/>
      <c r="SF84" s="42">
        <v>12</v>
      </c>
      <c r="SG84" s="47">
        <v>15</v>
      </c>
      <c r="SH84" s="47">
        <v>0</v>
      </c>
      <c r="SI84" s="47">
        <v>0</v>
      </c>
      <c r="SJ84" s="47">
        <v>-3</v>
      </c>
      <c r="SK84" s="43"/>
      <c r="SL84" s="42">
        <v>24</v>
      </c>
      <c r="SM84" s="47">
        <v>23</v>
      </c>
      <c r="SN84" s="47">
        <v>1</v>
      </c>
      <c r="SO84" s="43"/>
      <c r="SP84" s="42">
        <v>0</v>
      </c>
      <c r="SQ84" s="47">
        <v>0</v>
      </c>
      <c r="SR84" s="47">
        <v>18</v>
      </c>
      <c r="SS84" s="47">
        <v>17</v>
      </c>
      <c r="ST84" s="47">
        <v>1</v>
      </c>
      <c r="SU84" s="43"/>
    </row>
    <row r="85" spans="1:515" x14ac:dyDescent="0.25">
      <c r="A85" s="47" t="s">
        <v>392</v>
      </c>
      <c r="B85" s="41">
        <v>0.3</v>
      </c>
      <c r="J85" s="40">
        <v>336</v>
      </c>
      <c r="K85" s="52">
        <v>337</v>
      </c>
      <c r="L85" s="52">
        <v>272</v>
      </c>
      <c r="M85" s="52">
        <v>274</v>
      </c>
      <c r="N85" s="51">
        <f t="shared" si="12"/>
        <v>-3</v>
      </c>
      <c r="O85" s="43"/>
      <c r="P85" s="40">
        <v>264</v>
      </c>
      <c r="Q85" s="52">
        <v>269</v>
      </c>
      <c r="R85" s="52">
        <v>224</v>
      </c>
      <c r="S85" s="52">
        <v>231</v>
      </c>
      <c r="T85" s="51">
        <f t="shared" si="13"/>
        <v>-12</v>
      </c>
      <c r="U85" s="43"/>
      <c r="V85" s="40">
        <v>152</v>
      </c>
      <c r="W85" s="52">
        <v>154</v>
      </c>
      <c r="X85" s="52">
        <v>72</v>
      </c>
      <c r="Y85" s="52">
        <v>77</v>
      </c>
      <c r="Z85" s="51">
        <f t="shared" si="14"/>
        <v>-7</v>
      </c>
      <c r="AA85" s="43"/>
      <c r="AB85" s="40">
        <v>144</v>
      </c>
      <c r="AC85" s="56">
        <v>144.3478260869565</v>
      </c>
      <c r="AD85" s="52">
        <v>184</v>
      </c>
      <c r="AE85" s="56">
        <v>187.6521739130435</v>
      </c>
      <c r="AF85" s="51">
        <v>-4</v>
      </c>
      <c r="AG85" s="43"/>
      <c r="AH85" s="52">
        <v>16</v>
      </c>
      <c r="AI85">
        <v>17</v>
      </c>
      <c r="AL85" s="47">
        <v>-1</v>
      </c>
      <c r="AM85" s="43"/>
      <c r="AN85" s="40">
        <v>320</v>
      </c>
      <c r="AO85">
        <v>320</v>
      </c>
      <c r="AP85">
        <v>488</v>
      </c>
      <c r="AQ85">
        <v>489</v>
      </c>
      <c r="AR85" s="47">
        <v>-1</v>
      </c>
      <c r="AS85" s="43"/>
      <c r="AT85">
        <v>120</v>
      </c>
      <c r="AU85">
        <v>124</v>
      </c>
      <c r="AX85" s="47">
        <v>-4</v>
      </c>
      <c r="AY85" s="43"/>
      <c r="AZ85">
        <v>240</v>
      </c>
      <c r="BA85">
        <v>240</v>
      </c>
      <c r="BB85">
        <v>272</v>
      </c>
      <c r="BC85">
        <v>275</v>
      </c>
      <c r="BD85" s="47">
        <v>-3</v>
      </c>
      <c r="BE85" s="43"/>
      <c r="BF85" s="40">
        <v>152</v>
      </c>
      <c r="BG85">
        <v>150</v>
      </c>
      <c r="BH85">
        <v>160</v>
      </c>
      <c r="BI85">
        <v>163</v>
      </c>
      <c r="BJ85" s="47">
        <v>-1</v>
      </c>
      <c r="BK85" s="43"/>
      <c r="BL85" s="42"/>
      <c r="BP85" s="47">
        <v>0</v>
      </c>
      <c r="BQ85" s="43"/>
      <c r="BR85">
        <v>352</v>
      </c>
      <c r="BS85">
        <v>350</v>
      </c>
      <c r="BT85">
        <v>400</v>
      </c>
      <c r="BU85">
        <v>403</v>
      </c>
      <c r="BV85" s="47">
        <v>-1</v>
      </c>
      <c r="BW85" s="43"/>
      <c r="BX85" s="40">
        <v>280</v>
      </c>
      <c r="BY85">
        <v>280</v>
      </c>
      <c r="BZ85">
        <v>336</v>
      </c>
      <c r="CA85">
        <v>334</v>
      </c>
      <c r="CB85" s="47">
        <v>2</v>
      </c>
      <c r="CC85" s="43"/>
      <c r="CH85" s="47">
        <v>0</v>
      </c>
      <c r="CI85" s="43"/>
      <c r="CJ85">
        <v>176</v>
      </c>
      <c r="CK85">
        <v>180</v>
      </c>
      <c r="CL85">
        <v>176</v>
      </c>
      <c r="CM85">
        <v>174</v>
      </c>
      <c r="CN85" s="47">
        <v>-2</v>
      </c>
      <c r="CO85" s="43"/>
      <c r="CP85" s="40">
        <v>296</v>
      </c>
      <c r="CQ85">
        <v>300</v>
      </c>
      <c r="CR85">
        <v>328</v>
      </c>
      <c r="CS85">
        <v>326</v>
      </c>
      <c r="CT85" s="47">
        <v>-2</v>
      </c>
      <c r="CU85" s="43"/>
      <c r="CV85" s="40">
        <v>32</v>
      </c>
      <c r="CW85">
        <v>30</v>
      </c>
      <c r="CX85">
        <v>56</v>
      </c>
      <c r="CY85">
        <v>60</v>
      </c>
      <c r="CZ85" s="47">
        <v>-2</v>
      </c>
      <c r="DA85" s="43"/>
      <c r="DB85">
        <v>296</v>
      </c>
      <c r="DC85">
        <v>300</v>
      </c>
      <c r="DE85">
        <v>304</v>
      </c>
      <c r="DF85">
        <v>303</v>
      </c>
      <c r="DG85" s="47">
        <v>-3</v>
      </c>
      <c r="DH85" s="43"/>
      <c r="DK85" s="47">
        <v>0</v>
      </c>
      <c r="DL85" s="43"/>
      <c r="DM85" s="40">
        <v>112</v>
      </c>
      <c r="DN85">
        <v>110</v>
      </c>
      <c r="DQ85" s="47">
        <v>2</v>
      </c>
      <c r="DR85" s="43"/>
      <c r="DS85">
        <v>296</v>
      </c>
      <c r="DT85">
        <v>300</v>
      </c>
      <c r="DU85">
        <v>440</v>
      </c>
      <c r="DV85">
        <v>439</v>
      </c>
      <c r="DW85" s="47">
        <v>-3</v>
      </c>
      <c r="DX85" s="43"/>
      <c r="EC85" s="47">
        <v>0</v>
      </c>
      <c r="ED85" s="43"/>
      <c r="EE85" s="42"/>
      <c r="EG85">
        <v>120</v>
      </c>
      <c r="EH85">
        <v>120</v>
      </c>
      <c r="EI85" s="47">
        <v>0</v>
      </c>
      <c r="EJ85" s="43"/>
      <c r="EM85">
        <v>640</v>
      </c>
      <c r="EN85">
        <v>638</v>
      </c>
      <c r="EO85" s="47">
        <v>2</v>
      </c>
      <c r="EP85" s="43"/>
      <c r="EQ85" s="42"/>
      <c r="ES85">
        <v>232</v>
      </c>
      <c r="ET85">
        <v>233</v>
      </c>
      <c r="EU85" s="47">
        <v>-1</v>
      </c>
      <c r="EV85" s="43"/>
      <c r="EW85" s="42"/>
      <c r="EY85">
        <v>296</v>
      </c>
      <c r="EZ85">
        <v>300</v>
      </c>
      <c r="FB85">
        <v>246</v>
      </c>
      <c r="FC85" s="50">
        <v>-250</v>
      </c>
      <c r="FD85" s="43">
        <v>75</v>
      </c>
      <c r="FE85" s="40">
        <v>32</v>
      </c>
      <c r="FF85">
        <v>30</v>
      </c>
      <c r="FI85" s="47">
        <v>2</v>
      </c>
      <c r="FJ85" s="43"/>
      <c r="FK85">
        <v>200</v>
      </c>
      <c r="FL85">
        <v>200</v>
      </c>
      <c r="FM85">
        <v>280</v>
      </c>
      <c r="FN85">
        <v>280</v>
      </c>
      <c r="FO85">
        <v>200</v>
      </c>
      <c r="FP85">
        <v>200</v>
      </c>
      <c r="FQ85" s="47">
        <v>0</v>
      </c>
      <c r="FR85" s="43"/>
      <c r="FS85" s="42"/>
      <c r="FW85" s="47">
        <v>0</v>
      </c>
      <c r="FX85" s="43"/>
      <c r="FY85" s="40">
        <v>200</v>
      </c>
      <c r="FZ85">
        <v>200</v>
      </c>
      <c r="GA85">
        <v>248</v>
      </c>
      <c r="GB85">
        <v>250</v>
      </c>
      <c r="GC85" s="47">
        <v>-2</v>
      </c>
      <c r="GD85" s="43"/>
      <c r="GE85" s="40">
        <v>96</v>
      </c>
      <c r="GF85">
        <v>100</v>
      </c>
      <c r="GG85">
        <v>96</v>
      </c>
      <c r="GH85">
        <v>100</v>
      </c>
      <c r="GI85" s="47">
        <v>-8</v>
      </c>
      <c r="GJ85" s="43"/>
      <c r="GM85">
        <v>32</v>
      </c>
      <c r="GN85">
        <v>30</v>
      </c>
      <c r="GO85">
        <v>56</v>
      </c>
      <c r="GP85">
        <v>60</v>
      </c>
      <c r="GQ85" s="47">
        <v>-2</v>
      </c>
      <c r="GR85" s="43"/>
      <c r="GU85">
        <v>296</v>
      </c>
      <c r="GW85">
        <v>300</v>
      </c>
      <c r="GX85" s="47">
        <v>-4</v>
      </c>
      <c r="GY85" s="43"/>
      <c r="GZ85" s="42"/>
      <c r="HC85" s="47">
        <v>0</v>
      </c>
      <c r="HD85" s="43"/>
      <c r="HE85" s="40">
        <v>296</v>
      </c>
      <c r="HG85">
        <v>300</v>
      </c>
      <c r="HH85" s="47">
        <v>-4</v>
      </c>
      <c r="HI85" s="43"/>
      <c r="HJ85">
        <v>40</v>
      </c>
      <c r="HM85">
        <v>40</v>
      </c>
      <c r="HN85" s="47">
        <v>0</v>
      </c>
      <c r="HO85" s="43"/>
      <c r="HP85" s="42"/>
      <c r="HS85">
        <v>48</v>
      </c>
      <c r="HT85" s="47">
        <v>50</v>
      </c>
      <c r="HU85" s="47">
        <v>-2</v>
      </c>
      <c r="HV85" s="43"/>
      <c r="IA85" s="47">
        <v>0</v>
      </c>
      <c r="IB85" s="43"/>
      <c r="IC85" s="42"/>
      <c r="IG85" s="47">
        <v>0</v>
      </c>
      <c r="IH85" s="43"/>
      <c r="IK85" s="44">
        <v>96</v>
      </c>
      <c r="IL85" s="47">
        <v>100</v>
      </c>
      <c r="IM85" s="47">
        <v>-4</v>
      </c>
      <c r="IN85" s="43"/>
      <c r="IO85" s="42"/>
      <c r="IQ85" s="47">
        <v>0</v>
      </c>
      <c r="IR85" s="43"/>
      <c r="IS85" s="42"/>
      <c r="IW85" s="47">
        <v>0</v>
      </c>
      <c r="IX85" s="43"/>
      <c r="IY85" s="42"/>
      <c r="JA85" s="47">
        <v>0</v>
      </c>
      <c r="JB85" s="43"/>
      <c r="JC85" s="42"/>
      <c r="JG85" s="47">
        <v>0</v>
      </c>
      <c r="JH85" s="43"/>
      <c r="JP85" s="43"/>
      <c r="JQ85" s="42"/>
      <c r="JV85" s="43"/>
      <c r="KB85" s="45"/>
      <c r="KH85" s="45"/>
      <c r="KN85" s="45"/>
      <c r="KT85" s="43"/>
      <c r="KX85" s="45"/>
      <c r="LD85" s="43"/>
      <c r="LE85" s="46"/>
      <c r="LH85" s="45"/>
      <c r="LN85" s="45"/>
      <c r="LT85" s="45"/>
      <c r="LZ85" s="45"/>
      <c r="MF85" s="45"/>
      <c r="MG85" s="46"/>
      <c r="MN85" s="45"/>
      <c r="MT85" s="45"/>
      <c r="MZ85" s="45"/>
      <c r="NA85" s="46"/>
      <c r="ND85" s="45"/>
      <c r="NE85" s="46"/>
      <c r="NK85" s="45"/>
      <c r="NL85" s="46"/>
      <c r="NQ85" s="45"/>
      <c r="NR85" s="46"/>
      <c r="NU85" s="45"/>
      <c r="NV85" s="46"/>
      <c r="OA85" s="45"/>
      <c r="OB85" s="46"/>
      <c r="OE85" s="45"/>
      <c r="OF85" s="46"/>
      <c r="OK85" s="45"/>
      <c r="OM85" s="43"/>
      <c r="OQ85" s="45"/>
      <c r="OR85" s="46"/>
      <c r="OT85" s="44"/>
      <c r="OU85" s="44"/>
      <c r="OW85" s="45"/>
      <c r="OX85" s="46"/>
      <c r="OY85" s="44"/>
      <c r="OZ85" s="44"/>
      <c r="PA85" s="44"/>
      <c r="PC85" s="45"/>
      <c r="PD85" s="46"/>
      <c r="PE85" s="44"/>
      <c r="PF85" s="44"/>
      <c r="PG85" s="44"/>
      <c r="PI85" s="45"/>
      <c r="PJ85" s="46"/>
      <c r="PK85" s="44"/>
      <c r="PL85" s="44"/>
      <c r="PM85" s="44"/>
      <c r="PO85" s="45"/>
      <c r="PP85" s="46"/>
      <c r="PQ85" s="44"/>
      <c r="PR85" s="44"/>
      <c r="PS85" s="44"/>
      <c r="PU85" s="45"/>
      <c r="PV85" s="46"/>
      <c r="PW85" s="44"/>
      <c r="PY85" s="45"/>
      <c r="PZ85" s="46"/>
      <c r="QA85" s="44"/>
      <c r="QC85" s="45"/>
      <c r="QD85" s="46"/>
      <c r="QE85" s="44"/>
      <c r="QF85" s="44"/>
      <c r="QG85" s="44"/>
      <c r="QI85" s="45"/>
      <c r="QJ85" s="46"/>
      <c r="QK85" s="44"/>
      <c r="QM85" s="45"/>
      <c r="QN85" s="46"/>
      <c r="QO85" s="44"/>
      <c r="QP85" s="44"/>
      <c r="QQ85" s="44"/>
      <c r="QS85" s="45"/>
      <c r="QT85" s="46"/>
      <c r="QU85" s="44"/>
      <c r="QW85" s="45"/>
      <c r="QX85" s="46"/>
      <c r="QY85" s="44"/>
      <c r="QZ85" s="44"/>
      <c r="RA85" s="44"/>
      <c r="RC85" s="45"/>
      <c r="RD85" s="42"/>
      <c r="RE85" s="44"/>
      <c r="RF85" s="44"/>
      <c r="RG85" s="44"/>
      <c r="RI85" s="45"/>
      <c r="RJ85" s="42"/>
      <c r="RO85" s="43"/>
      <c r="RP85" s="42"/>
      <c r="RS85" s="43"/>
      <c r="RT85" s="42"/>
      <c r="RY85" s="43"/>
      <c r="RZ85" s="42"/>
      <c r="SE85" s="43"/>
      <c r="SF85" s="42"/>
      <c r="SK85" s="43"/>
      <c r="SL85" s="42"/>
      <c r="SO85" s="43"/>
      <c r="SP85" s="42"/>
      <c r="SU85" s="43"/>
    </row>
    <row r="86" spans="1:515" x14ac:dyDescent="0.25">
      <c r="A86" s="47" t="s">
        <v>393</v>
      </c>
      <c r="B86" s="41">
        <v>1</v>
      </c>
      <c r="J86" s="42"/>
      <c r="K86" s="51"/>
      <c r="L86" s="51"/>
      <c r="M86" s="51"/>
      <c r="N86" s="51">
        <f t="shared" si="12"/>
        <v>0</v>
      </c>
      <c r="O86" s="43"/>
      <c r="P86" s="46"/>
      <c r="Q86" s="51"/>
      <c r="R86" s="51"/>
      <c r="S86" s="51"/>
      <c r="T86" s="51">
        <f t="shared" si="13"/>
        <v>0</v>
      </c>
      <c r="U86" s="43"/>
      <c r="V86" s="42"/>
      <c r="W86" s="51"/>
      <c r="X86" s="51"/>
      <c r="Y86" s="51"/>
      <c r="Z86" s="51">
        <f t="shared" si="14"/>
        <v>0</v>
      </c>
      <c r="AA86" s="43"/>
      <c r="AB86" s="42"/>
      <c r="AC86" s="51"/>
      <c r="AD86" s="51"/>
      <c r="AE86" s="51"/>
      <c r="AF86" s="51">
        <v>0</v>
      </c>
      <c r="AG86" s="43"/>
      <c r="AH86" s="51"/>
      <c r="AL86" s="47">
        <v>0</v>
      </c>
      <c r="AM86" s="43"/>
      <c r="AN86" s="42"/>
      <c r="AR86" s="47">
        <v>0</v>
      </c>
      <c r="AS86" s="43"/>
      <c r="AX86" s="47">
        <v>0</v>
      </c>
      <c r="AY86" s="43"/>
      <c r="BD86" s="47">
        <v>0</v>
      </c>
      <c r="BE86" s="43"/>
      <c r="BF86" s="42"/>
      <c r="BJ86" s="47">
        <v>0</v>
      </c>
      <c r="BK86" s="43"/>
      <c r="BL86" s="42"/>
      <c r="BP86" s="47">
        <v>0</v>
      </c>
      <c r="BQ86" s="43"/>
      <c r="BV86" s="47">
        <v>0</v>
      </c>
      <c r="BW86" s="43"/>
      <c r="BX86" s="42"/>
      <c r="CB86" s="47">
        <v>0</v>
      </c>
      <c r="CC86" s="43"/>
      <c r="CH86" s="47">
        <v>0</v>
      </c>
      <c r="CI86" s="43"/>
      <c r="CN86" s="47">
        <v>0</v>
      </c>
      <c r="CO86" s="43"/>
      <c r="CP86" s="42"/>
      <c r="CT86" s="47">
        <v>0</v>
      </c>
      <c r="CU86" s="43"/>
      <c r="CV86" s="42"/>
      <c r="CZ86" s="47">
        <v>0</v>
      </c>
      <c r="DA86" s="43"/>
      <c r="DG86" s="47">
        <v>0</v>
      </c>
      <c r="DH86" s="43"/>
      <c r="DK86" s="47">
        <v>0</v>
      </c>
      <c r="DL86" s="43"/>
      <c r="DM86" s="42"/>
      <c r="DQ86" s="47">
        <v>0</v>
      </c>
      <c r="DR86" s="43"/>
      <c r="DW86" s="47">
        <v>0</v>
      </c>
      <c r="DX86" s="43"/>
      <c r="EC86" s="47">
        <v>0</v>
      </c>
      <c r="ED86" s="43"/>
      <c r="EE86" s="42"/>
      <c r="EI86" s="47">
        <v>0</v>
      </c>
      <c r="EJ86" s="43"/>
      <c r="EO86" s="47">
        <v>0</v>
      </c>
      <c r="EP86" s="43"/>
      <c r="EQ86" s="42"/>
      <c r="ES86">
        <v>7</v>
      </c>
      <c r="ET86">
        <v>4</v>
      </c>
      <c r="EU86" s="47">
        <v>3</v>
      </c>
      <c r="EV86" s="43"/>
      <c r="EW86" s="42"/>
      <c r="FA86">
        <v>7</v>
      </c>
      <c r="FB86">
        <v>4</v>
      </c>
      <c r="FC86" s="47">
        <v>3</v>
      </c>
      <c r="FD86" s="43"/>
      <c r="FE86" s="42"/>
      <c r="FI86" s="47">
        <v>0</v>
      </c>
      <c r="FJ86" s="43"/>
      <c r="FM86">
        <v>7</v>
      </c>
      <c r="FN86">
        <v>4</v>
      </c>
      <c r="FQ86" s="47">
        <v>3</v>
      </c>
      <c r="FR86" s="43"/>
      <c r="FS86" s="42"/>
      <c r="FW86" s="47">
        <v>0</v>
      </c>
      <c r="FX86" s="43"/>
      <c r="FY86" s="42"/>
      <c r="GC86" s="47">
        <v>0</v>
      </c>
      <c r="GD86" s="43"/>
      <c r="GE86" s="42"/>
      <c r="GI86" s="47">
        <v>0</v>
      </c>
      <c r="GJ86" s="43"/>
      <c r="GQ86" s="47">
        <v>0</v>
      </c>
      <c r="GR86" s="43"/>
      <c r="GU86">
        <v>24</v>
      </c>
      <c r="GW86">
        <v>20</v>
      </c>
      <c r="GX86" s="47">
        <v>4</v>
      </c>
      <c r="GY86" s="43"/>
      <c r="GZ86" s="40">
        <v>83</v>
      </c>
      <c r="HB86" s="44">
        <v>75</v>
      </c>
      <c r="HC86" s="47">
        <v>8</v>
      </c>
      <c r="HD86" s="43"/>
      <c r="HE86" s="40">
        <v>38</v>
      </c>
      <c r="HG86" s="47">
        <v>35</v>
      </c>
      <c r="HH86" s="47">
        <v>3</v>
      </c>
      <c r="HI86" s="43"/>
      <c r="HN86" s="47">
        <v>0</v>
      </c>
      <c r="HO86" s="43"/>
      <c r="HP86" s="40">
        <v>35</v>
      </c>
      <c r="HR86" s="47">
        <v>30</v>
      </c>
      <c r="HU86" s="47">
        <v>5</v>
      </c>
      <c r="HV86" s="43"/>
      <c r="IA86" s="47">
        <v>0</v>
      </c>
      <c r="IB86" s="43"/>
      <c r="IC86" s="42"/>
      <c r="IH86" s="43"/>
      <c r="IN86" s="43"/>
      <c r="IO86" s="42"/>
      <c r="IR86" s="43"/>
      <c r="IS86" s="42"/>
      <c r="IX86" s="43"/>
      <c r="IY86" s="42"/>
      <c r="JB86" s="43"/>
      <c r="JC86" s="42"/>
      <c r="JH86" s="43"/>
      <c r="JP86" s="43"/>
      <c r="JQ86" s="42"/>
      <c r="JV86" s="43"/>
      <c r="KB86" s="45"/>
      <c r="KH86" s="45"/>
      <c r="KN86" s="45"/>
      <c r="KT86" s="43"/>
      <c r="KX86" s="45"/>
      <c r="LD86" s="43"/>
      <c r="LE86" s="46"/>
      <c r="LH86" s="45"/>
      <c r="LN86" s="45"/>
      <c r="LT86" s="45"/>
      <c r="LZ86" s="45"/>
      <c r="MF86" s="45"/>
      <c r="MG86" s="46"/>
      <c r="MN86" s="45"/>
      <c r="MT86" s="45"/>
      <c r="MZ86" s="45"/>
      <c r="NA86" s="46"/>
      <c r="ND86" s="45"/>
      <c r="NE86" s="46"/>
      <c r="NK86" s="45"/>
      <c r="NL86" s="46"/>
      <c r="NQ86" s="45"/>
      <c r="NR86" s="46"/>
      <c r="NU86" s="45"/>
      <c r="NV86" s="46"/>
      <c r="OA86" s="45"/>
      <c r="OB86" s="46"/>
      <c r="OE86" s="45"/>
      <c r="OF86" s="46"/>
      <c r="OK86" s="45"/>
      <c r="OM86" s="43"/>
      <c r="OQ86" s="45"/>
      <c r="OR86" s="46"/>
      <c r="OT86" s="44"/>
      <c r="OU86" s="44"/>
      <c r="OW86" s="45"/>
      <c r="OX86" s="46"/>
      <c r="OY86" s="44"/>
      <c r="OZ86" s="44"/>
      <c r="PA86" s="44"/>
      <c r="PC86" s="45"/>
      <c r="PD86" s="46"/>
      <c r="PE86" s="44"/>
      <c r="PF86" s="44"/>
      <c r="PG86" s="44"/>
      <c r="PI86" s="45"/>
      <c r="PJ86" s="46"/>
      <c r="PK86" s="44"/>
      <c r="PL86" s="44"/>
      <c r="PM86" s="44"/>
      <c r="PO86" s="45"/>
      <c r="PP86" s="46"/>
      <c r="PQ86" s="44"/>
      <c r="PR86" s="44"/>
      <c r="PS86" s="44"/>
      <c r="PU86" s="45"/>
      <c r="PV86" s="46"/>
      <c r="PW86" s="44"/>
      <c r="PY86" s="45"/>
      <c r="PZ86" s="46"/>
      <c r="QA86" s="44"/>
      <c r="QC86" s="45"/>
      <c r="QD86" s="46"/>
      <c r="QE86" s="44"/>
      <c r="QF86" s="44"/>
      <c r="QG86" s="44"/>
      <c r="QI86" s="45"/>
      <c r="QJ86" s="46"/>
      <c r="QK86" s="44"/>
      <c r="QM86" s="45"/>
      <c r="QN86" s="46"/>
      <c r="QO86" s="44"/>
      <c r="QP86" s="44"/>
      <c r="QQ86" s="44"/>
      <c r="QS86" s="45"/>
      <c r="QT86" s="46"/>
      <c r="QU86" s="44"/>
      <c r="QW86" s="45"/>
      <c r="QX86" s="46"/>
      <c r="QY86" s="44"/>
      <c r="QZ86" s="44"/>
      <c r="RA86" s="44"/>
      <c r="RC86" s="45"/>
      <c r="RD86" s="42"/>
      <c r="RE86" s="44"/>
      <c r="RF86" s="44"/>
      <c r="RG86" s="44"/>
      <c r="RI86" s="45"/>
      <c r="RJ86" s="42"/>
      <c r="RO86" s="43"/>
      <c r="RP86" s="42"/>
      <c r="RS86" s="43"/>
      <c r="RT86" s="42"/>
      <c r="RY86" s="43"/>
      <c r="RZ86" s="42"/>
      <c r="SE86" s="43"/>
      <c r="SF86" s="42"/>
      <c r="SK86" s="43"/>
      <c r="SL86" s="42"/>
      <c r="SO86" s="43"/>
      <c r="SP86" s="42"/>
      <c r="SU86" s="43"/>
    </row>
    <row r="87" spans="1:515" x14ac:dyDescent="0.25">
      <c r="A87" s="47" t="s">
        <v>394</v>
      </c>
      <c r="B87" s="41">
        <v>1</v>
      </c>
      <c r="J87" s="42"/>
      <c r="K87" s="51"/>
      <c r="L87" s="51"/>
      <c r="M87" s="51"/>
      <c r="N87" s="51">
        <f t="shared" si="12"/>
        <v>0</v>
      </c>
      <c r="O87" s="43"/>
      <c r="P87" s="46"/>
      <c r="Q87" s="51"/>
      <c r="R87" s="51"/>
      <c r="S87" s="51"/>
      <c r="T87" s="51">
        <f t="shared" si="13"/>
        <v>0</v>
      </c>
      <c r="U87" s="43"/>
      <c r="V87" s="42"/>
      <c r="W87" s="51"/>
      <c r="X87" s="51"/>
      <c r="Y87" s="51"/>
      <c r="Z87" s="51">
        <f t="shared" si="14"/>
        <v>0</v>
      </c>
      <c r="AA87" s="43"/>
      <c r="AB87" s="42"/>
      <c r="AC87" s="51"/>
      <c r="AD87" s="51"/>
      <c r="AE87" s="51"/>
      <c r="AF87" s="51">
        <v>0</v>
      </c>
      <c r="AG87" s="43"/>
      <c r="AH87" s="51"/>
      <c r="AL87" s="47">
        <v>0</v>
      </c>
      <c r="AM87" s="43"/>
      <c r="AN87" s="42"/>
      <c r="AR87" s="47">
        <v>0</v>
      </c>
      <c r="AS87" s="43"/>
      <c r="AX87" s="47">
        <v>0</v>
      </c>
      <c r="AY87" s="43"/>
      <c r="BD87" s="47">
        <v>0</v>
      </c>
      <c r="BE87" s="43"/>
      <c r="BF87" s="42"/>
      <c r="BJ87" s="47">
        <v>0</v>
      </c>
      <c r="BK87" s="43"/>
      <c r="BL87" s="42"/>
      <c r="BP87" s="47">
        <v>0</v>
      </c>
      <c r="BQ87" s="43"/>
      <c r="BV87" s="47">
        <v>0</v>
      </c>
      <c r="BW87" s="43"/>
      <c r="BX87" s="42"/>
      <c r="CB87" s="47">
        <v>0</v>
      </c>
      <c r="CC87" s="43"/>
      <c r="CH87" s="47">
        <v>0</v>
      </c>
      <c r="CI87" s="43"/>
      <c r="CN87" s="47">
        <v>0</v>
      </c>
      <c r="CO87" s="43"/>
      <c r="CP87" s="42"/>
      <c r="CT87" s="47">
        <v>0</v>
      </c>
      <c r="CU87" s="43"/>
      <c r="CV87" s="42"/>
      <c r="CZ87" s="47">
        <v>0</v>
      </c>
      <c r="DA87" s="43"/>
      <c r="DG87" s="47">
        <v>0</v>
      </c>
      <c r="DH87" s="43"/>
      <c r="DK87" s="47">
        <v>0</v>
      </c>
      <c r="DL87" s="43"/>
      <c r="DM87" s="42"/>
      <c r="DQ87" s="47">
        <v>0</v>
      </c>
      <c r="DR87" s="43"/>
      <c r="DW87" s="47">
        <v>0</v>
      </c>
      <c r="DX87" s="43"/>
      <c r="EC87" s="47">
        <v>0</v>
      </c>
      <c r="ED87" s="43"/>
      <c r="EE87" s="42"/>
      <c r="EI87" s="47">
        <v>0</v>
      </c>
      <c r="EJ87" s="43"/>
      <c r="EO87" s="47">
        <v>0</v>
      </c>
      <c r="EP87" s="43"/>
      <c r="EQ87" s="42"/>
      <c r="EU87" s="47">
        <v>0</v>
      </c>
      <c r="EV87" s="43"/>
      <c r="EW87" s="42"/>
      <c r="FC87" s="47">
        <v>0</v>
      </c>
      <c r="FD87" s="43"/>
      <c r="FE87" s="42"/>
      <c r="FI87" s="47">
        <v>0</v>
      </c>
      <c r="FJ87" s="43"/>
      <c r="FQ87" s="47">
        <v>0</v>
      </c>
      <c r="FR87" s="43"/>
      <c r="FS87" s="42"/>
      <c r="FW87" s="47">
        <v>0</v>
      </c>
      <c r="FX87" s="43"/>
      <c r="FY87" s="42"/>
      <c r="GC87" s="47">
        <v>0</v>
      </c>
      <c r="GD87" s="43"/>
      <c r="GE87" s="42"/>
      <c r="GI87" s="47">
        <v>0</v>
      </c>
      <c r="GJ87" s="43"/>
      <c r="GQ87" s="47">
        <v>0</v>
      </c>
      <c r="GR87" s="43"/>
      <c r="GX87" s="47">
        <v>0</v>
      </c>
      <c r="GY87" s="43"/>
      <c r="GZ87" s="42"/>
      <c r="HC87" s="47">
        <v>0</v>
      </c>
      <c r="HD87" s="43"/>
      <c r="HE87" s="42"/>
      <c r="HH87" s="47">
        <v>0</v>
      </c>
      <c r="HI87" s="43"/>
      <c r="HN87" s="47">
        <v>0</v>
      </c>
      <c r="HO87" s="43"/>
      <c r="HP87" s="42"/>
      <c r="HU87" s="47">
        <v>0</v>
      </c>
      <c r="HV87" s="43"/>
      <c r="IA87" s="47">
        <v>0</v>
      </c>
      <c r="IB87" s="43"/>
      <c r="IC87" s="42"/>
      <c r="IG87" s="47">
        <v>0</v>
      </c>
      <c r="IH87" s="43"/>
      <c r="IM87" s="47">
        <v>0</v>
      </c>
      <c r="IN87" s="43"/>
      <c r="IO87" s="42"/>
      <c r="IQ87" s="47">
        <v>0</v>
      </c>
      <c r="IR87" s="43"/>
      <c r="IS87" s="42"/>
      <c r="IW87" s="47">
        <v>0</v>
      </c>
      <c r="IX87" s="43"/>
      <c r="IY87" s="42"/>
      <c r="JA87" s="47">
        <v>0</v>
      </c>
      <c r="JB87" s="43"/>
      <c r="JC87" s="42"/>
      <c r="JG87" s="47">
        <v>0</v>
      </c>
      <c r="JH87" s="43"/>
      <c r="JO87" s="47">
        <v>0</v>
      </c>
      <c r="JP87" s="43"/>
      <c r="JQ87" s="42"/>
      <c r="JU87" s="47">
        <v>0</v>
      </c>
      <c r="JV87" s="43"/>
      <c r="KA87" s="47">
        <v>0</v>
      </c>
      <c r="KB87" s="45"/>
      <c r="KG87" s="47">
        <v>0</v>
      </c>
      <c r="KH87" s="45"/>
      <c r="KM87" s="47">
        <v>0</v>
      </c>
      <c r="KN87" s="45"/>
      <c r="KS87" s="47">
        <v>0</v>
      </c>
      <c r="KT87" s="43"/>
      <c r="KW87" s="47">
        <v>0</v>
      </c>
      <c r="KX87" s="45"/>
      <c r="LC87" s="47">
        <v>0</v>
      </c>
      <c r="LD87" s="43"/>
      <c r="LE87" s="46"/>
      <c r="LG87" s="47">
        <v>0</v>
      </c>
      <c r="LH87" s="45"/>
      <c r="LM87" s="47">
        <v>0</v>
      </c>
      <c r="LN87" s="45"/>
      <c r="LS87" s="47">
        <v>0</v>
      </c>
      <c r="LT87" s="45"/>
      <c r="LY87" s="47">
        <v>0</v>
      </c>
      <c r="LZ87" s="45"/>
      <c r="ME87" s="47">
        <v>0</v>
      </c>
      <c r="MF87" s="45"/>
      <c r="MG87" s="46"/>
      <c r="MM87" s="47">
        <v>0</v>
      </c>
      <c r="MN87" s="45"/>
      <c r="MO87" s="44">
        <v>0</v>
      </c>
      <c r="MP87" s="44">
        <v>0</v>
      </c>
      <c r="MQ87" s="44">
        <v>0</v>
      </c>
      <c r="MR87" s="44">
        <v>0</v>
      </c>
      <c r="MS87" s="47">
        <v>0</v>
      </c>
      <c r="MT87" s="45"/>
      <c r="MU87" s="44">
        <v>0</v>
      </c>
      <c r="MV87" s="44">
        <v>0</v>
      </c>
      <c r="MW87" s="44">
        <v>0</v>
      </c>
      <c r="MX87" s="44">
        <v>0</v>
      </c>
      <c r="MY87" s="47">
        <v>0</v>
      </c>
      <c r="MZ87" s="45"/>
      <c r="NA87" s="46">
        <v>0</v>
      </c>
      <c r="NB87" s="44">
        <v>0</v>
      </c>
      <c r="NC87" s="47">
        <v>0</v>
      </c>
      <c r="ND87" s="45"/>
      <c r="NE87" s="46">
        <v>0</v>
      </c>
      <c r="NF87" s="44">
        <v>0</v>
      </c>
      <c r="NG87" s="44">
        <v>0</v>
      </c>
      <c r="NH87" s="44">
        <v>0</v>
      </c>
      <c r="NI87" s="44">
        <v>0</v>
      </c>
      <c r="NJ87" s="47">
        <v>0</v>
      </c>
      <c r="NK87" s="45"/>
      <c r="NL87" s="46">
        <v>0</v>
      </c>
      <c r="NM87" s="44">
        <v>0</v>
      </c>
      <c r="NN87" s="44">
        <v>0</v>
      </c>
      <c r="NO87" s="44">
        <v>0</v>
      </c>
      <c r="NP87" s="47">
        <v>0</v>
      </c>
      <c r="NQ87" s="45"/>
      <c r="NR87" s="46">
        <v>0</v>
      </c>
      <c r="NS87" s="44">
        <v>0</v>
      </c>
      <c r="NT87" s="47">
        <v>0</v>
      </c>
      <c r="NU87" s="45"/>
      <c r="NV87" s="46">
        <v>0</v>
      </c>
      <c r="NW87" s="44">
        <v>0</v>
      </c>
      <c r="NX87" s="44">
        <v>0</v>
      </c>
      <c r="NY87" s="44">
        <v>0</v>
      </c>
      <c r="NZ87" s="47">
        <v>0</v>
      </c>
      <c r="OA87" s="45"/>
      <c r="OB87" s="46">
        <v>0</v>
      </c>
      <c r="OC87" s="44">
        <v>0</v>
      </c>
      <c r="OD87" s="47">
        <v>0</v>
      </c>
      <c r="OE87" s="45"/>
      <c r="OF87" s="46">
        <v>0</v>
      </c>
      <c r="OG87" s="44">
        <v>0</v>
      </c>
      <c r="OH87" s="44">
        <v>0</v>
      </c>
      <c r="OI87" s="44">
        <v>0</v>
      </c>
      <c r="OJ87" s="47">
        <v>0</v>
      </c>
      <c r="OK87" s="45"/>
      <c r="OL87" s="44">
        <v>0</v>
      </c>
      <c r="OM87" s="43"/>
      <c r="ON87" s="44">
        <v>0</v>
      </c>
      <c r="OO87" s="44">
        <v>0</v>
      </c>
      <c r="OP87" s="47">
        <v>0</v>
      </c>
      <c r="OQ87" s="45"/>
      <c r="OR87" s="46">
        <v>0</v>
      </c>
      <c r="OS87" s="44">
        <v>0</v>
      </c>
      <c r="OT87" s="44">
        <v>0</v>
      </c>
      <c r="OU87" s="44">
        <v>0</v>
      </c>
      <c r="OV87" s="47">
        <v>0</v>
      </c>
      <c r="OW87" s="45"/>
      <c r="OX87" s="46">
        <v>0</v>
      </c>
      <c r="OY87" s="44">
        <v>0</v>
      </c>
      <c r="OZ87" s="44">
        <v>0</v>
      </c>
      <c r="PA87" s="44">
        <v>0</v>
      </c>
      <c r="PB87" s="47">
        <v>0</v>
      </c>
      <c r="PC87" s="45"/>
      <c r="PD87" s="46">
        <v>0</v>
      </c>
      <c r="PE87" s="44">
        <v>0</v>
      </c>
      <c r="PF87" s="44">
        <v>0</v>
      </c>
      <c r="PG87" s="44">
        <v>0</v>
      </c>
      <c r="PH87" s="47">
        <v>0</v>
      </c>
      <c r="PI87" s="45"/>
      <c r="PJ87" s="46">
        <v>0</v>
      </c>
      <c r="PK87" s="44">
        <v>0</v>
      </c>
      <c r="PL87" s="44">
        <v>0</v>
      </c>
      <c r="PM87" s="44">
        <v>0</v>
      </c>
      <c r="PN87" s="47">
        <v>0</v>
      </c>
      <c r="PO87" s="45"/>
      <c r="PP87" s="46">
        <v>0</v>
      </c>
      <c r="PQ87" s="44">
        <v>0</v>
      </c>
      <c r="PR87" s="44">
        <v>0</v>
      </c>
      <c r="PS87" s="44">
        <v>0</v>
      </c>
      <c r="PT87" s="47">
        <v>0</v>
      </c>
      <c r="PU87" s="45"/>
      <c r="PV87" s="46">
        <v>0</v>
      </c>
      <c r="PW87" s="44">
        <v>0</v>
      </c>
      <c r="PX87" s="47">
        <v>0</v>
      </c>
      <c r="PY87" s="45"/>
      <c r="PZ87" s="46">
        <v>0</v>
      </c>
      <c r="QA87" s="44">
        <v>0</v>
      </c>
      <c r="QB87" s="47">
        <v>0</v>
      </c>
      <c r="QC87" s="45"/>
      <c r="QD87" s="46">
        <v>0</v>
      </c>
      <c r="QE87" s="44">
        <v>0</v>
      </c>
      <c r="QF87" s="44">
        <v>0</v>
      </c>
      <c r="QG87" s="44">
        <v>0</v>
      </c>
      <c r="QH87" s="47">
        <v>0</v>
      </c>
      <c r="QI87" s="45"/>
      <c r="QJ87" s="46">
        <v>0</v>
      </c>
      <c r="QK87" s="44">
        <v>0</v>
      </c>
      <c r="QL87" s="47">
        <v>0</v>
      </c>
      <c r="QM87" s="45"/>
      <c r="QN87" s="46">
        <v>0</v>
      </c>
      <c r="QO87" s="44">
        <v>0</v>
      </c>
      <c r="QP87" s="44">
        <v>0</v>
      </c>
      <c r="QQ87" s="44">
        <v>0</v>
      </c>
      <c r="QR87" s="47">
        <v>0</v>
      </c>
      <c r="QS87" s="45"/>
      <c r="QT87" s="46">
        <v>0</v>
      </c>
      <c r="QU87" s="44">
        <v>0</v>
      </c>
      <c r="QV87" s="47">
        <v>0</v>
      </c>
      <c r="QW87" s="45"/>
      <c r="QX87" s="46">
        <v>0</v>
      </c>
      <c r="QY87" s="44">
        <v>0</v>
      </c>
      <c r="QZ87" s="44">
        <v>0</v>
      </c>
      <c r="RA87" s="44">
        <v>0</v>
      </c>
      <c r="RB87" s="47">
        <v>0</v>
      </c>
      <c r="RC87" s="45"/>
      <c r="RD87" s="42">
        <v>0</v>
      </c>
      <c r="RE87" s="44">
        <v>0</v>
      </c>
      <c r="RF87" s="44">
        <v>0</v>
      </c>
      <c r="RG87" s="44">
        <v>0</v>
      </c>
      <c r="RH87" s="47">
        <v>0</v>
      </c>
      <c r="RI87" s="45"/>
      <c r="RJ87" s="42">
        <v>0</v>
      </c>
      <c r="RK87" s="47">
        <v>0</v>
      </c>
      <c r="RL87" s="47">
        <v>0</v>
      </c>
      <c r="RM87" s="47">
        <v>0</v>
      </c>
      <c r="RN87" s="47">
        <v>0</v>
      </c>
      <c r="RO87" s="43"/>
      <c r="RP87" s="42">
        <v>0</v>
      </c>
      <c r="RQ87" s="47">
        <v>0</v>
      </c>
      <c r="RR87" s="47">
        <v>0</v>
      </c>
      <c r="RS87" s="43"/>
      <c r="RT87" s="42">
        <v>0</v>
      </c>
      <c r="RU87" s="47">
        <v>0</v>
      </c>
      <c r="RV87" s="47">
        <v>0</v>
      </c>
      <c r="RW87" s="47">
        <v>0</v>
      </c>
      <c r="RX87" s="47">
        <v>0</v>
      </c>
      <c r="RY87" s="43"/>
      <c r="RZ87" s="42">
        <v>0</v>
      </c>
      <c r="SA87" s="47">
        <v>0</v>
      </c>
      <c r="SB87" s="47">
        <v>0</v>
      </c>
      <c r="SC87" s="47">
        <v>0</v>
      </c>
      <c r="SD87" s="47">
        <v>0</v>
      </c>
      <c r="SE87" s="43"/>
      <c r="SF87" s="42">
        <v>0</v>
      </c>
      <c r="SG87" s="47">
        <v>0</v>
      </c>
      <c r="SH87" s="47">
        <v>0</v>
      </c>
      <c r="SI87" s="47">
        <v>0</v>
      </c>
      <c r="SJ87" s="47">
        <v>0</v>
      </c>
      <c r="SK87" s="43"/>
      <c r="SL87" s="42">
        <v>0</v>
      </c>
      <c r="SM87" s="47">
        <v>0</v>
      </c>
      <c r="SN87" s="47">
        <v>0</v>
      </c>
      <c r="SO87" s="43"/>
      <c r="SP87" s="42">
        <v>0</v>
      </c>
      <c r="SQ87" s="47">
        <v>0</v>
      </c>
      <c r="SR87" s="47">
        <v>0</v>
      </c>
      <c r="SS87" s="47">
        <v>0</v>
      </c>
      <c r="ST87" s="47">
        <v>0</v>
      </c>
      <c r="SU87" s="43"/>
    </row>
    <row r="88" spans="1:515" x14ac:dyDescent="0.25">
      <c r="A88" s="47" t="s">
        <v>395</v>
      </c>
      <c r="B88" s="41">
        <v>1</v>
      </c>
      <c r="E88">
        <v>30</v>
      </c>
      <c r="F88">
        <v>19</v>
      </c>
      <c r="G88">
        <v>20</v>
      </c>
      <c r="J88" s="42"/>
      <c r="K88" s="51"/>
      <c r="L88" s="52">
        <v>25</v>
      </c>
      <c r="M88" s="52">
        <v>28</v>
      </c>
      <c r="N88" s="51">
        <f t="shared" si="12"/>
        <v>-3</v>
      </c>
      <c r="O88" s="43"/>
      <c r="P88" s="46"/>
      <c r="Q88" s="51"/>
      <c r="R88" s="52">
        <v>6</v>
      </c>
      <c r="S88" s="52">
        <v>6</v>
      </c>
      <c r="T88" s="51">
        <f t="shared" si="13"/>
        <v>0</v>
      </c>
      <c r="U88" s="43"/>
      <c r="V88" s="40">
        <v>6</v>
      </c>
      <c r="W88" s="52">
        <v>10</v>
      </c>
      <c r="X88" s="52">
        <v>13</v>
      </c>
      <c r="Y88" s="52">
        <v>16</v>
      </c>
      <c r="Z88" s="51">
        <f t="shared" si="14"/>
        <v>-7</v>
      </c>
      <c r="AA88" s="43"/>
      <c r="AB88" s="42"/>
      <c r="AC88" s="51"/>
      <c r="AD88" s="51"/>
      <c r="AE88" s="51"/>
      <c r="AF88" s="51">
        <v>0</v>
      </c>
      <c r="AG88" s="43"/>
      <c r="AH88" s="52">
        <v>6</v>
      </c>
      <c r="AI88">
        <v>10</v>
      </c>
      <c r="AJ88">
        <v>6</v>
      </c>
      <c r="AK88">
        <v>11</v>
      </c>
      <c r="AL88" s="47">
        <v>-9</v>
      </c>
      <c r="AM88" s="43"/>
      <c r="AN88" s="42"/>
      <c r="AP88">
        <v>12</v>
      </c>
      <c r="AQ88">
        <v>12</v>
      </c>
      <c r="AR88" s="47">
        <v>0</v>
      </c>
      <c r="AS88" s="43"/>
      <c r="AV88">
        <v>12</v>
      </c>
      <c r="AW88">
        <v>15</v>
      </c>
      <c r="AX88" s="47">
        <v>-3</v>
      </c>
      <c r="AY88" s="43"/>
      <c r="BB88">
        <v>19</v>
      </c>
      <c r="BC88">
        <v>21</v>
      </c>
      <c r="BD88" s="47">
        <v>-2</v>
      </c>
      <c r="BE88" s="43"/>
      <c r="BF88" s="42"/>
      <c r="BH88">
        <v>12</v>
      </c>
      <c r="BI88">
        <v>10</v>
      </c>
      <c r="BJ88" s="47">
        <v>2</v>
      </c>
      <c r="BK88" s="43"/>
      <c r="BL88" s="42"/>
      <c r="BN88">
        <v>6</v>
      </c>
      <c r="BO88">
        <v>4</v>
      </c>
      <c r="BP88" s="47">
        <v>2</v>
      </c>
      <c r="BQ88" s="43"/>
      <c r="BV88" s="47">
        <v>0</v>
      </c>
      <c r="BW88" s="43"/>
      <c r="BX88" s="42"/>
      <c r="CB88" s="47">
        <v>0</v>
      </c>
      <c r="CC88" s="43"/>
      <c r="CF88">
        <v>13</v>
      </c>
      <c r="CG88">
        <v>11</v>
      </c>
      <c r="CH88" s="47">
        <v>2</v>
      </c>
      <c r="CI88" s="43"/>
      <c r="CN88" s="47">
        <v>0</v>
      </c>
      <c r="CO88" s="43"/>
      <c r="CP88" s="42"/>
      <c r="CR88">
        <v>6</v>
      </c>
      <c r="CS88">
        <v>4</v>
      </c>
      <c r="CT88" s="47">
        <v>2</v>
      </c>
      <c r="CU88" s="43"/>
      <c r="CV88" s="42"/>
      <c r="CX88">
        <v>6</v>
      </c>
      <c r="CY88">
        <v>4</v>
      </c>
      <c r="CZ88" s="47">
        <v>2</v>
      </c>
      <c r="DA88" s="43"/>
      <c r="DE88">
        <v>6</v>
      </c>
      <c r="DF88">
        <v>8</v>
      </c>
      <c r="DG88" s="47">
        <v>-2</v>
      </c>
      <c r="DH88" s="43"/>
      <c r="DK88" s="47">
        <v>0</v>
      </c>
      <c r="DL88" s="43"/>
      <c r="DM88" s="42"/>
      <c r="DO88">
        <v>12</v>
      </c>
      <c r="DP88">
        <v>10</v>
      </c>
      <c r="DQ88" s="47">
        <v>2</v>
      </c>
      <c r="DR88" s="43"/>
      <c r="DV88">
        <v>8</v>
      </c>
      <c r="DW88" s="50">
        <v>-8</v>
      </c>
      <c r="DX88" s="43">
        <v>8</v>
      </c>
      <c r="EC88" s="47">
        <v>0</v>
      </c>
      <c r="ED88" s="43"/>
      <c r="EE88" s="42"/>
      <c r="EI88" s="47">
        <v>0</v>
      </c>
      <c r="EJ88" s="43"/>
      <c r="EO88" s="47">
        <v>0</v>
      </c>
      <c r="EP88" s="43"/>
      <c r="EQ88" s="42"/>
      <c r="EU88" s="47">
        <v>0</v>
      </c>
      <c r="EV88" s="43"/>
      <c r="EW88" s="42"/>
      <c r="FC88" s="47">
        <v>0</v>
      </c>
      <c r="FD88" s="43"/>
      <c r="FE88" s="40">
        <v>25</v>
      </c>
      <c r="FF88">
        <v>24</v>
      </c>
      <c r="FG88">
        <v>25</v>
      </c>
      <c r="FH88">
        <v>26</v>
      </c>
      <c r="FI88" s="47">
        <v>0</v>
      </c>
      <c r="FJ88" s="43"/>
      <c r="FQ88" s="47">
        <v>0</v>
      </c>
      <c r="FR88" s="43"/>
      <c r="FS88" s="42"/>
      <c r="FW88" s="47">
        <v>0</v>
      </c>
      <c r="FX88" s="43"/>
      <c r="FY88" s="42"/>
      <c r="GA88">
        <v>24</v>
      </c>
      <c r="GB88">
        <v>24</v>
      </c>
      <c r="GC88" s="47">
        <v>0</v>
      </c>
      <c r="GD88" s="43"/>
      <c r="GE88" s="42"/>
      <c r="GG88">
        <v>6</v>
      </c>
      <c r="GH88">
        <v>9</v>
      </c>
      <c r="GI88" s="47">
        <v>-3</v>
      </c>
      <c r="GJ88" s="43"/>
      <c r="GO88">
        <v>6</v>
      </c>
      <c r="GP88">
        <v>8</v>
      </c>
      <c r="GQ88" s="47">
        <v>-2</v>
      </c>
      <c r="GR88" s="43"/>
      <c r="GU88">
        <v>19</v>
      </c>
      <c r="GW88">
        <v>20</v>
      </c>
      <c r="GX88" s="47">
        <v>-1</v>
      </c>
      <c r="GY88" s="43"/>
      <c r="GZ88" s="42"/>
      <c r="HC88" s="47">
        <v>0</v>
      </c>
      <c r="HD88" s="43"/>
      <c r="HE88" s="40">
        <v>6</v>
      </c>
      <c r="HG88">
        <v>8</v>
      </c>
      <c r="HH88" s="47">
        <v>-2</v>
      </c>
      <c r="HI88" s="43"/>
      <c r="HN88" s="47">
        <v>0</v>
      </c>
      <c r="HO88" s="43"/>
      <c r="HP88" s="42"/>
      <c r="HU88" s="47">
        <v>0</v>
      </c>
      <c r="HV88" s="43"/>
      <c r="IA88" s="47">
        <v>0</v>
      </c>
      <c r="IB88" s="43"/>
      <c r="IC88" s="42"/>
      <c r="IG88" s="47">
        <v>0</v>
      </c>
      <c r="IH88" s="43"/>
      <c r="IK88">
        <v>6</v>
      </c>
      <c r="IL88">
        <v>8</v>
      </c>
      <c r="IM88" s="47">
        <v>-2</v>
      </c>
      <c r="IN88" s="43"/>
      <c r="IO88" s="42"/>
      <c r="IQ88" s="47">
        <v>0</v>
      </c>
      <c r="IR88" s="43"/>
      <c r="IS88" s="42"/>
      <c r="IU88">
        <v>49</v>
      </c>
      <c r="IV88">
        <v>50</v>
      </c>
      <c r="IW88" s="47">
        <v>-1</v>
      </c>
      <c r="IX88" s="43"/>
      <c r="IY88" s="42"/>
      <c r="JA88" s="47">
        <v>0</v>
      </c>
      <c r="JB88" s="43"/>
      <c r="JC88" s="42"/>
      <c r="JG88" s="47">
        <v>0</v>
      </c>
      <c r="JH88" s="43"/>
      <c r="JO88" s="47">
        <v>0</v>
      </c>
      <c r="JP88" s="43"/>
      <c r="JQ88" s="42"/>
      <c r="JS88">
        <v>62</v>
      </c>
      <c r="JT88">
        <v>65</v>
      </c>
      <c r="JU88" s="47">
        <v>-3</v>
      </c>
      <c r="JV88" s="43"/>
      <c r="KA88" s="47">
        <v>0</v>
      </c>
      <c r="KB88" s="45"/>
      <c r="KE88">
        <v>69</v>
      </c>
      <c r="KF88">
        <v>70</v>
      </c>
      <c r="KG88" s="47">
        <v>-1</v>
      </c>
      <c r="KH88" s="45"/>
      <c r="KM88" s="47">
        <v>0</v>
      </c>
      <c r="KN88" s="45"/>
      <c r="KQ88">
        <v>37</v>
      </c>
      <c r="KR88">
        <v>36</v>
      </c>
      <c r="KS88" s="47">
        <v>1</v>
      </c>
      <c r="KT88" s="43"/>
      <c r="KW88" s="47">
        <v>0</v>
      </c>
      <c r="KX88" s="45"/>
      <c r="LA88">
        <v>49</v>
      </c>
      <c r="LB88">
        <v>49</v>
      </c>
      <c r="LC88" s="47">
        <v>0</v>
      </c>
      <c r="LD88" s="43"/>
      <c r="LE88" s="40">
        <v>6</v>
      </c>
      <c r="LF88" s="44">
        <v>8</v>
      </c>
      <c r="LG88" s="47">
        <v>-2</v>
      </c>
      <c r="LH88" s="45"/>
      <c r="LM88" s="47">
        <v>0</v>
      </c>
      <c r="LN88" s="45"/>
      <c r="LS88" s="47">
        <v>0</v>
      </c>
      <c r="LT88" s="45"/>
      <c r="LW88">
        <v>80</v>
      </c>
      <c r="LX88">
        <v>80</v>
      </c>
      <c r="LY88" s="47">
        <v>0</v>
      </c>
      <c r="LZ88" s="45"/>
      <c r="MC88">
        <v>25</v>
      </c>
      <c r="MD88">
        <v>28</v>
      </c>
      <c r="ME88" s="47">
        <v>-3</v>
      </c>
      <c r="MF88" s="45"/>
      <c r="MG88" s="46"/>
      <c r="MM88" s="47">
        <v>0</v>
      </c>
      <c r="MN88" s="45"/>
      <c r="MO88" s="44">
        <v>0</v>
      </c>
      <c r="MP88" s="44">
        <v>0</v>
      </c>
      <c r="MQ88" s="44">
        <v>0</v>
      </c>
      <c r="MR88" s="44">
        <v>0</v>
      </c>
      <c r="MS88" s="47">
        <v>0</v>
      </c>
      <c r="MT88" s="45"/>
      <c r="MU88" s="44">
        <v>0</v>
      </c>
      <c r="MV88" s="44">
        <v>0</v>
      </c>
      <c r="MW88" s="44">
        <v>0</v>
      </c>
      <c r="MX88" s="44">
        <v>0</v>
      </c>
      <c r="MY88" s="47">
        <v>0</v>
      </c>
      <c r="MZ88" s="45"/>
      <c r="NA88" s="46">
        <v>0</v>
      </c>
      <c r="NB88" s="44">
        <v>0</v>
      </c>
      <c r="NC88" s="47">
        <v>0</v>
      </c>
      <c r="ND88" s="45"/>
      <c r="NE88" s="46">
        <v>49.057000000000002</v>
      </c>
      <c r="NF88" s="44">
        <v>50</v>
      </c>
      <c r="NG88" s="44">
        <v>61.423000000000002</v>
      </c>
      <c r="NH88" s="44">
        <v>0</v>
      </c>
      <c r="NI88" s="44">
        <v>60</v>
      </c>
      <c r="NJ88" s="47">
        <v>0.48000000000000398</v>
      </c>
      <c r="NK88" s="45"/>
      <c r="NL88" s="46">
        <v>37.448999999999998</v>
      </c>
      <c r="NM88" s="44">
        <v>40</v>
      </c>
      <c r="NN88" s="44">
        <v>66.703000000000003</v>
      </c>
      <c r="NO88" s="44">
        <v>70</v>
      </c>
      <c r="NP88" s="47">
        <v>-5.847999999999999</v>
      </c>
      <c r="NQ88" s="45"/>
      <c r="NR88" s="46">
        <v>12.569000000000001</v>
      </c>
      <c r="NS88" s="44">
        <v>10</v>
      </c>
      <c r="NT88" s="47">
        <v>2.5690000000000008</v>
      </c>
      <c r="NU88" s="45"/>
      <c r="NV88" s="46">
        <v>18.474</v>
      </c>
      <c r="NW88" s="44">
        <v>20</v>
      </c>
      <c r="NX88" s="44">
        <v>98.418999999999997</v>
      </c>
      <c r="NY88" s="44">
        <v>100</v>
      </c>
      <c r="NZ88" s="47">
        <v>-3.1069999999999989</v>
      </c>
      <c r="OA88" s="45"/>
      <c r="OB88" s="46">
        <v>49.466000000000001</v>
      </c>
      <c r="OC88" s="44">
        <v>50</v>
      </c>
      <c r="OD88" s="47">
        <v>-0.53399999999999892</v>
      </c>
      <c r="OE88" s="45"/>
      <c r="OF88" s="46">
        <v>0</v>
      </c>
      <c r="OG88" s="44">
        <v>0</v>
      </c>
      <c r="OH88" s="44">
        <v>43.351999999999997</v>
      </c>
      <c r="OI88" s="44">
        <v>42</v>
      </c>
      <c r="OJ88" s="47">
        <v>1.351999999999997</v>
      </c>
      <c r="OK88" s="45"/>
      <c r="OL88" s="44">
        <v>18.288</v>
      </c>
      <c r="OM88" s="43">
        <v>-18.288</v>
      </c>
      <c r="ON88" s="44">
        <v>0</v>
      </c>
      <c r="OO88" s="44">
        <v>20</v>
      </c>
      <c r="OP88" s="50">
        <v>-20</v>
      </c>
      <c r="OQ88" s="45">
        <v>20</v>
      </c>
      <c r="OR88" s="46">
        <v>0</v>
      </c>
      <c r="OS88" s="44">
        <v>0</v>
      </c>
      <c r="OT88" s="44">
        <v>149.262</v>
      </c>
      <c r="OU88" s="44">
        <v>150</v>
      </c>
      <c r="OV88" s="47">
        <v>-0.73799999999999955</v>
      </c>
      <c r="OW88" s="45"/>
      <c r="OX88" s="46">
        <v>0</v>
      </c>
      <c r="OY88" s="44">
        <v>0</v>
      </c>
      <c r="OZ88" s="44">
        <v>50.267000000000003</v>
      </c>
      <c r="PA88" s="44">
        <v>50</v>
      </c>
      <c r="PB88" s="47">
        <v>0.26700000000000301</v>
      </c>
      <c r="PC88" s="45"/>
      <c r="PD88" s="46">
        <v>0</v>
      </c>
      <c r="PE88" s="44">
        <v>0</v>
      </c>
      <c r="PF88" s="44">
        <v>30.831</v>
      </c>
      <c r="PG88" s="44">
        <v>30</v>
      </c>
      <c r="PH88" s="47">
        <v>0.83099999999999952</v>
      </c>
      <c r="PI88" s="45"/>
      <c r="PJ88" s="46">
        <v>0</v>
      </c>
      <c r="PK88" s="44">
        <v>0</v>
      </c>
      <c r="PL88" s="44">
        <v>37.286999999999999</v>
      </c>
      <c r="PM88" s="44">
        <v>40</v>
      </c>
      <c r="PN88" s="47">
        <v>-2.713000000000001</v>
      </c>
      <c r="PO88" s="45"/>
      <c r="PP88" s="46">
        <v>0</v>
      </c>
      <c r="PQ88" s="44">
        <v>0</v>
      </c>
      <c r="PR88" s="44">
        <v>49.295000000000002</v>
      </c>
      <c r="PS88" s="44">
        <v>50</v>
      </c>
      <c r="PT88" s="47">
        <v>-0.70499999999999829</v>
      </c>
      <c r="PU88" s="45"/>
      <c r="PV88" s="46">
        <v>80.869</v>
      </c>
      <c r="PW88" s="44">
        <v>80</v>
      </c>
      <c r="PX88" s="47">
        <v>0.86899999999999977</v>
      </c>
      <c r="PY88" s="45"/>
      <c r="PZ88" s="46">
        <v>0</v>
      </c>
      <c r="QA88" s="44">
        <v>0</v>
      </c>
      <c r="QB88" s="47">
        <v>0</v>
      </c>
      <c r="QC88" s="45"/>
      <c r="QD88" s="46">
        <v>0</v>
      </c>
      <c r="QE88" s="44">
        <v>0</v>
      </c>
      <c r="QF88" s="44">
        <v>99.076999999999998</v>
      </c>
      <c r="QG88" s="44">
        <v>100</v>
      </c>
      <c r="QH88" s="47">
        <v>-0.92300000000000182</v>
      </c>
      <c r="QI88" s="45"/>
      <c r="QJ88" s="46">
        <v>80.346999999999994</v>
      </c>
      <c r="QK88" s="44">
        <v>80</v>
      </c>
      <c r="QL88" s="47">
        <v>0.3469999999999942</v>
      </c>
      <c r="QM88" s="45"/>
      <c r="QN88" s="46">
        <v>0</v>
      </c>
      <c r="QO88" s="44">
        <v>0</v>
      </c>
      <c r="QP88" s="44">
        <v>80.863</v>
      </c>
      <c r="QQ88" s="44">
        <v>80</v>
      </c>
      <c r="QR88" s="47">
        <v>0.86299999999999955</v>
      </c>
      <c r="QS88" s="45"/>
      <c r="QT88" s="46">
        <v>79.966999999999999</v>
      </c>
      <c r="QU88" s="44">
        <v>82</v>
      </c>
      <c r="QV88" s="47">
        <v>-2.0330000000000008</v>
      </c>
      <c r="QW88" s="45"/>
      <c r="QX88" s="46">
        <v>0</v>
      </c>
      <c r="QY88" s="44">
        <v>0</v>
      </c>
      <c r="QZ88" s="44">
        <v>67.852000000000004</v>
      </c>
      <c r="RA88" s="44">
        <v>69</v>
      </c>
      <c r="RB88" s="47">
        <v>-1.1479999999999959</v>
      </c>
      <c r="RC88" s="45"/>
      <c r="RD88" s="42">
        <v>0</v>
      </c>
      <c r="RE88" s="44">
        <v>0</v>
      </c>
      <c r="RF88" s="44">
        <v>18.184999999999999</v>
      </c>
      <c r="RG88" s="44">
        <v>20</v>
      </c>
      <c r="RH88" s="47">
        <v>-1.8150000000000011</v>
      </c>
      <c r="RI88" s="45"/>
      <c r="RJ88" s="42">
        <v>0</v>
      </c>
      <c r="RK88" s="47">
        <v>0</v>
      </c>
      <c r="RL88" s="47">
        <v>0</v>
      </c>
      <c r="RM88" s="47">
        <v>0</v>
      </c>
      <c r="RN88" s="47">
        <v>0</v>
      </c>
      <c r="RO88" s="43"/>
      <c r="RP88" s="42">
        <v>110.72799999999999</v>
      </c>
      <c r="RQ88" s="47">
        <v>110</v>
      </c>
      <c r="RR88" s="47">
        <v>0.72799999999999443</v>
      </c>
      <c r="RS88" s="43"/>
      <c r="RT88" s="42">
        <v>0</v>
      </c>
      <c r="RU88" s="47">
        <v>0</v>
      </c>
      <c r="RV88" s="47">
        <v>0</v>
      </c>
      <c r="RW88" s="47">
        <v>0</v>
      </c>
      <c r="RX88" s="47">
        <v>0</v>
      </c>
      <c r="RY88" s="43"/>
      <c r="RZ88" s="42">
        <v>0</v>
      </c>
      <c r="SA88" s="47">
        <v>0</v>
      </c>
      <c r="SB88" s="47">
        <v>0</v>
      </c>
      <c r="SC88" s="47">
        <v>0</v>
      </c>
      <c r="SD88" s="47">
        <v>0</v>
      </c>
      <c r="SE88" s="43"/>
      <c r="SF88" s="42">
        <v>0</v>
      </c>
      <c r="SG88" s="47">
        <v>0</v>
      </c>
      <c r="SH88" s="47">
        <v>81.483000000000004</v>
      </c>
      <c r="SI88" s="47">
        <v>0</v>
      </c>
      <c r="SJ88" s="47">
        <v>81.483000000000004</v>
      </c>
      <c r="SK88" s="43"/>
      <c r="SL88" s="42">
        <v>0</v>
      </c>
      <c r="SM88" s="47">
        <v>0</v>
      </c>
      <c r="SN88" s="47">
        <v>0</v>
      </c>
      <c r="SO88" s="43"/>
      <c r="SP88" s="42">
        <v>0</v>
      </c>
      <c r="SQ88" s="47">
        <v>0</v>
      </c>
      <c r="SR88" s="47">
        <v>0</v>
      </c>
      <c r="SS88" s="47">
        <v>0</v>
      </c>
      <c r="ST88" s="47">
        <v>0</v>
      </c>
      <c r="SU88" s="43"/>
    </row>
    <row r="89" spans="1:515" x14ac:dyDescent="0.25">
      <c r="A89" s="47" t="s">
        <v>396</v>
      </c>
      <c r="B89" s="41">
        <v>0.28000000000000003</v>
      </c>
      <c r="J89" s="42"/>
      <c r="K89" s="51"/>
      <c r="L89" s="51"/>
      <c r="M89" s="51"/>
      <c r="N89" s="51">
        <f t="shared" si="12"/>
        <v>0</v>
      </c>
      <c r="O89" s="43"/>
      <c r="P89" s="46"/>
      <c r="Q89" s="51"/>
      <c r="R89" s="51"/>
      <c r="S89" s="51"/>
      <c r="T89" s="51">
        <f t="shared" si="13"/>
        <v>0</v>
      </c>
      <c r="U89" s="43"/>
      <c r="V89" s="42"/>
      <c r="W89" s="51"/>
      <c r="X89" s="51"/>
      <c r="Y89" s="51"/>
      <c r="Z89" s="51">
        <f t="shared" si="14"/>
        <v>0</v>
      </c>
      <c r="AA89" s="43"/>
      <c r="AB89" s="42"/>
      <c r="AC89" s="51"/>
      <c r="AD89" s="51"/>
      <c r="AE89" s="51"/>
      <c r="AF89" s="51">
        <v>0</v>
      </c>
      <c r="AG89" s="43"/>
      <c r="AH89" s="51"/>
      <c r="AL89" s="47">
        <v>0</v>
      </c>
      <c r="AM89" s="43"/>
      <c r="AN89" s="42"/>
      <c r="AR89" s="47">
        <v>0</v>
      </c>
      <c r="AS89" s="43"/>
      <c r="AX89" s="47">
        <v>0</v>
      </c>
      <c r="AY89" s="43"/>
      <c r="BD89" s="47">
        <v>0</v>
      </c>
      <c r="BE89" s="43"/>
      <c r="BF89" s="42"/>
      <c r="BJ89" s="47">
        <v>0</v>
      </c>
      <c r="BK89" s="43"/>
      <c r="BL89" s="42"/>
      <c r="BP89" s="47">
        <v>0</v>
      </c>
      <c r="BQ89" s="43"/>
      <c r="BV89" s="47">
        <v>0</v>
      </c>
      <c r="BW89" s="43"/>
      <c r="BX89" s="42"/>
      <c r="CB89" s="47">
        <v>0</v>
      </c>
      <c r="CC89" s="43"/>
      <c r="CH89" s="47">
        <v>0</v>
      </c>
      <c r="CI89" s="43"/>
      <c r="CN89" s="47">
        <v>0</v>
      </c>
      <c r="CO89" s="43"/>
      <c r="CP89" s="42"/>
      <c r="CT89" s="47">
        <v>0</v>
      </c>
      <c r="CU89" s="43"/>
      <c r="CV89" s="42"/>
      <c r="CZ89" s="47">
        <v>0</v>
      </c>
      <c r="DA89" s="43"/>
      <c r="DG89" s="47">
        <v>0</v>
      </c>
      <c r="DH89" s="43"/>
      <c r="DK89" s="47">
        <v>0</v>
      </c>
      <c r="DL89" s="43"/>
      <c r="DM89" s="42"/>
      <c r="DQ89" s="47">
        <v>0</v>
      </c>
      <c r="DR89" s="43"/>
      <c r="DW89" s="47">
        <v>0</v>
      </c>
      <c r="DX89" s="43"/>
      <c r="EC89" s="47">
        <v>0</v>
      </c>
      <c r="ED89" s="43"/>
      <c r="EE89" s="42"/>
      <c r="EI89" s="47">
        <v>0</v>
      </c>
      <c r="EJ89" s="43"/>
      <c r="EO89" s="47">
        <v>0</v>
      </c>
      <c r="EP89" s="43"/>
      <c r="EQ89" s="42"/>
      <c r="EU89" s="47">
        <v>0</v>
      </c>
      <c r="EV89" s="43"/>
      <c r="EW89" s="42"/>
      <c r="FC89" s="47">
        <v>0</v>
      </c>
      <c r="FD89" s="43"/>
      <c r="FE89" s="42"/>
      <c r="FI89" s="47">
        <v>0</v>
      </c>
      <c r="FJ89" s="43"/>
      <c r="FQ89" s="47">
        <v>0</v>
      </c>
      <c r="FR89" s="43"/>
      <c r="FS89" s="42"/>
      <c r="FW89" s="47">
        <v>0</v>
      </c>
      <c r="FX89" s="43"/>
      <c r="FY89" s="42"/>
      <c r="GC89" s="47">
        <v>0</v>
      </c>
      <c r="GD89" s="43"/>
      <c r="GE89" s="42"/>
      <c r="GI89" s="47">
        <v>0</v>
      </c>
      <c r="GJ89" s="43"/>
      <c r="GQ89" s="47">
        <v>0</v>
      </c>
      <c r="GR89" s="43"/>
      <c r="GX89" s="47">
        <v>0</v>
      </c>
      <c r="GY89" s="43"/>
      <c r="GZ89" s="42"/>
      <c r="HC89" s="47">
        <v>0</v>
      </c>
      <c r="HD89" s="43"/>
      <c r="HE89" s="42"/>
      <c r="HH89" s="47">
        <v>0</v>
      </c>
      <c r="HI89" s="43"/>
      <c r="HN89" s="47">
        <v>0</v>
      </c>
      <c r="HO89" s="43"/>
      <c r="HP89" s="42"/>
      <c r="HU89" s="47">
        <v>0</v>
      </c>
      <c r="HV89" s="43"/>
      <c r="IA89" s="47">
        <v>0</v>
      </c>
      <c r="IB89" s="43"/>
      <c r="IC89" s="42"/>
      <c r="IG89" s="47">
        <v>0</v>
      </c>
      <c r="IH89" s="43"/>
      <c r="IM89" s="47">
        <v>0</v>
      </c>
      <c r="IN89" s="43"/>
      <c r="IO89" s="42"/>
      <c r="IQ89" s="47">
        <v>0</v>
      </c>
      <c r="IR89" s="43"/>
      <c r="IS89" s="42"/>
      <c r="IW89" s="47">
        <v>0</v>
      </c>
      <c r="IX89" s="43"/>
      <c r="IY89" s="42"/>
      <c r="JA89" s="47">
        <v>0</v>
      </c>
      <c r="JB89" s="43"/>
      <c r="JC89" s="42"/>
      <c r="JG89" s="47">
        <v>0</v>
      </c>
      <c r="JH89" s="43"/>
      <c r="JM89">
        <v>176</v>
      </c>
      <c r="JN89">
        <v>180</v>
      </c>
      <c r="JO89" s="47">
        <v>-4</v>
      </c>
      <c r="JP89" s="43"/>
      <c r="JQ89" s="40">
        <v>40</v>
      </c>
      <c r="JR89">
        <v>40</v>
      </c>
      <c r="JS89">
        <v>40</v>
      </c>
      <c r="JT89">
        <v>40</v>
      </c>
      <c r="JU89" s="47">
        <v>0</v>
      </c>
      <c r="JV89" s="43"/>
      <c r="KA89" s="47">
        <v>0</v>
      </c>
      <c r="KB89" s="45"/>
      <c r="KC89">
        <v>96</v>
      </c>
      <c r="KD89">
        <v>100</v>
      </c>
      <c r="KE89">
        <v>136</v>
      </c>
      <c r="KF89">
        <v>140</v>
      </c>
      <c r="KG89" s="47">
        <v>-8</v>
      </c>
      <c r="KH89" s="45"/>
      <c r="KI89">
        <v>16</v>
      </c>
      <c r="KJ89">
        <v>16</v>
      </c>
      <c r="KM89" s="47">
        <v>0</v>
      </c>
      <c r="KN89" s="45"/>
      <c r="KQ89">
        <v>48</v>
      </c>
      <c r="KR89">
        <v>50</v>
      </c>
      <c r="KS89" s="47">
        <v>-2</v>
      </c>
      <c r="KT89" s="43"/>
      <c r="KU89">
        <v>96</v>
      </c>
      <c r="KV89">
        <v>100</v>
      </c>
      <c r="KW89" s="47">
        <v>-4</v>
      </c>
      <c r="KX89" s="45"/>
      <c r="LA89">
        <v>24</v>
      </c>
      <c r="LB89">
        <v>27</v>
      </c>
      <c r="LC89" s="47">
        <v>-3</v>
      </c>
      <c r="LD89" s="43"/>
      <c r="LE89" s="46"/>
      <c r="LG89" s="47">
        <v>0</v>
      </c>
      <c r="LH89" s="45"/>
      <c r="LK89">
        <v>120</v>
      </c>
      <c r="LL89">
        <v>120</v>
      </c>
      <c r="LM89" s="47">
        <v>0</v>
      </c>
      <c r="LN89" s="45"/>
      <c r="LO89">
        <v>56</v>
      </c>
      <c r="LP89">
        <v>60</v>
      </c>
      <c r="LS89" s="47">
        <v>-4</v>
      </c>
      <c r="LT89" s="45"/>
      <c r="LX89">
        <v>80</v>
      </c>
      <c r="LY89" s="50">
        <v>-80</v>
      </c>
      <c r="LZ89" s="45">
        <v>22.4</v>
      </c>
      <c r="MA89">
        <v>48</v>
      </c>
      <c r="MB89">
        <v>50</v>
      </c>
      <c r="MC89">
        <v>136</v>
      </c>
      <c r="MD89">
        <v>140</v>
      </c>
      <c r="ME89" s="47">
        <v>-6</v>
      </c>
      <c r="MF89" s="45"/>
      <c r="MG89" s="40">
        <v>16</v>
      </c>
      <c r="MH89">
        <v>16</v>
      </c>
      <c r="MM89" s="47">
        <v>0</v>
      </c>
      <c r="MN89" s="45"/>
      <c r="MO89" s="44">
        <v>0</v>
      </c>
      <c r="MP89" s="44">
        <v>0</v>
      </c>
      <c r="MQ89" s="44">
        <v>0</v>
      </c>
      <c r="MR89" s="44">
        <v>0</v>
      </c>
      <c r="MS89" s="47">
        <v>0</v>
      </c>
      <c r="MT89" s="45"/>
      <c r="MU89" s="44">
        <v>96</v>
      </c>
      <c r="MV89" s="44">
        <v>100</v>
      </c>
      <c r="MW89" s="44">
        <v>96</v>
      </c>
      <c r="MX89" s="44">
        <v>100</v>
      </c>
      <c r="MY89" s="47">
        <v>-8</v>
      </c>
      <c r="MZ89" s="45"/>
      <c r="NA89" s="46">
        <v>40</v>
      </c>
      <c r="NB89" s="44">
        <v>40</v>
      </c>
      <c r="NC89" s="47">
        <v>0</v>
      </c>
      <c r="ND89" s="45"/>
      <c r="NE89" s="46">
        <v>0</v>
      </c>
      <c r="NF89" s="44">
        <v>0</v>
      </c>
      <c r="NG89" s="44">
        <v>0</v>
      </c>
      <c r="NH89" s="44">
        <v>0</v>
      </c>
      <c r="NI89" s="44">
        <v>0</v>
      </c>
      <c r="NJ89" s="47">
        <v>0</v>
      </c>
      <c r="NK89" s="45"/>
      <c r="NL89" s="46">
        <v>80</v>
      </c>
      <c r="NM89" s="44">
        <v>80</v>
      </c>
      <c r="NN89" s="44">
        <v>192</v>
      </c>
      <c r="NO89" s="44">
        <v>190</v>
      </c>
      <c r="NP89" s="47">
        <v>2</v>
      </c>
      <c r="NQ89" s="45"/>
      <c r="NR89" s="46">
        <v>24</v>
      </c>
      <c r="NS89" s="44">
        <v>24</v>
      </c>
      <c r="NT89" s="47">
        <v>0</v>
      </c>
      <c r="NU89" s="45"/>
      <c r="NV89" s="46">
        <v>0</v>
      </c>
      <c r="NW89" s="44">
        <v>0</v>
      </c>
      <c r="NX89" s="44">
        <v>0</v>
      </c>
      <c r="NY89" s="44">
        <v>0</v>
      </c>
      <c r="NZ89" s="47">
        <v>0</v>
      </c>
      <c r="OA89" s="45"/>
      <c r="OB89" s="46">
        <v>192</v>
      </c>
      <c r="OC89" s="44">
        <v>190</v>
      </c>
      <c r="OD89" s="47">
        <v>2</v>
      </c>
      <c r="OE89" s="45"/>
      <c r="OF89" s="46">
        <v>0</v>
      </c>
      <c r="OG89" s="44">
        <v>0</v>
      </c>
      <c r="OH89" s="44">
        <v>24</v>
      </c>
      <c r="OI89" s="44">
        <v>23</v>
      </c>
      <c r="OJ89" s="47">
        <v>1</v>
      </c>
      <c r="OK89" s="45"/>
      <c r="OL89" s="44">
        <v>0</v>
      </c>
      <c r="OM89" s="43"/>
      <c r="ON89" s="44">
        <v>0</v>
      </c>
      <c r="OO89" s="44">
        <v>0</v>
      </c>
      <c r="OP89" s="47">
        <v>0</v>
      </c>
      <c r="OQ89" s="45"/>
      <c r="OR89" s="46">
        <v>0</v>
      </c>
      <c r="OS89" s="44">
        <v>0</v>
      </c>
      <c r="OT89" s="44">
        <v>16</v>
      </c>
      <c r="OU89" s="44">
        <v>20</v>
      </c>
      <c r="OV89" s="47">
        <v>-4</v>
      </c>
      <c r="OW89" s="45"/>
      <c r="OX89" s="25">
        <v>96</v>
      </c>
      <c r="OY89" s="44">
        <v>0</v>
      </c>
      <c r="OZ89" s="44">
        <v>56</v>
      </c>
      <c r="PA89" s="44">
        <v>60</v>
      </c>
      <c r="PB89" s="47">
        <v>92</v>
      </c>
      <c r="PC89" s="45"/>
      <c r="PD89" s="46">
        <v>80</v>
      </c>
      <c r="PE89" s="44">
        <v>80</v>
      </c>
      <c r="PF89" s="44">
        <v>136</v>
      </c>
      <c r="PG89" s="44">
        <v>140</v>
      </c>
      <c r="PH89" s="47">
        <v>-4</v>
      </c>
      <c r="PI89" s="45"/>
      <c r="PJ89" s="46">
        <v>0</v>
      </c>
      <c r="PK89" s="44">
        <v>0</v>
      </c>
      <c r="PL89" s="44">
        <v>0</v>
      </c>
      <c r="PM89" s="44">
        <v>0</v>
      </c>
      <c r="PN89" s="47">
        <v>0</v>
      </c>
      <c r="PO89" s="45"/>
      <c r="PP89" s="46">
        <v>0</v>
      </c>
      <c r="PQ89" s="44">
        <v>0</v>
      </c>
      <c r="PR89" s="44">
        <v>48</v>
      </c>
      <c r="PS89" s="44">
        <v>50</v>
      </c>
      <c r="PT89" s="47">
        <v>-2</v>
      </c>
      <c r="PU89" s="45"/>
      <c r="PV89" s="46">
        <v>152</v>
      </c>
      <c r="PW89" s="44">
        <v>150</v>
      </c>
      <c r="PX89" s="47">
        <v>2</v>
      </c>
      <c r="PY89" s="45"/>
      <c r="PZ89" s="46">
        <v>0</v>
      </c>
      <c r="QA89" s="44">
        <v>0</v>
      </c>
      <c r="QB89" s="47">
        <v>0</v>
      </c>
      <c r="QC89" s="45"/>
      <c r="QD89" s="46">
        <v>0</v>
      </c>
      <c r="QE89" s="44">
        <v>0</v>
      </c>
      <c r="QF89" s="44">
        <v>48</v>
      </c>
      <c r="QG89" s="44">
        <v>50</v>
      </c>
      <c r="QH89" s="47">
        <v>-2</v>
      </c>
      <c r="QI89" s="45"/>
      <c r="QJ89" s="46">
        <v>0</v>
      </c>
      <c r="QK89" s="44">
        <v>0</v>
      </c>
      <c r="QL89" s="47">
        <v>0</v>
      </c>
      <c r="QM89" s="45"/>
      <c r="QN89" s="46">
        <v>0</v>
      </c>
      <c r="QO89" s="44">
        <v>0</v>
      </c>
      <c r="QP89" s="44">
        <v>0</v>
      </c>
      <c r="QQ89" s="44">
        <v>0</v>
      </c>
      <c r="QR89" s="47">
        <v>0</v>
      </c>
      <c r="QS89" s="45"/>
      <c r="QT89" s="46">
        <v>0</v>
      </c>
      <c r="QU89" s="44">
        <v>0</v>
      </c>
      <c r="QV89" s="47">
        <v>0</v>
      </c>
      <c r="QW89" s="45"/>
      <c r="QX89" s="46">
        <v>0</v>
      </c>
      <c r="QY89" s="44">
        <v>0</v>
      </c>
      <c r="QZ89" s="44">
        <v>40</v>
      </c>
      <c r="RA89" s="44">
        <v>38</v>
      </c>
      <c r="RB89" s="47">
        <v>2</v>
      </c>
      <c r="RC89" s="45"/>
      <c r="RD89" s="42">
        <v>0</v>
      </c>
      <c r="RE89" s="44">
        <v>0</v>
      </c>
      <c r="RF89" s="44">
        <v>48</v>
      </c>
      <c r="RG89" s="44">
        <v>49</v>
      </c>
      <c r="RH89" s="47">
        <v>-1</v>
      </c>
      <c r="RI89" s="45"/>
      <c r="RJ89" s="42">
        <v>0</v>
      </c>
      <c r="RK89" s="47">
        <v>0</v>
      </c>
      <c r="RL89" s="47">
        <v>0</v>
      </c>
      <c r="RM89" s="47">
        <v>0</v>
      </c>
      <c r="RN89" s="47">
        <v>0</v>
      </c>
      <c r="RO89" s="43"/>
      <c r="RP89" s="42">
        <v>0</v>
      </c>
      <c r="RQ89" s="47">
        <v>0</v>
      </c>
      <c r="RR89" s="47">
        <v>0</v>
      </c>
      <c r="RS89" s="43"/>
      <c r="RT89" s="42">
        <v>0</v>
      </c>
      <c r="RU89" s="47">
        <v>0</v>
      </c>
      <c r="RV89" s="47">
        <v>0</v>
      </c>
      <c r="RW89" s="47">
        <v>0</v>
      </c>
      <c r="RX89" s="47">
        <v>0</v>
      </c>
      <c r="RY89" s="43"/>
      <c r="RZ89" s="42">
        <v>40</v>
      </c>
      <c r="SA89" s="47">
        <v>40</v>
      </c>
      <c r="SB89" s="47">
        <v>0</v>
      </c>
      <c r="SC89" s="47">
        <v>0</v>
      </c>
      <c r="SD89" s="47">
        <v>0</v>
      </c>
      <c r="SE89" s="43"/>
      <c r="SF89" s="42">
        <v>264</v>
      </c>
      <c r="SG89" s="47">
        <v>269</v>
      </c>
      <c r="SH89" s="47">
        <v>496</v>
      </c>
      <c r="SI89" s="47">
        <v>0</v>
      </c>
      <c r="SJ89" s="47">
        <v>491</v>
      </c>
      <c r="SK89" s="43"/>
      <c r="SL89" s="42">
        <v>136</v>
      </c>
      <c r="SM89" s="47">
        <v>134</v>
      </c>
      <c r="SN89" s="47">
        <v>2</v>
      </c>
      <c r="SO89" s="43"/>
      <c r="SP89" s="42">
        <v>0</v>
      </c>
      <c r="SQ89" s="47">
        <v>0</v>
      </c>
      <c r="SR89" s="47">
        <v>0</v>
      </c>
      <c r="SS89" s="47">
        <v>0</v>
      </c>
      <c r="ST89" s="47">
        <v>0</v>
      </c>
      <c r="SU89" s="43"/>
    </row>
    <row r="90" spans="1:515" x14ac:dyDescent="0.25">
      <c r="A90" s="47" t="s">
        <v>397</v>
      </c>
      <c r="B90" s="41">
        <v>0.28000000000000003</v>
      </c>
      <c r="J90" s="42"/>
      <c r="K90" s="51"/>
      <c r="L90" s="51"/>
      <c r="M90" s="51"/>
      <c r="N90" s="51">
        <f t="shared" si="12"/>
        <v>0</v>
      </c>
      <c r="O90" s="43"/>
      <c r="P90" s="46"/>
      <c r="Q90" s="51"/>
      <c r="R90" s="51"/>
      <c r="S90" s="51"/>
      <c r="T90" s="51">
        <f t="shared" si="13"/>
        <v>0</v>
      </c>
      <c r="U90" s="43"/>
      <c r="V90" s="42"/>
      <c r="W90" s="51"/>
      <c r="X90" s="51"/>
      <c r="Y90" s="51"/>
      <c r="Z90" s="51">
        <f t="shared" si="14"/>
        <v>0</v>
      </c>
      <c r="AA90" s="43"/>
      <c r="AB90" s="42"/>
      <c r="AC90" s="51"/>
      <c r="AD90" s="51"/>
      <c r="AE90" s="51"/>
      <c r="AF90" s="51">
        <v>0</v>
      </c>
      <c r="AG90" s="43"/>
      <c r="AH90" s="51"/>
      <c r="AL90" s="47">
        <v>0</v>
      </c>
      <c r="AM90" s="43"/>
      <c r="AN90" s="42"/>
      <c r="AR90" s="47">
        <v>0</v>
      </c>
      <c r="AS90" s="43"/>
      <c r="AX90" s="47">
        <v>0</v>
      </c>
      <c r="AY90" s="43"/>
      <c r="BD90" s="47">
        <v>0</v>
      </c>
      <c r="BE90" s="43"/>
      <c r="BF90" s="42"/>
      <c r="BJ90" s="47">
        <v>0</v>
      </c>
      <c r="BK90" s="43"/>
      <c r="BL90" s="42"/>
      <c r="BP90" s="47">
        <v>0</v>
      </c>
      <c r="BQ90" s="43"/>
      <c r="BV90" s="47">
        <v>0</v>
      </c>
      <c r="BW90" s="43"/>
      <c r="BX90" s="42"/>
      <c r="CB90" s="47">
        <v>0</v>
      </c>
      <c r="CC90" s="43"/>
      <c r="CH90" s="47">
        <v>0</v>
      </c>
      <c r="CI90" s="43"/>
      <c r="CN90" s="47">
        <v>0</v>
      </c>
      <c r="CO90" s="43"/>
      <c r="CP90" s="42"/>
      <c r="CT90" s="47">
        <v>0</v>
      </c>
      <c r="CU90" s="43"/>
      <c r="CV90" s="42"/>
      <c r="CZ90" s="47">
        <v>0</v>
      </c>
      <c r="DA90" s="43"/>
      <c r="DG90" s="47">
        <v>0</v>
      </c>
      <c r="DH90" s="43"/>
      <c r="DK90" s="47">
        <v>0</v>
      </c>
      <c r="DL90" s="43"/>
      <c r="DM90" s="42"/>
      <c r="DQ90" s="47">
        <v>0</v>
      </c>
      <c r="DR90" s="43"/>
      <c r="DW90" s="47">
        <v>0</v>
      </c>
      <c r="DX90" s="43"/>
      <c r="EC90" s="47">
        <v>0</v>
      </c>
      <c r="ED90" s="43"/>
      <c r="EE90" s="42"/>
      <c r="EI90" s="47">
        <v>0</v>
      </c>
      <c r="EJ90" s="43"/>
      <c r="EO90" s="47">
        <v>0</v>
      </c>
      <c r="EP90" s="43"/>
      <c r="EQ90" s="42"/>
      <c r="EU90" s="47">
        <v>0</v>
      </c>
      <c r="EV90" s="43"/>
      <c r="EW90" s="42"/>
      <c r="FC90" s="47">
        <v>0</v>
      </c>
      <c r="FD90" s="43"/>
      <c r="FE90" s="42"/>
      <c r="FI90" s="47">
        <v>0</v>
      </c>
      <c r="FJ90" s="43"/>
      <c r="FQ90" s="47">
        <v>0</v>
      </c>
      <c r="FR90" s="43"/>
      <c r="FS90" s="42"/>
      <c r="FW90" s="47">
        <v>0</v>
      </c>
      <c r="FX90" s="43"/>
      <c r="FY90" s="42"/>
      <c r="GC90" s="47">
        <v>0</v>
      </c>
      <c r="GD90" s="43"/>
      <c r="GE90" s="42"/>
      <c r="GI90" s="47">
        <v>0</v>
      </c>
      <c r="GJ90" s="43"/>
      <c r="GQ90" s="47">
        <v>0</v>
      </c>
      <c r="GR90" s="43"/>
      <c r="GX90" s="47">
        <v>0</v>
      </c>
      <c r="GY90" s="43"/>
      <c r="GZ90" s="42"/>
      <c r="HC90" s="47">
        <v>0</v>
      </c>
      <c r="HD90" s="43"/>
      <c r="HE90" s="42"/>
      <c r="HH90" s="47">
        <v>0</v>
      </c>
      <c r="HI90" s="43"/>
      <c r="HN90" s="47">
        <v>0</v>
      </c>
      <c r="HO90" s="43"/>
      <c r="HP90" s="42"/>
      <c r="HU90" s="47">
        <v>0</v>
      </c>
      <c r="HV90" s="43"/>
      <c r="IA90" s="47">
        <v>0</v>
      </c>
      <c r="IB90" s="43"/>
      <c r="IC90" s="42"/>
      <c r="IG90" s="47">
        <v>0</v>
      </c>
      <c r="IH90" s="43"/>
      <c r="IM90" s="47">
        <v>0</v>
      </c>
      <c r="IN90" s="43"/>
      <c r="IO90" s="42"/>
      <c r="IQ90" s="47">
        <v>0</v>
      </c>
      <c r="IR90" s="43"/>
      <c r="IS90" s="42"/>
      <c r="IW90" s="47">
        <v>0</v>
      </c>
      <c r="IX90" s="43"/>
      <c r="IY90" s="42"/>
      <c r="JA90" s="47">
        <v>0</v>
      </c>
      <c r="JB90" s="43"/>
      <c r="JC90" s="42"/>
      <c r="JG90" s="47">
        <v>0</v>
      </c>
      <c r="JH90" s="43"/>
      <c r="JO90" s="47">
        <v>0</v>
      </c>
      <c r="JP90" s="43"/>
      <c r="JQ90" s="42"/>
      <c r="JU90" s="47">
        <v>0</v>
      </c>
      <c r="JV90" s="43"/>
      <c r="KA90" s="47">
        <v>0</v>
      </c>
      <c r="KB90" s="45"/>
      <c r="KG90" s="47">
        <v>0</v>
      </c>
      <c r="KH90" s="45"/>
      <c r="KM90" s="47">
        <v>0</v>
      </c>
      <c r="KN90" s="45"/>
      <c r="KS90" s="47">
        <v>0</v>
      </c>
      <c r="KT90" s="43"/>
      <c r="KW90" s="47">
        <v>0</v>
      </c>
      <c r="KX90" s="45"/>
      <c r="LC90" s="47">
        <v>0</v>
      </c>
      <c r="LD90" s="43"/>
      <c r="LE90" s="46"/>
      <c r="LG90" s="47">
        <v>0</v>
      </c>
      <c r="LH90" s="45"/>
      <c r="LM90" s="47">
        <v>0</v>
      </c>
      <c r="LN90" s="45"/>
      <c r="LS90" s="47">
        <v>0</v>
      </c>
      <c r="LT90" s="45"/>
      <c r="LY90" s="47">
        <v>0</v>
      </c>
      <c r="LZ90" s="45"/>
      <c r="ME90" s="47">
        <v>0</v>
      </c>
      <c r="MF90" s="45"/>
      <c r="MG90" s="46"/>
      <c r="MM90" s="47">
        <v>0</v>
      </c>
      <c r="MN90" s="45"/>
      <c r="MO90" s="44">
        <v>0</v>
      </c>
      <c r="MP90" s="44">
        <v>0</v>
      </c>
      <c r="MQ90" s="44">
        <v>0</v>
      </c>
      <c r="MR90" s="44">
        <v>0</v>
      </c>
      <c r="MS90" s="47">
        <v>0</v>
      </c>
      <c r="MT90" s="45"/>
      <c r="MU90" s="44">
        <v>0</v>
      </c>
      <c r="MV90" s="44">
        <v>0</v>
      </c>
      <c r="MW90" s="44">
        <v>0</v>
      </c>
      <c r="MX90" s="44">
        <v>0</v>
      </c>
      <c r="MY90" s="47">
        <v>0</v>
      </c>
      <c r="MZ90" s="45"/>
      <c r="NA90" s="46">
        <v>0</v>
      </c>
      <c r="NB90" s="44">
        <v>0</v>
      </c>
      <c r="NC90" s="47">
        <v>0</v>
      </c>
      <c r="ND90" s="45"/>
      <c r="NE90" s="46">
        <v>0</v>
      </c>
      <c r="NF90" s="44">
        <v>0</v>
      </c>
      <c r="NG90" s="44">
        <v>0</v>
      </c>
      <c r="NH90" s="44">
        <v>0</v>
      </c>
      <c r="NI90" s="44">
        <v>0</v>
      </c>
      <c r="NJ90" s="47">
        <v>0</v>
      </c>
      <c r="NK90" s="45"/>
      <c r="NL90" s="46">
        <v>0</v>
      </c>
      <c r="NM90" s="44">
        <v>0</v>
      </c>
      <c r="NN90" s="44">
        <v>0</v>
      </c>
      <c r="NO90" s="44">
        <v>0</v>
      </c>
      <c r="NP90" s="47">
        <v>0</v>
      </c>
      <c r="NQ90" s="45"/>
      <c r="NR90" s="46">
        <v>0</v>
      </c>
      <c r="NS90" s="44">
        <v>0</v>
      </c>
      <c r="NT90" s="47">
        <v>0</v>
      </c>
      <c r="NU90" s="45"/>
      <c r="NV90" s="46">
        <v>0</v>
      </c>
      <c r="NW90" s="44">
        <v>0</v>
      </c>
      <c r="NX90" s="44">
        <v>0</v>
      </c>
      <c r="NY90" s="44">
        <v>0</v>
      </c>
      <c r="NZ90" s="47">
        <v>0</v>
      </c>
      <c r="OA90" s="45"/>
      <c r="OB90" s="46">
        <v>0</v>
      </c>
      <c r="OC90" s="44">
        <v>0</v>
      </c>
      <c r="OD90" s="47">
        <v>0</v>
      </c>
      <c r="OE90" s="45"/>
      <c r="OF90" s="46">
        <v>0</v>
      </c>
      <c r="OG90" s="44">
        <v>0</v>
      </c>
      <c r="OH90" s="44">
        <v>0</v>
      </c>
      <c r="OI90" s="44">
        <v>0</v>
      </c>
      <c r="OJ90" s="47">
        <v>0</v>
      </c>
      <c r="OK90" s="45"/>
      <c r="OL90" s="44">
        <v>0</v>
      </c>
      <c r="OM90" s="43"/>
      <c r="ON90" s="44">
        <v>0</v>
      </c>
      <c r="OO90" s="44">
        <v>0</v>
      </c>
      <c r="OP90" s="47">
        <v>0</v>
      </c>
      <c r="OQ90" s="45"/>
      <c r="OR90" s="46">
        <v>0</v>
      </c>
      <c r="OS90" s="44">
        <v>0</v>
      </c>
      <c r="OT90" s="44">
        <v>0</v>
      </c>
      <c r="OU90" s="44">
        <v>0</v>
      </c>
      <c r="OV90" s="47">
        <v>0</v>
      </c>
      <c r="OW90" s="45"/>
      <c r="OX90" s="46">
        <v>0</v>
      </c>
      <c r="OY90" s="44">
        <v>0</v>
      </c>
      <c r="OZ90" s="44">
        <v>0</v>
      </c>
      <c r="PA90" s="44">
        <v>0</v>
      </c>
      <c r="PB90" s="47">
        <v>0</v>
      </c>
      <c r="PC90" s="45"/>
      <c r="PD90" s="46">
        <v>0</v>
      </c>
      <c r="PE90" s="44">
        <v>0</v>
      </c>
      <c r="PF90" s="44">
        <v>0</v>
      </c>
      <c r="PG90" s="44">
        <v>0</v>
      </c>
      <c r="PH90" s="47">
        <v>0</v>
      </c>
      <c r="PI90" s="45"/>
      <c r="PJ90" s="46">
        <v>0</v>
      </c>
      <c r="PK90" s="44">
        <v>0</v>
      </c>
      <c r="PL90" s="44">
        <v>0</v>
      </c>
      <c r="PM90" s="44">
        <v>0</v>
      </c>
      <c r="PN90" s="47">
        <v>0</v>
      </c>
      <c r="PO90" s="45"/>
      <c r="PP90" s="46">
        <v>0</v>
      </c>
      <c r="PQ90" s="44">
        <v>0</v>
      </c>
      <c r="PR90" s="44">
        <v>0</v>
      </c>
      <c r="PS90" s="44">
        <v>0</v>
      </c>
      <c r="PT90" s="47">
        <v>0</v>
      </c>
      <c r="PU90" s="45"/>
      <c r="PV90" s="46">
        <v>0</v>
      </c>
      <c r="PW90" s="44">
        <v>0</v>
      </c>
      <c r="PX90" s="47">
        <v>0</v>
      </c>
      <c r="PY90" s="45"/>
      <c r="PZ90" s="46">
        <v>0</v>
      </c>
      <c r="QA90" s="44">
        <v>0</v>
      </c>
      <c r="QB90" s="47">
        <v>0</v>
      </c>
      <c r="QC90" s="45"/>
      <c r="QD90" s="46">
        <v>0</v>
      </c>
      <c r="QE90" s="44">
        <v>0</v>
      </c>
      <c r="QF90" s="44">
        <v>0</v>
      </c>
      <c r="QG90" s="44">
        <v>0</v>
      </c>
      <c r="QH90" s="47">
        <v>0</v>
      </c>
      <c r="QI90" s="45"/>
      <c r="QJ90" s="46">
        <v>0</v>
      </c>
      <c r="QK90" s="44">
        <v>0</v>
      </c>
      <c r="QL90" s="47">
        <v>0</v>
      </c>
      <c r="QM90" s="45"/>
      <c r="QN90" s="46">
        <v>0</v>
      </c>
      <c r="QO90" s="44">
        <v>0</v>
      </c>
      <c r="QP90" s="44">
        <v>0</v>
      </c>
      <c r="QQ90" s="44">
        <v>0</v>
      </c>
      <c r="QR90" s="47">
        <v>0</v>
      </c>
      <c r="QS90" s="45"/>
      <c r="QT90" s="46">
        <v>0</v>
      </c>
      <c r="QU90" s="44">
        <v>0</v>
      </c>
      <c r="QV90" s="47">
        <v>0</v>
      </c>
      <c r="QW90" s="45"/>
      <c r="QX90" s="46">
        <v>0</v>
      </c>
      <c r="QY90" s="44">
        <v>0</v>
      </c>
      <c r="QZ90" s="44">
        <v>0</v>
      </c>
      <c r="RA90" s="44">
        <v>0</v>
      </c>
      <c r="RB90" s="47">
        <v>0</v>
      </c>
      <c r="RC90" s="45"/>
      <c r="RD90" s="42">
        <v>0</v>
      </c>
      <c r="RE90" s="44">
        <v>0</v>
      </c>
      <c r="RF90" s="44">
        <v>0</v>
      </c>
      <c r="RG90" s="44">
        <v>0</v>
      </c>
      <c r="RH90" s="47">
        <v>0</v>
      </c>
      <c r="RI90" s="45"/>
      <c r="RJ90" s="42">
        <v>0</v>
      </c>
      <c r="RK90" s="47">
        <v>0</v>
      </c>
      <c r="RL90" s="47">
        <v>0</v>
      </c>
      <c r="RM90" s="47">
        <v>0</v>
      </c>
      <c r="RN90" s="47">
        <v>0</v>
      </c>
      <c r="RO90" s="43"/>
      <c r="RP90" s="42">
        <v>0</v>
      </c>
      <c r="RQ90" s="47">
        <v>0</v>
      </c>
      <c r="RR90" s="47">
        <v>0</v>
      </c>
      <c r="RS90" s="43"/>
      <c r="RT90" s="42">
        <v>0</v>
      </c>
      <c r="RU90" s="47">
        <v>0</v>
      </c>
      <c r="RV90" s="47">
        <v>0</v>
      </c>
      <c r="RW90" s="47">
        <v>0</v>
      </c>
      <c r="RX90" s="47">
        <v>0</v>
      </c>
      <c r="RY90" s="43"/>
      <c r="RZ90" s="42">
        <v>0</v>
      </c>
      <c r="SA90" s="47">
        <v>0</v>
      </c>
      <c r="SB90" s="47">
        <v>0</v>
      </c>
      <c r="SC90" s="47">
        <v>0</v>
      </c>
      <c r="SD90" s="47">
        <v>0</v>
      </c>
      <c r="SE90" s="43"/>
      <c r="SF90" s="42">
        <v>0</v>
      </c>
      <c r="SG90" s="47">
        <v>0</v>
      </c>
      <c r="SH90" s="47">
        <v>0</v>
      </c>
      <c r="SI90" s="47">
        <v>0</v>
      </c>
      <c r="SJ90" s="47">
        <v>0</v>
      </c>
      <c r="SK90" s="43"/>
      <c r="SL90" s="42">
        <v>0</v>
      </c>
      <c r="SM90" s="7">
        <v>76</v>
      </c>
      <c r="SN90" s="47">
        <v>-4</v>
      </c>
      <c r="SO90" s="43"/>
      <c r="SP90" s="42">
        <v>0</v>
      </c>
      <c r="SQ90" s="47">
        <v>0</v>
      </c>
      <c r="SR90" s="47">
        <v>192</v>
      </c>
      <c r="SS90" s="47">
        <v>191</v>
      </c>
      <c r="ST90" s="47">
        <v>1</v>
      </c>
      <c r="SU90" s="43"/>
    </row>
    <row r="91" spans="1:515" x14ac:dyDescent="0.25">
      <c r="A91" s="47" t="s">
        <v>398</v>
      </c>
      <c r="B91" s="41">
        <v>0.35</v>
      </c>
      <c r="J91" s="42"/>
      <c r="K91" s="51"/>
      <c r="L91" s="51"/>
      <c r="M91" s="51"/>
      <c r="N91" s="51">
        <f t="shared" si="12"/>
        <v>0</v>
      </c>
      <c r="O91" s="43"/>
      <c r="P91" s="46"/>
      <c r="Q91" s="51"/>
      <c r="R91" s="51"/>
      <c r="S91" s="51"/>
      <c r="T91" s="51">
        <f t="shared" si="13"/>
        <v>0</v>
      </c>
      <c r="U91" s="43"/>
      <c r="V91" s="42"/>
      <c r="W91" s="51"/>
      <c r="X91" s="51"/>
      <c r="Y91" s="51"/>
      <c r="Z91" s="51">
        <f t="shared" si="14"/>
        <v>0</v>
      </c>
      <c r="AA91" s="43"/>
      <c r="AB91" s="42"/>
      <c r="AC91" s="51"/>
      <c r="AD91" s="51"/>
      <c r="AE91" s="51"/>
      <c r="AF91" s="51">
        <v>0</v>
      </c>
      <c r="AG91" s="43"/>
      <c r="AH91" s="51"/>
      <c r="AL91" s="47">
        <v>0</v>
      </c>
      <c r="AM91" s="43"/>
      <c r="AN91" s="42"/>
      <c r="AR91" s="47">
        <v>0</v>
      </c>
      <c r="AS91" s="43"/>
      <c r="AX91" s="47">
        <v>0</v>
      </c>
      <c r="AY91" s="43"/>
      <c r="BD91" s="47">
        <v>0</v>
      </c>
      <c r="BE91" s="43"/>
      <c r="BF91" s="42"/>
      <c r="BJ91" s="47">
        <v>0</v>
      </c>
      <c r="BK91" s="43"/>
      <c r="BL91" s="42"/>
      <c r="BP91" s="47">
        <v>0</v>
      </c>
      <c r="BQ91" s="43"/>
      <c r="BV91" s="47">
        <v>0</v>
      </c>
      <c r="BW91" s="43"/>
      <c r="BX91" s="42"/>
      <c r="CB91" s="47">
        <v>0</v>
      </c>
      <c r="CC91" s="43"/>
      <c r="CH91" s="47">
        <v>0</v>
      </c>
      <c r="CI91" s="43"/>
      <c r="CN91" s="47">
        <v>0</v>
      </c>
      <c r="CO91" s="43"/>
      <c r="CP91" s="42"/>
      <c r="CT91" s="47">
        <v>0</v>
      </c>
      <c r="CU91" s="43"/>
      <c r="CV91" s="42"/>
      <c r="CZ91" s="47">
        <v>0</v>
      </c>
      <c r="DA91" s="43"/>
      <c r="DG91" s="47">
        <v>0</v>
      </c>
      <c r="DH91" s="43"/>
      <c r="DK91" s="47">
        <v>0</v>
      </c>
      <c r="DL91" s="43"/>
      <c r="DM91" s="42"/>
      <c r="DQ91" s="47">
        <v>0</v>
      </c>
      <c r="DR91" s="43"/>
      <c r="DW91" s="47">
        <v>0</v>
      </c>
      <c r="DX91" s="43"/>
      <c r="EC91" s="47">
        <v>0</v>
      </c>
      <c r="ED91" s="43"/>
      <c r="EE91" s="42"/>
      <c r="EI91" s="47">
        <v>0</v>
      </c>
      <c r="EJ91" s="43"/>
      <c r="EO91" s="47">
        <v>0</v>
      </c>
      <c r="EP91" s="43"/>
      <c r="EQ91" s="42"/>
      <c r="EU91" s="47">
        <v>0</v>
      </c>
      <c r="EV91" s="43"/>
      <c r="EW91" s="42"/>
      <c r="FC91" s="47">
        <v>0</v>
      </c>
      <c r="FD91" s="43"/>
      <c r="FE91" s="42"/>
      <c r="FI91" s="47">
        <v>0</v>
      </c>
      <c r="FJ91" s="43"/>
      <c r="FQ91" s="47">
        <v>0</v>
      </c>
      <c r="FR91" s="43"/>
      <c r="FS91" s="42"/>
      <c r="FW91" s="47">
        <v>0</v>
      </c>
      <c r="FX91" s="43"/>
      <c r="FY91" s="42"/>
      <c r="GC91" s="47">
        <v>0</v>
      </c>
      <c r="GD91" s="43"/>
      <c r="GE91" s="42"/>
      <c r="GI91" s="47">
        <v>0</v>
      </c>
      <c r="GJ91" s="43"/>
      <c r="GQ91" s="47">
        <v>0</v>
      </c>
      <c r="GR91" s="43"/>
      <c r="GX91" s="47">
        <v>0</v>
      </c>
      <c r="GY91" s="43"/>
      <c r="GZ91" s="42"/>
      <c r="HC91" s="47">
        <v>0</v>
      </c>
      <c r="HD91" s="43"/>
      <c r="HE91" s="42"/>
      <c r="HH91" s="47">
        <v>0</v>
      </c>
      <c r="HI91" s="43"/>
      <c r="HN91" s="47">
        <v>0</v>
      </c>
      <c r="HO91" s="43"/>
      <c r="HP91" s="42"/>
      <c r="HU91" s="47">
        <v>0</v>
      </c>
      <c r="HV91" s="43"/>
      <c r="IA91" s="47">
        <v>0</v>
      </c>
      <c r="IB91" s="43"/>
      <c r="IC91" s="42"/>
      <c r="IG91" s="47">
        <v>0</v>
      </c>
      <c r="IH91" s="43"/>
      <c r="IM91" s="47">
        <v>0</v>
      </c>
      <c r="IN91" s="43"/>
      <c r="IO91" s="42"/>
      <c r="IQ91" s="47">
        <v>0</v>
      </c>
      <c r="IR91" s="43"/>
      <c r="IS91" s="42"/>
      <c r="IW91" s="47">
        <v>0</v>
      </c>
      <c r="IX91" s="43"/>
      <c r="IY91" s="42"/>
      <c r="JA91" s="47">
        <v>0</v>
      </c>
      <c r="JB91" s="43"/>
      <c r="JC91" s="42"/>
      <c r="JG91" s="47">
        <v>0</v>
      </c>
      <c r="JH91" s="43"/>
      <c r="JM91">
        <v>480</v>
      </c>
      <c r="JN91">
        <v>480</v>
      </c>
      <c r="JO91" s="47">
        <v>0</v>
      </c>
      <c r="JP91" s="43"/>
      <c r="JQ91" s="40">
        <v>248</v>
      </c>
      <c r="JR91">
        <v>250</v>
      </c>
      <c r="JS91">
        <v>200</v>
      </c>
      <c r="JT91">
        <v>200</v>
      </c>
      <c r="JU91" s="47">
        <v>-2</v>
      </c>
      <c r="JV91" s="43"/>
      <c r="JW91">
        <v>96</v>
      </c>
      <c r="JX91">
        <v>100</v>
      </c>
      <c r="JY91">
        <v>152</v>
      </c>
      <c r="JZ91">
        <v>150</v>
      </c>
      <c r="KA91" s="47">
        <v>-2</v>
      </c>
      <c r="KB91" s="45"/>
      <c r="KC91">
        <v>248</v>
      </c>
      <c r="KD91">
        <v>250</v>
      </c>
      <c r="KE91">
        <v>352</v>
      </c>
      <c r="KF91">
        <v>350</v>
      </c>
      <c r="KG91" s="47">
        <v>0</v>
      </c>
      <c r="KH91" s="45"/>
      <c r="KI91">
        <v>296</v>
      </c>
      <c r="KJ91">
        <v>300</v>
      </c>
      <c r="KK91">
        <v>256</v>
      </c>
      <c r="KL91">
        <v>260</v>
      </c>
      <c r="KM91" s="47">
        <v>-8</v>
      </c>
      <c r="KN91" s="45"/>
      <c r="KO91">
        <v>168</v>
      </c>
      <c r="KP91">
        <v>170</v>
      </c>
      <c r="KQ91">
        <v>96</v>
      </c>
      <c r="KR91">
        <v>100</v>
      </c>
      <c r="KS91" s="47">
        <v>-6</v>
      </c>
      <c r="KT91" s="43"/>
      <c r="KW91" s="47">
        <v>0</v>
      </c>
      <c r="KX91" s="45"/>
      <c r="KY91">
        <v>352</v>
      </c>
      <c r="KZ91">
        <v>350</v>
      </c>
      <c r="LA91">
        <v>312</v>
      </c>
      <c r="LB91">
        <v>311</v>
      </c>
      <c r="LC91" s="47">
        <v>3</v>
      </c>
      <c r="LD91" s="43"/>
      <c r="LE91" s="40">
        <v>320</v>
      </c>
      <c r="LF91" s="44">
        <v>320</v>
      </c>
      <c r="LG91" s="47">
        <v>0</v>
      </c>
      <c r="LH91" s="45"/>
      <c r="LK91">
        <v>320</v>
      </c>
      <c r="LL91">
        <v>320</v>
      </c>
      <c r="LM91" s="47">
        <v>0</v>
      </c>
      <c r="LN91" s="45"/>
      <c r="LO91">
        <v>120</v>
      </c>
      <c r="LP91">
        <v>120</v>
      </c>
      <c r="LQ91">
        <v>48</v>
      </c>
      <c r="LR91">
        <v>50</v>
      </c>
      <c r="LS91" s="47">
        <v>-2</v>
      </c>
      <c r="LT91" s="45"/>
      <c r="LU91">
        <v>152</v>
      </c>
      <c r="LV91">
        <v>150</v>
      </c>
      <c r="LW91">
        <v>272</v>
      </c>
      <c r="LX91">
        <v>270</v>
      </c>
      <c r="LY91" s="47">
        <v>4</v>
      </c>
      <c r="LZ91" s="45"/>
      <c r="MA91">
        <v>80</v>
      </c>
      <c r="MB91">
        <v>80</v>
      </c>
      <c r="MC91">
        <v>40</v>
      </c>
      <c r="MD91">
        <v>40</v>
      </c>
      <c r="ME91" s="47">
        <v>0</v>
      </c>
      <c r="MF91" s="45"/>
      <c r="MG91" s="40">
        <v>96</v>
      </c>
      <c r="MH91">
        <v>100</v>
      </c>
      <c r="MI91">
        <v>96</v>
      </c>
      <c r="MJ91">
        <v>100</v>
      </c>
      <c r="MK91">
        <v>96</v>
      </c>
      <c r="ML91">
        <v>100</v>
      </c>
      <c r="MM91" s="47">
        <v>-12</v>
      </c>
      <c r="MN91" s="45"/>
      <c r="MO91" s="44">
        <v>200</v>
      </c>
      <c r="MP91" s="44">
        <v>200</v>
      </c>
      <c r="MQ91" s="44">
        <v>216</v>
      </c>
      <c r="MR91" s="44">
        <v>218</v>
      </c>
      <c r="MS91" s="47">
        <v>-2</v>
      </c>
      <c r="MT91" s="45"/>
      <c r="MU91" s="44">
        <v>0</v>
      </c>
      <c r="MV91" s="44">
        <v>0</v>
      </c>
      <c r="MW91" s="44">
        <v>0</v>
      </c>
      <c r="MX91" s="44">
        <v>0</v>
      </c>
      <c r="MY91" s="47">
        <v>0</v>
      </c>
      <c r="MZ91" s="45"/>
      <c r="NA91" s="46">
        <v>0</v>
      </c>
      <c r="NB91" s="44">
        <v>0</v>
      </c>
      <c r="NC91" s="47">
        <v>0</v>
      </c>
      <c r="ND91" s="45"/>
      <c r="NE91" s="46">
        <v>600</v>
      </c>
      <c r="NF91" s="44">
        <v>600</v>
      </c>
      <c r="NG91" s="44">
        <v>528</v>
      </c>
      <c r="NH91" s="44">
        <v>0</v>
      </c>
      <c r="NI91" s="44">
        <v>526</v>
      </c>
      <c r="NJ91" s="47">
        <v>2</v>
      </c>
      <c r="NK91" s="45"/>
      <c r="NL91" s="46">
        <v>896</v>
      </c>
      <c r="NM91" s="44">
        <v>900</v>
      </c>
      <c r="NN91" s="44">
        <v>600</v>
      </c>
      <c r="NO91" s="44">
        <v>600</v>
      </c>
      <c r="NP91" s="47">
        <v>-4</v>
      </c>
      <c r="NQ91" s="45"/>
      <c r="NR91" s="46">
        <v>1000</v>
      </c>
      <c r="NS91" s="44">
        <v>1000</v>
      </c>
      <c r="NT91" s="47">
        <v>0</v>
      </c>
      <c r="NU91" s="45"/>
      <c r="NV91" s="46">
        <v>0</v>
      </c>
      <c r="NW91" s="44">
        <v>0</v>
      </c>
      <c r="NX91" s="44">
        <v>432</v>
      </c>
      <c r="NY91" s="44">
        <v>431</v>
      </c>
      <c r="NZ91" s="47">
        <v>1</v>
      </c>
      <c r="OA91" s="45"/>
      <c r="OB91" s="46">
        <v>456</v>
      </c>
      <c r="OC91" s="44">
        <v>460</v>
      </c>
      <c r="OD91" s="47">
        <v>-4</v>
      </c>
      <c r="OE91" s="45"/>
      <c r="OF91" s="46">
        <v>0</v>
      </c>
      <c r="OG91" s="44">
        <v>0</v>
      </c>
      <c r="OH91" s="44">
        <v>72</v>
      </c>
      <c r="OI91" s="44">
        <v>77</v>
      </c>
      <c r="OJ91" s="47">
        <v>-5</v>
      </c>
      <c r="OK91" s="45"/>
      <c r="OL91" s="44">
        <v>0</v>
      </c>
      <c r="OM91" s="43"/>
      <c r="ON91" s="44">
        <v>0</v>
      </c>
      <c r="OO91" s="44">
        <v>0</v>
      </c>
      <c r="OP91" s="47">
        <v>0</v>
      </c>
      <c r="OQ91" s="45"/>
      <c r="OR91" s="46">
        <v>0</v>
      </c>
      <c r="OS91" s="44">
        <v>0</v>
      </c>
      <c r="OT91" s="44">
        <v>0</v>
      </c>
      <c r="OU91" s="44">
        <v>0</v>
      </c>
      <c r="OV91" s="47">
        <v>0</v>
      </c>
      <c r="OW91" s="45"/>
      <c r="OX91" s="46">
        <v>0</v>
      </c>
      <c r="OY91" s="44">
        <v>0</v>
      </c>
      <c r="OZ91" s="44">
        <v>0</v>
      </c>
      <c r="PA91" s="44">
        <v>0</v>
      </c>
      <c r="PB91" s="47">
        <v>0</v>
      </c>
      <c r="PC91" s="45"/>
      <c r="PD91" s="46">
        <v>400</v>
      </c>
      <c r="PE91" s="44">
        <v>400</v>
      </c>
      <c r="PF91" s="44">
        <v>448</v>
      </c>
      <c r="PG91" s="44">
        <v>450</v>
      </c>
      <c r="PH91" s="47">
        <v>-2</v>
      </c>
      <c r="PI91" s="45"/>
      <c r="PJ91" s="25">
        <v>448</v>
      </c>
      <c r="PK91" s="44">
        <v>0</v>
      </c>
      <c r="PL91" s="44">
        <v>0</v>
      </c>
      <c r="PM91" s="44">
        <v>0</v>
      </c>
      <c r="PN91" s="47">
        <v>448</v>
      </c>
      <c r="PO91" s="45"/>
      <c r="PP91" s="46">
        <v>200</v>
      </c>
      <c r="PQ91" s="44">
        <v>200</v>
      </c>
      <c r="PR91" s="44">
        <v>248</v>
      </c>
      <c r="PS91" s="44">
        <v>250</v>
      </c>
      <c r="PT91" s="47">
        <v>-2</v>
      </c>
      <c r="PU91" s="45"/>
      <c r="PV91" s="46">
        <v>448</v>
      </c>
      <c r="PW91" s="44">
        <v>450</v>
      </c>
      <c r="PX91" s="47">
        <v>-2</v>
      </c>
      <c r="PY91" s="45"/>
      <c r="PZ91" s="46">
        <v>248</v>
      </c>
      <c r="QA91" s="44">
        <v>255</v>
      </c>
      <c r="QB91" s="47">
        <v>-7</v>
      </c>
      <c r="QC91" s="45"/>
      <c r="QD91" s="46">
        <v>0</v>
      </c>
      <c r="QE91" s="44">
        <v>0</v>
      </c>
      <c r="QF91" s="44">
        <v>96</v>
      </c>
      <c r="QG91" s="44">
        <v>100</v>
      </c>
      <c r="QH91" s="47">
        <v>-4</v>
      </c>
      <c r="QI91" s="45"/>
      <c r="QJ91" s="46">
        <v>0</v>
      </c>
      <c r="QK91" s="44">
        <v>0</v>
      </c>
      <c r="QL91" s="47">
        <v>0</v>
      </c>
      <c r="QM91" s="45"/>
      <c r="QN91" s="46">
        <v>200</v>
      </c>
      <c r="QO91" s="44">
        <v>200</v>
      </c>
      <c r="QP91" s="44">
        <v>152</v>
      </c>
      <c r="QQ91" s="44">
        <v>150</v>
      </c>
      <c r="QR91" s="47">
        <v>2</v>
      </c>
      <c r="QS91" s="45"/>
      <c r="QT91" s="46">
        <v>0</v>
      </c>
      <c r="QU91" s="44">
        <v>0</v>
      </c>
      <c r="QV91" s="47">
        <v>0</v>
      </c>
      <c r="QW91" s="45"/>
      <c r="QX91" s="46">
        <v>0</v>
      </c>
      <c r="QY91" s="44">
        <v>0</v>
      </c>
      <c r="QZ91" s="44">
        <v>104</v>
      </c>
      <c r="RA91" s="44">
        <v>102</v>
      </c>
      <c r="RB91" s="47">
        <v>2</v>
      </c>
      <c r="RC91" s="45"/>
      <c r="RD91" s="42">
        <v>0</v>
      </c>
      <c r="RE91" s="44">
        <v>0</v>
      </c>
      <c r="RF91" s="44">
        <v>144</v>
      </c>
      <c r="RG91" s="44">
        <v>147</v>
      </c>
      <c r="RH91" s="47">
        <v>-3</v>
      </c>
      <c r="RI91" s="45"/>
      <c r="RJ91" s="42">
        <v>88</v>
      </c>
      <c r="RK91" s="47">
        <v>90</v>
      </c>
      <c r="RL91" s="47">
        <v>0</v>
      </c>
      <c r="RM91" s="47">
        <v>0</v>
      </c>
      <c r="RN91" s="47">
        <v>-2</v>
      </c>
      <c r="RO91" s="43"/>
      <c r="RP91" s="42">
        <v>208</v>
      </c>
      <c r="RQ91" s="47">
        <v>209</v>
      </c>
      <c r="RR91" s="47">
        <v>-1</v>
      </c>
      <c r="RS91" s="43"/>
      <c r="RT91" s="42">
        <v>80</v>
      </c>
      <c r="RU91" s="47">
        <v>83</v>
      </c>
      <c r="RV91" s="47">
        <v>80</v>
      </c>
      <c r="RW91" s="47">
        <v>80</v>
      </c>
      <c r="RX91" s="47">
        <v>-3</v>
      </c>
      <c r="RY91" s="43"/>
      <c r="RZ91" s="42">
        <v>0</v>
      </c>
      <c r="SA91" s="47">
        <v>0</v>
      </c>
      <c r="SB91" s="47">
        <v>0</v>
      </c>
      <c r="SC91" s="47">
        <v>0</v>
      </c>
      <c r="SD91" s="47">
        <v>0</v>
      </c>
      <c r="SE91" s="43"/>
      <c r="SF91" s="42">
        <v>160</v>
      </c>
      <c r="SG91" s="47">
        <v>160</v>
      </c>
      <c r="SH91" s="47">
        <v>200</v>
      </c>
      <c r="SI91" s="47">
        <v>300</v>
      </c>
      <c r="SJ91" s="50">
        <v>-100</v>
      </c>
      <c r="SK91" s="43">
        <v>35</v>
      </c>
      <c r="SL91" s="42">
        <v>112</v>
      </c>
      <c r="SM91" s="47">
        <v>114</v>
      </c>
      <c r="SN91" s="47">
        <v>-2</v>
      </c>
      <c r="SO91" s="43"/>
      <c r="SP91" s="42">
        <v>0</v>
      </c>
      <c r="SQ91" s="47">
        <v>0</v>
      </c>
      <c r="SR91" s="47">
        <v>0</v>
      </c>
      <c r="SS91" s="47">
        <v>0</v>
      </c>
      <c r="ST91" s="47">
        <v>0</v>
      </c>
      <c r="SU91" s="43"/>
    </row>
    <row r="92" spans="1:515" x14ac:dyDescent="0.25">
      <c r="A92" s="47" t="s">
        <v>399</v>
      </c>
      <c r="B92" s="41">
        <v>0.28000000000000003</v>
      </c>
      <c r="J92" s="42"/>
      <c r="K92" s="51"/>
      <c r="L92" s="51"/>
      <c r="M92" s="51"/>
      <c r="N92" s="51">
        <f t="shared" si="12"/>
        <v>0</v>
      </c>
      <c r="O92" s="43"/>
      <c r="P92" s="46"/>
      <c r="Q92" s="51"/>
      <c r="R92" s="51"/>
      <c r="S92" s="51"/>
      <c r="T92" s="51">
        <f t="shared" si="13"/>
        <v>0</v>
      </c>
      <c r="U92" s="43"/>
      <c r="V92" s="42"/>
      <c r="W92" s="51"/>
      <c r="X92" s="51"/>
      <c r="Y92" s="51"/>
      <c r="Z92" s="51">
        <f t="shared" si="14"/>
        <v>0</v>
      </c>
      <c r="AA92" s="43"/>
      <c r="AB92" s="42"/>
      <c r="AC92" s="51"/>
      <c r="AD92" s="51"/>
      <c r="AE92" s="51"/>
      <c r="AF92" s="51">
        <v>0</v>
      </c>
      <c r="AG92" s="43"/>
      <c r="AH92" s="51"/>
      <c r="AL92" s="47">
        <v>0</v>
      </c>
      <c r="AM92" s="43"/>
      <c r="AN92" s="42"/>
      <c r="AR92" s="47">
        <v>0</v>
      </c>
      <c r="AS92" s="43"/>
      <c r="AX92" s="47">
        <v>0</v>
      </c>
      <c r="AY92" s="43"/>
      <c r="BD92" s="47">
        <v>0</v>
      </c>
      <c r="BE92" s="43"/>
      <c r="BF92" s="42"/>
      <c r="BJ92" s="47">
        <v>0</v>
      </c>
      <c r="BK92" s="43"/>
      <c r="BL92" s="42"/>
      <c r="BP92" s="47">
        <v>0</v>
      </c>
      <c r="BQ92" s="43"/>
      <c r="BV92" s="47">
        <v>0</v>
      </c>
      <c r="BW92" s="43"/>
      <c r="BX92" s="42"/>
      <c r="CB92" s="47">
        <v>0</v>
      </c>
      <c r="CC92" s="43"/>
      <c r="CH92" s="47">
        <v>0</v>
      </c>
      <c r="CI92" s="43"/>
      <c r="CN92" s="47">
        <v>0</v>
      </c>
      <c r="CO92" s="43"/>
      <c r="CP92" s="42"/>
      <c r="CT92" s="47">
        <v>0</v>
      </c>
      <c r="CU92" s="43"/>
      <c r="CV92" s="42"/>
      <c r="CZ92" s="47">
        <v>0</v>
      </c>
      <c r="DA92" s="43"/>
      <c r="DG92" s="47">
        <v>0</v>
      </c>
      <c r="DH92" s="43"/>
      <c r="DK92" s="47">
        <v>0</v>
      </c>
      <c r="DL92" s="43"/>
      <c r="DM92" s="42"/>
      <c r="DQ92" s="47">
        <v>0</v>
      </c>
      <c r="DR92" s="43"/>
      <c r="DW92" s="47">
        <v>0</v>
      </c>
      <c r="DX92" s="43"/>
      <c r="EC92" s="47">
        <v>0</v>
      </c>
      <c r="ED92" s="43"/>
      <c r="EE92" s="42"/>
      <c r="EI92" s="47">
        <v>0</v>
      </c>
      <c r="EJ92" s="43"/>
      <c r="EO92" s="47">
        <v>0</v>
      </c>
      <c r="EP92" s="43"/>
      <c r="EQ92" s="42"/>
      <c r="EU92" s="47">
        <v>0</v>
      </c>
      <c r="EV92" s="43"/>
      <c r="EW92" s="42"/>
      <c r="FC92" s="47">
        <v>0</v>
      </c>
      <c r="FD92" s="43"/>
      <c r="FE92" s="42"/>
      <c r="FI92" s="47">
        <v>0</v>
      </c>
      <c r="FJ92" s="43"/>
      <c r="FQ92" s="47">
        <v>0</v>
      </c>
      <c r="FR92" s="43"/>
      <c r="FS92" s="42"/>
      <c r="FW92" s="47">
        <v>0</v>
      </c>
      <c r="FX92" s="43"/>
      <c r="FY92" s="42"/>
      <c r="GC92" s="47">
        <v>0</v>
      </c>
      <c r="GD92" s="43"/>
      <c r="GE92" s="42"/>
      <c r="GI92" s="47">
        <v>0</v>
      </c>
      <c r="GJ92" s="43"/>
      <c r="GQ92" s="47">
        <v>0</v>
      </c>
      <c r="GR92" s="43"/>
      <c r="GX92" s="47">
        <v>0</v>
      </c>
      <c r="GY92" s="43"/>
      <c r="GZ92" s="42"/>
      <c r="HC92" s="47">
        <v>0</v>
      </c>
      <c r="HD92" s="43"/>
      <c r="HE92" s="42"/>
      <c r="HG92">
        <v>290</v>
      </c>
      <c r="HH92" s="47">
        <v>-2</v>
      </c>
      <c r="HI92" s="43"/>
      <c r="HM92">
        <v>230</v>
      </c>
      <c r="HN92" s="47">
        <v>2</v>
      </c>
      <c r="HO92" s="43"/>
      <c r="HP92" s="42"/>
      <c r="HT92">
        <v>80</v>
      </c>
      <c r="HU92" s="47">
        <v>0</v>
      </c>
      <c r="HV92" s="43"/>
      <c r="HW92">
        <v>56</v>
      </c>
      <c r="HX92">
        <v>60</v>
      </c>
      <c r="HY92">
        <v>80</v>
      </c>
      <c r="HZ92">
        <v>80</v>
      </c>
      <c r="IA92" s="47">
        <v>-4</v>
      </c>
      <c r="IB92" s="43"/>
      <c r="IC92" s="42"/>
      <c r="IE92">
        <v>120</v>
      </c>
      <c r="IF92">
        <v>120</v>
      </c>
      <c r="IG92" s="47">
        <v>0</v>
      </c>
      <c r="IH92" s="43"/>
      <c r="II92">
        <v>96</v>
      </c>
      <c r="IJ92">
        <v>100</v>
      </c>
      <c r="IK92">
        <v>96</v>
      </c>
      <c r="IL92">
        <v>100</v>
      </c>
      <c r="IM92" s="47">
        <v>-8</v>
      </c>
      <c r="IN92" s="43"/>
      <c r="IO92" s="40">
        <v>32</v>
      </c>
      <c r="IP92" s="44">
        <v>37</v>
      </c>
      <c r="IQ92" s="47">
        <v>-5</v>
      </c>
      <c r="IR92" s="43"/>
      <c r="IS92" s="40">
        <v>96</v>
      </c>
      <c r="IT92">
        <v>100</v>
      </c>
      <c r="IU92">
        <v>120</v>
      </c>
      <c r="IV92">
        <v>120</v>
      </c>
      <c r="IW92" s="47">
        <v>-4</v>
      </c>
      <c r="IX92" s="43"/>
      <c r="IY92" s="42"/>
      <c r="JA92" s="47">
        <v>0</v>
      </c>
      <c r="JB92" s="43"/>
      <c r="JC92" s="40">
        <v>136</v>
      </c>
      <c r="JD92">
        <v>140</v>
      </c>
      <c r="JE92">
        <v>96</v>
      </c>
      <c r="JF92">
        <v>100</v>
      </c>
      <c r="JG92" s="47">
        <v>-8</v>
      </c>
      <c r="JH92" s="43"/>
      <c r="JM92">
        <v>120</v>
      </c>
      <c r="JN92">
        <v>120</v>
      </c>
      <c r="JO92" s="47">
        <v>0</v>
      </c>
      <c r="JP92" s="43"/>
      <c r="JQ92" s="40">
        <v>152</v>
      </c>
      <c r="JR92">
        <v>150</v>
      </c>
      <c r="JS92">
        <v>112</v>
      </c>
      <c r="JT92">
        <v>110</v>
      </c>
      <c r="JU92" s="47">
        <v>4</v>
      </c>
      <c r="JV92" s="43"/>
      <c r="JY92">
        <v>96</v>
      </c>
      <c r="JZ92">
        <v>100</v>
      </c>
      <c r="KA92" s="47">
        <v>-4</v>
      </c>
      <c r="KB92" s="45"/>
      <c r="KC92">
        <v>152</v>
      </c>
      <c r="KD92">
        <v>150</v>
      </c>
      <c r="KE92">
        <v>168</v>
      </c>
      <c r="KF92">
        <v>170</v>
      </c>
      <c r="KG92" s="47">
        <v>0</v>
      </c>
      <c r="KH92" s="45"/>
      <c r="KI92">
        <v>96</v>
      </c>
      <c r="KJ92">
        <v>100</v>
      </c>
      <c r="KK92">
        <v>88</v>
      </c>
      <c r="KL92">
        <v>90</v>
      </c>
      <c r="KM92" s="47">
        <v>-6</v>
      </c>
      <c r="KN92" s="45"/>
      <c r="KO92">
        <v>80</v>
      </c>
      <c r="KP92">
        <v>80</v>
      </c>
      <c r="KQ92">
        <v>56</v>
      </c>
      <c r="KR92">
        <v>60</v>
      </c>
      <c r="KS92" s="47">
        <v>-4</v>
      </c>
      <c r="KT92" s="43"/>
      <c r="KU92">
        <v>200</v>
      </c>
      <c r="KV92">
        <v>200</v>
      </c>
      <c r="KW92" s="47">
        <v>0</v>
      </c>
      <c r="KX92" s="45"/>
      <c r="LA92">
        <v>64</v>
      </c>
      <c r="LB92">
        <v>62</v>
      </c>
      <c r="LC92" s="47">
        <v>2</v>
      </c>
      <c r="LD92" s="43"/>
      <c r="LE92" s="40">
        <v>32</v>
      </c>
      <c r="LF92" s="44">
        <v>30</v>
      </c>
      <c r="LG92" s="47">
        <v>2</v>
      </c>
      <c r="LH92" s="45"/>
      <c r="LK92">
        <v>248</v>
      </c>
      <c r="LL92">
        <v>250</v>
      </c>
      <c r="LM92" s="47">
        <v>-2</v>
      </c>
      <c r="LN92" s="45"/>
      <c r="LP92">
        <v>30</v>
      </c>
      <c r="LS92" s="50">
        <v>-30</v>
      </c>
      <c r="LT92" s="45">
        <v>8.4</v>
      </c>
      <c r="LU92">
        <v>72</v>
      </c>
      <c r="LV92">
        <v>70</v>
      </c>
      <c r="LW92">
        <v>200</v>
      </c>
      <c r="LX92">
        <v>200</v>
      </c>
      <c r="LY92" s="47">
        <v>2</v>
      </c>
      <c r="LZ92" s="45"/>
      <c r="ME92" s="47">
        <v>0</v>
      </c>
      <c r="MF92" s="45"/>
      <c r="MG92" s="40">
        <v>72</v>
      </c>
      <c r="MH92">
        <v>70</v>
      </c>
      <c r="MI92">
        <v>96</v>
      </c>
      <c r="MJ92">
        <v>100</v>
      </c>
      <c r="MK92">
        <v>72</v>
      </c>
      <c r="ML92">
        <v>80</v>
      </c>
      <c r="MM92" s="50">
        <v>-10</v>
      </c>
      <c r="MN92" s="45">
        <v>2.8</v>
      </c>
      <c r="MO92" s="44">
        <v>0</v>
      </c>
      <c r="MP92" s="44">
        <v>0</v>
      </c>
      <c r="MQ92" s="44">
        <v>128</v>
      </c>
      <c r="MR92" s="44">
        <v>130</v>
      </c>
      <c r="MS92" s="47">
        <v>-2</v>
      </c>
      <c r="MT92" s="45"/>
      <c r="MU92" s="44">
        <v>0</v>
      </c>
      <c r="MV92" s="44">
        <v>0</v>
      </c>
      <c r="MW92" s="44">
        <v>80</v>
      </c>
      <c r="MX92" s="44">
        <v>80</v>
      </c>
      <c r="MY92" s="47">
        <v>0</v>
      </c>
      <c r="MZ92" s="45"/>
      <c r="NA92" s="46">
        <v>56</v>
      </c>
      <c r="NB92" s="44">
        <v>60</v>
      </c>
      <c r="NC92" s="47">
        <v>-4</v>
      </c>
      <c r="ND92" s="45"/>
      <c r="NE92" s="46">
        <v>136</v>
      </c>
      <c r="NF92" s="44">
        <v>140</v>
      </c>
      <c r="NG92" s="44">
        <v>112</v>
      </c>
      <c r="NH92" s="44">
        <v>0</v>
      </c>
      <c r="NI92" s="44">
        <v>110</v>
      </c>
      <c r="NJ92" s="47">
        <v>-2</v>
      </c>
      <c r="NK92" s="45"/>
      <c r="NL92" s="46">
        <v>0</v>
      </c>
      <c r="NM92" s="44">
        <v>0</v>
      </c>
      <c r="NN92" s="44">
        <v>48</v>
      </c>
      <c r="NO92" s="44">
        <v>50</v>
      </c>
      <c r="NP92" s="47">
        <v>-2</v>
      </c>
      <c r="NQ92" s="45"/>
      <c r="NR92" s="46">
        <v>376</v>
      </c>
      <c r="NS92" s="44">
        <v>380</v>
      </c>
      <c r="NT92" s="47">
        <v>-4</v>
      </c>
      <c r="NU92" s="45"/>
      <c r="NV92" s="46">
        <v>0</v>
      </c>
      <c r="NW92" s="44">
        <v>0</v>
      </c>
      <c r="NX92" s="44">
        <v>0</v>
      </c>
      <c r="NY92" s="44">
        <v>0</v>
      </c>
      <c r="NZ92" s="47">
        <v>0</v>
      </c>
      <c r="OA92" s="45"/>
      <c r="OB92" s="46">
        <v>392</v>
      </c>
      <c r="OC92" s="44">
        <v>390</v>
      </c>
      <c r="OD92" s="47">
        <v>2</v>
      </c>
      <c r="OE92" s="45"/>
      <c r="OF92" s="46">
        <v>0</v>
      </c>
      <c r="OG92" s="44">
        <v>0</v>
      </c>
      <c r="OH92" s="44">
        <v>0</v>
      </c>
      <c r="OI92" s="44">
        <v>0</v>
      </c>
      <c r="OJ92" s="47">
        <v>0</v>
      </c>
      <c r="OK92" s="45"/>
      <c r="OL92" s="44">
        <v>192</v>
      </c>
      <c r="OM92" s="43">
        <v>-53.760000000000012</v>
      </c>
      <c r="ON92" s="44">
        <v>0</v>
      </c>
      <c r="OO92" s="44">
        <v>190</v>
      </c>
      <c r="OP92" s="50">
        <v>-190</v>
      </c>
      <c r="OQ92" s="45">
        <v>53.2</v>
      </c>
      <c r="OR92" s="46">
        <v>0</v>
      </c>
      <c r="OS92" s="44">
        <v>0</v>
      </c>
      <c r="OT92" s="44">
        <v>72</v>
      </c>
      <c r="OU92" s="44">
        <v>70</v>
      </c>
      <c r="OV92" s="47">
        <v>2</v>
      </c>
      <c r="OW92" s="45"/>
      <c r="OX92" s="46">
        <v>128</v>
      </c>
      <c r="OY92" s="44">
        <v>50</v>
      </c>
      <c r="OZ92" s="44">
        <v>112</v>
      </c>
      <c r="PA92" s="44">
        <v>112</v>
      </c>
      <c r="PB92" s="47">
        <v>78</v>
      </c>
      <c r="PC92" s="45"/>
      <c r="PD92" s="46">
        <v>96</v>
      </c>
      <c r="PE92" s="44">
        <v>100</v>
      </c>
      <c r="PF92" s="44">
        <v>152</v>
      </c>
      <c r="PG92" s="44">
        <v>150</v>
      </c>
      <c r="PH92" s="47">
        <v>-2</v>
      </c>
      <c r="PI92" s="45"/>
      <c r="PJ92" s="46">
        <v>96</v>
      </c>
      <c r="PK92" s="44">
        <v>100</v>
      </c>
      <c r="PL92" s="44">
        <v>200</v>
      </c>
      <c r="PM92" s="44">
        <v>200</v>
      </c>
      <c r="PN92" s="47">
        <v>-4</v>
      </c>
      <c r="PO92" s="45"/>
      <c r="PP92" s="46">
        <v>152</v>
      </c>
      <c r="PQ92" s="44">
        <v>150</v>
      </c>
      <c r="PR92" s="44">
        <v>152</v>
      </c>
      <c r="PS92" s="44">
        <v>150</v>
      </c>
      <c r="PT92" s="47">
        <v>4</v>
      </c>
      <c r="PU92" s="45"/>
      <c r="PV92" s="46">
        <v>168</v>
      </c>
      <c r="PW92" s="44">
        <v>170</v>
      </c>
      <c r="PX92" s="47">
        <v>-2</v>
      </c>
      <c r="PY92" s="45"/>
      <c r="PZ92" s="46">
        <v>280</v>
      </c>
      <c r="QA92" s="44">
        <v>282</v>
      </c>
      <c r="QB92" s="47">
        <v>-2</v>
      </c>
      <c r="QC92" s="45"/>
      <c r="QD92" s="46">
        <v>0</v>
      </c>
      <c r="QE92" s="44">
        <v>0</v>
      </c>
      <c r="QF92" s="44">
        <v>152</v>
      </c>
      <c r="QG92" s="44">
        <v>150</v>
      </c>
      <c r="QH92" s="47">
        <v>2</v>
      </c>
      <c r="QI92" s="45"/>
      <c r="QJ92" s="46">
        <v>0</v>
      </c>
      <c r="QK92" s="44">
        <v>0</v>
      </c>
      <c r="QL92" s="47">
        <v>0</v>
      </c>
      <c r="QM92" s="45"/>
      <c r="QN92" s="46">
        <v>152</v>
      </c>
      <c r="QO92" s="44">
        <v>150</v>
      </c>
      <c r="QP92" s="44">
        <v>136</v>
      </c>
      <c r="QQ92" s="44">
        <v>140</v>
      </c>
      <c r="QR92" s="47">
        <v>-2</v>
      </c>
      <c r="QS92" s="45"/>
      <c r="QT92" s="46">
        <v>0</v>
      </c>
      <c r="QU92" s="44">
        <v>0</v>
      </c>
      <c r="QV92" s="47">
        <v>0</v>
      </c>
      <c r="QW92" s="45"/>
      <c r="QX92" s="46">
        <v>0</v>
      </c>
      <c r="QY92" s="44">
        <v>0</v>
      </c>
      <c r="QZ92" s="44">
        <v>16</v>
      </c>
      <c r="RA92" s="44">
        <v>19</v>
      </c>
      <c r="RB92" s="47">
        <v>-3</v>
      </c>
      <c r="RC92" s="45"/>
      <c r="RD92" s="42">
        <v>0</v>
      </c>
      <c r="RE92" s="44">
        <v>0</v>
      </c>
      <c r="RF92" s="44">
        <v>64</v>
      </c>
      <c r="RG92" s="44">
        <v>141</v>
      </c>
      <c r="RH92" s="50">
        <v>-77</v>
      </c>
      <c r="RI92" s="45">
        <v>21.56</v>
      </c>
      <c r="RJ92" s="42">
        <v>96</v>
      </c>
      <c r="RK92" s="47">
        <v>100</v>
      </c>
      <c r="RL92" s="47">
        <v>96</v>
      </c>
      <c r="RM92" s="47">
        <v>100</v>
      </c>
      <c r="RN92" s="47">
        <v>-8</v>
      </c>
      <c r="RO92" s="43"/>
      <c r="RP92" s="42">
        <v>112</v>
      </c>
      <c r="RQ92" s="47">
        <v>111</v>
      </c>
      <c r="RR92" s="47">
        <v>1</v>
      </c>
      <c r="RS92" s="43"/>
      <c r="RT92" s="42">
        <v>0</v>
      </c>
      <c r="RU92" s="47">
        <v>0</v>
      </c>
      <c r="RV92" s="47">
        <v>0</v>
      </c>
      <c r="RW92" s="47">
        <v>0</v>
      </c>
      <c r="RX92" s="47">
        <v>0</v>
      </c>
      <c r="RY92" s="43"/>
      <c r="RZ92" s="42">
        <v>80</v>
      </c>
      <c r="SA92" s="47">
        <v>80</v>
      </c>
      <c r="SB92" s="47">
        <v>152</v>
      </c>
      <c r="SC92" s="47">
        <v>150</v>
      </c>
      <c r="SD92" s="47">
        <v>2</v>
      </c>
      <c r="SE92" s="43"/>
      <c r="SF92" s="42">
        <v>104</v>
      </c>
      <c r="SG92" s="47">
        <v>106</v>
      </c>
      <c r="SH92" s="47">
        <v>448</v>
      </c>
      <c r="SI92" s="47">
        <v>130</v>
      </c>
      <c r="SJ92" s="47">
        <v>316</v>
      </c>
      <c r="SK92" s="43"/>
      <c r="SL92" s="42">
        <v>0</v>
      </c>
      <c r="SM92" s="47">
        <v>0</v>
      </c>
      <c r="SN92" s="47">
        <v>0</v>
      </c>
      <c r="SO92" s="43"/>
      <c r="SP92" s="42">
        <v>0</v>
      </c>
      <c r="SQ92" s="47">
        <v>0</v>
      </c>
      <c r="SR92" s="47">
        <v>392</v>
      </c>
      <c r="SS92" s="47">
        <v>392</v>
      </c>
      <c r="ST92" s="47">
        <v>0</v>
      </c>
      <c r="SU92" s="43"/>
    </row>
    <row r="93" spans="1:515" x14ac:dyDescent="0.25">
      <c r="A93" s="47" t="s">
        <v>400</v>
      </c>
      <c r="B93" s="41">
        <v>0.35</v>
      </c>
      <c r="J93" s="42"/>
      <c r="K93" s="51"/>
      <c r="L93" s="51"/>
      <c r="M93" s="51"/>
      <c r="N93" s="51">
        <f t="shared" si="12"/>
        <v>0</v>
      </c>
      <c r="O93" s="43"/>
      <c r="P93" s="46"/>
      <c r="Q93" s="51"/>
      <c r="R93" s="51"/>
      <c r="S93" s="51"/>
      <c r="T93" s="51">
        <f t="shared" si="13"/>
        <v>0</v>
      </c>
      <c r="U93" s="43"/>
      <c r="V93" s="42"/>
      <c r="W93" s="51"/>
      <c r="X93" s="51"/>
      <c r="Y93" s="51"/>
      <c r="Z93" s="51">
        <f t="shared" si="14"/>
        <v>0</v>
      </c>
      <c r="AA93" s="43"/>
      <c r="AB93" s="42"/>
      <c r="AC93" s="51"/>
      <c r="AD93" s="51"/>
      <c r="AE93" s="51"/>
      <c r="AF93" s="51">
        <v>0</v>
      </c>
      <c r="AG93" s="43"/>
      <c r="AH93" s="51"/>
      <c r="AL93" s="47">
        <v>0</v>
      </c>
      <c r="AM93" s="43"/>
      <c r="AN93" s="42"/>
      <c r="AR93" s="47">
        <v>0</v>
      </c>
      <c r="AS93" s="43"/>
      <c r="AX93" s="47">
        <v>0</v>
      </c>
      <c r="AY93" s="43"/>
      <c r="BD93" s="47">
        <v>0</v>
      </c>
      <c r="BE93" s="43"/>
      <c r="BF93" s="42"/>
      <c r="BJ93" s="47">
        <v>0</v>
      </c>
      <c r="BK93" s="43"/>
      <c r="BL93" s="42"/>
      <c r="BP93" s="47">
        <v>0</v>
      </c>
      <c r="BQ93" s="43"/>
      <c r="BV93" s="47">
        <v>0</v>
      </c>
      <c r="BW93" s="43"/>
      <c r="BX93" s="42"/>
      <c r="CB93" s="47">
        <v>0</v>
      </c>
      <c r="CC93" s="43"/>
      <c r="CH93" s="47">
        <v>0</v>
      </c>
      <c r="CI93" s="43"/>
      <c r="CN93" s="47">
        <v>0</v>
      </c>
      <c r="CO93" s="43"/>
      <c r="CP93" s="42"/>
      <c r="CT93" s="47">
        <v>0</v>
      </c>
      <c r="CU93" s="43"/>
      <c r="CV93" s="42"/>
      <c r="CZ93" s="47">
        <v>0</v>
      </c>
      <c r="DA93" s="43"/>
      <c r="DG93" s="47">
        <v>0</v>
      </c>
      <c r="DH93" s="43"/>
      <c r="DK93" s="47">
        <v>0</v>
      </c>
      <c r="DL93" s="43"/>
      <c r="DM93" s="42"/>
      <c r="DQ93" s="47">
        <v>0</v>
      </c>
      <c r="DR93" s="43"/>
      <c r="DW93" s="47">
        <v>0</v>
      </c>
      <c r="DX93" s="43"/>
      <c r="EC93" s="47">
        <v>0</v>
      </c>
      <c r="ED93" s="43"/>
      <c r="EE93" s="42"/>
      <c r="EI93" s="47">
        <v>0</v>
      </c>
      <c r="EJ93" s="43"/>
      <c r="EO93" s="47">
        <v>0</v>
      </c>
      <c r="EP93" s="43"/>
      <c r="EQ93" s="42"/>
      <c r="EU93" s="47">
        <v>0</v>
      </c>
      <c r="EV93" s="43"/>
      <c r="EW93" s="42"/>
      <c r="FC93" s="47">
        <v>0</v>
      </c>
      <c r="FD93" s="43"/>
      <c r="FE93" s="42"/>
      <c r="FI93" s="47">
        <v>0</v>
      </c>
      <c r="FJ93" s="43"/>
      <c r="FQ93" s="47">
        <v>0</v>
      </c>
      <c r="FR93" s="43"/>
      <c r="FS93" s="42"/>
      <c r="FW93" s="47">
        <v>0</v>
      </c>
      <c r="FX93" s="43"/>
      <c r="FY93" s="42"/>
      <c r="GC93" s="47">
        <v>0</v>
      </c>
      <c r="GD93" s="43"/>
      <c r="GE93" s="42"/>
      <c r="GI93" s="47">
        <v>0</v>
      </c>
      <c r="GJ93" s="43"/>
      <c r="GQ93" s="47">
        <v>0</v>
      </c>
      <c r="GR93" s="43"/>
      <c r="GX93" s="47">
        <v>0</v>
      </c>
      <c r="GY93" s="43"/>
      <c r="GZ93" s="42"/>
      <c r="HC93" s="47">
        <v>0</v>
      </c>
      <c r="HD93" s="43"/>
      <c r="HE93" s="42"/>
      <c r="HH93" s="47">
        <v>0</v>
      </c>
      <c r="HI93" s="43"/>
      <c r="HN93" s="47">
        <v>0</v>
      </c>
      <c r="HO93" s="43"/>
      <c r="HP93" s="42"/>
      <c r="HU93" s="47">
        <v>0</v>
      </c>
      <c r="HV93" s="43"/>
      <c r="IA93" s="47">
        <v>0</v>
      </c>
      <c r="IB93" s="43"/>
      <c r="IC93" s="42"/>
      <c r="IG93" s="47">
        <v>0</v>
      </c>
      <c r="IH93" s="43"/>
      <c r="IM93" s="47">
        <v>0</v>
      </c>
      <c r="IN93" s="43"/>
      <c r="IO93" s="42"/>
      <c r="IQ93" s="47">
        <v>0</v>
      </c>
      <c r="IR93" s="43"/>
      <c r="IS93" s="42"/>
      <c r="IW93" s="47">
        <v>0</v>
      </c>
      <c r="IX93" s="43"/>
      <c r="IY93" s="42"/>
      <c r="JA93" s="47">
        <v>0</v>
      </c>
      <c r="JB93" s="43"/>
      <c r="JC93" s="42"/>
      <c r="JG93" s="47">
        <v>0</v>
      </c>
      <c r="JH93" s="43"/>
      <c r="JI93">
        <v>208</v>
      </c>
      <c r="JJ93">
        <v>220</v>
      </c>
      <c r="JK93">
        <v>856</v>
      </c>
      <c r="JL93">
        <v>860</v>
      </c>
      <c r="JO93" s="50">
        <v>-16</v>
      </c>
      <c r="JP93" s="43">
        <v>5.6</v>
      </c>
      <c r="JQ93" s="40">
        <v>160</v>
      </c>
      <c r="JR93">
        <v>160</v>
      </c>
      <c r="JS93">
        <v>152</v>
      </c>
      <c r="JT93">
        <v>150</v>
      </c>
      <c r="JU93" s="47">
        <v>2</v>
      </c>
      <c r="JV93" s="43"/>
      <c r="JW93">
        <v>296</v>
      </c>
      <c r="JX93">
        <v>300</v>
      </c>
      <c r="JY93">
        <v>576</v>
      </c>
      <c r="JZ93">
        <v>580</v>
      </c>
      <c r="KA93" s="47">
        <v>-8</v>
      </c>
      <c r="KB93" s="45"/>
      <c r="KD93">
        <v>250</v>
      </c>
      <c r="KE93">
        <v>368</v>
      </c>
      <c r="KF93">
        <v>370</v>
      </c>
      <c r="KG93" s="50">
        <v>-252</v>
      </c>
      <c r="KH93" s="45">
        <v>88.199999999999989</v>
      </c>
      <c r="KJ93">
        <v>370</v>
      </c>
      <c r="KK93">
        <v>296</v>
      </c>
      <c r="KL93">
        <v>300</v>
      </c>
      <c r="KM93" s="50">
        <v>-374</v>
      </c>
      <c r="KN93" s="45">
        <v>130.9</v>
      </c>
      <c r="KO93">
        <v>352</v>
      </c>
      <c r="KP93">
        <v>350</v>
      </c>
      <c r="KQ93">
        <v>296</v>
      </c>
      <c r="KR93">
        <v>300</v>
      </c>
      <c r="KS93" s="47">
        <v>-2</v>
      </c>
      <c r="KT93" s="43"/>
      <c r="KU93">
        <v>176</v>
      </c>
      <c r="KV93">
        <v>180</v>
      </c>
      <c r="KW93" s="47">
        <v>-4</v>
      </c>
      <c r="KX93" s="45"/>
      <c r="KY93">
        <v>352</v>
      </c>
      <c r="KZ93">
        <v>350</v>
      </c>
      <c r="LA93">
        <v>288</v>
      </c>
      <c r="LB93">
        <v>290</v>
      </c>
      <c r="LC93" s="47">
        <v>0</v>
      </c>
      <c r="LD93" s="43"/>
      <c r="LE93" s="40">
        <v>48</v>
      </c>
      <c r="LF93" s="44">
        <v>50</v>
      </c>
      <c r="LG93" s="47">
        <v>-2</v>
      </c>
      <c r="LH93" s="45"/>
      <c r="LK93">
        <v>488</v>
      </c>
      <c r="LL93">
        <v>490</v>
      </c>
      <c r="LM93" s="47">
        <v>-2</v>
      </c>
      <c r="LN93" s="45"/>
      <c r="LO93">
        <v>200</v>
      </c>
      <c r="LP93">
        <v>200</v>
      </c>
      <c r="LQ93">
        <v>296</v>
      </c>
      <c r="LR93">
        <v>300</v>
      </c>
      <c r="LS93" s="47">
        <v>-4</v>
      </c>
      <c r="LT93" s="45"/>
      <c r="LU93">
        <v>176</v>
      </c>
      <c r="LV93">
        <v>180</v>
      </c>
      <c r="LW93">
        <v>288</v>
      </c>
      <c r="LX93">
        <v>290</v>
      </c>
      <c r="LY93" s="47">
        <v>-6</v>
      </c>
      <c r="LZ93" s="45"/>
      <c r="MA93">
        <v>144</v>
      </c>
      <c r="MB93">
        <v>150</v>
      </c>
      <c r="MC93">
        <v>96</v>
      </c>
      <c r="MD93">
        <v>100</v>
      </c>
      <c r="ME93" s="47">
        <v>-10</v>
      </c>
      <c r="MF93" s="45"/>
      <c r="MG93" s="40">
        <v>248</v>
      </c>
      <c r="MH93">
        <v>250</v>
      </c>
      <c r="MI93">
        <v>296</v>
      </c>
      <c r="MJ93">
        <v>300</v>
      </c>
      <c r="MK93">
        <v>248</v>
      </c>
      <c r="ML93">
        <v>250</v>
      </c>
      <c r="MM93" s="47">
        <v>-8</v>
      </c>
      <c r="MN93" s="45"/>
      <c r="MO93" s="44">
        <v>0</v>
      </c>
      <c r="MP93" s="44">
        <v>0</v>
      </c>
      <c r="MQ93" s="44">
        <v>0</v>
      </c>
      <c r="MR93" s="44">
        <v>0</v>
      </c>
      <c r="MS93" s="47">
        <v>0</v>
      </c>
      <c r="MT93" s="45"/>
      <c r="MU93" s="44">
        <v>296</v>
      </c>
      <c r="MV93" s="44">
        <v>300</v>
      </c>
      <c r="MW93" s="44">
        <v>328</v>
      </c>
      <c r="MX93" s="44">
        <v>330</v>
      </c>
      <c r="MY93" s="47">
        <v>-6</v>
      </c>
      <c r="MZ93" s="45"/>
      <c r="NA93" s="46">
        <v>400</v>
      </c>
      <c r="NB93" s="44">
        <v>400</v>
      </c>
      <c r="NC93" s="47">
        <v>0</v>
      </c>
      <c r="ND93" s="45"/>
      <c r="NE93" s="46">
        <v>408</v>
      </c>
      <c r="NF93" s="44">
        <v>400</v>
      </c>
      <c r="NG93" s="44">
        <v>400</v>
      </c>
      <c r="NH93" s="44">
        <v>0</v>
      </c>
      <c r="NI93" s="44">
        <v>400</v>
      </c>
      <c r="NJ93" s="47">
        <v>8</v>
      </c>
      <c r="NK93" s="45"/>
      <c r="NL93" s="46">
        <v>200</v>
      </c>
      <c r="NM93" s="44">
        <v>200</v>
      </c>
      <c r="NN93" s="44">
        <v>152</v>
      </c>
      <c r="NO93" s="44">
        <v>150</v>
      </c>
      <c r="NP93" s="47">
        <v>2</v>
      </c>
      <c r="NQ93" s="45"/>
      <c r="NR93" s="46">
        <v>0</v>
      </c>
      <c r="NS93" s="44">
        <v>0</v>
      </c>
      <c r="NT93" s="47">
        <v>0</v>
      </c>
      <c r="NU93" s="45"/>
      <c r="NV93" s="46">
        <v>0</v>
      </c>
      <c r="NW93" s="44">
        <v>0</v>
      </c>
      <c r="NX93" s="44">
        <v>320</v>
      </c>
      <c r="NY93" s="44">
        <v>318</v>
      </c>
      <c r="NZ93" s="47">
        <v>2</v>
      </c>
      <c r="OA93" s="45"/>
      <c r="OB93" s="46">
        <v>1000</v>
      </c>
      <c r="OC93" s="44">
        <v>1000</v>
      </c>
      <c r="OD93" s="47">
        <v>0</v>
      </c>
      <c r="OE93" s="45"/>
      <c r="OF93" s="46">
        <v>56</v>
      </c>
      <c r="OG93" s="44">
        <v>56</v>
      </c>
      <c r="OH93" s="44">
        <v>48</v>
      </c>
      <c r="OI93" s="44">
        <v>47</v>
      </c>
      <c r="OJ93" s="47">
        <v>1</v>
      </c>
      <c r="OK93" s="45"/>
      <c r="OL93" s="44">
        <v>0</v>
      </c>
      <c r="OM93" s="43"/>
      <c r="ON93" s="44">
        <v>648</v>
      </c>
      <c r="OO93" s="44">
        <v>650</v>
      </c>
      <c r="OP93" s="47">
        <v>-2</v>
      </c>
      <c r="OQ93" s="45"/>
      <c r="OR93" s="46">
        <v>48</v>
      </c>
      <c r="OS93" s="44">
        <v>50</v>
      </c>
      <c r="OT93" s="44">
        <v>112</v>
      </c>
      <c r="OU93" s="44">
        <v>110</v>
      </c>
      <c r="OV93" s="47">
        <v>0</v>
      </c>
      <c r="OW93" s="45"/>
      <c r="OX93" s="46">
        <v>296</v>
      </c>
      <c r="OY93" s="44">
        <v>160</v>
      </c>
      <c r="OZ93" s="44">
        <v>296</v>
      </c>
      <c r="PA93" s="44">
        <v>294</v>
      </c>
      <c r="PB93" s="47">
        <v>138</v>
      </c>
      <c r="PC93" s="45"/>
      <c r="PD93" s="46">
        <v>80</v>
      </c>
      <c r="PE93" s="44">
        <v>80</v>
      </c>
      <c r="PF93" s="44">
        <v>120</v>
      </c>
      <c r="PG93" s="44">
        <v>120</v>
      </c>
      <c r="PH93" s="47">
        <v>0</v>
      </c>
      <c r="PI93" s="45"/>
      <c r="PJ93" s="25">
        <v>304</v>
      </c>
      <c r="PK93" s="44">
        <v>0</v>
      </c>
      <c r="PL93" s="44">
        <v>40</v>
      </c>
      <c r="PM93" s="44">
        <v>40</v>
      </c>
      <c r="PN93" s="47">
        <v>304</v>
      </c>
      <c r="PO93" s="45"/>
      <c r="PP93" s="46">
        <v>200</v>
      </c>
      <c r="PQ93" s="44">
        <v>200</v>
      </c>
      <c r="PR93" s="44">
        <v>264</v>
      </c>
      <c r="PS93" s="44">
        <v>268</v>
      </c>
      <c r="PT93" s="47">
        <v>-4</v>
      </c>
      <c r="PU93" s="45"/>
      <c r="PV93" s="46">
        <v>488</v>
      </c>
      <c r="PW93" s="44">
        <v>490</v>
      </c>
      <c r="PX93" s="47">
        <v>-2</v>
      </c>
      <c r="PY93" s="45"/>
      <c r="PZ93" s="46">
        <v>376</v>
      </c>
      <c r="QA93" s="44">
        <v>381</v>
      </c>
      <c r="QB93" s="47">
        <v>-5</v>
      </c>
      <c r="QC93" s="45"/>
      <c r="QD93" s="46">
        <v>0</v>
      </c>
      <c r="QE93" s="44">
        <v>0</v>
      </c>
      <c r="QF93" s="44">
        <v>0</v>
      </c>
      <c r="QG93" s="44">
        <v>0</v>
      </c>
      <c r="QH93" s="47">
        <v>0</v>
      </c>
      <c r="QI93" s="45"/>
      <c r="QJ93" s="46">
        <v>0</v>
      </c>
      <c r="QK93" s="44">
        <v>0</v>
      </c>
      <c r="QL93" s="47">
        <v>0</v>
      </c>
      <c r="QM93" s="45"/>
      <c r="QN93" s="46">
        <v>560</v>
      </c>
      <c r="QO93" s="44">
        <v>550</v>
      </c>
      <c r="QP93" s="44">
        <v>480</v>
      </c>
      <c r="QQ93" s="44">
        <v>492</v>
      </c>
      <c r="QR93" s="47">
        <v>-2</v>
      </c>
      <c r="QS93" s="45"/>
      <c r="QT93" s="46">
        <v>48</v>
      </c>
      <c r="QU93" s="44">
        <v>46</v>
      </c>
      <c r="QV93" s="47">
        <v>2</v>
      </c>
      <c r="QW93" s="45"/>
      <c r="QX93" s="46">
        <v>0</v>
      </c>
      <c r="QY93" s="44">
        <v>0</v>
      </c>
      <c r="QZ93" s="44">
        <v>80</v>
      </c>
      <c r="RA93" s="44">
        <v>92</v>
      </c>
      <c r="RB93" s="50">
        <v>-12</v>
      </c>
      <c r="RC93" s="45">
        <v>4.1999999999999993</v>
      </c>
      <c r="RD93" s="42">
        <v>0</v>
      </c>
      <c r="RE93" s="44">
        <v>0</v>
      </c>
      <c r="RF93" s="44">
        <v>392</v>
      </c>
      <c r="RG93" s="44">
        <v>394</v>
      </c>
      <c r="RH93" s="47">
        <v>-2</v>
      </c>
      <c r="RI93" s="45"/>
      <c r="RJ93" s="42">
        <v>200</v>
      </c>
      <c r="RK93" s="47">
        <v>200</v>
      </c>
      <c r="RL93" s="47">
        <v>200</v>
      </c>
      <c r="RM93" s="47">
        <v>200</v>
      </c>
      <c r="RN93" s="47">
        <v>0</v>
      </c>
      <c r="RO93" s="43"/>
      <c r="RP93" s="42">
        <v>400</v>
      </c>
      <c r="RQ93" s="47">
        <v>400</v>
      </c>
      <c r="RR93" s="47">
        <v>0</v>
      </c>
      <c r="RS93" s="43"/>
      <c r="RT93" s="42">
        <v>208</v>
      </c>
      <c r="RU93" s="47">
        <v>211</v>
      </c>
      <c r="RV93" s="47">
        <v>296</v>
      </c>
      <c r="RW93" s="47">
        <v>300</v>
      </c>
      <c r="RX93" s="47">
        <v>-7</v>
      </c>
      <c r="RY93" s="43"/>
      <c r="RZ93" s="42">
        <v>96</v>
      </c>
      <c r="SA93" s="47">
        <v>100</v>
      </c>
      <c r="SB93" s="47">
        <v>96</v>
      </c>
      <c r="SC93" s="47">
        <v>100</v>
      </c>
      <c r="SD93" s="47">
        <v>-8</v>
      </c>
      <c r="SE93" s="43"/>
      <c r="SF93" s="42">
        <v>264</v>
      </c>
      <c r="SG93" s="47">
        <v>265</v>
      </c>
      <c r="SH93" s="47">
        <v>600</v>
      </c>
      <c r="SI93" s="47">
        <v>350</v>
      </c>
      <c r="SJ93" s="47">
        <v>249</v>
      </c>
      <c r="SK93" s="43"/>
      <c r="SL93" s="42">
        <v>0</v>
      </c>
      <c r="SM93" s="47">
        <v>0</v>
      </c>
      <c r="SN93" s="47">
        <v>0</v>
      </c>
      <c r="SO93" s="43"/>
      <c r="SP93" s="42">
        <v>120</v>
      </c>
      <c r="SQ93" s="47">
        <v>400</v>
      </c>
      <c r="SR93" s="47">
        <v>696</v>
      </c>
      <c r="SS93" s="47">
        <v>600</v>
      </c>
      <c r="ST93" s="50">
        <v>-184</v>
      </c>
      <c r="SU93" s="43">
        <v>64.399999999999991</v>
      </c>
    </row>
    <row r="94" spans="1:515" x14ac:dyDescent="0.25">
      <c r="A94" s="47" t="s">
        <v>401</v>
      </c>
      <c r="B94" s="41">
        <v>0.28000000000000003</v>
      </c>
      <c r="J94" s="42"/>
      <c r="K94" s="51"/>
      <c r="L94" s="51"/>
      <c r="M94" s="51"/>
      <c r="N94" s="51">
        <f t="shared" si="12"/>
        <v>0</v>
      </c>
      <c r="O94" s="43"/>
      <c r="P94" s="46"/>
      <c r="Q94" s="51"/>
      <c r="R94" s="51"/>
      <c r="S94" s="51"/>
      <c r="T94" s="51">
        <f t="shared" si="13"/>
        <v>0</v>
      </c>
      <c r="U94" s="43"/>
      <c r="V94" s="42"/>
      <c r="W94" s="51"/>
      <c r="X94" s="51"/>
      <c r="Y94" s="51"/>
      <c r="Z94" s="51">
        <f t="shared" si="14"/>
        <v>0</v>
      </c>
      <c r="AA94" s="43"/>
      <c r="AB94" s="42"/>
      <c r="AC94" s="51"/>
      <c r="AD94" s="51"/>
      <c r="AE94" s="51"/>
      <c r="AF94" s="51">
        <v>0</v>
      </c>
      <c r="AG94" s="43"/>
      <c r="AH94" s="51"/>
      <c r="AL94" s="47">
        <v>0</v>
      </c>
      <c r="AM94" s="43"/>
      <c r="AN94" s="42"/>
      <c r="AR94" s="47">
        <v>0</v>
      </c>
      <c r="AS94" s="43"/>
      <c r="AX94" s="47">
        <v>0</v>
      </c>
      <c r="AY94" s="43"/>
      <c r="BD94" s="47">
        <v>0</v>
      </c>
      <c r="BE94" s="43"/>
      <c r="BF94" s="42"/>
      <c r="BJ94" s="47">
        <v>0</v>
      </c>
      <c r="BK94" s="43"/>
      <c r="BL94" s="42"/>
      <c r="BP94" s="47">
        <v>0</v>
      </c>
      <c r="BQ94" s="43"/>
      <c r="BV94" s="47">
        <v>0</v>
      </c>
      <c r="BW94" s="43"/>
      <c r="BX94" s="42"/>
      <c r="CB94" s="47">
        <v>0</v>
      </c>
      <c r="CC94" s="43"/>
      <c r="CH94" s="47">
        <v>0</v>
      </c>
      <c r="CI94" s="43"/>
      <c r="CN94" s="47">
        <v>0</v>
      </c>
      <c r="CO94" s="43"/>
      <c r="CP94" s="42"/>
      <c r="CT94" s="47">
        <v>0</v>
      </c>
      <c r="CU94" s="43"/>
      <c r="CV94" s="42"/>
      <c r="CZ94" s="47">
        <v>0</v>
      </c>
      <c r="DA94" s="43"/>
      <c r="DG94" s="47">
        <v>0</v>
      </c>
      <c r="DH94" s="43"/>
      <c r="DK94" s="47">
        <v>0</v>
      </c>
      <c r="DL94" s="43"/>
      <c r="DM94" s="42"/>
      <c r="DQ94" s="47">
        <v>0</v>
      </c>
      <c r="DR94" s="43"/>
      <c r="DW94" s="47">
        <v>0</v>
      </c>
      <c r="DX94" s="43"/>
      <c r="EC94" s="47">
        <v>0</v>
      </c>
      <c r="ED94" s="43"/>
      <c r="EE94" s="42"/>
      <c r="EI94" s="47">
        <v>0</v>
      </c>
      <c r="EJ94" s="43"/>
      <c r="EO94" s="47">
        <v>0</v>
      </c>
      <c r="EP94" s="43"/>
      <c r="EQ94" s="42"/>
      <c r="EU94" s="47">
        <v>0</v>
      </c>
      <c r="EV94" s="43"/>
      <c r="EW94" s="42"/>
      <c r="FC94" s="47">
        <v>0</v>
      </c>
      <c r="FD94" s="43"/>
      <c r="FE94" s="42"/>
      <c r="FI94" s="47">
        <v>0</v>
      </c>
      <c r="FJ94" s="43"/>
      <c r="FQ94" s="47">
        <v>0</v>
      </c>
      <c r="FR94" s="43"/>
      <c r="FS94" s="42"/>
      <c r="FW94" s="47">
        <v>0</v>
      </c>
      <c r="FX94" s="43"/>
      <c r="FY94" s="42"/>
      <c r="GC94" s="47">
        <v>0</v>
      </c>
      <c r="GD94" s="43"/>
      <c r="GE94" s="42"/>
      <c r="GI94" s="47">
        <v>0</v>
      </c>
      <c r="GJ94" s="43"/>
      <c r="GQ94" s="47">
        <v>0</v>
      </c>
      <c r="GR94" s="43"/>
      <c r="GX94" s="47">
        <v>0</v>
      </c>
      <c r="GY94" s="43"/>
      <c r="GZ94" s="42"/>
      <c r="HC94" s="47">
        <v>0</v>
      </c>
      <c r="HD94" s="43"/>
      <c r="HE94" s="42"/>
      <c r="HH94" s="47">
        <v>0</v>
      </c>
      <c r="HI94" s="43"/>
      <c r="HN94" s="47">
        <v>0</v>
      </c>
      <c r="HO94" s="43"/>
      <c r="HP94" s="42"/>
      <c r="HU94" s="47">
        <v>0</v>
      </c>
      <c r="HV94" s="43"/>
      <c r="IA94" s="47">
        <v>0</v>
      </c>
      <c r="IB94" s="43"/>
      <c r="IC94" s="42"/>
      <c r="IG94" s="47">
        <v>0</v>
      </c>
      <c r="IH94" s="43"/>
      <c r="IM94" s="47">
        <v>0</v>
      </c>
      <c r="IN94" s="43"/>
      <c r="IO94" s="42"/>
      <c r="IQ94" s="47">
        <v>0</v>
      </c>
      <c r="IR94" s="43"/>
      <c r="IS94" s="42"/>
      <c r="IW94" s="47">
        <v>0</v>
      </c>
      <c r="IX94" s="43"/>
      <c r="IY94" s="42"/>
      <c r="JA94" s="47">
        <v>0</v>
      </c>
      <c r="JB94" s="43"/>
      <c r="JC94" s="42"/>
      <c r="JG94" s="47">
        <v>0</v>
      </c>
      <c r="JH94" s="43"/>
      <c r="JO94" s="47">
        <v>0</v>
      </c>
      <c r="JP94" s="43"/>
      <c r="JQ94" s="42"/>
      <c r="JU94" s="47">
        <v>0</v>
      </c>
      <c r="JV94" s="43"/>
      <c r="KA94" s="47">
        <v>0</v>
      </c>
      <c r="KB94" s="45"/>
      <c r="KG94" s="47">
        <v>0</v>
      </c>
      <c r="KH94" s="45"/>
      <c r="KM94" s="47">
        <v>0</v>
      </c>
      <c r="KN94" s="45"/>
      <c r="KS94" s="47">
        <v>0</v>
      </c>
      <c r="KT94" s="43"/>
      <c r="KW94" s="47">
        <v>0</v>
      </c>
      <c r="KX94" s="45"/>
      <c r="LC94" s="47">
        <v>0</v>
      </c>
      <c r="LD94" s="43"/>
      <c r="LE94" s="46"/>
      <c r="LG94" s="47">
        <v>0</v>
      </c>
      <c r="LH94" s="45"/>
      <c r="LM94" s="47">
        <v>0</v>
      </c>
      <c r="LN94" s="45"/>
      <c r="LS94" s="47">
        <v>0</v>
      </c>
      <c r="LT94" s="45"/>
      <c r="LY94" s="47">
        <v>0</v>
      </c>
      <c r="LZ94" s="45"/>
      <c r="ME94" s="47">
        <v>0</v>
      </c>
      <c r="MF94" s="45"/>
      <c r="MG94" s="46"/>
      <c r="MM94" s="47">
        <v>0</v>
      </c>
      <c r="MN94" s="45"/>
      <c r="MO94" s="44">
        <v>0</v>
      </c>
      <c r="MP94" s="44">
        <v>0</v>
      </c>
      <c r="MQ94" s="44">
        <v>0</v>
      </c>
      <c r="MR94" s="44">
        <v>0</v>
      </c>
      <c r="MS94" s="47">
        <v>0</v>
      </c>
      <c r="MT94" s="45"/>
      <c r="MU94" s="44">
        <v>0</v>
      </c>
      <c r="MV94" s="44">
        <v>0</v>
      </c>
      <c r="MW94" s="44">
        <v>0</v>
      </c>
      <c r="MX94" s="44">
        <v>0</v>
      </c>
      <c r="MY94" s="47">
        <v>0</v>
      </c>
      <c r="MZ94" s="45"/>
      <c r="NA94" s="46">
        <v>0</v>
      </c>
      <c r="NB94" s="44">
        <v>0</v>
      </c>
      <c r="NC94" s="47">
        <v>0</v>
      </c>
      <c r="ND94" s="45"/>
      <c r="NE94" s="46">
        <v>0</v>
      </c>
      <c r="NF94" s="44">
        <v>0</v>
      </c>
      <c r="NG94" s="44">
        <v>0</v>
      </c>
      <c r="NH94" s="44">
        <v>0</v>
      </c>
      <c r="NI94" s="44">
        <v>0</v>
      </c>
      <c r="NJ94" s="47">
        <v>0</v>
      </c>
      <c r="NK94" s="45"/>
      <c r="NL94" s="46">
        <v>0</v>
      </c>
      <c r="NM94" s="44">
        <v>0</v>
      </c>
      <c r="NN94" s="44">
        <v>0</v>
      </c>
      <c r="NO94" s="44">
        <v>0</v>
      </c>
      <c r="NP94" s="47">
        <v>0</v>
      </c>
      <c r="NQ94" s="45"/>
      <c r="NR94" s="46">
        <v>0</v>
      </c>
      <c r="NS94" s="44">
        <v>0</v>
      </c>
      <c r="NT94" s="47">
        <v>0</v>
      </c>
      <c r="NU94" s="45"/>
      <c r="NV94" s="46">
        <v>0</v>
      </c>
      <c r="NW94" s="44">
        <v>0</v>
      </c>
      <c r="NX94" s="44">
        <v>0</v>
      </c>
      <c r="NY94" s="44">
        <v>0</v>
      </c>
      <c r="NZ94" s="47">
        <v>0</v>
      </c>
      <c r="OA94" s="45"/>
      <c r="OB94" s="46">
        <v>0</v>
      </c>
      <c r="OC94" s="44">
        <v>0</v>
      </c>
      <c r="OD94" s="47">
        <v>0</v>
      </c>
      <c r="OE94" s="45"/>
      <c r="OF94" s="46">
        <v>0</v>
      </c>
      <c r="OG94" s="44">
        <v>0</v>
      </c>
      <c r="OH94" s="44">
        <v>0</v>
      </c>
      <c r="OI94" s="44">
        <v>0</v>
      </c>
      <c r="OJ94" s="47">
        <v>0</v>
      </c>
      <c r="OK94" s="45"/>
      <c r="OL94" s="44">
        <v>0</v>
      </c>
      <c r="OM94" s="43"/>
      <c r="ON94" s="44">
        <v>0</v>
      </c>
      <c r="OO94" s="44">
        <v>0</v>
      </c>
      <c r="OP94" s="47">
        <v>0</v>
      </c>
      <c r="OQ94" s="45"/>
      <c r="OR94" s="46">
        <v>0</v>
      </c>
      <c r="OS94" s="44">
        <v>0</v>
      </c>
      <c r="OT94" s="44">
        <v>0</v>
      </c>
      <c r="OU94" s="44">
        <v>0</v>
      </c>
      <c r="OV94" s="47">
        <v>0</v>
      </c>
      <c r="OW94" s="45"/>
      <c r="OX94" s="46">
        <v>0</v>
      </c>
      <c r="OY94" s="44">
        <v>0</v>
      </c>
      <c r="OZ94" s="44">
        <v>0</v>
      </c>
      <c r="PA94" s="44">
        <v>0</v>
      </c>
      <c r="PB94" s="47">
        <v>0</v>
      </c>
      <c r="PC94" s="45"/>
      <c r="PD94" s="46">
        <v>0</v>
      </c>
      <c r="PE94" s="44">
        <v>0</v>
      </c>
      <c r="PF94" s="44">
        <v>0</v>
      </c>
      <c r="PG94" s="44">
        <v>0</v>
      </c>
      <c r="PH94" s="47">
        <v>0</v>
      </c>
      <c r="PI94" s="45"/>
      <c r="PJ94" s="46">
        <v>0</v>
      </c>
      <c r="PK94" s="44">
        <v>0</v>
      </c>
      <c r="PL94" s="44">
        <v>0</v>
      </c>
      <c r="PM94" s="44">
        <v>0</v>
      </c>
      <c r="PN94" s="47">
        <v>0</v>
      </c>
      <c r="PO94" s="45"/>
      <c r="PP94" s="46">
        <v>0</v>
      </c>
      <c r="PQ94" s="44">
        <v>0</v>
      </c>
      <c r="PR94" s="44">
        <v>0</v>
      </c>
      <c r="PS94" s="44">
        <v>0</v>
      </c>
      <c r="PT94" s="47">
        <v>0</v>
      </c>
      <c r="PU94" s="45"/>
      <c r="PV94" s="46">
        <v>0</v>
      </c>
      <c r="PW94" s="44">
        <v>0</v>
      </c>
      <c r="PX94" s="47">
        <v>0</v>
      </c>
      <c r="PY94" s="45"/>
      <c r="PZ94" s="46">
        <v>0</v>
      </c>
      <c r="QA94" s="44">
        <v>0</v>
      </c>
      <c r="QB94" s="47">
        <v>0</v>
      </c>
      <c r="QC94" s="45"/>
      <c r="QD94" s="46">
        <v>0</v>
      </c>
      <c r="QE94" s="44">
        <v>0</v>
      </c>
      <c r="QF94" s="44">
        <v>0</v>
      </c>
      <c r="QG94" s="44">
        <v>0</v>
      </c>
      <c r="QH94" s="47">
        <v>0</v>
      </c>
      <c r="QI94" s="45"/>
      <c r="QJ94" s="46">
        <v>0</v>
      </c>
      <c r="QK94" s="44">
        <v>0</v>
      </c>
      <c r="QL94" s="47">
        <v>0</v>
      </c>
      <c r="QM94" s="45"/>
      <c r="QN94" s="46">
        <v>0</v>
      </c>
      <c r="QO94" s="44">
        <v>0</v>
      </c>
      <c r="QP94" s="44">
        <v>0</v>
      </c>
      <c r="QQ94" s="33">
        <v>110</v>
      </c>
      <c r="QR94" s="50">
        <v>-110</v>
      </c>
      <c r="QS94" s="45">
        <v>30.8</v>
      </c>
      <c r="QT94" s="46">
        <v>0</v>
      </c>
      <c r="QU94" s="44">
        <v>0</v>
      </c>
      <c r="QV94" s="47">
        <v>0</v>
      </c>
      <c r="QW94" s="45"/>
      <c r="QX94" s="46">
        <v>0</v>
      </c>
      <c r="QY94" s="44">
        <v>0</v>
      </c>
      <c r="QZ94" s="44">
        <v>16</v>
      </c>
      <c r="RA94" s="44">
        <v>20</v>
      </c>
      <c r="RB94" s="47">
        <v>-4</v>
      </c>
      <c r="RC94" s="45"/>
      <c r="RD94" s="42">
        <v>0</v>
      </c>
      <c r="RE94" s="44">
        <v>0</v>
      </c>
      <c r="RF94" s="44">
        <v>104</v>
      </c>
      <c r="RG94" s="44">
        <v>103</v>
      </c>
      <c r="RH94" s="47">
        <v>1</v>
      </c>
      <c r="RI94" s="45"/>
      <c r="RJ94" s="42">
        <v>128</v>
      </c>
      <c r="RK94" s="47">
        <v>130</v>
      </c>
      <c r="RL94" s="47">
        <v>0</v>
      </c>
      <c r="RM94" s="47">
        <v>0</v>
      </c>
      <c r="RN94" s="47">
        <v>-2</v>
      </c>
      <c r="RO94" s="43"/>
      <c r="RP94" s="42">
        <v>0</v>
      </c>
      <c r="RQ94" s="47">
        <v>0</v>
      </c>
      <c r="RR94" s="47">
        <v>0</v>
      </c>
      <c r="RS94" s="43"/>
      <c r="RT94" s="42">
        <v>0</v>
      </c>
      <c r="RU94" s="47">
        <v>0</v>
      </c>
      <c r="RV94" s="47">
        <v>0</v>
      </c>
      <c r="RW94" s="47">
        <v>0</v>
      </c>
      <c r="RX94" s="47">
        <v>0</v>
      </c>
      <c r="RY94" s="43"/>
      <c r="RZ94" s="42">
        <v>0</v>
      </c>
      <c r="SA94" s="47">
        <v>0</v>
      </c>
      <c r="SB94" s="47">
        <v>0</v>
      </c>
      <c r="SC94" s="47">
        <v>0</v>
      </c>
      <c r="SD94" s="47">
        <v>0</v>
      </c>
      <c r="SE94" s="43"/>
      <c r="SF94" s="42">
        <v>120</v>
      </c>
      <c r="SG94" s="47">
        <v>121</v>
      </c>
      <c r="SH94" s="47">
        <v>400</v>
      </c>
      <c r="SI94" s="47">
        <v>150</v>
      </c>
      <c r="SJ94" s="47">
        <v>249</v>
      </c>
      <c r="SK94" s="43"/>
      <c r="SL94" s="42">
        <v>24</v>
      </c>
      <c r="SM94" s="47">
        <v>29</v>
      </c>
      <c r="SN94" s="47">
        <v>-5</v>
      </c>
      <c r="SO94" s="43"/>
      <c r="SP94" s="42">
        <v>0</v>
      </c>
      <c r="SQ94" s="47">
        <v>0</v>
      </c>
      <c r="SR94" s="47">
        <v>120</v>
      </c>
      <c r="SS94" s="47">
        <v>180</v>
      </c>
      <c r="ST94" s="50">
        <v>-60</v>
      </c>
      <c r="SU94" s="43">
        <v>16.8</v>
      </c>
    </row>
    <row r="95" spans="1:515" x14ac:dyDescent="0.25">
      <c r="A95" s="47" t="s">
        <v>402</v>
      </c>
      <c r="B95" s="41">
        <v>0.35</v>
      </c>
      <c r="F95">
        <v>400</v>
      </c>
      <c r="G95">
        <v>400</v>
      </c>
      <c r="J95" s="40">
        <v>1232</v>
      </c>
      <c r="K95" s="52">
        <v>1238</v>
      </c>
      <c r="L95" s="52">
        <v>1008</v>
      </c>
      <c r="M95" s="52">
        <v>1009</v>
      </c>
      <c r="N95" s="51">
        <f t="shared" si="12"/>
        <v>-7</v>
      </c>
      <c r="O95" s="43"/>
      <c r="P95" s="40">
        <v>288</v>
      </c>
      <c r="Q95" s="52">
        <v>292</v>
      </c>
      <c r="R95" s="52">
        <v>248</v>
      </c>
      <c r="S95" s="52">
        <v>250</v>
      </c>
      <c r="T95" s="51">
        <f t="shared" si="13"/>
        <v>-6</v>
      </c>
      <c r="U95" s="43"/>
      <c r="V95" s="42"/>
      <c r="W95" s="51"/>
      <c r="X95" s="52">
        <v>600</v>
      </c>
      <c r="Y95" s="52">
        <v>600</v>
      </c>
      <c r="Z95" s="51">
        <f t="shared" si="14"/>
        <v>0</v>
      </c>
      <c r="AA95" s="43"/>
      <c r="AB95" s="40">
        <v>456</v>
      </c>
      <c r="AC95" s="56">
        <v>462</v>
      </c>
      <c r="AD95" s="51"/>
      <c r="AE95" s="51"/>
      <c r="AF95" s="51">
        <v>-6</v>
      </c>
      <c r="AG95" s="43"/>
      <c r="AH95" s="52">
        <v>496</v>
      </c>
      <c r="AI95">
        <v>500</v>
      </c>
      <c r="AJ95">
        <v>400</v>
      </c>
      <c r="AK95">
        <v>400</v>
      </c>
      <c r="AL95" s="47">
        <v>-4</v>
      </c>
      <c r="AM95" s="43"/>
      <c r="AN95" s="40">
        <v>200</v>
      </c>
      <c r="AO95">
        <v>200</v>
      </c>
      <c r="AP95">
        <v>248</v>
      </c>
      <c r="AQ95">
        <v>250</v>
      </c>
      <c r="AR95" s="47">
        <v>-2</v>
      </c>
      <c r="AS95" s="43"/>
      <c r="AV95">
        <v>1496</v>
      </c>
      <c r="AW95">
        <v>1500</v>
      </c>
      <c r="AX95" s="47">
        <v>-4</v>
      </c>
      <c r="AY95" s="43"/>
      <c r="BD95" s="47">
        <v>0</v>
      </c>
      <c r="BE95" s="43"/>
      <c r="BF95" s="42"/>
      <c r="BH95">
        <v>1096</v>
      </c>
      <c r="BI95">
        <v>1100</v>
      </c>
      <c r="BJ95" s="47">
        <v>-4</v>
      </c>
      <c r="BK95" s="43"/>
      <c r="BL95" s="42"/>
      <c r="BN95">
        <v>1600</v>
      </c>
      <c r="BO95">
        <v>1600</v>
      </c>
      <c r="BP95" s="47">
        <v>0</v>
      </c>
      <c r="BQ95" s="43"/>
      <c r="BR95">
        <v>448</v>
      </c>
      <c r="BS95">
        <v>450</v>
      </c>
      <c r="BT95">
        <v>504</v>
      </c>
      <c r="BU95">
        <v>506</v>
      </c>
      <c r="BV95" s="47">
        <v>-4</v>
      </c>
      <c r="BW95" s="43"/>
      <c r="BX95" s="40">
        <v>360</v>
      </c>
      <c r="BY95">
        <v>360</v>
      </c>
      <c r="BZ95">
        <v>376</v>
      </c>
      <c r="CA95">
        <v>375</v>
      </c>
      <c r="CB95" s="47">
        <v>1</v>
      </c>
      <c r="CC95" s="43"/>
      <c r="CD95">
        <v>600</v>
      </c>
      <c r="CE95">
        <v>600</v>
      </c>
      <c r="CF95">
        <v>616</v>
      </c>
      <c r="CG95">
        <v>615</v>
      </c>
      <c r="CH95" s="47">
        <v>1</v>
      </c>
      <c r="CI95" s="43"/>
      <c r="CJ95">
        <v>112</v>
      </c>
      <c r="CK95">
        <v>110</v>
      </c>
      <c r="CL95">
        <v>120</v>
      </c>
      <c r="CM95">
        <v>118</v>
      </c>
      <c r="CN95" s="47">
        <v>4</v>
      </c>
      <c r="CO95" s="43"/>
      <c r="CP95" s="40">
        <v>400</v>
      </c>
      <c r="CQ95">
        <v>400</v>
      </c>
      <c r="CR95">
        <v>472</v>
      </c>
      <c r="CS95">
        <v>477</v>
      </c>
      <c r="CT95" s="47">
        <v>-5</v>
      </c>
      <c r="CU95" s="43"/>
      <c r="CV95" s="40">
        <v>400</v>
      </c>
      <c r="CW95">
        <v>400</v>
      </c>
      <c r="CX95">
        <v>400</v>
      </c>
      <c r="CY95">
        <v>400</v>
      </c>
      <c r="CZ95" s="47">
        <v>0</v>
      </c>
      <c r="DA95" s="43"/>
      <c r="DB95">
        <v>280</v>
      </c>
      <c r="DC95">
        <v>280</v>
      </c>
      <c r="DE95">
        <v>296</v>
      </c>
      <c r="DF95">
        <v>299</v>
      </c>
      <c r="DG95" s="47">
        <v>-3</v>
      </c>
      <c r="DH95" s="43"/>
      <c r="DI95">
        <v>200</v>
      </c>
      <c r="DJ95">
        <v>200</v>
      </c>
      <c r="DK95" s="47">
        <v>0</v>
      </c>
      <c r="DL95" s="43"/>
      <c r="DM95" s="40">
        <v>384</v>
      </c>
      <c r="DN95">
        <v>388</v>
      </c>
      <c r="DO95">
        <v>1296</v>
      </c>
      <c r="DP95">
        <v>1300</v>
      </c>
      <c r="DQ95" s="47">
        <v>-8</v>
      </c>
      <c r="DR95" s="43"/>
      <c r="DU95">
        <v>24</v>
      </c>
      <c r="DV95">
        <v>25</v>
      </c>
      <c r="DW95" s="47">
        <v>-1</v>
      </c>
      <c r="DX95" s="43"/>
      <c r="DY95">
        <v>96</v>
      </c>
      <c r="DZ95">
        <v>100</v>
      </c>
      <c r="EA95">
        <v>840</v>
      </c>
      <c r="EB95">
        <v>839</v>
      </c>
      <c r="EC95" s="47">
        <v>-3</v>
      </c>
      <c r="ED95" s="43"/>
      <c r="EE95" s="40">
        <v>288</v>
      </c>
      <c r="EF95">
        <v>290</v>
      </c>
      <c r="EG95">
        <v>712</v>
      </c>
      <c r="EH95">
        <v>714</v>
      </c>
      <c r="EI95" s="47">
        <v>-4</v>
      </c>
      <c r="EJ95" s="43"/>
      <c r="EM95">
        <v>352</v>
      </c>
      <c r="EN95">
        <v>357</v>
      </c>
      <c r="EO95" s="47">
        <v>-5</v>
      </c>
      <c r="EP95" s="43"/>
      <c r="EQ95" s="42"/>
      <c r="EU95" s="47">
        <v>0</v>
      </c>
      <c r="EV95" s="43"/>
      <c r="EW95" s="42"/>
      <c r="EY95">
        <v>800</v>
      </c>
      <c r="EZ95">
        <v>800</v>
      </c>
      <c r="FA95">
        <v>496</v>
      </c>
      <c r="FB95">
        <v>500</v>
      </c>
      <c r="FC95" s="47">
        <v>-4</v>
      </c>
      <c r="FD95" s="43"/>
      <c r="FE95" s="40">
        <v>400</v>
      </c>
      <c r="FF95">
        <v>400</v>
      </c>
      <c r="FG95">
        <v>296</v>
      </c>
      <c r="FH95">
        <v>300</v>
      </c>
      <c r="FI95" s="47">
        <v>-4</v>
      </c>
      <c r="FJ95" s="43"/>
      <c r="FM95">
        <v>696</v>
      </c>
      <c r="FN95">
        <v>700</v>
      </c>
      <c r="FQ95" s="47">
        <v>-4</v>
      </c>
      <c r="FR95" s="43"/>
      <c r="FS95" s="40">
        <v>496</v>
      </c>
      <c r="FT95">
        <v>500</v>
      </c>
      <c r="FU95">
        <v>1096</v>
      </c>
      <c r="FV95">
        <v>1100</v>
      </c>
      <c r="FW95" s="47">
        <v>-8</v>
      </c>
      <c r="FX95" s="43"/>
      <c r="FY95" s="42"/>
      <c r="GA95">
        <v>112</v>
      </c>
      <c r="GB95">
        <v>114</v>
      </c>
      <c r="GC95" s="47">
        <v>-2</v>
      </c>
      <c r="GD95" s="43"/>
      <c r="GE95" s="40">
        <v>600</v>
      </c>
      <c r="GF95">
        <v>600</v>
      </c>
      <c r="GG95">
        <v>312</v>
      </c>
      <c r="GH95">
        <v>310</v>
      </c>
      <c r="GI95" s="47">
        <v>2</v>
      </c>
      <c r="GJ95" s="43"/>
      <c r="GK95">
        <v>320</v>
      </c>
      <c r="GL95">
        <v>320</v>
      </c>
      <c r="GM95">
        <v>320</v>
      </c>
      <c r="GN95">
        <v>320</v>
      </c>
      <c r="GO95">
        <v>504</v>
      </c>
      <c r="GP95">
        <v>507</v>
      </c>
      <c r="GQ95" s="47">
        <v>-3</v>
      </c>
      <c r="GR95" s="43"/>
      <c r="GS95">
        <v>400</v>
      </c>
      <c r="GT95">
        <v>400</v>
      </c>
      <c r="GU95">
        <v>320</v>
      </c>
      <c r="GW95">
        <v>320</v>
      </c>
      <c r="GX95" s="47">
        <v>0</v>
      </c>
      <c r="GY95" s="43"/>
      <c r="GZ95" s="42"/>
      <c r="HC95" s="47">
        <v>0</v>
      </c>
      <c r="HD95" s="43"/>
      <c r="HE95" s="40">
        <v>1336</v>
      </c>
      <c r="HG95">
        <v>1339</v>
      </c>
      <c r="HH95" s="47">
        <v>-3</v>
      </c>
      <c r="HI95" s="43"/>
      <c r="HJ95">
        <v>736</v>
      </c>
      <c r="HM95">
        <v>740</v>
      </c>
      <c r="HN95" s="47">
        <v>-4</v>
      </c>
      <c r="HO95" s="43"/>
      <c r="HP95" s="40">
        <v>40</v>
      </c>
      <c r="HR95">
        <v>40</v>
      </c>
      <c r="HS95">
        <v>80</v>
      </c>
      <c r="HT95">
        <v>80</v>
      </c>
      <c r="HU95" s="47">
        <v>0</v>
      </c>
      <c r="HV95" s="43"/>
      <c r="HW95">
        <v>296</v>
      </c>
      <c r="HX95">
        <v>300</v>
      </c>
      <c r="HY95">
        <v>312</v>
      </c>
      <c r="HZ95">
        <v>310</v>
      </c>
      <c r="IA95" s="47">
        <v>-2</v>
      </c>
      <c r="IB95" s="43"/>
      <c r="IC95" s="40">
        <v>456</v>
      </c>
      <c r="ID95">
        <v>460</v>
      </c>
      <c r="IE95">
        <v>488</v>
      </c>
      <c r="IF95">
        <v>490</v>
      </c>
      <c r="IG95" s="47">
        <v>-6</v>
      </c>
      <c r="IH95" s="43"/>
      <c r="II95">
        <v>96</v>
      </c>
      <c r="IJ95">
        <v>100</v>
      </c>
      <c r="IK95">
        <v>120</v>
      </c>
      <c r="IL95">
        <v>120</v>
      </c>
      <c r="IM95" s="47">
        <v>-4</v>
      </c>
      <c r="IN95" s="43"/>
      <c r="IO95" s="40">
        <v>1040</v>
      </c>
      <c r="IP95" s="44">
        <v>1040</v>
      </c>
      <c r="IQ95" s="47">
        <v>0</v>
      </c>
      <c r="IR95" s="43"/>
      <c r="IS95" s="42"/>
      <c r="IU95">
        <v>296</v>
      </c>
      <c r="IV95">
        <v>300</v>
      </c>
      <c r="IW95" s="47">
        <v>-4</v>
      </c>
      <c r="IX95" s="43"/>
      <c r="IY95" s="42"/>
      <c r="JA95" s="47">
        <v>0</v>
      </c>
      <c r="JB95" s="43"/>
      <c r="JC95" s="42"/>
      <c r="JE95">
        <v>3000</v>
      </c>
      <c r="JF95">
        <v>3000</v>
      </c>
      <c r="JG95" s="47">
        <v>0</v>
      </c>
      <c r="JH95" s="43"/>
      <c r="JK95">
        <v>680</v>
      </c>
      <c r="JL95">
        <v>680</v>
      </c>
      <c r="JO95" s="47">
        <v>0</v>
      </c>
      <c r="JP95" s="43"/>
      <c r="JQ95" s="40">
        <v>496</v>
      </c>
      <c r="JR95">
        <v>500</v>
      </c>
      <c r="JS95">
        <v>488</v>
      </c>
      <c r="JT95">
        <v>490</v>
      </c>
      <c r="JU95" s="47">
        <v>-6</v>
      </c>
      <c r="JV95" s="43"/>
      <c r="JW95">
        <v>200</v>
      </c>
      <c r="JX95">
        <v>200</v>
      </c>
      <c r="JY95">
        <v>232</v>
      </c>
      <c r="JZ95">
        <v>230</v>
      </c>
      <c r="KA95" s="47">
        <v>2</v>
      </c>
      <c r="KB95" s="45"/>
      <c r="KC95">
        <v>352</v>
      </c>
      <c r="KD95">
        <v>350</v>
      </c>
      <c r="KE95">
        <v>480</v>
      </c>
      <c r="KF95">
        <v>480</v>
      </c>
      <c r="KG95" s="47">
        <v>2</v>
      </c>
      <c r="KH95" s="45"/>
      <c r="KI95">
        <v>400</v>
      </c>
      <c r="KJ95">
        <v>400</v>
      </c>
      <c r="KK95">
        <v>360</v>
      </c>
      <c r="KL95">
        <v>360</v>
      </c>
      <c r="KM95" s="47">
        <v>0</v>
      </c>
      <c r="KN95" s="45"/>
      <c r="KO95">
        <v>432</v>
      </c>
      <c r="KP95">
        <v>430</v>
      </c>
      <c r="KQ95">
        <v>368</v>
      </c>
      <c r="KR95">
        <v>370</v>
      </c>
      <c r="KS95" s="47">
        <v>0</v>
      </c>
      <c r="KT95" s="43"/>
      <c r="KU95">
        <v>96</v>
      </c>
      <c r="KV95">
        <v>100</v>
      </c>
      <c r="KW95" s="47">
        <v>-4</v>
      </c>
      <c r="KX95" s="45"/>
      <c r="KY95">
        <v>496</v>
      </c>
      <c r="KZ95">
        <v>500</v>
      </c>
      <c r="LA95">
        <v>400</v>
      </c>
      <c r="LB95">
        <v>400</v>
      </c>
      <c r="LC95" s="47">
        <v>-4</v>
      </c>
      <c r="LD95" s="43"/>
      <c r="LE95" s="40">
        <v>448</v>
      </c>
      <c r="LF95" s="44">
        <v>450</v>
      </c>
      <c r="LG95" s="47">
        <v>-2</v>
      </c>
      <c r="LH95" s="45"/>
      <c r="LK95">
        <v>392</v>
      </c>
      <c r="LL95">
        <v>390</v>
      </c>
      <c r="LM95" s="47">
        <v>2</v>
      </c>
      <c r="LN95" s="45"/>
      <c r="LO95">
        <v>400</v>
      </c>
      <c r="LP95">
        <v>400</v>
      </c>
      <c r="LQ95">
        <v>96</v>
      </c>
      <c r="LR95">
        <v>100</v>
      </c>
      <c r="LS95" s="47">
        <v>-4</v>
      </c>
      <c r="LT95" s="45"/>
      <c r="LY95" s="47">
        <v>0</v>
      </c>
      <c r="LZ95" s="45"/>
      <c r="MA95">
        <v>600</v>
      </c>
      <c r="MB95">
        <v>600</v>
      </c>
      <c r="MC95">
        <v>952</v>
      </c>
      <c r="MD95">
        <v>950</v>
      </c>
      <c r="ME95" s="47">
        <v>2</v>
      </c>
      <c r="MF95" s="45"/>
      <c r="MG95" s="40">
        <v>96</v>
      </c>
      <c r="MH95">
        <v>100</v>
      </c>
      <c r="MI95">
        <v>200</v>
      </c>
      <c r="MJ95">
        <v>200</v>
      </c>
      <c r="MK95">
        <v>136</v>
      </c>
      <c r="ML95">
        <v>140</v>
      </c>
      <c r="MM95" s="47">
        <v>-8</v>
      </c>
      <c r="MN95" s="45"/>
      <c r="MO95" s="44">
        <v>0</v>
      </c>
      <c r="MP95" s="44">
        <v>0</v>
      </c>
      <c r="MQ95" s="44">
        <v>0</v>
      </c>
      <c r="MR95" s="44">
        <v>0</v>
      </c>
      <c r="MS95" s="47">
        <v>0</v>
      </c>
      <c r="MT95" s="45"/>
      <c r="MU95" s="44">
        <v>456</v>
      </c>
      <c r="MV95" s="44">
        <v>460</v>
      </c>
      <c r="MW95" s="44">
        <v>528</v>
      </c>
      <c r="MX95" s="44">
        <v>530</v>
      </c>
      <c r="MY95" s="47">
        <v>-6</v>
      </c>
      <c r="MZ95" s="45"/>
      <c r="NA95" s="46">
        <v>96</v>
      </c>
      <c r="NB95" s="44">
        <v>96</v>
      </c>
      <c r="NC95" s="47">
        <v>0</v>
      </c>
      <c r="ND95" s="45"/>
      <c r="NE95" s="46">
        <v>600</v>
      </c>
      <c r="NF95" s="44">
        <v>600</v>
      </c>
      <c r="NG95" s="44">
        <v>616</v>
      </c>
      <c r="NH95" s="44">
        <v>0</v>
      </c>
      <c r="NI95" s="44">
        <v>610</v>
      </c>
      <c r="NJ95" s="47">
        <v>6</v>
      </c>
      <c r="NK95" s="45"/>
      <c r="NL95" s="46">
        <v>248</v>
      </c>
      <c r="NM95" s="44">
        <v>250</v>
      </c>
      <c r="NN95" s="44">
        <v>256</v>
      </c>
      <c r="NO95" s="44">
        <v>260</v>
      </c>
      <c r="NP95" s="47">
        <v>-6</v>
      </c>
      <c r="NQ95" s="45"/>
      <c r="NR95" s="46">
        <v>448</v>
      </c>
      <c r="NS95" s="44">
        <v>450</v>
      </c>
      <c r="NT95" s="47">
        <v>-2</v>
      </c>
      <c r="NU95" s="45"/>
      <c r="NV95" s="46">
        <v>0</v>
      </c>
      <c r="NW95" s="44">
        <v>0</v>
      </c>
      <c r="NX95" s="44">
        <v>0</v>
      </c>
      <c r="NY95" s="44">
        <v>0</v>
      </c>
      <c r="NZ95" s="47">
        <v>0</v>
      </c>
      <c r="OA95" s="45"/>
      <c r="OB95" s="46">
        <v>1352</v>
      </c>
      <c r="OC95" s="44">
        <v>1350</v>
      </c>
      <c r="OD95" s="47">
        <v>2</v>
      </c>
      <c r="OE95" s="45"/>
      <c r="OF95" s="46">
        <v>0</v>
      </c>
      <c r="OG95" s="44">
        <v>0</v>
      </c>
      <c r="OH95" s="44">
        <v>0</v>
      </c>
      <c r="OI95" s="44">
        <v>0</v>
      </c>
      <c r="OJ95" s="47">
        <v>0</v>
      </c>
      <c r="OK95" s="45"/>
      <c r="OL95" s="44">
        <v>0</v>
      </c>
      <c r="OM95" s="43"/>
      <c r="ON95" s="44">
        <v>0</v>
      </c>
      <c r="OO95" s="44">
        <v>0</v>
      </c>
      <c r="OP95" s="47">
        <v>0</v>
      </c>
      <c r="OQ95" s="45"/>
      <c r="OR95" s="46">
        <v>0</v>
      </c>
      <c r="OS95" s="44">
        <v>0</v>
      </c>
      <c r="OT95" s="44">
        <v>0</v>
      </c>
      <c r="OU95" s="44">
        <v>0</v>
      </c>
      <c r="OV95" s="47">
        <v>0</v>
      </c>
      <c r="OW95" s="45"/>
      <c r="OX95" s="25">
        <v>152</v>
      </c>
      <c r="OY95" s="44">
        <v>0</v>
      </c>
      <c r="OZ95" s="44">
        <v>0</v>
      </c>
      <c r="PA95" s="44">
        <v>0</v>
      </c>
      <c r="PB95" s="47">
        <v>152</v>
      </c>
      <c r="PC95" s="45"/>
      <c r="PD95" s="46">
        <v>1496</v>
      </c>
      <c r="PE95" s="44">
        <v>1500</v>
      </c>
      <c r="PF95" s="44">
        <v>1496</v>
      </c>
      <c r="PG95" s="44">
        <v>1500</v>
      </c>
      <c r="PH95" s="47">
        <v>-8</v>
      </c>
      <c r="PI95" s="45"/>
      <c r="PJ95" s="46">
        <v>248</v>
      </c>
      <c r="PK95" s="44">
        <v>800</v>
      </c>
      <c r="PL95" s="44">
        <v>696</v>
      </c>
      <c r="PM95" s="44">
        <v>700</v>
      </c>
      <c r="PN95" s="50">
        <v>-556</v>
      </c>
      <c r="PO95" s="45">
        <v>194.6</v>
      </c>
      <c r="PP95" s="46">
        <v>352</v>
      </c>
      <c r="PQ95" s="44">
        <v>350</v>
      </c>
      <c r="PR95" s="44">
        <v>352</v>
      </c>
      <c r="PS95" s="44">
        <v>350</v>
      </c>
      <c r="PT95" s="47">
        <v>4</v>
      </c>
      <c r="PU95" s="45"/>
      <c r="PV95" s="46">
        <v>1200</v>
      </c>
      <c r="PW95" s="44">
        <v>1200</v>
      </c>
      <c r="PX95" s="47">
        <v>0</v>
      </c>
      <c r="PY95" s="45"/>
      <c r="PZ95" s="46">
        <v>312</v>
      </c>
      <c r="QA95" s="44">
        <v>311</v>
      </c>
      <c r="QB95" s="47">
        <v>1</v>
      </c>
      <c r="QC95" s="45"/>
      <c r="QD95" s="46">
        <v>0</v>
      </c>
      <c r="QE95" s="44">
        <v>0</v>
      </c>
      <c r="QF95" s="44">
        <v>72</v>
      </c>
      <c r="QG95" s="44">
        <v>71</v>
      </c>
      <c r="QH95" s="47">
        <v>1</v>
      </c>
      <c r="QI95" s="45"/>
      <c r="QJ95" s="46">
        <v>0</v>
      </c>
      <c r="QK95" s="44">
        <v>0</v>
      </c>
      <c r="QL95" s="47">
        <v>0</v>
      </c>
      <c r="QM95" s="45"/>
      <c r="QN95" s="46">
        <v>600</v>
      </c>
      <c r="QO95" s="44">
        <v>600</v>
      </c>
      <c r="QP95" s="44">
        <v>520</v>
      </c>
      <c r="QQ95" s="44">
        <v>520</v>
      </c>
      <c r="QR95" s="47">
        <v>0</v>
      </c>
      <c r="QS95" s="45"/>
      <c r="QT95" s="46">
        <v>80</v>
      </c>
      <c r="QU95" s="44">
        <v>85</v>
      </c>
      <c r="QV95" s="47">
        <v>-5</v>
      </c>
      <c r="QW95" s="45"/>
      <c r="QX95" s="46">
        <v>0</v>
      </c>
      <c r="QY95" s="44">
        <v>0</v>
      </c>
      <c r="QZ95" s="44">
        <v>96</v>
      </c>
      <c r="RA95" s="44">
        <v>100</v>
      </c>
      <c r="RB95" s="47">
        <v>-4</v>
      </c>
      <c r="RC95" s="45"/>
      <c r="RD95" s="42">
        <v>296</v>
      </c>
      <c r="RE95" s="44">
        <v>300</v>
      </c>
      <c r="RF95" s="44">
        <v>360</v>
      </c>
      <c r="RG95" s="44">
        <v>362</v>
      </c>
      <c r="RH95" s="47">
        <v>-6</v>
      </c>
      <c r="RI95" s="45"/>
      <c r="RJ95" s="42">
        <v>152</v>
      </c>
      <c r="RK95" s="47">
        <v>150</v>
      </c>
      <c r="RL95" s="47">
        <v>152</v>
      </c>
      <c r="RM95" s="47">
        <v>150</v>
      </c>
      <c r="RN95" s="47">
        <v>4</v>
      </c>
      <c r="RO95" s="43"/>
      <c r="RP95" s="42">
        <v>544</v>
      </c>
      <c r="RQ95" s="47">
        <v>544</v>
      </c>
      <c r="RR95" s="47">
        <v>0</v>
      </c>
      <c r="RS95" s="43"/>
      <c r="RT95" s="42">
        <v>232</v>
      </c>
      <c r="RU95" s="47">
        <v>236</v>
      </c>
      <c r="RV95" s="47">
        <v>352</v>
      </c>
      <c r="RW95" s="47">
        <v>350</v>
      </c>
      <c r="RX95" s="47">
        <v>-2</v>
      </c>
      <c r="RY95" s="43"/>
      <c r="RZ95" s="42">
        <v>96</v>
      </c>
      <c r="SA95" s="47">
        <v>100</v>
      </c>
      <c r="SB95" s="47">
        <v>0</v>
      </c>
      <c r="SC95" s="47">
        <v>0</v>
      </c>
      <c r="SD95" s="47">
        <v>-4</v>
      </c>
      <c r="SE95" s="43"/>
      <c r="SF95" s="42">
        <v>304</v>
      </c>
      <c r="SG95" s="47">
        <v>305</v>
      </c>
      <c r="SH95" s="47">
        <v>696</v>
      </c>
      <c r="SI95" s="47">
        <v>500</v>
      </c>
      <c r="SJ95" s="47">
        <v>195</v>
      </c>
      <c r="SK95" s="43"/>
      <c r="SL95" s="42">
        <v>192</v>
      </c>
      <c r="SM95" s="47">
        <v>192</v>
      </c>
      <c r="SN95" s="47">
        <v>0</v>
      </c>
      <c r="SO95" s="43"/>
      <c r="SP95" s="42">
        <v>0</v>
      </c>
      <c r="SQ95" s="47">
        <v>0</v>
      </c>
      <c r="SR95" s="47">
        <v>0</v>
      </c>
      <c r="SS95" s="47">
        <v>0</v>
      </c>
      <c r="ST95" s="47">
        <v>0</v>
      </c>
      <c r="SU95" s="43"/>
    </row>
    <row r="96" spans="1:515" x14ac:dyDescent="0.25">
      <c r="A96" s="47" t="s">
        <v>403</v>
      </c>
      <c r="B96" s="41">
        <v>0.28000000000000003</v>
      </c>
      <c r="J96" s="42"/>
      <c r="K96" s="51"/>
      <c r="L96" s="51"/>
      <c r="M96" s="51"/>
      <c r="N96" s="51">
        <f t="shared" si="12"/>
        <v>0</v>
      </c>
      <c r="O96" s="43"/>
      <c r="P96" s="46"/>
      <c r="Q96" s="51"/>
      <c r="R96" s="51"/>
      <c r="S96" s="51"/>
      <c r="T96" s="51">
        <f t="shared" si="13"/>
        <v>0</v>
      </c>
      <c r="U96" s="43"/>
      <c r="V96" s="42"/>
      <c r="W96" s="51"/>
      <c r="X96" s="51"/>
      <c r="Y96" s="51"/>
      <c r="Z96" s="51">
        <f t="shared" si="14"/>
        <v>0</v>
      </c>
      <c r="AA96" s="43"/>
      <c r="AB96" s="42"/>
      <c r="AC96" s="51"/>
      <c r="AD96" s="51"/>
      <c r="AE96" s="51"/>
      <c r="AF96" s="51">
        <v>0</v>
      </c>
      <c r="AG96" s="43"/>
      <c r="AH96" s="51"/>
      <c r="AL96" s="47">
        <v>0</v>
      </c>
      <c r="AM96" s="43"/>
      <c r="AN96" s="42"/>
      <c r="AR96" s="47">
        <v>0</v>
      </c>
      <c r="AS96" s="43"/>
      <c r="AX96" s="47">
        <v>0</v>
      </c>
      <c r="AY96" s="43"/>
      <c r="BD96" s="47">
        <v>0</v>
      </c>
      <c r="BE96" s="43"/>
      <c r="BF96" s="42"/>
      <c r="BJ96" s="47">
        <v>0</v>
      </c>
      <c r="BK96" s="43"/>
      <c r="BL96" s="42"/>
      <c r="BP96" s="47">
        <v>0</v>
      </c>
      <c r="BQ96" s="43"/>
      <c r="BV96" s="47">
        <v>0</v>
      </c>
      <c r="BW96" s="43"/>
      <c r="BX96" s="42"/>
      <c r="CB96" s="47">
        <v>0</v>
      </c>
      <c r="CC96" s="43"/>
      <c r="CH96" s="47">
        <v>0</v>
      </c>
      <c r="CI96" s="43"/>
      <c r="CN96" s="47">
        <v>0</v>
      </c>
      <c r="CO96" s="43"/>
      <c r="CP96" s="42"/>
      <c r="CT96" s="47">
        <v>0</v>
      </c>
      <c r="CU96" s="43"/>
      <c r="CV96" s="42"/>
      <c r="CZ96" s="47">
        <v>0</v>
      </c>
      <c r="DA96" s="43"/>
      <c r="DG96" s="47">
        <v>0</v>
      </c>
      <c r="DH96" s="43"/>
      <c r="DK96" s="47">
        <v>0</v>
      </c>
      <c r="DL96" s="43"/>
      <c r="DM96" s="42"/>
      <c r="DQ96" s="47">
        <v>0</v>
      </c>
      <c r="DR96" s="43"/>
      <c r="DW96" s="47">
        <v>0</v>
      </c>
      <c r="DX96" s="43"/>
      <c r="EC96" s="47">
        <v>0</v>
      </c>
      <c r="ED96" s="43"/>
      <c r="EE96" s="42"/>
      <c r="EI96" s="47">
        <v>0</v>
      </c>
      <c r="EJ96" s="43"/>
      <c r="EO96" s="47">
        <v>0</v>
      </c>
      <c r="EP96" s="43"/>
      <c r="EQ96" s="42"/>
      <c r="EU96" s="47">
        <v>0</v>
      </c>
      <c r="EV96" s="43"/>
      <c r="EW96" s="42"/>
      <c r="FC96" s="47">
        <v>0</v>
      </c>
      <c r="FD96" s="43"/>
      <c r="FE96" s="42"/>
      <c r="FI96" s="47">
        <v>0</v>
      </c>
      <c r="FJ96" s="43"/>
      <c r="FQ96" s="47">
        <v>0</v>
      </c>
      <c r="FR96" s="43"/>
      <c r="FS96" s="42"/>
      <c r="FW96" s="47">
        <v>0</v>
      </c>
      <c r="FX96" s="43"/>
      <c r="FY96" s="42"/>
      <c r="GC96" s="47">
        <v>0</v>
      </c>
      <c r="GD96" s="43"/>
      <c r="GE96" s="42"/>
      <c r="GI96" s="47">
        <v>0</v>
      </c>
      <c r="GJ96" s="43"/>
      <c r="GQ96" s="47">
        <v>0</v>
      </c>
      <c r="GR96" s="43"/>
      <c r="GX96" s="47">
        <v>0</v>
      </c>
      <c r="GY96" s="43"/>
      <c r="GZ96" s="42"/>
      <c r="HC96" s="47">
        <v>0</v>
      </c>
      <c r="HD96" s="43"/>
      <c r="HE96" s="42"/>
      <c r="HH96" s="47">
        <v>0</v>
      </c>
      <c r="HI96" s="43"/>
      <c r="HN96" s="47">
        <v>0</v>
      </c>
      <c r="HO96" s="43"/>
      <c r="HP96" s="42"/>
      <c r="HU96" s="47">
        <v>0</v>
      </c>
      <c r="HV96" s="43"/>
      <c r="HX96" s="48">
        <v>130</v>
      </c>
      <c r="HZ96" s="48">
        <v>130</v>
      </c>
      <c r="IA96" s="47">
        <v>-4</v>
      </c>
      <c r="IB96" s="43"/>
      <c r="IC96" s="42"/>
      <c r="IG96" s="47">
        <v>0</v>
      </c>
      <c r="IH96" s="43"/>
      <c r="IK96">
        <v>72</v>
      </c>
      <c r="IL96">
        <v>70</v>
      </c>
      <c r="IM96" s="47">
        <v>2</v>
      </c>
      <c r="IN96" s="43"/>
      <c r="IO96" s="40">
        <v>176</v>
      </c>
      <c r="IP96" s="44">
        <v>180</v>
      </c>
      <c r="IQ96" s="47">
        <v>-4</v>
      </c>
      <c r="IR96" s="43"/>
      <c r="IS96" s="42"/>
      <c r="IU96">
        <v>8</v>
      </c>
      <c r="IV96">
        <v>10</v>
      </c>
      <c r="IW96" s="47">
        <v>-2</v>
      </c>
      <c r="IX96" s="43"/>
      <c r="IY96" s="40">
        <v>32</v>
      </c>
      <c r="IZ96">
        <v>30</v>
      </c>
      <c r="JA96" s="47">
        <v>2</v>
      </c>
      <c r="JB96" s="43"/>
      <c r="JC96" s="40">
        <v>96</v>
      </c>
      <c r="JD96">
        <v>100</v>
      </c>
      <c r="JE96">
        <v>96</v>
      </c>
      <c r="JF96">
        <v>100</v>
      </c>
      <c r="JG96" s="47">
        <v>-8</v>
      </c>
      <c r="JH96" s="43"/>
      <c r="JO96" s="47">
        <v>0</v>
      </c>
      <c r="JP96" s="43"/>
      <c r="JQ96" s="42"/>
      <c r="JT96">
        <v>8</v>
      </c>
      <c r="JU96" s="50">
        <v>-8</v>
      </c>
      <c r="JV96" s="45">
        <v>2.2400000000000002</v>
      </c>
      <c r="JW96">
        <v>96</v>
      </c>
      <c r="JX96">
        <v>100</v>
      </c>
      <c r="JY96">
        <v>176</v>
      </c>
      <c r="JZ96">
        <v>180</v>
      </c>
      <c r="KA96" s="47">
        <v>-8</v>
      </c>
      <c r="KB96" s="45"/>
      <c r="KE96">
        <v>56</v>
      </c>
      <c r="KF96">
        <v>60</v>
      </c>
      <c r="KG96" s="47">
        <v>-4</v>
      </c>
      <c r="KH96" s="45"/>
      <c r="KI96">
        <v>96</v>
      </c>
      <c r="KJ96">
        <v>100</v>
      </c>
      <c r="KK96">
        <v>64</v>
      </c>
      <c r="KL96">
        <v>80</v>
      </c>
      <c r="KM96" s="50">
        <v>-20</v>
      </c>
      <c r="KN96" s="45">
        <v>5.6000000000000014</v>
      </c>
      <c r="KO96">
        <v>40</v>
      </c>
      <c r="KP96">
        <v>40</v>
      </c>
      <c r="KS96" s="47">
        <v>0</v>
      </c>
      <c r="KT96" s="43"/>
      <c r="KU96">
        <v>72</v>
      </c>
      <c r="KV96">
        <v>70</v>
      </c>
      <c r="KW96" s="47">
        <v>2</v>
      </c>
      <c r="KX96" s="45"/>
      <c r="LA96">
        <v>96</v>
      </c>
      <c r="LB96">
        <v>94</v>
      </c>
      <c r="LC96" s="47">
        <v>2</v>
      </c>
      <c r="LD96" s="43"/>
      <c r="LE96" s="46"/>
      <c r="LG96" s="47">
        <v>0</v>
      </c>
      <c r="LH96" s="45"/>
      <c r="LK96">
        <v>96</v>
      </c>
      <c r="LL96">
        <v>100</v>
      </c>
      <c r="LM96" s="47">
        <v>-4</v>
      </c>
      <c r="LN96" s="45"/>
      <c r="LS96" s="47">
        <v>0</v>
      </c>
      <c r="LT96" s="45"/>
      <c r="LW96">
        <v>48</v>
      </c>
      <c r="LX96">
        <v>50</v>
      </c>
      <c r="LY96" s="47">
        <v>-2</v>
      </c>
      <c r="LZ96" s="45"/>
      <c r="ME96" s="47">
        <v>0</v>
      </c>
      <c r="MF96" s="45"/>
      <c r="MG96" s="40">
        <v>72</v>
      </c>
      <c r="MH96">
        <v>70</v>
      </c>
      <c r="MI96">
        <v>80</v>
      </c>
      <c r="MJ96">
        <v>80</v>
      </c>
      <c r="MK96">
        <v>80</v>
      </c>
      <c r="ML96">
        <v>80</v>
      </c>
      <c r="MM96" s="47">
        <v>2</v>
      </c>
      <c r="MN96" s="45"/>
      <c r="MO96" s="44">
        <v>0</v>
      </c>
      <c r="MP96" s="44">
        <v>0</v>
      </c>
      <c r="MQ96" s="44">
        <v>24</v>
      </c>
      <c r="MR96" s="44">
        <v>24</v>
      </c>
      <c r="MS96" s="47">
        <v>0</v>
      </c>
      <c r="MT96" s="45"/>
      <c r="MU96" s="44">
        <v>0</v>
      </c>
      <c r="MV96" s="44">
        <v>0</v>
      </c>
      <c r="MW96" s="44">
        <v>0</v>
      </c>
      <c r="MX96" s="44">
        <v>0</v>
      </c>
      <c r="MY96" s="47">
        <v>0</v>
      </c>
      <c r="MZ96" s="45"/>
      <c r="NA96" s="46">
        <v>128</v>
      </c>
      <c r="NB96" s="44">
        <v>130</v>
      </c>
      <c r="NC96" s="47">
        <v>-2</v>
      </c>
      <c r="ND96" s="45"/>
      <c r="NE96" s="46">
        <v>48</v>
      </c>
      <c r="NF96" s="44">
        <v>50</v>
      </c>
      <c r="NG96" s="44">
        <v>72</v>
      </c>
      <c r="NH96" s="44">
        <v>0</v>
      </c>
      <c r="NI96" s="44">
        <v>70</v>
      </c>
      <c r="NJ96" s="47">
        <v>0</v>
      </c>
      <c r="NK96" s="45"/>
      <c r="NL96" s="46">
        <v>32</v>
      </c>
      <c r="NM96" s="44">
        <v>32</v>
      </c>
      <c r="NN96" s="44">
        <v>0</v>
      </c>
      <c r="NO96" s="44">
        <v>0</v>
      </c>
      <c r="NP96" s="47">
        <v>0</v>
      </c>
      <c r="NQ96" s="45"/>
      <c r="NR96" s="46">
        <v>176</v>
      </c>
      <c r="NS96" s="44">
        <v>180</v>
      </c>
      <c r="NT96" s="47">
        <v>-4</v>
      </c>
      <c r="NU96" s="45"/>
      <c r="NV96" s="46">
        <v>0</v>
      </c>
      <c r="NW96" s="44">
        <v>0</v>
      </c>
      <c r="NX96" s="44">
        <v>48</v>
      </c>
      <c r="NY96" s="44">
        <v>47</v>
      </c>
      <c r="NZ96" s="47">
        <v>1</v>
      </c>
      <c r="OA96" s="45"/>
      <c r="OB96" s="46">
        <v>128</v>
      </c>
      <c r="OC96" s="44">
        <v>130</v>
      </c>
      <c r="OD96" s="47">
        <v>-2</v>
      </c>
      <c r="OE96" s="45"/>
      <c r="OF96" s="46">
        <v>0</v>
      </c>
      <c r="OG96" s="44">
        <v>0</v>
      </c>
      <c r="OH96" s="44">
        <v>0</v>
      </c>
      <c r="OI96" s="44">
        <v>0</v>
      </c>
      <c r="OJ96" s="47">
        <v>0</v>
      </c>
      <c r="OK96" s="45"/>
      <c r="OL96" s="44">
        <v>0</v>
      </c>
      <c r="OM96" s="43"/>
      <c r="ON96" s="44">
        <v>152</v>
      </c>
      <c r="OO96" s="44">
        <v>150</v>
      </c>
      <c r="OP96" s="47">
        <v>2</v>
      </c>
      <c r="OQ96" s="45"/>
      <c r="OR96" s="46">
        <v>0</v>
      </c>
      <c r="OS96" s="44">
        <v>0</v>
      </c>
      <c r="OT96" s="44">
        <v>32</v>
      </c>
      <c r="OU96" s="44">
        <v>30</v>
      </c>
      <c r="OV96" s="47">
        <v>2</v>
      </c>
      <c r="OW96" s="45"/>
      <c r="OX96" s="46">
        <v>0</v>
      </c>
      <c r="OY96" s="44">
        <v>0</v>
      </c>
      <c r="OZ96" s="44">
        <v>0</v>
      </c>
      <c r="PA96" s="44">
        <v>0</v>
      </c>
      <c r="PB96" s="47">
        <v>0</v>
      </c>
      <c r="PC96" s="45"/>
      <c r="PD96" s="46">
        <v>120</v>
      </c>
      <c r="PE96" s="44">
        <v>120</v>
      </c>
      <c r="PF96" s="44">
        <v>160</v>
      </c>
      <c r="PG96" s="44">
        <v>160</v>
      </c>
      <c r="PH96" s="47">
        <v>0</v>
      </c>
      <c r="PI96" s="45"/>
      <c r="PJ96" s="46">
        <v>0</v>
      </c>
      <c r="PK96" s="44">
        <v>0</v>
      </c>
      <c r="PL96" s="44">
        <v>16</v>
      </c>
      <c r="PM96" s="44">
        <v>16</v>
      </c>
      <c r="PN96" s="47">
        <v>0</v>
      </c>
      <c r="PO96" s="45"/>
      <c r="PP96" s="46">
        <v>0</v>
      </c>
      <c r="PQ96" s="44">
        <v>0</v>
      </c>
      <c r="PR96" s="44">
        <v>56</v>
      </c>
      <c r="PS96" s="44">
        <v>60</v>
      </c>
      <c r="PT96" s="47">
        <v>-4</v>
      </c>
      <c r="PU96" s="45"/>
      <c r="PV96" s="46">
        <v>184</v>
      </c>
      <c r="PW96" s="44">
        <v>184</v>
      </c>
      <c r="PX96" s="47">
        <v>0</v>
      </c>
      <c r="PY96" s="45"/>
      <c r="PZ96" s="46">
        <v>0</v>
      </c>
      <c r="QA96" s="44">
        <v>0</v>
      </c>
      <c r="QB96" s="47">
        <v>0</v>
      </c>
      <c r="QC96" s="45"/>
      <c r="QD96" s="46">
        <v>0</v>
      </c>
      <c r="QE96" s="44">
        <v>0</v>
      </c>
      <c r="QF96" s="44">
        <v>136</v>
      </c>
      <c r="QG96" s="44">
        <v>140</v>
      </c>
      <c r="QH96" s="47">
        <v>-4</v>
      </c>
      <c r="QI96" s="45"/>
      <c r="QJ96" s="46">
        <v>0</v>
      </c>
      <c r="QK96" s="33">
        <v>150</v>
      </c>
      <c r="QL96" s="50">
        <v>-150</v>
      </c>
      <c r="QM96" s="45">
        <v>42.000000000000007</v>
      </c>
      <c r="QN96" s="46">
        <v>0</v>
      </c>
      <c r="QO96" s="44">
        <v>0</v>
      </c>
      <c r="QP96" s="44">
        <v>112</v>
      </c>
      <c r="QQ96" s="44">
        <v>110</v>
      </c>
      <c r="QR96" s="47">
        <v>2</v>
      </c>
      <c r="QS96" s="45"/>
      <c r="QT96" s="46">
        <v>0</v>
      </c>
      <c r="QU96" s="44">
        <v>0</v>
      </c>
      <c r="QV96" s="47">
        <v>0</v>
      </c>
      <c r="QW96" s="45"/>
      <c r="QX96" s="46">
        <v>0</v>
      </c>
      <c r="QY96" s="44">
        <v>0</v>
      </c>
      <c r="QZ96" s="44">
        <v>40</v>
      </c>
      <c r="RA96" s="44">
        <v>40</v>
      </c>
      <c r="RB96" s="47">
        <v>0</v>
      </c>
      <c r="RC96" s="45"/>
      <c r="RD96" s="42">
        <v>0</v>
      </c>
      <c r="RE96" s="44">
        <v>0</v>
      </c>
      <c r="RF96" s="44">
        <v>48</v>
      </c>
      <c r="RG96" s="44">
        <v>50</v>
      </c>
      <c r="RH96" s="47">
        <v>-2</v>
      </c>
      <c r="RI96" s="45"/>
      <c r="RJ96" s="42">
        <v>56</v>
      </c>
      <c r="RK96" s="47">
        <v>60</v>
      </c>
      <c r="RL96" s="47">
        <v>0</v>
      </c>
      <c r="RM96" s="47">
        <v>0</v>
      </c>
      <c r="RN96" s="47">
        <v>-4</v>
      </c>
      <c r="RO96" s="43"/>
      <c r="RP96" s="42">
        <v>152</v>
      </c>
      <c r="RQ96" s="47">
        <v>150</v>
      </c>
      <c r="RR96" s="47">
        <v>2</v>
      </c>
      <c r="RS96" s="43"/>
      <c r="RT96" s="42">
        <v>0</v>
      </c>
      <c r="RU96" s="47">
        <v>0</v>
      </c>
      <c r="RV96" s="47">
        <v>0</v>
      </c>
      <c r="RW96" s="47">
        <v>0</v>
      </c>
      <c r="RX96" s="47">
        <v>0</v>
      </c>
      <c r="RY96" s="43"/>
      <c r="RZ96" s="42">
        <v>0</v>
      </c>
      <c r="SA96" s="47">
        <v>0</v>
      </c>
      <c r="SB96" s="47">
        <v>0</v>
      </c>
      <c r="SC96" s="47">
        <v>0</v>
      </c>
      <c r="SD96" s="47">
        <v>0</v>
      </c>
      <c r="SE96" s="43"/>
      <c r="SF96" s="42">
        <v>0</v>
      </c>
      <c r="SG96" s="47">
        <v>0</v>
      </c>
      <c r="SH96" s="47">
        <v>152</v>
      </c>
      <c r="SI96" s="47">
        <v>0</v>
      </c>
      <c r="SJ96" s="47">
        <v>152</v>
      </c>
      <c r="SK96" s="43"/>
      <c r="SL96" s="42">
        <v>0</v>
      </c>
      <c r="SM96" s="47">
        <v>0</v>
      </c>
      <c r="SN96" s="47">
        <v>0</v>
      </c>
      <c r="SO96" s="43"/>
      <c r="SP96" s="42">
        <v>0</v>
      </c>
      <c r="SQ96" s="47">
        <v>0</v>
      </c>
      <c r="SR96" s="47">
        <v>0</v>
      </c>
      <c r="SS96" s="47">
        <v>0</v>
      </c>
      <c r="ST96" s="47">
        <v>0</v>
      </c>
      <c r="SU96" s="43"/>
    </row>
    <row r="97" spans="1:515" x14ac:dyDescent="0.25">
      <c r="A97" s="47" t="s">
        <v>404</v>
      </c>
      <c r="B97" s="41">
        <v>0.41</v>
      </c>
      <c r="E97">
        <v>294</v>
      </c>
      <c r="F97">
        <v>96</v>
      </c>
      <c r="G97">
        <v>100</v>
      </c>
      <c r="J97" s="40">
        <v>32</v>
      </c>
      <c r="K97" s="52">
        <v>37</v>
      </c>
      <c r="L97" s="52">
        <v>24</v>
      </c>
      <c r="M97" s="52">
        <v>31</v>
      </c>
      <c r="N97" s="51">
        <f t="shared" si="12"/>
        <v>-12</v>
      </c>
      <c r="O97" s="43"/>
      <c r="P97" s="40">
        <v>304</v>
      </c>
      <c r="Q97" s="52">
        <v>306</v>
      </c>
      <c r="R97" s="52">
        <v>256</v>
      </c>
      <c r="S97" s="52">
        <v>263</v>
      </c>
      <c r="T97" s="51">
        <f t="shared" si="13"/>
        <v>-9</v>
      </c>
      <c r="U97" s="43"/>
      <c r="V97" s="40">
        <v>120</v>
      </c>
      <c r="W97" s="52">
        <v>121</v>
      </c>
      <c r="X97" s="52">
        <v>56</v>
      </c>
      <c r="Y97" s="52">
        <v>60</v>
      </c>
      <c r="Z97" s="51">
        <f t="shared" si="14"/>
        <v>-5</v>
      </c>
      <c r="AA97" s="43"/>
      <c r="AB97" s="40">
        <v>80</v>
      </c>
      <c r="AC97" s="56">
        <v>86.521739130434796</v>
      </c>
      <c r="AD97" s="52">
        <v>112</v>
      </c>
      <c r="AE97" s="56">
        <v>112.4782608695652</v>
      </c>
      <c r="AF97" s="51">
        <v>-7</v>
      </c>
      <c r="AG97" s="43"/>
      <c r="AH97" s="52">
        <v>120</v>
      </c>
      <c r="AI97">
        <v>122</v>
      </c>
      <c r="AJ97">
        <v>96</v>
      </c>
      <c r="AK97">
        <v>98</v>
      </c>
      <c r="AL97" s="47">
        <v>-4</v>
      </c>
      <c r="AM97" s="43"/>
      <c r="AN97" s="40">
        <v>120</v>
      </c>
      <c r="AO97">
        <v>120</v>
      </c>
      <c r="AR97" s="47">
        <v>0</v>
      </c>
      <c r="AS97" s="43"/>
      <c r="AX97" s="47">
        <v>0</v>
      </c>
      <c r="AY97" s="43"/>
      <c r="AZ97">
        <v>360</v>
      </c>
      <c r="BA97">
        <v>360</v>
      </c>
      <c r="BB97">
        <v>376</v>
      </c>
      <c r="BC97">
        <v>378</v>
      </c>
      <c r="BD97" s="47">
        <v>-2</v>
      </c>
      <c r="BE97" s="43"/>
      <c r="BF97" s="40">
        <v>256</v>
      </c>
      <c r="BG97">
        <v>260</v>
      </c>
      <c r="BH97">
        <v>320</v>
      </c>
      <c r="BI97">
        <v>319</v>
      </c>
      <c r="BJ97" s="47">
        <v>-3</v>
      </c>
      <c r="BK97" s="43"/>
      <c r="BL97" s="42"/>
      <c r="BP97" s="47">
        <v>0</v>
      </c>
      <c r="BQ97" s="43"/>
      <c r="BR97">
        <v>216</v>
      </c>
      <c r="BS97">
        <v>220</v>
      </c>
      <c r="BT97">
        <v>272</v>
      </c>
      <c r="BU97">
        <v>270</v>
      </c>
      <c r="BV97" s="47">
        <v>-2</v>
      </c>
      <c r="BW97" s="43"/>
      <c r="BX97" s="40">
        <v>96</v>
      </c>
      <c r="BY97">
        <v>100</v>
      </c>
      <c r="BZ97">
        <v>40</v>
      </c>
      <c r="CA97">
        <v>44</v>
      </c>
      <c r="CB97" s="47">
        <v>-8</v>
      </c>
      <c r="CC97" s="43"/>
      <c r="CD97">
        <v>352</v>
      </c>
      <c r="CE97">
        <v>350</v>
      </c>
      <c r="CF97">
        <v>376</v>
      </c>
      <c r="CG97">
        <v>374</v>
      </c>
      <c r="CH97" s="47">
        <v>4</v>
      </c>
      <c r="CI97" s="43"/>
      <c r="CJ97">
        <v>168</v>
      </c>
      <c r="CK97">
        <v>170</v>
      </c>
      <c r="CL97">
        <v>168</v>
      </c>
      <c r="CM97">
        <v>169</v>
      </c>
      <c r="CN97" s="47">
        <v>-3</v>
      </c>
      <c r="CO97" s="43"/>
      <c r="CP97" s="40">
        <v>72</v>
      </c>
      <c r="CQ97">
        <v>72</v>
      </c>
      <c r="CR97">
        <v>136</v>
      </c>
      <c r="CS97">
        <v>138</v>
      </c>
      <c r="CT97" s="47">
        <v>-2</v>
      </c>
      <c r="CU97" s="43"/>
      <c r="CV97" s="40">
        <v>152</v>
      </c>
      <c r="CW97">
        <v>150</v>
      </c>
      <c r="CX97">
        <v>160</v>
      </c>
      <c r="CY97">
        <v>160</v>
      </c>
      <c r="CZ97" s="47">
        <v>2</v>
      </c>
      <c r="DA97" s="43"/>
      <c r="DB97">
        <v>352</v>
      </c>
      <c r="DC97">
        <v>350</v>
      </c>
      <c r="DE97">
        <v>376</v>
      </c>
      <c r="DF97">
        <v>375</v>
      </c>
      <c r="DG97" s="47">
        <v>3</v>
      </c>
      <c r="DH97" s="43"/>
      <c r="DI97">
        <v>96</v>
      </c>
      <c r="DJ97">
        <v>100</v>
      </c>
      <c r="DK97" s="47">
        <v>-4</v>
      </c>
      <c r="DL97" s="43"/>
      <c r="DM97" s="40">
        <v>272</v>
      </c>
      <c r="DN97">
        <v>274</v>
      </c>
      <c r="DO97">
        <v>216</v>
      </c>
      <c r="DP97">
        <v>214</v>
      </c>
      <c r="DQ97" s="47">
        <v>0</v>
      </c>
      <c r="DR97" s="43"/>
      <c r="DS97">
        <v>200</v>
      </c>
      <c r="DT97">
        <v>200</v>
      </c>
      <c r="DU97">
        <v>328</v>
      </c>
      <c r="DV97">
        <v>329</v>
      </c>
      <c r="DW97" s="47">
        <v>-1</v>
      </c>
      <c r="DX97" s="43"/>
      <c r="EA97">
        <v>88</v>
      </c>
      <c r="EB97">
        <v>88</v>
      </c>
      <c r="EC97" s="47">
        <v>0</v>
      </c>
      <c r="ED97" s="43"/>
      <c r="EE97" s="42"/>
      <c r="EG97">
        <v>552</v>
      </c>
      <c r="EH97">
        <v>556</v>
      </c>
      <c r="EI97" s="47">
        <v>-4</v>
      </c>
      <c r="EJ97" s="43"/>
      <c r="EO97" s="47">
        <v>0</v>
      </c>
      <c r="EP97" s="43"/>
      <c r="EQ97" s="42"/>
      <c r="ES97">
        <v>192</v>
      </c>
      <c r="ET97">
        <v>196</v>
      </c>
      <c r="EU97" s="47">
        <v>-4</v>
      </c>
      <c r="EV97" s="43"/>
      <c r="EW97" s="42"/>
      <c r="EY97">
        <v>200</v>
      </c>
      <c r="EZ97">
        <v>200</v>
      </c>
      <c r="FA97">
        <v>208</v>
      </c>
      <c r="FB97">
        <v>210</v>
      </c>
      <c r="FC97" s="47">
        <v>-2</v>
      </c>
      <c r="FD97" s="43"/>
      <c r="FE97" s="40">
        <v>200</v>
      </c>
      <c r="FF97">
        <v>200</v>
      </c>
      <c r="FG97">
        <v>152</v>
      </c>
      <c r="FH97">
        <v>150</v>
      </c>
      <c r="FI97" s="47">
        <v>2</v>
      </c>
      <c r="FJ97" s="43"/>
      <c r="FK97">
        <v>96</v>
      </c>
      <c r="FL97">
        <v>100</v>
      </c>
      <c r="FM97">
        <v>240</v>
      </c>
      <c r="FN97">
        <v>240</v>
      </c>
      <c r="FO97">
        <v>96</v>
      </c>
      <c r="FP97">
        <v>100</v>
      </c>
      <c r="FQ97" s="47">
        <v>-8</v>
      </c>
      <c r="FR97" s="43"/>
      <c r="FS97" s="42"/>
      <c r="FU97">
        <v>96</v>
      </c>
      <c r="FV97">
        <v>100</v>
      </c>
      <c r="FW97" s="47">
        <v>-4</v>
      </c>
      <c r="FX97" s="43"/>
      <c r="FY97" s="42"/>
      <c r="GA97">
        <v>392</v>
      </c>
      <c r="GB97">
        <v>390</v>
      </c>
      <c r="GC97" s="47">
        <v>2</v>
      </c>
      <c r="GD97" s="43"/>
      <c r="GE97" s="40">
        <v>120</v>
      </c>
      <c r="GF97">
        <v>120</v>
      </c>
      <c r="GG97">
        <v>112</v>
      </c>
      <c r="GH97">
        <v>110</v>
      </c>
      <c r="GI97" s="47">
        <v>2</v>
      </c>
      <c r="GJ97" s="43"/>
      <c r="GK97">
        <v>120</v>
      </c>
      <c r="GL97">
        <v>120</v>
      </c>
      <c r="GM97">
        <v>120</v>
      </c>
      <c r="GN97">
        <v>120</v>
      </c>
      <c r="GO97">
        <v>160</v>
      </c>
      <c r="GP97">
        <v>160</v>
      </c>
      <c r="GQ97" s="47">
        <v>0</v>
      </c>
      <c r="GR97" s="43"/>
      <c r="GU97">
        <v>56</v>
      </c>
      <c r="GW97">
        <v>60</v>
      </c>
      <c r="GX97" s="47">
        <v>-4</v>
      </c>
      <c r="GY97" s="43"/>
      <c r="GZ97" s="42"/>
      <c r="HC97" s="47">
        <v>0</v>
      </c>
      <c r="HD97" s="43"/>
      <c r="HE97" s="40">
        <v>184</v>
      </c>
      <c r="HG97">
        <v>187</v>
      </c>
      <c r="HH97" s="47">
        <v>-3</v>
      </c>
      <c r="HI97" s="43"/>
      <c r="HJ97">
        <v>160</v>
      </c>
      <c r="HM97">
        <v>160</v>
      </c>
      <c r="HN97" s="47">
        <v>0</v>
      </c>
      <c r="HO97" s="43"/>
      <c r="HP97" s="40">
        <v>152</v>
      </c>
      <c r="HR97">
        <v>150</v>
      </c>
      <c r="HS97">
        <v>176</v>
      </c>
      <c r="HT97">
        <v>180</v>
      </c>
      <c r="HU97" s="47">
        <v>-2</v>
      </c>
      <c r="HV97" s="43"/>
      <c r="IA97" s="47">
        <v>0</v>
      </c>
      <c r="IB97" s="43"/>
      <c r="IC97" s="42"/>
      <c r="IE97">
        <v>616</v>
      </c>
      <c r="IF97">
        <v>620</v>
      </c>
      <c r="IG97" s="47">
        <v>-4</v>
      </c>
      <c r="IH97" s="43"/>
      <c r="II97">
        <v>152</v>
      </c>
      <c r="IJ97">
        <v>150</v>
      </c>
      <c r="IK97">
        <v>152</v>
      </c>
      <c r="IL97">
        <v>150</v>
      </c>
      <c r="IM97" s="47">
        <v>4</v>
      </c>
      <c r="IN97" s="43"/>
      <c r="IO97" s="42"/>
      <c r="IQ97" s="47">
        <v>0</v>
      </c>
      <c r="IR97" s="43"/>
      <c r="IS97" s="40">
        <v>96</v>
      </c>
      <c r="IT97">
        <v>100</v>
      </c>
      <c r="IU97">
        <v>160</v>
      </c>
      <c r="IV97">
        <v>160</v>
      </c>
      <c r="IW97" s="47">
        <v>-4</v>
      </c>
      <c r="IX97" s="43"/>
      <c r="IY97" s="40">
        <v>200</v>
      </c>
      <c r="IZ97">
        <v>200</v>
      </c>
      <c r="JA97" s="47">
        <v>0</v>
      </c>
      <c r="JB97" s="43"/>
      <c r="JC97" s="40">
        <v>200</v>
      </c>
      <c r="JD97">
        <v>200</v>
      </c>
      <c r="JE97">
        <v>200</v>
      </c>
      <c r="JF97">
        <v>200</v>
      </c>
      <c r="JG97" s="47">
        <v>0</v>
      </c>
      <c r="JH97" s="43"/>
      <c r="JM97">
        <v>192</v>
      </c>
      <c r="JN97">
        <v>190</v>
      </c>
      <c r="JO97" s="47">
        <v>2</v>
      </c>
      <c r="JP97" s="43"/>
      <c r="JQ97" s="40">
        <v>152</v>
      </c>
      <c r="JR97">
        <v>150</v>
      </c>
      <c r="JS97">
        <v>120</v>
      </c>
      <c r="JT97">
        <v>120</v>
      </c>
      <c r="JU97" s="47">
        <v>2</v>
      </c>
      <c r="JV97" s="43"/>
      <c r="JW97">
        <v>200</v>
      </c>
      <c r="JX97">
        <v>200</v>
      </c>
      <c r="JY97">
        <v>240</v>
      </c>
      <c r="JZ97">
        <v>240</v>
      </c>
      <c r="KA97" s="47">
        <v>0</v>
      </c>
      <c r="KB97" s="45"/>
      <c r="KC97">
        <v>152</v>
      </c>
      <c r="KD97">
        <v>150</v>
      </c>
      <c r="KE97">
        <v>232</v>
      </c>
      <c r="KF97">
        <v>230</v>
      </c>
      <c r="KG97" s="47">
        <v>4</v>
      </c>
      <c r="KH97" s="45"/>
      <c r="KM97" s="47">
        <v>0</v>
      </c>
      <c r="KN97" s="45"/>
      <c r="KO97">
        <v>352</v>
      </c>
      <c r="KP97">
        <v>350</v>
      </c>
      <c r="KQ97">
        <v>296</v>
      </c>
      <c r="KR97">
        <v>300</v>
      </c>
      <c r="KS97" s="47">
        <v>-2</v>
      </c>
      <c r="KT97" s="43"/>
      <c r="KU97">
        <v>152</v>
      </c>
      <c r="KV97">
        <v>156</v>
      </c>
      <c r="KW97" s="47">
        <v>-4</v>
      </c>
      <c r="KX97" s="45"/>
      <c r="LA97">
        <v>128</v>
      </c>
      <c r="LB97">
        <v>128</v>
      </c>
      <c r="LC97" s="47">
        <v>0</v>
      </c>
      <c r="LD97" s="43"/>
      <c r="LE97" s="40">
        <v>200</v>
      </c>
      <c r="LF97" s="44">
        <v>200</v>
      </c>
      <c r="LG97" s="47">
        <v>0</v>
      </c>
      <c r="LH97" s="45"/>
      <c r="LK97">
        <v>72</v>
      </c>
      <c r="LL97">
        <v>76</v>
      </c>
      <c r="LM97" s="47">
        <v>-4</v>
      </c>
      <c r="LN97" s="45"/>
      <c r="LO97">
        <v>88</v>
      </c>
      <c r="LP97">
        <v>90</v>
      </c>
      <c r="LS97" s="47">
        <v>-2</v>
      </c>
      <c r="LT97" s="45"/>
      <c r="LU97">
        <v>96</v>
      </c>
      <c r="LV97">
        <v>100</v>
      </c>
      <c r="LW97">
        <v>136</v>
      </c>
      <c r="LX97">
        <v>140</v>
      </c>
      <c r="LY97" s="47">
        <v>-8</v>
      </c>
      <c r="LZ97" s="45"/>
      <c r="MA97">
        <v>96</v>
      </c>
      <c r="MB97">
        <v>100</v>
      </c>
      <c r="MC97">
        <v>256</v>
      </c>
      <c r="MD97">
        <v>260</v>
      </c>
      <c r="ME97" s="47">
        <v>-8</v>
      </c>
      <c r="MF97" s="45"/>
      <c r="MG97" s="40">
        <v>48</v>
      </c>
      <c r="MH97">
        <v>50</v>
      </c>
      <c r="MI97">
        <v>48</v>
      </c>
      <c r="MJ97">
        <v>50</v>
      </c>
      <c r="MK97">
        <v>48</v>
      </c>
      <c r="ML97">
        <v>50</v>
      </c>
      <c r="MM97" s="47">
        <v>-6</v>
      </c>
      <c r="MN97" s="45"/>
      <c r="MO97" s="44">
        <v>208</v>
      </c>
      <c r="MP97" s="44">
        <v>210</v>
      </c>
      <c r="MQ97" s="44">
        <v>296</v>
      </c>
      <c r="MR97" s="44">
        <v>300</v>
      </c>
      <c r="MS97" s="47">
        <v>-6</v>
      </c>
      <c r="MT97" s="45"/>
      <c r="MU97" s="44">
        <v>96</v>
      </c>
      <c r="MV97" s="44">
        <v>100</v>
      </c>
      <c r="MW97" s="44">
        <v>96</v>
      </c>
      <c r="MX97" s="44">
        <v>100</v>
      </c>
      <c r="MY97" s="47">
        <v>-8</v>
      </c>
      <c r="MZ97" s="45"/>
      <c r="NA97" s="46">
        <v>0</v>
      </c>
      <c r="NB97" s="44">
        <v>0</v>
      </c>
      <c r="NC97" s="47">
        <v>0</v>
      </c>
      <c r="ND97" s="45"/>
      <c r="NE97" s="46">
        <v>248</v>
      </c>
      <c r="NF97" s="44">
        <v>250</v>
      </c>
      <c r="NG97" s="44">
        <v>232</v>
      </c>
      <c r="NH97" s="44">
        <v>0</v>
      </c>
      <c r="NI97" s="44">
        <v>230</v>
      </c>
      <c r="NJ97" s="47">
        <v>0</v>
      </c>
      <c r="NK97" s="45"/>
      <c r="NL97" s="46">
        <v>120</v>
      </c>
      <c r="NM97" s="44">
        <v>120</v>
      </c>
      <c r="NN97" s="44">
        <v>152</v>
      </c>
      <c r="NO97" s="44">
        <v>150</v>
      </c>
      <c r="NP97" s="47">
        <v>2</v>
      </c>
      <c r="NQ97" s="45"/>
      <c r="NR97" s="46">
        <v>176</v>
      </c>
      <c r="NS97" s="44">
        <v>180</v>
      </c>
      <c r="NT97" s="47">
        <v>-4</v>
      </c>
      <c r="NU97" s="45"/>
      <c r="NV97" s="46">
        <v>0</v>
      </c>
      <c r="NW97" s="44">
        <v>0</v>
      </c>
      <c r="NX97" s="44">
        <v>296</v>
      </c>
      <c r="NY97" s="44">
        <v>300</v>
      </c>
      <c r="NZ97" s="47">
        <v>-4</v>
      </c>
      <c r="OA97" s="45"/>
      <c r="OB97" s="46">
        <v>352</v>
      </c>
      <c r="OC97" s="44">
        <v>350</v>
      </c>
      <c r="OD97" s="47">
        <v>2</v>
      </c>
      <c r="OE97" s="45"/>
      <c r="OF97" s="46">
        <v>40</v>
      </c>
      <c r="OG97" s="44">
        <v>40</v>
      </c>
      <c r="OH97" s="44">
        <v>120</v>
      </c>
      <c r="OI97" s="44">
        <v>124</v>
      </c>
      <c r="OJ97" s="47">
        <v>-4</v>
      </c>
      <c r="OK97" s="45"/>
      <c r="OL97" s="44">
        <v>0</v>
      </c>
      <c r="OM97" s="43"/>
      <c r="ON97" s="44">
        <v>320</v>
      </c>
      <c r="OO97" s="44">
        <v>320</v>
      </c>
      <c r="OP97" s="47">
        <v>0</v>
      </c>
      <c r="OQ97" s="45"/>
      <c r="OR97" s="46">
        <v>0</v>
      </c>
      <c r="OS97" s="44">
        <v>0</v>
      </c>
      <c r="OT97" s="44">
        <v>48</v>
      </c>
      <c r="OU97" s="44">
        <v>50</v>
      </c>
      <c r="OV97" s="47">
        <v>-2</v>
      </c>
      <c r="OW97" s="45"/>
      <c r="OX97" s="46">
        <v>0</v>
      </c>
      <c r="OY97" s="33">
        <v>150</v>
      </c>
      <c r="OZ97" s="44">
        <v>448</v>
      </c>
      <c r="PA97" s="44">
        <v>450</v>
      </c>
      <c r="PB97" s="50">
        <v>-152</v>
      </c>
      <c r="PC97" s="45">
        <v>62.319999999999993</v>
      </c>
      <c r="PD97" s="46">
        <v>0</v>
      </c>
      <c r="PE97" s="44">
        <v>0</v>
      </c>
      <c r="PF97" s="44">
        <v>0</v>
      </c>
      <c r="PG97" s="44">
        <v>0</v>
      </c>
      <c r="PH97" s="47">
        <v>0</v>
      </c>
      <c r="PI97" s="45"/>
      <c r="PJ97" s="46">
        <v>0</v>
      </c>
      <c r="PK97" s="33">
        <v>200</v>
      </c>
      <c r="PL97" s="44">
        <v>400</v>
      </c>
      <c r="PM97" s="44">
        <v>400</v>
      </c>
      <c r="PN97" s="50">
        <v>-200</v>
      </c>
      <c r="PO97" s="45">
        <v>82</v>
      </c>
      <c r="PP97" s="46">
        <v>0</v>
      </c>
      <c r="PQ97" s="44">
        <v>0</v>
      </c>
      <c r="PR97" s="32">
        <v>424</v>
      </c>
      <c r="PS97" s="44">
        <v>140</v>
      </c>
      <c r="PT97" s="47">
        <v>284</v>
      </c>
      <c r="PU97" s="45"/>
      <c r="PV97" s="46">
        <v>48</v>
      </c>
      <c r="PW97" s="44">
        <v>50</v>
      </c>
      <c r="PX97" s="47">
        <v>-2</v>
      </c>
      <c r="PY97" s="45"/>
      <c r="PZ97" s="46">
        <v>368</v>
      </c>
      <c r="QA97" s="44">
        <v>370</v>
      </c>
      <c r="QB97" s="47">
        <v>-2</v>
      </c>
      <c r="QC97" s="45"/>
      <c r="QD97" s="46">
        <v>0</v>
      </c>
      <c r="QE97" s="44">
        <v>0</v>
      </c>
      <c r="QF97" s="44">
        <v>48</v>
      </c>
      <c r="QG97" s="44">
        <v>50</v>
      </c>
      <c r="QH97" s="47">
        <v>-2</v>
      </c>
      <c r="QI97" s="45"/>
      <c r="QJ97" s="46">
        <v>200</v>
      </c>
      <c r="QK97" s="44">
        <v>200</v>
      </c>
      <c r="QL97" s="47">
        <v>0</v>
      </c>
      <c r="QM97" s="45"/>
      <c r="QN97" s="46">
        <v>0</v>
      </c>
      <c r="QO97" s="44">
        <v>0</v>
      </c>
      <c r="QP97" s="44">
        <v>0</v>
      </c>
      <c r="QQ97" s="44">
        <v>0</v>
      </c>
      <c r="QR97" s="47">
        <v>0</v>
      </c>
      <c r="QS97" s="45"/>
      <c r="QT97" s="46">
        <v>88</v>
      </c>
      <c r="QU97" s="44">
        <v>90</v>
      </c>
      <c r="QV97" s="47">
        <v>-2</v>
      </c>
      <c r="QW97" s="45"/>
      <c r="QX97" s="46">
        <v>0</v>
      </c>
      <c r="QY97" s="44">
        <v>0</v>
      </c>
      <c r="QZ97" s="44">
        <v>152</v>
      </c>
      <c r="RA97" s="44">
        <v>156</v>
      </c>
      <c r="RB97" s="47">
        <v>-4</v>
      </c>
      <c r="RC97" s="45"/>
      <c r="RD97" s="42">
        <v>0</v>
      </c>
      <c r="RE97" s="44">
        <v>0</v>
      </c>
      <c r="RF97" s="44">
        <v>0</v>
      </c>
      <c r="RG97" s="44">
        <v>0</v>
      </c>
      <c r="RH97" s="47">
        <v>0</v>
      </c>
      <c r="RI97" s="45"/>
      <c r="RJ97" s="42">
        <v>176</v>
      </c>
      <c r="RK97" s="47">
        <v>180</v>
      </c>
      <c r="RL97" s="47">
        <v>216</v>
      </c>
      <c r="RM97" s="47">
        <v>220</v>
      </c>
      <c r="RN97" s="47">
        <v>-8</v>
      </c>
      <c r="RO97" s="43"/>
      <c r="RP97" s="42">
        <v>248</v>
      </c>
      <c r="RQ97" s="47">
        <v>250</v>
      </c>
      <c r="RR97" s="47">
        <v>-2</v>
      </c>
      <c r="RS97" s="43"/>
      <c r="RT97" s="42">
        <v>0</v>
      </c>
      <c r="RU97" s="47">
        <v>0</v>
      </c>
      <c r="RV97" s="47">
        <v>0</v>
      </c>
      <c r="RW97" s="47">
        <v>0</v>
      </c>
      <c r="RX97" s="47">
        <v>0</v>
      </c>
      <c r="RY97" s="43"/>
      <c r="RZ97" s="42">
        <v>152</v>
      </c>
      <c r="SA97" s="47">
        <v>150</v>
      </c>
      <c r="SB97" s="47">
        <v>248</v>
      </c>
      <c r="SC97" s="47">
        <v>250</v>
      </c>
      <c r="SD97" s="47">
        <v>0</v>
      </c>
      <c r="SE97" s="43"/>
      <c r="SF97" s="42">
        <v>80</v>
      </c>
      <c r="SG97" s="47">
        <v>81</v>
      </c>
      <c r="SH97" s="47">
        <v>0</v>
      </c>
      <c r="SI97" s="47">
        <v>90</v>
      </c>
      <c r="SJ97" s="50">
        <v>-91</v>
      </c>
      <c r="SK97" s="43">
        <v>37.31</v>
      </c>
      <c r="SL97" s="42">
        <v>64</v>
      </c>
      <c r="SM97" s="47">
        <v>64</v>
      </c>
      <c r="SN97" s="47">
        <v>0</v>
      </c>
      <c r="SO97" s="43"/>
      <c r="SP97" s="42">
        <v>0</v>
      </c>
      <c r="SQ97" s="47">
        <v>0</v>
      </c>
      <c r="SR97" s="47">
        <v>392</v>
      </c>
      <c r="SS97" s="47">
        <v>394</v>
      </c>
      <c r="ST97" s="47">
        <v>-2</v>
      </c>
      <c r="SU97" s="43"/>
    </row>
    <row r="98" spans="1:515" x14ac:dyDescent="0.25">
      <c r="A98" s="47" t="s">
        <v>405</v>
      </c>
      <c r="B98" s="41">
        <v>0.5</v>
      </c>
      <c r="J98" s="42"/>
      <c r="K98" s="51"/>
      <c r="L98" s="51"/>
      <c r="M98" s="51"/>
      <c r="N98" s="51">
        <f t="shared" si="12"/>
        <v>0</v>
      </c>
      <c r="O98" s="43"/>
      <c r="P98" s="46"/>
      <c r="Q98" s="51"/>
      <c r="R98" s="51"/>
      <c r="S98" s="51"/>
      <c r="T98" s="51">
        <f t="shared" si="13"/>
        <v>0</v>
      </c>
      <c r="U98" s="43"/>
      <c r="V98" s="42"/>
      <c r="W98" s="51"/>
      <c r="X98" s="51"/>
      <c r="Y98" s="51"/>
      <c r="Z98" s="51">
        <f t="shared" si="14"/>
        <v>0</v>
      </c>
      <c r="AA98" s="43"/>
      <c r="AB98" s="42"/>
      <c r="AC98" s="51"/>
      <c r="AD98" s="51"/>
      <c r="AE98" s="51"/>
      <c r="AF98" s="51">
        <v>0</v>
      </c>
      <c r="AG98" s="43"/>
      <c r="AH98" s="51"/>
      <c r="AL98" s="47">
        <v>0</v>
      </c>
      <c r="AM98" s="43"/>
      <c r="AN98" s="42"/>
      <c r="AR98" s="47">
        <v>0</v>
      </c>
      <c r="AS98" s="43"/>
      <c r="AX98" s="47">
        <v>0</v>
      </c>
      <c r="AY98" s="43"/>
      <c r="BD98" s="47">
        <v>0</v>
      </c>
      <c r="BE98" s="43"/>
      <c r="BF98" s="42"/>
      <c r="BJ98" s="47">
        <v>0</v>
      </c>
      <c r="BK98" s="43"/>
      <c r="BL98" s="42"/>
      <c r="BP98" s="47">
        <v>0</v>
      </c>
      <c r="BQ98" s="43"/>
      <c r="BV98" s="47">
        <v>0</v>
      </c>
      <c r="BW98" s="43"/>
      <c r="BX98" s="42"/>
      <c r="CB98" s="47">
        <v>0</v>
      </c>
      <c r="CC98" s="43"/>
      <c r="CH98" s="47">
        <v>0</v>
      </c>
      <c r="CI98" s="43"/>
      <c r="CN98" s="47">
        <v>0</v>
      </c>
      <c r="CO98" s="43"/>
      <c r="CP98" s="42"/>
      <c r="CT98" s="47">
        <v>0</v>
      </c>
      <c r="CU98" s="43"/>
      <c r="CV98" s="42"/>
      <c r="CZ98" s="47">
        <v>0</v>
      </c>
      <c r="DA98" s="43"/>
      <c r="DG98" s="47">
        <v>0</v>
      </c>
      <c r="DH98" s="43"/>
      <c r="DK98" s="47">
        <v>0</v>
      </c>
      <c r="DL98" s="43"/>
      <c r="DM98" s="42"/>
      <c r="DQ98" s="47">
        <v>0</v>
      </c>
      <c r="DR98" s="43"/>
      <c r="DW98" s="47">
        <v>0</v>
      </c>
      <c r="DX98" s="43"/>
      <c r="EC98" s="47">
        <v>0</v>
      </c>
      <c r="ED98" s="43"/>
      <c r="EE98" s="42"/>
      <c r="EI98" s="47">
        <v>0</v>
      </c>
      <c r="EJ98" s="43"/>
      <c r="EO98" s="47">
        <v>0</v>
      </c>
      <c r="EP98" s="43"/>
      <c r="EQ98" s="42"/>
      <c r="EU98" s="47">
        <v>0</v>
      </c>
      <c r="EV98" s="43"/>
      <c r="EW98" s="42"/>
      <c r="FC98" s="47">
        <v>0</v>
      </c>
      <c r="FD98" s="43"/>
      <c r="FE98" s="42"/>
      <c r="FI98" s="47">
        <v>0</v>
      </c>
      <c r="FJ98" s="43"/>
      <c r="FQ98" s="47">
        <v>0</v>
      </c>
      <c r="FR98" s="43"/>
      <c r="FS98" s="42"/>
      <c r="FW98" s="47">
        <v>0</v>
      </c>
      <c r="FX98" s="43"/>
      <c r="FY98" s="42"/>
      <c r="GC98" s="47">
        <v>0</v>
      </c>
      <c r="GD98" s="43"/>
      <c r="GE98" s="42"/>
      <c r="GI98" s="47">
        <v>0</v>
      </c>
      <c r="GJ98" s="43"/>
      <c r="GQ98" s="47">
        <v>0</v>
      </c>
      <c r="GR98" s="43"/>
      <c r="GX98" s="47">
        <v>0</v>
      </c>
      <c r="GY98" s="43"/>
      <c r="GZ98" s="42"/>
      <c r="HC98" s="47">
        <v>0</v>
      </c>
      <c r="HD98" s="43"/>
      <c r="HE98" s="42"/>
      <c r="HH98" s="47">
        <v>0</v>
      </c>
      <c r="HI98" s="43"/>
      <c r="HN98" s="47">
        <v>0</v>
      </c>
      <c r="HO98" s="43"/>
      <c r="HP98" s="42"/>
      <c r="HU98" s="47">
        <v>0</v>
      </c>
      <c r="HV98" s="43"/>
      <c r="IA98" s="47">
        <v>0</v>
      </c>
      <c r="IB98" s="43"/>
      <c r="IC98" s="42"/>
      <c r="IG98" s="47">
        <v>0</v>
      </c>
      <c r="IH98" s="43"/>
      <c r="IM98" s="47">
        <v>0</v>
      </c>
      <c r="IN98" s="43"/>
      <c r="IO98" s="42"/>
      <c r="IQ98" s="47">
        <v>0</v>
      </c>
      <c r="IR98" s="43"/>
      <c r="IS98" s="42"/>
      <c r="IW98" s="47">
        <v>0</v>
      </c>
      <c r="IX98" s="43"/>
      <c r="IY98" s="42"/>
      <c r="JA98" s="47">
        <v>0</v>
      </c>
      <c r="JB98" s="43"/>
      <c r="JC98" s="42"/>
      <c r="JG98" s="47">
        <v>0</v>
      </c>
      <c r="JH98" s="43"/>
      <c r="JO98" s="47">
        <v>0</v>
      </c>
      <c r="JP98" s="43"/>
      <c r="JQ98" s="42"/>
      <c r="JU98" s="47">
        <v>0</v>
      </c>
      <c r="JV98" s="43"/>
      <c r="KA98" s="47">
        <v>0</v>
      </c>
      <c r="KB98" s="45"/>
      <c r="KG98" s="47">
        <v>0</v>
      </c>
      <c r="KH98" s="45"/>
      <c r="KM98" s="47">
        <v>0</v>
      </c>
      <c r="KN98" s="45"/>
      <c r="KS98" s="47">
        <v>0</v>
      </c>
      <c r="KT98" s="43"/>
      <c r="KW98" s="47">
        <v>0</v>
      </c>
      <c r="KX98" s="45"/>
      <c r="LC98" s="47">
        <v>0</v>
      </c>
      <c r="LD98" s="43"/>
      <c r="LE98" s="46"/>
      <c r="LG98" s="47">
        <v>0</v>
      </c>
      <c r="LH98" s="45"/>
      <c r="LM98" s="47">
        <v>0</v>
      </c>
      <c r="LN98" s="45"/>
      <c r="LS98" s="47">
        <v>0</v>
      </c>
      <c r="LT98" s="45"/>
      <c r="LY98" s="47">
        <v>0</v>
      </c>
      <c r="LZ98" s="45"/>
      <c r="ME98" s="47">
        <v>0</v>
      </c>
      <c r="MF98" s="45"/>
      <c r="MG98" s="46"/>
      <c r="MM98" s="47">
        <v>0</v>
      </c>
      <c r="MN98" s="45"/>
      <c r="MO98" s="44">
        <v>0</v>
      </c>
      <c r="MP98" s="44">
        <v>0</v>
      </c>
      <c r="MQ98" s="44">
        <v>0</v>
      </c>
      <c r="MR98" s="44">
        <v>0</v>
      </c>
      <c r="MS98" s="47">
        <v>0</v>
      </c>
      <c r="MT98" s="45"/>
      <c r="MU98" s="44">
        <v>0</v>
      </c>
      <c r="MV98" s="44">
        <v>0</v>
      </c>
      <c r="MW98" s="44">
        <v>0</v>
      </c>
      <c r="MX98" s="44">
        <v>0</v>
      </c>
      <c r="MY98" s="47">
        <v>0</v>
      </c>
      <c r="MZ98" s="45"/>
      <c r="NA98" s="46">
        <v>0</v>
      </c>
      <c r="NB98" s="44">
        <v>0</v>
      </c>
      <c r="NC98" s="47">
        <v>0</v>
      </c>
      <c r="ND98" s="45"/>
      <c r="NE98" s="46">
        <v>0</v>
      </c>
      <c r="NF98" s="44">
        <v>0</v>
      </c>
      <c r="NG98" s="44">
        <v>0</v>
      </c>
      <c r="NH98" s="44">
        <v>0</v>
      </c>
      <c r="NI98" s="44">
        <v>0</v>
      </c>
      <c r="NJ98" s="47">
        <v>0</v>
      </c>
      <c r="NK98" s="45"/>
      <c r="NL98" s="46">
        <v>0</v>
      </c>
      <c r="NM98" s="44">
        <v>0</v>
      </c>
      <c r="NN98" s="44">
        <v>0</v>
      </c>
      <c r="NO98" s="44">
        <v>0</v>
      </c>
      <c r="NP98" s="47">
        <v>0</v>
      </c>
      <c r="NQ98" s="45"/>
      <c r="NR98" s="46">
        <v>0</v>
      </c>
      <c r="NS98" s="44">
        <v>0</v>
      </c>
      <c r="NT98" s="47">
        <v>0</v>
      </c>
      <c r="NU98" s="45"/>
      <c r="NV98" s="46">
        <v>0</v>
      </c>
      <c r="NW98" s="44">
        <v>0</v>
      </c>
      <c r="NX98" s="44">
        <v>0</v>
      </c>
      <c r="NY98" s="44">
        <v>0</v>
      </c>
      <c r="NZ98" s="47">
        <v>0</v>
      </c>
      <c r="OA98" s="45"/>
      <c r="OB98" s="46">
        <v>0</v>
      </c>
      <c r="OC98" s="44">
        <v>0</v>
      </c>
      <c r="OD98" s="47">
        <v>0</v>
      </c>
      <c r="OE98" s="45"/>
      <c r="OF98" s="46">
        <v>0</v>
      </c>
      <c r="OG98" s="44">
        <v>0</v>
      </c>
      <c r="OH98" s="44">
        <v>0</v>
      </c>
      <c r="OI98" s="44">
        <v>0</v>
      </c>
      <c r="OJ98" s="47">
        <v>0</v>
      </c>
      <c r="OK98" s="45"/>
      <c r="OL98" s="44">
        <v>0</v>
      </c>
      <c r="OM98" s="43"/>
      <c r="ON98" s="44">
        <v>0</v>
      </c>
      <c r="OO98" s="44">
        <v>0</v>
      </c>
      <c r="OP98" s="47">
        <v>0</v>
      </c>
      <c r="OQ98" s="45"/>
      <c r="OR98" s="46">
        <v>0</v>
      </c>
      <c r="OS98" s="44">
        <v>0</v>
      </c>
      <c r="OT98" s="44">
        <v>0</v>
      </c>
      <c r="OU98" s="44">
        <v>0</v>
      </c>
      <c r="OV98" s="47">
        <v>0</v>
      </c>
      <c r="OW98" s="45"/>
      <c r="OX98" s="46">
        <v>0</v>
      </c>
      <c r="OY98" s="44">
        <v>0</v>
      </c>
      <c r="OZ98" s="44">
        <v>0</v>
      </c>
      <c r="PA98" s="44">
        <v>0</v>
      </c>
      <c r="PB98" s="47">
        <v>0</v>
      </c>
      <c r="PC98" s="45"/>
      <c r="PD98" s="46">
        <v>0</v>
      </c>
      <c r="PE98" s="44">
        <v>0</v>
      </c>
      <c r="PF98" s="44">
        <v>0</v>
      </c>
      <c r="PG98" s="44">
        <v>0</v>
      </c>
      <c r="PH98" s="47">
        <v>0</v>
      </c>
      <c r="PI98" s="45"/>
      <c r="PJ98" s="46">
        <v>0</v>
      </c>
      <c r="PK98" s="44">
        <v>0</v>
      </c>
      <c r="PL98" s="44">
        <v>0</v>
      </c>
      <c r="PM98" s="44">
        <v>0</v>
      </c>
      <c r="PN98" s="47">
        <v>0</v>
      </c>
      <c r="PO98" s="45"/>
      <c r="PP98" s="46">
        <v>0</v>
      </c>
      <c r="PQ98" s="44">
        <v>0</v>
      </c>
      <c r="PR98" s="44">
        <v>0</v>
      </c>
      <c r="PS98" s="44">
        <v>0</v>
      </c>
      <c r="PT98" s="47">
        <v>0</v>
      </c>
      <c r="PU98" s="45"/>
      <c r="PV98" s="46">
        <v>0</v>
      </c>
      <c r="PW98" s="44">
        <v>0</v>
      </c>
      <c r="PX98" s="47">
        <v>0</v>
      </c>
      <c r="PY98" s="45"/>
      <c r="PZ98" s="46">
        <v>0</v>
      </c>
      <c r="QA98" s="44">
        <v>0</v>
      </c>
      <c r="QB98" s="47">
        <v>0</v>
      </c>
      <c r="QC98" s="45"/>
      <c r="QD98" s="46">
        <v>0</v>
      </c>
      <c r="QE98" s="44">
        <v>0</v>
      </c>
      <c r="QF98" s="44">
        <v>0</v>
      </c>
      <c r="QG98" s="44">
        <v>0</v>
      </c>
      <c r="QH98" s="47">
        <v>0</v>
      </c>
      <c r="QI98" s="45"/>
      <c r="QJ98" s="46">
        <v>0</v>
      </c>
      <c r="QK98" s="17">
        <v>100</v>
      </c>
      <c r="QL98" s="47">
        <v>-4</v>
      </c>
      <c r="QM98" s="45"/>
      <c r="QN98" s="46">
        <v>0</v>
      </c>
      <c r="QO98" s="44">
        <v>0</v>
      </c>
      <c r="QP98" s="44">
        <v>0</v>
      </c>
      <c r="QQ98" s="17">
        <v>46</v>
      </c>
      <c r="QR98" s="47">
        <v>2</v>
      </c>
      <c r="QS98" s="45"/>
      <c r="QT98" s="46">
        <v>0</v>
      </c>
      <c r="QU98" s="44">
        <v>0</v>
      </c>
      <c r="QV98" s="47">
        <v>0</v>
      </c>
      <c r="QW98" s="45"/>
      <c r="QX98" s="46">
        <v>0</v>
      </c>
      <c r="QY98" s="44">
        <v>0</v>
      </c>
      <c r="QZ98" s="44">
        <v>64</v>
      </c>
      <c r="RA98" s="44">
        <v>62</v>
      </c>
      <c r="RB98" s="47">
        <v>2</v>
      </c>
      <c r="RC98" s="45"/>
      <c r="RD98" s="42">
        <v>0</v>
      </c>
      <c r="RE98" s="44">
        <v>0</v>
      </c>
      <c r="RF98" s="44">
        <v>0</v>
      </c>
      <c r="RG98" s="44">
        <v>0</v>
      </c>
      <c r="RH98" s="47">
        <v>0</v>
      </c>
      <c r="RI98" s="45"/>
      <c r="RJ98" s="42">
        <v>112</v>
      </c>
      <c r="RK98" s="47">
        <v>185</v>
      </c>
      <c r="RL98" s="47">
        <v>0</v>
      </c>
      <c r="RM98" s="47">
        <v>0</v>
      </c>
      <c r="RN98" s="50">
        <v>-73</v>
      </c>
      <c r="RO98" s="43">
        <v>36.5</v>
      </c>
      <c r="RP98" s="42">
        <v>8</v>
      </c>
      <c r="RQ98" s="47">
        <v>8</v>
      </c>
      <c r="RR98" s="47">
        <v>0</v>
      </c>
      <c r="RS98" s="43"/>
      <c r="RT98" s="42">
        <v>72</v>
      </c>
      <c r="RU98" s="47">
        <v>70</v>
      </c>
      <c r="RV98" s="47">
        <v>0</v>
      </c>
      <c r="RW98" s="47">
        <v>0</v>
      </c>
      <c r="RX98" s="47">
        <v>2</v>
      </c>
      <c r="RY98" s="43"/>
      <c r="RZ98" s="42">
        <v>32</v>
      </c>
      <c r="SA98" s="47">
        <v>50</v>
      </c>
      <c r="SB98" s="47">
        <v>64</v>
      </c>
      <c r="SC98" s="47">
        <v>100</v>
      </c>
      <c r="SD98" s="50">
        <v>-54</v>
      </c>
      <c r="SE98" s="43">
        <v>27</v>
      </c>
      <c r="SF98" s="42">
        <v>8</v>
      </c>
      <c r="SG98" s="47">
        <v>11</v>
      </c>
      <c r="SH98" s="47">
        <v>0</v>
      </c>
      <c r="SI98" s="47">
        <v>0</v>
      </c>
      <c r="SJ98" s="47">
        <v>-3</v>
      </c>
      <c r="SK98" s="43"/>
      <c r="SL98" s="42">
        <v>112</v>
      </c>
      <c r="SM98" s="47">
        <v>115</v>
      </c>
      <c r="SN98" s="47">
        <v>-3</v>
      </c>
      <c r="SO98" s="43"/>
      <c r="SP98" s="42">
        <v>0</v>
      </c>
      <c r="SQ98" s="47">
        <v>0</v>
      </c>
      <c r="SR98" s="47">
        <v>152</v>
      </c>
      <c r="SS98" s="47">
        <v>150</v>
      </c>
      <c r="ST98" s="47">
        <v>2</v>
      </c>
      <c r="SU98" s="43"/>
    </row>
    <row r="99" spans="1:515" x14ac:dyDescent="0.25">
      <c r="A99" s="47" t="s">
        <v>406</v>
      </c>
      <c r="B99" s="41">
        <v>0.41</v>
      </c>
      <c r="J99" s="42"/>
      <c r="K99" s="51"/>
      <c r="L99" s="51"/>
      <c r="M99" s="51"/>
      <c r="N99" s="51">
        <f t="shared" si="12"/>
        <v>0</v>
      </c>
      <c r="O99" s="43"/>
      <c r="P99" s="46"/>
      <c r="Q99" s="51"/>
      <c r="R99" s="51"/>
      <c r="S99" s="51"/>
      <c r="T99" s="51">
        <f t="shared" si="13"/>
        <v>0</v>
      </c>
      <c r="U99" s="43"/>
      <c r="V99" s="42"/>
      <c r="W99" s="51"/>
      <c r="X99" s="51"/>
      <c r="Y99" s="51"/>
      <c r="Z99" s="51">
        <f t="shared" si="14"/>
        <v>0</v>
      </c>
      <c r="AA99" s="43"/>
      <c r="AB99" s="42"/>
      <c r="AC99" s="51"/>
      <c r="AD99" s="51"/>
      <c r="AE99" s="51"/>
      <c r="AF99" s="51">
        <v>0</v>
      </c>
      <c r="AG99" s="43"/>
      <c r="AH99" s="51"/>
      <c r="AL99" s="47">
        <v>0</v>
      </c>
      <c r="AM99" s="43"/>
      <c r="AN99" s="42"/>
      <c r="AR99" s="47">
        <v>0</v>
      </c>
      <c r="AS99" s="43"/>
      <c r="AX99" s="47">
        <v>0</v>
      </c>
      <c r="AY99" s="43"/>
      <c r="BD99" s="47">
        <v>0</v>
      </c>
      <c r="BE99" s="43"/>
      <c r="BF99" s="42"/>
      <c r="BJ99" s="47">
        <v>0</v>
      </c>
      <c r="BK99" s="43"/>
      <c r="BL99" s="42"/>
      <c r="BP99" s="47">
        <v>0</v>
      </c>
      <c r="BQ99" s="43"/>
      <c r="BV99" s="47">
        <v>0</v>
      </c>
      <c r="BW99" s="43"/>
      <c r="BX99" s="42"/>
      <c r="CB99" s="47">
        <v>0</v>
      </c>
      <c r="CC99" s="43"/>
      <c r="CH99" s="47">
        <v>0</v>
      </c>
      <c r="CI99" s="43"/>
      <c r="CN99" s="47">
        <v>0</v>
      </c>
      <c r="CO99" s="43"/>
      <c r="CP99" s="42"/>
      <c r="CT99" s="47">
        <v>0</v>
      </c>
      <c r="CU99" s="43"/>
      <c r="CV99" s="42"/>
      <c r="CZ99" s="47">
        <v>0</v>
      </c>
      <c r="DA99" s="43"/>
      <c r="DG99" s="47">
        <v>0</v>
      </c>
      <c r="DH99" s="43"/>
      <c r="DK99" s="47">
        <v>0</v>
      </c>
      <c r="DL99" s="43"/>
      <c r="DM99" s="42"/>
      <c r="DQ99" s="47">
        <v>0</v>
      </c>
      <c r="DR99" s="43"/>
      <c r="DW99" s="47">
        <v>0</v>
      </c>
      <c r="DX99" s="43"/>
      <c r="EC99" s="47">
        <v>0</v>
      </c>
      <c r="ED99" s="43"/>
      <c r="EE99" s="42"/>
      <c r="EI99" s="47">
        <v>0</v>
      </c>
      <c r="EJ99" s="43"/>
      <c r="EO99" s="47">
        <v>0</v>
      </c>
      <c r="EP99" s="43"/>
      <c r="EQ99" s="42"/>
      <c r="EU99" s="47">
        <v>0</v>
      </c>
      <c r="EV99" s="43"/>
      <c r="EW99" s="42"/>
      <c r="FC99" s="47">
        <v>0</v>
      </c>
      <c r="FD99" s="43"/>
      <c r="FE99" s="42"/>
      <c r="FI99" s="47">
        <v>0</v>
      </c>
      <c r="FJ99" s="43"/>
      <c r="FQ99" s="47">
        <v>0</v>
      </c>
      <c r="FR99" s="43"/>
      <c r="FS99" s="42"/>
      <c r="FW99" s="47">
        <v>0</v>
      </c>
      <c r="FX99" s="43"/>
      <c r="FY99" s="42"/>
      <c r="GC99" s="47">
        <v>0</v>
      </c>
      <c r="GD99" s="43"/>
      <c r="GE99" s="42"/>
      <c r="GI99" s="47">
        <v>0</v>
      </c>
      <c r="GJ99" s="43"/>
      <c r="GQ99" s="47">
        <v>0</v>
      </c>
      <c r="GR99" s="43"/>
      <c r="GX99" s="47">
        <v>0</v>
      </c>
      <c r="GY99" s="43"/>
      <c r="GZ99" s="42"/>
      <c r="HC99" s="47">
        <v>0</v>
      </c>
      <c r="HD99" s="43"/>
      <c r="HE99" s="42"/>
      <c r="HH99" s="47">
        <v>0</v>
      </c>
      <c r="HI99" s="43"/>
      <c r="HN99" s="47">
        <v>0</v>
      </c>
      <c r="HO99" s="43"/>
      <c r="HP99" s="42"/>
      <c r="HU99" s="47">
        <v>0</v>
      </c>
      <c r="HV99" s="43"/>
      <c r="IA99" s="47">
        <v>0</v>
      </c>
      <c r="IB99" s="43"/>
      <c r="IC99" s="42"/>
      <c r="IG99" s="47">
        <v>0</v>
      </c>
      <c r="IH99" s="43"/>
      <c r="IM99" s="47">
        <v>0</v>
      </c>
      <c r="IN99" s="43"/>
      <c r="IO99" s="42"/>
      <c r="IQ99" s="47">
        <v>0</v>
      </c>
      <c r="IR99" s="43"/>
      <c r="IS99" s="42"/>
      <c r="IW99" s="47">
        <v>0</v>
      </c>
      <c r="IX99" s="43"/>
      <c r="IY99" s="42"/>
      <c r="JA99" s="47">
        <v>0</v>
      </c>
      <c r="JB99" s="43"/>
      <c r="JC99" s="42"/>
      <c r="JG99" s="47">
        <v>0</v>
      </c>
      <c r="JH99" s="43"/>
      <c r="JO99" s="47">
        <v>0</v>
      </c>
      <c r="JP99" s="43"/>
      <c r="JQ99" s="42"/>
      <c r="JU99" s="47">
        <v>0</v>
      </c>
      <c r="JV99" s="43"/>
      <c r="KA99" s="47">
        <v>0</v>
      </c>
      <c r="KB99" s="45"/>
      <c r="KG99" s="47">
        <v>0</v>
      </c>
      <c r="KH99" s="45"/>
      <c r="KI99">
        <v>500</v>
      </c>
      <c r="KJ99">
        <v>500</v>
      </c>
      <c r="KK99">
        <v>440</v>
      </c>
      <c r="KL99">
        <v>446</v>
      </c>
      <c r="KM99" s="47">
        <v>-6</v>
      </c>
      <c r="KN99" s="45"/>
      <c r="KO99">
        <v>500</v>
      </c>
      <c r="KP99">
        <v>500</v>
      </c>
      <c r="KQ99">
        <v>450</v>
      </c>
      <c r="KR99">
        <v>450</v>
      </c>
      <c r="KS99" s="47">
        <v>0</v>
      </c>
      <c r="KT99" s="43"/>
      <c r="KU99">
        <v>100</v>
      </c>
      <c r="KV99">
        <v>100</v>
      </c>
      <c r="KW99" s="47">
        <v>0</v>
      </c>
      <c r="KX99" s="45"/>
      <c r="KY99">
        <v>350</v>
      </c>
      <c r="KZ99">
        <v>350</v>
      </c>
      <c r="LA99">
        <v>260</v>
      </c>
      <c r="LB99">
        <v>260</v>
      </c>
      <c r="LC99" s="47">
        <v>0</v>
      </c>
      <c r="LD99" s="43"/>
      <c r="LE99" s="40">
        <v>450</v>
      </c>
      <c r="LF99" s="44">
        <v>450</v>
      </c>
      <c r="LG99" s="47">
        <v>0</v>
      </c>
      <c r="LH99" s="45"/>
      <c r="LM99" s="47">
        <v>0</v>
      </c>
      <c r="LN99" s="45"/>
      <c r="LO99">
        <v>600</v>
      </c>
      <c r="LP99">
        <v>600</v>
      </c>
      <c r="LQ99">
        <v>650</v>
      </c>
      <c r="LR99">
        <v>651</v>
      </c>
      <c r="LS99" s="47">
        <v>-1</v>
      </c>
      <c r="LT99" s="45"/>
      <c r="LY99" s="47">
        <v>0</v>
      </c>
      <c r="LZ99" s="45"/>
      <c r="ME99" s="47">
        <v>0</v>
      </c>
      <c r="MF99" s="45"/>
      <c r="MG99" s="40">
        <v>500</v>
      </c>
      <c r="MH99">
        <v>500</v>
      </c>
      <c r="MI99">
        <v>600</v>
      </c>
      <c r="MJ99">
        <v>600</v>
      </c>
      <c r="MK99">
        <v>10</v>
      </c>
      <c r="ML99">
        <v>440</v>
      </c>
      <c r="MM99" s="50">
        <v>-430</v>
      </c>
      <c r="MN99" s="45">
        <v>176.3</v>
      </c>
      <c r="MO99" s="44">
        <v>0</v>
      </c>
      <c r="MP99" s="44">
        <v>0</v>
      </c>
      <c r="MQ99" s="44">
        <v>50</v>
      </c>
      <c r="MR99" s="44">
        <v>50</v>
      </c>
      <c r="MS99" s="47">
        <v>0</v>
      </c>
      <c r="MT99" s="45"/>
      <c r="MU99" s="44">
        <v>100</v>
      </c>
      <c r="MV99" s="44">
        <v>100</v>
      </c>
      <c r="MW99" s="44">
        <v>130</v>
      </c>
      <c r="MX99" s="44">
        <v>136</v>
      </c>
      <c r="MY99" s="47">
        <v>-6</v>
      </c>
      <c r="MZ99" s="45"/>
      <c r="NA99" s="46">
        <v>840</v>
      </c>
      <c r="NB99" s="44">
        <v>839</v>
      </c>
      <c r="NC99" s="47">
        <v>1</v>
      </c>
      <c r="ND99" s="45"/>
      <c r="NE99" s="46">
        <v>400</v>
      </c>
      <c r="NF99" s="44">
        <v>400</v>
      </c>
      <c r="NG99" s="44">
        <v>350</v>
      </c>
      <c r="NH99" s="44">
        <v>0</v>
      </c>
      <c r="NI99" s="44">
        <v>350</v>
      </c>
      <c r="NJ99" s="47">
        <v>0</v>
      </c>
      <c r="NK99" s="45"/>
      <c r="NL99" s="46">
        <v>190</v>
      </c>
      <c r="NM99" s="44">
        <v>190</v>
      </c>
      <c r="NN99" s="44">
        <v>200</v>
      </c>
      <c r="NO99" s="44">
        <v>200</v>
      </c>
      <c r="NP99" s="47">
        <v>0</v>
      </c>
      <c r="NQ99" s="45"/>
      <c r="NR99" s="46">
        <v>700</v>
      </c>
      <c r="NS99" s="44">
        <v>700</v>
      </c>
      <c r="NT99" s="47">
        <v>0</v>
      </c>
      <c r="NU99" s="45"/>
      <c r="NV99" s="46">
        <v>0</v>
      </c>
      <c r="NW99" s="44">
        <v>0</v>
      </c>
      <c r="NX99" s="44">
        <v>10</v>
      </c>
      <c r="NY99" s="44">
        <v>10</v>
      </c>
      <c r="NZ99" s="47">
        <v>0</v>
      </c>
      <c r="OA99" s="45"/>
      <c r="OB99" s="46">
        <v>720</v>
      </c>
      <c r="OC99" s="44">
        <v>720</v>
      </c>
      <c r="OD99" s="47">
        <v>0</v>
      </c>
      <c r="OE99" s="45"/>
      <c r="OF99" s="46">
        <v>100</v>
      </c>
      <c r="OG99" s="44">
        <v>100</v>
      </c>
      <c r="OH99" s="44">
        <v>90</v>
      </c>
      <c r="OI99" s="44">
        <v>89</v>
      </c>
      <c r="OJ99" s="47">
        <v>1</v>
      </c>
      <c r="OK99" s="45"/>
      <c r="OL99" s="44">
        <v>0</v>
      </c>
      <c r="OM99" s="43"/>
      <c r="ON99" s="44">
        <v>0</v>
      </c>
      <c r="OO99" s="44">
        <v>0</v>
      </c>
      <c r="OP99" s="47">
        <v>0</v>
      </c>
      <c r="OQ99" s="45"/>
      <c r="OR99" s="46">
        <v>0</v>
      </c>
      <c r="OS99" s="44">
        <v>0</v>
      </c>
      <c r="OT99" s="44">
        <v>0</v>
      </c>
      <c r="OU99" s="44">
        <v>0</v>
      </c>
      <c r="OV99" s="47">
        <v>0</v>
      </c>
      <c r="OW99" s="45"/>
      <c r="OX99" s="25">
        <v>350</v>
      </c>
      <c r="OY99" s="44">
        <v>0</v>
      </c>
      <c r="OZ99" s="44">
        <v>0</v>
      </c>
      <c r="PA99" s="44">
        <v>0</v>
      </c>
      <c r="PB99" s="47">
        <v>350</v>
      </c>
      <c r="PC99" s="45"/>
      <c r="PD99" s="46">
        <v>1050</v>
      </c>
      <c r="PE99" s="44">
        <v>1050</v>
      </c>
      <c r="PF99" s="27">
        <v>530</v>
      </c>
      <c r="PG99" s="27">
        <v>1050</v>
      </c>
      <c r="PH99" s="50">
        <v>-520</v>
      </c>
      <c r="PI99" s="45">
        <v>213.2</v>
      </c>
      <c r="PJ99" s="46">
        <v>0</v>
      </c>
      <c r="PK99" s="33">
        <v>300</v>
      </c>
      <c r="PL99" s="44">
        <v>620</v>
      </c>
      <c r="PM99" s="44">
        <v>623</v>
      </c>
      <c r="PN99" s="50">
        <v>-303</v>
      </c>
      <c r="PO99" s="45">
        <v>124.23</v>
      </c>
      <c r="PP99" s="46">
        <v>500</v>
      </c>
      <c r="PQ99" s="44">
        <v>500</v>
      </c>
      <c r="PR99" s="44">
        <v>490</v>
      </c>
      <c r="PS99" s="44">
        <v>500</v>
      </c>
      <c r="PT99" s="47">
        <v>-10</v>
      </c>
      <c r="PU99" s="45"/>
      <c r="PV99" s="46">
        <v>500</v>
      </c>
      <c r="PW99" s="44">
        <v>500</v>
      </c>
      <c r="PX99" s="47">
        <v>0</v>
      </c>
      <c r="PY99" s="45"/>
      <c r="PZ99" s="46">
        <v>2600</v>
      </c>
      <c r="QA99" s="44">
        <v>2600</v>
      </c>
      <c r="QB99" s="47">
        <v>0</v>
      </c>
      <c r="QC99" s="45"/>
      <c r="QD99" s="46">
        <v>0</v>
      </c>
      <c r="QE99" s="44">
        <v>0</v>
      </c>
      <c r="QF99" s="44">
        <v>0</v>
      </c>
      <c r="QG99" s="44">
        <v>0</v>
      </c>
      <c r="QH99" s="47">
        <v>0</v>
      </c>
      <c r="QI99" s="45"/>
      <c r="QJ99" s="46">
        <v>70</v>
      </c>
      <c r="QK99" s="44">
        <v>77</v>
      </c>
      <c r="QL99" s="47">
        <v>-7</v>
      </c>
      <c r="QM99" s="45"/>
      <c r="QN99" s="46">
        <v>0</v>
      </c>
      <c r="QO99" s="17">
        <v>500</v>
      </c>
      <c r="QP99" s="44">
        <v>0</v>
      </c>
      <c r="QQ99" s="17">
        <v>479</v>
      </c>
      <c r="QR99" s="47">
        <v>11</v>
      </c>
      <c r="QS99" s="45"/>
      <c r="QT99" s="46">
        <v>0</v>
      </c>
      <c r="QU99" s="44">
        <v>0</v>
      </c>
      <c r="QV99" s="47">
        <v>0</v>
      </c>
      <c r="QW99" s="45"/>
      <c r="QX99" s="46">
        <v>0</v>
      </c>
      <c r="QY99" s="44">
        <v>0</v>
      </c>
      <c r="QZ99" s="44">
        <v>600</v>
      </c>
      <c r="RA99" s="44">
        <v>600</v>
      </c>
      <c r="RB99" s="47">
        <v>0</v>
      </c>
      <c r="RC99" s="45"/>
      <c r="RD99" s="42">
        <v>0</v>
      </c>
      <c r="RE99" s="44">
        <v>0</v>
      </c>
      <c r="RF99" s="44">
        <v>0</v>
      </c>
      <c r="RG99" s="17">
        <v>50</v>
      </c>
      <c r="RH99" s="47">
        <v>0</v>
      </c>
      <c r="RI99" s="45"/>
      <c r="RJ99" s="42">
        <v>350</v>
      </c>
      <c r="RK99" s="47">
        <v>350</v>
      </c>
      <c r="RL99" s="47">
        <v>500</v>
      </c>
      <c r="RM99" s="47">
        <v>500</v>
      </c>
      <c r="RN99" s="47">
        <v>0</v>
      </c>
      <c r="RO99" s="43"/>
      <c r="RP99" s="42">
        <v>360</v>
      </c>
      <c r="RQ99" s="47">
        <v>360</v>
      </c>
      <c r="RR99" s="47">
        <v>0</v>
      </c>
      <c r="RS99" s="43"/>
      <c r="RT99" s="42">
        <v>190</v>
      </c>
      <c r="RU99" s="47">
        <v>197</v>
      </c>
      <c r="RV99" s="47">
        <v>250</v>
      </c>
      <c r="RW99" s="47">
        <v>250</v>
      </c>
      <c r="RX99" s="47">
        <v>-7</v>
      </c>
      <c r="RY99" s="43"/>
      <c r="RZ99" s="42">
        <v>100</v>
      </c>
      <c r="SA99" s="47">
        <v>100</v>
      </c>
      <c r="SB99" s="47">
        <v>150</v>
      </c>
      <c r="SC99" s="47">
        <v>150</v>
      </c>
      <c r="SD99" s="47">
        <v>0</v>
      </c>
      <c r="SE99" s="43"/>
      <c r="SF99" s="42">
        <v>160</v>
      </c>
      <c r="SG99" s="47">
        <v>159</v>
      </c>
      <c r="SH99" s="47">
        <v>120</v>
      </c>
      <c r="SI99" s="47">
        <v>200</v>
      </c>
      <c r="SJ99" s="50">
        <v>-79</v>
      </c>
      <c r="SK99" s="43">
        <v>32.39</v>
      </c>
      <c r="SL99" s="42">
        <v>50</v>
      </c>
      <c r="SM99" s="47">
        <v>50</v>
      </c>
      <c r="SN99" s="47">
        <v>0</v>
      </c>
      <c r="SO99" s="43"/>
      <c r="SP99" s="42">
        <v>0</v>
      </c>
      <c r="SQ99" s="47">
        <v>0</v>
      </c>
      <c r="SR99" s="47">
        <v>560</v>
      </c>
      <c r="SS99" s="47">
        <v>583</v>
      </c>
      <c r="ST99" s="50">
        <v>-23</v>
      </c>
      <c r="SU99" s="43">
        <v>9.43</v>
      </c>
    </row>
    <row r="100" spans="1:515" x14ac:dyDescent="0.25">
      <c r="A100" s="47" t="s">
        <v>407</v>
      </c>
      <c r="B100" s="41">
        <v>0.41</v>
      </c>
      <c r="E100">
        <v>84</v>
      </c>
      <c r="F100">
        <v>50</v>
      </c>
      <c r="G100">
        <v>56</v>
      </c>
      <c r="J100" s="42"/>
      <c r="K100" s="51"/>
      <c r="L100" s="51"/>
      <c r="M100" s="51"/>
      <c r="N100" s="51">
        <f t="shared" si="12"/>
        <v>0</v>
      </c>
      <c r="O100" s="43"/>
      <c r="P100" s="46"/>
      <c r="Q100" s="51"/>
      <c r="R100" s="52">
        <v>20</v>
      </c>
      <c r="S100" s="52">
        <v>23</v>
      </c>
      <c r="T100" s="51">
        <f t="shared" si="13"/>
        <v>-3</v>
      </c>
      <c r="U100" s="43"/>
      <c r="V100" s="40">
        <v>50</v>
      </c>
      <c r="W100" s="52">
        <v>50</v>
      </c>
      <c r="X100" s="52">
        <v>50</v>
      </c>
      <c r="Y100" s="52">
        <v>50</v>
      </c>
      <c r="Z100" s="51">
        <f t="shared" si="14"/>
        <v>0</v>
      </c>
      <c r="AA100" s="43"/>
      <c r="AB100" s="42"/>
      <c r="AC100" s="51"/>
      <c r="AD100" s="51"/>
      <c r="AE100" s="51"/>
      <c r="AF100" s="51">
        <v>0</v>
      </c>
      <c r="AG100" s="43"/>
      <c r="AH100" s="51"/>
      <c r="AJ100">
        <v>50</v>
      </c>
      <c r="AK100">
        <v>54</v>
      </c>
      <c r="AL100" s="47">
        <v>-4</v>
      </c>
      <c r="AM100" s="43"/>
      <c r="AN100" s="42"/>
      <c r="AP100">
        <v>70</v>
      </c>
      <c r="AQ100">
        <v>70</v>
      </c>
      <c r="AR100" s="47">
        <v>0</v>
      </c>
      <c r="AS100" s="43"/>
      <c r="AV100">
        <v>30</v>
      </c>
      <c r="AW100">
        <v>30</v>
      </c>
      <c r="AX100" s="47">
        <v>0</v>
      </c>
      <c r="AY100" s="43"/>
      <c r="BB100">
        <v>40</v>
      </c>
      <c r="BC100">
        <v>45</v>
      </c>
      <c r="BD100" s="47">
        <v>-5</v>
      </c>
      <c r="BE100" s="43"/>
      <c r="BF100" s="42"/>
      <c r="BJ100" s="47">
        <v>0</v>
      </c>
      <c r="BK100" s="43"/>
      <c r="BL100" s="40">
        <v>20</v>
      </c>
      <c r="BM100">
        <v>20</v>
      </c>
      <c r="BN100">
        <v>30</v>
      </c>
      <c r="BO100">
        <v>34</v>
      </c>
      <c r="BP100" s="47">
        <v>-4</v>
      </c>
      <c r="BQ100" s="43"/>
      <c r="BV100" s="47">
        <v>0</v>
      </c>
      <c r="BW100" s="43"/>
      <c r="BX100" s="40">
        <v>10</v>
      </c>
      <c r="BY100">
        <v>10</v>
      </c>
      <c r="BZ100">
        <v>20</v>
      </c>
      <c r="CA100">
        <v>20</v>
      </c>
      <c r="CB100" s="47">
        <v>0</v>
      </c>
      <c r="CC100" s="43"/>
      <c r="CH100" s="47">
        <v>0</v>
      </c>
      <c r="CI100" s="43"/>
      <c r="CN100" s="47">
        <v>0</v>
      </c>
      <c r="CO100" s="43"/>
      <c r="CP100" s="42"/>
      <c r="CR100">
        <v>50</v>
      </c>
      <c r="CS100">
        <v>57</v>
      </c>
      <c r="CT100" s="47">
        <v>-7</v>
      </c>
      <c r="CU100" s="43"/>
      <c r="CV100" s="42"/>
      <c r="CZ100" s="47">
        <v>0</v>
      </c>
      <c r="DA100" s="43"/>
      <c r="DG100" s="47">
        <v>0</v>
      </c>
      <c r="DH100" s="43"/>
      <c r="DK100" s="47">
        <v>0</v>
      </c>
      <c r="DL100" s="43"/>
      <c r="DM100" s="40">
        <v>40</v>
      </c>
      <c r="DN100">
        <v>38</v>
      </c>
      <c r="DO100">
        <v>10</v>
      </c>
      <c r="DP100">
        <v>17</v>
      </c>
      <c r="DQ100" s="47">
        <v>-5</v>
      </c>
      <c r="DR100" s="43"/>
      <c r="DW100" s="47">
        <v>0</v>
      </c>
      <c r="DX100" s="43"/>
      <c r="EC100" s="47">
        <v>0</v>
      </c>
      <c r="ED100" s="43"/>
      <c r="EE100" s="42"/>
      <c r="EG100" s="47">
        <v>50</v>
      </c>
      <c r="EH100" s="47">
        <v>50</v>
      </c>
      <c r="EI100" s="47">
        <v>0</v>
      </c>
      <c r="EJ100" s="43"/>
      <c r="EO100" s="47">
        <v>0</v>
      </c>
      <c r="EP100" s="43"/>
      <c r="EQ100" s="42"/>
      <c r="EU100" s="47">
        <v>0</v>
      </c>
      <c r="EV100" s="43"/>
      <c r="EW100" s="42"/>
      <c r="FC100" s="47">
        <v>0</v>
      </c>
      <c r="FD100" s="43"/>
      <c r="FE100" s="42"/>
      <c r="FI100" s="47">
        <v>0</v>
      </c>
      <c r="FJ100" s="43"/>
      <c r="FR100" s="43"/>
      <c r="FS100" s="42"/>
      <c r="FX100" s="43"/>
      <c r="FY100" s="42"/>
      <c r="GD100" s="43"/>
      <c r="GE100" s="42"/>
      <c r="GJ100" s="43"/>
      <c r="GR100" s="43"/>
      <c r="GY100" s="43"/>
      <c r="GZ100" s="42"/>
      <c r="HD100" s="43"/>
      <c r="HE100" s="42"/>
      <c r="HI100" s="43"/>
      <c r="HO100" s="43"/>
      <c r="HP100" s="42"/>
      <c r="HV100" s="43"/>
      <c r="IB100" s="43"/>
      <c r="IC100" s="42"/>
      <c r="IH100" s="43"/>
      <c r="IN100" s="43"/>
      <c r="IO100" s="42"/>
      <c r="IR100" s="43"/>
      <c r="IS100" s="42"/>
      <c r="IX100" s="43"/>
      <c r="IY100" s="42"/>
      <c r="JB100" s="43"/>
      <c r="JC100" s="42"/>
      <c r="JH100" s="43"/>
      <c r="JP100" s="43"/>
      <c r="JQ100" s="42"/>
      <c r="JV100" s="43"/>
      <c r="KB100" s="45"/>
      <c r="KH100" s="45"/>
      <c r="KN100" s="45"/>
      <c r="KT100" s="43"/>
      <c r="KX100" s="45"/>
      <c r="LD100" s="43"/>
      <c r="LE100" s="40"/>
      <c r="LH100" s="45"/>
      <c r="LN100" s="45"/>
      <c r="LT100" s="45"/>
      <c r="LU100" s="44"/>
      <c r="LW100" s="44"/>
      <c r="LX100" s="44"/>
      <c r="LZ100" s="45"/>
      <c r="MA100" s="44"/>
      <c r="MF100" s="45"/>
      <c r="MG100" s="40"/>
      <c r="MN100" s="45"/>
      <c r="MO100" s="44"/>
      <c r="MP100" s="44"/>
      <c r="MQ100" s="44"/>
      <c r="MR100" s="44"/>
      <c r="MT100" s="45"/>
      <c r="MU100" s="44"/>
      <c r="MV100" s="44"/>
      <c r="MW100" s="44"/>
      <c r="MX100" s="44"/>
      <c r="MZ100" s="45"/>
      <c r="NA100" s="46"/>
      <c r="NB100" s="44"/>
      <c r="ND100" s="45"/>
      <c r="NE100" s="46"/>
      <c r="NF100" s="44"/>
      <c r="NG100" s="44"/>
      <c r="NH100" s="44"/>
      <c r="NI100" s="44"/>
      <c r="NK100" s="45"/>
      <c r="NL100" s="46"/>
      <c r="NM100" s="44"/>
      <c r="NN100" s="44"/>
      <c r="NO100" s="44"/>
      <c r="NQ100" s="45"/>
      <c r="NR100" s="46"/>
      <c r="NS100" s="44"/>
      <c r="NU100" s="45"/>
      <c r="NV100" s="46"/>
      <c r="NW100" s="44"/>
      <c r="NX100" s="44"/>
      <c r="NY100" s="44"/>
      <c r="OA100" s="45"/>
      <c r="OB100" s="46"/>
      <c r="OC100" s="44"/>
      <c r="OE100" s="45"/>
      <c r="OF100" s="46"/>
      <c r="OG100" s="44"/>
      <c r="OH100" s="44"/>
      <c r="OI100" s="44"/>
      <c r="OK100" s="45"/>
      <c r="OL100" s="44"/>
      <c r="OM100" s="43"/>
      <c r="ON100" s="44"/>
      <c r="OO100" s="44"/>
      <c r="OQ100" s="45"/>
      <c r="OR100" s="46"/>
      <c r="OS100" s="44"/>
      <c r="OT100" s="44"/>
      <c r="OU100" s="44"/>
      <c r="OW100" s="45"/>
      <c r="OX100" s="46"/>
      <c r="OY100" s="44"/>
      <c r="OZ100" s="44"/>
      <c r="PA100" s="44"/>
      <c r="PC100" s="45"/>
      <c r="PD100" s="46"/>
      <c r="PE100" s="44"/>
      <c r="PF100" s="44"/>
      <c r="PG100" s="44"/>
      <c r="PI100" s="45"/>
      <c r="PJ100" s="46"/>
      <c r="PK100" s="44"/>
      <c r="PL100" s="44"/>
      <c r="PM100" s="44"/>
      <c r="PO100" s="45"/>
      <c r="PP100" s="46"/>
      <c r="PQ100" s="44"/>
      <c r="PR100" s="44"/>
      <c r="PS100" s="44"/>
      <c r="PU100" s="45"/>
      <c r="PV100" s="46"/>
      <c r="PW100" s="44"/>
      <c r="PY100" s="45"/>
      <c r="PZ100" s="46"/>
      <c r="QA100" s="44"/>
      <c r="QC100" s="45"/>
      <c r="QD100" s="46"/>
      <c r="QE100" s="44"/>
      <c r="QF100" s="44"/>
      <c r="QG100" s="44"/>
      <c r="QI100" s="45"/>
      <c r="QJ100" s="46"/>
      <c r="QK100" s="44"/>
      <c r="QM100" s="45"/>
      <c r="QN100" s="46"/>
      <c r="QO100" s="44"/>
      <c r="QP100" s="44"/>
      <c r="QQ100" s="44"/>
      <c r="QS100" s="45"/>
      <c r="QT100" s="46"/>
      <c r="QU100" s="44"/>
      <c r="QW100" s="45"/>
      <c r="QX100" s="46"/>
      <c r="QY100" s="44"/>
      <c r="QZ100" s="44"/>
      <c r="RA100" s="44"/>
      <c r="RC100" s="45"/>
      <c r="RD100" s="42"/>
      <c r="RE100" s="44"/>
      <c r="RF100" s="44"/>
      <c r="RG100" s="44"/>
      <c r="RI100" s="45"/>
      <c r="RJ100" s="42"/>
      <c r="RO100" s="43"/>
      <c r="RP100" s="42"/>
      <c r="RS100" s="43"/>
      <c r="RT100" s="42"/>
      <c r="RY100" s="43"/>
      <c r="RZ100" s="42"/>
      <c r="SE100" s="43"/>
      <c r="SF100" s="42"/>
      <c r="SK100" s="43"/>
      <c r="SL100" s="42"/>
      <c r="SO100" s="43"/>
      <c r="SP100" s="42"/>
      <c r="SU100" s="43"/>
    </row>
    <row r="101" spans="1:515" x14ac:dyDescent="0.25">
      <c r="A101" s="47" t="s">
        <v>408</v>
      </c>
      <c r="B101" s="41">
        <v>0.41</v>
      </c>
      <c r="J101" s="42"/>
      <c r="K101" s="51"/>
      <c r="L101" s="51"/>
      <c r="M101" s="51"/>
      <c r="N101" s="51">
        <f t="shared" si="12"/>
        <v>0</v>
      </c>
      <c r="O101" s="43"/>
      <c r="P101" s="46"/>
      <c r="Q101" s="51"/>
      <c r="R101" s="51"/>
      <c r="S101" s="51"/>
      <c r="T101" s="51">
        <f t="shared" si="13"/>
        <v>0</v>
      </c>
      <c r="U101" s="43"/>
      <c r="V101" s="42"/>
      <c r="W101" s="51"/>
      <c r="X101" s="51"/>
      <c r="Y101" s="51"/>
      <c r="Z101" s="51">
        <f t="shared" si="14"/>
        <v>0</v>
      </c>
      <c r="AA101" s="43"/>
      <c r="AB101" s="42"/>
      <c r="AC101" s="51"/>
      <c r="AD101" s="51"/>
      <c r="AE101" s="51"/>
      <c r="AF101" s="51">
        <v>0</v>
      </c>
      <c r="AG101" s="43"/>
      <c r="AH101" s="51"/>
      <c r="AL101" s="47">
        <v>0</v>
      </c>
      <c r="AM101" s="43"/>
      <c r="AN101" s="42"/>
      <c r="AR101" s="47">
        <v>0</v>
      </c>
      <c r="AS101" s="43"/>
      <c r="AX101" s="47">
        <v>0</v>
      </c>
      <c r="AY101" s="43"/>
      <c r="BD101" s="47">
        <v>0</v>
      </c>
      <c r="BE101" s="43"/>
      <c r="BF101" s="42"/>
      <c r="BJ101" s="47">
        <v>0</v>
      </c>
      <c r="BK101" s="43"/>
      <c r="BL101" s="42"/>
      <c r="BP101" s="47">
        <v>0</v>
      </c>
      <c r="BQ101" s="43"/>
      <c r="BV101" s="47">
        <v>0</v>
      </c>
      <c r="BW101" s="43"/>
      <c r="BX101" s="42"/>
      <c r="CB101" s="47">
        <v>0</v>
      </c>
      <c r="CC101" s="43"/>
      <c r="CH101" s="47">
        <v>0</v>
      </c>
      <c r="CI101" s="43"/>
      <c r="CN101" s="47">
        <v>0</v>
      </c>
      <c r="CO101" s="43"/>
      <c r="CP101" s="42"/>
      <c r="CT101" s="47">
        <v>0</v>
      </c>
      <c r="CU101" s="43"/>
      <c r="CV101" s="42"/>
      <c r="CZ101" s="47">
        <v>0</v>
      </c>
      <c r="DA101" s="43"/>
      <c r="DG101" s="47">
        <v>0</v>
      </c>
      <c r="DH101" s="43"/>
      <c r="DK101" s="47">
        <v>0</v>
      </c>
      <c r="DL101" s="43"/>
      <c r="DM101" s="42"/>
      <c r="DQ101" s="47">
        <v>0</v>
      </c>
      <c r="DR101" s="43"/>
      <c r="DW101" s="47">
        <v>0</v>
      </c>
      <c r="DX101" s="43"/>
      <c r="EC101" s="47">
        <v>0</v>
      </c>
      <c r="ED101" s="43"/>
      <c r="EE101" s="42"/>
      <c r="EI101" s="47">
        <v>0</v>
      </c>
      <c r="EJ101" s="43"/>
      <c r="EO101" s="47">
        <v>0</v>
      </c>
      <c r="EP101" s="43"/>
      <c r="EQ101" s="42"/>
      <c r="EU101" s="47">
        <v>0</v>
      </c>
      <c r="EV101" s="43"/>
      <c r="EW101" s="42"/>
      <c r="FC101" s="47">
        <v>0</v>
      </c>
      <c r="FD101" s="43"/>
      <c r="FE101" s="42"/>
      <c r="FI101" s="47">
        <v>0</v>
      </c>
      <c r="FJ101" s="43"/>
      <c r="FQ101" s="47">
        <v>0</v>
      </c>
      <c r="FR101" s="43"/>
      <c r="FS101" s="42"/>
      <c r="FW101" s="47">
        <v>0</v>
      </c>
      <c r="FX101" s="43"/>
      <c r="FY101" s="42"/>
      <c r="GC101" s="47">
        <v>0</v>
      </c>
      <c r="GD101" s="43"/>
      <c r="GE101" s="42"/>
      <c r="GI101" s="47">
        <v>0</v>
      </c>
      <c r="GJ101" s="43"/>
      <c r="GQ101" s="47">
        <v>0</v>
      </c>
      <c r="GR101" s="43"/>
      <c r="GX101" s="47">
        <v>0</v>
      </c>
      <c r="GY101" s="43"/>
      <c r="GZ101" s="42"/>
      <c r="HC101" s="47">
        <v>0</v>
      </c>
      <c r="HD101" s="43"/>
      <c r="HE101" s="42"/>
      <c r="HH101" s="47">
        <v>0</v>
      </c>
      <c r="HI101" s="43"/>
      <c r="HN101" s="47">
        <v>0</v>
      </c>
      <c r="HO101" s="43"/>
      <c r="HP101" s="42"/>
      <c r="HU101" s="47">
        <v>0</v>
      </c>
      <c r="HV101" s="43"/>
      <c r="IA101" s="47">
        <v>0</v>
      </c>
      <c r="IB101" s="43"/>
      <c r="IC101" s="42"/>
      <c r="IG101" s="47">
        <v>0</v>
      </c>
      <c r="IH101" s="43"/>
      <c r="IM101" s="47">
        <v>0</v>
      </c>
      <c r="IN101" s="43"/>
      <c r="IO101" s="42"/>
      <c r="IQ101" s="47">
        <v>0</v>
      </c>
      <c r="IR101" s="43"/>
      <c r="IS101" s="42"/>
      <c r="IW101" s="47">
        <v>0</v>
      </c>
      <c r="IX101" s="43"/>
      <c r="IY101" s="42"/>
      <c r="JA101" s="47">
        <v>0</v>
      </c>
      <c r="JB101" s="43"/>
      <c r="JC101" s="42"/>
      <c r="JG101" s="47">
        <v>0</v>
      </c>
      <c r="JH101" s="43"/>
      <c r="JO101" s="47">
        <v>0</v>
      </c>
      <c r="JP101" s="43"/>
      <c r="JQ101" s="42"/>
      <c r="JU101" s="47">
        <v>0</v>
      </c>
      <c r="JV101" s="43"/>
      <c r="KA101" s="47">
        <v>0</v>
      </c>
      <c r="KB101" s="45"/>
      <c r="KG101" s="47">
        <v>0</v>
      </c>
      <c r="KH101" s="45"/>
      <c r="KI101">
        <v>450</v>
      </c>
      <c r="KJ101">
        <v>450</v>
      </c>
      <c r="KK101">
        <v>400</v>
      </c>
      <c r="KL101">
        <v>400</v>
      </c>
      <c r="KM101" s="47">
        <v>0</v>
      </c>
      <c r="KN101" s="45"/>
      <c r="KO101">
        <v>280</v>
      </c>
      <c r="KP101">
        <v>280</v>
      </c>
      <c r="KQ101">
        <v>220</v>
      </c>
      <c r="KR101">
        <v>220</v>
      </c>
      <c r="KS101" s="47">
        <v>0</v>
      </c>
      <c r="KT101" s="43"/>
      <c r="KU101">
        <v>130</v>
      </c>
      <c r="KV101">
        <v>135</v>
      </c>
      <c r="KW101" s="47">
        <v>-5</v>
      </c>
      <c r="KX101" s="45"/>
      <c r="KY101">
        <v>100</v>
      </c>
      <c r="KZ101">
        <v>100</v>
      </c>
      <c r="LA101">
        <v>100</v>
      </c>
      <c r="LB101">
        <v>106</v>
      </c>
      <c r="LC101" s="47">
        <v>-6</v>
      </c>
      <c r="LD101" s="43"/>
      <c r="LE101" s="40">
        <v>650</v>
      </c>
      <c r="LF101" s="44">
        <v>650</v>
      </c>
      <c r="LG101" s="47">
        <v>0</v>
      </c>
      <c r="LH101" s="45"/>
      <c r="LK101">
        <v>100</v>
      </c>
      <c r="LL101">
        <v>100</v>
      </c>
      <c r="LM101" s="47">
        <v>0</v>
      </c>
      <c r="LN101" s="45"/>
      <c r="LQ101">
        <v>500</v>
      </c>
      <c r="LR101">
        <v>500</v>
      </c>
      <c r="LS101" s="47">
        <v>0</v>
      </c>
      <c r="LT101" s="45"/>
      <c r="LY101" s="47">
        <v>0</v>
      </c>
      <c r="LZ101" s="45"/>
      <c r="MA101">
        <v>300</v>
      </c>
      <c r="MB101">
        <v>300</v>
      </c>
      <c r="MC101">
        <v>400</v>
      </c>
      <c r="MD101">
        <v>400</v>
      </c>
      <c r="ME101" s="47">
        <v>0</v>
      </c>
      <c r="MF101" s="45"/>
      <c r="MG101" s="40">
        <v>180</v>
      </c>
      <c r="MH101">
        <v>180</v>
      </c>
      <c r="MI101">
        <v>200</v>
      </c>
      <c r="MJ101">
        <v>200</v>
      </c>
      <c r="MK101">
        <v>150</v>
      </c>
      <c r="ML101">
        <v>150</v>
      </c>
      <c r="MM101" s="47">
        <v>0</v>
      </c>
      <c r="MN101" s="45"/>
      <c r="MO101" s="44">
        <v>0</v>
      </c>
      <c r="MP101" s="44">
        <v>0</v>
      </c>
      <c r="MQ101" s="44">
        <v>90</v>
      </c>
      <c r="MR101" s="44">
        <v>92</v>
      </c>
      <c r="MS101" s="47">
        <v>-2</v>
      </c>
      <c r="MT101" s="45"/>
      <c r="MU101" s="44">
        <v>200</v>
      </c>
      <c r="MV101" s="44">
        <v>200</v>
      </c>
      <c r="MW101" s="44">
        <v>250</v>
      </c>
      <c r="MX101" s="44">
        <v>250</v>
      </c>
      <c r="MY101" s="47">
        <v>0</v>
      </c>
      <c r="MZ101" s="45"/>
      <c r="NA101" s="46">
        <v>240</v>
      </c>
      <c r="NB101" s="44">
        <v>240</v>
      </c>
      <c r="NC101" s="47">
        <v>0</v>
      </c>
      <c r="ND101" s="45"/>
      <c r="NE101" s="46">
        <v>350</v>
      </c>
      <c r="NF101" s="44">
        <v>350</v>
      </c>
      <c r="NG101" s="44">
        <v>270</v>
      </c>
      <c r="NH101" s="44">
        <v>0</v>
      </c>
      <c r="NI101" s="44">
        <v>270</v>
      </c>
      <c r="NJ101" s="47">
        <v>0</v>
      </c>
      <c r="NK101" s="45"/>
      <c r="NL101" s="46">
        <v>0</v>
      </c>
      <c r="NM101" s="44">
        <v>0</v>
      </c>
      <c r="NN101" s="44">
        <v>0</v>
      </c>
      <c r="NO101" s="44">
        <v>0</v>
      </c>
      <c r="NP101" s="47">
        <v>0</v>
      </c>
      <c r="NQ101" s="45"/>
      <c r="NR101" s="46">
        <v>670</v>
      </c>
      <c r="NS101" s="44">
        <v>680</v>
      </c>
      <c r="NT101" s="50">
        <v>-10</v>
      </c>
      <c r="NU101" s="45">
        <v>4.0999999999999996</v>
      </c>
      <c r="NV101" s="46">
        <v>0</v>
      </c>
      <c r="NW101" s="44">
        <v>0</v>
      </c>
      <c r="NX101" s="44">
        <v>40</v>
      </c>
      <c r="NY101" s="44">
        <v>40</v>
      </c>
      <c r="NZ101" s="47">
        <v>0</v>
      </c>
      <c r="OA101" s="45"/>
      <c r="OB101" s="46">
        <v>330</v>
      </c>
      <c r="OC101" s="44">
        <v>330</v>
      </c>
      <c r="OD101" s="47">
        <v>0</v>
      </c>
      <c r="OE101" s="45"/>
      <c r="OF101" s="46">
        <v>50</v>
      </c>
      <c r="OG101" s="44">
        <v>50</v>
      </c>
      <c r="OH101" s="44">
        <v>150</v>
      </c>
      <c r="OI101" s="44">
        <v>148</v>
      </c>
      <c r="OJ101" s="47">
        <v>2</v>
      </c>
      <c r="OK101" s="45"/>
      <c r="OL101" s="44">
        <v>50</v>
      </c>
      <c r="OM101" s="43">
        <v>-20.5</v>
      </c>
      <c r="ON101" s="44">
        <v>0</v>
      </c>
      <c r="OO101" s="44">
        <v>50</v>
      </c>
      <c r="OP101" s="50">
        <v>-50</v>
      </c>
      <c r="OQ101" s="45">
        <v>20.5</v>
      </c>
      <c r="OR101" s="46">
        <v>0</v>
      </c>
      <c r="OS101" s="44">
        <v>0</v>
      </c>
      <c r="OT101" s="44">
        <v>0</v>
      </c>
      <c r="OU101" s="44">
        <v>0</v>
      </c>
      <c r="OV101" s="47">
        <v>0</v>
      </c>
      <c r="OW101" s="45"/>
      <c r="OX101" s="25">
        <v>100</v>
      </c>
      <c r="OY101" s="44">
        <v>0</v>
      </c>
      <c r="OZ101" s="44">
        <v>0</v>
      </c>
      <c r="PA101" s="44">
        <v>0</v>
      </c>
      <c r="PB101" s="47">
        <v>100</v>
      </c>
      <c r="PC101" s="45"/>
      <c r="PD101" s="46">
        <v>300</v>
      </c>
      <c r="PE101" s="44">
        <v>300</v>
      </c>
      <c r="PF101" s="44">
        <v>350</v>
      </c>
      <c r="PG101" s="44">
        <v>350</v>
      </c>
      <c r="PH101" s="47">
        <v>0</v>
      </c>
      <c r="PI101" s="45"/>
      <c r="PJ101" s="46">
        <v>100</v>
      </c>
      <c r="PK101" s="44">
        <v>200</v>
      </c>
      <c r="PL101" s="44">
        <v>400</v>
      </c>
      <c r="PM101" s="44">
        <v>400</v>
      </c>
      <c r="PN101" s="50">
        <v>-100</v>
      </c>
      <c r="PO101" s="45">
        <v>41</v>
      </c>
      <c r="PP101" s="46">
        <v>0</v>
      </c>
      <c r="PQ101" s="44">
        <v>0</v>
      </c>
      <c r="PR101" s="32">
        <v>470</v>
      </c>
      <c r="PS101" s="44">
        <v>70</v>
      </c>
      <c r="PT101" s="47">
        <v>400</v>
      </c>
      <c r="PU101" s="45"/>
      <c r="PV101" s="46">
        <v>500</v>
      </c>
      <c r="PW101" s="44">
        <v>500</v>
      </c>
      <c r="PX101" s="47">
        <v>0</v>
      </c>
      <c r="PY101" s="45"/>
      <c r="PZ101" s="46">
        <v>150</v>
      </c>
      <c r="QA101" s="44">
        <v>148</v>
      </c>
      <c r="QB101" s="47">
        <v>2</v>
      </c>
      <c r="QC101" s="45"/>
      <c r="QD101" s="46">
        <v>0</v>
      </c>
      <c r="QE101" s="44">
        <v>0</v>
      </c>
      <c r="QF101" s="44">
        <v>70</v>
      </c>
      <c r="QG101" s="44">
        <v>70</v>
      </c>
      <c r="QH101" s="47">
        <v>0</v>
      </c>
      <c r="QI101" s="45"/>
      <c r="QJ101" s="46">
        <v>100</v>
      </c>
      <c r="QK101" s="44">
        <v>100</v>
      </c>
      <c r="QL101" s="47">
        <v>0</v>
      </c>
      <c r="QM101" s="45"/>
      <c r="QN101" s="46">
        <v>180</v>
      </c>
      <c r="QO101" s="44">
        <v>180</v>
      </c>
      <c r="QP101" s="44">
        <v>140</v>
      </c>
      <c r="QQ101" s="44">
        <v>140</v>
      </c>
      <c r="QR101" s="47">
        <v>0</v>
      </c>
      <c r="QS101" s="45"/>
      <c r="QT101" s="46">
        <v>150</v>
      </c>
      <c r="QU101" s="44">
        <v>98</v>
      </c>
      <c r="QV101" s="47">
        <v>52</v>
      </c>
      <c r="QW101" s="45"/>
      <c r="QX101" s="46">
        <v>0</v>
      </c>
      <c r="QY101" s="44">
        <v>0</v>
      </c>
      <c r="QZ101" s="44">
        <v>0</v>
      </c>
      <c r="RA101" s="44">
        <v>0</v>
      </c>
      <c r="RB101" s="47">
        <v>0</v>
      </c>
      <c r="RC101" s="45"/>
      <c r="RD101" s="42">
        <v>0</v>
      </c>
      <c r="RE101" s="44">
        <v>0</v>
      </c>
      <c r="RF101" s="44">
        <v>120</v>
      </c>
      <c r="RG101" s="44">
        <v>127</v>
      </c>
      <c r="RH101" s="47">
        <v>-7</v>
      </c>
      <c r="RI101" s="45"/>
      <c r="RJ101" s="42">
        <v>80</v>
      </c>
      <c r="RK101" s="47">
        <v>110</v>
      </c>
      <c r="RL101" s="47">
        <v>100</v>
      </c>
      <c r="RM101" s="47">
        <v>100</v>
      </c>
      <c r="RN101" s="50">
        <v>-30</v>
      </c>
      <c r="RO101" s="43">
        <v>12.3</v>
      </c>
      <c r="RP101" s="42">
        <v>70</v>
      </c>
      <c r="RQ101" s="47">
        <v>70</v>
      </c>
      <c r="RR101" s="47">
        <v>0</v>
      </c>
      <c r="RS101" s="43"/>
      <c r="RT101" s="42">
        <v>0</v>
      </c>
      <c r="RU101" s="47">
        <v>0</v>
      </c>
      <c r="RV101" s="47">
        <v>0</v>
      </c>
      <c r="RW101" s="47">
        <v>0</v>
      </c>
      <c r="RX101" s="47">
        <v>0</v>
      </c>
      <c r="RY101" s="43"/>
      <c r="RZ101" s="42">
        <v>40</v>
      </c>
      <c r="SA101" s="47">
        <v>40</v>
      </c>
      <c r="SB101" s="47">
        <v>0</v>
      </c>
      <c r="SC101" s="47">
        <v>0</v>
      </c>
      <c r="SD101" s="47">
        <v>0</v>
      </c>
      <c r="SE101" s="43"/>
      <c r="SF101" s="42">
        <v>60</v>
      </c>
      <c r="SG101" s="47">
        <v>60</v>
      </c>
      <c r="SH101" s="47">
        <v>200</v>
      </c>
      <c r="SI101" s="47">
        <v>70</v>
      </c>
      <c r="SJ101" s="47">
        <v>130</v>
      </c>
      <c r="SK101" s="43"/>
      <c r="SL101" s="42">
        <v>100</v>
      </c>
      <c r="SM101" s="47">
        <v>100</v>
      </c>
      <c r="SN101" s="47">
        <v>0</v>
      </c>
      <c r="SO101" s="43"/>
      <c r="SP101" s="42">
        <v>0</v>
      </c>
      <c r="SQ101" s="47">
        <v>0</v>
      </c>
      <c r="SR101" s="47">
        <v>90</v>
      </c>
      <c r="SS101" s="47">
        <v>93</v>
      </c>
      <c r="ST101" s="47">
        <v>-3</v>
      </c>
      <c r="SU101" s="43"/>
    </row>
    <row r="102" spans="1:515" x14ac:dyDescent="0.25">
      <c r="A102" s="47" t="s">
        <v>409</v>
      </c>
      <c r="B102" s="41">
        <v>0.5</v>
      </c>
      <c r="J102" s="42"/>
      <c r="K102" s="51"/>
      <c r="L102" s="51"/>
      <c r="M102" s="51"/>
      <c r="N102" s="51">
        <f t="shared" si="12"/>
        <v>0</v>
      </c>
      <c r="O102" s="43"/>
      <c r="P102" s="46"/>
      <c r="Q102" s="51"/>
      <c r="R102" s="51"/>
      <c r="S102" s="51"/>
      <c r="T102" s="51">
        <f t="shared" si="13"/>
        <v>0</v>
      </c>
      <c r="U102" s="43"/>
      <c r="V102" s="42"/>
      <c r="W102" s="51"/>
      <c r="X102" s="51"/>
      <c r="Y102" s="51"/>
      <c r="Z102" s="51">
        <f t="shared" si="14"/>
        <v>0</v>
      </c>
      <c r="AA102" s="43"/>
      <c r="AB102" s="42"/>
      <c r="AC102" s="51"/>
      <c r="AD102" s="51"/>
      <c r="AE102" s="51"/>
      <c r="AF102" s="51">
        <v>0</v>
      </c>
      <c r="AG102" s="43"/>
      <c r="AH102" s="51"/>
      <c r="AL102" s="47">
        <v>0</v>
      </c>
      <c r="AM102" s="43"/>
      <c r="AN102" s="42"/>
      <c r="AR102" s="47">
        <v>0</v>
      </c>
      <c r="AS102" s="43"/>
      <c r="AX102" s="47">
        <v>0</v>
      </c>
      <c r="AY102" s="43"/>
      <c r="BD102" s="47">
        <v>0</v>
      </c>
      <c r="BE102" s="43"/>
      <c r="BF102" s="42"/>
      <c r="BJ102" s="47">
        <v>0</v>
      </c>
      <c r="BK102" s="43"/>
      <c r="BL102" s="42"/>
      <c r="BP102" s="47">
        <v>0</v>
      </c>
      <c r="BQ102" s="43"/>
      <c r="BV102" s="47">
        <v>0</v>
      </c>
      <c r="BW102" s="43"/>
      <c r="BX102" s="42"/>
      <c r="CB102" s="47">
        <v>0</v>
      </c>
      <c r="CC102" s="43"/>
      <c r="CH102" s="47">
        <v>0</v>
      </c>
      <c r="CI102" s="43"/>
      <c r="CN102" s="47">
        <v>0</v>
      </c>
      <c r="CO102" s="43"/>
      <c r="CP102" s="42"/>
      <c r="CT102" s="47">
        <v>0</v>
      </c>
      <c r="CU102" s="43"/>
      <c r="CV102" s="42"/>
      <c r="CZ102" s="47">
        <v>0</v>
      </c>
      <c r="DA102" s="43"/>
      <c r="DG102" s="47">
        <v>0</v>
      </c>
      <c r="DH102" s="43"/>
      <c r="DK102" s="47">
        <v>0</v>
      </c>
      <c r="DL102" s="43"/>
      <c r="DM102" s="42"/>
      <c r="DQ102" s="47">
        <v>0</v>
      </c>
      <c r="DR102" s="43"/>
      <c r="DW102" s="47">
        <v>0</v>
      </c>
      <c r="DX102" s="43"/>
      <c r="EC102" s="47">
        <v>0</v>
      </c>
      <c r="ED102" s="43"/>
      <c r="EE102" s="42"/>
      <c r="EI102" s="47">
        <v>0</v>
      </c>
      <c r="EJ102" s="43"/>
      <c r="EO102" s="47">
        <v>0</v>
      </c>
      <c r="EP102" s="43"/>
      <c r="EQ102" s="42"/>
      <c r="EU102" s="47">
        <v>0</v>
      </c>
      <c r="EV102" s="43"/>
      <c r="EW102" s="42"/>
      <c r="FC102" s="47">
        <v>0</v>
      </c>
      <c r="FD102" s="43"/>
      <c r="FE102" s="42"/>
      <c r="FI102" s="47">
        <v>0</v>
      </c>
      <c r="FJ102" s="43"/>
      <c r="FQ102" s="47">
        <v>0</v>
      </c>
      <c r="FR102" s="43"/>
      <c r="FS102" s="42"/>
      <c r="FW102" s="47">
        <v>0</v>
      </c>
      <c r="FX102" s="43"/>
      <c r="FY102" s="42"/>
      <c r="GC102" s="47">
        <v>0</v>
      </c>
      <c r="GD102" s="43"/>
      <c r="GE102" s="42"/>
      <c r="GI102" s="47">
        <v>0</v>
      </c>
      <c r="GJ102" s="43"/>
      <c r="GQ102" s="47">
        <v>0</v>
      </c>
      <c r="GR102" s="43"/>
      <c r="GX102" s="47">
        <v>0</v>
      </c>
      <c r="GY102" s="43"/>
      <c r="GZ102" s="42"/>
      <c r="HC102" s="47">
        <v>0</v>
      </c>
      <c r="HD102" s="43"/>
      <c r="HE102" s="42"/>
      <c r="HH102" s="47">
        <v>0</v>
      </c>
      <c r="HI102" s="43"/>
      <c r="HN102" s="47">
        <v>0</v>
      </c>
      <c r="HO102" s="43"/>
      <c r="HP102" s="42"/>
      <c r="HU102" s="47">
        <v>0</v>
      </c>
      <c r="HV102" s="43"/>
      <c r="IA102" s="47">
        <v>0</v>
      </c>
      <c r="IB102" s="43"/>
      <c r="IC102" s="42"/>
      <c r="IG102" s="47">
        <v>0</v>
      </c>
      <c r="IH102" s="43"/>
      <c r="IM102" s="47">
        <v>0</v>
      </c>
      <c r="IN102" s="43"/>
      <c r="IO102" s="42"/>
      <c r="IQ102" s="47">
        <v>0</v>
      </c>
      <c r="IR102" s="43"/>
      <c r="IS102" s="42"/>
      <c r="IW102" s="47">
        <v>0</v>
      </c>
      <c r="IX102" s="43"/>
      <c r="IY102" s="42"/>
      <c r="JA102" s="47">
        <v>0</v>
      </c>
      <c r="JB102" s="43"/>
      <c r="JC102" s="42"/>
      <c r="JG102" s="47">
        <v>0</v>
      </c>
      <c r="JH102" s="43"/>
      <c r="JO102" s="47">
        <v>0</v>
      </c>
      <c r="JP102" s="43"/>
      <c r="JQ102" s="42"/>
      <c r="JU102" s="47">
        <v>0</v>
      </c>
      <c r="JV102" s="43"/>
      <c r="KA102" s="47">
        <v>0</v>
      </c>
      <c r="KB102" s="45"/>
      <c r="KG102" s="47">
        <v>0</v>
      </c>
      <c r="KH102" s="45"/>
      <c r="KM102" s="47">
        <v>0</v>
      </c>
      <c r="KN102" s="45"/>
      <c r="KS102" s="47">
        <v>0</v>
      </c>
      <c r="KT102" s="43"/>
      <c r="KW102" s="47">
        <v>0</v>
      </c>
      <c r="KX102" s="45"/>
      <c r="LC102" s="47">
        <v>0</v>
      </c>
      <c r="LD102" s="43"/>
      <c r="LE102" s="46"/>
      <c r="LG102" s="47">
        <v>0</v>
      </c>
      <c r="LH102" s="45"/>
      <c r="LM102" s="47">
        <v>0</v>
      </c>
      <c r="LN102" s="45"/>
      <c r="LS102" s="47">
        <v>0</v>
      </c>
      <c r="LT102" s="45"/>
      <c r="LY102" s="47">
        <v>0</v>
      </c>
      <c r="LZ102" s="45"/>
      <c r="ME102" s="47">
        <v>0</v>
      </c>
      <c r="MF102" s="45"/>
      <c r="MG102" s="46"/>
      <c r="MM102" s="47">
        <v>0</v>
      </c>
      <c r="MN102" s="45"/>
      <c r="MO102" s="44">
        <v>0</v>
      </c>
      <c r="MP102" s="44">
        <v>0</v>
      </c>
      <c r="MQ102" s="44">
        <v>0</v>
      </c>
      <c r="MR102" s="44">
        <v>0</v>
      </c>
      <c r="MS102" s="47">
        <v>0</v>
      </c>
      <c r="MT102" s="45"/>
      <c r="MU102" s="44">
        <v>0</v>
      </c>
      <c r="MV102" s="44">
        <v>0</v>
      </c>
      <c r="MW102" s="44">
        <v>0</v>
      </c>
      <c r="MX102" s="44">
        <v>0</v>
      </c>
      <c r="MY102" s="47">
        <v>0</v>
      </c>
      <c r="MZ102" s="45"/>
      <c r="NA102" s="46">
        <v>0</v>
      </c>
      <c r="NB102" s="44">
        <v>0</v>
      </c>
      <c r="NC102" s="47">
        <v>0</v>
      </c>
      <c r="ND102" s="45"/>
      <c r="NE102" s="46">
        <v>0</v>
      </c>
      <c r="NF102" s="44">
        <v>0</v>
      </c>
      <c r="NG102" s="44">
        <v>0</v>
      </c>
      <c r="NH102" s="44">
        <v>0</v>
      </c>
      <c r="NI102" s="44">
        <v>0</v>
      </c>
      <c r="NJ102" s="47">
        <v>0</v>
      </c>
      <c r="NK102" s="45"/>
      <c r="NL102" s="46">
        <v>0</v>
      </c>
      <c r="NM102" s="44">
        <v>0</v>
      </c>
      <c r="NN102" s="44">
        <v>0</v>
      </c>
      <c r="NO102" s="44">
        <v>0</v>
      </c>
      <c r="NP102" s="47">
        <v>0</v>
      </c>
      <c r="NQ102" s="45"/>
      <c r="NR102" s="46">
        <v>0</v>
      </c>
      <c r="NS102" s="44">
        <v>0</v>
      </c>
      <c r="NT102" s="47">
        <v>0</v>
      </c>
      <c r="NU102" s="45"/>
      <c r="NV102" s="46">
        <v>0</v>
      </c>
      <c r="NW102" s="44">
        <v>0</v>
      </c>
      <c r="NX102" s="44">
        <v>0</v>
      </c>
      <c r="NY102" s="44">
        <v>0</v>
      </c>
      <c r="NZ102" s="47">
        <v>0</v>
      </c>
      <c r="OA102" s="45"/>
      <c r="OB102" s="46">
        <v>0</v>
      </c>
      <c r="OC102" s="44">
        <v>0</v>
      </c>
      <c r="OD102" s="47">
        <v>0</v>
      </c>
      <c r="OE102" s="45"/>
      <c r="OF102" s="46">
        <v>0</v>
      </c>
      <c r="OG102" s="44">
        <v>0</v>
      </c>
      <c r="OH102" s="44">
        <v>0</v>
      </c>
      <c r="OI102" s="44">
        <v>0</v>
      </c>
      <c r="OJ102" s="47">
        <v>0</v>
      </c>
      <c r="OK102" s="45"/>
      <c r="OL102" s="44">
        <v>0</v>
      </c>
      <c r="OM102" s="43"/>
      <c r="ON102" s="26">
        <v>80</v>
      </c>
      <c r="OO102" s="44">
        <v>0</v>
      </c>
      <c r="OP102" s="29">
        <v>80</v>
      </c>
      <c r="OQ102" s="45"/>
      <c r="OR102" s="46">
        <v>0</v>
      </c>
      <c r="OS102" s="44">
        <v>0</v>
      </c>
      <c r="OT102" s="44">
        <v>0</v>
      </c>
      <c r="OU102" s="44">
        <v>0</v>
      </c>
      <c r="OV102" s="47">
        <v>0</v>
      </c>
      <c r="OW102" s="45"/>
      <c r="OX102" s="46">
        <v>0</v>
      </c>
      <c r="OY102" s="44">
        <v>0</v>
      </c>
      <c r="OZ102" s="44">
        <v>0</v>
      </c>
      <c r="PA102" s="44">
        <v>0</v>
      </c>
      <c r="PB102" s="47">
        <v>0</v>
      </c>
      <c r="PC102" s="45"/>
      <c r="PD102" s="46">
        <v>0</v>
      </c>
      <c r="PE102" s="44">
        <v>0</v>
      </c>
      <c r="PF102" s="44">
        <v>0</v>
      </c>
      <c r="PG102" s="44">
        <v>0</v>
      </c>
      <c r="PH102" s="47">
        <v>0</v>
      </c>
      <c r="PI102" s="45"/>
      <c r="PJ102" s="46">
        <v>0</v>
      </c>
      <c r="PK102" s="44">
        <v>0</v>
      </c>
      <c r="PL102" s="44">
        <v>0</v>
      </c>
      <c r="PM102" s="44">
        <v>0</v>
      </c>
      <c r="PN102" s="47">
        <v>0</v>
      </c>
      <c r="PO102" s="45"/>
      <c r="PP102" s="46">
        <v>0</v>
      </c>
      <c r="PQ102" s="44">
        <v>0</v>
      </c>
      <c r="PR102" s="44">
        <v>0</v>
      </c>
      <c r="PS102" s="44">
        <v>0</v>
      </c>
      <c r="PT102" s="47">
        <v>0</v>
      </c>
      <c r="PU102" s="45"/>
      <c r="PV102" s="46">
        <v>0</v>
      </c>
      <c r="PW102" s="44">
        <v>0</v>
      </c>
      <c r="PX102" s="47">
        <v>0</v>
      </c>
      <c r="PY102" s="45"/>
      <c r="PZ102" s="46">
        <v>0</v>
      </c>
      <c r="QA102" s="17">
        <v>10</v>
      </c>
      <c r="QB102" s="47">
        <v>-2</v>
      </c>
      <c r="QC102" s="45"/>
      <c r="QD102" s="46">
        <v>0</v>
      </c>
      <c r="QE102" s="44">
        <v>0</v>
      </c>
      <c r="QF102" s="44">
        <v>0</v>
      </c>
      <c r="QG102" s="44">
        <v>0</v>
      </c>
      <c r="QH102" s="47">
        <v>0</v>
      </c>
      <c r="QI102" s="45"/>
      <c r="QJ102" s="46">
        <v>0</v>
      </c>
      <c r="QK102" s="44">
        <v>0</v>
      </c>
      <c r="QL102" s="47">
        <v>0</v>
      </c>
      <c r="QM102" s="45"/>
      <c r="QN102" s="46">
        <v>0</v>
      </c>
      <c r="QO102" s="44">
        <v>0</v>
      </c>
      <c r="QP102" s="44">
        <v>0</v>
      </c>
      <c r="QQ102" s="44">
        <v>0</v>
      </c>
      <c r="QR102" s="47">
        <v>0</v>
      </c>
      <c r="QS102" s="45"/>
      <c r="QT102" s="46">
        <v>0</v>
      </c>
      <c r="QU102" s="44">
        <v>0</v>
      </c>
      <c r="QV102" s="47">
        <v>0</v>
      </c>
      <c r="QW102" s="45"/>
      <c r="QX102" s="46">
        <v>0</v>
      </c>
      <c r="QY102" s="44">
        <v>0</v>
      </c>
      <c r="QZ102" s="44">
        <v>8</v>
      </c>
      <c r="RA102" s="44">
        <v>10</v>
      </c>
      <c r="RB102" s="47">
        <v>-2</v>
      </c>
      <c r="RC102" s="45"/>
      <c r="RD102" s="42">
        <v>0</v>
      </c>
      <c r="RE102" s="44">
        <v>0</v>
      </c>
      <c r="RF102" s="44">
        <v>72</v>
      </c>
      <c r="RG102" s="44">
        <v>72</v>
      </c>
      <c r="RH102" s="47">
        <v>0</v>
      </c>
      <c r="RI102" s="45"/>
      <c r="RJ102" s="42">
        <v>8</v>
      </c>
      <c r="RK102" s="47">
        <v>8</v>
      </c>
      <c r="RL102" s="47">
        <v>0</v>
      </c>
      <c r="RM102" s="47">
        <v>0</v>
      </c>
      <c r="RN102" s="47">
        <v>0</v>
      </c>
      <c r="RO102" s="43"/>
      <c r="RP102" s="42">
        <v>0</v>
      </c>
      <c r="RQ102" s="47">
        <v>0</v>
      </c>
      <c r="RR102" s="47">
        <v>0</v>
      </c>
      <c r="RS102" s="43"/>
      <c r="RT102" s="42">
        <v>48</v>
      </c>
      <c r="RU102" s="47">
        <v>50</v>
      </c>
      <c r="RV102" s="47">
        <v>0</v>
      </c>
      <c r="RW102" s="47">
        <v>0</v>
      </c>
      <c r="RX102" s="47">
        <v>-2</v>
      </c>
      <c r="RY102" s="43"/>
      <c r="RZ102" s="42">
        <v>0</v>
      </c>
      <c r="SA102" s="47">
        <v>0</v>
      </c>
      <c r="SB102" s="47">
        <v>0</v>
      </c>
      <c r="SC102" s="47">
        <v>0</v>
      </c>
      <c r="SD102" s="47">
        <v>0</v>
      </c>
      <c r="SE102" s="43"/>
      <c r="SF102" s="42">
        <v>32</v>
      </c>
      <c r="SG102" s="47">
        <v>30</v>
      </c>
      <c r="SH102" s="47">
        <v>0</v>
      </c>
      <c r="SI102" s="47">
        <v>0</v>
      </c>
      <c r="SJ102" s="47">
        <v>2</v>
      </c>
      <c r="SK102" s="43"/>
      <c r="SL102" s="42">
        <v>64</v>
      </c>
      <c r="SM102" s="47">
        <v>68</v>
      </c>
      <c r="SN102" s="47">
        <v>-4</v>
      </c>
      <c r="SO102" s="43"/>
      <c r="SP102" s="42">
        <v>0</v>
      </c>
      <c r="SQ102" s="47">
        <v>0</v>
      </c>
      <c r="SR102" s="47">
        <v>0</v>
      </c>
      <c r="SS102" s="47">
        <v>0</v>
      </c>
      <c r="ST102" s="47">
        <v>0</v>
      </c>
      <c r="SU102" s="43"/>
    </row>
    <row r="103" spans="1:515" x14ac:dyDescent="0.25">
      <c r="A103" s="47" t="s">
        <v>410</v>
      </c>
      <c r="B103" s="41">
        <v>0.41</v>
      </c>
      <c r="J103" s="42"/>
      <c r="K103" s="51"/>
      <c r="L103" s="51"/>
      <c r="M103" s="51"/>
      <c r="N103" s="51">
        <f t="shared" si="12"/>
        <v>0</v>
      </c>
      <c r="O103" s="43"/>
      <c r="P103" s="46"/>
      <c r="Q103" s="51"/>
      <c r="R103" s="51"/>
      <c r="S103" s="51"/>
      <c r="T103" s="51">
        <f t="shared" si="13"/>
        <v>0</v>
      </c>
      <c r="U103" s="43"/>
      <c r="V103" s="42"/>
      <c r="W103" s="51"/>
      <c r="X103" s="51"/>
      <c r="Y103" s="51"/>
      <c r="Z103" s="51">
        <f t="shared" si="14"/>
        <v>0</v>
      </c>
      <c r="AA103" s="43"/>
      <c r="AB103" s="42"/>
      <c r="AC103" s="51"/>
      <c r="AD103" s="51"/>
      <c r="AE103" s="51"/>
      <c r="AF103" s="51">
        <v>0</v>
      </c>
      <c r="AG103" s="43"/>
      <c r="AH103" s="51"/>
      <c r="AL103" s="47">
        <v>0</v>
      </c>
      <c r="AM103" s="43"/>
      <c r="AN103" s="42"/>
      <c r="AR103" s="47">
        <v>0</v>
      </c>
      <c r="AS103" s="43"/>
      <c r="AX103" s="47">
        <v>0</v>
      </c>
      <c r="AY103" s="43"/>
      <c r="BD103" s="47">
        <v>0</v>
      </c>
      <c r="BE103" s="43"/>
      <c r="BF103" s="42"/>
      <c r="BJ103" s="47">
        <v>0</v>
      </c>
      <c r="BK103" s="43"/>
      <c r="BL103" s="42"/>
      <c r="BP103" s="47">
        <v>0</v>
      </c>
      <c r="BQ103" s="43"/>
      <c r="BV103" s="47">
        <v>0</v>
      </c>
      <c r="BW103" s="43"/>
      <c r="BX103" s="42"/>
      <c r="CB103" s="47">
        <v>0</v>
      </c>
      <c r="CC103" s="43"/>
      <c r="CH103" s="47">
        <v>0</v>
      </c>
      <c r="CI103" s="43"/>
      <c r="CN103" s="47">
        <v>0</v>
      </c>
      <c r="CO103" s="43"/>
      <c r="CP103" s="42"/>
      <c r="CT103" s="47">
        <v>0</v>
      </c>
      <c r="CU103" s="43"/>
      <c r="CV103" s="42"/>
      <c r="CZ103" s="47">
        <v>0</v>
      </c>
      <c r="DA103" s="43"/>
      <c r="DG103" s="47">
        <v>0</v>
      </c>
      <c r="DH103" s="43"/>
      <c r="DK103" s="47">
        <v>0</v>
      </c>
      <c r="DL103" s="43"/>
      <c r="DM103" s="42"/>
      <c r="DQ103" s="47">
        <v>0</v>
      </c>
      <c r="DR103" s="43"/>
      <c r="DW103" s="47">
        <v>0</v>
      </c>
      <c r="DX103" s="43"/>
      <c r="EC103" s="47">
        <v>0</v>
      </c>
      <c r="ED103" s="43"/>
      <c r="EE103" s="42"/>
      <c r="EI103" s="47">
        <v>0</v>
      </c>
      <c r="EJ103" s="43"/>
      <c r="EO103" s="47">
        <v>0</v>
      </c>
      <c r="EP103" s="43"/>
      <c r="EQ103" s="42"/>
      <c r="EU103" s="47">
        <v>0</v>
      </c>
      <c r="EV103" s="43"/>
      <c r="EW103" s="42"/>
      <c r="FC103" s="47">
        <v>0</v>
      </c>
      <c r="FD103" s="43"/>
      <c r="FE103" s="42"/>
      <c r="FI103" s="47">
        <v>0</v>
      </c>
      <c r="FJ103" s="43"/>
      <c r="FQ103" s="47">
        <v>0</v>
      </c>
      <c r="FR103" s="43"/>
      <c r="FS103" s="42"/>
      <c r="FW103" s="47">
        <v>0</v>
      </c>
      <c r="FX103" s="43"/>
      <c r="FY103" s="42"/>
      <c r="GC103" s="47">
        <v>0</v>
      </c>
      <c r="GD103" s="43"/>
      <c r="GE103" s="42"/>
      <c r="GI103" s="47">
        <v>0</v>
      </c>
      <c r="GJ103" s="43"/>
      <c r="GQ103" s="47">
        <v>0</v>
      </c>
      <c r="GR103" s="43"/>
      <c r="GX103" s="47">
        <v>0</v>
      </c>
      <c r="GY103" s="43"/>
      <c r="GZ103" s="42"/>
      <c r="HC103" s="47">
        <v>0</v>
      </c>
      <c r="HD103" s="43"/>
      <c r="HE103" s="42"/>
      <c r="HH103" s="47">
        <v>0</v>
      </c>
      <c r="HI103" s="43"/>
      <c r="HN103" s="47">
        <v>0</v>
      </c>
      <c r="HO103" s="43"/>
      <c r="HP103" s="42"/>
      <c r="HU103" s="47">
        <v>0</v>
      </c>
      <c r="HV103" s="43"/>
      <c r="IA103" s="47">
        <v>0</v>
      </c>
      <c r="IB103" s="43"/>
      <c r="IC103" s="42"/>
      <c r="IG103" s="47">
        <v>0</v>
      </c>
      <c r="IH103" s="43"/>
      <c r="IM103" s="47">
        <v>0</v>
      </c>
      <c r="IN103" s="43"/>
      <c r="IO103" s="42"/>
      <c r="IQ103" s="47">
        <v>0</v>
      </c>
      <c r="IR103" s="43"/>
      <c r="IS103" s="42"/>
      <c r="IW103" s="47">
        <v>0</v>
      </c>
      <c r="IX103" s="43"/>
      <c r="IY103" s="42"/>
      <c r="JA103" s="47">
        <v>0</v>
      </c>
      <c r="JB103" s="43"/>
      <c r="JC103" s="42"/>
      <c r="JG103" s="47">
        <v>0</v>
      </c>
      <c r="JH103" s="43"/>
      <c r="JO103" s="47">
        <v>0</v>
      </c>
      <c r="JP103" s="43"/>
      <c r="JQ103" s="42"/>
      <c r="JU103" s="47">
        <v>0</v>
      </c>
      <c r="JV103" s="43"/>
      <c r="KA103" s="47">
        <v>0</v>
      </c>
      <c r="KB103" s="45"/>
      <c r="KG103" s="47">
        <v>0</v>
      </c>
      <c r="KH103" s="45"/>
      <c r="KM103" s="47">
        <v>0</v>
      </c>
      <c r="KN103" s="45"/>
      <c r="KS103" s="47">
        <v>0</v>
      </c>
      <c r="KT103" s="43"/>
      <c r="KW103" s="47">
        <v>0</v>
      </c>
      <c r="KX103" s="45"/>
      <c r="LC103" s="47">
        <v>0</v>
      </c>
      <c r="LD103" s="43"/>
      <c r="LE103" s="46"/>
      <c r="LG103" s="47">
        <v>0</v>
      </c>
      <c r="LH103" s="45"/>
      <c r="LM103" s="47">
        <v>0</v>
      </c>
      <c r="LN103" s="45"/>
      <c r="LS103" s="47">
        <v>0</v>
      </c>
      <c r="LT103" s="45"/>
      <c r="LY103" s="47">
        <v>0</v>
      </c>
      <c r="LZ103" s="45"/>
      <c r="ME103" s="47">
        <v>0</v>
      </c>
      <c r="MF103" s="45"/>
      <c r="MG103" s="46"/>
      <c r="MM103" s="47">
        <v>0</v>
      </c>
      <c r="MN103" s="45"/>
      <c r="MO103" s="44">
        <v>0</v>
      </c>
      <c r="MP103" s="44">
        <v>0</v>
      </c>
      <c r="MQ103" s="44">
        <v>0</v>
      </c>
      <c r="MR103" s="44">
        <v>0</v>
      </c>
      <c r="MS103" s="47">
        <v>0</v>
      </c>
      <c r="MT103" s="45"/>
      <c r="MU103" s="44">
        <v>0</v>
      </c>
      <c r="MV103" s="44">
        <v>0</v>
      </c>
      <c r="MW103" s="44">
        <v>0</v>
      </c>
      <c r="MX103" s="44">
        <v>0</v>
      </c>
      <c r="MY103" s="47">
        <v>0</v>
      </c>
      <c r="MZ103" s="45"/>
      <c r="NA103" s="46">
        <v>0</v>
      </c>
      <c r="NB103" s="44">
        <v>0</v>
      </c>
      <c r="NC103" s="47">
        <v>0</v>
      </c>
      <c r="ND103" s="45"/>
      <c r="NE103" s="46">
        <v>0</v>
      </c>
      <c r="NF103" s="44">
        <v>0</v>
      </c>
      <c r="NG103" s="44">
        <v>0</v>
      </c>
      <c r="NH103" s="44">
        <v>0</v>
      </c>
      <c r="NI103" s="44">
        <v>0</v>
      </c>
      <c r="NJ103" s="47">
        <v>0</v>
      </c>
      <c r="NK103" s="45"/>
      <c r="NL103" s="46">
        <v>0</v>
      </c>
      <c r="NM103" s="44">
        <v>0</v>
      </c>
      <c r="NN103" s="44">
        <v>0</v>
      </c>
      <c r="NO103" s="44">
        <v>0</v>
      </c>
      <c r="NP103" s="47">
        <v>0</v>
      </c>
      <c r="NQ103" s="45"/>
      <c r="NR103" s="46">
        <v>0</v>
      </c>
      <c r="NS103" s="44">
        <v>0</v>
      </c>
      <c r="NT103" s="47">
        <v>0</v>
      </c>
      <c r="NU103" s="45"/>
      <c r="NV103" s="46">
        <v>0</v>
      </c>
      <c r="NW103" s="44">
        <v>0</v>
      </c>
      <c r="NX103" s="44">
        <v>0</v>
      </c>
      <c r="NY103" s="44">
        <v>0</v>
      </c>
      <c r="NZ103" s="47">
        <v>0</v>
      </c>
      <c r="OA103" s="45"/>
      <c r="OB103" s="46">
        <v>0</v>
      </c>
      <c r="OC103" s="44">
        <v>0</v>
      </c>
      <c r="OD103" s="47">
        <v>0</v>
      </c>
      <c r="OE103" s="45"/>
      <c r="OF103" s="46">
        <v>0</v>
      </c>
      <c r="OG103" s="44">
        <v>0</v>
      </c>
      <c r="OH103" s="44">
        <v>0</v>
      </c>
      <c r="OI103" s="44">
        <v>0</v>
      </c>
      <c r="OJ103" s="47">
        <v>0</v>
      </c>
      <c r="OK103" s="45"/>
      <c r="OL103" s="44">
        <v>0</v>
      </c>
      <c r="OM103" s="43"/>
      <c r="ON103" s="44">
        <v>0</v>
      </c>
      <c r="OO103" s="44">
        <v>0</v>
      </c>
      <c r="OP103" s="47">
        <v>0</v>
      </c>
      <c r="OQ103" s="45"/>
      <c r="OR103" s="46">
        <v>0</v>
      </c>
      <c r="OS103" s="44">
        <v>0</v>
      </c>
      <c r="OT103" s="44">
        <v>0</v>
      </c>
      <c r="OU103" s="44">
        <v>0</v>
      </c>
      <c r="OV103" s="47">
        <v>0</v>
      </c>
      <c r="OW103" s="45"/>
      <c r="OX103" s="46">
        <v>0</v>
      </c>
      <c r="OY103" s="44">
        <v>0</v>
      </c>
      <c r="OZ103" s="44">
        <v>0</v>
      </c>
      <c r="PA103" s="44">
        <v>0</v>
      </c>
      <c r="PB103" s="47">
        <v>0</v>
      </c>
      <c r="PC103" s="45"/>
      <c r="PD103" s="46">
        <v>0</v>
      </c>
      <c r="PE103" s="44">
        <v>0</v>
      </c>
      <c r="PF103" s="44">
        <v>0</v>
      </c>
      <c r="PG103" s="44">
        <v>0</v>
      </c>
      <c r="PH103" s="47">
        <v>0</v>
      </c>
      <c r="PI103" s="45"/>
      <c r="PJ103" s="46">
        <v>0</v>
      </c>
      <c r="PK103" s="44">
        <v>0</v>
      </c>
      <c r="PL103" s="44">
        <v>0</v>
      </c>
      <c r="PM103" s="44">
        <v>0</v>
      </c>
      <c r="PN103" s="47">
        <v>0</v>
      </c>
      <c r="PO103" s="45"/>
      <c r="PP103" s="46">
        <v>0</v>
      </c>
      <c r="PQ103" s="44">
        <v>0</v>
      </c>
      <c r="PR103" s="44">
        <v>0</v>
      </c>
      <c r="PS103" s="44">
        <v>0</v>
      </c>
      <c r="PT103" s="47">
        <v>0</v>
      </c>
      <c r="PU103" s="45"/>
      <c r="PV103" s="46">
        <v>0</v>
      </c>
      <c r="PW103" s="44">
        <v>0</v>
      </c>
      <c r="PX103" s="47">
        <v>0</v>
      </c>
      <c r="PY103" s="45"/>
      <c r="PZ103" s="46">
        <v>0</v>
      </c>
      <c r="QA103" s="44">
        <v>0</v>
      </c>
      <c r="QB103" s="47">
        <v>0</v>
      </c>
      <c r="QC103" s="45"/>
      <c r="QD103" s="46">
        <v>0</v>
      </c>
      <c r="QE103" s="44">
        <v>0</v>
      </c>
      <c r="QF103" s="44">
        <v>0</v>
      </c>
      <c r="QG103" s="44">
        <v>0</v>
      </c>
      <c r="QH103" s="47">
        <v>0</v>
      </c>
      <c r="QI103" s="45"/>
      <c r="QJ103" s="46">
        <v>0</v>
      </c>
      <c r="QK103" s="44">
        <v>0</v>
      </c>
      <c r="QL103" s="47">
        <v>0</v>
      </c>
      <c r="QM103" s="45"/>
      <c r="QN103" s="46">
        <v>0</v>
      </c>
      <c r="QO103" s="44">
        <v>0</v>
      </c>
      <c r="QP103" s="44">
        <v>0</v>
      </c>
      <c r="QQ103" s="44">
        <v>0</v>
      </c>
      <c r="QR103" s="47">
        <v>0</v>
      </c>
      <c r="QS103" s="45"/>
      <c r="QT103" s="46">
        <v>0</v>
      </c>
      <c r="QU103" s="44">
        <v>0</v>
      </c>
      <c r="QV103" s="47">
        <v>0</v>
      </c>
      <c r="QW103" s="45"/>
      <c r="QX103" s="46">
        <v>0</v>
      </c>
      <c r="QY103" s="44">
        <v>0</v>
      </c>
      <c r="QZ103" s="44">
        <v>0</v>
      </c>
      <c r="RA103" s="44">
        <v>0</v>
      </c>
      <c r="RB103" s="47">
        <v>0</v>
      </c>
      <c r="RC103" s="45"/>
      <c r="RD103" s="42">
        <v>0</v>
      </c>
      <c r="RE103" s="44">
        <v>0</v>
      </c>
      <c r="RF103" s="44">
        <v>0</v>
      </c>
      <c r="RG103" s="44">
        <v>0</v>
      </c>
      <c r="RH103" s="47">
        <v>0</v>
      </c>
      <c r="RI103" s="45"/>
      <c r="RJ103" s="42">
        <v>0</v>
      </c>
      <c r="RK103" s="47">
        <v>0</v>
      </c>
      <c r="RL103" s="47">
        <v>0</v>
      </c>
      <c r="RM103" s="47">
        <v>0</v>
      </c>
      <c r="RN103" s="47">
        <v>0</v>
      </c>
      <c r="RO103" s="43"/>
      <c r="RP103" s="42">
        <v>0</v>
      </c>
      <c r="RQ103" s="47">
        <v>0</v>
      </c>
      <c r="RR103" s="47">
        <v>0</v>
      </c>
      <c r="RS103" s="43"/>
      <c r="RT103" s="42">
        <v>0</v>
      </c>
      <c r="RU103" s="47">
        <v>0</v>
      </c>
      <c r="RV103" s="47">
        <v>0</v>
      </c>
      <c r="RW103" s="47">
        <v>0</v>
      </c>
      <c r="RX103" s="47">
        <v>0</v>
      </c>
      <c r="RY103" s="43"/>
      <c r="RZ103" s="42">
        <v>0</v>
      </c>
      <c r="SA103" s="47">
        <v>0</v>
      </c>
      <c r="SB103" s="47">
        <v>0</v>
      </c>
      <c r="SC103" s="47">
        <v>0</v>
      </c>
      <c r="SD103" s="47">
        <v>0</v>
      </c>
      <c r="SE103" s="43"/>
      <c r="SF103" s="42">
        <v>0</v>
      </c>
      <c r="SG103" s="47">
        <v>0</v>
      </c>
      <c r="SH103" s="47">
        <v>0</v>
      </c>
      <c r="SI103" s="47">
        <v>0</v>
      </c>
      <c r="SJ103" s="47">
        <v>0</v>
      </c>
      <c r="SK103" s="43"/>
      <c r="SL103" s="42">
        <v>0</v>
      </c>
      <c r="SM103" s="47">
        <v>0</v>
      </c>
      <c r="SN103" s="47">
        <v>0</v>
      </c>
      <c r="SO103" s="43"/>
      <c r="SP103" s="42">
        <v>0</v>
      </c>
      <c r="SQ103" s="47">
        <v>0</v>
      </c>
      <c r="SR103" s="47">
        <v>0</v>
      </c>
      <c r="SS103" s="47">
        <v>0</v>
      </c>
      <c r="ST103" s="47">
        <v>0</v>
      </c>
      <c r="SU103" s="43"/>
    </row>
    <row r="104" spans="1:515" x14ac:dyDescent="0.25">
      <c r="A104" s="47" t="s">
        <v>411</v>
      </c>
      <c r="B104" s="41">
        <v>0.4</v>
      </c>
      <c r="J104" s="42"/>
      <c r="K104" s="51"/>
      <c r="L104" s="51"/>
      <c r="M104" s="51"/>
      <c r="N104" s="51">
        <f t="shared" si="12"/>
        <v>0</v>
      </c>
      <c r="O104" s="43"/>
      <c r="P104" s="46"/>
      <c r="Q104" s="51"/>
      <c r="R104" s="51"/>
      <c r="S104" s="51"/>
      <c r="T104" s="51">
        <f t="shared" si="13"/>
        <v>0</v>
      </c>
      <c r="U104" s="43"/>
      <c r="V104" s="42"/>
      <c r="W104" s="51"/>
      <c r="X104" s="51"/>
      <c r="Y104" s="51"/>
      <c r="Z104" s="51">
        <f t="shared" si="14"/>
        <v>0</v>
      </c>
      <c r="AA104" s="43"/>
      <c r="AB104" s="42"/>
      <c r="AC104" s="51"/>
      <c r="AD104" s="51"/>
      <c r="AE104" s="51"/>
      <c r="AF104" s="51">
        <v>0</v>
      </c>
      <c r="AG104" s="43"/>
      <c r="AH104" s="51"/>
      <c r="AL104" s="47">
        <v>0</v>
      </c>
      <c r="AM104" s="43"/>
      <c r="AN104" s="42"/>
      <c r="AR104" s="47">
        <v>0</v>
      </c>
      <c r="AS104" s="43"/>
      <c r="AX104" s="47">
        <v>0</v>
      </c>
      <c r="AY104" s="43"/>
      <c r="BD104" s="47">
        <v>0</v>
      </c>
      <c r="BE104" s="43"/>
      <c r="BF104" s="42"/>
      <c r="BJ104" s="47">
        <v>0</v>
      </c>
      <c r="BK104" s="43"/>
      <c r="BL104" s="42"/>
      <c r="BP104" s="47">
        <v>0</v>
      </c>
      <c r="BQ104" s="43"/>
      <c r="BV104" s="47">
        <v>0</v>
      </c>
      <c r="BW104" s="43"/>
      <c r="BX104" s="42"/>
      <c r="CB104" s="47">
        <v>0</v>
      </c>
      <c r="CC104" s="43"/>
      <c r="CH104" s="47">
        <v>0</v>
      </c>
      <c r="CI104" s="43"/>
      <c r="CN104" s="47">
        <v>0</v>
      </c>
      <c r="CO104" s="43"/>
      <c r="CP104" s="42"/>
      <c r="CT104" s="47">
        <v>0</v>
      </c>
      <c r="CU104" s="43"/>
      <c r="CV104" s="42"/>
      <c r="CZ104" s="47">
        <v>0</v>
      </c>
      <c r="DA104" s="43"/>
      <c r="DG104" s="47">
        <v>0</v>
      </c>
      <c r="DH104" s="43"/>
      <c r="DK104" s="47">
        <v>0</v>
      </c>
      <c r="DL104" s="43"/>
      <c r="DM104" s="42"/>
      <c r="DQ104" s="47">
        <v>0</v>
      </c>
      <c r="DR104" s="43"/>
      <c r="DW104" s="47">
        <v>0</v>
      </c>
      <c r="DX104" s="43"/>
      <c r="EC104" s="47">
        <v>0</v>
      </c>
      <c r="ED104" s="43"/>
      <c r="EE104" s="42"/>
      <c r="EI104" s="47">
        <v>0</v>
      </c>
      <c r="EJ104" s="43"/>
      <c r="EO104" s="47">
        <v>0</v>
      </c>
      <c r="EP104" s="43"/>
      <c r="EQ104" s="42"/>
      <c r="EU104" s="47">
        <v>0</v>
      </c>
      <c r="EV104" s="43"/>
      <c r="EW104" s="42"/>
      <c r="FC104" s="47">
        <v>0</v>
      </c>
      <c r="FD104" s="43"/>
      <c r="FE104" s="42"/>
      <c r="FI104" s="47">
        <v>0</v>
      </c>
      <c r="FJ104" s="43"/>
      <c r="FQ104" s="47">
        <v>0</v>
      </c>
      <c r="FR104" s="43"/>
      <c r="FS104" s="42"/>
      <c r="FW104" s="47">
        <v>0</v>
      </c>
      <c r="FX104" s="43"/>
      <c r="FY104" s="42"/>
      <c r="GC104" s="47">
        <v>0</v>
      </c>
      <c r="GD104" s="43"/>
      <c r="GE104" s="42"/>
      <c r="GI104" s="47">
        <v>0</v>
      </c>
      <c r="GJ104" s="43"/>
      <c r="GQ104" s="47">
        <v>0</v>
      </c>
      <c r="GR104" s="43"/>
      <c r="GX104" s="47">
        <v>0</v>
      </c>
      <c r="GY104" s="43"/>
      <c r="GZ104" s="42"/>
      <c r="HC104" s="47">
        <v>0</v>
      </c>
      <c r="HD104" s="43"/>
      <c r="HE104" s="42"/>
      <c r="HH104" s="47">
        <v>0</v>
      </c>
      <c r="HI104" s="43"/>
      <c r="HN104" s="47">
        <v>0</v>
      </c>
      <c r="HO104" s="43"/>
      <c r="HP104" s="42"/>
      <c r="HU104" s="47">
        <v>0</v>
      </c>
      <c r="HV104" s="43"/>
      <c r="IA104" s="47">
        <v>0</v>
      </c>
      <c r="IB104" s="43"/>
      <c r="IC104" s="42"/>
      <c r="IG104" s="47">
        <v>0</v>
      </c>
      <c r="IH104" s="43"/>
      <c r="IM104" s="47">
        <v>0</v>
      </c>
      <c r="IN104" s="43"/>
      <c r="IO104" s="42"/>
      <c r="IQ104" s="47">
        <v>0</v>
      </c>
      <c r="IR104" s="43"/>
      <c r="IS104" s="42"/>
      <c r="IW104" s="47">
        <v>0</v>
      </c>
      <c r="IX104" s="43"/>
      <c r="IY104" s="42"/>
      <c r="JA104" s="47">
        <v>0</v>
      </c>
      <c r="JB104" s="43"/>
      <c r="JC104" s="42"/>
      <c r="JG104" s="47">
        <v>0</v>
      </c>
      <c r="JH104" s="43"/>
      <c r="JO104" s="47">
        <v>0</v>
      </c>
      <c r="JP104" s="43"/>
      <c r="JQ104" s="42"/>
      <c r="JU104" s="47">
        <v>0</v>
      </c>
      <c r="JV104" s="43"/>
      <c r="KA104" s="47">
        <v>0</v>
      </c>
      <c r="KB104" s="45"/>
      <c r="KG104" s="47">
        <v>0</v>
      </c>
      <c r="KH104" s="45"/>
      <c r="KM104" s="47">
        <v>0</v>
      </c>
      <c r="KN104" s="45"/>
      <c r="KS104" s="47">
        <v>0</v>
      </c>
      <c r="KT104" s="43"/>
      <c r="KW104" s="47">
        <v>0</v>
      </c>
      <c r="KX104" s="45"/>
      <c r="LC104" s="47">
        <v>0</v>
      </c>
      <c r="LD104" s="43"/>
      <c r="LE104" s="46"/>
      <c r="LG104" s="47">
        <v>0</v>
      </c>
      <c r="LH104" s="45"/>
      <c r="LM104" s="47">
        <v>0</v>
      </c>
      <c r="LN104" s="45"/>
      <c r="LS104" s="47">
        <v>0</v>
      </c>
      <c r="LT104" s="45"/>
      <c r="LY104" s="47">
        <v>0</v>
      </c>
      <c r="LZ104" s="45"/>
      <c r="ME104" s="47">
        <v>0</v>
      </c>
      <c r="MF104" s="45"/>
      <c r="MG104" s="46"/>
      <c r="MM104" s="47">
        <v>0</v>
      </c>
      <c r="MN104" s="45"/>
      <c r="MO104" s="44">
        <v>0</v>
      </c>
      <c r="MP104" s="44">
        <v>0</v>
      </c>
      <c r="MQ104" s="44">
        <v>0</v>
      </c>
      <c r="MR104" s="44">
        <v>0</v>
      </c>
      <c r="MS104" s="47">
        <v>0</v>
      </c>
      <c r="MT104" s="45"/>
      <c r="MU104" s="44">
        <v>0</v>
      </c>
      <c r="MV104" s="44">
        <v>0</v>
      </c>
      <c r="MW104" s="44">
        <v>0</v>
      </c>
      <c r="MX104" s="44">
        <v>0</v>
      </c>
      <c r="MY104" s="47">
        <v>0</v>
      </c>
      <c r="MZ104" s="45"/>
      <c r="NA104" s="46">
        <v>0</v>
      </c>
      <c r="NB104" s="44">
        <v>0</v>
      </c>
      <c r="NC104" s="47">
        <v>0</v>
      </c>
      <c r="ND104" s="45"/>
      <c r="NE104" s="46">
        <v>0</v>
      </c>
      <c r="NF104" s="44">
        <v>0</v>
      </c>
      <c r="NG104" s="44">
        <v>0</v>
      </c>
      <c r="NH104" s="44">
        <v>0</v>
      </c>
      <c r="NI104" s="44">
        <v>0</v>
      </c>
      <c r="NJ104" s="47">
        <v>0</v>
      </c>
      <c r="NK104" s="45"/>
      <c r="NL104" s="46">
        <v>0</v>
      </c>
      <c r="NM104" s="44">
        <v>0</v>
      </c>
      <c r="NN104" s="44">
        <v>0</v>
      </c>
      <c r="NO104" s="44">
        <v>0</v>
      </c>
      <c r="NP104" s="47">
        <v>0</v>
      </c>
      <c r="NQ104" s="45"/>
      <c r="NR104" s="46">
        <v>0</v>
      </c>
      <c r="NS104" s="44">
        <v>0</v>
      </c>
      <c r="NT104" s="47">
        <v>0</v>
      </c>
      <c r="NU104" s="45"/>
      <c r="NV104" s="46">
        <v>0</v>
      </c>
      <c r="NW104" s="44">
        <v>0</v>
      </c>
      <c r="NX104" s="44">
        <v>0</v>
      </c>
      <c r="NY104" s="44">
        <v>0</v>
      </c>
      <c r="NZ104" s="47">
        <v>0</v>
      </c>
      <c r="OA104" s="45"/>
      <c r="OB104" s="46">
        <v>0</v>
      </c>
      <c r="OC104" s="44">
        <v>0</v>
      </c>
      <c r="OD104" s="47">
        <v>0</v>
      </c>
      <c r="OE104" s="45"/>
      <c r="OF104" s="46">
        <v>0</v>
      </c>
      <c r="OG104" s="44">
        <v>0</v>
      </c>
      <c r="OH104" s="44">
        <v>0</v>
      </c>
      <c r="OI104" s="44">
        <v>0</v>
      </c>
      <c r="OJ104" s="47">
        <v>0</v>
      </c>
      <c r="OK104" s="45"/>
      <c r="OL104" s="44">
        <v>0</v>
      </c>
      <c r="OM104" s="43"/>
      <c r="ON104" s="44">
        <v>0</v>
      </c>
      <c r="OO104" s="44">
        <v>0</v>
      </c>
      <c r="OP104" s="47">
        <v>0</v>
      </c>
      <c r="OQ104" s="45"/>
      <c r="OR104" s="46">
        <v>0</v>
      </c>
      <c r="OS104" s="44">
        <v>0</v>
      </c>
      <c r="OT104" s="44">
        <v>0</v>
      </c>
      <c r="OU104" s="44">
        <v>0</v>
      </c>
      <c r="OV104" s="47">
        <v>0</v>
      </c>
      <c r="OW104" s="45"/>
      <c r="OX104" s="46">
        <v>0</v>
      </c>
      <c r="OY104" s="44">
        <v>0</v>
      </c>
      <c r="OZ104" s="44">
        <v>0</v>
      </c>
      <c r="PA104" s="44">
        <v>0</v>
      </c>
      <c r="PB104" s="47">
        <v>0</v>
      </c>
      <c r="PC104" s="45"/>
      <c r="PD104" s="46">
        <v>0</v>
      </c>
      <c r="PE104" s="44">
        <v>0</v>
      </c>
      <c r="PF104" s="44">
        <v>0</v>
      </c>
      <c r="PG104" s="44">
        <v>0</v>
      </c>
      <c r="PH104" s="47">
        <v>0</v>
      </c>
      <c r="PI104" s="45"/>
      <c r="PJ104" s="46">
        <v>0</v>
      </c>
      <c r="PK104" s="44">
        <v>0</v>
      </c>
      <c r="PL104" s="44">
        <v>0</v>
      </c>
      <c r="PM104" s="44">
        <v>0</v>
      </c>
      <c r="PN104" s="47">
        <v>0</v>
      </c>
      <c r="PO104" s="45"/>
      <c r="PP104" s="46">
        <v>0</v>
      </c>
      <c r="PQ104" s="44">
        <v>0</v>
      </c>
      <c r="PR104" s="44">
        <v>0</v>
      </c>
      <c r="PS104" s="44">
        <v>0</v>
      </c>
      <c r="PT104" s="47">
        <v>0</v>
      </c>
      <c r="PU104" s="45"/>
      <c r="PV104" s="46">
        <v>0</v>
      </c>
      <c r="PW104" s="44">
        <v>0</v>
      </c>
      <c r="PX104" s="47">
        <v>0</v>
      </c>
      <c r="PY104" s="45"/>
      <c r="PZ104" s="46">
        <v>0</v>
      </c>
      <c r="QA104" s="44">
        <v>0</v>
      </c>
      <c r="QB104" s="47">
        <v>0</v>
      </c>
      <c r="QC104" s="45"/>
      <c r="QD104" s="46">
        <v>0</v>
      </c>
      <c r="QE104" s="44">
        <v>0</v>
      </c>
      <c r="QF104" s="44">
        <v>0</v>
      </c>
      <c r="QG104" s="44">
        <v>0</v>
      </c>
      <c r="QH104" s="47">
        <v>0</v>
      </c>
      <c r="QI104" s="45"/>
      <c r="QJ104" s="46">
        <v>0</v>
      </c>
      <c r="QK104" s="44">
        <v>0</v>
      </c>
      <c r="QL104" s="47">
        <v>0</v>
      </c>
      <c r="QM104" s="45"/>
      <c r="QN104" s="46">
        <v>0</v>
      </c>
      <c r="QO104" s="44">
        <v>0</v>
      </c>
      <c r="QP104" s="44">
        <v>0</v>
      </c>
      <c r="QQ104" s="44">
        <v>0</v>
      </c>
      <c r="QR104" s="47">
        <v>0</v>
      </c>
      <c r="QS104" s="45"/>
      <c r="QT104" s="46">
        <v>0</v>
      </c>
      <c r="QU104" s="44">
        <v>0</v>
      </c>
      <c r="QV104" s="47">
        <v>0</v>
      </c>
      <c r="QW104" s="45"/>
      <c r="QX104" s="46">
        <v>0</v>
      </c>
      <c r="QY104" s="44">
        <v>0</v>
      </c>
      <c r="QZ104" s="44">
        <v>0</v>
      </c>
      <c r="RA104" s="17">
        <v>34</v>
      </c>
      <c r="RB104" s="47">
        <v>2</v>
      </c>
      <c r="RC104" s="45"/>
      <c r="RD104" s="42">
        <v>0</v>
      </c>
      <c r="RE104" s="44">
        <v>0</v>
      </c>
      <c r="RF104" s="44">
        <v>0</v>
      </c>
      <c r="RG104" s="44">
        <v>0</v>
      </c>
      <c r="RH104" s="47">
        <v>0</v>
      </c>
      <c r="RI104" s="45"/>
      <c r="RJ104" s="42">
        <v>0</v>
      </c>
      <c r="RK104" s="47">
        <v>0</v>
      </c>
      <c r="RL104" s="47">
        <v>0</v>
      </c>
      <c r="RM104" s="47">
        <v>0</v>
      </c>
      <c r="RN104" s="47">
        <v>0</v>
      </c>
      <c r="RO104" s="43"/>
      <c r="RP104" s="42">
        <v>0</v>
      </c>
      <c r="RQ104" s="47">
        <v>0</v>
      </c>
      <c r="RR104" s="47">
        <v>0</v>
      </c>
      <c r="RS104" s="43"/>
      <c r="RT104" s="42">
        <v>0</v>
      </c>
      <c r="RU104" s="47">
        <v>0</v>
      </c>
      <c r="RV104" s="47">
        <v>0</v>
      </c>
      <c r="RW104" s="47">
        <v>0</v>
      </c>
      <c r="RX104" s="47">
        <v>0</v>
      </c>
      <c r="RY104" s="43"/>
      <c r="RZ104" s="42">
        <v>0</v>
      </c>
      <c r="SA104" s="47">
        <v>0</v>
      </c>
      <c r="SB104" s="47">
        <v>0</v>
      </c>
      <c r="SC104" s="47">
        <v>0</v>
      </c>
      <c r="SD104" s="47">
        <v>0</v>
      </c>
      <c r="SE104" s="43"/>
      <c r="SF104" s="42">
        <v>30</v>
      </c>
      <c r="SG104" s="47">
        <v>34</v>
      </c>
      <c r="SH104" s="47">
        <v>200</v>
      </c>
      <c r="SI104" s="47">
        <v>0</v>
      </c>
      <c r="SJ104" s="47">
        <v>196</v>
      </c>
      <c r="SK104" s="43"/>
      <c r="SL104" s="42">
        <v>60</v>
      </c>
      <c r="SM104" s="47">
        <v>63</v>
      </c>
      <c r="SN104" s="47">
        <v>-3</v>
      </c>
      <c r="SO104" s="43"/>
      <c r="SP104" s="42">
        <v>0</v>
      </c>
      <c r="SQ104" s="47">
        <v>0</v>
      </c>
      <c r="SR104" s="47">
        <v>170</v>
      </c>
      <c r="SS104" s="47">
        <v>174</v>
      </c>
      <c r="ST104" s="47">
        <v>-4</v>
      </c>
      <c r="SU104" s="43"/>
    </row>
    <row r="105" spans="1:515" x14ac:dyDescent="0.25">
      <c r="A105" s="47" t="s">
        <v>412</v>
      </c>
      <c r="B105" s="41">
        <v>1</v>
      </c>
      <c r="J105" s="42"/>
      <c r="K105" s="51"/>
      <c r="L105" s="51"/>
      <c r="M105" s="51"/>
      <c r="N105" s="51">
        <f t="shared" si="12"/>
        <v>0</v>
      </c>
      <c r="O105" s="43"/>
      <c r="P105" s="46"/>
      <c r="Q105" s="51"/>
      <c r="R105" s="51"/>
      <c r="S105" s="51"/>
      <c r="T105" s="51">
        <f t="shared" si="13"/>
        <v>0</v>
      </c>
      <c r="U105" s="43"/>
      <c r="V105" s="42"/>
      <c r="W105" s="51"/>
      <c r="X105" s="51"/>
      <c r="Y105" s="51"/>
      <c r="Z105" s="51">
        <f t="shared" si="14"/>
        <v>0</v>
      </c>
      <c r="AA105" s="43"/>
      <c r="AB105" s="42"/>
      <c r="AC105" s="51"/>
      <c r="AD105" s="51"/>
      <c r="AE105" s="51"/>
      <c r="AF105" s="51">
        <v>0</v>
      </c>
      <c r="AG105" s="43"/>
      <c r="AH105" s="51"/>
      <c r="AL105" s="47">
        <v>0</v>
      </c>
      <c r="AM105" s="43"/>
      <c r="AN105" s="42"/>
      <c r="AR105" s="47">
        <v>0</v>
      </c>
      <c r="AS105" s="43"/>
      <c r="AX105" s="47">
        <v>0</v>
      </c>
      <c r="AY105" s="43"/>
      <c r="BD105" s="47">
        <v>0</v>
      </c>
      <c r="BE105" s="43"/>
      <c r="BF105" s="42"/>
      <c r="BJ105" s="47">
        <v>0</v>
      </c>
      <c r="BK105" s="43"/>
      <c r="BL105" s="42"/>
      <c r="BP105" s="47">
        <v>0</v>
      </c>
      <c r="BQ105" s="43"/>
      <c r="BV105" s="47">
        <v>0</v>
      </c>
      <c r="BW105" s="43"/>
      <c r="BX105" s="42"/>
      <c r="CB105" s="47">
        <v>0</v>
      </c>
      <c r="CC105" s="43"/>
      <c r="CH105" s="47">
        <v>0</v>
      </c>
      <c r="CI105" s="43"/>
      <c r="CN105" s="47">
        <v>0</v>
      </c>
      <c r="CO105" s="43"/>
      <c r="CP105" s="42"/>
      <c r="CT105" s="47">
        <v>0</v>
      </c>
      <c r="CU105" s="43"/>
      <c r="CV105" s="42"/>
      <c r="CZ105" s="47">
        <v>0</v>
      </c>
      <c r="DA105" s="43"/>
      <c r="DG105" s="47">
        <v>0</v>
      </c>
      <c r="DH105" s="43"/>
      <c r="DK105" s="47">
        <v>0</v>
      </c>
      <c r="DL105" s="43"/>
      <c r="DM105" s="42"/>
      <c r="DQ105" s="47">
        <v>0</v>
      </c>
      <c r="DR105" s="43"/>
      <c r="DW105" s="47">
        <v>0</v>
      </c>
      <c r="DX105" s="43"/>
      <c r="EC105" s="47">
        <v>0</v>
      </c>
      <c r="ED105" s="43"/>
      <c r="EE105" s="42"/>
      <c r="EI105" s="47">
        <v>0</v>
      </c>
      <c r="EJ105" s="43"/>
      <c r="EO105" s="47">
        <v>0</v>
      </c>
      <c r="EP105" s="43"/>
      <c r="EQ105" s="42"/>
      <c r="EU105" s="47">
        <v>0</v>
      </c>
      <c r="EV105" s="43"/>
      <c r="EW105" s="42"/>
      <c r="FC105" s="47">
        <v>0</v>
      </c>
      <c r="FD105" s="43"/>
      <c r="FE105" s="42"/>
      <c r="FI105" s="47">
        <v>0</v>
      </c>
      <c r="FJ105" s="43"/>
      <c r="FQ105" s="47">
        <v>0</v>
      </c>
      <c r="FR105" s="43"/>
      <c r="FS105" s="42"/>
      <c r="FW105" s="47">
        <v>0</v>
      </c>
      <c r="FX105" s="43"/>
      <c r="FY105" s="42"/>
      <c r="GC105" s="47">
        <v>0</v>
      </c>
      <c r="GD105" s="43"/>
      <c r="GE105" s="42"/>
      <c r="GI105" s="47">
        <v>0</v>
      </c>
      <c r="GJ105" s="43"/>
      <c r="GQ105" s="47">
        <v>0</v>
      </c>
      <c r="GR105" s="43"/>
      <c r="GX105" s="47">
        <v>0</v>
      </c>
      <c r="GY105" s="43"/>
      <c r="GZ105" s="42"/>
      <c r="HC105" s="47">
        <v>0</v>
      </c>
      <c r="HD105" s="43"/>
      <c r="HE105" s="42"/>
      <c r="HH105" s="47">
        <v>0</v>
      </c>
      <c r="HI105" s="43"/>
      <c r="HN105" s="47">
        <v>0</v>
      </c>
      <c r="HO105" s="43"/>
      <c r="HP105" s="42"/>
      <c r="HU105" s="47">
        <v>0</v>
      </c>
      <c r="HV105" s="43"/>
      <c r="IA105" s="47">
        <v>0</v>
      </c>
      <c r="IB105" s="43"/>
      <c r="IC105" s="42"/>
      <c r="IG105" s="47">
        <v>0</v>
      </c>
      <c r="IH105" s="43"/>
      <c r="IM105" s="47">
        <v>0</v>
      </c>
      <c r="IN105" s="43"/>
      <c r="IO105" s="42"/>
      <c r="IQ105" s="47">
        <v>0</v>
      </c>
      <c r="IR105" s="43"/>
      <c r="IS105" s="42"/>
      <c r="IW105" s="47">
        <v>0</v>
      </c>
      <c r="IX105" s="43"/>
      <c r="IY105" s="42"/>
      <c r="JA105" s="47">
        <v>0</v>
      </c>
      <c r="JB105" s="43"/>
      <c r="JC105" s="42"/>
      <c r="JG105" s="47">
        <v>0</v>
      </c>
      <c r="JH105" s="43"/>
      <c r="JO105" s="47">
        <v>0</v>
      </c>
      <c r="JP105" s="43"/>
      <c r="JQ105" s="42"/>
      <c r="JU105" s="47">
        <v>0</v>
      </c>
      <c r="JV105" s="43"/>
      <c r="KA105" s="47">
        <v>0</v>
      </c>
      <c r="KB105" s="45"/>
      <c r="KG105" s="47">
        <v>0</v>
      </c>
      <c r="KH105" s="45"/>
      <c r="KM105" s="47">
        <v>0</v>
      </c>
      <c r="KN105" s="45"/>
      <c r="KS105" s="47">
        <v>0</v>
      </c>
      <c r="KT105" s="43"/>
      <c r="KW105" s="47">
        <v>0</v>
      </c>
      <c r="KX105" s="45"/>
      <c r="LC105" s="47">
        <v>0</v>
      </c>
      <c r="LD105" s="43"/>
      <c r="LE105" s="46"/>
      <c r="LG105" s="47">
        <v>0</v>
      </c>
      <c r="LH105" s="45"/>
      <c r="LM105" s="47">
        <v>0</v>
      </c>
      <c r="LN105" s="45"/>
      <c r="LS105" s="47">
        <v>0</v>
      </c>
      <c r="LT105" s="45"/>
      <c r="LY105" s="47">
        <v>0</v>
      </c>
      <c r="LZ105" s="45"/>
      <c r="ME105" s="47">
        <v>0</v>
      </c>
      <c r="MF105" s="45"/>
      <c r="MG105" s="46"/>
      <c r="MM105" s="47">
        <v>0</v>
      </c>
      <c r="MN105" s="45"/>
      <c r="MO105" s="44">
        <v>0</v>
      </c>
      <c r="MP105" s="44">
        <v>0</v>
      </c>
      <c r="MQ105" s="44">
        <v>0</v>
      </c>
      <c r="MR105" s="44">
        <v>0</v>
      </c>
      <c r="MS105" s="47">
        <v>0</v>
      </c>
      <c r="MT105" s="45"/>
      <c r="MU105" s="44">
        <v>0</v>
      </c>
      <c r="MV105" s="44">
        <v>0</v>
      </c>
      <c r="MW105" s="44">
        <v>0</v>
      </c>
      <c r="MX105" s="44">
        <v>0</v>
      </c>
      <c r="MY105" s="47">
        <v>0</v>
      </c>
      <c r="MZ105" s="45"/>
      <c r="NA105" s="46">
        <v>0</v>
      </c>
      <c r="NB105" s="44">
        <v>0</v>
      </c>
      <c r="NC105" s="47">
        <v>0</v>
      </c>
      <c r="ND105" s="45"/>
      <c r="NE105" s="46">
        <v>0</v>
      </c>
      <c r="NF105" s="44">
        <v>0</v>
      </c>
      <c r="NG105" s="44">
        <v>0</v>
      </c>
      <c r="NH105" s="44">
        <v>0</v>
      </c>
      <c r="NI105" s="44">
        <v>0</v>
      </c>
      <c r="NJ105" s="47">
        <v>0</v>
      </c>
      <c r="NK105" s="45"/>
      <c r="NL105" s="46">
        <v>0</v>
      </c>
      <c r="NM105" s="44">
        <v>0</v>
      </c>
      <c r="NN105" s="44">
        <v>0</v>
      </c>
      <c r="NO105" s="44">
        <v>0</v>
      </c>
      <c r="NP105" s="47">
        <v>0</v>
      </c>
      <c r="NQ105" s="45"/>
      <c r="NR105" s="46">
        <v>0</v>
      </c>
      <c r="NS105" s="44">
        <v>0</v>
      </c>
      <c r="NT105" s="47">
        <v>0</v>
      </c>
      <c r="NU105" s="45"/>
      <c r="NV105" s="46">
        <v>0</v>
      </c>
      <c r="NW105" s="44">
        <v>0</v>
      </c>
      <c r="NX105" s="44">
        <v>0</v>
      </c>
      <c r="NY105" s="44">
        <v>0</v>
      </c>
      <c r="NZ105" s="47">
        <v>0</v>
      </c>
      <c r="OA105" s="45"/>
      <c r="OB105" s="46">
        <v>0</v>
      </c>
      <c r="OC105" s="44">
        <v>0</v>
      </c>
      <c r="OD105" s="47">
        <v>0</v>
      </c>
      <c r="OE105" s="45"/>
      <c r="OF105" s="46">
        <v>0</v>
      </c>
      <c r="OG105" s="44">
        <v>0</v>
      </c>
      <c r="OH105" s="44">
        <v>0</v>
      </c>
      <c r="OI105" s="44">
        <v>0</v>
      </c>
      <c r="OJ105" s="47">
        <v>0</v>
      </c>
      <c r="OK105" s="45"/>
      <c r="OL105" s="44">
        <v>0</v>
      </c>
      <c r="OM105" s="43"/>
      <c r="ON105" s="44">
        <v>0</v>
      </c>
      <c r="OO105" s="44">
        <v>0</v>
      </c>
      <c r="OP105" s="47">
        <v>0</v>
      </c>
      <c r="OQ105" s="45"/>
      <c r="OR105" s="46">
        <v>0</v>
      </c>
      <c r="OS105" s="44">
        <v>0</v>
      </c>
      <c r="OT105" s="44">
        <v>0</v>
      </c>
      <c r="OU105" s="44">
        <v>0</v>
      </c>
      <c r="OV105" s="47">
        <v>0</v>
      </c>
      <c r="OW105" s="45"/>
      <c r="OX105" s="46">
        <v>0</v>
      </c>
      <c r="OY105" s="44">
        <v>0</v>
      </c>
      <c r="OZ105" s="44">
        <v>0</v>
      </c>
      <c r="PA105" s="44">
        <v>0</v>
      </c>
      <c r="PB105" s="47">
        <v>0</v>
      </c>
      <c r="PC105" s="45"/>
      <c r="PD105" s="46">
        <v>0</v>
      </c>
      <c r="PE105" s="44">
        <v>0</v>
      </c>
      <c r="PF105" s="44">
        <v>0</v>
      </c>
      <c r="PG105" s="44">
        <v>0</v>
      </c>
      <c r="PH105" s="47">
        <v>0</v>
      </c>
      <c r="PI105" s="45"/>
      <c r="PJ105" s="46">
        <v>0</v>
      </c>
      <c r="PK105" s="44">
        <v>0</v>
      </c>
      <c r="PL105" s="44">
        <v>0</v>
      </c>
      <c r="PM105" s="44">
        <v>0</v>
      </c>
      <c r="PN105" s="47">
        <v>0</v>
      </c>
      <c r="PO105" s="45"/>
      <c r="PP105" s="46">
        <v>0</v>
      </c>
      <c r="PQ105" s="44">
        <v>0</v>
      </c>
      <c r="PR105" s="44">
        <v>0</v>
      </c>
      <c r="PS105" s="44">
        <v>0</v>
      </c>
      <c r="PT105" s="47">
        <v>0</v>
      </c>
      <c r="PU105" s="45"/>
      <c r="PV105" s="46">
        <v>0</v>
      </c>
      <c r="PW105" s="44">
        <v>0</v>
      </c>
      <c r="PX105" s="47">
        <v>0</v>
      </c>
      <c r="PY105" s="45"/>
      <c r="PZ105" s="46">
        <v>0</v>
      </c>
      <c r="QA105" s="44">
        <v>0</v>
      </c>
      <c r="QB105" s="47">
        <v>0</v>
      </c>
      <c r="QC105" s="45"/>
      <c r="QD105" s="46">
        <v>0</v>
      </c>
      <c r="QE105" s="44">
        <v>0</v>
      </c>
      <c r="QF105" s="44">
        <v>0</v>
      </c>
      <c r="QG105" s="44">
        <v>0</v>
      </c>
      <c r="QH105" s="47">
        <v>0</v>
      </c>
      <c r="QI105" s="45"/>
      <c r="QJ105" s="46">
        <v>0</v>
      </c>
      <c r="QK105" s="44">
        <v>0</v>
      </c>
      <c r="QL105" s="47">
        <v>0</v>
      </c>
      <c r="QM105" s="45"/>
      <c r="QN105" s="46">
        <v>0</v>
      </c>
      <c r="QO105" s="44">
        <v>0</v>
      </c>
      <c r="QP105" s="44">
        <v>0</v>
      </c>
      <c r="QQ105" s="44">
        <v>0</v>
      </c>
      <c r="QR105" s="47">
        <v>0</v>
      </c>
      <c r="QS105" s="45"/>
      <c r="QT105" s="46">
        <v>0</v>
      </c>
      <c r="QU105" s="44">
        <v>0</v>
      </c>
      <c r="QV105" s="47">
        <v>0</v>
      </c>
      <c r="QW105" s="45"/>
      <c r="QX105" s="46">
        <v>0</v>
      </c>
      <c r="QY105" s="44">
        <v>0</v>
      </c>
      <c r="QZ105" s="44">
        <v>0</v>
      </c>
      <c r="RA105" s="44">
        <v>0</v>
      </c>
      <c r="RB105" s="47">
        <v>0</v>
      </c>
      <c r="RC105" s="45"/>
      <c r="RD105" s="42">
        <v>0</v>
      </c>
      <c r="RE105" s="44">
        <v>0</v>
      </c>
      <c r="RF105" s="44">
        <v>0</v>
      </c>
      <c r="RG105" s="17">
        <v>242</v>
      </c>
      <c r="RH105" s="47">
        <v>-2.8149999999999982</v>
      </c>
      <c r="RI105" s="45"/>
      <c r="RJ105" s="42">
        <v>0</v>
      </c>
      <c r="RK105" s="47">
        <v>0</v>
      </c>
      <c r="RL105" s="47">
        <v>0</v>
      </c>
      <c r="RM105" s="47">
        <v>0</v>
      </c>
      <c r="RN105" s="47">
        <v>0</v>
      </c>
      <c r="RO105" s="43"/>
      <c r="RP105" s="42">
        <v>150.095</v>
      </c>
      <c r="RQ105" s="47">
        <v>150</v>
      </c>
      <c r="RR105" s="47">
        <v>9.4999999999998863E-2</v>
      </c>
      <c r="RS105" s="43"/>
      <c r="RT105" s="42">
        <v>0</v>
      </c>
      <c r="RU105" s="47">
        <v>0</v>
      </c>
      <c r="RV105" s="47">
        <v>0</v>
      </c>
      <c r="RW105" s="47">
        <v>0</v>
      </c>
      <c r="RX105" s="47">
        <v>0</v>
      </c>
      <c r="RY105" s="43"/>
      <c r="RZ105" s="42">
        <v>100.95</v>
      </c>
      <c r="SA105" s="47">
        <v>100</v>
      </c>
      <c r="SB105" s="47">
        <v>142.80000000000001</v>
      </c>
      <c r="SC105" s="47">
        <v>150</v>
      </c>
      <c r="SD105" s="47">
        <v>-6.25</v>
      </c>
      <c r="SE105" s="43"/>
      <c r="SF105" s="42">
        <v>41.945</v>
      </c>
      <c r="SG105" s="47">
        <v>44</v>
      </c>
      <c r="SH105" s="47">
        <v>149.62</v>
      </c>
      <c r="SI105" s="47">
        <v>50</v>
      </c>
      <c r="SJ105" s="47">
        <v>97.564999999999998</v>
      </c>
      <c r="SK105" s="43"/>
      <c r="SL105" s="42">
        <v>47.655000000000001</v>
      </c>
      <c r="SM105" s="47">
        <v>50</v>
      </c>
      <c r="SN105" s="47">
        <v>-2.3449999999999989</v>
      </c>
      <c r="SO105" s="43"/>
      <c r="SP105" s="42">
        <v>47.755000000000003</v>
      </c>
      <c r="SQ105" s="47">
        <v>100</v>
      </c>
      <c r="SR105" s="47">
        <v>193.672</v>
      </c>
      <c r="SS105" s="47">
        <v>193</v>
      </c>
      <c r="ST105" s="50">
        <v>-51.573000000000008</v>
      </c>
      <c r="SU105" s="43">
        <v>51.573000000000008</v>
      </c>
    </row>
    <row r="106" spans="1:515" x14ac:dyDescent="0.25">
      <c r="A106" s="47" t="s">
        <v>413</v>
      </c>
      <c r="B106" s="41">
        <v>0.4</v>
      </c>
      <c r="J106" s="42"/>
      <c r="K106" s="51"/>
      <c r="L106" s="51"/>
      <c r="M106" s="51"/>
      <c r="N106" s="51">
        <f t="shared" si="12"/>
        <v>0</v>
      </c>
      <c r="O106" s="43"/>
      <c r="P106" s="46"/>
      <c r="Q106" s="51"/>
      <c r="R106" s="51"/>
      <c r="S106" s="51"/>
      <c r="T106" s="51">
        <f t="shared" si="13"/>
        <v>0</v>
      </c>
      <c r="U106" s="43"/>
      <c r="V106" s="42"/>
      <c r="W106" s="51"/>
      <c r="X106" s="51"/>
      <c r="Y106" s="51"/>
      <c r="Z106" s="51">
        <f t="shared" si="14"/>
        <v>0</v>
      </c>
      <c r="AA106" s="43"/>
      <c r="AB106" s="42"/>
      <c r="AC106" s="51"/>
      <c r="AD106" s="51"/>
      <c r="AE106" s="51"/>
      <c r="AF106" s="51">
        <v>0</v>
      </c>
      <c r="AG106" s="43"/>
      <c r="AH106" s="51"/>
      <c r="AL106" s="47">
        <v>0</v>
      </c>
      <c r="AM106" s="43"/>
      <c r="AN106" s="42"/>
      <c r="AR106" s="47">
        <v>0</v>
      </c>
      <c r="AS106" s="43"/>
      <c r="AX106" s="47">
        <v>0</v>
      </c>
      <c r="AY106" s="43"/>
      <c r="BD106" s="47">
        <v>0</v>
      </c>
      <c r="BE106" s="43"/>
      <c r="BF106" s="42"/>
      <c r="BJ106" s="47">
        <v>0</v>
      </c>
      <c r="BK106" s="43"/>
      <c r="BL106" s="42"/>
      <c r="BP106" s="47">
        <v>0</v>
      </c>
      <c r="BQ106" s="43"/>
      <c r="BV106" s="47">
        <v>0</v>
      </c>
      <c r="BW106" s="43"/>
      <c r="BX106" s="42"/>
      <c r="CB106" s="47">
        <v>0</v>
      </c>
      <c r="CC106" s="43"/>
      <c r="CH106" s="47">
        <v>0</v>
      </c>
      <c r="CI106" s="43"/>
      <c r="CN106" s="47">
        <v>0</v>
      </c>
      <c r="CO106" s="43"/>
      <c r="CP106" s="42"/>
      <c r="CT106" s="47">
        <v>0</v>
      </c>
      <c r="CU106" s="43"/>
      <c r="CV106" s="42"/>
      <c r="CZ106" s="47">
        <v>0</v>
      </c>
      <c r="DA106" s="43"/>
      <c r="DG106" s="47">
        <v>0</v>
      </c>
      <c r="DH106" s="43"/>
      <c r="DK106" s="47">
        <v>0</v>
      </c>
      <c r="DL106" s="43"/>
      <c r="DM106" s="42"/>
      <c r="DQ106" s="47">
        <v>0</v>
      </c>
      <c r="DR106" s="43"/>
      <c r="DW106" s="47">
        <v>0</v>
      </c>
      <c r="DX106" s="43"/>
      <c r="EC106" s="47">
        <v>0</v>
      </c>
      <c r="ED106" s="43"/>
      <c r="EE106" s="42"/>
      <c r="EI106" s="47">
        <v>0</v>
      </c>
      <c r="EJ106" s="43"/>
      <c r="EO106" s="47">
        <v>0</v>
      </c>
      <c r="EP106" s="43"/>
      <c r="EQ106" s="42"/>
      <c r="EU106" s="47">
        <v>0</v>
      </c>
      <c r="EV106" s="43"/>
      <c r="EW106" s="42"/>
      <c r="FA106">
        <v>56</v>
      </c>
      <c r="FB106">
        <v>56</v>
      </c>
      <c r="FC106" s="47">
        <v>0</v>
      </c>
      <c r="FD106" s="43"/>
      <c r="FE106" s="42"/>
      <c r="FG106">
        <v>98</v>
      </c>
      <c r="FH106">
        <v>100</v>
      </c>
      <c r="FI106" s="47">
        <v>-2</v>
      </c>
      <c r="FJ106" s="43"/>
      <c r="FM106">
        <v>63</v>
      </c>
      <c r="FN106">
        <v>63</v>
      </c>
      <c r="FQ106" s="47">
        <v>0</v>
      </c>
      <c r="FR106" s="43"/>
      <c r="FS106" s="42"/>
      <c r="FW106" s="47">
        <v>0</v>
      </c>
      <c r="FX106" s="43"/>
      <c r="FY106" s="42"/>
      <c r="GA106">
        <v>147</v>
      </c>
      <c r="GB106">
        <v>150</v>
      </c>
      <c r="GC106" s="47">
        <v>-3</v>
      </c>
      <c r="GD106" s="43"/>
      <c r="GE106" s="42"/>
      <c r="GG106">
        <v>7</v>
      </c>
      <c r="GH106">
        <v>7</v>
      </c>
      <c r="GI106" s="47">
        <v>0</v>
      </c>
      <c r="GJ106" s="43"/>
      <c r="GM106">
        <v>35</v>
      </c>
      <c r="GN106">
        <v>35</v>
      </c>
      <c r="GO106">
        <v>42</v>
      </c>
      <c r="GP106">
        <v>45</v>
      </c>
      <c r="GQ106" s="47">
        <v>-3</v>
      </c>
      <c r="GR106" s="43"/>
      <c r="GU106">
        <v>28</v>
      </c>
      <c r="GW106">
        <v>28</v>
      </c>
      <c r="GX106" s="47">
        <v>0</v>
      </c>
      <c r="GY106" s="43"/>
      <c r="GZ106" s="40">
        <v>35</v>
      </c>
      <c r="HB106" s="44">
        <v>37.200000000000003</v>
      </c>
      <c r="HC106" s="47">
        <v>-2.2000000000000028</v>
      </c>
      <c r="HD106" s="43"/>
      <c r="HE106" s="40">
        <v>63</v>
      </c>
      <c r="HG106">
        <v>62</v>
      </c>
      <c r="HH106" s="47">
        <v>1</v>
      </c>
      <c r="HI106" s="43"/>
      <c r="HN106" s="47">
        <v>0</v>
      </c>
      <c r="HO106" s="43"/>
      <c r="HP106" s="42"/>
      <c r="HS106">
        <v>49</v>
      </c>
      <c r="HT106">
        <v>49</v>
      </c>
      <c r="HU106" s="47">
        <v>0</v>
      </c>
      <c r="HV106" s="43"/>
      <c r="IA106" s="47">
        <v>0</v>
      </c>
      <c r="IB106" s="43"/>
      <c r="IC106" s="42"/>
      <c r="IE106">
        <v>49</v>
      </c>
      <c r="IF106">
        <v>49</v>
      </c>
      <c r="IG106" s="47">
        <v>0</v>
      </c>
      <c r="IH106" s="43"/>
      <c r="IK106">
        <v>49</v>
      </c>
      <c r="IL106">
        <v>50</v>
      </c>
      <c r="IM106" s="47">
        <v>-1</v>
      </c>
      <c r="IN106" s="43"/>
      <c r="IO106" s="40">
        <v>21</v>
      </c>
      <c r="IP106" s="44">
        <v>22</v>
      </c>
      <c r="IQ106" s="47">
        <v>-1</v>
      </c>
      <c r="IR106" s="43"/>
      <c r="IS106" s="42"/>
      <c r="IW106" s="47">
        <v>0</v>
      </c>
      <c r="IX106" s="43"/>
      <c r="IY106" s="40">
        <v>77</v>
      </c>
      <c r="IZ106">
        <v>80</v>
      </c>
      <c r="JA106" s="47">
        <v>-3</v>
      </c>
      <c r="JB106" s="43"/>
      <c r="JC106" s="42"/>
      <c r="JG106" s="47">
        <v>0</v>
      </c>
      <c r="JH106" s="43"/>
      <c r="JM106">
        <v>70</v>
      </c>
      <c r="JN106">
        <v>70</v>
      </c>
      <c r="JO106" s="47">
        <v>0</v>
      </c>
      <c r="JP106" s="43"/>
      <c r="JQ106" s="42"/>
      <c r="JS106">
        <v>77</v>
      </c>
      <c r="JT106">
        <v>77</v>
      </c>
      <c r="JU106" s="47">
        <v>0</v>
      </c>
      <c r="JV106" s="43"/>
      <c r="KA106" s="47">
        <v>0</v>
      </c>
      <c r="KB106" s="45"/>
      <c r="KE106">
        <v>119</v>
      </c>
      <c r="KF106">
        <v>120</v>
      </c>
      <c r="KG106" s="47">
        <v>-1</v>
      </c>
      <c r="KH106" s="45"/>
      <c r="KI106">
        <v>49</v>
      </c>
      <c r="KJ106">
        <v>50</v>
      </c>
      <c r="KM106" s="47">
        <v>-1</v>
      </c>
      <c r="KN106" s="45"/>
      <c r="KO106">
        <v>49</v>
      </c>
      <c r="KP106">
        <v>49</v>
      </c>
      <c r="KQ106">
        <v>42</v>
      </c>
      <c r="KR106">
        <v>42</v>
      </c>
      <c r="KS106" s="47">
        <v>0</v>
      </c>
      <c r="KT106" s="43"/>
      <c r="KU106">
        <v>77</v>
      </c>
      <c r="KV106">
        <v>79</v>
      </c>
      <c r="KW106" s="47">
        <v>-2</v>
      </c>
      <c r="KX106" s="45"/>
      <c r="LA106">
        <v>63</v>
      </c>
      <c r="LB106">
        <v>64</v>
      </c>
      <c r="LC106" s="47">
        <v>-1</v>
      </c>
      <c r="LD106" s="43"/>
      <c r="LE106" s="46"/>
      <c r="LG106" s="47">
        <v>0</v>
      </c>
      <c r="LH106" s="45"/>
      <c r="LK106">
        <v>56</v>
      </c>
      <c r="LL106">
        <v>56</v>
      </c>
      <c r="LM106" s="47">
        <v>0</v>
      </c>
      <c r="LN106" s="45"/>
      <c r="LO106">
        <v>28</v>
      </c>
      <c r="LP106">
        <v>28</v>
      </c>
      <c r="LS106" s="47">
        <v>0</v>
      </c>
      <c r="LT106" s="45"/>
      <c r="LW106">
        <v>56</v>
      </c>
      <c r="LX106">
        <v>60</v>
      </c>
      <c r="LY106" s="47">
        <v>-4</v>
      </c>
      <c r="LZ106" s="45"/>
      <c r="MC106">
        <v>56</v>
      </c>
      <c r="MD106">
        <v>60</v>
      </c>
      <c r="ME106" s="47">
        <v>-4</v>
      </c>
      <c r="MF106" s="45"/>
      <c r="MG106" s="46"/>
      <c r="MI106">
        <v>63</v>
      </c>
      <c r="MJ106">
        <v>65</v>
      </c>
      <c r="MK106">
        <v>49</v>
      </c>
      <c r="ML106">
        <v>50</v>
      </c>
      <c r="MM106" s="47">
        <v>-3</v>
      </c>
      <c r="MN106" s="45"/>
      <c r="MO106" s="44">
        <v>0</v>
      </c>
      <c r="MP106" s="44">
        <v>0</v>
      </c>
      <c r="MQ106" s="44">
        <v>0</v>
      </c>
      <c r="MR106" s="44">
        <v>0</v>
      </c>
      <c r="MS106" s="47">
        <v>0</v>
      </c>
      <c r="MT106" s="45"/>
      <c r="MU106" s="44">
        <v>0</v>
      </c>
      <c r="MV106" s="44">
        <v>0</v>
      </c>
      <c r="MW106" s="44">
        <v>63</v>
      </c>
      <c r="MX106" s="44">
        <v>65</v>
      </c>
      <c r="MY106" s="47">
        <v>-2</v>
      </c>
      <c r="MZ106" s="45"/>
      <c r="NA106" s="46">
        <v>70</v>
      </c>
      <c r="NB106" s="44">
        <v>70</v>
      </c>
      <c r="NC106" s="47">
        <v>0</v>
      </c>
      <c r="ND106" s="45"/>
      <c r="NE106" s="46">
        <v>0</v>
      </c>
      <c r="NF106" s="44">
        <v>0</v>
      </c>
      <c r="NG106" s="44">
        <v>56</v>
      </c>
      <c r="NH106" s="44">
        <v>0</v>
      </c>
      <c r="NI106" s="44">
        <v>60</v>
      </c>
      <c r="NJ106" s="47">
        <v>-4</v>
      </c>
      <c r="NK106" s="45"/>
      <c r="NL106" s="46">
        <v>49</v>
      </c>
      <c r="NM106" s="44">
        <v>50</v>
      </c>
      <c r="NN106" s="44">
        <v>70</v>
      </c>
      <c r="NO106" s="44">
        <v>70</v>
      </c>
      <c r="NP106" s="47">
        <v>-1</v>
      </c>
      <c r="NQ106" s="45"/>
      <c r="NR106" s="46">
        <v>49</v>
      </c>
      <c r="NS106" s="44">
        <v>50</v>
      </c>
      <c r="NT106" s="47">
        <v>-1</v>
      </c>
      <c r="NU106" s="45"/>
      <c r="NV106" s="46">
        <v>0</v>
      </c>
      <c r="NW106" s="44">
        <v>0</v>
      </c>
      <c r="NX106" s="44">
        <v>84</v>
      </c>
      <c r="NY106" s="44">
        <v>85</v>
      </c>
      <c r="NZ106" s="47">
        <v>-1</v>
      </c>
      <c r="OA106" s="45"/>
      <c r="OB106" s="46">
        <v>42</v>
      </c>
      <c r="OC106" s="44">
        <v>40</v>
      </c>
      <c r="OD106" s="47">
        <v>2</v>
      </c>
      <c r="OE106" s="45"/>
      <c r="OF106" s="46">
        <v>0</v>
      </c>
      <c r="OG106" s="44">
        <v>0</v>
      </c>
      <c r="OH106" s="44">
        <v>105</v>
      </c>
      <c r="OI106" s="44">
        <v>104</v>
      </c>
      <c r="OJ106" s="47">
        <v>1</v>
      </c>
      <c r="OK106" s="45"/>
      <c r="OL106" s="44">
        <v>28</v>
      </c>
      <c r="OM106" s="43">
        <v>-11.2</v>
      </c>
      <c r="ON106" s="44">
        <v>0</v>
      </c>
      <c r="OO106" s="44">
        <v>30</v>
      </c>
      <c r="OP106" s="50">
        <v>-30</v>
      </c>
      <c r="OQ106" s="45">
        <v>12</v>
      </c>
      <c r="OR106" s="46">
        <v>0</v>
      </c>
      <c r="OS106" s="44">
        <v>0</v>
      </c>
      <c r="OT106" s="44">
        <v>70</v>
      </c>
      <c r="OU106" s="44">
        <v>70</v>
      </c>
      <c r="OV106" s="47">
        <v>0</v>
      </c>
      <c r="OW106" s="45"/>
      <c r="OX106" s="46">
        <v>0</v>
      </c>
      <c r="OY106" s="44">
        <v>0</v>
      </c>
      <c r="OZ106" s="44">
        <v>91</v>
      </c>
      <c r="PA106" s="44">
        <v>90</v>
      </c>
      <c r="PB106" s="47">
        <v>1</v>
      </c>
      <c r="PC106" s="45"/>
      <c r="PD106" s="46">
        <v>0</v>
      </c>
      <c r="PE106" s="44">
        <v>0</v>
      </c>
      <c r="PF106" s="44">
        <v>42</v>
      </c>
      <c r="PG106" s="44">
        <v>40</v>
      </c>
      <c r="PH106" s="47">
        <v>2</v>
      </c>
      <c r="PI106" s="45"/>
      <c r="PJ106" s="46">
        <v>0</v>
      </c>
      <c r="PK106" s="44">
        <v>0</v>
      </c>
      <c r="PL106" s="44">
        <v>28</v>
      </c>
      <c r="PM106" s="44">
        <v>30</v>
      </c>
      <c r="PN106" s="47">
        <v>-2</v>
      </c>
      <c r="PO106" s="45"/>
      <c r="PP106" s="46">
        <v>0</v>
      </c>
      <c r="PQ106" s="44">
        <v>0</v>
      </c>
      <c r="PR106" s="44">
        <v>56</v>
      </c>
      <c r="PS106" s="44">
        <v>60</v>
      </c>
      <c r="PT106" s="47">
        <v>-4</v>
      </c>
      <c r="PU106" s="45"/>
      <c r="PV106" s="46">
        <v>119</v>
      </c>
      <c r="PW106" s="44">
        <v>120</v>
      </c>
      <c r="PX106" s="47">
        <v>-1</v>
      </c>
      <c r="PY106" s="45"/>
      <c r="PZ106" s="46">
        <v>0</v>
      </c>
      <c r="QA106" s="44">
        <v>0</v>
      </c>
      <c r="QB106" s="47">
        <v>0</v>
      </c>
      <c r="QC106" s="45"/>
      <c r="QD106" s="46">
        <v>0</v>
      </c>
      <c r="QE106" s="44">
        <v>0</v>
      </c>
      <c r="QF106" s="44">
        <v>28</v>
      </c>
      <c r="QG106" s="44">
        <v>30</v>
      </c>
      <c r="QH106" s="47">
        <v>-2</v>
      </c>
      <c r="QI106" s="45"/>
      <c r="QJ106" s="46">
        <v>140</v>
      </c>
      <c r="QK106" s="44">
        <v>140</v>
      </c>
      <c r="QL106" s="47">
        <v>0</v>
      </c>
      <c r="QM106" s="45"/>
      <c r="QN106" s="46">
        <v>0</v>
      </c>
      <c r="QO106" s="44">
        <v>0</v>
      </c>
      <c r="QP106" s="44">
        <v>0</v>
      </c>
      <c r="QQ106" s="44">
        <v>0</v>
      </c>
      <c r="QR106" s="47">
        <v>0</v>
      </c>
      <c r="QS106" s="45"/>
      <c r="QT106" s="46">
        <v>42</v>
      </c>
      <c r="QU106" s="44">
        <v>40</v>
      </c>
      <c r="QV106" s="47">
        <v>2</v>
      </c>
      <c r="QW106" s="45"/>
      <c r="QX106" s="46"/>
      <c r="RC106" s="45"/>
      <c r="RD106" s="42"/>
      <c r="RE106" s="44"/>
      <c r="RG106" s="44"/>
      <c r="RI106" s="45"/>
      <c r="RJ106" s="42"/>
      <c r="RO106" s="43"/>
      <c r="RP106" s="42"/>
      <c r="RS106" s="43"/>
      <c r="RT106" s="42"/>
      <c r="RY106" s="43"/>
      <c r="RZ106" s="42"/>
      <c r="SE106" s="43"/>
      <c r="SF106" s="42"/>
      <c r="SK106" s="43"/>
      <c r="SL106" s="42"/>
      <c r="SO106" s="43"/>
      <c r="SP106" s="42"/>
      <c r="SU106" s="43"/>
    </row>
    <row r="107" spans="1:515" x14ac:dyDescent="0.25">
      <c r="A107" s="47" t="s">
        <v>414</v>
      </c>
      <c r="B107" s="41">
        <v>1</v>
      </c>
      <c r="J107" s="42"/>
      <c r="K107" s="51"/>
      <c r="L107" s="51"/>
      <c r="M107" s="51"/>
      <c r="N107" s="51">
        <f t="shared" si="12"/>
        <v>0</v>
      </c>
      <c r="O107" s="43"/>
      <c r="P107" s="46"/>
      <c r="Q107" s="51"/>
      <c r="R107" s="51"/>
      <c r="S107" s="51"/>
      <c r="T107" s="51">
        <f t="shared" si="13"/>
        <v>0</v>
      </c>
      <c r="U107" s="43"/>
      <c r="V107" s="42"/>
      <c r="W107" s="51"/>
      <c r="X107" s="51"/>
      <c r="Y107" s="51"/>
      <c r="Z107" s="51">
        <f t="shared" si="14"/>
        <v>0</v>
      </c>
      <c r="AA107" s="43"/>
      <c r="AB107" s="42"/>
      <c r="AC107" s="51"/>
      <c r="AD107" s="51"/>
      <c r="AE107" s="51"/>
      <c r="AF107" s="51">
        <v>0</v>
      </c>
      <c r="AG107" s="43"/>
      <c r="AH107" s="51"/>
      <c r="AL107" s="47">
        <v>0</v>
      </c>
      <c r="AM107" s="43"/>
      <c r="AN107" s="42"/>
      <c r="AR107" s="47">
        <v>0</v>
      </c>
      <c r="AS107" s="43"/>
      <c r="AX107" s="47">
        <v>0</v>
      </c>
      <c r="AY107" s="43"/>
      <c r="BD107" s="47">
        <v>0</v>
      </c>
      <c r="BE107" s="43"/>
      <c r="BF107" s="42"/>
      <c r="BJ107" s="47">
        <v>0</v>
      </c>
      <c r="BK107" s="43"/>
      <c r="BL107" s="42"/>
      <c r="BP107" s="47">
        <v>0</v>
      </c>
      <c r="BQ107" s="43"/>
      <c r="BV107" s="47">
        <v>0</v>
      </c>
      <c r="BW107" s="43"/>
      <c r="BX107" s="42"/>
      <c r="CB107" s="47">
        <v>0</v>
      </c>
      <c r="CC107" s="43"/>
      <c r="CH107" s="47">
        <v>0</v>
      </c>
      <c r="CI107" s="43"/>
      <c r="CN107" s="47">
        <v>0</v>
      </c>
      <c r="CO107" s="43"/>
      <c r="CP107" s="42"/>
      <c r="CT107" s="47">
        <v>0</v>
      </c>
      <c r="CU107" s="43"/>
      <c r="CV107" s="42"/>
      <c r="CZ107" s="47">
        <v>0</v>
      </c>
      <c r="DA107" s="43"/>
      <c r="DG107" s="47">
        <v>0</v>
      </c>
      <c r="DH107" s="43"/>
      <c r="DK107" s="47">
        <v>0</v>
      </c>
      <c r="DL107" s="43"/>
      <c r="DM107" s="42"/>
      <c r="DQ107" s="47">
        <v>0</v>
      </c>
      <c r="DR107" s="43"/>
      <c r="DW107" s="47">
        <v>0</v>
      </c>
      <c r="DX107" s="43"/>
      <c r="EC107" s="47">
        <v>0</v>
      </c>
      <c r="ED107" s="43"/>
      <c r="EE107" s="42"/>
      <c r="EI107" s="47">
        <v>0</v>
      </c>
      <c r="EJ107" s="43"/>
      <c r="EO107" s="47">
        <v>0</v>
      </c>
      <c r="EP107" s="43"/>
      <c r="EQ107" s="42"/>
      <c r="EU107" s="47">
        <v>0</v>
      </c>
      <c r="EV107" s="43"/>
      <c r="EW107" s="42"/>
      <c r="FC107" s="47">
        <v>0</v>
      </c>
      <c r="FD107" s="43"/>
      <c r="FE107" s="42"/>
      <c r="FI107" s="47">
        <v>0</v>
      </c>
      <c r="FJ107" s="43"/>
      <c r="FQ107" s="47">
        <v>0</v>
      </c>
      <c r="FR107" s="43"/>
      <c r="FS107" s="42"/>
      <c r="FW107" s="47">
        <v>0</v>
      </c>
      <c r="FX107" s="43"/>
      <c r="FY107" s="42"/>
      <c r="GC107" s="47">
        <v>0</v>
      </c>
      <c r="GD107" s="43"/>
      <c r="GE107" s="42"/>
      <c r="GI107" s="47">
        <v>0</v>
      </c>
      <c r="GJ107" s="43"/>
      <c r="GQ107" s="47">
        <v>0</v>
      </c>
      <c r="GR107" s="43"/>
      <c r="GX107" s="47">
        <v>0</v>
      </c>
      <c r="GY107" s="43"/>
      <c r="GZ107" s="42"/>
      <c r="HC107" s="47">
        <v>0</v>
      </c>
      <c r="HD107" s="43"/>
      <c r="HE107" s="40">
        <v>9</v>
      </c>
      <c r="HG107">
        <v>8</v>
      </c>
      <c r="HH107" s="47">
        <v>1</v>
      </c>
      <c r="HI107" s="43"/>
      <c r="HN107" s="47">
        <v>0</v>
      </c>
      <c r="HO107" s="43"/>
      <c r="HP107" s="42"/>
      <c r="HU107" s="47">
        <v>0</v>
      </c>
      <c r="HV107" s="43"/>
      <c r="HY107">
        <v>8</v>
      </c>
      <c r="HZ107">
        <v>8</v>
      </c>
      <c r="IA107" s="47">
        <v>0</v>
      </c>
      <c r="IB107" s="43"/>
      <c r="IC107" s="42"/>
      <c r="IG107" s="47">
        <v>0</v>
      </c>
      <c r="IH107" s="43"/>
      <c r="IM107" s="47">
        <v>0</v>
      </c>
      <c r="IN107" s="43"/>
      <c r="IO107" s="42"/>
      <c r="IQ107" s="47">
        <v>0</v>
      </c>
      <c r="IR107" s="43"/>
      <c r="IS107" s="42"/>
      <c r="IW107" s="47">
        <v>0</v>
      </c>
      <c r="IX107" s="43"/>
      <c r="IY107" s="40">
        <v>4</v>
      </c>
      <c r="IZ107">
        <v>4</v>
      </c>
      <c r="JA107" s="47">
        <v>0</v>
      </c>
      <c r="JB107" s="43"/>
      <c r="JC107" s="42"/>
      <c r="JE107">
        <v>8</v>
      </c>
      <c r="JF107">
        <v>8</v>
      </c>
      <c r="JG107" s="47">
        <v>0</v>
      </c>
      <c r="JH107" s="43"/>
      <c r="JO107" s="47">
        <v>0</v>
      </c>
      <c r="JP107" s="43"/>
      <c r="JQ107" s="42"/>
      <c r="JS107">
        <v>8</v>
      </c>
      <c r="JT107">
        <v>9</v>
      </c>
      <c r="JU107" s="47">
        <v>-1</v>
      </c>
      <c r="JV107" s="43"/>
      <c r="KA107" s="47">
        <v>0</v>
      </c>
      <c r="KB107" s="45"/>
      <c r="KE107">
        <v>4</v>
      </c>
      <c r="KF107">
        <v>4</v>
      </c>
      <c r="KG107" s="47">
        <v>0</v>
      </c>
      <c r="KH107" s="45"/>
      <c r="KM107" s="47">
        <v>0</v>
      </c>
      <c r="KN107" s="45"/>
      <c r="KP107">
        <v>4</v>
      </c>
      <c r="KS107" s="47">
        <v>-4</v>
      </c>
      <c r="KT107" s="43"/>
      <c r="KU107">
        <v>8</v>
      </c>
      <c r="KV107">
        <v>8</v>
      </c>
      <c r="KW107" s="47">
        <v>0</v>
      </c>
      <c r="KX107" s="45"/>
      <c r="LA107">
        <v>4</v>
      </c>
      <c r="LB107">
        <v>4</v>
      </c>
      <c r="LC107" s="47">
        <v>0</v>
      </c>
      <c r="LD107" s="43"/>
      <c r="LE107" s="46"/>
      <c r="LG107" s="47">
        <v>0</v>
      </c>
      <c r="LH107" s="45"/>
      <c r="LM107" s="47">
        <v>0</v>
      </c>
      <c r="LN107" s="45"/>
      <c r="LS107" s="47">
        <v>0</v>
      </c>
      <c r="LT107" s="45"/>
      <c r="LW107">
        <v>13</v>
      </c>
      <c r="LX107">
        <v>12</v>
      </c>
      <c r="LY107" s="47">
        <v>1</v>
      </c>
      <c r="LZ107" s="45"/>
      <c r="ME107" s="47">
        <v>0</v>
      </c>
      <c r="MF107" s="45"/>
      <c r="MG107" s="46"/>
      <c r="ML107">
        <v>10</v>
      </c>
      <c r="MM107" s="50">
        <v>-10</v>
      </c>
      <c r="MN107" s="45">
        <v>10</v>
      </c>
      <c r="MO107" s="44">
        <v>0</v>
      </c>
      <c r="MP107" s="44">
        <v>0</v>
      </c>
      <c r="MQ107" s="44">
        <v>0</v>
      </c>
      <c r="MR107" s="44">
        <v>0</v>
      </c>
      <c r="MS107" s="47">
        <v>0</v>
      </c>
      <c r="MT107" s="45"/>
      <c r="MU107" s="44">
        <v>0</v>
      </c>
      <c r="MV107" s="44">
        <v>0</v>
      </c>
      <c r="MW107" s="44">
        <v>0</v>
      </c>
      <c r="MX107" s="44">
        <v>0</v>
      </c>
      <c r="MY107" s="47">
        <v>0</v>
      </c>
      <c r="MZ107" s="45"/>
      <c r="NA107" s="46">
        <v>0</v>
      </c>
      <c r="NB107" s="44">
        <v>0</v>
      </c>
      <c r="NC107" s="47">
        <v>0</v>
      </c>
      <c r="ND107" s="45"/>
      <c r="NE107" s="46">
        <v>0</v>
      </c>
      <c r="NF107" s="44">
        <v>0</v>
      </c>
      <c r="NG107" s="44">
        <v>0</v>
      </c>
      <c r="NH107" s="44">
        <v>0</v>
      </c>
      <c r="NI107" s="44">
        <v>0</v>
      </c>
      <c r="NJ107" s="47">
        <v>0</v>
      </c>
      <c r="NK107" s="45"/>
      <c r="NL107" s="46">
        <v>8.1690000000000005</v>
      </c>
      <c r="NM107" s="44">
        <v>8</v>
      </c>
      <c r="NN107" s="44">
        <v>0</v>
      </c>
      <c r="NO107" s="44">
        <v>0</v>
      </c>
      <c r="NP107" s="47">
        <v>0.16900000000000051</v>
      </c>
      <c r="NQ107" s="45"/>
      <c r="NR107" s="46">
        <v>42.999000000000002</v>
      </c>
      <c r="NS107" s="44">
        <v>40</v>
      </c>
      <c r="NT107" s="47">
        <v>2.9990000000000019</v>
      </c>
      <c r="NU107" s="45"/>
      <c r="NV107" s="46">
        <v>0</v>
      </c>
      <c r="NW107" s="44">
        <v>0</v>
      </c>
      <c r="NX107" s="44">
        <v>0</v>
      </c>
      <c r="NY107" s="33">
        <v>4</v>
      </c>
      <c r="NZ107" s="47">
        <v>-4</v>
      </c>
      <c r="OA107" s="45"/>
      <c r="OB107" s="46">
        <v>0</v>
      </c>
      <c r="OC107" s="44">
        <v>0</v>
      </c>
      <c r="OD107" s="47">
        <v>0</v>
      </c>
      <c r="OE107" s="45"/>
      <c r="OF107" s="46">
        <v>0</v>
      </c>
      <c r="OG107" s="44">
        <v>0</v>
      </c>
      <c r="OH107" s="44">
        <v>0</v>
      </c>
      <c r="OI107" s="44">
        <v>0</v>
      </c>
      <c r="OJ107" s="47">
        <v>0</v>
      </c>
      <c r="OK107" s="45"/>
      <c r="OL107" s="44">
        <v>0</v>
      </c>
      <c r="OM107" s="43"/>
      <c r="ON107" s="44">
        <v>0</v>
      </c>
      <c r="OO107" s="44">
        <v>0</v>
      </c>
      <c r="OP107" s="47">
        <v>0</v>
      </c>
      <c r="OQ107" s="45"/>
      <c r="OR107" s="46">
        <v>0</v>
      </c>
      <c r="OS107" s="44">
        <v>0</v>
      </c>
      <c r="OT107" s="44">
        <v>0</v>
      </c>
      <c r="OU107" s="44">
        <v>0</v>
      </c>
      <c r="OV107" s="47">
        <v>0</v>
      </c>
      <c r="OW107" s="45"/>
      <c r="OX107" s="46">
        <v>0</v>
      </c>
      <c r="OY107" s="44">
        <v>0</v>
      </c>
      <c r="OZ107" s="44">
        <v>74.995000000000005</v>
      </c>
      <c r="PA107" s="44">
        <v>75</v>
      </c>
      <c r="PB107" s="47">
        <v>-4.9999999999954534E-3</v>
      </c>
      <c r="PC107" s="45"/>
      <c r="PD107" s="46">
        <v>0</v>
      </c>
      <c r="PE107" s="44">
        <v>0</v>
      </c>
      <c r="PF107" s="44">
        <v>20.327999999999999</v>
      </c>
      <c r="PG107" s="44">
        <v>20</v>
      </c>
      <c r="PH107" s="47">
        <v>0.3279999999999994</v>
      </c>
      <c r="PI107" s="45"/>
      <c r="PJ107" s="46">
        <v>0</v>
      </c>
      <c r="PK107" s="44">
        <v>0</v>
      </c>
      <c r="PL107" s="44">
        <v>12.938000000000001</v>
      </c>
      <c r="PM107" s="44">
        <v>10</v>
      </c>
      <c r="PN107" s="47">
        <v>2.9380000000000011</v>
      </c>
      <c r="PO107" s="45"/>
      <c r="PP107" s="46">
        <v>0</v>
      </c>
      <c r="PQ107" s="44">
        <v>0</v>
      </c>
      <c r="PR107" s="44">
        <v>41.036999999999999</v>
      </c>
      <c r="PS107" s="44">
        <v>40</v>
      </c>
      <c r="PT107" s="47">
        <v>1.036999999999999</v>
      </c>
      <c r="PU107" s="45"/>
      <c r="PV107" s="46">
        <v>34.07</v>
      </c>
      <c r="PW107" s="44">
        <v>35</v>
      </c>
      <c r="PX107" s="47">
        <v>-0.92999999999999972</v>
      </c>
      <c r="PY107" s="45"/>
      <c r="PZ107" s="46">
        <v>0</v>
      </c>
      <c r="QA107" s="44">
        <v>0</v>
      </c>
      <c r="QB107" s="47">
        <v>0</v>
      </c>
      <c r="QC107" s="45"/>
      <c r="QD107" s="46">
        <v>0</v>
      </c>
      <c r="QE107" s="44">
        <v>0</v>
      </c>
      <c r="QF107" s="44">
        <v>62.451999999999998</v>
      </c>
      <c r="QG107" s="44">
        <v>62.307000000000002</v>
      </c>
      <c r="QH107" s="47">
        <v>0.14499999999999599</v>
      </c>
      <c r="QI107" s="45"/>
      <c r="QJ107" s="46">
        <v>8.2070000000000007</v>
      </c>
      <c r="QK107" s="44">
        <v>10</v>
      </c>
      <c r="QL107" s="47">
        <v>-1.792999999999999</v>
      </c>
      <c r="QM107" s="45"/>
      <c r="QN107" s="46">
        <v>0</v>
      </c>
      <c r="QO107" s="44">
        <v>0</v>
      </c>
      <c r="QP107" s="44">
        <v>0</v>
      </c>
      <c r="QQ107" s="44">
        <v>0</v>
      </c>
      <c r="QR107" s="47">
        <v>0</v>
      </c>
      <c r="QS107" s="45"/>
      <c r="QT107" s="46">
        <v>0</v>
      </c>
      <c r="QU107" s="44">
        <v>0</v>
      </c>
      <c r="QV107" s="47">
        <v>0</v>
      </c>
      <c r="QW107" s="45"/>
      <c r="QX107" s="46">
        <v>0</v>
      </c>
      <c r="QY107" s="44">
        <v>0</v>
      </c>
      <c r="QZ107" s="44">
        <v>64.593000000000004</v>
      </c>
      <c r="RA107" s="44">
        <v>65</v>
      </c>
      <c r="RB107" s="47">
        <v>-0.40699999999999648</v>
      </c>
      <c r="RC107" s="45"/>
      <c r="RD107" s="42">
        <v>0</v>
      </c>
      <c r="RE107" s="44">
        <v>0</v>
      </c>
      <c r="RF107" s="44">
        <v>0</v>
      </c>
      <c r="RG107" s="44">
        <v>0</v>
      </c>
      <c r="RH107" s="47">
        <v>0</v>
      </c>
      <c r="RI107" s="45"/>
      <c r="RJ107" s="42">
        <v>0</v>
      </c>
      <c r="RK107" s="47">
        <v>0</v>
      </c>
      <c r="RL107" s="47">
        <v>20.751999999999999</v>
      </c>
      <c r="RM107" s="47">
        <v>20</v>
      </c>
      <c r="RN107" s="47">
        <v>0.75199999999999889</v>
      </c>
      <c r="RO107" s="43"/>
      <c r="RP107" s="42">
        <v>36.78</v>
      </c>
      <c r="RQ107" s="47">
        <v>40</v>
      </c>
      <c r="RR107" s="47">
        <v>-3.2199999999999989</v>
      </c>
      <c r="RS107" s="43"/>
      <c r="RT107" s="42">
        <v>0</v>
      </c>
      <c r="RU107" s="47">
        <v>0</v>
      </c>
      <c r="RV107" s="47">
        <v>0</v>
      </c>
      <c r="RW107" s="47">
        <v>0</v>
      </c>
      <c r="RX107" s="47">
        <v>0</v>
      </c>
      <c r="RY107" s="43"/>
      <c r="RZ107" s="42">
        <v>0</v>
      </c>
      <c r="SA107" s="47">
        <v>0</v>
      </c>
      <c r="SB107" s="47">
        <v>0</v>
      </c>
      <c r="SC107" s="47">
        <v>0</v>
      </c>
      <c r="SD107" s="47">
        <v>0</v>
      </c>
      <c r="SE107" s="43"/>
      <c r="SF107" s="42">
        <v>0</v>
      </c>
      <c r="SG107" s="47">
        <v>0</v>
      </c>
      <c r="SH107" s="47">
        <v>0</v>
      </c>
      <c r="SI107" s="47">
        <v>0</v>
      </c>
      <c r="SJ107" s="47">
        <v>0</v>
      </c>
      <c r="SK107" s="43"/>
      <c r="SL107" s="42">
        <v>0</v>
      </c>
      <c r="SM107" s="47">
        <v>0</v>
      </c>
      <c r="SN107" s="47">
        <v>0</v>
      </c>
      <c r="SO107" s="43"/>
      <c r="SP107" s="42">
        <v>0</v>
      </c>
      <c r="SQ107" s="47">
        <v>0</v>
      </c>
      <c r="SR107" s="47">
        <v>0</v>
      </c>
      <c r="SS107" s="47">
        <v>0</v>
      </c>
      <c r="ST107" s="47">
        <v>0</v>
      </c>
      <c r="SU107" s="43"/>
    </row>
    <row r="108" spans="1:515" x14ac:dyDescent="0.25">
      <c r="A108" s="47" t="s">
        <v>415</v>
      </c>
      <c r="B108" s="41">
        <v>0.41</v>
      </c>
      <c r="J108" s="42"/>
      <c r="K108" s="51"/>
      <c r="L108" s="51"/>
      <c r="M108" s="51"/>
      <c r="N108" s="51">
        <f t="shared" si="12"/>
        <v>0</v>
      </c>
      <c r="O108" s="43"/>
      <c r="P108" s="46"/>
      <c r="Q108" s="51"/>
      <c r="R108" s="51"/>
      <c r="S108" s="51"/>
      <c r="T108" s="51">
        <f t="shared" si="13"/>
        <v>0</v>
      </c>
      <c r="U108" s="43"/>
      <c r="V108" s="42"/>
      <c r="W108" s="51"/>
      <c r="X108" s="51"/>
      <c r="Y108" s="51"/>
      <c r="Z108" s="51">
        <f t="shared" si="14"/>
        <v>0</v>
      </c>
      <c r="AA108" s="43"/>
      <c r="AB108" s="42"/>
      <c r="AC108" s="51"/>
      <c r="AD108" s="51"/>
      <c r="AE108" s="51"/>
      <c r="AF108" s="51">
        <v>0</v>
      </c>
      <c r="AG108" s="43"/>
      <c r="AH108" s="51"/>
      <c r="AL108" s="47">
        <v>0</v>
      </c>
      <c r="AM108" s="43"/>
      <c r="AN108" s="42"/>
      <c r="AR108" s="47">
        <v>0</v>
      </c>
      <c r="AS108" s="43"/>
      <c r="AX108" s="47">
        <v>0</v>
      </c>
      <c r="AY108" s="43"/>
      <c r="BD108" s="47">
        <v>0</v>
      </c>
      <c r="BE108" s="43"/>
      <c r="BF108" s="42"/>
      <c r="BJ108" s="47">
        <v>0</v>
      </c>
      <c r="BK108" s="43"/>
      <c r="BL108" s="42"/>
      <c r="BP108" s="47">
        <v>0</v>
      </c>
      <c r="BQ108" s="43"/>
      <c r="BV108" s="47">
        <v>0</v>
      </c>
      <c r="BW108" s="43"/>
      <c r="BX108" s="42"/>
      <c r="CB108" s="47">
        <v>0</v>
      </c>
      <c r="CC108" s="43"/>
      <c r="CH108" s="47">
        <v>0</v>
      </c>
      <c r="CI108" s="43"/>
      <c r="CN108" s="47">
        <v>0</v>
      </c>
      <c r="CO108" s="43"/>
      <c r="CP108" s="42"/>
      <c r="CT108" s="47">
        <v>0</v>
      </c>
      <c r="CU108" s="43"/>
      <c r="CV108" s="42"/>
      <c r="CZ108" s="47">
        <v>0</v>
      </c>
      <c r="DA108" s="43"/>
      <c r="DG108" s="47">
        <v>0</v>
      </c>
      <c r="DH108" s="43"/>
      <c r="DK108" s="47">
        <v>0</v>
      </c>
      <c r="DL108" s="43"/>
      <c r="DM108" s="42"/>
      <c r="DQ108" s="47">
        <v>0</v>
      </c>
      <c r="DR108" s="43"/>
      <c r="DW108" s="47">
        <v>0</v>
      </c>
      <c r="DX108" s="43"/>
      <c r="EC108" s="47">
        <v>0</v>
      </c>
      <c r="ED108" s="43"/>
      <c r="EE108" s="42"/>
      <c r="EI108" s="47">
        <v>0</v>
      </c>
      <c r="EJ108" s="43"/>
      <c r="EO108" s="47">
        <v>0</v>
      </c>
      <c r="EP108" s="43"/>
      <c r="EQ108" s="42"/>
      <c r="EU108" s="47">
        <v>0</v>
      </c>
      <c r="EV108" s="43"/>
      <c r="EW108" s="42"/>
      <c r="FA108">
        <v>16</v>
      </c>
      <c r="FB108">
        <v>16</v>
      </c>
      <c r="FC108" s="47">
        <v>0</v>
      </c>
      <c r="FD108" s="43"/>
      <c r="FE108" s="42"/>
      <c r="FG108">
        <v>40</v>
      </c>
      <c r="FH108">
        <v>40</v>
      </c>
      <c r="FI108" s="47">
        <v>0</v>
      </c>
      <c r="FJ108" s="43"/>
      <c r="FQ108" s="47">
        <v>0</v>
      </c>
      <c r="FR108" s="43"/>
      <c r="FS108" s="42"/>
      <c r="FU108">
        <v>56</v>
      </c>
      <c r="FV108">
        <v>60</v>
      </c>
      <c r="FW108" s="47">
        <v>-4</v>
      </c>
      <c r="FX108" s="43"/>
      <c r="FY108" s="42"/>
      <c r="GA108">
        <v>168</v>
      </c>
      <c r="GB108">
        <v>170</v>
      </c>
      <c r="GC108" s="47">
        <v>-2</v>
      </c>
      <c r="GD108" s="43"/>
      <c r="GE108" s="42"/>
      <c r="GI108" s="47">
        <v>0</v>
      </c>
      <c r="GJ108" s="43"/>
      <c r="GK108">
        <v>48</v>
      </c>
      <c r="GL108">
        <v>48</v>
      </c>
      <c r="GM108">
        <v>48</v>
      </c>
      <c r="GN108">
        <v>48</v>
      </c>
      <c r="GO108">
        <v>56</v>
      </c>
      <c r="GP108">
        <v>54</v>
      </c>
      <c r="GQ108" s="47">
        <v>2</v>
      </c>
      <c r="GR108" s="43"/>
      <c r="GS108">
        <v>32</v>
      </c>
      <c r="GT108">
        <v>32</v>
      </c>
      <c r="GU108">
        <v>16</v>
      </c>
      <c r="GW108">
        <v>18</v>
      </c>
      <c r="GX108" s="47">
        <v>-2</v>
      </c>
      <c r="GY108" s="43"/>
      <c r="GZ108" s="42"/>
      <c r="HC108" s="47">
        <v>0</v>
      </c>
      <c r="HD108" s="43"/>
      <c r="HE108" s="40">
        <v>88</v>
      </c>
      <c r="HG108">
        <v>86</v>
      </c>
      <c r="HH108" s="47">
        <v>2</v>
      </c>
      <c r="HI108" s="43"/>
      <c r="HN108" s="47">
        <v>0</v>
      </c>
      <c r="HO108" s="43"/>
      <c r="HP108" s="42"/>
      <c r="HU108" s="47">
        <v>0</v>
      </c>
      <c r="HV108" s="43"/>
      <c r="HY108">
        <v>48</v>
      </c>
      <c r="HZ108">
        <v>48</v>
      </c>
      <c r="IA108" s="47">
        <v>0</v>
      </c>
      <c r="IB108" s="43"/>
      <c r="IC108" s="42"/>
      <c r="IE108">
        <v>80</v>
      </c>
      <c r="IF108">
        <v>80</v>
      </c>
      <c r="IG108" s="47">
        <v>0</v>
      </c>
      <c r="IH108" s="43"/>
      <c r="IK108">
        <v>72</v>
      </c>
      <c r="IL108">
        <v>70</v>
      </c>
      <c r="IM108" s="47">
        <v>2</v>
      </c>
      <c r="IN108" s="43"/>
      <c r="IO108" s="42"/>
      <c r="IQ108" s="47">
        <v>0</v>
      </c>
      <c r="IR108" s="43"/>
      <c r="IS108" s="42"/>
      <c r="IU108">
        <v>128</v>
      </c>
      <c r="IV108">
        <v>128</v>
      </c>
      <c r="IW108" s="47">
        <v>0</v>
      </c>
      <c r="IX108" s="43"/>
      <c r="IY108" s="42"/>
      <c r="JA108" s="47">
        <v>0</v>
      </c>
      <c r="JB108" s="43"/>
      <c r="JC108" s="42"/>
      <c r="JE108">
        <v>48</v>
      </c>
      <c r="JF108">
        <v>50</v>
      </c>
      <c r="JG108" s="47">
        <v>-2</v>
      </c>
      <c r="JH108" s="43"/>
      <c r="JM108">
        <v>96</v>
      </c>
      <c r="JN108">
        <v>100</v>
      </c>
      <c r="JO108" s="47">
        <v>-4</v>
      </c>
      <c r="JP108" s="43"/>
      <c r="JQ108" s="42"/>
      <c r="JS108">
        <v>64</v>
      </c>
      <c r="JT108">
        <v>64</v>
      </c>
      <c r="JU108" s="47">
        <v>0</v>
      </c>
      <c r="JV108" s="43"/>
      <c r="JY108">
        <v>152</v>
      </c>
      <c r="JZ108">
        <v>150</v>
      </c>
      <c r="KA108" s="47">
        <v>2</v>
      </c>
      <c r="KB108" s="45"/>
      <c r="KE108">
        <v>128</v>
      </c>
      <c r="KF108">
        <v>130</v>
      </c>
      <c r="KG108" s="47">
        <v>-2</v>
      </c>
      <c r="KH108" s="45"/>
      <c r="KK108">
        <v>8</v>
      </c>
      <c r="KL108">
        <v>8</v>
      </c>
      <c r="KM108" s="47">
        <v>0</v>
      </c>
      <c r="KN108" s="45"/>
      <c r="KO108">
        <v>80</v>
      </c>
      <c r="KP108">
        <v>80</v>
      </c>
      <c r="KQ108">
        <v>56</v>
      </c>
      <c r="KR108">
        <v>60</v>
      </c>
      <c r="KS108" s="47">
        <v>-4</v>
      </c>
      <c r="KT108" s="43"/>
      <c r="KU108">
        <v>56</v>
      </c>
      <c r="KV108">
        <v>60</v>
      </c>
      <c r="KW108" s="47">
        <v>-4</v>
      </c>
      <c r="KX108" s="45"/>
      <c r="LC108" s="47">
        <v>0</v>
      </c>
      <c r="LD108" s="43"/>
      <c r="LE108" s="46"/>
      <c r="LG108" s="47">
        <v>0</v>
      </c>
      <c r="LH108" s="45"/>
      <c r="LM108" s="47">
        <v>0</v>
      </c>
      <c r="LN108" s="45"/>
      <c r="LQ108">
        <v>120</v>
      </c>
      <c r="LR108">
        <v>120</v>
      </c>
      <c r="LS108" s="47">
        <v>0</v>
      </c>
      <c r="LT108" s="45"/>
      <c r="LW108">
        <v>96</v>
      </c>
      <c r="LX108">
        <v>100</v>
      </c>
      <c r="LY108" s="47">
        <v>-4</v>
      </c>
      <c r="LZ108" s="45"/>
      <c r="ME108" s="47">
        <v>0</v>
      </c>
      <c r="MF108" s="45"/>
      <c r="MG108" s="40">
        <v>32</v>
      </c>
      <c r="MH108">
        <v>32</v>
      </c>
      <c r="MI108">
        <v>32</v>
      </c>
      <c r="MJ108">
        <v>32</v>
      </c>
      <c r="MK108">
        <v>32</v>
      </c>
      <c r="ML108">
        <v>36</v>
      </c>
      <c r="MM108" s="47">
        <v>-4</v>
      </c>
      <c r="MN108" s="45"/>
      <c r="MO108" s="44">
        <v>0</v>
      </c>
      <c r="MP108" s="44">
        <v>0</v>
      </c>
      <c r="MQ108" s="44">
        <v>0</v>
      </c>
      <c r="MR108" s="33">
        <v>96</v>
      </c>
      <c r="MS108" s="50">
        <v>-96</v>
      </c>
      <c r="MT108" s="45">
        <v>39.36</v>
      </c>
      <c r="MU108" s="44">
        <v>0</v>
      </c>
      <c r="MV108" s="44">
        <v>0</v>
      </c>
      <c r="MW108" s="44">
        <v>96</v>
      </c>
      <c r="MX108" s="44">
        <v>95</v>
      </c>
      <c r="MY108" s="47">
        <v>1</v>
      </c>
      <c r="MZ108" s="45"/>
      <c r="NA108" s="46">
        <v>0</v>
      </c>
      <c r="NB108" s="44">
        <v>0</v>
      </c>
      <c r="NC108" s="47">
        <v>0</v>
      </c>
      <c r="ND108" s="45"/>
      <c r="NE108" s="46">
        <v>0</v>
      </c>
      <c r="NF108" s="44">
        <v>0</v>
      </c>
      <c r="NG108" s="44">
        <v>232</v>
      </c>
      <c r="NH108" s="44">
        <v>0</v>
      </c>
      <c r="NI108" s="44">
        <v>230</v>
      </c>
      <c r="NJ108" s="47">
        <v>2</v>
      </c>
      <c r="NK108" s="45"/>
      <c r="NL108" s="46">
        <v>24</v>
      </c>
      <c r="NM108" s="44">
        <v>24</v>
      </c>
      <c r="NN108" s="44">
        <v>40</v>
      </c>
      <c r="NO108" s="44">
        <v>40</v>
      </c>
      <c r="NP108" s="47">
        <v>0</v>
      </c>
      <c r="NQ108" s="45"/>
      <c r="NR108" s="46">
        <v>0</v>
      </c>
      <c r="NS108" s="44">
        <v>0</v>
      </c>
      <c r="NT108" s="47">
        <v>0</v>
      </c>
      <c r="NU108" s="45"/>
      <c r="NV108" s="46">
        <v>0</v>
      </c>
      <c r="NW108" s="44">
        <v>0</v>
      </c>
      <c r="NX108" s="44">
        <v>0</v>
      </c>
      <c r="NY108" s="44">
        <v>0</v>
      </c>
      <c r="NZ108" s="47">
        <v>0</v>
      </c>
      <c r="OA108" s="45"/>
      <c r="OB108" s="46">
        <v>216</v>
      </c>
      <c r="OC108" s="44">
        <v>220</v>
      </c>
      <c r="OD108" s="47">
        <v>-4</v>
      </c>
      <c r="OE108" s="45"/>
      <c r="OF108" s="46">
        <v>0</v>
      </c>
      <c r="OG108" s="44">
        <v>0</v>
      </c>
      <c r="OH108" s="44">
        <v>16</v>
      </c>
      <c r="OI108" s="44">
        <v>18</v>
      </c>
      <c r="OJ108" s="47">
        <v>-2</v>
      </c>
      <c r="OK108" s="45"/>
      <c r="OL108" s="44">
        <v>32</v>
      </c>
      <c r="OM108" s="43">
        <v>-13.12</v>
      </c>
      <c r="ON108" s="44">
        <v>0</v>
      </c>
      <c r="OO108" s="44">
        <v>30</v>
      </c>
      <c r="OP108" s="50">
        <v>-30</v>
      </c>
      <c r="OQ108" s="45">
        <v>12.3</v>
      </c>
      <c r="OR108" s="46">
        <v>0</v>
      </c>
      <c r="OS108" s="44">
        <v>0</v>
      </c>
      <c r="OT108" s="44">
        <v>112</v>
      </c>
      <c r="OU108" s="44">
        <v>110</v>
      </c>
      <c r="OV108" s="47">
        <v>2</v>
      </c>
      <c r="OW108" s="45"/>
      <c r="OX108" s="46">
        <v>0</v>
      </c>
      <c r="OY108" s="44">
        <v>0</v>
      </c>
      <c r="OZ108" s="44">
        <v>112</v>
      </c>
      <c r="PA108" s="44">
        <v>110</v>
      </c>
      <c r="PB108" s="47">
        <v>2</v>
      </c>
      <c r="PC108" s="45"/>
      <c r="PD108" s="46">
        <v>0</v>
      </c>
      <c r="PE108" s="44">
        <v>0</v>
      </c>
      <c r="PF108" s="44">
        <v>0</v>
      </c>
      <c r="PG108" s="44">
        <v>0</v>
      </c>
      <c r="PH108" s="47">
        <v>0</v>
      </c>
      <c r="PI108" s="45"/>
      <c r="PJ108" s="46">
        <v>0</v>
      </c>
      <c r="PK108" s="44">
        <v>0</v>
      </c>
      <c r="PL108" s="44">
        <v>0</v>
      </c>
      <c r="PM108" s="44">
        <v>0</v>
      </c>
      <c r="PN108" s="47">
        <v>0</v>
      </c>
      <c r="PO108" s="45"/>
      <c r="PP108" s="46">
        <v>152</v>
      </c>
      <c r="PQ108" s="44">
        <v>150</v>
      </c>
      <c r="PR108" s="44">
        <v>160</v>
      </c>
      <c r="PS108" s="44">
        <v>165</v>
      </c>
      <c r="PT108" s="47">
        <v>-3</v>
      </c>
      <c r="PU108" s="45"/>
      <c r="PV108" s="46">
        <v>32</v>
      </c>
      <c r="PW108" s="44">
        <v>30</v>
      </c>
      <c r="PX108" s="47">
        <v>2</v>
      </c>
      <c r="PY108" s="45"/>
      <c r="PZ108" s="46">
        <v>168</v>
      </c>
      <c r="QA108" s="44">
        <v>170</v>
      </c>
      <c r="QB108" s="47">
        <v>-2</v>
      </c>
      <c r="QC108" s="45"/>
      <c r="QD108" s="46">
        <v>0</v>
      </c>
      <c r="QE108" s="44">
        <v>0</v>
      </c>
      <c r="QF108" s="44">
        <v>32</v>
      </c>
      <c r="QG108" s="44">
        <v>30</v>
      </c>
      <c r="QH108" s="47">
        <v>2</v>
      </c>
      <c r="QI108" s="45"/>
      <c r="QJ108" s="46">
        <v>80</v>
      </c>
      <c r="QK108" s="44">
        <v>80</v>
      </c>
      <c r="QL108" s="47">
        <v>0</v>
      </c>
      <c r="QM108" s="45"/>
      <c r="QN108" s="46">
        <v>0</v>
      </c>
      <c r="QO108" s="44">
        <v>0</v>
      </c>
      <c r="QP108" s="44">
        <v>0</v>
      </c>
      <c r="QQ108" s="44">
        <v>0</v>
      </c>
      <c r="QR108" s="47">
        <v>0</v>
      </c>
      <c r="QS108" s="45"/>
      <c r="QT108" s="46">
        <v>40</v>
      </c>
      <c r="QU108" s="44">
        <v>40</v>
      </c>
      <c r="QV108" s="47">
        <v>0</v>
      </c>
      <c r="QW108" s="45"/>
      <c r="QX108" s="46"/>
      <c r="RC108" s="45"/>
      <c r="RD108" s="42"/>
      <c r="RE108" s="44"/>
      <c r="RG108" s="44"/>
      <c r="RI108" s="45"/>
      <c r="RJ108" s="42"/>
      <c r="RO108" s="43"/>
      <c r="RP108" s="42"/>
      <c r="RS108" s="43"/>
      <c r="RT108" s="42"/>
      <c r="RY108" s="43"/>
      <c r="RZ108" s="42"/>
      <c r="SE108" s="43"/>
      <c r="SF108" s="42"/>
      <c r="SK108" s="43"/>
      <c r="SL108" s="42"/>
      <c r="SO108" s="43"/>
      <c r="SP108" s="42"/>
      <c r="SU108" s="43"/>
    </row>
    <row r="109" spans="1:515" x14ac:dyDescent="0.25">
      <c r="A109" s="47" t="s">
        <v>416</v>
      </c>
      <c r="B109" s="41">
        <v>1</v>
      </c>
      <c r="J109" s="42"/>
      <c r="K109" s="51"/>
      <c r="L109" s="51"/>
      <c r="M109" s="51"/>
      <c r="N109" s="51">
        <f t="shared" si="12"/>
        <v>0</v>
      </c>
      <c r="O109" s="43"/>
      <c r="P109" s="46"/>
      <c r="Q109" s="51"/>
      <c r="R109" s="51"/>
      <c r="S109" s="51"/>
      <c r="T109" s="51">
        <f t="shared" si="13"/>
        <v>0</v>
      </c>
      <c r="U109" s="43"/>
      <c r="V109" s="42"/>
      <c r="W109" s="51"/>
      <c r="X109" s="51"/>
      <c r="Y109" s="51"/>
      <c r="Z109" s="51">
        <f t="shared" si="14"/>
        <v>0</v>
      </c>
      <c r="AA109" s="43"/>
      <c r="AB109" s="42"/>
      <c r="AC109" s="51"/>
      <c r="AD109" s="51"/>
      <c r="AE109" s="51"/>
      <c r="AF109" s="51">
        <v>0</v>
      </c>
      <c r="AG109" s="43"/>
      <c r="AH109" s="51"/>
      <c r="AL109" s="47">
        <v>0</v>
      </c>
      <c r="AM109" s="43"/>
      <c r="AN109" s="42"/>
      <c r="AR109" s="47">
        <v>0</v>
      </c>
      <c r="AS109" s="43"/>
      <c r="AX109" s="47">
        <v>0</v>
      </c>
      <c r="AY109" s="43"/>
      <c r="BD109" s="47">
        <v>0</v>
      </c>
      <c r="BE109" s="43"/>
      <c r="BF109" s="42"/>
      <c r="BJ109" s="47">
        <v>0</v>
      </c>
      <c r="BK109" s="43"/>
      <c r="BL109" s="42"/>
      <c r="BP109" s="47">
        <v>0</v>
      </c>
      <c r="BQ109" s="43"/>
      <c r="BV109" s="47">
        <v>0</v>
      </c>
      <c r="BW109" s="43"/>
      <c r="BX109" s="42"/>
      <c r="CB109" s="47">
        <v>0</v>
      </c>
      <c r="CC109" s="43"/>
      <c r="CH109" s="47">
        <v>0</v>
      </c>
      <c r="CI109" s="43"/>
      <c r="CN109" s="47">
        <v>0</v>
      </c>
      <c r="CO109" s="43"/>
      <c r="CP109" s="42"/>
      <c r="CT109" s="47">
        <v>0</v>
      </c>
      <c r="CU109" s="43"/>
      <c r="CV109" s="42"/>
      <c r="CZ109" s="47">
        <v>0</v>
      </c>
      <c r="DA109" s="43"/>
      <c r="DG109" s="47">
        <v>0</v>
      </c>
      <c r="DH109" s="43"/>
      <c r="DK109" s="47">
        <v>0</v>
      </c>
      <c r="DL109" s="43"/>
      <c r="DM109" s="42"/>
      <c r="DQ109" s="47">
        <v>0</v>
      </c>
      <c r="DR109" s="43"/>
      <c r="DW109" s="47">
        <v>0</v>
      </c>
      <c r="DX109" s="43"/>
      <c r="EC109" s="47">
        <v>0</v>
      </c>
      <c r="ED109" s="43"/>
      <c r="EE109" s="42"/>
      <c r="EI109" s="47">
        <v>0</v>
      </c>
      <c r="EJ109" s="43"/>
      <c r="EO109" s="47">
        <v>0</v>
      </c>
      <c r="EP109" s="43"/>
      <c r="EQ109" s="42"/>
      <c r="EU109" s="47">
        <v>0</v>
      </c>
      <c r="EV109" s="43"/>
      <c r="EW109" s="42"/>
      <c r="FA109">
        <v>4</v>
      </c>
      <c r="FB109">
        <v>4</v>
      </c>
      <c r="FC109" s="47">
        <v>0</v>
      </c>
      <c r="FD109" s="43"/>
      <c r="FE109" s="42"/>
      <c r="FI109" s="47">
        <v>0</v>
      </c>
      <c r="FJ109" s="43"/>
      <c r="FQ109" s="47">
        <v>0</v>
      </c>
      <c r="FR109" s="43"/>
      <c r="FS109" s="42"/>
      <c r="FW109" s="47">
        <v>0</v>
      </c>
      <c r="FX109" s="43"/>
      <c r="FY109" s="42"/>
      <c r="GA109">
        <v>4</v>
      </c>
      <c r="GB109">
        <v>5</v>
      </c>
      <c r="GC109" s="47">
        <v>-1</v>
      </c>
      <c r="GD109" s="43"/>
      <c r="GE109" s="42"/>
      <c r="GI109" s="47">
        <v>0</v>
      </c>
      <c r="GJ109" s="43"/>
      <c r="GQ109" s="47">
        <v>0</v>
      </c>
      <c r="GR109" s="43"/>
      <c r="GU109">
        <v>9</v>
      </c>
      <c r="GW109">
        <v>7</v>
      </c>
      <c r="GX109" s="47">
        <v>2</v>
      </c>
      <c r="GY109" s="43"/>
      <c r="GZ109" s="40">
        <v>4</v>
      </c>
      <c r="HB109" s="44">
        <v>4</v>
      </c>
      <c r="HC109" s="47">
        <v>0</v>
      </c>
      <c r="HD109" s="43"/>
      <c r="HE109" s="40">
        <v>4</v>
      </c>
      <c r="HG109">
        <v>4</v>
      </c>
      <c r="HH109" s="47">
        <v>0</v>
      </c>
      <c r="HI109" s="43"/>
      <c r="HN109" s="47">
        <v>0</v>
      </c>
      <c r="HO109" s="43"/>
      <c r="HP109" s="42"/>
      <c r="HU109" s="47">
        <v>0</v>
      </c>
      <c r="HV109" s="43"/>
      <c r="IA109" s="47">
        <v>0</v>
      </c>
      <c r="IB109" s="43"/>
      <c r="IC109" s="42"/>
      <c r="IG109" s="47">
        <v>0</v>
      </c>
      <c r="IH109" s="43"/>
      <c r="IM109" s="47">
        <v>0</v>
      </c>
      <c r="IN109" s="43"/>
      <c r="IO109" s="42"/>
      <c r="IQ109" s="47">
        <v>0</v>
      </c>
      <c r="IR109" s="43"/>
      <c r="IS109" s="42"/>
      <c r="IW109" s="47">
        <v>0</v>
      </c>
      <c r="IX109" s="43"/>
      <c r="IY109" s="42"/>
      <c r="JA109" s="47">
        <v>0</v>
      </c>
      <c r="JB109" s="43"/>
      <c r="JC109" s="42"/>
      <c r="JE109">
        <v>13</v>
      </c>
      <c r="JF109">
        <v>11</v>
      </c>
      <c r="JG109" s="47">
        <v>2</v>
      </c>
      <c r="JH109" s="43"/>
      <c r="JO109" s="47">
        <v>0</v>
      </c>
      <c r="JP109" s="43"/>
      <c r="JQ109" s="42"/>
      <c r="JS109">
        <v>9</v>
      </c>
      <c r="JT109">
        <v>6</v>
      </c>
      <c r="JU109" s="47">
        <v>3</v>
      </c>
      <c r="JV109" s="43"/>
      <c r="KA109" s="47">
        <v>0</v>
      </c>
      <c r="KB109" s="45"/>
      <c r="KG109" s="47">
        <v>0</v>
      </c>
      <c r="KH109" s="45"/>
      <c r="KM109" s="47">
        <v>0</v>
      </c>
      <c r="KN109" s="45"/>
      <c r="KS109" s="47">
        <v>0</v>
      </c>
      <c r="KT109" s="43"/>
      <c r="KW109" s="47">
        <v>0</v>
      </c>
      <c r="KX109" s="45"/>
      <c r="LC109" s="47">
        <v>0</v>
      </c>
      <c r="LD109" s="43"/>
      <c r="LE109" s="40">
        <v>9</v>
      </c>
      <c r="LF109" s="44">
        <v>8</v>
      </c>
      <c r="LG109" s="47">
        <v>1</v>
      </c>
      <c r="LH109" s="45"/>
      <c r="LK109">
        <v>4</v>
      </c>
      <c r="LL109">
        <v>4</v>
      </c>
      <c r="LM109" s="47">
        <v>0</v>
      </c>
      <c r="LN109" s="45"/>
      <c r="LS109" s="47">
        <v>0</v>
      </c>
      <c r="LT109" s="45"/>
      <c r="LY109" s="47">
        <v>0</v>
      </c>
      <c r="LZ109" s="45"/>
      <c r="ME109" s="47">
        <v>0</v>
      </c>
      <c r="MF109" s="45"/>
      <c r="MG109" s="46"/>
      <c r="MI109">
        <v>4</v>
      </c>
      <c r="MJ109">
        <v>4</v>
      </c>
      <c r="MM109" s="47">
        <v>0</v>
      </c>
      <c r="MN109" s="45"/>
      <c r="MO109" s="44">
        <v>0</v>
      </c>
      <c r="MP109" s="44">
        <v>0</v>
      </c>
      <c r="MQ109" s="44">
        <v>0</v>
      </c>
      <c r="MR109" s="44">
        <v>0</v>
      </c>
      <c r="MS109" s="47">
        <v>0</v>
      </c>
      <c r="MT109" s="45"/>
      <c r="MU109" s="44">
        <v>0</v>
      </c>
      <c r="MV109" s="44">
        <v>0</v>
      </c>
      <c r="MW109" s="44">
        <v>0</v>
      </c>
      <c r="MX109" s="44">
        <v>0</v>
      </c>
      <c r="MY109" s="47">
        <v>0</v>
      </c>
      <c r="MZ109" s="45"/>
      <c r="NA109" s="46">
        <v>0</v>
      </c>
      <c r="NB109" s="44">
        <v>0</v>
      </c>
      <c r="NC109" s="47">
        <v>0</v>
      </c>
      <c r="ND109" s="45"/>
      <c r="NE109" s="46">
        <v>0</v>
      </c>
      <c r="NF109" s="44">
        <v>0</v>
      </c>
      <c r="NG109" s="44">
        <v>39.216999999999999</v>
      </c>
      <c r="NH109" s="44">
        <v>0</v>
      </c>
      <c r="NI109" s="44">
        <v>34</v>
      </c>
      <c r="NJ109" s="47">
        <v>5.2169999999999987</v>
      </c>
      <c r="NK109" s="45"/>
      <c r="NL109" s="46">
        <v>0</v>
      </c>
      <c r="NM109" s="44">
        <v>0</v>
      </c>
      <c r="NN109" s="44">
        <v>16.803999999999998</v>
      </c>
      <c r="NO109" s="44">
        <v>16</v>
      </c>
      <c r="NP109" s="47">
        <v>0.80399999999999849</v>
      </c>
      <c r="NQ109" s="45"/>
      <c r="NR109" s="46">
        <v>0</v>
      </c>
      <c r="NS109" s="44">
        <v>0</v>
      </c>
      <c r="NT109" s="47">
        <v>0</v>
      </c>
      <c r="NU109" s="45"/>
      <c r="NV109" s="46">
        <v>0</v>
      </c>
      <c r="NW109" s="44">
        <v>0</v>
      </c>
      <c r="NX109" s="44">
        <v>24.710999999999999</v>
      </c>
      <c r="NY109" s="44">
        <v>24</v>
      </c>
      <c r="NZ109" s="47">
        <v>0.71099999999999852</v>
      </c>
      <c r="OA109" s="45"/>
      <c r="OB109" s="46">
        <v>0</v>
      </c>
      <c r="OC109" s="44">
        <v>0</v>
      </c>
      <c r="OD109" s="47">
        <v>0</v>
      </c>
      <c r="OE109" s="45"/>
      <c r="OF109" s="46">
        <v>0</v>
      </c>
      <c r="OG109" s="44">
        <v>0</v>
      </c>
      <c r="OH109" s="44">
        <v>0</v>
      </c>
      <c r="OI109" s="44">
        <v>0</v>
      </c>
      <c r="OJ109" s="47">
        <v>0</v>
      </c>
      <c r="OK109" s="45"/>
      <c r="OL109" s="44">
        <v>0</v>
      </c>
      <c r="OM109" s="43"/>
      <c r="ON109" s="44">
        <v>24.577999999999999</v>
      </c>
      <c r="OO109" s="44">
        <v>25</v>
      </c>
      <c r="OP109" s="47">
        <v>-0.4220000000000006</v>
      </c>
      <c r="OQ109" s="45"/>
      <c r="OR109" s="46">
        <v>0</v>
      </c>
      <c r="OS109" s="44">
        <v>0</v>
      </c>
      <c r="OT109" s="44">
        <v>20.763999999999999</v>
      </c>
      <c r="OU109" s="44">
        <v>20</v>
      </c>
      <c r="OV109" s="47">
        <v>0.76399999999999935</v>
      </c>
      <c r="OW109" s="45"/>
      <c r="OX109" s="46">
        <v>0</v>
      </c>
      <c r="OY109" s="44">
        <v>0</v>
      </c>
      <c r="OZ109" s="44">
        <v>24.931999999999999</v>
      </c>
      <c r="PA109" s="44">
        <v>25</v>
      </c>
      <c r="PB109" s="47">
        <v>-6.8000000000001393E-2</v>
      </c>
      <c r="PC109" s="45"/>
      <c r="PD109" s="46">
        <v>0</v>
      </c>
      <c r="PE109" s="44">
        <v>0</v>
      </c>
      <c r="PF109" s="44">
        <v>25.382999999999999</v>
      </c>
      <c r="PG109" s="44">
        <v>25</v>
      </c>
      <c r="PH109" s="47">
        <v>0.38299999999999912</v>
      </c>
      <c r="PI109" s="45"/>
      <c r="PJ109" s="46">
        <v>0</v>
      </c>
      <c r="PK109" s="44">
        <v>0</v>
      </c>
      <c r="PL109" s="44">
        <v>12.941000000000001</v>
      </c>
      <c r="PM109" s="44">
        <v>10</v>
      </c>
      <c r="PN109" s="47">
        <v>2.9410000000000012</v>
      </c>
      <c r="PO109" s="45"/>
      <c r="PP109" s="46">
        <v>0</v>
      </c>
      <c r="PQ109" s="44">
        <v>0</v>
      </c>
      <c r="PR109" s="44">
        <v>0</v>
      </c>
      <c r="PS109" s="44">
        <v>0</v>
      </c>
      <c r="PT109" s="47">
        <v>0</v>
      </c>
      <c r="PU109" s="45"/>
      <c r="PV109" s="46">
        <v>46.37</v>
      </c>
      <c r="PW109" s="44">
        <v>45</v>
      </c>
      <c r="PX109" s="47">
        <v>1.369999999999997</v>
      </c>
      <c r="PY109" s="45"/>
      <c r="PZ109" s="46">
        <v>0</v>
      </c>
      <c r="QA109" s="44">
        <v>0</v>
      </c>
      <c r="QB109" s="47">
        <v>0</v>
      </c>
      <c r="QC109" s="45"/>
      <c r="QD109" s="46">
        <v>0</v>
      </c>
      <c r="QE109" s="44">
        <v>0</v>
      </c>
      <c r="QF109" s="44">
        <v>0</v>
      </c>
      <c r="QG109" s="44">
        <v>0</v>
      </c>
      <c r="QH109" s="47">
        <v>0</v>
      </c>
      <c r="QI109" s="45"/>
      <c r="QJ109" s="46">
        <v>29.167999999999999</v>
      </c>
      <c r="QK109" s="44">
        <v>30</v>
      </c>
      <c r="QL109" s="47">
        <v>-0.83200000000000074</v>
      </c>
      <c r="QM109" s="45"/>
      <c r="QN109" s="46">
        <v>0</v>
      </c>
      <c r="QO109" s="44">
        <v>0</v>
      </c>
      <c r="QP109" s="44">
        <v>0</v>
      </c>
      <c r="QQ109" s="44">
        <v>0</v>
      </c>
      <c r="QR109" s="47">
        <v>0</v>
      </c>
      <c r="QS109" s="45"/>
      <c r="QT109" s="46">
        <v>0</v>
      </c>
      <c r="QU109" s="44">
        <v>0</v>
      </c>
      <c r="QV109" s="47">
        <v>0</v>
      </c>
      <c r="QW109" s="45"/>
      <c r="QX109" s="46">
        <v>0</v>
      </c>
      <c r="QY109" s="44">
        <v>0</v>
      </c>
      <c r="QZ109" s="44">
        <v>0</v>
      </c>
      <c r="RA109" s="44">
        <v>0</v>
      </c>
      <c r="RB109" s="47">
        <v>0</v>
      </c>
      <c r="RC109" s="45"/>
      <c r="RD109" s="42">
        <v>0</v>
      </c>
      <c r="RE109" s="44">
        <v>0</v>
      </c>
      <c r="RF109" s="44">
        <v>0</v>
      </c>
      <c r="RG109" s="44">
        <v>0</v>
      </c>
      <c r="RH109" s="47">
        <v>0</v>
      </c>
      <c r="RI109" s="45"/>
      <c r="RJ109" s="42">
        <v>0</v>
      </c>
      <c r="RK109" s="47">
        <v>0</v>
      </c>
      <c r="RL109" s="47">
        <v>50.206000000000003</v>
      </c>
      <c r="RM109" s="47">
        <v>50</v>
      </c>
      <c r="RN109" s="47">
        <v>0.2060000000000031</v>
      </c>
      <c r="RO109" s="43"/>
      <c r="RP109" s="42">
        <v>37.630000000000003</v>
      </c>
      <c r="RQ109" s="47">
        <v>40</v>
      </c>
      <c r="RR109" s="47">
        <v>-2.369999999999997</v>
      </c>
      <c r="RS109" s="43"/>
      <c r="RT109" s="42">
        <v>0</v>
      </c>
      <c r="RU109" s="47">
        <v>0</v>
      </c>
      <c r="RV109" s="47">
        <v>0</v>
      </c>
      <c r="RW109" s="47">
        <v>0</v>
      </c>
      <c r="RX109" s="47">
        <v>0</v>
      </c>
      <c r="RY109" s="43"/>
      <c r="RZ109" s="42">
        <v>0</v>
      </c>
      <c r="SA109" s="47">
        <v>0</v>
      </c>
      <c r="SB109" s="47">
        <v>0</v>
      </c>
      <c r="SC109" s="47">
        <v>0</v>
      </c>
      <c r="SD109" s="47">
        <v>0</v>
      </c>
      <c r="SE109" s="43"/>
      <c r="SF109" s="42">
        <v>0</v>
      </c>
      <c r="SG109" s="47">
        <v>0</v>
      </c>
      <c r="SH109" s="47">
        <v>0</v>
      </c>
      <c r="SI109" s="47">
        <v>0</v>
      </c>
      <c r="SJ109" s="47">
        <v>0</v>
      </c>
      <c r="SK109" s="43"/>
      <c r="SL109" s="42">
        <v>0</v>
      </c>
      <c r="SM109" s="47">
        <v>0</v>
      </c>
      <c r="SN109" s="47">
        <v>0</v>
      </c>
      <c r="SO109" s="43"/>
      <c r="SP109" s="42">
        <v>0</v>
      </c>
      <c r="SQ109" s="47">
        <v>0</v>
      </c>
      <c r="SR109" s="47">
        <v>0</v>
      </c>
      <c r="SS109" s="47">
        <v>0</v>
      </c>
      <c r="ST109" s="47">
        <v>0</v>
      </c>
      <c r="SU109" s="43"/>
    </row>
    <row r="110" spans="1:515" x14ac:dyDescent="0.25">
      <c r="A110" s="47" t="s">
        <v>417</v>
      </c>
      <c r="B110" s="41">
        <v>0.36</v>
      </c>
      <c r="E110">
        <v>292</v>
      </c>
      <c r="F110">
        <v>192</v>
      </c>
      <c r="G110">
        <v>194</v>
      </c>
      <c r="J110" s="40">
        <v>168</v>
      </c>
      <c r="K110" s="52">
        <v>172</v>
      </c>
      <c r="L110" s="52">
        <v>138</v>
      </c>
      <c r="M110" s="52">
        <v>141</v>
      </c>
      <c r="N110" s="51">
        <f t="shared" si="12"/>
        <v>-7</v>
      </c>
      <c r="O110" s="43"/>
      <c r="P110" s="40">
        <v>150</v>
      </c>
      <c r="Q110" s="52">
        <v>150</v>
      </c>
      <c r="R110" s="52">
        <v>126</v>
      </c>
      <c r="S110" s="52">
        <v>129</v>
      </c>
      <c r="T110" s="51">
        <f t="shared" si="13"/>
        <v>-3</v>
      </c>
      <c r="U110" s="43"/>
      <c r="V110" s="42"/>
      <c r="W110" s="51"/>
      <c r="X110" s="51"/>
      <c r="Y110" s="51"/>
      <c r="Z110" s="51">
        <f t="shared" si="14"/>
        <v>0</v>
      </c>
      <c r="AA110" s="43"/>
      <c r="AB110" s="40">
        <v>198</v>
      </c>
      <c r="AC110" s="56">
        <v>197.82608695652169</v>
      </c>
      <c r="AD110" s="52">
        <v>252</v>
      </c>
      <c r="AE110" s="56">
        <v>257.17391304347831</v>
      </c>
      <c r="AF110" s="51">
        <v>-5</v>
      </c>
      <c r="AG110" s="43"/>
      <c r="AH110" s="52">
        <v>138</v>
      </c>
      <c r="AI110">
        <v>141</v>
      </c>
      <c r="AJ110">
        <v>108</v>
      </c>
      <c r="AK110">
        <v>112</v>
      </c>
      <c r="AL110" s="47">
        <v>-7</v>
      </c>
      <c r="AM110" s="43"/>
      <c r="AN110" s="40">
        <v>120</v>
      </c>
      <c r="AO110">
        <v>120</v>
      </c>
      <c r="AP110">
        <v>150</v>
      </c>
      <c r="AQ110">
        <v>150</v>
      </c>
      <c r="AR110" s="47">
        <v>0</v>
      </c>
      <c r="AS110" s="43"/>
      <c r="AT110">
        <v>276</v>
      </c>
      <c r="AU110">
        <v>280</v>
      </c>
      <c r="AV110">
        <v>204</v>
      </c>
      <c r="AW110">
        <v>205</v>
      </c>
      <c r="AX110" s="47">
        <v>-5</v>
      </c>
      <c r="AY110" s="43"/>
      <c r="BD110" s="47">
        <v>0</v>
      </c>
      <c r="BE110" s="43"/>
      <c r="BF110" s="40">
        <v>198</v>
      </c>
      <c r="BG110">
        <v>200</v>
      </c>
      <c r="BH110">
        <v>234</v>
      </c>
      <c r="BI110">
        <v>234</v>
      </c>
      <c r="BJ110" s="47">
        <v>-2</v>
      </c>
      <c r="BK110" s="43"/>
      <c r="BL110" s="40">
        <v>96</v>
      </c>
      <c r="BM110">
        <v>99</v>
      </c>
      <c r="BP110" s="47">
        <v>-3</v>
      </c>
      <c r="BQ110" s="43"/>
      <c r="BR110">
        <v>132</v>
      </c>
      <c r="BS110">
        <v>131</v>
      </c>
      <c r="BV110" s="47">
        <v>1</v>
      </c>
      <c r="BW110" s="43"/>
      <c r="BX110" s="40">
        <v>318</v>
      </c>
      <c r="BY110">
        <v>320</v>
      </c>
      <c r="BZ110">
        <v>384</v>
      </c>
      <c r="CA110">
        <v>386</v>
      </c>
      <c r="CB110" s="47">
        <v>-4</v>
      </c>
      <c r="CC110" s="43"/>
      <c r="CD110">
        <v>48</v>
      </c>
      <c r="CE110">
        <v>48</v>
      </c>
      <c r="CF110">
        <v>54</v>
      </c>
      <c r="CG110">
        <v>57</v>
      </c>
      <c r="CH110" s="47">
        <v>-3</v>
      </c>
      <c r="CI110" s="43"/>
      <c r="CJ110">
        <v>102</v>
      </c>
      <c r="CK110">
        <v>100</v>
      </c>
      <c r="CL110">
        <v>90</v>
      </c>
      <c r="CM110">
        <v>93</v>
      </c>
      <c r="CN110" s="47">
        <v>-1</v>
      </c>
      <c r="CO110" s="43"/>
      <c r="CP110" s="40">
        <v>198</v>
      </c>
      <c r="CQ110">
        <v>200</v>
      </c>
      <c r="CR110">
        <v>306</v>
      </c>
      <c r="CS110">
        <v>307</v>
      </c>
      <c r="CT110" s="47">
        <v>-3</v>
      </c>
      <c r="CU110" s="43"/>
      <c r="CV110" s="40">
        <v>198</v>
      </c>
      <c r="CW110">
        <v>200</v>
      </c>
      <c r="CX110">
        <v>204</v>
      </c>
      <c r="CY110">
        <v>206</v>
      </c>
      <c r="CZ110" s="47">
        <v>-4</v>
      </c>
      <c r="DA110" s="43"/>
      <c r="DB110">
        <v>60</v>
      </c>
      <c r="DC110">
        <v>60</v>
      </c>
      <c r="DG110" s="47">
        <v>0</v>
      </c>
      <c r="DH110" s="43"/>
      <c r="DI110">
        <v>198</v>
      </c>
      <c r="DJ110">
        <v>200</v>
      </c>
      <c r="DK110" s="47">
        <v>-2</v>
      </c>
      <c r="DL110" s="43"/>
      <c r="DM110" s="40">
        <v>384</v>
      </c>
      <c r="DN110">
        <v>384</v>
      </c>
      <c r="DO110">
        <v>36</v>
      </c>
      <c r="DP110">
        <v>39</v>
      </c>
      <c r="DQ110" s="47">
        <v>-3</v>
      </c>
      <c r="DR110" s="43"/>
      <c r="DS110">
        <v>150</v>
      </c>
      <c r="DT110">
        <v>150</v>
      </c>
      <c r="DU110">
        <v>156</v>
      </c>
      <c r="DV110">
        <v>155</v>
      </c>
      <c r="DW110" s="47">
        <v>1</v>
      </c>
      <c r="DX110" s="43"/>
      <c r="EC110" s="47">
        <v>0</v>
      </c>
      <c r="ED110" s="43"/>
      <c r="EE110" s="42"/>
      <c r="EG110">
        <v>672</v>
      </c>
      <c r="EH110">
        <v>670</v>
      </c>
      <c r="EI110" s="47">
        <v>2</v>
      </c>
      <c r="EJ110" s="43"/>
      <c r="EO110" s="47">
        <v>0</v>
      </c>
      <c r="EP110" s="43"/>
      <c r="EQ110" s="42"/>
      <c r="ES110">
        <v>258</v>
      </c>
      <c r="ET110">
        <v>258</v>
      </c>
      <c r="EU110" s="47">
        <v>0</v>
      </c>
      <c r="EV110" s="43"/>
      <c r="EW110" s="42"/>
      <c r="EY110">
        <v>198</v>
      </c>
      <c r="EZ110">
        <v>200</v>
      </c>
      <c r="FA110">
        <v>168</v>
      </c>
      <c r="FB110">
        <v>170</v>
      </c>
      <c r="FC110" s="47">
        <v>-4</v>
      </c>
      <c r="FD110" s="43"/>
      <c r="FE110" s="40">
        <v>120</v>
      </c>
      <c r="FF110">
        <v>120</v>
      </c>
      <c r="FG110">
        <v>222</v>
      </c>
      <c r="FH110">
        <v>220</v>
      </c>
      <c r="FI110" s="47">
        <v>2</v>
      </c>
      <c r="FJ110" s="43"/>
      <c r="FQ110" s="47">
        <v>0</v>
      </c>
      <c r="FR110" s="43"/>
      <c r="FS110" s="40">
        <v>210</v>
      </c>
      <c r="FT110">
        <v>210</v>
      </c>
      <c r="FU110">
        <v>492</v>
      </c>
      <c r="FV110">
        <v>490</v>
      </c>
      <c r="FW110" s="47">
        <v>2</v>
      </c>
      <c r="FX110" s="43"/>
      <c r="FY110" s="42"/>
      <c r="GC110" s="47">
        <v>0</v>
      </c>
      <c r="GD110" s="43"/>
      <c r="GE110" s="42"/>
      <c r="GG110">
        <v>1698</v>
      </c>
      <c r="GH110">
        <v>1700</v>
      </c>
      <c r="GI110" s="47">
        <v>-2</v>
      </c>
      <c r="GJ110" s="43"/>
      <c r="GK110">
        <v>198</v>
      </c>
      <c r="GL110">
        <v>200</v>
      </c>
      <c r="GM110">
        <v>198</v>
      </c>
      <c r="GN110">
        <v>200</v>
      </c>
      <c r="GO110">
        <v>252</v>
      </c>
      <c r="GP110">
        <v>250</v>
      </c>
      <c r="GQ110" s="47">
        <v>-2</v>
      </c>
      <c r="GR110" s="43"/>
      <c r="GU110">
        <v>402</v>
      </c>
      <c r="GW110">
        <v>400</v>
      </c>
      <c r="GX110" s="47">
        <v>2</v>
      </c>
      <c r="GY110" s="43"/>
      <c r="GZ110" s="42"/>
      <c r="HC110" s="47">
        <v>0</v>
      </c>
      <c r="HD110" s="43"/>
      <c r="HE110" s="40">
        <v>450</v>
      </c>
      <c r="HG110">
        <v>450</v>
      </c>
      <c r="HH110" s="47">
        <v>0</v>
      </c>
      <c r="HI110" s="43"/>
      <c r="HJ110">
        <v>252</v>
      </c>
      <c r="HM110">
        <v>250</v>
      </c>
      <c r="HN110" s="47">
        <v>2</v>
      </c>
      <c r="HO110" s="43"/>
      <c r="HP110" s="42"/>
      <c r="HU110" s="47">
        <v>0</v>
      </c>
      <c r="HV110" s="43"/>
      <c r="HW110">
        <v>168</v>
      </c>
      <c r="HX110">
        <v>170</v>
      </c>
      <c r="HY110">
        <v>198</v>
      </c>
      <c r="HZ110">
        <v>200</v>
      </c>
      <c r="IA110" s="47">
        <v>-4</v>
      </c>
      <c r="IB110" s="43"/>
      <c r="IC110" s="40">
        <v>168</v>
      </c>
      <c r="ID110">
        <v>170</v>
      </c>
      <c r="IE110">
        <v>180</v>
      </c>
      <c r="IF110">
        <v>180</v>
      </c>
      <c r="IG110" s="47">
        <v>-2</v>
      </c>
      <c r="IH110" s="43"/>
      <c r="II110">
        <v>300</v>
      </c>
      <c r="IJ110">
        <v>300</v>
      </c>
      <c r="IK110">
        <v>318</v>
      </c>
      <c r="IL110">
        <v>320</v>
      </c>
      <c r="IM110" s="47">
        <v>-2</v>
      </c>
      <c r="IN110" s="43"/>
      <c r="IO110" s="40">
        <v>120</v>
      </c>
      <c r="IP110" s="44">
        <v>120</v>
      </c>
      <c r="IQ110" s="47">
        <v>0</v>
      </c>
      <c r="IR110" s="43"/>
      <c r="IS110" s="42"/>
      <c r="IW110" s="47">
        <v>0</v>
      </c>
      <c r="IX110" s="43"/>
      <c r="IY110" s="42"/>
      <c r="JA110" s="47">
        <v>0</v>
      </c>
      <c r="JB110" s="43"/>
      <c r="JC110" s="42"/>
      <c r="JE110">
        <v>3000</v>
      </c>
      <c r="JF110">
        <v>3000</v>
      </c>
      <c r="JG110" s="47">
        <v>0</v>
      </c>
      <c r="JH110" s="43"/>
      <c r="JK110">
        <v>750</v>
      </c>
      <c r="JL110">
        <v>750</v>
      </c>
      <c r="JO110" s="47">
        <v>0</v>
      </c>
      <c r="JP110" s="43"/>
      <c r="JQ110" s="40">
        <v>198</v>
      </c>
      <c r="JR110">
        <v>200</v>
      </c>
      <c r="JS110">
        <v>150</v>
      </c>
      <c r="JT110">
        <v>150</v>
      </c>
      <c r="JU110" s="47">
        <v>-2</v>
      </c>
      <c r="JV110" s="43"/>
      <c r="JW110">
        <v>150</v>
      </c>
      <c r="JX110">
        <v>150</v>
      </c>
      <c r="JY110">
        <v>192</v>
      </c>
      <c r="JZ110">
        <v>190</v>
      </c>
      <c r="KA110" s="47">
        <v>2</v>
      </c>
      <c r="KB110" s="45"/>
      <c r="KC110">
        <v>252</v>
      </c>
      <c r="KD110">
        <v>250</v>
      </c>
      <c r="KE110">
        <v>360</v>
      </c>
      <c r="KF110">
        <v>360</v>
      </c>
      <c r="KG110" s="47">
        <v>2</v>
      </c>
      <c r="KH110" s="45"/>
      <c r="KI110">
        <v>252</v>
      </c>
      <c r="KJ110">
        <v>250</v>
      </c>
      <c r="KK110">
        <v>222</v>
      </c>
      <c r="KL110">
        <v>224</v>
      </c>
      <c r="KM110" s="47">
        <v>0</v>
      </c>
      <c r="KN110" s="45"/>
      <c r="KO110">
        <v>198</v>
      </c>
      <c r="KP110">
        <v>200</v>
      </c>
      <c r="KQ110">
        <v>180</v>
      </c>
      <c r="KR110">
        <v>180</v>
      </c>
      <c r="KS110" s="47">
        <v>-2</v>
      </c>
      <c r="KT110" s="43"/>
      <c r="KU110">
        <v>72</v>
      </c>
      <c r="KV110">
        <v>70</v>
      </c>
      <c r="KW110" s="47">
        <v>2</v>
      </c>
      <c r="KX110" s="45"/>
      <c r="KY110">
        <v>252</v>
      </c>
      <c r="KZ110">
        <v>250</v>
      </c>
      <c r="LA110">
        <v>234</v>
      </c>
      <c r="LB110">
        <v>237</v>
      </c>
      <c r="LC110" s="47">
        <v>-1</v>
      </c>
      <c r="LD110" s="43"/>
      <c r="LE110" s="40">
        <v>330</v>
      </c>
      <c r="LF110" s="44">
        <v>330</v>
      </c>
      <c r="LG110" s="47">
        <v>0</v>
      </c>
      <c r="LH110" s="45"/>
      <c r="LK110">
        <v>30</v>
      </c>
      <c r="LL110">
        <v>30</v>
      </c>
      <c r="LM110" s="47">
        <v>0</v>
      </c>
      <c r="LN110" s="45"/>
      <c r="LQ110">
        <v>624</v>
      </c>
      <c r="LR110">
        <v>627</v>
      </c>
      <c r="LS110" s="47">
        <v>-3</v>
      </c>
      <c r="LT110" s="45"/>
      <c r="LU110">
        <v>78</v>
      </c>
      <c r="LV110">
        <v>80</v>
      </c>
      <c r="LW110">
        <v>102</v>
      </c>
      <c r="LX110">
        <v>100</v>
      </c>
      <c r="LY110" s="47">
        <v>0</v>
      </c>
      <c r="LZ110" s="45"/>
      <c r="ME110" s="47">
        <v>0</v>
      </c>
      <c r="MF110" s="45"/>
      <c r="MG110" s="40">
        <v>258</v>
      </c>
      <c r="MH110">
        <v>260</v>
      </c>
      <c r="MI110">
        <v>300</v>
      </c>
      <c r="MJ110">
        <v>300</v>
      </c>
      <c r="MK110">
        <v>138</v>
      </c>
      <c r="ML110">
        <v>260</v>
      </c>
      <c r="MM110" s="50">
        <v>-124</v>
      </c>
      <c r="MN110" s="45">
        <v>44.64</v>
      </c>
      <c r="MO110" s="44">
        <v>0</v>
      </c>
      <c r="MP110" s="44">
        <v>0</v>
      </c>
      <c r="MQ110" s="44">
        <v>0</v>
      </c>
      <c r="MR110" s="44">
        <v>0</v>
      </c>
      <c r="MS110" s="47">
        <v>0</v>
      </c>
      <c r="MT110" s="45"/>
      <c r="MU110" s="44">
        <v>0</v>
      </c>
      <c r="MV110" s="44">
        <v>0</v>
      </c>
      <c r="MW110" s="44">
        <v>0</v>
      </c>
      <c r="MX110" s="44">
        <v>0</v>
      </c>
      <c r="MY110" s="47">
        <v>0</v>
      </c>
      <c r="MZ110" s="45"/>
      <c r="NA110" s="46">
        <v>654</v>
      </c>
      <c r="NB110" s="44">
        <v>657</v>
      </c>
      <c r="NC110" s="47">
        <v>-3</v>
      </c>
      <c r="ND110" s="45"/>
      <c r="NE110" s="46">
        <v>150</v>
      </c>
      <c r="NF110" s="44">
        <v>150</v>
      </c>
      <c r="NG110" s="44">
        <v>102</v>
      </c>
      <c r="NH110" s="44">
        <v>0</v>
      </c>
      <c r="NI110" s="44">
        <v>100</v>
      </c>
      <c r="NJ110" s="47">
        <v>2</v>
      </c>
      <c r="NK110" s="45"/>
      <c r="NL110" s="46">
        <v>102</v>
      </c>
      <c r="NM110" s="44">
        <v>100</v>
      </c>
      <c r="NN110" s="44">
        <v>300</v>
      </c>
      <c r="NO110" s="44">
        <v>300</v>
      </c>
      <c r="NP110" s="47">
        <v>2</v>
      </c>
      <c r="NQ110" s="45"/>
      <c r="NR110" s="46">
        <v>120</v>
      </c>
      <c r="NS110" s="44">
        <v>120</v>
      </c>
      <c r="NT110" s="47">
        <v>0</v>
      </c>
      <c r="NU110" s="45"/>
      <c r="NV110" s="46">
        <v>0</v>
      </c>
      <c r="NW110" s="44">
        <v>0</v>
      </c>
      <c r="NX110" s="44">
        <v>228</v>
      </c>
      <c r="NY110" s="44">
        <v>230</v>
      </c>
      <c r="NZ110" s="47">
        <v>-2</v>
      </c>
      <c r="OA110" s="45"/>
      <c r="OB110" s="46">
        <v>0</v>
      </c>
      <c r="OC110" s="44">
        <v>0</v>
      </c>
      <c r="OD110" s="47">
        <v>0</v>
      </c>
      <c r="OE110" s="45"/>
      <c r="OF110" s="46">
        <v>0</v>
      </c>
      <c r="OG110" s="44">
        <v>0</v>
      </c>
      <c r="OH110" s="44">
        <v>0</v>
      </c>
      <c r="OI110" s="44">
        <v>0</v>
      </c>
      <c r="OJ110" s="47">
        <v>0</v>
      </c>
      <c r="OK110" s="45"/>
      <c r="OL110" s="44">
        <v>0</v>
      </c>
      <c r="OM110" s="43"/>
      <c r="ON110" s="44">
        <v>0</v>
      </c>
      <c r="OO110" s="44">
        <v>0</v>
      </c>
      <c r="OP110" s="47">
        <v>0</v>
      </c>
      <c r="OQ110" s="45"/>
      <c r="OR110" s="46">
        <v>48</v>
      </c>
      <c r="OS110" s="44">
        <v>50</v>
      </c>
      <c r="OT110" s="44">
        <v>150</v>
      </c>
      <c r="OU110" s="44">
        <v>150</v>
      </c>
      <c r="OV110" s="47">
        <v>-2</v>
      </c>
      <c r="OW110" s="45"/>
      <c r="OX110" s="46">
        <v>0</v>
      </c>
      <c r="OY110" s="44">
        <v>0</v>
      </c>
      <c r="OZ110" s="44">
        <v>0</v>
      </c>
      <c r="PA110" s="44">
        <v>0</v>
      </c>
      <c r="PB110" s="47">
        <v>0</v>
      </c>
      <c r="PC110" s="45"/>
      <c r="PD110" s="46">
        <v>750</v>
      </c>
      <c r="PE110" s="44">
        <v>750</v>
      </c>
      <c r="PF110" s="44">
        <v>750</v>
      </c>
      <c r="PG110" s="44">
        <v>750</v>
      </c>
      <c r="PH110" s="47">
        <v>0</v>
      </c>
      <c r="PI110" s="45"/>
      <c r="PJ110" s="46">
        <v>0</v>
      </c>
      <c r="PK110" s="33">
        <v>600</v>
      </c>
      <c r="PL110" s="44">
        <v>402</v>
      </c>
      <c r="PM110" s="44">
        <v>400</v>
      </c>
      <c r="PN110" s="50">
        <v>-598</v>
      </c>
      <c r="PO110" s="45">
        <v>215.28</v>
      </c>
      <c r="PP110" s="46">
        <v>402</v>
      </c>
      <c r="PQ110" s="44">
        <v>400</v>
      </c>
      <c r="PR110" s="44">
        <v>402</v>
      </c>
      <c r="PS110" s="44">
        <v>400</v>
      </c>
      <c r="PT110" s="47">
        <v>4</v>
      </c>
      <c r="PU110" s="45"/>
      <c r="PV110" s="46">
        <v>252</v>
      </c>
      <c r="PW110" s="44">
        <v>300</v>
      </c>
      <c r="PX110" s="50">
        <v>-48</v>
      </c>
      <c r="PY110" s="45">
        <v>17.28</v>
      </c>
      <c r="PZ110" s="46">
        <v>168</v>
      </c>
      <c r="QA110" s="44">
        <v>170</v>
      </c>
      <c r="QB110" s="47">
        <v>-2</v>
      </c>
      <c r="QC110" s="45"/>
      <c r="QD110" s="46">
        <v>0</v>
      </c>
      <c r="QE110" s="44">
        <v>0</v>
      </c>
      <c r="QF110" s="44">
        <v>30</v>
      </c>
      <c r="QG110" s="44">
        <v>30</v>
      </c>
      <c r="QH110" s="47">
        <v>0</v>
      </c>
      <c r="QI110" s="45"/>
      <c r="QJ110" s="46">
        <v>120</v>
      </c>
      <c r="QK110" s="44">
        <v>120</v>
      </c>
      <c r="QL110" s="47">
        <v>0</v>
      </c>
      <c r="QM110" s="45"/>
      <c r="QN110" s="46">
        <v>0</v>
      </c>
      <c r="QO110" s="44">
        <v>0</v>
      </c>
      <c r="QP110" s="44">
        <v>0</v>
      </c>
      <c r="QQ110" s="44">
        <v>0</v>
      </c>
      <c r="QR110" s="47">
        <v>0</v>
      </c>
      <c r="QS110" s="45"/>
      <c r="QT110" s="46">
        <v>42</v>
      </c>
      <c r="QU110" s="44">
        <v>40</v>
      </c>
      <c r="QV110" s="47">
        <v>2</v>
      </c>
      <c r="QW110" s="45"/>
      <c r="QX110" s="46"/>
      <c r="RC110" s="45"/>
      <c r="RD110" s="42"/>
      <c r="RE110" s="44"/>
      <c r="RG110" s="44"/>
      <c r="RI110" s="45"/>
      <c r="RJ110" s="42"/>
      <c r="RO110" s="43"/>
      <c r="RP110" s="42"/>
      <c r="RS110" s="43"/>
      <c r="RT110" s="42"/>
      <c r="RY110" s="43"/>
      <c r="RZ110" s="42"/>
      <c r="SE110" s="43"/>
      <c r="SF110" s="42"/>
      <c r="SK110" s="43"/>
      <c r="SL110" s="42"/>
      <c r="SO110" s="43"/>
      <c r="SP110" s="42"/>
      <c r="SU110" s="43"/>
    </row>
    <row r="111" spans="1:515" x14ac:dyDescent="0.25">
      <c r="A111" s="47" t="s">
        <v>418</v>
      </c>
      <c r="B111" s="41">
        <v>1</v>
      </c>
      <c r="J111" s="42"/>
      <c r="K111" s="51"/>
      <c r="L111" s="51"/>
      <c r="M111" s="51"/>
      <c r="N111" s="51">
        <f t="shared" si="12"/>
        <v>0</v>
      </c>
      <c r="O111" s="43"/>
      <c r="P111" s="46"/>
      <c r="Q111" s="51"/>
      <c r="R111" s="51"/>
      <c r="S111" s="51"/>
      <c r="T111" s="51">
        <f t="shared" si="13"/>
        <v>0</v>
      </c>
      <c r="U111" s="43"/>
      <c r="V111" s="42"/>
      <c r="W111" s="51"/>
      <c r="X111" s="51"/>
      <c r="Y111" s="51"/>
      <c r="Z111" s="51">
        <f t="shared" si="14"/>
        <v>0</v>
      </c>
      <c r="AA111" s="43"/>
      <c r="AB111" s="42"/>
      <c r="AC111" s="51"/>
      <c r="AD111" s="51"/>
      <c r="AE111" s="51"/>
      <c r="AF111" s="51">
        <v>0</v>
      </c>
      <c r="AG111" s="43"/>
      <c r="AH111" s="51"/>
      <c r="AL111" s="47">
        <v>0</v>
      </c>
      <c r="AM111" s="43"/>
      <c r="AN111" s="42"/>
      <c r="AR111" s="47">
        <v>0</v>
      </c>
      <c r="AS111" s="43"/>
      <c r="AX111" s="47">
        <v>0</v>
      </c>
      <c r="AY111" s="43"/>
      <c r="BD111" s="47">
        <v>0</v>
      </c>
      <c r="BE111" s="43"/>
      <c r="BF111" s="42"/>
      <c r="BJ111" s="47">
        <v>0</v>
      </c>
      <c r="BK111" s="43"/>
      <c r="BL111" s="42"/>
      <c r="BP111" s="47">
        <v>0</v>
      </c>
      <c r="BQ111" s="43"/>
      <c r="BV111" s="47">
        <v>0</v>
      </c>
      <c r="BW111" s="43"/>
      <c r="BX111" s="42"/>
      <c r="CB111" s="47">
        <v>0</v>
      </c>
      <c r="CC111" s="43"/>
      <c r="CH111" s="47">
        <v>0</v>
      </c>
      <c r="CI111" s="43"/>
      <c r="CN111" s="47">
        <v>0</v>
      </c>
      <c r="CO111" s="43"/>
      <c r="CP111" s="42"/>
      <c r="CT111" s="47">
        <v>0</v>
      </c>
      <c r="CU111" s="43"/>
      <c r="CV111" s="42"/>
      <c r="CZ111" s="47">
        <v>0</v>
      </c>
      <c r="DA111" s="43"/>
      <c r="DG111" s="47">
        <v>0</v>
      </c>
      <c r="DH111" s="43"/>
      <c r="DK111" s="47">
        <v>0</v>
      </c>
      <c r="DL111" s="43"/>
      <c r="DM111" s="42"/>
      <c r="DQ111" s="47">
        <v>0</v>
      </c>
      <c r="DR111" s="43"/>
      <c r="DW111" s="47">
        <v>0</v>
      </c>
      <c r="DX111" s="43"/>
      <c r="EC111" s="47">
        <v>0</v>
      </c>
      <c r="ED111" s="43"/>
      <c r="EE111" s="42"/>
      <c r="EI111" s="47">
        <v>0</v>
      </c>
      <c r="EJ111" s="43"/>
      <c r="EO111" s="47">
        <v>0</v>
      </c>
      <c r="EP111" s="43"/>
      <c r="EQ111" s="42"/>
      <c r="ES111">
        <v>21</v>
      </c>
      <c r="ET111">
        <v>20</v>
      </c>
      <c r="EU111" s="47">
        <v>1</v>
      </c>
      <c r="EV111" s="43"/>
      <c r="EW111" s="42"/>
      <c r="FC111" s="47">
        <v>0</v>
      </c>
      <c r="FD111" s="43"/>
      <c r="FE111" s="42"/>
      <c r="FG111">
        <v>8</v>
      </c>
      <c r="FH111">
        <v>6</v>
      </c>
      <c r="FI111" s="47">
        <v>2</v>
      </c>
      <c r="FJ111" s="43"/>
      <c r="FM111">
        <v>60</v>
      </c>
      <c r="FN111">
        <v>56</v>
      </c>
      <c r="FQ111" s="47">
        <v>4</v>
      </c>
      <c r="FR111" s="43"/>
      <c r="FS111" s="42"/>
      <c r="FW111" s="47">
        <v>0</v>
      </c>
      <c r="FX111" s="43"/>
      <c r="FY111" s="42"/>
      <c r="GC111" s="47">
        <v>0</v>
      </c>
      <c r="GD111" s="43"/>
      <c r="GE111" s="40">
        <v>17</v>
      </c>
      <c r="GF111">
        <v>16</v>
      </c>
      <c r="GG111">
        <v>17</v>
      </c>
      <c r="GH111">
        <v>16</v>
      </c>
      <c r="GI111" s="47">
        <v>2</v>
      </c>
      <c r="GJ111" s="43"/>
      <c r="GO111">
        <v>4</v>
      </c>
      <c r="GP111">
        <v>4</v>
      </c>
      <c r="GQ111" s="47">
        <v>0</v>
      </c>
      <c r="GR111" s="43"/>
      <c r="GU111">
        <v>9</v>
      </c>
      <c r="GW111">
        <v>6</v>
      </c>
      <c r="GX111" s="47">
        <v>3</v>
      </c>
      <c r="GY111" s="43"/>
      <c r="GZ111" s="42"/>
      <c r="HC111" s="47">
        <v>0</v>
      </c>
      <c r="HD111" s="43"/>
      <c r="HE111" s="42"/>
      <c r="HH111" s="47">
        <v>0</v>
      </c>
      <c r="HI111" s="43"/>
      <c r="HN111" s="47">
        <v>0</v>
      </c>
      <c r="HO111" s="43"/>
      <c r="HP111" s="42"/>
      <c r="HU111" s="47">
        <v>0</v>
      </c>
      <c r="HV111" s="43"/>
      <c r="HY111">
        <v>35</v>
      </c>
      <c r="HZ111">
        <v>32</v>
      </c>
      <c r="IA111" s="47">
        <v>3</v>
      </c>
      <c r="IB111" s="43"/>
      <c r="IC111" s="42"/>
      <c r="IG111" s="47">
        <v>0</v>
      </c>
      <c r="IH111" s="43"/>
      <c r="IM111" s="47">
        <v>0</v>
      </c>
      <c r="IN111" s="43"/>
      <c r="IO111" s="42"/>
      <c r="IQ111" s="47">
        <v>0</v>
      </c>
      <c r="IR111" s="43"/>
      <c r="IS111" s="42"/>
      <c r="IU111">
        <v>43</v>
      </c>
      <c r="IV111">
        <v>39</v>
      </c>
      <c r="IW111" s="47">
        <v>4</v>
      </c>
      <c r="IX111" s="43"/>
      <c r="IY111" s="42"/>
      <c r="JA111" s="47">
        <v>0</v>
      </c>
      <c r="JB111" s="43"/>
      <c r="JC111" s="42"/>
      <c r="JE111">
        <v>26</v>
      </c>
      <c r="JF111">
        <v>24</v>
      </c>
      <c r="JG111" s="47">
        <v>2</v>
      </c>
      <c r="JH111" s="43"/>
      <c r="JM111">
        <v>22</v>
      </c>
      <c r="JN111">
        <v>20</v>
      </c>
      <c r="JO111" s="47">
        <v>2</v>
      </c>
      <c r="JP111" s="43"/>
      <c r="JQ111" s="42"/>
      <c r="JS111">
        <v>26</v>
      </c>
      <c r="JT111">
        <v>24</v>
      </c>
      <c r="JU111" s="47">
        <v>2</v>
      </c>
      <c r="JV111" s="43"/>
      <c r="JY111">
        <v>40</v>
      </c>
      <c r="JZ111">
        <v>36</v>
      </c>
      <c r="KA111" s="47">
        <v>4</v>
      </c>
      <c r="KB111" s="45"/>
      <c r="KE111">
        <v>17</v>
      </c>
      <c r="KF111">
        <v>16</v>
      </c>
      <c r="KG111" s="47">
        <v>1</v>
      </c>
      <c r="KH111" s="45"/>
      <c r="KI111">
        <v>8</v>
      </c>
      <c r="KJ111">
        <v>8</v>
      </c>
      <c r="KM111" s="47">
        <v>0</v>
      </c>
      <c r="KN111" s="45"/>
      <c r="KO111">
        <v>13</v>
      </c>
      <c r="KP111">
        <v>10</v>
      </c>
      <c r="KS111" s="47">
        <v>3</v>
      </c>
      <c r="KT111" s="43"/>
      <c r="KU111">
        <v>29</v>
      </c>
      <c r="KV111">
        <v>30</v>
      </c>
      <c r="KW111" s="47">
        <v>-1</v>
      </c>
      <c r="KX111" s="45"/>
      <c r="LC111" s="47">
        <v>0</v>
      </c>
      <c r="LD111" s="43"/>
      <c r="LE111" s="46"/>
      <c r="LG111" s="47">
        <v>0</v>
      </c>
      <c r="LH111" s="45"/>
      <c r="LK111">
        <v>34</v>
      </c>
      <c r="LL111">
        <v>32</v>
      </c>
      <c r="LM111" s="47">
        <v>2</v>
      </c>
      <c r="LN111" s="45"/>
      <c r="LO111">
        <v>13</v>
      </c>
      <c r="LP111">
        <v>10</v>
      </c>
      <c r="LS111" s="47">
        <v>3</v>
      </c>
      <c r="LT111" s="45"/>
      <c r="LW111">
        <v>21</v>
      </c>
      <c r="LX111">
        <v>20</v>
      </c>
      <c r="LY111" s="47">
        <v>1</v>
      </c>
      <c r="LZ111" s="45"/>
      <c r="MC111">
        <v>4</v>
      </c>
      <c r="MD111">
        <v>4</v>
      </c>
      <c r="ME111" s="47">
        <v>0</v>
      </c>
      <c r="MF111" s="45"/>
      <c r="MG111" s="46"/>
      <c r="MI111">
        <v>22</v>
      </c>
      <c r="MJ111">
        <v>20</v>
      </c>
      <c r="ML111">
        <v>10</v>
      </c>
      <c r="MM111" s="50">
        <v>-8</v>
      </c>
      <c r="MN111" s="45">
        <v>8</v>
      </c>
      <c r="MO111" s="44">
        <v>0</v>
      </c>
      <c r="MP111" s="44">
        <v>0</v>
      </c>
      <c r="MQ111" s="44">
        <v>21.608000000000001</v>
      </c>
      <c r="MR111" s="44">
        <v>21</v>
      </c>
      <c r="MS111" s="47">
        <v>0.60800000000000054</v>
      </c>
      <c r="MT111" s="45"/>
      <c r="MU111" s="44">
        <v>0</v>
      </c>
      <c r="MV111" s="44">
        <v>0</v>
      </c>
      <c r="MW111" s="44">
        <v>0</v>
      </c>
      <c r="MX111" s="44">
        <v>0</v>
      </c>
      <c r="MY111" s="47">
        <v>0</v>
      </c>
      <c r="MZ111" s="45"/>
      <c r="NA111" s="46">
        <v>16.971</v>
      </c>
      <c r="NB111" s="44">
        <v>17</v>
      </c>
      <c r="NC111" s="47">
        <v>-2.8999999999999911E-2</v>
      </c>
      <c r="ND111" s="45"/>
      <c r="NE111" s="46">
        <v>0</v>
      </c>
      <c r="NF111" s="44">
        <v>0</v>
      </c>
      <c r="NG111" s="44">
        <v>0</v>
      </c>
      <c r="NH111" s="44">
        <v>0</v>
      </c>
      <c r="NI111" s="44">
        <v>0</v>
      </c>
      <c r="NJ111" s="47">
        <v>0</v>
      </c>
      <c r="NK111" s="45"/>
      <c r="NL111" s="46">
        <v>0</v>
      </c>
      <c r="NM111" s="44">
        <v>0</v>
      </c>
      <c r="NN111" s="44">
        <v>68.988</v>
      </c>
      <c r="NO111" s="44">
        <v>64</v>
      </c>
      <c r="NP111" s="47">
        <v>4.9880000000000004</v>
      </c>
      <c r="NQ111" s="45"/>
      <c r="NR111" s="46">
        <v>0</v>
      </c>
      <c r="NS111" s="44">
        <v>0</v>
      </c>
      <c r="NT111" s="47">
        <v>0</v>
      </c>
      <c r="NU111" s="45"/>
      <c r="NV111" s="46">
        <v>8.6110000000000007</v>
      </c>
      <c r="NW111" s="44">
        <v>10</v>
      </c>
      <c r="NX111" s="44">
        <v>34.237000000000002</v>
      </c>
      <c r="NY111" s="44">
        <v>35</v>
      </c>
      <c r="NZ111" s="47">
        <v>-2.152000000000001</v>
      </c>
      <c r="OA111" s="45"/>
      <c r="OB111" s="46">
        <v>25.995000000000001</v>
      </c>
      <c r="OC111" s="44">
        <v>25</v>
      </c>
      <c r="OD111" s="47">
        <v>0.99500000000000099</v>
      </c>
      <c r="OE111" s="45"/>
      <c r="OF111" s="46">
        <v>0</v>
      </c>
      <c r="OG111" s="44">
        <v>0</v>
      </c>
      <c r="OH111" s="44">
        <v>21.257000000000001</v>
      </c>
      <c r="OI111" s="44">
        <v>21</v>
      </c>
      <c r="OJ111" s="47">
        <v>0.25700000000000139</v>
      </c>
      <c r="OK111" s="45"/>
      <c r="OL111" s="44">
        <v>0</v>
      </c>
      <c r="OM111" s="43"/>
      <c r="ON111" s="44">
        <v>0</v>
      </c>
      <c r="OO111" s="44">
        <v>0</v>
      </c>
      <c r="OP111" s="47">
        <v>0</v>
      </c>
      <c r="OQ111" s="45"/>
      <c r="OR111" s="46">
        <v>0</v>
      </c>
      <c r="OS111" s="44">
        <v>0</v>
      </c>
      <c r="OT111" s="44">
        <v>0</v>
      </c>
      <c r="OU111" s="44">
        <v>0</v>
      </c>
      <c r="OV111" s="47">
        <v>0</v>
      </c>
      <c r="OW111" s="45"/>
      <c r="OX111" s="46">
        <v>0</v>
      </c>
      <c r="OY111" s="44">
        <v>0</v>
      </c>
      <c r="OZ111" s="44">
        <v>0</v>
      </c>
      <c r="PA111" s="44">
        <v>0</v>
      </c>
      <c r="PB111" s="47">
        <v>0</v>
      </c>
      <c r="PC111" s="45"/>
      <c r="PD111" s="46">
        <v>0</v>
      </c>
      <c r="PE111" s="44">
        <v>0</v>
      </c>
      <c r="PF111" s="44">
        <v>137.73400000000001</v>
      </c>
      <c r="PG111" s="44">
        <v>135</v>
      </c>
      <c r="PH111" s="47">
        <v>2.7340000000000089</v>
      </c>
      <c r="PI111" s="45"/>
      <c r="PJ111" s="46">
        <v>0</v>
      </c>
      <c r="PK111" s="44">
        <v>0</v>
      </c>
      <c r="PL111" s="44">
        <v>8.5410000000000004</v>
      </c>
      <c r="PM111" s="44">
        <v>10</v>
      </c>
      <c r="PN111" s="47">
        <v>-1.4590000000000001</v>
      </c>
      <c r="PO111" s="45"/>
      <c r="PP111" s="46">
        <v>0</v>
      </c>
      <c r="PQ111" s="44">
        <v>0</v>
      </c>
      <c r="PR111" s="44">
        <v>8.4529999999999994</v>
      </c>
      <c r="PS111" s="44">
        <v>10</v>
      </c>
      <c r="PT111" s="47">
        <v>-1.547000000000001</v>
      </c>
      <c r="PU111" s="45"/>
      <c r="PV111" s="46">
        <v>76.685000000000002</v>
      </c>
      <c r="PW111" s="44">
        <v>75</v>
      </c>
      <c r="PX111" s="47">
        <v>1.6850000000000021</v>
      </c>
      <c r="PY111" s="45"/>
      <c r="PZ111" s="46">
        <v>0</v>
      </c>
      <c r="QA111" s="44">
        <v>0</v>
      </c>
      <c r="QB111" s="47">
        <v>0</v>
      </c>
      <c r="QC111" s="45"/>
      <c r="QD111" s="46">
        <v>0</v>
      </c>
      <c r="QE111" s="44">
        <v>0</v>
      </c>
      <c r="QF111" s="44">
        <v>43.162999999999997</v>
      </c>
      <c r="QG111" s="44">
        <v>41.607399999999998</v>
      </c>
      <c r="QH111" s="47">
        <v>1.5555999999999981</v>
      </c>
      <c r="QI111" s="45"/>
      <c r="QJ111" s="46">
        <v>34.741999999999997</v>
      </c>
      <c r="QK111" s="44">
        <v>35</v>
      </c>
      <c r="QL111" s="47">
        <v>-0.25800000000000273</v>
      </c>
      <c r="QM111" s="45"/>
      <c r="QN111" s="46">
        <v>0</v>
      </c>
      <c r="QO111" s="44">
        <v>0</v>
      </c>
      <c r="QP111" s="44">
        <v>0</v>
      </c>
      <c r="QQ111" s="44">
        <v>0</v>
      </c>
      <c r="QR111" s="47">
        <v>0</v>
      </c>
      <c r="QS111" s="45"/>
      <c r="QT111" s="46">
        <v>40.945999999999998</v>
      </c>
      <c r="QU111" s="44">
        <v>43</v>
      </c>
      <c r="QV111" s="47">
        <v>-2.054000000000002</v>
      </c>
      <c r="QW111" s="45"/>
      <c r="QX111" s="46">
        <v>0</v>
      </c>
      <c r="QY111" s="44">
        <v>0</v>
      </c>
      <c r="QZ111" s="44">
        <v>0</v>
      </c>
      <c r="RA111" s="44">
        <v>0</v>
      </c>
      <c r="RB111" s="47">
        <v>0</v>
      </c>
      <c r="RC111" s="45"/>
      <c r="RD111" s="42">
        <v>0</v>
      </c>
      <c r="RE111" s="44">
        <v>0</v>
      </c>
      <c r="RF111" s="44">
        <v>0</v>
      </c>
      <c r="RG111" s="44">
        <v>0</v>
      </c>
      <c r="RH111" s="47">
        <v>0</v>
      </c>
      <c r="RI111" s="45"/>
      <c r="RJ111" s="42">
        <v>0</v>
      </c>
      <c r="RK111" s="47">
        <v>0</v>
      </c>
      <c r="RL111" s="47">
        <v>48.889000000000003</v>
      </c>
      <c r="RM111" s="47">
        <v>50</v>
      </c>
      <c r="RN111" s="47">
        <v>-1.1109999999999971</v>
      </c>
      <c r="RO111" s="43"/>
      <c r="RP111" s="42">
        <v>37.976999999999997</v>
      </c>
      <c r="RQ111" s="47">
        <v>40</v>
      </c>
      <c r="RR111" s="47">
        <v>-2.0230000000000028</v>
      </c>
      <c r="RS111" s="43"/>
      <c r="RT111" s="42">
        <v>0</v>
      </c>
      <c r="RU111" s="47">
        <v>0</v>
      </c>
      <c r="RV111" s="47">
        <v>0</v>
      </c>
      <c r="RW111" s="47">
        <v>0</v>
      </c>
      <c r="RX111" s="47">
        <v>0</v>
      </c>
      <c r="RY111" s="43"/>
      <c r="RZ111" s="42">
        <v>0</v>
      </c>
      <c r="SA111" s="47">
        <v>0</v>
      </c>
      <c r="SB111" s="47">
        <v>0</v>
      </c>
      <c r="SC111" s="47">
        <v>0</v>
      </c>
      <c r="SD111" s="47">
        <v>0</v>
      </c>
      <c r="SE111" s="43"/>
      <c r="SF111" s="42">
        <v>0</v>
      </c>
      <c r="SG111" s="47">
        <v>0</v>
      </c>
      <c r="SH111" s="47">
        <v>0</v>
      </c>
      <c r="SI111" s="47">
        <v>0</v>
      </c>
      <c r="SJ111" s="47">
        <v>0</v>
      </c>
      <c r="SK111" s="43"/>
      <c r="SL111" s="42">
        <v>0</v>
      </c>
      <c r="SM111" s="47">
        <v>0</v>
      </c>
      <c r="SN111" s="47">
        <v>0</v>
      </c>
      <c r="SO111" s="43"/>
      <c r="SP111" s="42">
        <v>0</v>
      </c>
      <c r="SQ111" s="47">
        <v>0</v>
      </c>
      <c r="SR111" s="47">
        <v>0</v>
      </c>
      <c r="SS111" s="47">
        <v>0</v>
      </c>
      <c r="ST111" s="47">
        <v>0</v>
      </c>
      <c r="SU111" s="43"/>
    </row>
    <row r="112" spans="1:515" x14ac:dyDescent="0.25">
      <c r="A112" s="47" t="s">
        <v>419</v>
      </c>
      <c r="B112" s="41">
        <v>0.41</v>
      </c>
      <c r="J112" s="42"/>
      <c r="K112" s="51"/>
      <c r="L112" s="51"/>
      <c r="M112" s="51"/>
      <c r="N112" s="51">
        <f t="shared" si="12"/>
        <v>0</v>
      </c>
      <c r="O112" s="43"/>
      <c r="P112" s="46"/>
      <c r="Q112" s="51"/>
      <c r="R112" s="51"/>
      <c r="S112" s="51"/>
      <c r="T112" s="51">
        <f t="shared" si="13"/>
        <v>0</v>
      </c>
      <c r="U112" s="43"/>
      <c r="V112" s="42"/>
      <c r="W112" s="51"/>
      <c r="X112" s="51"/>
      <c r="Y112" s="51"/>
      <c r="Z112" s="51">
        <f t="shared" si="14"/>
        <v>0</v>
      </c>
      <c r="AA112" s="43"/>
      <c r="AB112" s="42"/>
      <c r="AC112" s="51"/>
      <c r="AD112" s="51"/>
      <c r="AE112" s="51"/>
      <c r="AF112" s="51">
        <v>0</v>
      </c>
      <c r="AG112" s="43"/>
      <c r="AH112" s="51"/>
      <c r="AL112" s="47">
        <v>0</v>
      </c>
      <c r="AM112" s="43"/>
      <c r="AN112" s="42"/>
      <c r="AR112" s="47">
        <v>0</v>
      </c>
      <c r="AS112" s="43"/>
      <c r="AX112" s="47">
        <v>0</v>
      </c>
      <c r="AY112" s="43"/>
      <c r="BC112">
        <v>6</v>
      </c>
      <c r="BD112" s="50">
        <v>-6</v>
      </c>
      <c r="BE112" s="43">
        <v>2.46</v>
      </c>
      <c r="BF112" s="42"/>
      <c r="BI112">
        <v>16</v>
      </c>
      <c r="BJ112" s="50">
        <v>-16</v>
      </c>
      <c r="BK112" s="43">
        <v>6.56</v>
      </c>
      <c r="BL112" s="42"/>
      <c r="BP112" s="47">
        <v>0</v>
      </c>
      <c r="BQ112" s="43"/>
      <c r="BS112">
        <v>30</v>
      </c>
      <c r="BU112">
        <v>45</v>
      </c>
      <c r="BV112" s="50">
        <v>-75</v>
      </c>
      <c r="BW112" s="43">
        <v>30.75</v>
      </c>
      <c r="BX112" s="42"/>
      <c r="CB112" s="47">
        <v>0</v>
      </c>
      <c r="CC112" s="43"/>
      <c r="CF112">
        <v>42</v>
      </c>
      <c r="CG112">
        <v>44</v>
      </c>
      <c r="CH112" s="47">
        <v>-2</v>
      </c>
      <c r="CI112" s="43"/>
      <c r="CN112" s="47">
        <v>0</v>
      </c>
      <c r="CO112" s="43"/>
      <c r="CP112" s="42"/>
      <c r="CR112">
        <v>30</v>
      </c>
      <c r="CS112">
        <v>30</v>
      </c>
      <c r="CT112" s="47">
        <v>0</v>
      </c>
      <c r="CU112" s="43"/>
      <c r="CV112" s="42"/>
      <c r="CX112">
        <v>30</v>
      </c>
      <c r="CY112">
        <v>30</v>
      </c>
      <c r="CZ112" s="47">
        <v>0</v>
      </c>
      <c r="DA112" s="43"/>
      <c r="DE112">
        <v>12</v>
      </c>
      <c r="DF112">
        <v>15</v>
      </c>
      <c r="DG112" s="47">
        <v>-3</v>
      </c>
      <c r="DH112" s="43"/>
      <c r="DK112" s="47">
        <v>0</v>
      </c>
      <c r="DL112" s="43"/>
      <c r="DM112" s="42"/>
      <c r="DQ112" s="47">
        <v>0</v>
      </c>
      <c r="DR112" s="43"/>
      <c r="DW112" s="47">
        <v>0</v>
      </c>
      <c r="DX112" s="43"/>
      <c r="EC112" s="47">
        <v>0</v>
      </c>
      <c r="ED112" s="43"/>
      <c r="EE112" s="42"/>
      <c r="EG112">
        <v>192</v>
      </c>
      <c r="EH112">
        <v>191</v>
      </c>
      <c r="EI112" s="47">
        <v>1</v>
      </c>
      <c r="EJ112" s="43"/>
      <c r="EM112">
        <v>120</v>
      </c>
      <c r="EN112">
        <v>121</v>
      </c>
      <c r="EO112" s="47">
        <v>-1</v>
      </c>
      <c r="EP112" s="43"/>
      <c r="EQ112" s="42"/>
      <c r="ES112">
        <v>30</v>
      </c>
      <c r="ET112">
        <v>31</v>
      </c>
      <c r="EU112" s="47">
        <v>-1</v>
      </c>
      <c r="EV112" s="43"/>
      <c r="EW112" s="42"/>
      <c r="FC112" s="47">
        <v>0</v>
      </c>
      <c r="FD112" s="43"/>
      <c r="FE112" s="40">
        <v>60</v>
      </c>
      <c r="FF112">
        <v>60</v>
      </c>
      <c r="FG112">
        <v>102</v>
      </c>
      <c r="FH112">
        <v>100</v>
      </c>
      <c r="FI112" s="47">
        <v>2</v>
      </c>
      <c r="FJ112" s="43"/>
      <c r="FQ112" s="47">
        <v>0</v>
      </c>
      <c r="FR112" s="43"/>
      <c r="FS112" s="42"/>
      <c r="FU112">
        <v>360</v>
      </c>
      <c r="FV112">
        <v>360</v>
      </c>
      <c r="FW112" s="47">
        <v>0</v>
      </c>
      <c r="FX112" s="43"/>
      <c r="FY112" s="42"/>
      <c r="GA112">
        <v>96</v>
      </c>
      <c r="GB112">
        <v>96</v>
      </c>
      <c r="GC112" s="47">
        <v>0</v>
      </c>
      <c r="GD112" s="43"/>
      <c r="GE112" s="40">
        <v>72</v>
      </c>
      <c r="GF112">
        <v>72</v>
      </c>
      <c r="GI112" s="47">
        <v>0</v>
      </c>
      <c r="GJ112" s="43"/>
      <c r="GK112">
        <v>60</v>
      </c>
      <c r="GL112">
        <v>60</v>
      </c>
      <c r="GM112">
        <v>60</v>
      </c>
      <c r="GN112">
        <v>60</v>
      </c>
      <c r="GO112">
        <v>108</v>
      </c>
      <c r="GP112">
        <v>110</v>
      </c>
      <c r="GQ112" s="47">
        <v>-2</v>
      </c>
      <c r="GR112" s="43"/>
      <c r="GS112">
        <v>60</v>
      </c>
      <c r="GT112">
        <v>60</v>
      </c>
      <c r="GU112">
        <v>42</v>
      </c>
      <c r="GW112">
        <v>40</v>
      </c>
      <c r="GX112" s="47">
        <v>2</v>
      </c>
      <c r="GY112" s="43"/>
      <c r="GZ112" s="42"/>
      <c r="HC112" s="47">
        <v>0</v>
      </c>
      <c r="HD112" s="43"/>
      <c r="HE112" s="40">
        <v>240</v>
      </c>
      <c r="HG112">
        <v>243</v>
      </c>
      <c r="HH112" s="47">
        <v>-3</v>
      </c>
      <c r="HI112" s="43"/>
      <c r="HJ112">
        <v>72</v>
      </c>
      <c r="HM112">
        <v>70</v>
      </c>
      <c r="HN112" s="47">
        <v>2</v>
      </c>
      <c r="HO112" s="43"/>
      <c r="HP112" s="42"/>
      <c r="HU112" s="47">
        <v>0</v>
      </c>
      <c r="HV112" s="43"/>
      <c r="HW112">
        <v>30</v>
      </c>
      <c r="HX112">
        <v>30</v>
      </c>
      <c r="HY112">
        <v>30</v>
      </c>
      <c r="HZ112">
        <v>30</v>
      </c>
      <c r="IA112" s="47">
        <v>0</v>
      </c>
      <c r="IB112" s="43"/>
      <c r="IC112" s="42"/>
      <c r="IE112">
        <v>312</v>
      </c>
      <c r="IF112">
        <v>310</v>
      </c>
      <c r="IG112" s="47">
        <v>2</v>
      </c>
      <c r="IH112" s="43"/>
      <c r="IK112">
        <v>120</v>
      </c>
      <c r="IL112">
        <v>120</v>
      </c>
      <c r="IM112" s="47">
        <v>0</v>
      </c>
      <c r="IN112" s="43"/>
      <c r="IO112" s="42"/>
      <c r="IQ112" s="47">
        <v>0</v>
      </c>
      <c r="IR112" s="43"/>
      <c r="IS112" s="40">
        <v>102</v>
      </c>
      <c r="IT112">
        <v>100</v>
      </c>
      <c r="IU112">
        <v>102</v>
      </c>
      <c r="IV112">
        <v>104</v>
      </c>
      <c r="IW112" s="47">
        <v>0</v>
      </c>
      <c r="IX112" s="43"/>
      <c r="IY112" s="40">
        <v>42</v>
      </c>
      <c r="IZ112">
        <v>40</v>
      </c>
      <c r="JA112" s="47">
        <v>2</v>
      </c>
      <c r="JB112" s="43"/>
      <c r="JC112" s="40">
        <v>48</v>
      </c>
      <c r="JD112">
        <v>50</v>
      </c>
      <c r="JE112">
        <v>78</v>
      </c>
      <c r="JF112">
        <v>80</v>
      </c>
      <c r="JG112" s="47">
        <v>-4</v>
      </c>
      <c r="JH112" s="43"/>
      <c r="JM112">
        <v>192</v>
      </c>
      <c r="JN112">
        <v>190</v>
      </c>
      <c r="JO112" s="47">
        <v>2</v>
      </c>
      <c r="JP112" s="43"/>
      <c r="JQ112" s="42"/>
      <c r="JS112">
        <v>30</v>
      </c>
      <c r="JT112">
        <v>30</v>
      </c>
      <c r="JU112" s="47">
        <v>0</v>
      </c>
      <c r="JV112" s="43"/>
      <c r="JW112">
        <v>150</v>
      </c>
      <c r="JX112">
        <v>150</v>
      </c>
      <c r="JY112">
        <v>198</v>
      </c>
      <c r="JZ112">
        <v>200</v>
      </c>
      <c r="KA112" s="47">
        <v>-2</v>
      </c>
      <c r="KB112" s="45"/>
      <c r="KE112">
        <v>192</v>
      </c>
      <c r="KF112">
        <v>190</v>
      </c>
      <c r="KG112" s="47">
        <v>2</v>
      </c>
      <c r="KH112" s="45"/>
      <c r="KI112">
        <v>150</v>
      </c>
      <c r="KJ112">
        <v>150</v>
      </c>
      <c r="KK112">
        <v>132</v>
      </c>
      <c r="KL112">
        <v>135</v>
      </c>
      <c r="KM112" s="47">
        <v>-3</v>
      </c>
      <c r="KN112" s="45"/>
      <c r="KO112">
        <v>18</v>
      </c>
      <c r="KP112">
        <v>20</v>
      </c>
      <c r="KS112" s="47">
        <v>-2</v>
      </c>
      <c r="KT112" s="43"/>
      <c r="KU112">
        <v>60</v>
      </c>
      <c r="KV112">
        <v>60</v>
      </c>
      <c r="KW112" s="47">
        <v>0</v>
      </c>
      <c r="KX112" s="45"/>
      <c r="KY112">
        <v>78</v>
      </c>
      <c r="KZ112">
        <v>80</v>
      </c>
      <c r="LA112">
        <v>78</v>
      </c>
      <c r="LB112">
        <v>78</v>
      </c>
      <c r="LC112" s="47">
        <v>-2</v>
      </c>
      <c r="LD112" s="43"/>
      <c r="LE112" s="40">
        <v>162</v>
      </c>
      <c r="LF112" s="44">
        <v>160</v>
      </c>
      <c r="LG112" s="47">
        <v>2</v>
      </c>
      <c r="LH112" s="45"/>
      <c r="LK112">
        <v>72</v>
      </c>
      <c r="LL112">
        <v>70</v>
      </c>
      <c r="LM112" s="47">
        <v>2</v>
      </c>
      <c r="LN112" s="45"/>
      <c r="LQ112">
        <v>168</v>
      </c>
      <c r="LR112">
        <v>170</v>
      </c>
      <c r="LS112" s="47">
        <v>-2</v>
      </c>
      <c r="LT112" s="45"/>
      <c r="LW112">
        <v>60</v>
      </c>
      <c r="LX112">
        <v>60</v>
      </c>
      <c r="LY112" s="47">
        <v>0</v>
      </c>
      <c r="LZ112" s="45"/>
      <c r="MA112">
        <v>48</v>
      </c>
      <c r="MB112">
        <v>50</v>
      </c>
      <c r="MC112">
        <v>138</v>
      </c>
      <c r="MD112">
        <v>140</v>
      </c>
      <c r="ME112" s="47">
        <v>-4</v>
      </c>
      <c r="MF112" s="45"/>
      <c r="MG112" s="40">
        <v>48</v>
      </c>
      <c r="MH112">
        <v>50</v>
      </c>
      <c r="MI112">
        <v>48</v>
      </c>
      <c r="MJ112">
        <v>50</v>
      </c>
      <c r="MK112">
        <v>30</v>
      </c>
      <c r="ML112">
        <v>40</v>
      </c>
      <c r="MM112" s="50">
        <v>-14</v>
      </c>
      <c r="MN112" s="45">
        <v>5.7399999999999993</v>
      </c>
      <c r="MO112" s="44">
        <v>0</v>
      </c>
      <c r="MP112" s="44">
        <v>0</v>
      </c>
      <c r="MQ112" s="44">
        <v>60</v>
      </c>
      <c r="MR112" s="44">
        <v>60</v>
      </c>
      <c r="MS112" s="47">
        <v>0</v>
      </c>
      <c r="MT112" s="45"/>
      <c r="MU112" s="44">
        <v>0</v>
      </c>
      <c r="MV112" s="44">
        <v>0</v>
      </c>
      <c r="MW112" s="44">
        <v>162</v>
      </c>
      <c r="MX112" s="44">
        <v>160</v>
      </c>
      <c r="MY112" s="47">
        <v>2</v>
      </c>
      <c r="MZ112" s="45"/>
      <c r="NA112" s="46">
        <v>138</v>
      </c>
      <c r="NB112" s="44">
        <v>140</v>
      </c>
      <c r="NC112" s="47">
        <v>-2</v>
      </c>
      <c r="ND112" s="45"/>
      <c r="NE112" s="46">
        <v>120</v>
      </c>
      <c r="NF112" s="44">
        <v>120</v>
      </c>
      <c r="NG112" s="44">
        <v>102</v>
      </c>
      <c r="NH112" s="44">
        <v>0</v>
      </c>
      <c r="NI112" s="44">
        <v>100</v>
      </c>
      <c r="NJ112" s="47">
        <v>2</v>
      </c>
      <c r="NK112" s="45"/>
      <c r="NL112" s="46">
        <v>120</v>
      </c>
      <c r="NM112" s="44">
        <v>120</v>
      </c>
      <c r="NN112" s="44">
        <v>102</v>
      </c>
      <c r="NO112" s="44">
        <v>100</v>
      </c>
      <c r="NP112" s="47">
        <v>2</v>
      </c>
      <c r="NQ112" s="45"/>
      <c r="NR112" s="46">
        <v>96</v>
      </c>
      <c r="NS112" s="44">
        <v>96</v>
      </c>
      <c r="NT112" s="47">
        <v>0</v>
      </c>
      <c r="NU112" s="45"/>
      <c r="NV112" s="46">
        <v>0</v>
      </c>
      <c r="NW112" s="44">
        <v>0</v>
      </c>
      <c r="NX112" s="44">
        <v>102</v>
      </c>
      <c r="NY112" s="44">
        <v>100</v>
      </c>
      <c r="NZ112" s="47">
        <v>2</v>
      </c>
      <c r="OA112" s="45"/>
      <c r="OB112" s="46">
        <v>48</v>
      </c>
      <c r="OC112" s="44">
        <v>50</v>
      </c>
      <c r="OD112" s="47">
        <v>-2</v>
      </c>
      <c r="OE112" s="45"/>
      <c r="OF112" s="46">
        <v>0</v>
      </c>
      <c r="OG112" s="44">
        <v>0</v>
      </c>
      <c r="OH112" s="44">
        <v>78</v>
      </c>
      <c r="OI112" s="44">
        <v>78</v>
      </c>
      <c r="OJ112" s="47">
        <v>0</v>
      </c>
      <c r="OK112" s="45"/>
      <c r="OL112" s="44">
        <v>48</v>
      </c>
      <c r="OM112" s="43">
        <v>-19.68</v>
      </c>
      <c r="ON112" s="44">
        <v>0</v>
      </c>
      <c r="OO112" s="44">
        <v>48</v>
      </c>
      <c r="OP112" s="50">
        <v>-48</v>
      </c>
      <c r="OQ112" s="45">
        <v>19.68</v>
      </c>
      <c r="OR112" s="46">
        <v>0</v>
      </c>
      <c r="OS112" s="44">
        <v>0</v>
      </c>
      <c r="OT112" s="44">
        <v>30</v>
      </c>
      <c r="OU112" s="44">
        <v>30</v>
      </c>
      <c r="OV112" s="47">
        <v>0</v>
      </c>
      <c r="OW112" s="45"/>
      <c r="OX112" s="46">
        <v>0</v>
      </c>
      <c r="OY112" s="44">
        <v>0</v>
      </c>
      <c r="OZ112" s="44">
        <v>60</v>
      </c>
      <c r="PA112" s="44">
        <v>59</v>
      </c>
      <c r="PB112" s="47">
        <v>1</v>
      </c>
      <c r="PC112" s="45"/>
      <c r="PD112" s="46">
        <v>0</v>
      </c>
      <c r="PE112" s="44">
        <v>0</v>
      </c>
      <c r="PF112" s="44">
        <v>132</v>
      </c>
      <c r="PG112" s="44">
        <v>130</v>
      </c>
      <c r="PH112" s="47">
        <v>2</v>
      </c>
      <c r="PI112" s="45"/>
      <c r="PJ112" s="46">
        <v>0</v>
      </c>
      <c r="PK112" s="44">
        <v>0</v>
      </c>
      <c r="PL112" s="44">
        <v>30</v>
      </c>
      <c r="PM112" s="44">
        <v>30</v>
      </c>
      <c r="PN112" s="47">
        <v>0</v>
      </c>
      <c r="PO112" s="45"/>
      <c r="PP112" s="46">
        <v>0</v>
      </c>
      <c r="PQ112" s="44">
        <v>0</v>
      </c>
      <c r="PR112" s="44">
        <v>72</v>
      </c>
      <c r="PS112" s="44">
        <v>70</v>
      </c>
      <c r="PT112" s="47">
        <v>2</v>
      </c>
      <c r="PU112" s="45"/>
      <c r="PV112" s="46">
        <v>102</v>
      </c>
      <c r="PW112" s="44">
        <v>100</v>
      </c>
      <c r="PX112" s="47">
        <v>2</v>
      </c>
      <c r="PY112" s="45"/>
      <c r="PZ112" s="46">
        <v>78</v>
      </c>
      <c r="QA112" s="44">
        <v>80</v>
      </c>
      <c r="QB112" s="47">
        <v>-2</v>
      </c>
      <c r="QC112" s="45"/>
      <c r="QD112" s="46">
        <v>0</v>
      </c>
      <c r="QE112" s="44">
        <v>0</v>
      </c>
      <c r="QF112" s="44">
        <v>30</v>
      </c>
      <c r="QG112" s="44">
        <v>30</v>
      </c>
      <c r="QH112" s="47">
        <v>0</v>
      </c>
      <c r="QI112" s="45"/>
      <c r="QJ112" s="46">
        <v>120</v>
      </c>
      <c r="QK112" s="44">
        <v>120</v>
      </c>
      <c r="QL112" s="47">
        <v>0</v>
      </c>
      <c r="QM112" s="45"/>
      <c r="QN112" s="46">
        <v>0</v>
      </c>
      <c r="QO112" s="44">
        <v>0</v>
      </c>
      <c r="QP112" s="44">
        <v>0</v>
      </c>
      <c r="QQ112" s="44">
        <v>0</v>
      </c>
      <c r="QR112" s="47">
        <v>0</v>
      </c>
      <c r="QS112" s="45"/>
      <c r="QT112" s="46">
        <v>42</v>
      </c>
      <c r="QU112" s="44">
        <v>40</v>
      </c>
      <c r="QV112" s="47">
        <v>2</v>
      </c>
      <c r="QW112" s="45"/>
      <c r="QX112" s="46"/>
      <c r="RC112" s="45"/>
      <c r="RD112" s="42"/>
      <c r="RE112" s="44"/>
      <c r="RG112" s="44"/>
      <c r="RI112" s="45"/>
      <c r="RJ112" s="42"/>
      <c r="RO112" s="43"/>
      <c r="RP112" s="42"/>
      <c r="RS112" s="43"/>
      <c r="RT112" s="42"/>
      <c r="RY112" s="43"/>
      <c r="RZ112" s="42"/>
      <c r="SE112" s="43"/>
      <c r="SF112" s="42"/>
      <c r="SK112" s="43"/>
      <c r="SL112" s="42"/>
      <c r="SO112" s="43"/>
      <c r="SP112" s="42"/>
      <c r="SU112" s="43"/>
    </row>
    <row r="113" spans="1:515" x14ac:dyDescent="0.25">
      <c r="A113" s="47" t="s">
        <v>420</v>
      </c>
      <c r="B113" s="41">
        <v>1</v>
      </c>
      <c r="J113" s="42"/>
      <c r="K113" s="51"/>
      <c r="L113" s="51"/>
      <c r="M113" s="51"/>
      <c r="N113" s="51">
        <f t="shared" si="12"/>
        <v>0</v>
      </c>
      <c r="O113" s="43"/>
      <c r="P113" s="46"/>
      <c r="Q113" s="51"/>
      <c r="R113" s="51"/>
      <c r="S113" s="51"/>
      <c r="T113" s="51">
        <f t="shared" si="13"/>
        <v>0</v>
      </c>
      <c r="U113" s="43"/>
      <c r="V113" s="42"/>
      <c r="W113" s="51"/>
      <c r="X113" s="51"/>
      <c r="Y113" s="51"/>
      <c r="Z113" s="51">
        <f t="shared" si="14"/>
        <v>0</v>
      </c>
      <c r="AA113" s="43"/>
      <c r="AB113" s="42"/>
      <c r="AC113" s="51"/>
      <c r="AD113" s="51"/>
      <c r="AE113" s="51"/>
      <c r="AF113" s="51">
        <v>0</v>
      </c>
      <c r="AG113" s="43"/>
      <c r="AH113" s="51"/>
      <c r="AL113" s="47">
        <v>0</v>
      </c>
      <c r="AM113" s="43"/>
      <c r="AN113" s="42"/>
      <c r="AR113" s="47">
        <v>0</v>
      </c>
      <c r="AS113" s="43"/>
      <c r="AX113" s="47">
        <v>0</v>
      </c>
      <c r="AY113" s="43"/>
      <c r="BD113" s="47">
        <v>0</v>
      </c>
      <c r="BE113" s="43"/>
      <c r="BF113" s="42"/>
      <c r="BJ113" s="47">
        <v>0</v>
      </c>
      <c r="BK113" s="43"/>
      <c r="BL113" s="42"/>
      <c r="BP113" s="47">
        <v>0</v>
      </c>
      <c r="BQ113" s="43"/>
      <c r="BV113" s="47">
        <v>0</v>
      </c>
      <c r="BW113" s="43"/>
      <c r="BX113" s="42"/>
      <c r="CB113" s="47">
        <v>0</v>
      </c>
      <c r="CC113" s="43"/>
      <c r="CH113" s="47">
        <v>0</v>
      </c>
      <c r="CI113" s="43"/>
      <c r="CN113" s="47">
        <v>0</v>
      </c>
      <c r="CO113" s="43"/>
      <c r="CP113" s="42"/>
      <c r="CT113" s="47">
        <v>0</v>
      </c>
      <c r="CU113" s="43"/>
      <c r="CV113" s="42"/>
      <c r="CZ113" s="47">
        <v>0</v>
      </c>
      <c r="DA113" s="43"/>
      <c r="DG113" s="47">
        <v>0</v>
      </c>
      <c r="DH113" s="43"/>
      <c r="DK113" s="47">
        <v>0</v>
      </c>
      <c r="DL113" s="43"/>
      <c r="DM113" s="42"/>
      <c r="DQ113" s="47">
        <v>0</v>
      </c>
      <c r="DR113" s="43"/>
      <c r="DW113" s="47">
        <v>0</v>
      </c>
      <c r="DX113" s="43"/>
      <c r="EC113" s="47">
        <v>0</v>
      </c>
      <c r="ED113" s="43"/>
      <c r="EE113" s="42"/>
      <c r="EI113" s="47">
        <v>0</v>
      </c>
      <c r="EJ113" s="43"/>
      <c r="EO113" s="47">
        <v>0</v>
      </c>
      <c r="EP113" s="43"/>
      <c r="EQ113" s="42"/>
      <c r="EU113" s="47">
        <v>0</v>
      </c>
      <c r="EV113" s="43"/>
      <c r="EW113" s="42"/>
      <c r="FC113" s="47">
        <v>0</v>
      </c>
      <c r="FD113" s="43"/>
      <c r="FE113" s="42"/>
      <c r="FI113" s="47">
        <v>0</v>
      </c>
      <c r="FJ113" s="43"/>
      <c r="FQ113" s="47">
        <v>0</v>
      </c>
      <c r="FR113" s="43"/>
      <c r="FS113" s="42"/>
      <c r="FW113" s="47">
        <v>0</v>
      </c>
      <c r="FX113" s="43"/>
      <c r="FY113" s="42"/>
      <c r="GC113" s="47">
        <v>0</v>
      </c>
      <c r="GD113" s="43"/>
      <c r="GE113" s="42"/>
      <c r="GI113" s="47">
        <v>0</v>
      </c>
      <c r="GJ113" s="43"/>
      <c r="GQ113" s="47">
        <v>0</v>
      </c>
      <c r="GR113" s="43"/>
      <c r="GX113" s="47">
        <v>0</v>
      </c>
      <c r="GY113" s="43"/>
      <c r="GZ113" s="42"/>
      <c r="HC113" s="47">
        <v>0</v>
      </c>
      <c r="HD113" s="43"/>
      <c r="HE113" s="42"/>
      <c r="HH113" s="47">
        <v>0</v>
      </c>
      <c r="HI113" s="43"/>
      <c r="HN113" s="47">
        <v>0</v>
      </c>
      <c r="HO113" s="43"/>
      <c r="HP113" s="42"/>
      <c r="HU113" s="47">
        <v>0</v>
      </c>
      <c r="HV113" s="43"/>
      <c r="IA113" s="47">
        <v>0</v>
      </c>
      <c r="IB113" s="43"/>
      <c r="IC113" s="42"/>
      <c r="IG113" s="47">
        <v>0</v>
      </c>
      <c r="IH113" s="43"/>
      <c r="IM113" s="47">
        <v>0</v>
      </c>
      <c r="IN113" s="43"/>
      <c r="IO113" s="42"/>
      <c r="IQ113" s="47">
        <v>0</v>
      </c>
      <c r="IR113" s="43"/>
      <c r="IS113" s="42"/>
      <c r="IW113" s="47">
        <v>0</v>
      </c>
      <c r="IX113" s="43"/>
      <c r="IY113" s="42"/>
      <c r="JA113" s="47">
        <v>0</v>
      </c>
      <c r="JB113" s="43"/>
      <c r="JC113" s="42"/>
      <c r="JG113" s="47">
        <v>0</v>
      </c>
      <c r="JH113" s="43"/>
      <c r="JO113" s="47">
        <v>0</v>
      </c>
      <c r="JP113" s="43"/>
      <c r="JQ113" s="42"/>
      <c r="JU113" s="47">
        <v>0</v>
      </c>
      <c r="JV113" s="43"/>
      <c r="KA113" s="47">
        <v>0</v>
      </c>
      <c r="KB113" s="45"/>
      <c r="KG113" s="47">
        <v>0</v>
      </c>
      <c r="KH113" s="45"/>
      <c r="KM113" s="47">
        <v>0</v>
      </c>
      <c r="KN113" s="45"/>
      <c r="KS113" s="47">
        <v>0</v>
      </c>
      <c r="KT113" s="43"/>
      <c r="KW113" s="47">
        <v>0</v>
      </c>
      <c r="KX113" s="45"/>
      <c r="LC113" s="47">
        <v>0</v>
      </c>
      <c r="LD113" s="43"/>
      <c r="LE113" s="46"/>
      <c r="LG113" s="47">
        <v>0</v>
      </c>
      <c r="LH113" s="45"/>
      <c r="LM113" s="47">
        <v>0</v>
      </c>
      <c r="LN113" s="45"/>
      <c r="LS113" s="47">
        <v>0</v>
      </c>
      <c r="LT113" s="45"/>
      <c r="LY113" s="47">
        <v>0</v>
      </c>
      <c r="LZ113" s="45"/>
      <c r="ME113" s="47">
        <v>0</v>
      </c>
      <c r="MF113" s="45"/>
      <c r="MG113" s="46"/>
      <c r="MM113" s="47">
        <v>0</v>
      </c>
      <c r="MN113" s="45"/>
      <c r="MO113" s="44">
        <v>0</v>
      </c>
      <c r="MP113" s="44">
        <v>0</v>
      </c>
      <c r="MQ113" s="44">
        <v>0</v>
      </c>
      <c r="MR113" s="44">
        <v>0</v>
      </c>
      <c r="MS113" s="47">
        <v>0</v>
      </c>
      <c r="MT113" s="45"/>
      <c r="MU113" s="44">
        <v>0</v>
      </c>
      <c r="MV113" s="44">
        <v>0</v>
      </c>
      <c r="MW113" s="44">
        <v>0</v>
      </c>
      <c r="MX113" s="44">
        <v>0</v>
      </c>
      <c r="MY113" s="47">
        <v>0</v>
      </c>
      <c r="MZ113" s="45"/>
      <c r="NA113" s="46">
        <v>0</v>
      </c>
      <c r="NB113" s="44">
        <v>0</v>
      </c>
      <c r="NC113" s="47">
        <v>0</v>
      </c>
      <c r="ND113" s="45"/>
      <c r="NE113" s="46">
        <v>0</v>
      </c>
      <c r="NF113" s="44">
        <v>0</v>
      </c>
      <c r="NG113" s="44">
        <v>0</v>
      </c>
      <c r="NH113" s="44">
        <v>0</v>
      </c>
      <c r="NI113" s="44">
        <v>0</v>
      </c>
      <c r="NJ113" s="47">
        <v>0</v>
      </c>
      <c r="NK113" s="45"/>
      <c r="NL113" s="46">
        <v>0</v>
      </c>
      <c r="NM113" s="44">
        <v>0</v>
      </c>
      <c r="NN113" s="44">
        <v>0</v>
      </c>
      <c r="NO113" s="44">
        <v>0</v>
      </c>
      <c r="NP113" s="47">
        <v>0</v>
      </c>
      <c r="NQ113" s="45"/>
      <c r="NR113" s="46">
        <v>0</v>
      </c>
      <c r="NS113" s="44">
        <v>0</v>
      </c>
      <c r="NT113" s="47">
        <v>0</v>
      </c>
      <c r="NU113" s="45"/>
      <c r="NV113" s="46">
        <v>0</v>
      </c>
      <c r="NW113" s="44">
        <v>0</v>
      </c>
      <c r="NX113" s="44">
        <v>0</v>
      </c>
      <c r="NY113" s="44">
        <v>0</v>
      </c>
      <c r="NZ113" s="47">
        <v>0</v>
      </c>
      <c r="OA113" s="45"/>
      <c r="OB113" s="46">
        <v>0</v>
      </c>
      <c r="OC113" s="44">
        <v>0</v>
      </c>
      <c r="OD113" s="47">
        <v>0</v>
      </c>
      <c r="OE113" s="45"/>
      <c r="OF113" s="46">
        <v>0</v>
      </c>
      <c r="OG113" s="44">
        <v>0</v>
      </c>
      <c r="OH113" s="44">
        <v>0</v>
      </c>
      <c r="OI113" s="44">
        <v>0</v>
      </c>
      <c r="OJ113" s="47">
        <v>0</v>
      </c>
      <c r="OK113" s="45"/>
      <c r="OL113" s="44">
        <v>0</v>
      </c>
      <c r="OM113" s="43"/>
      <c r="ON113" s="44">
        <v>0</v>
      </c>
      <c r="OO113" s="44">
        <v>0</v>
      </c>
      <c r="OP113" s="47">
        <v>0</v>
      </c>
      <c r="OQ113" s="45"/>
      <c r="OR113" s="46">
        <v>0</v>
      </c>
      <c r="OS113" s="44">
        <v>0</v>
      </c>
      <c r="OT113" s="44">
        <v>0</v>
      </c>
      <c r="OU113" s="44">
        <v>0</v>
      </c>
      <c r="OV113" s="47">
        <v>0</v>
      </c>
      <c r="OW113" s="45"/>
      <c r="OX113" s="46">
        <v>0</v>
      </c>
      <c r="OY113" s="44">
        <v>0</v>
      </c>
      <c r="OZ113" s="44">
        <v>0</v>
      </c>
      <c r="PA113" s="44">
        <v>0</v>
      </c>
      <c r="PB113" s="47">
        <v>0</v>
      </c>
      <c r="PC113" s="45"/>
      <c r="PD113" s="46">
        <v>0</v>
      </c>
      <c r="PE113" s="44">
        <v>0</v>
      </c>
      <c r="PF113" s="44">
        <v>0</v>
      </c>
      <c r="PG113" s="44">
        <v>0</v>
      </c>
      <c r="PH113" s="47">
        <v>0</v>
      </c>
      <c r="PI113" s="45"/>
      <c r="PJ113" s="46">
        <v>0</v>
      </c>
      <c r="PK113" s="44">
        <v>0</v>
      </c>
      <c r="PL113" s="44">
        <v>0</v>
      </c>
      <c r="PM113" s="44">
        <v>0</v>
      </c>
      <c r="PN113" s="47">
        <v>0</v>
      </c>
      <c r="PO113" s="45"/>
      <c r="PP113" s="46">
        <v>0</v>
      </c>
      <c r="PQ113" s="44">
        <v>0</v>
      </c>
      <c r="PR113" s="44">
        <v>0</v>
      </c>
      <c r="PS113" s="44">
        <v>0</v>
      </c>
      <c r="PT113" s="47">
        <v>0</v>
      </c>
      <c r="PU113" s="45"/>
      <c r="PV113" s="46">
        <v>0</v>
      </c>
      <c r="PW113" s="44">
        <v>0</v>
      </c>
      <c r="PX113" s="47">
        <v>0</v>
      </c>
      <c r="PY113" s="45"/>
      <c r="PZ113" s="46">
        <v>0</v>
      </c>
      <c r="QA113" s="44">
        <v>0</v>
      </c>
      <c r="QB113" s="47">
        <v>0</v>
      </c>
      <c r="QC113" s="45"/>
      <c r="QD113" s="46">
        <v>0</v>
      </c>
      <c r="QE113" s="44">
        <v>0</v>
      </c>
      <c r="QF113" s="44">
        <v>0</v>
      </c>
      <c r="QG113" s="44">
        <v>0</v>
      </c>
      <c r="QH113" s="47">
        <v>0</v>
      </c>
      <c r="QI113" s="45"/>
      <c r="QJ113" s="46">
        <v>0</v>
      </c>
      <c r="QK113" s="44">
        <v>0</v>
      </c>
      <c r="QL113" s="47">
        <v>0</v>
      </c>
      <c r="QM113" s="45"/>
      <c r="QN113" s="46">
        <v>0</v>
      </c>
      <c r="QO113" s="44">
        <v>0</v>
      </c>
      <c r="QP113" s="44">
        <v>0</v>
      </c>
      <c r="QQ113" s="44">
        <v>0</v>
      </c>
      <c r="QR113" s="47">
        <v>0</v>
      </c>
      <c r="QS113" s="45"/>
      <c r="QT113" s="46">
        <v>0</v>
      </c>
      <c r="QU113" s="44">
        <v>0</v>
      </c>
      <c r="QV113" s="47">
        <v>0</v>
      </c>
      <c r="QW113" s="45"/>
      <c r="QX113" s="46">
        <v>0</v>
      </c>
      <c r="QY113" s="44">
        <v>0</v>
      </c>
      <c r="QZ113" s="44">
        <v>0</v>
      </c>
      <c r="RA113" s="44">
        <v>0</v>
      </c>
      <c r="RB113" s="47">
        <v>0</v>
      </c>
      <c r="RC113" s="45"/>
      <c r="RD113" s="42">
        <v>0</v>
      </c>
      <c r="RE113" s="44">
        <v>0</v>
      </c>
      <c r="RF113" s="44">
        <v>0</v>
      </c>
      <c r="RG113" s="44">
        <v>0</v>
      </c>
      <c r="RH113" s="47">
        <v>0</v>
      </c>
      <c r="RI113" s="45"/>
      <c r="RJ113" s="42">
        <v>0</v>
      </c>
      <c r="RK113" s="47">
        <v>0</v>
      </c>
      <c r="RL113" s="47">
        <v>0</v>
      </c>
      <c r="RM113" s="47">
        <v>0</v>
      </c>
      <c r="RN113" s="47">
        <v>0</v>
      </c>
      <c r="RO113" s="43"/>
      <c r="RP113" s="42">
        <v>0</v>
      </c>
      <c r="RQ113" s="47">
        <v>0</v>
      </c>
      <c r="RR113" s="47">
        <v>0</v>
      </c>
      <c r="RS113" s="43"/>
      <c r="RT113" s="42">
        <v>74.888000000000005</v>
      </c>
      <c r="RU113" s="47">
        <v>81</v>
      </c>
      <c r="RV113" s="47">
        <v>74.822999999999993</v>
      </c>
      <c r="RW113" s="47">
        <v>80</v>
      </c>
      <c r="RX113" s="50">
        <v>-11.288999999999991</v>
      </c>
      <c r="RY113" s="43">
        <v>11.288999999999991</v>
      </c>
      <c r="RZ113" s="42">
        <v>0</v>
      </c>
      <c r="SA113" s="47">
        <v>0</v>
      </c>
      <c r="SB113" s="47">
        <v>0</v>
      </c>
      <c r="SC113" s="47">
        <v>0</v>
      </c>
      <c r="SD113" s="47">
        <v>0</v>
      </c>
      <c r="SE113" s="43"/>
      <c r="SF113" s="42">
        <v>0</v>
      </c>
      <c r="SG113" s="47">
        <v>0</v>
      </c>
      <c r="SH113" s="47">
        <v>0</v>
      </c>
      <c r="SI113" s="47">
        <v>0</v>
      </c>
      <c r="SJ113" s="47">
        <v>0</v>
      </c>
      <c r="SK113" s="43"/>
      <c r="SL113" s="42">
        <v>0</v>
      </c>
      <c r="SM113" s="47">
        <v>0</v>
      </c>
      <c r="SN113" s="47">
        <v>0</v>
      </c>
      <c r="SO113" s="43"/>
      <c r="SP113" s="42">
        <v>0</v>
      </c>
      <c r="SQ113" s="47">
        <v>0</v>
      </c>
      <c r="SR113" s="47">
        <v>194.21899999999999</v>
      </c>
      <c r="SS113" s="47">
        <v>200</v>
      </c>
      <c r="ST113" s="47">
        <v>-5.7810000000000059</v>
      </c>
      <c r="SU113" s="43"/>
    </row>
    <row r="114" spans="1:515" x14ac:dyDescent="0.25">
      <c r="A114" s="47" t="s">
        <v>421</v>
      </c>
      <c r="B114" s="41">
        <v>0.41</v>
      </c>
      <c r="J114" s="42"/>
      <c r="K114" s="51"/>
      <c r="L114" s="51"/>
      <c r="M114" s="51"/>
      <c r="N114" s="51">
        <f t="shared" si="12"/>
        <v>0</v>
      </c>
      <c r="O114" s="43"/>
      <c r="P114" s="46"/>
      <c r="Q114" s="51"/>
      <c r="R114" s="51"/>
      <c r="S114" s="51"/>
      <c r="T114" s="51">
        <f t="shared" si="13"/>
        <v>0</v>
      </c>
      <c r="U114" s="43"/>
      <c r="V114" s="42"/>
      <c r="W114" s="51"/>
      <c r="X114" s="51"/>
      <c r="Y114" s="51"/>
      <c r="Z114" s="51">
        <f t="shared" si="14"/>
        <v>0</v>
      </c>
      <c r="AA114" s="43"/>
      <c r="AB114" s="42"/>
      <c r="AC114" s="51"/>
      <c r="AD114" s="51"/>
      <c r="AE114" s="51"/>
      <c r="AF114" s="51">
        <v>0</v>
      </c>
      <c r="AG114" s="43"/>
      <c r="AH114" s="51"/>
      <c r="AL114" s="47">
        <v>0</v>
      </c>
      <c r="AM114" s="43"/>
      <c r="AN114" s="42"/>
      <c r="AR114" s="47">
        <v>0</v>
      </c>
      <c r="AS114" s="43"/>
      <c r="AX114" s="47">
        <v>0</v>
      </c>
      <c r="AY114" s="43"/>
      <c r="BC114">
        <v>24</v>
      </c>
      <c r="BD114" s="50">
        <v>-24</v>
      </c>
      <c r="BE114" s="43">
        <v>9.84</v>
      </c>
      <c r="BF114" s="42"/>
      <c r="BI114">
        <v>32</v>
      </c>
      <c r="BJ114" s="50">
        <v>-32</v>
      </c>
      <c r="BK114" s="43">
        <v>13.12</v>
      </c>
      <c r="BL114" s="42"/>
      <c r="BO114">
        <v>28</v>
      </c>
      <c r="BP114" s="50">
        <v>-28</v>
      </c>
      <c r="BQ114" s="43">
        <v>11.48</v>
      </c>
      <c r="BV114" s="47">
        <v>0</v>
      </c>
      <c r="BW114" s="43"/>
      <c r="BX114" s="42"/>
      <c r="BY114">
        <v>60</v>
      </c>
      <c r="CA114">
        <v>141</v>
      </c>
      <c r="CB114" s="50">
        <v>-201</v>
      </c>
      <c r="CC114" s="43">
        <v>82.41</v>
      </c>
      <c r="CH114" s="47">
        <v>0</v>
      </c>
      <c r="CI114" s="43"/>
      <c r="CN114" s="47">
        <v>0</v>
      </c>
      <c r="CO114" s="43"/>
      <c r="CP114" s="40">
        <v>78</v>
      </c>
      <c r="CQ114">
        <v>78</v>
      </c>
      <c r="CR114">
        <v>102</v>
      </c>
      <c r="CS114">
        <v>104</v>
      </c>
      <c r="CT114" s="47">
        <v>-2</v>
      </c>
      <c r="CU114" s="43"/>
      <c r="CV114" s="42"/>
      <c r="CZ114" s="47">
        <v>0</v>
      </c>
      <c r="DA114" s="43"/>
      <c r="DB114">
        <v>36</v>
      </c>
      <c r="DC114">
        <v>36</v>
      </c>
      <c r="DG114" s="47">
        <v>0</v>
      </c>
      <c r="DH114" s="43"/>
      <c r="DK114" s="47">
        <v>0</v>
      </c>
      <c r="DL114" s="43"/>
      <c r="DM114" s="40">
        <v>126</v>
      </c>
      <c r="DN114">
        <v>124</v>
      </c>
      <c r="DQ114" s="47">
        <v>2</v>
      </c>
      <c r="DR114" s="43"/>
      <c r="DU114">
        <v>54</v>
      </c>
      <c r="DV114">
        <v>55</v>
      </c>
      <c r="DW114" s="47">
        <v>-1</v>
      </c>
      <c r="DX114" s="43"/>
      <c r="EC114" s="47">
        <v>0</v>
      </c>
      <c r="ED114" s="43"/>
      <c r="EE114" s="42"/>
      <c r="EG114">
        <v>72</v>
      </c>
      <c r="EH114">
        <v>73</v>
      </c>
      <c r="EI114" s="47">
        <v>-1</v>
      </c>
      <c r="EJ114" s="43"/>
      <c r="EO114" s="47">
        <v>0</v>
      </c>
      <c r="EP114" s="43"/>
      <c r="EQ114" s="42"/>
      <c r="EU114" s="47">
        <v>0</v>
      </c>
      <c r="EV114" s="43"/>
      <c r="EW114" s="42"/>
      <c r="FA114">
        <v>42</v>
      </c>
      <c r="FB114">
        <v>40</v>
      </c>
      <c r="FC114" s="47">
        <v>2</v>
      </c>
      <c r="FD114" s="43"/>
      <c r="FE114" s="42"/>
      <c r="FI114" s="47">
        <v>0</v>
      </c>
      <c r="FJ114" s="43"/>
      <c r="FQ114" s="47">
        <v>0</v>
      </c>
      <c r="FR114" s="43"/>
      <c r="FS114" s="42"/>
      <c r="FU114">
        <v>318</v>
      </c>
      <c r="FV114">
        <v>320</v>
      </c>
      <c r="FW114" s="47">
        <v>-2</v>
      </c>
      <c r="FX114" s="43"/>
      <c r="FY114" s="42"/>
      <c r="GA114">
        <v>108</v>
      </c>
      <c r="GB114">
        <v>110</v>
      </c>
      <c r="GC114" s="47">
        <v>-2</v>
      </c>
      <c r="GD114" s="43"/>
      <c r="GE114" s="40">
        <v>90</v>
      </c>
      <c r="GF114">
        <v>90</v>
      </c>
      <c r="GG114">
        <v>42</v>
      </c>
      <c r="GH114">
        <v>40</v>
      </c>
      <c r="GI114" s="47">
        <v>2</v>
      </c>
      <c r="GJ114" s="43"/>
      <c r="GK114">
        <v>48</v>
      </c>
      <c r="GL114">
        <v>48</v>
      </c>
      <c r="GM114">
        <v>48</v>
      </c>
      <c r="GN114">
        <v>48</v>
      </c>
      <c r="GO114">
        <v>54</v>
      </c>
      <c r="GP114">
        <v>54</v>
      </c>
      <c r="GQ114" s="47">
        <v>0</v>
      </c>
      <c r="GR114" s="43"/>
      <c r="GU114">
        <v>138</v>
      </c>
      <c r="GW114">
        <v>140</v>
      </c>
      <c r="GX114" s="47">
        <v>-2</v>
      </c>
      <c r="GY114" s="43"/>
      <c r="GZ114" s="42"/>
      <c r="HC114" s="47">
        <v>0</v>
      </c>
      <c r="HD114" s="43"/>
      <c r="HE114" s="40">
        <v>270</v>
      </c>
      <c r="HG114">
        <v>269</v>
      </c>
      <c r="HH114" s="47">
        <v>1</v>
      </c>
      <c r="HI114" s="43"/>
      <c r="HN114" s="47">
        <v>0</v>
      </c>
      <c r="HO114" s="43"/>
      <c r="HP114" s="42"/>
      <c r="HU114" s="47">
        <v>0</v>
      </c>
      <c r="HV114" s="43"/>
      <c r="HW114">
        <v>60</v>
      </c>
      <c r="HX114">
        <v>60</v>
      </c>
      <c r="HY114">
        <v>102</v>
      </c>
      <c r="HZ114">
        <v>100</v>
      </c>
      <c r="IA114" s="47">
        <v>2</v>
      </c>
      <c r="IB114" s="43"/>
      <c r="IC114" s="42"/>
      <c r="IE114">
        <v>192</v>
      </c>
      <c r="IF114">
        <v>190</v>
      </c>
      <c r="IG114" s="47">
        <v>2</v>
      </c>
      <c r="IH114" s="43"/>
      <c r="IK114">
        <v>54</v>
      </c>
      <c r="IL114">
        <v>54</v>
      </c>
      <c r="IM114" s="47">
        <v>0</v>
      </c>
      <c r="IN114" s="43"/>
      <c r="IO114" s="40">
        <v>102</v>
      </c>
      <c r="IP114" s="44">
        <v>100</v>
      </c>
      <c r="IQ114" s="47">
        <v>2</v>
      </c>
      <c r="IR114" s="43"/>
      <c r="IS114" s="42"/>
      <c r="IU114">
        <v>156</v>
      </c>
      <c r="IV114">
        <v>155</v>
      </c>
      <c r="IW114" s="47">
        <v>1</v>
      </c>
      <c r="IX114" s="43"/>
      <c r="IY114" s="40">
        <v>30</v>
      </c>
      <c r="IZ114">
        <v>32</v>
      </c>
      <c r="JA114" s="47">
        <v>-2</v>
      </c>
      <c r="JB114" s="43"/>
      <c r="JC114" s="42"/>
      <c r="JE114">
        <v>60</v>
      </c>
      <c r="JF114">
        <v>60</v>
      </c>
      <c r="JG114" s="47">
        <v>0</v>
      </c>
      <c r="JH114" s="43"/>
      <c r="JM114">
        <v>108</v>
      </c>
      <c r="JN114">
        <v>110</v>
      </c>
      <c r="JO114" s="47">
        <v>-2</v>
      </c>
      <c r="JP114" s="43"/>
      <c r="JQ114" s="42"/>
      <c r="JU114" s="47">
        <v>0</v>
      </c>
      <c r="JV114" s="43"/>
      <c r="JW114">
        <v>150</v>
      </c>
      <c r="JX114">
        <v>150</v>
      </c>
      <c r="JY114">
        <v>198</v>
      </c>
      <c r="JZ114">
        <v>200</v>
      </c>
      <c r="KA114" s="47">
        <v>-2</v>
      </c>
      <c r="KB114" s="45"/>
      <c r="KE114">
        <v>30</v>
      </c>
      <c r="KF114">
        <v>30</v>
      </c>
      <c r="KG114" s="47">
        <v>0</v>
      </c>
      <c r="KH114" s="45"/>
      <c r="KI114">
        <v>132</v>
      </c>
      <c r="KJ114">
        <v>130</v>
      </c>
      <c r="KK114">
        <v>102</v>
      </c>
      <c r="KL114">
        <v>104</v>
      </c>
      <c r="KM114" s="47">
        <v>0</v>
      </c>
      <c r="KN114" s="45"/>
      <c r="KO114">
        <v>60</v>
      </c>
      <c r="KP114">
        <v>60</v>
      </c>
      <c r="KQ114">
        <v>48</v>
      </c>
      <c r="KR114">
        <v>50</v>
      </c>
      <c r="KS114" s="47">
        <v>-2</v>
      </c>
      <c r="KT114" s="43"/>
      <c r="KU114">
        <v>54</v>
      </c>
      <c r="KV114">
        <v>54</v>
      </c>
      <c r="KW114" s="47">
        <v>0</v>
      </c>
      <c r="KX114" s="45"/>
      <c r="LA114">
        <v>96</v>
      </c>
      <c r="LB114">
        <v>96</v>
      </c>
      <c r="LC114" s="47">
        <v>0</v>
      </c>
      <c r="LD114" s="43"/>
      <c r="LE114" s="40">
        <v>138</v>
      </c>
      <c r="LF114" s="44">
        <v>140</v>
      </c>
      <c r="LG114" s="47">
        <v>-2</v>
      </c>
      <c r="LH114" s="45"/>
      <c r="LK114">
        <v>102</v>
      </c>
      <c r="LL114">
        <v>104</v>
      </c>
      <c r="LM114" s="47">
        <v>-2</v>
      </c>
      <c r="LN114" s="45"/>
      <c r="LO114">
        <v>78</v>
      </c>
      <c r="LP114">
        <v>80</v>
      </c>
      <c r="LS114" s="47">
        <v>-2</v>
      </c>
      <c r="LT114" s="45"/>
      <c r="LW114">
        <v>102</v>
      </c>
      <c r="LX114">
        <v>100</v>
      </c>
      <c r="LY114" s="47">
        <v>2</v>
      </c>
      <c r="LZ114" s="45"/>
      <c r="ME114" s="47">
        <v>0</v>
      </c>
      <c r="MF114" s="45"/>
      <c r="MG114" s="40">
        <v>78</v>
      </c>
      <c r="MH114">
        <v>80</v>
      </c>
      <c r="MI114">
        <v>90</v>
      </c>
      <c r="MJ114">
        <v>90</v>
      </c>
      <c r="MK114">
        <v>30</v>
      </c>
      <c r="ML114">
        <v>80</v>
      </c>
      <c r="MM114" s="50">
        <v>-52</v>
      </c>
      <c r="MN114" s="45">
        <v>21.32</v>
      </c>
      <c r="MO114" s="44">
        <v>0</v>
      </c>
      <c r="MP114" s="44">
        <v>0</v>
      </c>
      <c r="MQ114" s="44">
        <v>72</v>
      </c>
      <c r="MR114" s="44">
        <v>70</v>
      </c>
      <c r="MS114" s="47">
        <v>2</v>
      </c>
      <c r="MT114" s="45"/>
      <c r="MU114" s="44">
        <v>0</v>
      </c>
      <c r="MV114" s="44">
        <v>0</v>
      </c>
      <c r="MW114" s="44">
        <v>108</v>
      </c>
      <c r="MX114" s="44">
        <v>110</v>
      </c>
      <c r="MY114" s="47">
        <v>-2</v>
      </c>
      <c r="MZ114" s="45"/>
      <c r="NA114" s="46">
        <v>120</v>
      </c>
      <c r="NB114" s="44">
        <v>120</v>
      </c>
      <c r="NC114" s="47">
        <v>0</v>
      </c>
      <c r="ND114" s="45"/>
      <c r="NE114" s="46">
        <v>132</v>
      </c>
      <c r="NF114" s="44">
        <v>130</v>
      </c>
      <c r="NG114" s="44">
        <v>0</v>
      </c>
      <c r="NH114" s="44">
        <v>0</v>
      </c>
      <c r="NI114" s="44">
        <v>0</v>
      </c>
      <c r="NJ114" s="47">
        <v>2</v>
      </c>
      <c r="NK114" s="45"/>
      <c r="NL114" s="46">
        <v>60</v>
      </c>
      <c r="NM114" s="44">
        <v>60</v>
      </c>
      <c r="NN114" s="44">
        <v>42</v>
      </c>
      <c r="NO114" s="44">
        <v>40</v>
      </c>
      <c r="NP114" s="47">
        <v>2</v>
      </c>
      <c r="NQ114" s="45"/>
      <c r="NR114" s="46">
        <v>48</v>
      </c>
      <c r="NS114" s="44">
        <v>50</v>
      </c>
      <c r="NT114" s="47">
        <v>-2</v>
      </c>
      <c r="NU114" s="45"/>
      <c r="NV114" s="46">
        <v>0</v>
      </c>
      <c r="NW114" s="44">
        <v>0</v>
      </c>
      <c r="NX114" s="44">
        <v>48</v>
      </c>
      <c r="NY114" s="44">
        <v>50</v>
      </c>
      <c r="NZ114" s="47">
        <v>-2</v>
      </c>
      <c r="OA114" s="45"/>
      <c r="OB114" s="46">
        <v>24</v>
      </c>
      <c r="OC114" s="44">
        <v>24</v>
      </c>
      <c r="OD114" s="47">
        <v>0</v>
      </c>
      <c r="OE114" s="45"/>
      <c r="OF114" s="46">
        <v>0</v>
      </c>
      <c r="OG114" s="44">
        <v>0</v>
      </c>
      <c r="OH114" s="44">
        <v>60</v>
      </c>
      <c r="OI114" s="44">
        <v>62</v>
      </c>
      <c r="OJ114" s="47">
        <v>-2</v>
      </c>
      <c r="OK114" s="45"/>
      <c r="OL114" s="44">
        <v>0</v>
      </c>
      <c r="OM114" s="43"/>
      <c r="ON114" s="44">
        <v>0</v>
      </c>
      <c r="OO114" s="44">
        <v>0</v>
      </c>
      <c r="OP114" s="47">
        <v>0</v>
      </c>
      <c r="OQ114" s="45"/>
      <c r="OR114" s="46">
        <v>0</v>
      </c>
      <c r="OS114" s="44">
        <v>0</v>
      </c>
      <c r="OT114" s="44">
        <v>0</v>
      </c>
      <c r="OU114" s="44">
        <v>0</v>
      </c>
      <c r="OV114" s="47">
        <v>0</v>
      </c>
      <c r="OW114" s="45"/>
      <c r="OX114" s="46">
        <v>0</v>
      </c>
      <c r="OY114" s="44">
        <v>0</v>
      </c>
      <c r="OZ114" s="44">
        <v>108</v>
      </c>
      <c r="PA114" s="44">
        <v>107</v>
      </c>
      <c r="PB114" s="47">
        <v>1</v>
      </c>
      <c r="PC114" s="45"/>
      <c r="PD114" s="46">
        <v>0</v>
      </c>
      <c r="PE114" s="44">
        <v>0</v>
      </c>
      <c r="PF114" s="44">
        <v>0</v>
      </c>
      <c r="PG114" s="44">
        <v>0</v>
      </c>
      <c r="PH114" s="47">
        <v>0</v>
      </c>
      <c r="PI114" s="45"/>
      <c r="PJ114" s="46">
        <v>0</v>
      </c>
      <c r="PK114" s="44">
        <v>0</v>
      </c>
      <c r="PL114" s="44">
        <v>0</v>
      </c>
      <c r="PM114" s="44">
        <v>0</v>
      </c>
      <c r="PN114" s="47">
        <v>0</v>
      </c>
      <c r="PO114" s="45"/>
      <c r="PP114" s="46">
        <v>0</v>
      </c>
      <c r="PQ114" s="44">
        <v>0</v>
      </c>
      <c r="PR114" s="32">
        <v>48</v>
      </c>
      <c r="PS114" s="44">
        <v>0</v>
      </c>
      <c r="PT114" s="47">
        <v>48</v>
      </c>
      <c r="PU114" s="45"/>
      <c r="PV114" s="46">
        <v>90</v>
      </c>
      <c r="PW114" s="44">
        <v>90</v>
      </c>
      <c r="PX114" s="47">
        <v>0</v>
      </c>
      <c r="PY114" s="45"/>
      <c r="PZ114" s="46">
        <v>30</v>
      </c>
      <c r="QA114" s="44">
        <v>30</v>
      </c>
      <c r="QB114" s="47">
        <v>0</v>
      </c>
      <c r="QC114" s="45"/>
      <c r="QD114" s="46">
        <v>0</v>
      </c>
      <c r="QE114" s="44">
        <v>0</v>
      </c>
      <c r="QF114" s="44">
        <v>30</v>
      </c>
      <c r="QG114" s="44">
        <v>30</v>
      </c>
      <c r="QH114" s="47">
        <v>0</v>
      </c>
      <c r="QI114" s="45"/>
      <c r="QJ114" s="46">
        <v>120</v>
      </c>
      <c r="QK114" s="44">
        <v>120</v>
      </c>
      <c r="QL114" s="47">
        <v>0</v>
      </c>
      <c r="QM114" s="45"/>
      <c r="QN114" s="46">
        <v>0</v>
      </c>
      <c r="QO114" s="44">
        <v>0</v>
      </c>
      <c r="QP114" s="44">
        <v>0</v>
      </c>
      <c r="QQ114" s="44">
        <v>0</v>
      </c>
      <c r="QR114" s="47">
        <v>0</v>
      </c>
      <c r="QS114" s="45"/>
      <c r="QT114" s="46">
        <v>42</v>
      </c>
      <c r="QU114" s="44">
        <v>40</v>
      </c>
      <c r="QV114" s="47">
        <v>2</v>
      </c>
      <c r="QW114" s="45"/>
      <c r="QX114" s="46"/>
      <c r="RC114" s="45"/>
      <c r="RD114" s="42"/>
      <c r="RE114" s="44"/>
      <c r="RG114" s="44"/>
      <c r="RI114" s="45"/>
      <c r="RJ114" s="42"/>
      <c r="RO114" s="43"/>
      <c r="RP114" s="42"/>
      <c r="RS114" s="43"/>
      <c r="RT114" s="42"/>
      <c r="RY114" s="43"/>
      <c r="RZ114" s="42"/>
      <c r="SE114" s="43"/>
      <c r="SF114" s="42"/>
      <c r="SK114" s="43"/>
      <c r="SL114" s="42"/>
      <c r="SO114" s="43"/>
      <c r="SP114" s="42"/>
      <c r="SU114" s="43"/>
    </row>
    <row r="115" spans="1:515" x14ac:dyDescent="0.25">
      <c r="A115" s="47" t="s">
        <v>422</v>
      </c>
      <c r="B115" s="41">
        <v>0.28000000000000003</v>
      </c>
      <c r="J115" s="42"/>
      <c r="K115" s="51"/>
      <c r="L115" s="51"/>
      <c r="M115" s="51"/>
      <c r="N115" s="51">
        <f t="shared" si="12"/>
        <v>0</v>
      </c>
      <c r="O115" s="43"/>
      <c r="P115" s="46"/>
      <c r="Q115" s="51"/>
      <c r="R115" s="51"/>
      <c r="S115" s="51"/>
      <c r="T115" s="51">
        <f t="shared" si="13"/>
        <v>0</v>
      </c>
      <c r="U115" s="43"/>
      <c r="V115" s="42"/>
      <c r="W115" s="51"/>
      <c r="X115" s="51"/>
      <c r="Y115" s="51"/>
      <c r="Z115" s="51">
        <f t="shared" si="14"/>
        <v>0</v>
      </c>
      <c r="AA115" s="43"/>
      <c r="AB115" s="42"/>
      <c r="AC115" s="51"/>
      <c r="AD115" s="51"/>
      <c r="AE115" s="51"/>
      <c r="AF115" s="51">
        <v>0</v>
      </c>
      <c r="AG115" s="43"/>
      <c r="AH115" s="51"/>
      <c r="AL115" s="47">
        <v>0</v>
      </c>
      <c r="AM115" s="43"/>
      <c r="AN115" s="42"/>
      <c r="AR115" s="47">
        <v>0</v>
      </c>
      <c r="AS115" s="43"/>
      <c r="AX115" s="47">
        <v>0</v>
      </c>
      <c r="AY115" s="43"/>
      <c r="BD115" s="47">
        <v>0</v>
      </c>
      <c r="BE115" s="43"/>
      <c r="BF115" s="42"/>
      <c r="BJ115" s="47">
        <v>0</v>
      </c>
      <c r="BK115" s="43"/>
      <c r="BL115" s="42"/>
      <c r="BP115" s="47">
        <v>0</v>
      </c>
      <c r="BQ115" s="43"/>
      <c r="BV115" s="47">
        <v>0</v>
      </c>
      <c r="BW115" s="43"/>
      <c r="BX115" s="42"/>
      <c r="CB115" s="47">
        <v>0</v>
      </c>
      <c r="CC115" s="43"/>
      <c r="CH115" s="47">
        <v>0</v>
      </c>
      <c r="CI115" s="43"/>
      <c r="CN115" s="47">
        <v>0</v>
      </c>
      <c r="CO115" s="43"/>
      <c r="CP115" s="42"/>
      <c r="CT115" s="47">
        <v>0</v>
      </c>
      <c r="CU115" s="43"/>
      <c r="CV115" s="42"/>
      <c r="CZ115" s="47">
        <v>0</v>
      </c>
      <c r="DA115" s="43"/>
      <c r="DG115" s="47">
        <v>0</v>
      </c>
      <c r="DH115" s="43"/>
      <c r="DK115" s="47">
        <v>0</v>
      </c>
      <c r="DL115" s="43"/>
      <c r="DM115" s="42"/>
      <c r="DQ115" s="47">
        <v>0</v>
      </c>
      <c r="DR115" s="43"/>
      <c r="DW115" s="47">
        <v>0</v>
      </c>
      <c r="DX115" s="43"/>
      <c r="EC115" s="47">
        <v>0</v>
      </c>
      <c r="ED115" s="43"/>
      <c r="EE115" s="42"/>
      <c r="EI115" s="47">
        <v>0</v>
      </c>
      <c r="EJ115" s="43"/>
      <c r="EO115" s="47">
        <v>0</v>
      </c>
      <c r="EP115" s="43"/>
      <c r="EQ115" s="42"/>
      <c r="EU115" s="47">
        <v>0</v>
      </c>
      <c r="EV115" s="43"/>
      <c r="EW115" s="42"/>
      <c r="FC115" s="47">
        <v>0</v>
      </c>
      <c r="FD115" s="43"/>
      <c r="FE115" s="42"/>
      <c r="FI115" s="47">
        <v>0</v>
      </c>
      <c r="FJ115" s="43"/>
      <c r="FQ115" s="47">
        <v>0</v>
      </c>
      <c r="FR115" s="43"/>
      <c r="FS115" s="42"/>
      <c r="FW115" s="47">
        <v>0</v>
      </c>
      <c r="FX115" s="43"/>
      <c r="FY115" s="42"/>
      <c r="GC115" s="47">
        <v>0</v>
      </c>
      <c r="GD115" s="43"/>
      <c r="GE115" s="42"/>
      <c r="GI115" s="47">
        <v>0</v>
      </c>
      <c r="GJ115" s="43"/>
      <c r="GQ115" s="47">
        <v>0</v>
      </c>
      <c r="GR115" s="43"/>
      <c r="GX115" s="47">
        <v>0</v>
      </c>
      <c r="GY115" s="43"/>
      <c r="GZ115" s="42"/>
      <c r="HC115" s="47">
        <v>0</v>
      </c>
      <c r="HD115" s="43"/>
      <c r="HE115" s="42"/>
      <c r="HH115" s="47">
        <v>0</v>
      </c>
      <c r="HI115" s="43"/>
      <c r="HN115" s="47">
        <v>0</v>
      </c>
      <c r="HO115" s="43"/>
      <c r="HP115" s="42"/>
      <c r="HT115">
        <v>30</v>
      </c>
      <c r="HU115" s="47">
        <v>2</v>
      </c>
      <c r="HV115" s="43"/>
      <c r="HX115" s="48">
        <v>80</v>
      </c>
      <c r="HZ115" s="48">
        <v>90</v>
      </c>
      <c r="IA115" s="47">
        <v>-2</v>
      </c>
      <c r="IB115" s="43"/>
      <c r="IC115" s="42"/>
      <c r="IE115">
        <v>232</v>
      </c>
      <c r="IF115">
        <v>230</v>
      </c>
      <c r="IG115" s="47">
        <v>2</v>
      </c>
      <c r="IH115" s="43"/>
      <c r="IM115" s="47">
        <v>0</v>
      </c>
      <c r="IN115" s="43"/>
      <c r="IO115" s="40">
        <v>136</v>
      </c>
      <c r="IP115" s="44">
        <v>140</v>
      </c>
      <c r="IQ115" s="47">
        <v>-4</v>
      </c>
      <c r="IR115" s="43"/>
      <c r="IS115" s="42"/>
      <c r="IU115">
        <v>176</v>
      </c>
      <c r="IV115">
        <v>180</v>
      </c>
      <c r="IW115" s="47">
        <v>-4</v>
      </c>
      <c r="IX115" s="43"/>
      <c r="IY115" s="40">
        <v>152</v>
      </c>
      <c r="IZ115">
        <v>150</v>
      </c>
      <c r="JA115" s="47">
        <v>2</v>
      </c>
      <c r="JB115" s="43"/>
      <c r="JC115" s="42"/>
      <c r="JE115">
        <v>32</v>
      </c>
      <c r="JF115">
        <v>32</v>
      </c>
      <c r="JG115" s="47">
        <v>0</v>
      </c>
      <c r="JH115" s="43"/>
      <c r="JM115">
        <v>176</v>
      </c>
      <c r="JN115">
        <v>180</v>
      </c>
      <c r="JO115" s="47">
        <v>-4</v>
      </c>
      <c r="JP115" s="43"/>
      <c r="JQ115" s="40">
        <v>96</v>
      </c>
      <c r="JR115">
        <v>100</v>
      </c>
      <c r="JS115">
        <v>48</v>
      </c>
      <c r="JT115">
        <v>50</v>
      </c>
      <c r="JU115" s="47">
        <v>-6</v>
      </c>
      <c r="JV115" s="43"/>
      <c r="JY115">
        <v>152</v>
      </c>
      <c r="JZ115">
        <v>150</v>
      </c>
      <c r="KA115" s="47">
        <v>2</v>
      </c>
      <c r="KB115" s="45"/>
      <c r="KC115">
        <v>96</v>
      </c>
      <c r="KD115">
        <v>100</v>
      </c>
      <c r="KE115">
        <v>128</v>
      </c>
      <c r="KF115">
        <v>130</v>
      </c>
      <c r="KG115" s="47">
        <v>-6</v>
      </c>
      <c r="KH115" s="45"/>
      <c r="KI115">
        <v>80</v>
      </c>
      <c r="KJ115">
        <v>80</v>
      </c>
      <c r="KK115">
        <v>64</v>
      </c>
      <c r="KL115">
        <v>62</v>
      </c>
      <c r="KM115" s="47">
        <v>2</v>
      </c>
      <c r="KN115" s="45"/>
      <c r="KO115">
        <v>96</v>
      </c>
      <c r="KP115">
        <v>100</v>
      </c>
      <c r="KQ115">
        <v>72</v>
      </c>
      <c r="KR115">
        <v>70</v>
      </c>
      <c r="KS115" s="47">
        <v>-2</v>
      </c>
      <c r="KT115" s="43"/>
      <c r="KU115">
        <v>16</v>
      </c>
      <c r="KV115">
        <v>20</v>
      </c>
      <c r="KW115" s="47">
        <v>-4</v>
      </c>
      <c r="KX115" s="45"/>
      <c r="LA115">
        <v>24</v>
      </c>
      <c r="LB115">
        <v>28</v>
      </c>
      <c r="LC115" s="47">
        <v>-4</v>
      </c>
      <c r="LD115" s="43"/>
      <c r="LE115" s="40">
        <v>296</v>
      </c>
      <c r="LF115" s="44">
        <v>300</v>
      </c>
      <c r="LG115" s="47">
        <v>-4</v>
      </c>
      <c r="LH115" s="45"/>
      <c r="LM115" s="47">
        <v>0</v>
      </c>
      <c r="LN115" s="45"/>
      <c r="LS115" s="47">
        <v>0</v>
      </c>
      <c r="LT115" s="45"/>
      <c r="LY115" s="47">
        <v>0</v>
      </c>
      <c r="LZ115" s="45"/>
      <c r="MA115">
        <v>96</v>
      </c>
      <c r="MB115">
        <v>100</v>
      </c>
      <c r="MC115">
        <v>352</v>
      </c>
      <c r="MD115">
        <v>350</v>
      </c>
      <c r="ME115" s="47">
        <v>-2</v>
      </c>
      <c r="MF115" s="45"/>
      <c r="MG115" s="40">
        <v>40</v>
      </c>
      <c r="MH115">
        <v>40</v>
      </c>
      <c r="MI115">
        <v>48</v>
      </c>
      <c r="MJ115">
        <v>50</v>
      </c>
      <c r="MK115">
        <v>48</v>
      </c>
      <c r="ML115">
        <v>50</v>
      </c>
      <c r="MM115" s="47">
        <v>-4</v>
      </c>
      <c r="MN115" s="45"/>
      <c r="MO115" s="44">
        <v>0</v>
      </c>
      <c r="MP115" s="44">
        <v>0</v>
      </c>
      <c r="MQ115" s="44">
        <v>168</v>
      </c>
      <c r="MR115" s="44">
        <v>170</v>
      </c>
      <c r="MS115" s="47">
        <v>-2</v>
      </c>
      <c r="MT115" s="45"/>
      <c r="MU115" s="44">
        <v>0</v>
      </c>
      <c r="MV115" s="44">
        <v>0</v>
      </c>
      <c r="MW115" s="44">
        <v>72</v>
      </c>
      <c r="MX115" s="44">
        <v>70</v>
      </c>
      <c r="MY115" s="47">
        <v>2</v>
      </c>
      <c r="MZ115" s="45"/>
      <c r="NA115" s="46">
        <v>0</v>
      </c>
      <c r="NB115" s="44">
        <v>0</v>
      </c>
      <c r="NC115" s="47">
        <v>0</v>
      </c>
      <c r="ND115" s="45"/>
      <c r="NE115" s="46">
        <v>0</v>
      </c>
      <c r="NF115" s="44">
        <v>0</v>
      </c>
      <c r="NG115" s="44">
        <v>0</v>
      </c>
      <c r="NH115" s="44">
        <v>0</v>
      </c>
      <c r="NI115" s="44">
        <v>0</v>
      </c>
      <c r="NJ115" s="47">
        <v>0</v>
      </c>
      <c r="NK115" s="45"/>
      <c r="NL115" s="46">
        <v>0</v>
      </c>
      <c r="NM115" s="44">
        <v>0</v>
      </c>
      <c r="NN115" s="44">
        <v>0</v>
      </c>
      <c r="NO115" s="44">
        <v>0</v>
      </c>
      <c r="NP115" s="47">
        <v>0</v>
      </c>
      <c r="NQ115" s="45"/>
      <c r="NR115" s="46">
        <v>152</v>
      </c>
      <c r="NS115" s="44">
        <v>150</v>
      </c>
      <c r="NT115" s="47">
        <v>2</v>
      </c>
      <c r="NU115" s="45"/>
      <c r="NV115" s="46">
        <v>0</v>
      </c>
      <c r="NW115" s="44">
        <v>0</v>
      </c>
      <c r="NX115" s="44">
        <v>0</v>
      </c>
      <c r="NY115" s="44">
        <v>0</v>
      </c>
      <c r="NZ115" s="47">
        <v>0</v>
      </c>
      <c r="OA115" s="45"/>
      <c r="OB115" s="46">
        <v>3000</v>
      </c>
      <c r="OC115" s="44">
        <v>3000</v>
      </c>
      <c r="OD115" s="47">
        <v>0</v>
      </c>
      <c r="OE115" s="45"/>
      <c r="OF115" s="46">
        <v>0</v>
      </c>
      <c r="OG115" s="44">
        <v>0</v>
      </c>
      <c r="OH115" s="44">
        <v>0</v>
      </c>
      <c r="OI115" s="44">
        <v>0</v>
      </c>
      <c r="OJ115" s="47">
        <v>0</v>
      </c>
      <c r="OK115" s="45"/>
      <c r="OL115" s="44">
        <v>0</v>
      </c>
      <c r="OM115" s="43"/>
      <c r="ON115" s="44">
        <v>0</v>
      </c>
      <c r="OO115" s="44">
        <v>0</v>
      </c>
      <c r="OP115" s="47">
        <v>0</v>
      </c>
      <c r="OQ115" s="45"/>
      <c r="OR115" s="46">
        <v>0</v>
      </c>
      <c r="OS115" s="44">
        <v>0</v>
      </c>
      <c r="OT115" s="44">
        <v>0</v>
      </c>
      <c r="OU115" s="44">
        <v>0</v>
      </c>
      <c r="OV115" s="47">
        <v>0</v>
      </c>
      <c r="OW115" s="45"/>
      <c r="OX115" s="46">
        <v>0</v>
      </c>
      <c r="OY115" s="44">
        <v>0</v>
      </c>
      <c r="OZ115" s="44">
        <v>0</v>
      </c>
      <c r="PA115" s="44">
        <v>0</v>
      </c>
      <c r="PB115" s="47">
        <v>0</v>
      </c>
      <c r="PC115" s="45"/>
      <c r="PD115" s="46">
        <v>96</v>
      </c>
      <c r="PE115" s="44">
        <v>100</v>
      </c>
      <c r="PF115" s="44">
        <v>128</v>
      </c>
      <c r="PG115" s="44">
        <v>130</v>
      </c>
      <c r="PH115" s="47">
        <v>-6</v>
      </c>
      <c r="PI115" s="45"/>
      <c r="PJ115" s="46">
        <v>0</v>
      </c>
      <c r="PK115" s="44">
        <v>0</v>
      </c>
      <c r="PL115" s="44">
        <v>40</v>
      </c>
      <c r="PM115" s="44">
        <v>40</v>
      </c>
      <c r="PN115" s="47">
        <v>0</v>
      </c>
      <c r="PO115" s="45"/>
      <c r="PP115" s="46">
        <v>200</v>
      </c>
      <c r="PQ115" s="44">
        <v>200</v>
      </c>
      <c r="PR115" s="44">
        <v>248</v>
      </c>
      <c r="PS115" s="44">
        <v>250</v>
      </c>
      <c r="PT115" s="47">
        <v>-2</v>
      </c>
      <c r="PU115" s="45"/>
      <c r="PV115" s="46">
        <v>400</v>
      </c>
      <c r="PW115" s="44">
        <v>400</v>
      </c>
      <c r="PX115" s="47">
        <v>0</v>
      </c>
      <c r="PY115" s="45"/>
      <c r="PZ115" s="46">
        <v>0</v>
      </c>
      <c r="QA115" s="44">
        <v>0</v>
      </c>
      <c r="QB115" s="47">
        <v>0</v>
      </c>
      <c r="QC115" s="45"/>
      <c r="QD115" s="46">
        <v>0</v>
      </c>
      <c r="QE115" s="44">
        <v>0</v>
      </c>
      <c r="QF115" s="44">
        <v>56</v>
      </c>
      <c r="QG115" s="44">
        <v>60</v>
      </c>
      <c r="QH115" s="47">
        <v>-4</v>
      </c>
      <c r="QI115" s="45"/>
      <c r="QJ115" s="46">
        <v>0</v>
      </c>
      <c r="QK115" s="44">
        <v>0</v>
      </c>
      <c r="QL115" s="47">
        <v>0</v>
      </c>
      <c r="QM115" s="45"/>
      <c r="QN115" s="46">
        <v>0</v>
      </c>
      <c r="QO115" s="44">
        <v>0</v>
      </c>
      <c r="QP115" s="44">
        <v>0</v>
      </c>
      <c r="QQ115" s="44">
        <v>0</v>
      </c>
      <c r="QR115" s="47">
        <v>0</v>
      </c>
      <c r="QS115" s="45"/>
      <c r="QT115" s="46">
        <v>0</v>
      </c>
      <c r="QU115" s="44">
        <v>0</v>
      </c>
      <c r="QV115" s="47">
        <v>0</v>
      </c>
      <c r="QW115" s="45"/>
      <c r="QX115" s="46">
        <v>0</v>
      </c>
      <c r="QY115" s="44">
        <v>0</v>
      </c>
      <c r="QZ115" s="44">
        <v>0</v>
      </c>
      <c r="RA115" s="44">
        <v>0</v>
      </c>
      <c r="RB115" s="47">
        <v>0</v>
      </c>
      <c r="RC115" s="45"/>
      <c r="RD115" s="42">
        <v>0</v>
      </c>
      <c r="RE115" s="44">
        <v>0</v>
      </c>
      <c r="RF115" s="44">
        <v>0</v>
      </c>
      <c r="RG115" s="44">
        <v>0</v>
      </c>
      <c r="RH115" s="47">
        <v>0</v>
      </c>
      <c r="RI115" s="45"/>
      <c r="RJ115" s="42">
        <v>0</v>
      </c>
      <c r="RK115" s="47">
        <v>0</v>
      </c>
      <c r="RL115" s="47">
        <v>0</v>
      </c>
      <c r="RM115" s="47">
        <v>0</v>
      </c>
      <c r="RN115" s="47">
        <v>0</v>
      </c>
      <c r="RO115" s="43"/>
      <c r="RP115" s="42">
        <v>0</v>
      </c>
      <c r="RQ115" s="47">
        <v>0</v>
      </c>
      <c r="RR115" s="47">
        <v>0</v>
      </c>
      <c r="RS115" s="43"/>
      <c r="RT115" s="42">
        <v>0</v>
      </c>
      <c r="RU115" s="47">
        <v>0</v>
      </c>
      <c r="RV115" s="47">
        <v>0</v>
      </c>
      <c r="RW115" s="47">
        <v>0</v>
      </c>
      <c r="RX115" s="47">
        <v>0</v>
      </c>
      <c r="RY115" s="43"/>
      <c r="RZ115" s="42">
        <v>0</v>
      </c>
      <c r="SA115" s="47">
        <v>0</v>
      </c>
      <c r="SB115" s="47">
        <v>0</v>
      </c>
      <c r="SC115" s="47">
        <v>0</v>
      </c>
      <c r="SD115" s="47">
        <v>0</v>
      </c>
      <c r="SE115" s="43"/>
      <c r="SF115" s="42">
        <v>0</v>
      </c>
      <c r="SG115" s="47">
        <v>0</v>
      </c>
      <c r="SH115" s="47">
        <v>400</v>
      </c>
      <c r="SI115" s="47">
        <v>0</v>
      </c>
      <c r="SJ115" s="47">
        <v>400</v>
      </c>
      <c r="SK115" s="43"/>
      <c r="SL115" s="8">
        <v>72</v>
      </c>
      <c r="SM115" s="47">
        <v>0</v>
      </c>
      <c r="SN115" s="47">
        <v>0</v>
      </c>
      <c r="SO115" s="43"/>
      <c r="SP115" s="42">
        <v>0</v>
      </c>
      <c r="SQ115" s="47">
        <v>0</v>
      </c>
      <c r="SR115" s="47">
        <v>0</v>
      </c>
      <c r="SS115" s="47">
        <v>0</v>
      </c>
      <c r="ST115" s="47">
        <v>0</v>
      </c>
      <c r="SU115" s="43"/>
    </row>
    <row r="116" spans="1:515" x14ac:dyDescent="0.25">
      <c r="A116" s="47" t="s">
        <v>423</v>
      </c>
      <c r="B116" s="41">
        <v>0.35</v>
      </c>
      <c r="J116" s="42"/>
      <c r="K116" s="51"/>
      <c r="L116" s="51"/>
      <c r="M116" s="51"/>
      <c r="N116" s="51">
        <f t="shared" si="12"/>
        <v>0</v>
      </c>
      <c r="O116" s="43"/>
      <c r="P116" s="46"/>
      <c r="Q116" s="51"/>
      <c r="R116" s="51"/>
      <c r="S116" s="51"/>
      <c r="T116" s="51">
        <f t="shared" si="13"/>
        <v>0</v>
      </c>
      <c r="U116" s="43"/>
      <c r="V116" s="42"/>
      <c r="W116" s="51"/>
      <c r="X116" s="51"/>
      <c r="Y116" s="51"/>
      <c r="Z116" s="51">
        <f t="shared" si="14"/>
        <v>0</v>
      </c>
      <c r="AA116" s="43"/>
      <c r="AB116" s="42"/>
      <c r="AC116" s="51"/>
      <c r="AD116" s="51"/>
      <c r="AE116" s="51"/>
      <c r="AF116" s="51">
        <v>0</v>
      </c>
      <c r="AG116" s="43"/>
      <c r="AH116" s="51"/>
      <c r="AL116" s="47">
        <v>0</v>
      </c>
      <c r="AM116" s="43"/>
      <c r="AN116" s="42"/>
      <c r="AR116" s="47">
        <v>0</v>
      </c>
      <c r="AS116" s="43"/>
      <c r="AX116" s="47">
        <v>0</v>
      </c>
      <c r="AY116" s="43"/>
      <c r="BD116" s="47">
        <v>0</v>
      </c>
      <c r="BE116" s="43"/>
      <c r="BF116" s="42"/>
      <c r="BJ116" s="47">
        <v>0</v>
      </c>
      <c r="BK116" s="43"/>
      <c r="BL116" s="42"/>
      <c r="BP116" s="47">
        <v>0</v>
      </c>
      <c r="BQ116" s="43"/>
      <c r="BV116" s="47">
        <v>0</v>
      </c>
      <c r="BW116" s="43"/>
      <c r="BX116" s="42"/>
      <c r="CB116" s="47">
        <v>0</v>
      </c>
      <c r="CC116" s="43"/>
      <c r="CH116" s="47">
        <v>0</v>
      </c>
      <c r="CI116" s="43"/>
      <c r="CN116" s="47">
        <v>0</v>
      </c>
      <c r="CO116" s="43"/>
      <c r="CP116" s="42"/>
      <c r="CT116" s="47">
        <v>0</v>
      </c>
      <c r="CU116" s="43"/>
      <c r="CV116" s="42"/>
      <c r="CZ116" s="47">
        <v>0</v>
      </c>
      <c r="DA116" s="43"/>
      <c r="DG116" s="47">
        <v>0</v>
      </c>
      <c r="DH116" s="43"/>
      <c r="DK116" s="47">
        <v>0</v>
      </c>
      <c r="DL116" s="43"/>
      <c r="DM116" s="42"/>
      <c r="DQ116" s="47">
        <v>0</v>
      </c>
      <c r="DR116" s="43"/>
      <c r="DW116" s="47">
        <v>0</v>
      </c>
      <c r="DX116" s="43"/>
      <c r="EC116" s="47">
        <v>0</v>
      </c>
      <c r="ED116" s="43"/>
      <c r="EE116" s="42"/>
      <c r="EI116" s="47">
        <v>0</v>
      </c>
      <c r="EJ116" s="43"/>
      <c r="EO116" s="47">
        <v>0</v>
      </c>
      <c r="EP116" s="43"/>
      <c r="EQ116" s="42"/>
      <c r="EU116" s="47">
        <v>0</v>
      </c>
      <c r="EV116" s="43"/>
      <c r="EW116" s="42"/>
      <c r="FC116" s="47">
        <v>0</v>
      </c>
      <c r="FD116" s="43"/>
      <c r="FE116" s="42"/>
      <c r="FI116" s="47">
        <v>0</v>
      </c>
      <c r="FJ116" s="43"/>
      <c r="FQ116" s="47">
        <v>0</v>
      </c>
      <c r="FR116" s="43"/>
      <c r="FS116" s="42"/>
      <c r="FW116" s="47">
        <v>0</v>
      </c>
      <c r="FX116" s="43"/>
      <c r="FY116" s="42"/>
      <c r="GC116" s="47">
        <v>0</v>
      </c>
      <c r="GD116" s="43"/>
      <c r="GE116" s="42"/>
      <c r="GI116" s="47">
        <v>0</v>
      </c>
      <c r="GJ116" s="43"/>
      <c r="GQ116" s="47">
        <v>0</v>
      </c>
      <c r="GR116" s="43"/>
      <c r="GX116" s="47">
        <v>0</v>
      </c>
      <c r="GY116" s="43"/>
      <c r="GZ116" s="42"/>
      <c r="HC116" s="47">
        <v>0</v>
      </c>
      <c r="HD116" s="43"/>
      <c r="HE116" s="42"/>
      <c r="HH116" s="47">
        <v>0</v>
      </c>
      <c r="HI116" s="43"/>
      <c r="HN116" s="47">
        <v>0</v>
      </c>
      <c r="HO116" s="43"/>
      <c r="HP116" s="42"/>
      <c r="HU116" s="47">
        <v>0</v>
      </c>
      <c r="HV116" s="43"/>
      <c r="IA116" s="47">
        <v>0</v>
      </c>
      <c r="IB116" s="43"/>
      <c r="IC116" s="42"/>
      <c r="IG116" s="47">
        <v>0</v>
      </c>
      <c r="IH116" s="43"/>
      <c r="IM116" s="47">
        <v>0</v>
      </c>
      <c r="IN116" s="43"/>
      <c r="IO116" s="42"/>
      <c r="IQ116" s="47">
        <v>0</v>
      </c>
      <c r="IR116" s="43"/>
      <c r="IS116" s="42"/>
      <c r="IW116" s="47">
        <v>0</v>
      </c>
      <c r="IX116" s="43"/>
      <c r="IY116" s="42"/>
      <c r="JA116" s="47">
        <v>0</v>
      </c>
      <c r="JB116" s="43"/>
      <c r="JC116" s="42"/>
      <c r="JG116" s="47">
        <v>0</v>
      </c>
      <c r="JH116" s="43"/>
      <c r="JO116" s="47">
        <v>0</v>
      </c>
      <c r="JP116" s="43"/>
      <c r="JQ116" s="42"/>
      <c r="JU116" s="47">
        <v>0</v>
      </c>
      <c r="JV116" s="43"/>
      <c r="KA116" s="47">
        <v>0</v>
      </c>
      <c r="KB116" s="45"/>
      <c r="KG116" s="47">
        <v>0</v>
      </c>
      <c r="KH116" s="45"/>
      <c r="KM116" s="47">
        <v>0</v>
      </c>
      <c r="KN116" s="45"/>
      <c r="KS116" s="47">
        <v>0</v>
      </c>
      <c r="KT116" s="43"/>
      <c r="KW116" s="47">
        <v>0</v>
      </c>
      <c r="KX116" s="45"/>
      <c r="LC116" s="47">
        <v>0</v>
      </c>
      <c r="LD116" s="43"/>
      <c r="LE116" s="46"/>
      <c r="LG116" s="47">
        <v>0</v>
      </c>
      <c r="LH116" s="45"/>
      <c r="LM116" s="47">
        <v>0</v>
      </c>
      <c r="LN116" s="45"/>
      <c r="LS116" s="47">
        <v>0</v>
      </c>
      <c r="LT116" s="45"/>
      <c r="LY116" s="47">
        <v>0</v>
      </c>
      <c r="LZ116" s="45"/>
      <c r="ME116" s="47">
        <v>0</v>
      </c>
      <c r="MF116" s="45"/>
      <c r="MG116" s="46"/>
      <c r="MM116" s="47">
        <v>0</v>
      </c>
      <c r="MN116" s="45"/>
      <c r="MO116" s="44">
        <v>0</v>
      </c>
      <c r="MP116" s="44">
        <v>0</v>
      </c>
      <c r="MQ116" s="44">
        <v>0</v>
      </c>
      <c r="MR116" s="44">
        <v>0</v>
      </c>
      <c r="MS116" s="47">
        <v>0</v>
      </c>
      <c r="MT116" s="45"/>
      <c r="MU116" s="44">
        <v>0</v>
      </c>
      <c r="MV116" s="44">
        <v>0</v>
      </c>
      <c r="MW116" s="44">
        <v>0</v>
      </c>
      <c r="MX116" s="44">
        <v>0</v>
      </c>
      <c r="MY116" s="47">
        <v>0</v>
      </c>
      <c r="MZ116" s="45"/>
      <c r="NA116" s="46">
        <v>0</v>
      </c>
      <c r="NB116" s="44">
        <v>0</v>
      </c>
      <c r="NC116" s="47">
        <v>0</v>
      </c>
      <c r="ND116" s="45"/>
      <c r="NE116" s="46">
        <v>0</v>
      </c>
      <c r="NF116" s="44">
        <v>0</v>
      </c>
      <c r="NG116" s="44">
        <v>0</v>
      </c>
      <c r="NH116" s="44">
        <v>0</v>
      </c>
      <c r="NI116" s="44">
        <v>0</v>
      </c>
      <c r="NJ116" s="47">
        <v>0</v>
      </c>
      <c r="NK116" s="45"/>
      <c r="NL116" s="46">
        <v>0</v>
      </c>
      <c r="NM116" s="44">
        <v>0</v>
      </c>
      <c r="NN116" s="44">
        <v>0</v>
      </c>
      <c r="NO116" s="44">
        <v>0</v>
      </c>
      <c r="NP116" s="47">
        <v>0</v>
      </c>
      <c r="NQ116" s="45"/>
      <c r="NR116" s="46">
        <v>0</v>
      </c>
      <c r="NS116" s="44">
        <v>0</v>
      </c>
      <c r="NT116" s="47">
        <v>0</v>
      </c>
      <c r="NU116" s="45"/>
      <c r="NV116" s="46">
        <v>0</v>
      </c>
      <c r="NW116" s="44">
        <v>0</v>
      </c>
      <c r="NX116" s="44">
        <v>0</v>
      </c>
      <c r="NY116" s="44">
        <v>0</v>
      </c>
      <c r="NZ116" s="47">
        <v>0</v>
      </c>
      <c r="OA116" s="45"/>
      <c r="OB116" s="46">
        <v>0</v>
      </c>
      <c r="OC116" s="44">
        <v>0</v>
      </c>
      <c r="OD116" s="47">
        <v>0</v>
      </c>
      <c r="OE116" s="45"/>
      <c r="OF116" s="46">
        <v>0</v>
      </c>
      <c r="OG116" s="44">
        <v>0</v>
      </c>
      <c r="OH116" s="44">
        <v>0</v>
      </c>
      <c r="OI116" s="44">
        <v>0</v>
      </c>
      <c r="OJ116" s="47">
        <v>0</v>
      </c>
      <c r="OK116" s="45"/>
      <c r="OL116" s="44">
        <v>0</v>
      </c>
      <c r="OM116" s="43"/>
      <c r="ON116" s="44">
        <v>0</v>
      </c>
      <c r="OO116" s="44">
        <v>0</v>
      </c>
      <c r="OP116" s="47">
        <v>0</v>
      </c>
      <c r="OQ116" s="45"/>
      <c r="OR116" s="46">
        <v>0</v>
      </c>
      <c r="OS116" s="44">
        <v>0</v>
      </c>
      <c r="OT116" s="44">
        <v>32</v>
      </c>
      <c r="OU116" s="44">
        <v>30</v>
      </c>
      <c r="OV116" s="47">
        <v>2</v>
      </c>
      <c r="OW116" s="45"/>
      <c r="OX116" s="46">
        <v>0</v>
      </c>
      <c r="OY116" s="44">
        <v>0</v>
      </c>
      <c r="OZ116" s="44">
        <v>16</v>
      </c>
      <c r="PA116" s="44">
        <v>20</v>
      </c>
      <c r="PB116" s="47">
        <v>-4</v>
      </c>
      <c r="PC116" s="45"/>
      <c r="PD116" s="46">
        <v>0</v>
      </c>
      <c r="PE116" s="44">
        <v>0</v>
      </c>
      <c r="PF116" s="44">
        <v>0</v>
      </c>
      <c r="PG116" s="44">
        <v>0</v>
      </c>
      <c r="PH116" s="47">
        <v>0</v>
      </c>
      <c r="PI116" s="45"/>
      <c r="PJ116" s="46">
        <v>0</v>
      </c>
      <c r="PK116" s="44">
        <v>0</v>
      </c>
      <c r="PL116" s="44">
        <v>48</v>
      </c>
      <c r="PM116" s="44">
        <v>50</v>
      </c>
      <c r="PN116" s="47">
        <v>-2</v>
      </c>
      <c r="PO116" s="45"/>
      <c r="PP116" s="46">
        <v>0</v>
      </c>
      <c r="PQ116" s="44">
        <v>0</v>
      </c>
      <c r="PR116" s="44">
        <v>40</v>
      </c>
      <c r="PS116" s="44">
        <v>40</v>
      </c>
      <c r="PT116" s="47">
        <v>0</v>
      </c>
      <c r="PU116" s="45"/>
      <c r="PV116" s="46">
        <v>0</v>
      </c>
      <c r="PW116" s="44">
        <v>0</v>
      </c>
      <c r="PX116" s="47">
        <v>0</v>
      </c>
      <c r="PY116" s="45"/>
      <c r="PZ116" s="46">
        <v>0</v>
      </c>
      <c r="QA116" s="44">
        <v>0</v>
      </c>
      <c r="QB116" s="47">
        <v>0</v>
      </c>
      <c r="QC116" s="45"/>
      <c r="QD116" s="46">
        <v>0</v>
      </c>
      <c r="QE116" s="44">
        <v>0</v>
      </c>
      <c r="QF116" s="44">
        <v>40</v>
      </c>
      <c r="QG116" s="44">
        <v>40</v>
      </c>
      <c r="QH116" s="47">
        <v>0</v>
      </c>
      <c r="QI116" s="45"/>
      <c r="QJ116" s="46">
        <v>0</v>
      </c>
      <c r="QK116" s="44">
        <v>0</v>
      </c>
      <c r="QL116" s="47">
        <v>0</v>
      </c>
      <c r="QM116" s="45"/>
      <c r="QN116" s="46">
        <v>0</v>
      </c>
      <c r="QO116" s="44">
        <v>0</v>
      </c>
      <c r="QP116" s="44">
        <v>0</v>
      </c>
      <c r="QQ116" s="44">
        <v>0</v>
      </c>
      <c r="QR116" s="47">
        <v>0</v>
      </c>
      <c r="QS116" s="45"/>
      <c r="QT116" s="46">
        <v>0</v>
      </c>
      <c r="QU116" s="44">
        <v>0</v>
      </c>
      <c r="QV116" s="47">
        <v>0</v>
      </c>
      <c r="QW116" s="45"/>
      <c r="QX116" s="46">
        <v>0</v>
      </c>
      <c r="QY116" s="44">
        <v>0</v>
      </c>
      <c r="QZ116" s="44">
        <v>48</v>
      </c>
      <c r="RA116" s="44">
        <v>50</v>
      </c>
      <c r="RB116" s="47">
        <v>-2</v>
      </c>
      <c r="RC116" s="45"/>
      <c r="RD116" s="42">
        <v>0</v>
      </c>
      <c r="RE116" s="44">
        <v>0</v>
      </c>
      <c r="RF116" s="44">
        <v>0</v>
      </c>
      <c r="RG116" s="44">
        <v>0</v>
      </c>
      <c r="RH116" s="47">
        <v>0</v>
      </c>
      <c r="RI116" s="45"/>
      <c r="RJ116" s="42">
        <v>64</v>
      </c>
      <c r="RK116" s="47">
        <v>100</v>
      </c>
      <c r="RL116" s="47">
        <v>96</v>
      </c>
      <c r="RM116" s="47">
        <v>100</v>
      </c>
      <c r="RN116" s="50">
        <v>-40</v>
      </c>
      <c r="RO116" s="43">
        <v>14</v>
      </c>
      <c r="RP116" s="42">
        <v>0</v>
      </c>
      <c r="RQ116" s="47">
        <v>0</v>
      </c>
      <c r="RR116" s="47">
        <v>0</v>
      </c>
      <c r="RS116" s="43"/>
      <c r="RT116" s="42">
        <v>0</v>
      </c>
      <c r="RU116" s="47">
        <v>0</v>
      </c>
      <c r="RV116" s="47">
        <v>0</v>
      </c>
      <c r="RW116" s="47">
        <v>0</v>
      </c>
      <c r="RX116" s="47">
        <v>0</v>
      </c>
      <c r="RY116" s="43"/>
      <c r="RZ116" s="42">
        <v>0</v>
      </c>
      <c r="SA116" s="47">
        <v>0</v>
      </c>
      <c r="SB116" s="47">
        <v>0</v>
      </c>
      <c r="SC116" s="47">
        <v>0</v>
      </c>
      <c r="SD116" s="47">
        <v>0</v>
      </c>
      <c r="SE116" s="43"/>
      <c r="SF116" s="42">
        <v>0</v>
      </c>
      <c r="SG116" s="47">
        <v>0</v>
      </c>
      <c r="SH116" s="47">
        <v>152</v>
      </c>
      <c r="SI116" s="47">
        <v>0</v>
      </c>
      <c r="SJ116" s="47">
        <v>152</v>
      </c>
      <c r="SK116" s="43"/>
      <c r="SL116" s="42">
        <v>152</v>
      </c>
      <c r="SM116" s="47">
        <v>150</v>
      </c>
      <c r="SN116" s="47">
        <v>2</v>
      </c>
      <c r="SO116" s="43"/>
      <c r="SP116" s="42">
        <v>0</v>
      </c>
      <c r="SQ116" s="47">
        <v>0</v>
      </c>
      <c r="SR116" s="47">
        <v>248</v>
      </c>
      <c r="SS116" s="47">
        <v>250</v>
      </c>
      <c r="ST116" s="47">
        <v>-2</v>
      </c>
      <c r="SU116" s="43"/>
    </row>
    <row r="117" spans="1:515" x14ac:dyDescent="0.25">
      <c r="A117" s="47" t="s">
        <v>424</v>
      </c>
      <c r="B117" s="41">
        <v>0.4</v>
      </c>
      <c r="J117" s="42"/>
      <c r="K117" s="51"/>
      <c r="L117" s="51"/>
      <c r="M117" s="51"/>
      <c r="N117" s="51">
        <f t="shared" si="12"/>
        <v>0</v>
      </c>
      <c r="O117" s="43"/>
      <c r="P117" s="46"/>
      <c r="Q117" s="51"/>
      <c r="R117" s="51"/>
      <c r="S117" s="51"/>
      <c r="T117" s="51">
        <f t="shared" si="13"/>
        <v>0</v>
      </c>
      <c r="U117" s="43"/>
      <c r="V117" s="42"/>
      <c r="W117" s="51"/>
      <c r="X117" s="51"/>
      <c r="Y117" s="51"/>
      <c r="Z117" s="51">
        <f t="shared" si="14"/>
        <v>0</v>
      </c>
      <c r="AA117" s="43"/>
      <c r="AB117" s="42"/>
      <c r="AC117" s="51"/>
      <c r="AD117" s="51"/>
      <c r="AE117" s="51"/>
      <c r="AF117" s="51">
        <v>0</v>
      </c>
      <c r="AG117" s="43"/>
      <c r="AH117" s="51"/>
      <c r="AL117" s="47">
        <v>0</v>
      </c>
      <c r="AM117" s="43"/>
      <c r="AN117" s="42"/>
      <c r="AR117" s="47">
        <v>0</v>
      </c>
      <c r="AS117" s="43"/>
      <c r="AX117" s="47">
        <v>0</v>
      </c>
      <c r="AY117" s="43"/>
      <c r="BD117" s="47">
        <v>0</v>
      </c>
      <c r="BE117" s="43"/>
      <c r="BF117" s="42"/>
      <c r="BJ117" s="47">
        <v>0</v>
      </c>
      <c r="BK117" s="43"/>
      <c r="BL117" s="42"/>
      <c r="BP117" s="47">
        <v>0</v>
      </c>
      <c r="BQ117" s="43"/>
      <c r="BV117" s="47">
        <v>0</v>
      </c>
      <c r="BW117" s="43"/>
      <c r="BX117" s="42"/>
      <c r="CB117" s="47">
        <v>0</v>
      </c>
      <c r="CC117" s="43"/>
      <c r="CH117" s="47">
        <v>0</v>
      </c>
      <c r="CI117" s="43"/>
      <c r="CN117" s="47">
        <v>0</v>
      </c>
      <c r="CO117" s="43"/>
      <c r="CP117" s="42"/>
      <c r="CT117" s="47">
        <v>0</v>
      </c>
      <c r="CU117" s="43"/>
      <c r="CV117" s="42"/>
      <c r="CZ117" s="47">
        <v>0</v>
      </c>
      <c r="DA117" s="43"/>
      <c r="DG117" s="47">
        <v>0</v>
      </c>
      <c r="DH117" s="43"/>
      <c r="DK117" s="47">
        <v>0</v>
      </c>
      <c r="DL117" s="43"/>
      <c r="DM117" s="42"/>
      <c r="DQ117" s="47">
        <v>0</v>
      </c>
      <c r="DR117" s="43"/>
      <c r="DW117" s="47">
        <v>0</v>
      </c>
      <c r="DX117" s="43"/>
      <c r="EC117" s="47">
        <v>0</v>
      </c>
      <c r="ED117" s="43"/>
      <c r="EE117" s="42"/>
      <c r="EI117" s="47">
        <v>0</v>
      </c>
      <c r="EJ117" s="43"/>
      <c r="EO117" s="47">
        <v>0</v>
      </c>
      <c r="EP117" s="43"/>
      <c r="EQ117" s="42"/>
      <c r="EU117" s="47">
        <v>0</v>
      </c>
      <c r="EV117" s="43"/>
      <c r="EW117" s="42"/>
      <c r="FC117" s="47">
        <v>0</v>
      </c>
      <c r="FD117" s="43"/>
      <c r="FE117" s="42"/>
      <c r="FI117" s="47">
        <v>0</v>
      </c>
      <c r="FJ117" s="43"/>
      <c r="FQ117" s="47">
        <v>0</v>
      </c>
      <c r="FR117" s="43"/>
      <c r="FS117" s="42"/>
      <c r="FW117" s="47">
        <v>0</v>
      </c>
      <c r="FX117" s="43"/>
      <c r="FY117" s="42"/>
      <c r="GC117" s="47">
        <v>0</v>
      </c>
      <c r="GD117" s="43"/>
      <c r="GE117" s="42"/>
      <c r="GI117" s="47">
        <v>0</v>
      </c>
      <c r="GJ117" s="43"/>
      <c r="GQ117" s="47">
        <v>0</v>
      </c>
      <c r="GR117" s="43"/>
      <c r="GX117" s="47">
        <v>0</v>
      </c>
      <c r="GY117" s="43"/>
      <c r="GZ117" s="42"/>
      <c r="HC117" s="47">
        <v>0</v>
      </c>
      <c r="HD117" s="43"/>
      <c r="HE117" s="42"/>
      <c r="HH117" s="47">
        <v>0</v>
      </c>
      <c r="HI117" s="43"/>
      <c r="HN117" s="47">
        <v>0</v>
      </c>
      <c r="HO117" s="43"/>
      <c r="HP117" s="42"/>
      <c r="HU117" s="47">
        <v>0</v>
      </c>
      <c r="HV117" s="43"/>
      <c r="IA117" s="47">
        <v>0</v>
      </c>
      <c r="IB117" s="43"/>
      <c r="IC117" s="42"/>
      <c r="IG117" s="47">
        <v>0</v>
      </c>
      <c r="IH117" s="43"/>
      <c r="IM117" s="47">
        <v>0</v>
      </c>
      <c r="IN117" s="43"/>
      <c r="IO117" s="42"/>
      <c r="IQ117" s="47">
        <v>0</v>
      </c>
      <c r="IR117" s="43"/>
      <c r="IS117" s="42"/>
      <c r="IW117" s="47">
        <v>0</v>
      </c>
      <c r="IX117" s="43"/>
      <c r="IY117" s="42"/>
      <c r="JA117" s="47">
        <v>0</v>
      </c>
      <c r="JB117" s="43"/>
      <c r="JC117" s="42"/>
      <c r="JG117" s="47">
        <v>0</v>
      </c>
      <c r="JH117" s="43"/>
      <c r="JO117" s="47">
        <v>0</v>
      </c>
      <c r="JP117" s="43"/>
      <c r="JQ117" s="42"/>
      <c r="JU117" s="47">
        <v>0</v>
      </c>
      <c r="JV117" s="43"/>
      <c r="KA117" s="47">
        <v>0</v>
      </c>
      <c r="KB117" s="45"/>
      <c r="KG117" s="47">
        <v>0</v>
      </c>
      <c r="KH117" s="45"/>
      <c r="KI117">
        <v>350</v>
      </c>
      <c r="KJ117">
        <v>350</v>
      </c>
      <c r="KK117">
        <v>340</v>
      </c>
      <c r="KL117">
        <v>340</v>
      </c>
      <c r="KM117" s="47">
        <v>0</v>
      </c>
      <c r="KN117" s="45"/>
      <c r="KO117">
        <v>290</v>
      </c>
      <c r="KP117">
        <v>500</v>
      </c>
      <c r="KQ117">
        <v>450</v>
      </c>
      <c r="KR117">
        <v>450</v>
      </c>
      <c r="KS117" s="50">
        <v>-210</v>
      </c>
      <c r="KT117" s="43">
        <v>84</v>
      </c>
      <c r="KU117">
        <v>90</v>
      </c>
      <c r="KV117">
        <v>91</v>
      </c>
      <c r="KW117" s="47">
        <v>-1</v>
      </c>
      <c r="KX117" s="45"/>
      <c r="KY117">
        <v>400</v>
      </c>
      <c r="KZ117">
        <v>400</v>
      </c>
      <c r="LA117">
        <v>390</v>
      </c>
      <c r="LB117">
        <v>396</v>
      </c>
      <c r="LC117" s="47">
        <v>-6</v>
      </c>
      <c r="LD117" s="43"/>
      <c r="LE117" s="40">
        <v>480</v>
      </c>
      <c r="LF117" s="44">
        <v>480</v>
      </c>
      <c r="LG117" s="47">
        <v>0</v>
      </c>
      <c r="LH117" s="45"/>
      <c r="LK117">
        <v>170</v>
      </c>
      <c r="LL117">
        <v>170</v>
      </c>
      <c r="LM117" s="47">
        <v>0</v>
      </c>
      <c r="LN117" s="45"/>
      <c r="LO117">
        <v>350</v>
      </c>
      <c r="LP117">
        <v>350</v>
      </c>
      <c r="LQ117">
        <v>100</v>
      </c>
      <c r="LR117">
        <v>100</v>
      </c>
      <c r="LS117" s="47">
        <v>0</v>
      </c>
      <c r="LT117" s="45"/>
      <c r="LU117">
        <v>170</v>
      </c>
      <c r="LV117">
        <v>170</v>
      </c>
      <c r="LW117">
        <v>280</v>
      </c>
      <c r="LX117">
        <v>280</v>
      </c>
      <c r="LY117" s="47">
        <v>0</v>
      </c>
      <c r="LZ117" s="45"/>
      <c r="MA117">
        <v>300</v>
      </c>
      <c r="MB117">
        <v>300</v>
      </c>
      <c r="MC117">
        <v>380</v>
      </c>
      <c r="MD117">
        <v>380</v>
      </c>
      <c r="ME117" s="47">
        <v>0</v>
      </c>
      <c r="MF117" s="45"/>
      <c r="MG117" s="40">
        <v>260</v>
      </c>
      <c r="MH117">
        <v>260</v>
      </c>
      <c r="MI117">
        <v>300</v>
      </c>
      <c r="MJ117">
        <v>300</v>
      </c>
      <c r="MK117">
        <v>250</v>
      </c>
      <c r="ML117">
        <v>250</v>
      </c>
      <c r="MM117" s="47">
        <v>0</v>
      </c>
      <c r="MN117" s="45"/>
      <c r="MO117" s="44">
        <v>300</v>
      </c>
      <c r="MP117" s="44">
        <v>300</v>
      </c>
      <c r="MQ117" s="44">
        <v>320</v>
      </c>
      <c r="MR117" s="44">
        <v>324</v>
      </c>
      <c r="MS117" s="47">
        <v>-4</v>
      </c>
      <c r="MT117" s="45"/>
      <c r="MU117" s="44">
        <v>200</v>
      </c>
      <c r="MV117" s="44">
        <v>200</v>
      </c>
      <c r="MW117" s="44">
        <v>210</v>
      </c>
      <c r="MX117" s="44">
        <v>210</v>
      </c>
      <c r="MY117" s="47">
        <v>0</v>
      </c>
      <c r="MZ117" s="45"/>
      <c r="NA117" s="46">
        <v>370</v>
      </c>
      <c r="NB117" s="44">
        <v>373</v>
      </c>
      <c r="NC117" s="47">
        <v>-3</v>
      </c>
      <c r="ND117" s="45"/>
      <c r="NE117" s="46">
        <v>600</v>
      </c>
      <c r="NF117" s="44">
        <v>600</v>
      </c>
      <c r="NG117" s="44">
        <v>370</v>
      </c>
      <c r="NH117" s="44">
        <v>0</v>
      </c>
      <c r="NI117" s="44">
        <v>370</v>
      </c>
      <c r="NJ117" s="47">
        <v>0</v>
      </c>
      <c r="NK117" s="45"/>
      <c r="NL117" s="46">
        <v>120</v>
      </c>
      <c r="NM117" s="44">
        <v>120</v>
      </c>
      <c r="NN117" s="44">
        <v>190</v>
      </c>
      <c r="NO117" s="44">
        <v>190</v>
      </c>
      <c r="NP117" s="47">
        <v>0</v>
      </c>
      <c r="NQ117" s="45"/>
      <c r="NR117" s="46">
        <v>650</v>
      </c>
      <c r="NS117" s="44">
        <v>650</v>
      </c>
      <c r="NT117" s="47">
        <v>0</v>
      </c>
      <c r="NU117" s="45"/>
      <c r="NV117" s="46">
        <v>0</v>
      </c>
      <c r="NW117" s="44">
        <v>0</v>
      </c>
      <c r="NX117" s="44">
        <v>600</v>
      </c>
      <c r="NY117" s="44">
        <v>601</v>
      </c>
      <c r="NZ117" s="47">
        <v>-1</v>
      </c>
      <c r="OA117" s="45"/>
      <c r="OB117" s="46">
        <v>70</v>
      </c>
      <c r="OC117" s="44">
        <v>70</v>
      </c>
      <c r="OD117" s="47">
        <v>0</v>
      </c>
      <c r="OE117" s="45"/>
      <c r="OF117" s="46">
        <v>200</v>
      </c>
      <c r="OG117" s="44">
        <v>200</v>
      </c>
      <c r="OH117" s="44">
        <v>680</v>
      </c>
      <c r="OI117" s="44">
        <v>682</v>
      </c>
      <c r="OJ117" s="47">
        <v>-2</v>
      </c>
      <c r="OK117" s="45"/>
      <c r="OL117" s="44">
        <v>0</v>
      </c>
      <c r="OM117" s="43"/>
      <c r="ON117" s="44">
        <v>320</v>
      </c>
      <c r="OO117" s="44">
        <v>320</v>
      </c>
      <c r="OP117" s="47">
        <v>0</v>
      </c>
      <c r="OQ117" s="45"/>
      <c r="OR117" s="46">
        <v>100</v>
      </c>
      <c r="OS117" s="44">
        <v>100</v>
      </c>
      <c r="OT117" s="44">
        <v>150</v>
      </c>
      <c r="OU117" s="44">
        <v>150</v>
      </c>
      <c r="OV117" s="47">
        <v>0</v>
      </c>
      <c r="OW117" s="45"/>
      <c r="OX117" s="46">
        <v>170</v>
      </c>
      <c r="OY117" s="44">
        <v>150</v>
      </c>
      <c r="OZ117" s="44">
        <v>350</v>
      </c>
      <c r="PA117" s="44">
        <v>355</v>
      </c>
      <c r="PB117" s="47">
        <v>15</v>
      </c>
      <c r="PC117" s="45"/>
      <c r="PD117" s="46">
        <v>100</v>
      </c>
      <c r="PE117" s="44">
        <v>100</v>
      </c>
      <c r="PF117" s="44">
        <v>170</v>
      </c>
      <c r="PG117" s="44">
        <v>170</v>
      </c>
      <c r="PH117" s="47">
        <v>0</v>
      </c>
      <c r="PI117" s="45"/>
      <c r="PJ117" s="46">
        <v>0</v>
      </c>
      <c r="PK117" s="33">
        <v>400</v>
      </c>
      <c r="PL117" s="44">
        <v>310</v>
      </c>
      <c r="PM117" s="44">
        <v>596</v>
      </c>
      <c r="PN117" s="50">
        <v>-686</v>
      </c>
      <c r="PO117" s="45">
        <v>274.39999999999998</v>
      </c>
      <c r="PP117" s="46">
        <v>0</v>
      </c>
      <c r="PQ117" s="44">
        <v>0</v>
      </c>
      <c r="PR117" s="32">
        <v>300</v>
      </c>
      <c r="PS117" s="44">
        <v>150</v>
      </c>
      <c r="PT117" s="47">
        <v>150</v>
      </c>
      <c r="PU117" s="45"/>
      <c r="PV117" s="46">
        <v>350</v>
      </c>
      <c r="PW117" s="44">
        <v>350</v>
      </c>
      <c r="PX117" s="47">
        <v>0</v>
      </c>
      <c r="PY117" s="45"/>
      <c r="PZ117" s="46">
        <v>420</v>
      </c>
      <c r="QA117" s="44">
        <v>423</v>
      </c>
      <c r="QB117" s="47">
        <v>-3</v>
      </c>
      <c r="QC117" s="45"/>
      <c r="QD117" s="46">
        <v>120</v>
      </c>
      <c r="QE117" s="44">
        <v>120</v>
      </c>
      <c r="QF117" s="44">
        <v>130</v>
      </c>
      <c r="QG117" s="44">
        <v>128.13399999999999</v>
      </c>
      <c r="QH117" s="47">
        <v>1.865999999999985</v>
      </c>
      <c r="QI117" s="45"/>
      <c r="QJ117" s="46">
        <v>120</v>
      </c>
      <c r="QK117" s="44">
        <v>120</v>
      </c>
      <c r="QL117" s="47">
        <v>0</v>
      </c>
      <c r="QM117" s="45"/>
      <c r="QN117" s="46">
        <v>300</v>
      </c>
      <c r="QO117" s="44">
        <v>300</v>
      </c>
      <c r="QP117" s="44">
        <v>260</v>
      </c>
      <c r="QQ117" s="44">
        <v>260</v>
      </c>
      <c r="QR117" s="47">
        <v>0</v>
      </c>
      <c r="QS117" s="45"/>
      <c r="QT117" s="46">
        <v>0</v>
      </c>
      <c r="QU117" s="44">
        <v>0</v>
      </c>
      <c r="QV117" s="47">
        <v>0</v>
      </c>
      <c r="QW117" s="45"/>
      <c r="QX117" s="46">
        <v>0</v>
      </c>
      <c r="QY117" s="44">
        <v>0</v>
      </c>
      <c r="QZ117" s="44">
        <v>200</v>
      </c>
      <c r="RA117" s="44">
        <v>200</v>
      </c>
      <c r="RB117" s="47">
        <v>0</v>
      </c>
      <c r="RC117" s="45"/>
      <c r="RD117" s="42">
        <v>0</v>
      </c>
      <c r="RE117" s="44">
        <v>0</v>
      </c>
      <c r="RF117" s="44">
        <v>170</v>
      </c>
      <c r="RG117" s="44">
        <v>172</v>
      </c>
      <c r="RH117" s="47">
        <v>-2</v>
      </c>
      <c r="RI117" s="45"/>
      <c r="RJ117" s="42">
        <v>170</v>
      </c>
      <c r="RK117" s="47">
        <v>170</v>
      </c>
      <c r="RL117" s="47">
        <v>150</v>
      </c>
      <c r="RM117" s="47">
        <v>150</v>
      </c>
      <c r="RN117" s="47">
        <v>0</v>
      </c>
      <c r="RO117" s="43"/>
      <c r="RP117" s="42">
        <v>200</v>
      </c>
      <c r="RQ117" s="47">
        <v>400</v>
      </c>
      <c r="RR117" s="50">
        <v>-200</v>
      </c>
      <c r="RS117" s="43">
        <v>80</v>
      </c>
      <c r="RT117" s="42">
        <v>100</v>
      </c>
      <c r="RU117" s="47">
        <v>101</v>
      </c>
      <c r="RV117" s="47">
        <v>120</v>
      </c>
      <c r="RW117" s="47">
        <v>120</v>
      </c>
      <c r="RX117" s="47">
        <v>-1</v>
      </c>
      <c r="RY117" s="43"/>
      <c r="RZ117" s="42">
        <v>150</v>
      </c>
      <c r="SA117" s="47">
        <v>150</v>
      </c>
      <c r="SB117" s="47">
        <v>200</v>
      </c>
      <c r="SC117" s="47">
        <v>200</v>
      </c>
      <c r="SD117" s="47">
        <v>0</v>
      </c>
      <c r="SE117" s="43"/>
      <c r="SF117" s="42">
        <v>60</v>
      </c>
      <c r="SG117" s="47">
        <v>66</v>
      </c>
      <c r="SH117" s="47">
        <v>250</v>
      </c>
      <c r="SI117" s="47">
        <v>0</v>
      </c>
      <c r="SJ117" s="47">
        <v>244</v>
      </c>
      <c r="SK117" s="43"/>
      <c r="SL117" s="42">
        <v>150</v>
      </c>
      <c r="SM117" s="47">
        <v>150</v>
      </c>
      <c r="SN117" s="47">
        <v>0</v>
      </c>
      <c r="SO117" s="43"/>
      <c r="SP117" s="42">
        <v>0</v>
      </c>
      <c r="SQ117" s="47">
        <v>0</v>
      </c>
      <c r="SR117" s="47">
        <v>250</v>
      </c>
      <c r="SS117" s="47">
        <v>250</v>
      </c>
      <c r="ST117" s="47">
        <v>0</v>
      </c>
      <c r="SU117" s="43"/>
    </row>
    <row r="118" spans="1:515" x14ac:dyDescent="0.25">
      <c r="A118" s="47" t="s">
        <v>425</v>
      </c>
      <c r="B118" s="41">
        <v>0.16</v>
      </c>
      <c r="J118" s="42"/>
      <c r="K118" s="51"/>
      <c r="L118" s="51"/>
      <c r="M118" s="51"/>
      <c r="N118" s="51">
        <f t="shared" si="12"/>
        <v>0</v>
      </c>
      <c r="O118" s="43"/>
      <c r="P118" s="46"/>
      <c r="Q118" s="51"/>
      <c r="R118" s="51"/>
      <c r="S118" s="51"/>
      <c r="T118" s="51">
        <f t="shared" si="13"/>
        <v>0</v>
      </c>
      <c r="U118" s="43"/>
      <c r="V118" s="42"/>
      <c r="W118" s="51"/>
      <c r="X118" s="51"/>
      <c r="Y118" s="51"/>
      <c r="Z118" s="51">
        <f t="shared" si="14"/>
        <v>0</v>
      </c>
      <c r="AA118" s="43"/>
      <c r="AB118" s="42"/>
      <c r="AC118" s="51"/>
      <c r="AD118" s="51"/>
      <c r="AE118" s="51"/>
      <c r="AF118" s="51">
        <v>0</v>
      </c>
      <c r="AG118" s="43"/>
      <c r="AH118" s="51"/>
      <c r="AL118" s="47">
        <v>0</v>
      </c>
      <c r="AM118" s="43"/>
      <c r="AN118" s="42"/>
      <c r="AR118" s="47">
        <v>0</v>
      </c>
      <c r="AS118" s="43"/>
      <c r="AX118" s="47">
        <v>0</v>
      </c>
      <c r="AY118" s="43"/>
      <c r="BD118" s="47">
        <v>0</v>
      </c>
      <c r="BE118" s="43"/>
      <c r="BF118" s="42"/>
      <c r="BJ118" s="47">
        <v>0</v>
      </c>
      <c r="BK118" s="43"/>
      <c r="BL118" s="42"/>
      <c r="BP118" s="47">
        <v>0</v>
      </c>
      <c r="BQ118" s="43"/>
      <c r="BV118" s="47">
        <v>0</v>
      </c>
      <c r="BW118" s="43"/>
      <c r="BX118" s="42"/>
      <c r="CB118" s="47">
        <v>0</v>
      </c>
      <c r="CC118" s="43"/>
      <c r="CH118" s="47">
        <v>0</v>
      </c>
      <c r="CI118" s="43"/>
      <c r="CN118" s="47">
        <v>0</v>
      </c>
      <c r="CO118" s="43"/>
      <c r="CP118" s="42"/>
      <c r="CT118" s="47">
        <v>0</v>
      </c>
      <c r="CU118" s="43"/>
      <c r="CV118" s="42"/>
      <c r="CZ118" s="47">
        <v>0</v>
      </c>
      <c r="DA118" s="43"/>
      <c r="DG118" s="47">
        <v>0</v>
      </c>
      <c r="DH118" s="43"/>
      <c r="DK118" s="47">
        <v>0</v>
      </c>
      <c r="DL118" s="43"/>
      <c r="DM118" s="42"/>
      <c r="DQ118" s="47">
        <v>0</v>
      </c>
      <c r="DR118" s="43"/>
      <c r="DW118" s="47">
        <v>0</v>
      </c>
      <c r="DX118" s="43"/>
      <c r="EC118" s="47">
        <v>0</v>
      </c>
      <c r="ED118" s="43"/>
      <c r="EE118" s="42"/>
      <c r="EI118" s="47">
        <v>0</v>
      </c>
      <c r="EJ118" s="43"/>
      <c r="EO118" s="47">
        <v>0</v>
      </c>
      <c r="EP118" s="43"/>
      <c r="EQ118" s="42"/>
      <c r="EU118" s="47">
        <v>0</v>
      </c>
      <c r="EV118" s="43"/>
      <c r="EW118" s="42"/>
      <c r="FC118" s="47">
        <v>0</v>
      </c>
      <c r="FD118" s="43"/>
      <c r="FE118" s="42"/>
      <c r="FI118" s="47">
        <v>0</v>
      </c>
      <c r="FJ118" s="43"/>
      <c r="FQ118" s="47">
        <v>0</v>
      </c>
      <c r="FR118" s="43"/>
      <c r="FS118" s="42"/>
      <c r="FW118" s="47">
        <v>0</v>
      </c>
      <c r="FX118" s="43"/>
      <c r="FY118" s="42"/>
      <c r="GC118" s="47">
        <v>0</v>
      </c>
      <c r="GD118" s="43"/>
      <c r="GE118" s="42"/>
      <c r="GI118" s="47">
        <v>0</v>
      </c>
      <c r="GJ118" s="43"/>
      <c r="GQ118" s="47">
        <v>0</v>
      </c>
      <c r="GR118" s="43"/>
      <c r="GX118" s="47">
        <v>0</v>
      </c>
      <c r="GY118" s="43"/>
      <c r="GZ118" s="42"/>
      <c r="HC118" s="47">
        <v>0</v>
      </c>
      <c r="HD118" s="43"/>
      <c r="HE118" s="42"/>
      <c r="HH118" s="47">
        <v>0</v>
      </c>
      <c r="HI118" s="43"/>
      <c r="HN118" s="47">
        <v>0</v>
      </c>
      <c r="HO118" s="43"/>
      <c r="HP118" s="42"/>
      <c r="HU118" s="47">
        <v>0</v>
      </c>
      <c r="HV118" s="43"/>
      <c r="IA118" s="47">
        <v>0</v>
      </c>
      <c r="IB118" s="43"/>
      <c r="IC118" s="42"/>
      <c r="IG118" s="47">
        <v>0</v>
      </c>
      <c r="IH118" s="43"/>
      <c r="IM118" s="47">
        <v>0</v>
      </c>
      <c r="IN118" s="43"/>
      <c r="IO118" s="42"/>
      <c r="IQ118" s="47">
        <v>0</v>
      </c>
      <c r="IR118" s="43"/>
      <c r="IS118" s="42"/>
      <c r="IW118" s="47">
        <v>0</v>
      </c>
      <c r="IX118" s="43"/>
      <c r="IY118" s="42"/>
      <c r="JA118" s="47">
        <v>0</v>
      </c>
      <c r="JB118" s="43"/>
      <c r="JC118" s="42"/>
      <c r="JG118" s="47">
        <v>0</v>
      </c>
      <c r="JH118" s="43"/>
      <c r="JO118" s="47">
        <v>0</v>
      </c>
      <c r="JP118" s="43"/>
      <c r="JQ118" s="42"/>
      <c r="JU118" s="47">
        <v>0</v>
      </c>
      <c r="JV118" s="43"/>
      <c r="KA118" s="47">
        <v>0</v>
      </c>
      <c r="KB118" s="45"/>
      <c r="KG118" s="47">
        <v>0</v>
      </c>
      <c r="KH118" s="45"/>
      <c r="KM118" s="47">
        <v>0</v>
      </c>
      <c r="KN118" s="45"/>
      <c r="KS118" s="47">
        <v>0</v>
      </c>
      <c r="KT118" s="43"/>
      <c r="KW118" s="47">
        <v>0</v>
      </c>
      <c r="KX118" s="45"/>
      <c r="LC118" s="47">
        <v>0</v>
      </c>
      <c r="LD118" s="43"/>
      <c r="LE118" s="46"/>
      <c r="LG118" s="47">
        <v>0</v>
      </c>
      <c r="LH118" s="45"/>
      <c r="LM118" s="47">
        <v>0</v>
      </c>
      <c r="LN118" s="45"/>
      <c r="LS118" s="47">
        <v>0</v>
      </c>
      <c r="LT118" s="45"/>
      <c r="LY118" s="47">
        <v>0</v>
      </c>
      <c r="LZ118" s="45"/>
      <c r="ME118" s="47">
        <v>0</v>
      </c>
      <c r="MF118" s="45"/>
      <c r="MG118" s="46"/>
      <c r="MM118" s="47">
        <v>0</v>
      </c>
      <c r="MN118" s="45"/>
      <c r="MO118" s="44">
        <v>0</v>
      </c>
      <c r="MP118" s="44">
        <v>0</v>
      </c>
      <c r="MQ118" s="44">
        <v>0</v>
      </c>
      <c r="MR118" s="44">
        <v>0</v>
      </c>
      <c r="MS118" s="47">
        <v>0</v>
      </c>
      <c r="MT118" s="45"/>
      <c r="MU118" s="44">
        <v>0</v>
      </c>
      <c r="MV118" s="44">
        <v>0</v>
      </c>
      <c r="MW118" s="44">
        <v>0</v>
      </c>
      <c r="MX118" s="44">
        <v>0</v>
      </c>
      <c r="MY118" s="47">
        <v>0</v>
      </c>
      <c r="MZ118" s="45"/>
      <c r="NA118" s="46">
        <v>0</v>
      </c>
      <c r="NB118" s="44">
        <v>0</v>
      </c>
      <c r="NC118" s="47">
        <v>0</v>
      </c>
      <c r="ND118" s="45"/>
      <c r="NE118" s="46">
        <v>0</v>
      </c>
      <c r="NF118" s="44">
        <v>0</v>
      </c>
      <c r="NG118" s="44">
        <v>0</v>
      </c>
      <c r="NH118" s="44">
        <v>0</v>
      </c>
      <c r="NI118" s="44">
        <v>0</v>
      </c>
      <c r="NJ118" s="47">
        <v>0</v>
      </c>
      <c r="NK118" s="45"/>
      <c r="NL118" s="46">
        <v>0</v>
      </c>
      <c r="NM118" s="44">
        <v>0</v>
      </c>
      <c r="NN118" s="44">
        <v>0</v>
      </c>
      <c r="NO118" s="44">
        <v>0</v>
      </c>
      <c r="NP118" s="47">
        <v>0</v>
      </c>
      <c r="NQ118" s="45"/>
      <c r="NR118" s="46">
        <v>0</v>
      </c>
      <c r="NS118" s="44">
        <v>0</v>
      </c>
      <c r="NT118" s="47">
        <v>0</v>
      </c>
      <c r="NU118" s="45"/>
      <c r="NV118" s="46">
        <v>0</v>
      </c>
      <c r="NW118" s="44">
        <v>0</v>
      </c>
      <c r="NX118" s="44">
        <v>0</v>
      </c>
      <c r="NY118" s="44">
        <v>0</v>
      </c>
      <c r="NZ118" s="47">
        <v>0</v>
      </c>
      <c r="OA118" s="45"/>
      <c r="OB118" s="46">
        <v>0</v>
      </c>
      <c r="OC118" s="44">
        <v>0</v>
      </c>
      <c r="OD118" s="47">
        <v>0</v>
      </c>
      <c r="OE118" s="45"/>
      <c r="OF118" s="46">
        <v>0</v>
      </c>
      <c r="OG118" s="44">
        <v>0</v>
      </c>
      <c r="OH118" s="44">
        <v>0</v>
      </c>
      <c r="OI118" s="44">
        <v>0</v>
      </c>
      <c r="OJ118" s="47">
        <v>0</v>
      </c>
      <c r="OK118" s="45"/>
      <c r="OL118" s="44">
        <v>0</v>
      </c>
      <c r="OM118" s="43"/>
      <c r="ON118" s="44">
        <v>0</v>
      </c>
      <c r="OO118" s="44">
        <v>0</v>
      </c>
      <c r="OP118" s="47">
        <v>0</v>
      </c>
      <c r="OQ118" s="45"/>
      <c r="OR118" s="46">
        <v>0</v>
      </c>
      <c r="OS118" s="44">
        <v>0</v>
      </c>
      <c r="OT118" s="44">
        <v>0</v>
      </c>
      <c r="OU118" s="44">
        <v>0</v>
      </c>
      <c r="OV118" s="47">
        <v>0</v>
      </c>
      <c r="OW118" s="45"/>
      <c r="OX118" s="46">
        <v>0</v>
      </c>
      <c r="OY118" s="44">
        <v>0</v>
      </c>
      <c r="OZ118" s="44">
        <v>0</v>
      </c>
      <c r="PA118" s="44">
        <v>0</v>
      </c>
      <c r="PB118" s="47">
        <v>0</v>
      </c>
      <c r="PC118" s="45"/>
      <c r="PD118" s="46">
        <v>0</v>
      </c>
      <c r="PE118" s="44">
        <v>0</v>
      </c>
      <c r="PF118" s="44">
        <v>0</v>
      </c>
      <c r="PG118" s="44">
        <v>0</v>
      </c>
      <c r="PH118" s="47">
        <v>0</v>
      </c>
      <c r="PI118" s="45"/>
      <c r="PJ118" s="46">
        <v>0</v>
      </c>
      <c r="PK118" s="44">
        <v>0</v>
      </c>
      <c r="PL118" s="44">
        <v>0</v>
      </c>
      <c r="PM118" s="44">
        <v>0</v>
      </c>
      <c r="PN118" s="47">
        <v>0</v>
      </c>
      <c r="PO118" s="45"/>
      <c r="PP118" s="46">
        <v>0</v>
      </c>
      <c r="PQ118" s="44">
        <v>0</v>
      </c>
      <c r="PR118" s="44">
        <v>0</v>
      </c>
      <c r="PS118" s="44">
        <v>0</v>
      </c>
      <c r="PT118" s="47">
        <v>0</v>
      </c>
      <c r="PU118" s="45"/>
      <c r="PV118" s="46">
        <v>0</v>
      </c>
      <c r="PW118" s="44">
        <v>0</v>
      </c>
      <c r="PX118" s="47">
        <v>0</v>
      </c>
      <c r="PY118" s="45"/>
      <c r="PZ118" s="46">
        <v>0</v>
      </c>
      <c r="QA118" s="44">
        <v>0</v>
      </c>
      <c r="QB118" s="47">
        <v>0</v>
      </c>
      <c r="QC118" s="45"/>
      <c r="QD118" s="46">
        <v>0</v>
      </c>
      <c r="QE118" s="44">
        <v>0</v>
      </c>
      <c r="QF118" s="44">
        <v>0</v>
      </c>
      <c r="QG118" s="44">
        <v>0</v>
      </c>
      <c r="QH118" s="47">
        <v>0</v>
      </c>
      <c r="QI118" s="45"/>
      <c r="QJ118" s="46">
        <v>0</v>
      </c>
      <c r="QK118" s="44">
        <v>0</v>
      </c>
      <c r="QL118" s="47">
        <v>0</v>
      </c>
      <c r="QM118" s="45"/>
      <c r="QN118" s="46">
        <v>0</v>
      </c>
      <c r="QO118" s="44">
        <v>0</v>
      </c>
      <c r="QP118" s="44">
        <v>0</v>
      </c>
      <c r="QQ118" s="44">
        <v>0</v>
      </c>
      <c r="QR118" s="47">
        <v>0</v>
      </c>
      <c r="QS118" s="45"/>
      <c r="QT118" s="46">
        <v>0</v>
      </c>
      <c r="QU118" s="44">
        <v>0</v>
      </c>
      <c r="QV118" s="47">
        <v>0</v>
      </c>
      <c r="QW118" s="45"/>
      <c r="QX118" s="46">
        <v>0</v>
      </c>
      <c r="QY118" s="44">
        <v>0</v>
      </c>
      <c r="QZ118" s="44">
        <v>0</v>
      </c>
      <c r="RA118" s="44">
        <v>0</v>
      </c>
      <c r="RB118" s="47">
        <v>0</v>
      </c>
      <c r="RC118" s="45"/>
      <c r="RD118" s="42">
        <v>0</v>
      </c>
      <c r="RE118" s="44">
        <v>0</v>
      </c>
      <c r="RF118" s="44">
        <v>0</v>
      </c>
      <c r="RG118" s="44">
        <v>0</v>
      </c>
      <c r="RH118" s="47">
        <v>0</v>
      </c>
      <c r="RI118" s="45"/>
      <c r="RJ118" s="42">
        <v>0</v>
      </c>
      <c r="RK118" s="47">
        <v>0</v>
      </c>
      <c r="RL118" s="47">
        <v>0</v>
      </c>
      <c r="RM118" s="47">
        <v>0</v>
      </c>
      <c r="RN118" s="47">
        <v>0</v>
      </c>
      <c r="RO118" s="43"/>
      <c r="RP118" s="42">
        <v>0</v>
      </c>
      <c r="RQ118" s="47">
        <v>0</v>
      </c>
      <c r="RR118" s="47">
        <v>0</v>
      </c>
      <c r="RS118" s="43"/>
      <c r="RT118" s="42">
        <v>0</v>
      </c>
      <c r="RU118" s="47">
        <v>0</v>
      </c>
      <c r="RV118" s="47">
        <v>0</v>
      </c>
      <c r="RW118" s="47">
        <v>0</v>
      </c>
      <c r="RX118" s="47">
        <v>0</v>
      </c>
      <c r="RY118" s="43"/>
      <c r="RZ118" s="42">
        <v>0</v>
      </c>
      <c r="SA118" s="47">
        <v>0</v>
      </c>
      <c r="SB118" s="47">
        <v>0</v>
      </c>
      <c r="SC118" s="47">
        <v>0</v>
      </c>
      <c r="SD118" s="47">
        <v>0</v>
      </c>
      <c r="SE118" s="43"/>
      <c r="SF118" s="42">
        <v>0</v>
      </c>
      <c r="SG118" s="47">
        <v>0</v>
      </c>
      <c r="SH118" s="47">
        <v>0</v>
      </c>
      <c r="SI118" s="47">
        <v>0</v>
      </c>
      <c r="SJ118" s="47">
        <v>0</v>
      </c>
      <c r="SK118" s="43"/>
      <c r="SL118" s="42">
        <v>96</v>
      </c>
      <c r="SM118" s="47">
        <v>100</v>
      </c>
      <c r="SN118" s="47">
        <v>-4</v>
      </c>
      <c r="SO118" s="43"/>
      <c r="SP118" s="42">
        <v>64</v>
      </c>
      <c r="SQ118" s="47">
        <v>70</v>
      </c>
      <c r="SR118" s="47">
        <v>176</v>
      </c>
      <c r="SS118" s="47">
        <v>180</v>
      </c>
      <c r="ST118" s="47">
        <v>-10</v>
      </c>
      <c r="SU118" s="43"/>
    </row>
    <row r="119" spans="1:515" x14ac:dyDescent="0.25">
      <c r="A119" s="47" t="s">
        <v>426</v>
      </c>
      <c r="B119" s="41">
        <v>0.5</v>
      </c>
      <c r="J119" s="42"/>
      <c r="K119" s="51"/>
      <c r="L119" s="51"/>
      <c r="M119" s="51"/>
      <c r="N119" s="51">
        <f t="shared" si="12"/>
        <v>0</v>
      </c>
      <c r="O119" s="43"/>
      <c r="P119" s="46"/>
      <c r="Q119" s="51"/>
      <c r="R119" s="51"/>
      <c r="S119" s="51"/>
      <c r="T119" s="51">
        <f t="shared" si="13"/>
        <v>0</v>
      </c>
      <c r="U119" s="43"/>
      <c r="V119" s="42"/>
      <c r="W119" s="51"/>
      <c r="X119" s="51"/>
      <c r="Y119" s="51"/>
      <c r="Z119" s="51">
        <f t="shared" si="14"/>
        <v>0</v>
      </c>
      <c r="AA119" s="43"/>
      <c r="AB119" s="42"/>
      <c r="AC119" s="51"/>
      <c r="AD119" s="51"/>
      <c r="AE119" s="51"/>
      <c r="AF119" s="51">
        <v>0</v>
      </c>
      <c r="AG119" s="43"/>
      <c r="AH119" s="51"/>
      <c r="AL119" s="47">
        <v>0</v>
      </c>
      <c r="AM119" s="43"/>
      <c r="AN119" s="42"/>
      <c r="AR119" s="47">
        <v>0</v>
      </c>
      <c r="AS119" s="43"/>
      <c r="AX119" s="47">
        <v>0</v>
      </c>
      <c r="AY119" s="43"/>
      <c r="BD119" s="47">
        <v>0</v>
      </c>
      <c r="BE119" s="43"/>
      <c r="BF119" s="42"/>
      <c r="BJ119" s="47">
        <v>0</v>
      </c>
      <c r="BK119" s="43"/>
      <c r="BL119" s="42"/>
      <c r="BP119" s="47">
        <v>0</v>
      </c>
      <c r="BQ119" s="43"/>
      <c r="BV119" s="47">
        <v>0</v>
      </c>
      <c r="BW119" s="43"/>
      <c r="BX119" s="42"/>
      <c r="CB119" s="47">
        <v>0</v>
      </c>
      <c r="CC119" s="43"/>
      <c r="CH119" s="47">
        <v>0</v>
      </c>
      <c r="CI119" s="43"/>
      <c r="CN119" s="47">
        <v>0</v>
      </c>
      <c r="CO119" s="43"/>
      <c r="CP119" s="42"/>
      <c r="CT119" s="47">
        <v>0</v>
      </c>
      <c r="CU119" s="43"/>
      <c r="CV119" s="42"/>
      <c r="CZ119" s="47">
        <v>0</v>
      </c>
      <c r="DA119" s="43"/>
      <c r="DG119" s="47">
        <v>0</v>
      </c>
      <c r="DH119" s="43"/>
      <c r="DK119" s="47">
        <v>0</v>
      </c>
      <c r="DL119" s="43"/>
      <c r="DM119" s="42"/>
      <c r="DQ119" s="47">
        <v>0</v>
      </c>
      <c r="DR119" s="43"/>
      <c r="DW119" s="47">
        <v>0</v>
      </c>
      <c r="DX119" s="43"/>
      <c r="EC119" s="47">
        <v>0</v>
      </c>
      <c r="ED119" s="43"/>
      <c r="EE119" s="42"/>
      <c r="EI119" s="47">
        <v>0</v>
      </c>
      <c r="EJ119" s="43"/>
      <c r="EO119" s="47">
        <v>0</v>
      </c>
      <c r="EP119" s="43"/>
      <c r="EQ119" s="42"/>
      <c r="EU119" s="47">
        <v>0</v>
      </c>
      <c r="EV119" s="43"/>
      <c r="EW119" s="42"/>
      <c r="FC119" s="47">
        <v>0</v>
      </c>
      <c r="FD119" s="43"/>
      <c r="FE119" s="42"/>
      <c r="FI119" s="47">
        <v>0</v>
      </c>
      <c r="FJ119" s="43"/>
      <c r="FQ119" s="47">
        <v>0</v>
      </c>
      <c r="FR119" s="43"/>
      <c r="FS119" s="42"/>
      <c r="FW119" s="47">
        <v>0</v>
      </c>
      <c r="FX119" s="43"/>
      <c r="FY119" s="42"/>
      <c r="GC119" s="47">
        <v>0</v>
      </c>
      <c r="GD119" s="43"/>
      <c r="GE119" s="42"/>
      <c r="GI119" s="47">
        <v>0</v>
      </c>
      <c r="GJ119" s="43"/>
      <c r="GQ119" s="47">
        <v>0</v>
      </c>
      <c r="GR119" s="43"/>
      <c r="GX119" s="47">
        <v>0</v>
      </c>
      <c r="GY119" s="43"/>
      <c r="GZ119" s="42"/>
      <c r="HC119" s="47">
        <v>0</v>
      </c>
      <c r="HD119" s="43"/>
      <c r="HE119" s="42"/>
      <c r="HH119" s="47">
        <v>0</v>
      </c>
      <c r="HI119" s="43"/>
      <c r="HN119" s="47">
        <v>0</v>
      </c>
      <c r="HO119" s="43"/>
      <c r="HP119" s="42"/>
      <c r="HU119" s="47">
        <v>0</v>
      </c>
      <c r="HV119" s="43"/>
      <c r="IA119" s="47">
        <v>0</v>
      </c>
      <c r="IB119" s="43"/>
      <c r="IC119" s="42"/>
      <c r="IG119" s="47">
        <v>0</v>
      </c>
      <c r="IH119" s="43"/>
      <c r="IM119" s="47">
        <v>0</v>
      </c>
      <c r="IN119" s="43"/>
      <c r="IO119" s="42"/>
      <c r="IQ119" s="47">
        <v>0</v>
      </c>
      <c r="IR119" s="43"/>
      <c r="IS119" s="42"/>
      <c r="IW119" s="47">
        <v>0</v>
      </c>
      <c r="IX119" s="43"/>
      <c r="IY119" s="42"/>
      <c r="JA119" s="47">
        <v>0</v>
      </c>
      <c r="JB119" s="43"/>
      <c r="JC119" s="42"/>
      <c r="JG119" s="47">
        <v>0</v>
      </c>
      <c r="JH119" s="43"/>
      <c r="JO119" s="47">
        <v>0</v>
      </c>
      <c r="JP119" s="43"/>
      <c r="JQ119" s="42"/>
      <c r="JU119" s="47">
        <v>0</v>
      </c>
      <c r="JV119" s="43"/>
      <c r="KA119" s="47">
        <v>0</v>
      </c>
      <c r="KB119" s="45"/>
      <c r="KG119" s="47">
        <v>0</v>
      </c>
      <c r="KH119" s="45"/>
      <c r="KM119" s="47">
        <v>0</v>
      </c>
      <c r="KN119" s="45"/>
      <c r="KS119" s="47">
        <v>0</v>
      </c>
      <c r="KT119" s="43"/>
      <c r="KW119" s="47">
        <v>0</v>
      </c>
      <c r="KX119" s="45"/>
      <c r="LC119" s="47">
        <v>0</v>
      </c>
      <c r="LD119" s="43"/>
      <c r="LE119" s="46"/>
      <c r="LG119" s="47">
        <v>0</v>
      </c>
      <c r="LH119" s="45"/>
      <c r="LM119" s="47">
        <v>0</v>
      </c>
      <c r="LN119" s="45"/>
      <c r="LS119" s="47">
        <v>0</v>
      </c>
      <c r="LT119" s="45"/>
      <c r="LY119" s="47">
        <v>0</v>
      </c>
      <c r="LZ119" s="45"/>
      <c r="ME119" s="47">
        <v>0</v>
      </c>
      <c r="MF119" s="45"/>
      <c r="MG119" s="46"/>
      <c r="MM119" s="47">
        <v>0</v>
      </c>
      <c r="MN119" s="45"/>
      <c r="MO119" s="44">
        <v>0</v>
      </c>
      <c r="MP119" s="44">
        <v>0</v>
      </c>
      <c r="MQ119" s="44">
        <v>0</v>
      </c>
      <c r="MR119" s="44">
        <v>0</v>
      </c>
      <c r="MS119" s="47">
        <v>0</v>
      </c>
      <c r="MT119" s="45"/>
      <c r="MU119" s="44">
        <v>0</v>
      </c>
      <c r="MV119" s="44">
        <v>0</v>
      </c>
      <c r="MW119" s="44">
        <v>0</v>
      </c>
      <c r="MX119" s="44">
        <v>0</v>
      </c>
      <c r="MY119" s="47">
        <v>0</v>
      </c>
      <c r="MZ119" s="45"/>
      <c r="NA119" s="46">
        <v>0</v>
      </c>
      <c r="NB119" s="44">
        <v>0</v>
      </c>
      <c r="NC119" s="47">
        <v>0</v>
      </c>
      <c r="ND119" s="45"/>
      <c r="NE119" s="46">
        <v>0</v>
      </c>
      <c r="NF119" s="44">
        <v>0</v>
      </c>
      <c r="NG119" s="44">
        <v>0</v>
      </c>
      <c r="NH119" s="44">
        <v>0</v>
      </c>
      <c r="NI119" s="44">
        <v>0</v>
      </c>
      <c r="NJ119" s="47">
        <v>0</v>
      </c>
      <c r="NK119" s="45"/>
      <c r="NL119" s="46">
        <v>0</v>
      </c>
      <c r="NM119" s="44">
        <v>0</v>
      </c>
      <c r="NN119" s="44">
        <v>0</v>
      </c>
      <c r="NO119" s="44">
        <v>0</v>
      </c>
      <c r="NP119" s="47">
        <v>0</v>
      </c>
      <c r="NQ119" s="45"/>
      <c r="NR119" s="46">
        <v>0</v>
      </c>
      <c r="NS119" s="44">
        <v>0</v>
      </c>
      <c r="NT119" s="47">
        <v>0</v>
      </c>
      <c r="NU119" s="45"/>
      <c r="NV119" s="46">
        <v>0</v>
      </c>
      <c r="NW119" s="44">
        <v>0</v>
      </c>
      <c r="NX119" s="44">
        <v>0</v>
      </c>
      <c r="NY119" s="44">
        <v>0</v>
      </c>
      <c r="NZ119" s="47">
        <v>0</v>
      </c>
      <c r="OA119" s="45"/>
      <c r="OB119" s="46">
        <v>0</v>
      </c>
      <c r="OC119" s="44">
        <v>0</v>
      </c>
      <c r="OD119" s="47">
        <v>0</v>
      </c>
      <c r="OE119" s="45"/>
      <c r="OF119" s="46">
        <v>0</v>
      </c>
      <c r="OG119" s="44">
        <v>0</v>
      </c>
      <c r="OH119" s="44">
        <v>0</v>
      </c>
      <c r="OI119" s="33">
        <v>15</v>
      </c>
      <c r="OJ119" s="50">
        <v>-15</v>
      </c>
      <c r="OK119" s="45">
        <v>7.5</v>
      </c>
      <c r="OL119" s="44">
        <v>0</v>
      </c>
      <c r="OM119" s="43"/>
      <c r="ON119" s="44">
        <v>0</v>
      </c>
      <c r="OO119" s="44">
        <v>0</v>
      </c>
      <c r="OP119" s="47">
        <v>0</v>
      </c>
      <c r="OQ119" s="45"/>
      <c r="OR119" s="46">
        <v>0</v>
      </c>
      <c r="OS119" s="44">
        <v>0</v>
      </c>
      <c r="OT119" s="44">
        <v>32</v>
      </c>
      <c r="OU119" s="44">
        <v>30</v>
      </c>
      <c r="OV119" s="47">
        <v>2</v>
      </c>
      <c r="OW119" s="45"/>
      <c r="OX119" s="46">
        <v>0</v>
      </c>
      <c r="OY119" s="44">
        <v>0</v>
      </c>
      <c r="OZ119" s="44">
        <v>0</v>
      </c>
      <c r="PA119" s="44">
        <v>0</v>
      </c>
      <c r="PB119" s="47">
        <v>0</v>
      </c>
      <c r="PC119" s="45"/>
      <c r="PD119" s="46">
        <v>0</v>
      </c>
      <c r="PE119" s="44">
        <v>0</v>
      </c>
      <c r="PF119" s="44">
        <v>0</v>
      </c>
      <c r="PG119" s="44">
        <v>0</v>
      </c>
      <c r="PH119" s="47">
        <v>0</v>
      </c>
      <c r="PI119" s="45"/>
      <c r="PJ119" s="46">
        <v>0</v>
      </c>
      <c r="PK119" s="44">
        <v>0</v>
      </c>
      <c r="PL119" s="44">
        <v>0</v>
      </c>
      <c r="PM119" s="44">
        <v>0</v>
      </c>
      <c r="PN119" s="47">
        <v>0</v>
      </c>
      <c r="PO119" s="45"/>
      <c r="PP119" s="46">
        <v>0</v>
      </c>
      <c r="PQ119" s="44">
        <v>0</v>
      </c>
      <c r="PR119" s="44">
        <v>72</v>
      </c>
      <c r="PS119" s="44">
        <v>70</v>
      </c>
      <c r="PT119" s="47">
        <v>2</v>
      </c>
      <c r="PU119" s="45"/>
      <c r="PV119" s="46">
        <v>0</v>
      </c>
      <c r="PW119" s="44">
        <v>0</v>
      </c>
      <c r="PX119" s="47">
        <v>0</v>
      </c>
      <c r="PY119" s="45"/>
      <c r="PZ119" s="46">
        <v>0</v>
      </c>
      <c r="QA119" s="44">
        <v>0</v>
      </c>
      <c r="QB119" s="47">
        <v>0</v>
      </c>
      <c r="QC119" s="45"/>
      <c r="QD119" s="46">
        <v>0</v>
      </c>
      <c r="QE119" s="44">
        <v>0</v>
      </c>
      <c r="QF119" s="44">
        <v>0</v>
      </c>
      <c r="QG119" s="44">
        <v>0</v>
      </c>
      <c r="QH119" s="47">
        <v>0</v>
      </c>
      <c r="QI119" s="45"/>
      <c r="QJ119" s="46">
        <v>120</v>
      </c>
      <c r="QK119" s="44">
        <v>120</v>
      </c>
      <c r="QL119" s="47">
        <v>0</v>
      </c>
      <c r="QM119" s="45"/>
      <c r="QN119" s="46">
        <v>0</v>
      </c>
      <c r="QO119" s="44">
        <v>0</v>
      </c>
      <c r="QP119" s="44">
        <v>0</v>
      </c>
      <c r="QQ119" s="44">
        <v>0</v>
      </c>
      <c r="QR119" s="47">
        <v>0</v>
      </c>
      <c r="QS119" s="45"/>
      <c r="QT119" s="46">
        <v>8</v>
      </c>
      <c r="QU119" s="44">
        <v>8</v>
      </c>
      <c r="QV119" s="47">
        <v>0</v>
      </c>
      <c r="QW119" s="45"/>
      <c r="QX119" s="46">
        <v>0</v>
      </c>
      <c r="QY119" s="44">
        <v>0</v>
      </c>
      <c r="QZ119" s="44">
        <v>24</v>
      </c>
      <c r="RA119" s="44">
        <v>24</v>
      </c>
      <c r="RB119" s="47">
        <v>0</v>
      </c>
      <c r="RC119" s="45"/>
      <c r="RD119" s="42">
        <v>0</v>
      </c>
      <c r="RE119" s="44">
        <v>0</v>
      </c>
      <c r="RF119" s="17">
        <v>8</v>
      </c>
      <c r="RG119" s="44">
        <v>0</v>
      </c>
      <c r="RH119" s="47">
        <v>0</v>
      </c>
      <c r="RI119" s="45"/>
      <c r="RJ119" s="42">
        <v>0</v>
      </c>
      <c r="RK119" s="47">
        <v>0</v>
      </c>
      <c r="RL119" s="7">
        <v>16</v>
      </c>
      <c r="RM119" s="47">
        <v>0</v>
      </c>
      <c r="RN119" s="47">
        <v>0</v>
      </c>
      <c r="RO119" s="43"/>
      <c r="RP119" s="42"/>
      <c r="RS119" s="43"/>
      <c r="RT119" s="42"/>
      <c r="RY119" s="43"/>
      <c r="RZ119" s="42"/>
      <c r="SE119" s="43"/>
      <c r="SF119" s="42"/>
      <c r="SK119" s="43"/>
      <c r="SL119" s="42"/>
      <c r="SO119" s="43"/>
      <c r="SP119" s="42"/>
      <c r="SU119" s="43"/>
    </row>
    <row r="120" spans="1:515" x14ac:dyDescent="0.25">
      <c r="A120" s="47" t="s">
        <v>427</v>
      </c>
      <c r="B120" s="41">
        <v>0.33</v>
      </c>
      <c r="E120">
        <v>30</v>
      </c>
      <c r="J120" s="42"/>
      <c r="K120" s="51"/>
      <c r="L120" s="51"/>
      <c r="M120" s="51"/>
      <c r="N120" s="51">
        <f t="shared" si="12"/>
        <v>0</v>
      </c>
      <c r="O120" s="43"/>
      <c r="P120" s="40">
        <v>88</v>
      </c>
      <c r="Q120" s="52">
        <v>95</v>
      </c>
      <c r="R120" s="52">
        <v>80</v>
      </c>
      <c r="S120" s="52">
        <v>81</v>
      </c>
      <c r="T120" s="51">
        <f t="shared" si="13"/>
        <v>-8</v>
      </c>
      <c r="U120" s="43"/>
      <c r="V120" s="42"/>
      <c r="W120" s="51"/>
      <c r="X120" s="51"/>
      <c r="Y120" s="51"/>
      <c r="Z120" s="51">
        <f t="shared" si="14"/>
        <v>0</v>
      </c>
      <c r="AA120" s="43"/>
      <c r="AB120" s="42"/>
      <c r="AC120" s="51"/>
      <c r="AD120" s="52">
        <v>64</v>
      </c>
      <c r="AE120" s="56">
        <v>70</v>
      </c>
      <c r="AF120" s="51">
        <v>-6</v>
      </c>
      <c r="AG120" s="43"/>
      <c r="AH120" s="51"/>
      <c r="AJ120">
        <v>48</v>
      </c>
      <c r="AK120">
        <v>53</v>
      </c>
      <c r="AL120" s="47">
        <v>-5</v>
      </c>
      <c r="AM120" s="43"/>
      <c r="AN120" s="42"/>
      <c r="AR120" s="47">
        <v>0</v>
      </c>
      <c r="AS120" s="43"/>
      <c r="AV120">
        <v>24</v>
      </c>
      <c r="AW120">
        <v>31</v>
      </c>
      <c r="AX120" s="47">
        <v>-7</v>
      </c>
      <c r="AY120" s="43"/>
      <c r="BD120" s="47">
        <v>0</v>
      </c>
      <c r="BE120" s="43"/>
      <c r="BF120" s="40">
        <v>32</v>
      </c>
      <c r="BG120">
        <v>32</v>
      </c>
      <c r="BH120">
        <v>48</v>
      </c>
      <c r="BI120">
        <v>48</v>
      </c>
      <c r="BJ120" s="47">
        <v>0</v>
      </c>
      <c r="BK120" s="43"/>
      <c r="BL120" s="42"/>
      <c r="BP120" s="47">
        <v>0</v>
      </c>
      <c r="BQ120" s="43"/>
      <c r="BR120">
        <v>32</v>
      </c>
      <c r="BS120">
        <v>32</v>
      </c>
      <c r="BT120">
        <v>72</v>
      </c>
      <c r="BU120">
        <v>70</v>
      </c>
      <c r="BV120" s="47">
        <v>2</v>
      </c>
      <c r="BW120" s="43"/>
      <c r="BX120" s="42"/>
      <c r="CB120" s="47">
        <v>0</v>
      </c>
      <c r="CC120" s="43"/>
      <c r="CH120" s="47">
        <v>0</v>
      </c>
      <c r="CI120" s="43"/>
      <c r="CN120" s="47">
        <v>0</v>
      </c>
      <c r="CO120" s="43"/>
      <c r="CP120" s="40">
        <v>40</v>
      </c>
      <c r="CQ120">
        <v>40</v>
      </c>
      <c r="CR120">
        <v>96</v>
      </c>
      <c r="CS120">
        <v>98</v>
      </c>
      <c r="CT120" s="47">
        <v>-2</v>
      </c>
      <c r="CU120" s="43"/>
      <c r="CV120" s="42"/>
      <c r="CZ120" s="47">
        <v>0</v>
      </c>
      <c r="DA120" s="43"/>
      <c r="DE120">
        <v>72</v>
      </c>
      <c r="DF120">
        <v>77</v>
      </c>
      <c r="DG120" s="47">
        <v>-5</v>
      </c>
      <c r="DH120" s="43"/>
      <c r="DK120" s="47">
        <v>0</v>
      </c>
      <c r="DL120" s="43"/>
      <c r="DM120" s="42"/>
      <c r="DO120">
        <v>136</v>
      </c>
      <c r="DP120">
        <v>134</v>
      </c>
      <c r="DQ120" s="47">
        <v>2</v>
      </c>
      <c r="DR120" s="43"/>
      <c r="DW120" s="47">
        <v>0</v>
      </c>
      <c r="DX120" s="43"/>
      <c r="EA120">
        <v>64</v>
      </c>
      <c r="EB120">
        <v>65</v>
      </c>
      <c r="EC120" s="47">
        <v>-1</v>
      </c>
      <c r="ED120" s="43"/>
      <c r="EE120" s="42"/>
      <c r="EG120">
        <v>120</v>
      </c>
      <c r="EH120">
        <v>120</v>
      </c>
      <c r="EI120" s="47">
        <v>0</v>
      </c>
      <c r="EJ120" s="43"/>
      <c r="EO120" s="47">
        <v>0</v>
      </c>
      <c r="EP120" s="43"/>
      <c r="EQ120" s="42"/>
      <c r="ES120">
        <v>88</v>
      </c>
      <c r="ET120">
        <v>89</v>
      </c>
      <c r="EU120" s="47">
        <v>-1</v>
      </c>
      <c r="EV120" s="43"/>
      <c r="EW120" s="42"/>
      <c r="FA120">
        <v>48</v>
      </c>
      <c r="FB120">
        <v>50</v>
      </c>
      <c r="FC120" s="47">
        <v>-2</v>
      </c>
      <c r="FD120" s="43"/>
      <c r="FE120" s="42"/>
      <c r="FG120">
        <v>48</v>
      </c>
      <c r="FH120">
        <v>48</v>
      </c>
      <c r="FI120" s="47">
        <v>0</v>
      </c>
      <c r="FJ120" s="43"/>
      <c r="FQ120" s="47">
        <v>0</v>
      </c>
      <c r="FR120" s="43"/>
      <c r="FS120" s="42"/>
      <c r="FU120">
        <v>168</v>
      </c>
      <c r="FV120">
        <v>170</v>
      </c>
      <c r="FW120" s="47">
        <v>-2</v>
      </c>
      <c r="FX120" s="43"/>
      <c r="FY120" s="42"/>
      <c r="GA120">
        <v>16</v>
      </c>
      <c r="GB120">
        <v>16</v>
      </c>
      <c r="GC120" s="47">
        <v>0</v>
      </c>
      <c r="GD120" s="43"/>
      <c r="GE120" s="42"/>
      <c r="GI120" s="47">
        <v>0</v>
      </c>
      <c r="GJ120" s="43"/>
      <c r="GK120">
        <v>40</v>
      </c>
      <c r="GL120">
        <v>40</v>
      </c>
      <c r="GM120">
        <v>40</v>
      </c>
      <c r="GN120">
        <v>40</v>
      </c>
      <c r="GO120">
        <v>40</v>
      </c>
      <c r="GP120">
        <v>40</v>
      </c>
      <c r="GQ120" s="47">
        <v>0</v>
      </c>
      <c r="GR120" s="43"/>
      <c r="GU120">
        <v>16</v>
      </c>
      <c r="GW120">
        <v>20</v>
      </c>
      <c r="GX120" s="47">
        <v>-4</v>
      </c>
      <c r="GY120" s="43"/>
      <c r="GZ120" s="42"/>
      <c r="HC120" s="47">
        <v>0</v>
      </c>
      <c r="HD120" s="43"/>
      <c r="HE120" s="40">
        <v>8</v>
      </c>
      <c r="HG120">
        <v>10</v>
      </c>
      <c r="HH120" s="47">
        <v>-2</v>
      </c>
      <c r="HI120" s="43"/>
      <c r="HJ120">
        <v>112</v>
      </c>
      <c r="HM120">
        <v>110</v>
      </c>
      <c r="HN120" s="47">
        <v>2</v>
      </c>
      <c r="HO120" s="43"/>
      <c r="HP120" s="42"/>
      <c r="HS120">
        <v>56</v>
      </c>
      <c r="HT120">
        <v>60</v>
      </c>
      <c r="HU120" s="47">
        <v>-4</v>
      </c>
      <c r="HV120" s="43"/>
      <c r="HY120">
        <v>72</v>
      </c>
      <c r="HZ120">
        <v>72</v>
      </c>
      <c r="IA120" s="47">
        <v>0</v>
      </c>
      <c r="IB120" s="43"/>
      <c r="IC120" s="42"/>
      <c r="IE120">
        <v>112</v>
      </c>
      <c r="IF120">
        <v>110</v>
      </c>
      <c r="IG120" s="47">
        <v>2</v>
      </c>
      <c r="IH120" s="43"/>
      <c r="IM120" s="47">
        <v>0</v>
      </c>
      <c r="IN120" s="43"/>
      <c r="IO120" s="40">
        <v>136</v>
      </c>
      <c r="IP120" s="44">
        <v>140</v>
      </c>
      <c r="IQ120" s="47">
        <v>-4</v>
      </c>
      <c r="IR120" s="43"/>
      <c r="IS120" s="42"/>
      <c r="IW120" s="47">
        <v>0</v>
      </c>
      <c r="IX120" s="43"/>
      <c r="IY120" s="40">
        <v>136</v>
      </c>
      <c r="IZ120">
        <v>140</v>
      </c>
      <c r="JA120" s="47">
        <v>-4</v>
      </c>
      <c r="JB120" s="43"/>
      <c r="JC120" s="42"/>
      <c r="JG120" s="47">
        <v>0</v>
      </c>
      <c r="JH120" s="43"/>
      <c r="JM120">
        <v>96</v>
      </c>
      <c r="JN120">
        <v>100</v>
      </c>
      <c r="JO120" s="47">
        <v>-4</v>
      </c>
      <c r="JP120" s="43"/>
      <c r="JQ120" s="42"/>
      <c r="JU120" s="47">
        <v>0</v>
      </c>
      <c r="JV120" s="43"/>
      <c r="JY120">
        <v>40</v>
      </c>
      <c r="JZ120">
        <v>40</v>
      </c>
      <c r="KA120" s="47">
        <v>0</v>
      </c>
      <c r="KB120" s="45"/>
      <c r="KE120">
        <v>8</v>
      </c>
      <c r="KF120">
        <v>8</v>
      </c>
      <c r="KG120" s="47">
        <v>0</v>
      </c>
      <c r="KH120" s="45"/>
      <c r="KI120">
        <v>16</v>
      </c>
      <c r="KJ120">
        <v>16</v>
      </c>
      <c r="KM120" s="47">
        <v>0</v>
      </c>
      <c r="KN120" s="45"/>
      <c r="KQ120">
        <v>32</v>
      </c>
      <c r="KR120">
        <v>32</v>
      </c>
      <c r="KS120" s="47">
        <v>0</v>
      </c>
      <c r="KT120" s="43"/>
      <c r="KW120" s="47">
        <v>0</v>
      </c>
      <c r="KX120" s="45"/>
      <c r="LA120">
        <v>24</v>
      </c>
      <c r="LB120">
        <v>26</v>
      </c>
      <c r="LC120" s="47">
        <v>-2</v>
      </c>
      <c r="LD120" s="43"/>
      <c r="LE120" s="40">
        <v>32</v>
      </c>
      <c r="LF120" s="44">
        <v>32</v>
      </c>
      <c r="LG120" s="47">
        <v>0</v>
      </c>
      <c r="LH120" s="45"/>
      <c r="LM120" s="47">
        <v>0</v>
      </c>
      <c r="LN120" s="45"/>
      <c r="LQ120">
        <v>48</v>
      </c>
      <c r="LR120">
        <v>50</v>
      </c>
      <c r="LS120" s="47">
        <v>-2</v>
      </c>
      <c r="LT120" s="45"/>
      <c r="LY120" s="47">
        <v>0</v>
      </c>
      <c r="LZ120" s="45"/>
      <c r="ME120" s="47">
        <v>0</v>
      </c>
      <c r="MF120" s="45"/>
      <c r="MG120" s="40">
        <v>32</v>
      </c>
      <c r="MH120">
        <v>32</v>
      </c>
      <c r="MI120">
        <v>32</v>
      </c>
      <c r="MJ120">
        <v>32</v>
      </c>
      <c r="MK120">
        <v>32</v>
      </c>
      <c r="ML120">
        <v>36</v>
      </c>
      <c r="MM120" s="47">
        <v>-4</v>
      </c>
      <c r="MN120" s="45"/>
      <c r="MO120" s="44">
        <v>0</v>
      </c>
      <c r="MP120" s="44">
        <v>0</v>
      </c>
      <c r="MQ120" s="44">
        <v>0</v>
      </c>
      <c r="MR120" s="44">
        <v>0</v>
      </c>
      <c r="MS120" s="47">
        <v>0</v>
      </c>
      <c r="MT120" s="45"/>
      <c r="MU120" s="44">
        <v>0</v>
      </c>
      <c r="MV120" s="44">
        <v>0</v>
      </c>
      <c r="MW120" s="44">
        <v>0</v>
      </c>
      <c r="MX120" s="44">
        <v>0</v>
      </c>
      <c r="MY120" s="47">
        <v>0</v>
      </c>
      <c r="MZ120" s="45"/>
      <c r="NA120" s="46">
        <v>176</v>
      </c>
      <c r="NB120" s="44">
        <v>178</v>
      </c>
      <c r="NC120" s="47">
        <v>-2</v>
      </c>
      <c r="ND120" s="45"/>
      <c r="NE120" s="46">
        <v>0</v>
      </c>
      <c r="NF120" s="44">
        <v>0</v>
      </c>
      <c r="NG120" s="44">
        <v>0</v>
      </c>
      <c r="NH120" s="44">
        <v>0</v>
      </c>
      <c r="NI120" s="44">
        <v>0</v>
      </c>
      <c r="NJ120" s="47">
        <v>0</v>
      </c>
      <c r="NK120" s="45"/>
      <c r="NL120" s="46">
        <v>32</v>
      </c>
      <c r="NM120" s="44">
        <v>32</v>
      </c>
      <c r="NN120" s="44">
        <v>64</v>
      </c>
      <c r="NO120" s="44">
        <v>68</v>
      </c>
      <c r="NP120" s="47">
        <v>-4</v>
      </c>
      <c r="NQ120" s="45"/>
      <c r="NR120" s="46">
        <v>0</v>
      </c>
      <c r="NS120" s="44">
        <v>0</v>
      </c>
      <c r="NT120" s="47">
        <v>0</v>
      </c>
      <c r="NU120" s="45"/>
      <c r="NV120" s="46">
        <v>0</v>
      </c>
      <c r="NW120" s="44">
        <v>0</v>
      </c>
      <c r="NX120" s="44">
        <v>32</v>
      </c>
      <c r="NY120" s="44">
        <v>30</v>
      </c>
      <c r="NZ120" s="47">
        <v>2</v>
      </c>
      <c r="OA120" s="45"/>
      <c r="OB120" s="46">
        <v>40</v>
      </c>
      <c r="OC120" s="44">
        <v>40</v>
      </c>
      <c r="OD120" s="47">
        <v>0</v>
      </c>
      <c r="OE120" s="45"/>
      <c r="OF120" s="46"/>
      <c r="OK120" s="45"/>
      <c r="OM120" s="43"/>
      <c r="OQ120" s="45"/>
      <c r="OR120" s="46"/>
      <c r="OW120" s="45"/>
      <c r="OX120" s="46"/>
      <c r="PC120" s="45"/>
      <c r="PD120" s="46"/>
      <c r="PI120" s="45"/>
      <c r="PJ120" s="46"/>
      <c r="PO120" s="45"/>
      <c r="PP120" s="46"/>
      <c r="PU120" s="45"/>
      <c r="PV120" s="46"/>
      <c r="PY120" s="45"/>
      <c r="PZ120" s="46"/>
      <c r="QC120" s="45"/>
      <c r="QD120" s="46"/>
      <c r="QI120" s="45"/>
      <c r="QJ120" s="46"/>
      <c r="QM120" s="45"/>
      <c r="QN120" s="46"/>
      <c r="QS120" s="45"/>
      <c r="QT120" s="46"/>
      <c r="QW120" s="45"/>
      <c r="QX120" s="46"/>
      <c r="RC120" s="45"/>
      <c r="RD120" s="42"/>
      <c r="RE120" s="44"/>
      <c r="RG120" s="44"/>
      <c r="RI120" s="45"/>
      <c r="RJ120" s="42"/>
      <c r="RO120" s="43"/>
      <c r="RP120" s="42"/>
      <c r="RS120" s="43"/>
      <c r="RT120" s="42"/>
      <c r="RY120" s="43"/>
      <c r="RZ120" s="42"/>
      <c r="SE120" s="43"/>
      <c r="SF120" s="42"/>
      <c r="SK120" s="43"/>
      <c r="SL120" s="42"/>
      <c r="SO120" s="43"/>
      <c r="SP120" s="42"/>
      <c r="SU120" s="43"/>
    </row>
    <row r="121" spans="1:515" x14ac:dyDescent="0.25">
      <c r="A121" s="47" t="s">
        <v>428</v>
      </c>
      <c r="B121" s="41">
        <v>1</v>
      </c>
      <c r="J121" s="42"/>
      <c r="K121" s="51"/>
      <c r="L121" s="51"/>
      <c r="M121" s="51"/>
      <c r="N121" s="51">
        <f t="shared" si="12"/>
        <v>0</v>
      </c>
      <c r="O121" s="43"/>
      <c r="P121" s="46"/>
      <c r="Q121" s="51"/>
      <c r="R121" s="51"/>
      <c r="S121" s="51"/>
      <c r="T121" s="51">
        <f t="shared" si="13"/>
        <v>0</v>
      </c>
      <c r="U121" s="43"/>
      <c r="V121" s="42"/>
      <c r="W121" s="51"/>
      <c r="X121" s="51"/>
      <c r="Y121" s="51"/>
      <c r="Z121" s="51">
        <f t="shared" si="14"/>
        <v>0</v>
      </c>
      <c r="AA121" s="43"/>
      <c r="AB121" s="42"/>
      <c r="AC121" s="51"/>
      <c r="AD121" s="51"/>
      <c r="AE121" s="51"/>
      <c r="AF121" s="51">
        <v>0</v>
      </c>
      <c r="AG121" s="43"/>
      <c r="AH121" s="51"/>
      <c r="AL121" s="47">
        <v>0</v>
      </c>
      <c r="AM121" s="43"/>
      <c r="AN121" s="42"/>
      <c r="AR121" s="47">
        <v>0</v>
      </c>
      <c r="AS121" s="43"/>
      <c r="AX121" s="47">
        <v>0</v>
      </c>
      <c r="AY121" s="43"/>
      <c r="BD121" s="47">
        <v>0</v>
      </c>
      <c r="BE121" s="43"/>
      <c r="BF121" s="42"/>
      <c r="BJ121" s="47">
        <v>0</v>
      </c>
      <c r="BK121" s="43"/>
      <c r="BL121" s="42"/>
      <c r="BP121" s="47">
        <v>0</v>
      </c>
      <c r="BQ121" s="43"/>
      <c r="BV121" s="47">
        <v>0</v>
      </c>
      <c r="BW121" s="43"/>
      <c r="BX121" s="42"/>
      <c r="CB121" s="47">
        <v>0</v>
      </c>
      <c r="CC121" s="43"/>
      <c r="CH121" s="47">
        <v>0</v>
      </c>
      <c r="CI121" s="43"/>
      <c r="CN121" s="47">
        <v>0</v>
      </c>
      <c r="CO121" s="43"/>
      <c r="CP121" s="42"/>
      <c r="CT121" s="47">
        <v>0</v>
      </c>
      <c r="CU121" s="43"/>
      <c r="CV121" s="42"/>
      <c r="CZ121" s="47">
        <v>0</v>
      </c>
      <c r="DA121" s="43"/>
      <c r="DG121" s="47">
        <v>0</v>
      </c>
      <c r="DH121" s="43"/>
      <c r="DK121" s="47">
        <v>0</v>
      </c>
      <c r="DL121" s="43"/>
      <c r="DM121" s="42"/>
      <c r="DQ121" s="47">
        <v>0</v>
      </c>
      <c r="DR121" s="43"/>
      <c r="DW121" s="47">
        <v>0</v>
      </c>
      <c r="DX121" s="43"/>
      <c r="EC121" s="47">
        <v>0</v>
      </c>
      <c r="ED121" s="43"/>
      <c r="EE121" s="42"/>
      <c r="EI121" s="47">
        <v>0</v>
      </c>
      <c r="EJ121" s="43"/>
      <c r="EO121" s="47">
        <v>0</v>
      </c>
      <c r="EP121" s="43"/>
      <c r="EQ121" s="42"/>
      <c r="EU121" s="47">
        <v>0</v>
      </c>
      <c r="EV121" s="43"/>
      <c r="EW121" s="42"/>
      <c r="FC121" s="47">
        <v>0</v>
      </c>
      <c r="FD121" s="43"/>
      <c r="FE121" s="42"/>
      <c r="FI121" s="47">
        <v>0</v>
      </c>
      <c r="FJ121" s="43"/>
      <c r="FQ121" s="47">
        <v>0</v>
      </c>
      <c r="FR121" s="43"/>
      <c r="FS121" s="42"/>
      <c r="FW121" s="47">
        <v>0</v>
      </c>
      <c r="FX121" s="43"/>
      <c r="FY121" s="42"/>
      <c r="GC121" s="47">
        <v>0</v>
      </c>
      <c r="GD121" s="43"/>
      <c r="GE121" s="42"/>
      <c r="GI121" s="47">
        <v>0</v>
      </c>
      <c r="GJ121" s="43"/>
      <c r="GQ121" s="47">
        <v>0</v>
      </c>
      <c r="GR121" s="43"/>
      <c r="GX121" s="47">
        <v>0</v>
      </c>
      <c r="GY121" s="43"/>
      <c r="GZ121" s="42"/>
      <c r="HC121" s="47">
        <v>0</v>
      </c>
      <c r="HD121" s="43"/>
      <c r="HE121" s="42"/>
      <c r="HH121" s="47">
        <v>0</v>
      </c>
      <c r="HI121" s="43"/>
      <c r="HN121" s="47">
        <v>0</v>
      </c>
      <c r="HO121" s="43"/>
      <c r="HP121" s="42"/>
      <c r="HU121" s="47">
        <v>0</v>
      </c>
      <c r="HV121" s="43"/>
      <c r="IA121" s="47">
        <v>0</v>
      </c>
      <c r="IB121" s="43"/>
      <c r="IC121" s="42"/>
      <c r="IG121" s="47">
        <v>0</v>
      </c>
      <c r="IH121" s="43"/>
      <c r="IM121" s="47">
        <v>0</v>
      </c>
      <c r="IN121" s="43"/>
      <c r="IO121" s="42"/>
      <c r="IQ121" s="47">
        <v>0</v>
      </c>
      <c r="IR121" s="43"/>
      <c r="IS121" s="42"/>
      <c r="IW121" s="47">
        <v>0</v>
      </c>
      <c r="IX121" s="43"/>
      <c r="IY121" s="42"/>
      <c r="JA121" s="47">
        <v>0</v>
      </c>
      <c r="JB121" s="43"/>
      <c r="JC121" s="42"/>
      <c r="JE121">
        <v>5</v>
      </c>
      <c r="JF121">
        <v>5</v>
      </c>
      <c r="JG121" s="47">
        <v>0</v>
      </c>
      <c r="JH121" s="43"/>
      <c r="JO121" s="47">
        <v>0</v>
      </c>
      <c r="JP121" s="43"/>
      <c r="JQ121" s="42"/>
      <c r="JS121">
        <v>26</v>
      </c>
      <c r="JT121">
        <v>24</v>
      </c>
      <c r="JU121" s="47">
        <v>2</v>
      </c>
      <c r="JV121" s="43"/>
      <c r="KA121" s="47">
        <v>0</v>
      </c>
      <c r="KB121" s="45"/>
      <c r="KG121" s="47">
        <v>0</v>
      </c>
      <c r="KH121" s="45"/>
      <c r="KI121">
        <v>5</v>
      </c>
      <c r="KJ121">
        <v>7</v>
      </c>
      <c r="KM121" s="47">
        <v>-2</v>
      </c>
      <c r="KN121" s="45"/>
      <c r="KS121" s="47">
        <v>0</v>
      </c>
      <c r="KT121" s="43"/>
      <c r="KU121">
        <v>21</v>
      </c>
      <c r="KV121">
        <v>22</v>
      </c>
      <c r="KW121" s="47">
        <v>-1</v>
      </c>
      <c r="KX121" s="45"/>
      <c r="LC121" s="47">
        <v>0</v>
      </c>
      <c r="LD121" s="43"/>
      <c r="LE121" s="46"/>
      <c r="LG121" s="47">
        <v>0</v>
      </c>
      <c r="LH121" s="45"/>
      <c r="LK121">
        <v>11</v>
      </c>
      <c r="LL121">
        <v>12</v>
      </c>
      <c r="LM121" s="47">
        <v>-1</v>
      </c>
      <c r="LN121" s="45"/>
      <c r="LQ121">
        <v>31</v>
      </c>
      <c r="LR121">
        <v>32</v>
      </c>
      <c r="LS121" s="47">
        <v>-1</v>
      </c>
      <c r="LT121" s="45"/>
      <c r="LY121" s="47">
        <v>0</v>
      </c>
      <c r="LZ121" s="45"/>
      <c r="MC121">
        <v>26</v>
      </c>
      <c r="MD121">
        <v>50</v>
      </c>
      <c r="ME121" s="50">
        <v>-24</v>
      </c>
      <c r="MF121" s="45">
        <v>24</v>
      </c>
      <c r="MG121" s="46"/>
      <c r="MI121">
        <v>5</v>
      </c>
      <c r="MJ121">
        <v>6</v>
      </c>
      <c r="MM121" s="47">
        <v>-1</v>
      </c>
      <c r="MN121" s="45"/>
      <c r="MO121" s="44">
        <v>0</v>
      </c>
      <c r="MP121" s="44">
        <v>0</v>
      </c>
      <c r="MQ121" s="44">
        <v>15.81</v>
      </c>
      <c r="MR121" s="44">
        <v>18</v>
      </c>
      <c r="MS121" s="47">
        <v>-2.19</v>
      </c>
      <c r="MT121" s="45"/>
      <c r="MU121" s="44">
        <v>0</v>
      </c>
      <c r="MV121" s="44">
        <v>0</v>
      </c>
      <c r="MW121" s="44">
        <v>5.2990000000000004</v>
      </c>
      <c r="MX121" s="44">
        <v>5</v>
      </c>
      <c r="MY121" s="47">
        <v>0.29900000000000038</v>
      </c>
      <c r="MZ121" s="45"/>
      <c r="NA121" s="46">
        <v>0</v>
      </c>
      <c r="NB121" s="44">
        <v>0</v>
      </c>
      <c r="NC121" s="47">
        <v>0</v>
      </c>
      <c r="ND121" s="45"/>
      <c r="NE121" s="46">
        <v>0</v>
      </c>
      <c r="NF121" s="44">
        <v>0</v>
      </c>
      <c r="NG121" s="44">
        <v>5.2619999999999996</v>
      </c>
      <c r="NH121" s="44">
        <v>0</v>
      </c>
      <c r="NI121" s="44">
        <v>5</v>
      </c>
      <c r="NJ121" s="47">
        <v>0.26199999999999962</v>
      </c>
      <c r="NK121" s="45"/>
      <c r="NL121" s="46">
        <v>10.182</v>
      </c>
      <c r="NM121" s="44">
        <v>10</v>
      </c>
      <c r="NN121" s="44">
        <v>41.694000000000003</v>
      </c>
      <c r="NO121" s="44">
        <v>40</v>
      </c>
      <c r="NP121" s="47">
        <v>1.876000000000005</v>
      </c>
      <c r="NQ121" s="45"/>
      <c r="NR121" s="46">
        <v>21.294</v>
      </c>
      <c r="NS121" s="44">
        <v>20</v>
      </c>
      <c r="NT121" s="47">
        <v>1.294</v>
      </c>
      <c r="NU121" s="45"/>
      <c r="NV121" s="46">
        <v>0</v>
      </c>
      <c r="NW121" s="44">
        <v>0</v>
      </c>
      <c r="NX121" s="44">
        <v>26.64</v>
      </c>
      <c r="NY121" s="44">
        <v>28</v>
      </c>
      <c r="NZ121" s="47">
        <v>-1.359999999999999</v>
      </c>
      <c r="OA121" s="45"/>
      <c r="OB121" s="46">
        <v>0</v>
      </c>
      <c r="OC121" s="44">
        <v>0</v>
      </c>
      <c r="OD121" s="47">
        <v>0</v>
      </c>
      <c r="OE121" s="45"/>
      <c r="OF121" s="46">
        <v>0</v>
      </c>
      <c r="OG121" s="44">
        <v>0</v>
      </c>
      <c r="OH121" s="44">
        <v>26.207999999999998</v>
      </c>
      <c r="OI121" s="44">
        <v>27</v>
      </c>
      <c r="OJ121" s="47">
        <v>-0.79200000000000159</v>
      </c>
      <c r="OK121" s="45"/>
      <c r="OL121" s="44">
        <v>0</v>
      </c>
      <c r="OM121" s="43"/>
      <c r="ON121" s="44">
        <v>0</v>
      </c>
      <c r="OO121" s="44">
        <v>0</v>
      </c>
      <c r="OP121" s="47">
        <v>0</v>
      </c>
      <c r="OQ121" s="45"/>
      <c r="OR121" s="46">
        <v>0</v>
      </c>
      <c r="OS121" s="44">
        <v>0</v>
      </c>
      <c r="OT121" s="44">
        <v>5.2080000000000002</v>
      </c>
      <c r="OU121" s="44">
        <v>5</v>
      </c>
      <c r="OV121" s="47">
        <v>0.20800000000000021</v>
      </c>
      <c r="OW121" s="45"/>
      <c r="OX121" s="46">
        <v>0</v>
      </c>
      <c r="OY121" s="44">
        <v>0</v>
      </c>
      <c r="OZ121" s="44">
        <v>37.061</v>
      </c>
      <c r="PA121" s="44">
        <v>40</v>
      </c>
      <c r="PB121" s="47">
        <v>-2.9390000000000001</v>
      </c>
      <c r="PC121" s="45"/>
      <c r="PD121" s="46">
        <v>0</v>
      </c>
      <c r="PE121" s="44">
        <v>0</v>
      </c>
      <c r="PF121" s="44">
        <v>5.3979999999999997</v>
      </c>
      <c r="PG121" s="44">
        <v>5</v>
      </c>
      <c r="PH121" s="47">
        <v>0.39799999999999969</v>
      </c>
      <c r="PI121" s="45"/>
      <c r="PJ121" s="46">
        <v>0</v>
      </c>
      <c r="PK121" s="44">
        <v>0</v>
      </c>
      <c r="PL121" s="44">
        <v>15.895</v>
      </c>
      <c r="PM121" s="44">
        <v>17</v>
      </c>
      <c r="PN121" s="47">
        <v>-1.105</v>
      </c>
      <c r="PO121" s="45"/>
      <c r="PP121" s="46">
        <v>0</v>
      </c>
      <c r="PQ121" s="44">
        <v>0</v>
      </c>
      <c r="PR121" s="44">
        <v>10.603</v>
      </c>
      <c r="PS121" s="44">
        <v>10</v>
      </c>
      <c r="PT121" s="47">
        <v>0.60299999999999976</v>
      </c>
      <c r="PU121" s="45"/>
      <c r="PV121" s="46">
        <v>0</v>
      </c>
      <c r="PW121" s="44">
        <v>0</v>
      </c>
      <c r="PX121" s="47">
        <v>0</v>
      </c>
      <c r="PY121" s="45"/>
      <c r="PZ121" s="46">
        <v>0</v>
      </c>
      <c r="QA121" s="44">
        <v>0</v>
      </c>
      <c r="QB121" s="47">
        <v>0</v>
      </c>
      <c r="QC121" s="45"/>
      <c r="QD121" s="46">
        <v>0</v>
      </c>
      <c r="QE121" s="44">
        <v>0</v>
      </c>
      <c r="QF121" s="44">
        <v>48.075000000000003</v>
      </c>
      <c r="QG121" s="44">
        <v>50</v>
      </c>
      <c r="QH121" s="47">
        <v>-1.9249999999999969</v>
      </c>
      <c r="QI121" s="45"/>
      <c r="QJ121" s="46">
        <v>0</v>
      </c>
      <c r="QK121" s="44">
        <v>0</v>
      </c>
      <c r="QL121" s="47">
        <v>0</v>
      </c>
      <c r="QM121" s="45"/>
      <c r="QN121" s="46">
        <v>0</v>
      </c>
      <c r="QO121" s="44">
        <v>0</v>
      </c>
      <c r="QP121" s="44">
        <v>0</v>
      </c>
      <c r="QQ121" s="44">
        <v>0</v>
      </c>
      <c r="QR121" s="47">
        <v>0</v>
      </c>
      <c r="QS121" s="45"/>
      <c r="QT121" s="46">
        <v>0</v>
      </c>
      <c r="QU121" s="44">
        <v>0</v>
      </c>
      <c r="QV121" s="47">
        <v>0</v>
      </c>
      <c r="QW121" s="45"/>
      <c r="QX121" s="46">
        <v>0</v>
      </c>
      <c r="QY121" s="44">
        <v>0</v>
      </c>
      <c r="QZ121" s="44">
        <v>15.683</v>
      </c>
      <c r="RA121" s="44">
        <v>17</v>
      </c>
      <c r="RB121" s="47">
        <v>-1.3169999999999999</v>
      </c>
      <c r="RC121" s="45"/>
      <c r="RD121" s="42">
        <v>0</v>
      </c>
      <c r="RE121" s="44">
        <v>0</v>
      </c>
      <c r="RF121" s="44">
        <v>0</v>
      </c>
      <c r="RG121" s="44">
        <v>0</v>
      </c>
      <c r="RH121" s="47">
        <v>0</v>
      </c>
      <c r="RI121" s="45"/>
      <c r="RJ121" s="42">
        <v>0</v>
      </c>
      <c r="RK121" s="47">
        <v>0</v>
      </c>
      <c r="RL121" s="47">
        <v>0</v>
      </c>
      <c r="RM121" s="47">
        <v>0</v>
      </c>
      <c r="RN121" s="47">
        <v>0</v>
      </c>
      <c r="RO121" s="43"/>
      <c r="RP121" s="42">
        <v>58.603999999999999</v>
      </c>
      <c r="RQ121" s="47">
        <v>60</v>
      </c>
      <c r="RR121" s="47">
        <v>-1.396000000000001</v>
      </c>
      <c r="RS121" s="43"/>
      <c r="RT121" s="42">
        <v>0</v>
      </c>
      <c r="RU121" s="47">
        <v>0</v>
      </c>
      <c r="RV121" s="47">
        <v>0</v>
      </c>
      <c r="RW121" s="47">
        <v>0</v>
      </c>
      <c r="RX121" s="47">
        <v>0</v>
      </c>
      <c r="RY121" s="43"/>
      <c r="RZ121" s="42">
        <v>36.436999999999998</v>
      </c>
      <c r="SA121" s="47">
        <v>40</v>
      </c>
      <c r="SB121" s="47">
        <v>0</v>
      </c>
      <c r="SC121" s="47">
        <v>40</v>
      </c>
      <c r="SD121" s="50">
        <v>-43.563000000000002</v>
      </c>
      <c r="SE121" s="43">
        <v>43.563000000000002</v>
      </c>
      <c r="SF121" s="42">
        <v>0</v>
      </c>
      <c r="SG121" s="47">
        <v>0</v>
      </c>
      <c r="SH121" s="47">
        <v>0</v>
      </c>
      <c r="SI121" s="47">
        <v>0</v>
      </c>
      <c r="SJ121" s="47">
        <v>0</v>
      </c>
      <c r="SK121" s="43"/>
      <c r="SL121" s="42">
        <v>0</v>
      </c>
      <c r="SM121" s="47">
        <v>0</v>
      </c>
      <c r="SN121" s="47">
        <v>0</v>
      </c>
      <c r="SO121" s="43"/>
      <c r="SP121" s="42">
        <v>0</v>
      </c>
      <c r="SQ121" s="47">
        <v>0</v>
      </c>
      <c r="SR121" s="47">
        <v>0</v>
      </c>
      <c r="SS121" s="47">
        <v>0</v>
      </c>
      <c r="ST121" s="47">
        <v>0</v>
      </c>
      <c r="SU121" s="43"/>
    </row>
    <row r="122" spans="1:515" x14ac:dyDescent="0.25">
      <c r="A122" s="47" t="s">
        <v>429</v>
      </c>
      <c r="B122" s="41">
        <v>0.33</v>
      </c>
      <c r="J122" s="42"/>
      <c r="K122" s="51"/>
      <c r="L122" s="52">
        <v>48</v>
      </c>
      <c r="M122" s="52">
        <v>48</v>
      </c>
      <c r="N122" s="51">
        <f t="shared" si="12"/>
        <v>0</v>
      </c>
      <c r="O122" s="43"/>
      <c r="P122" s="46"/>
      <c r="Q122" s="51"/>
      <c r="R122" s="52">
        <v>24</v>
      </c>
      <c r="S122" s="52">
        <v>24</v>
      </c>
      <c r="T122" s="51">
        <f t="shared" si="13"/>
        <v>0</v>
      </c>
      <c r="U122" s="43"/>
      <c r="V122" s="42"/>
      <c r="W122" s="51"/>
      <c r="X122" s="51"/>
      <c r="Y122" s="52">
        <v>25</v>
      </c>
      <c r="Z122" s="57">
        <f t="shared" si="14"/>
        <v>-25</v>
      </c>
      <c r="AA122" s="43">
        <f>-1*Z122*B122</f>
        <v>8.25</v>
      </c>
      <c r="AB122" s="42"/>
      <c r="AC122" s="51"/>
      <c r="AD122" s="51"/>
      <c r="AE122" s="51"/>
      <c r="AF122" s="51">
        <v>0</v>
      </c>
      <c r="AG122" s="43"/>
      <c r="AH122" s="51"/>
      <c r="AJ122">
        <v>32</v>
      </c>
      <c r="AK122">
        <v>39</v>
      </c>
      <c r="AL122" s="47">
        <v>-7</v>
      </c>
      <c r="AM122" s="43"/>
      <c r="AN122" s="42"/>
      <c r="AP122">
        <v>8</v>
      </c>
      <c r="AQ122">
        <v>14</v>
      </c>
      <c r="AR122" s="47">
        <v>-6</v>
      </c>
      <c r="AS122" s="43"/>
      <c r="AV122">
        <v>8</v>
      </c>
      <c r="AW122">
        <v>8</v>
      </c>
      <c r="AX122" s="47">
        <v>0</v>
      </c>
      <c r="AY122" s="43"/>
      <c r="BB122">
        <v>32</v>
      </c>
      <c r="BC122">
        <v>31</v>
      </c>
      <c r="BD122" s="47">
        <v>1</v>
      </c>
      <c r="BE122" s="43"/>
      <c r="BF122" s="42"/>
      <c r="BJ122" s="47">
        <v>0</v>
      </c>
      <c r="BK122" s="43"/>
      <c r="BL122" s="40">
        <v>8</v>
      </c>
      <c r="BM122">
        <v>8</v>
      </c>
      <c r="BN122">
        <v>8</v>
      </c>
      <c r="BO122">
        <v>8</v>
      </c>
      <c r="BP122" s="47">
        <v>0</v>
      </c>
      <c r="BQ122" s="43"/>
      <c r="BU122">
        <v>58</v>
      </c>
      <c r="BV122" s="50">
        <v>-58</v>
      </c>
      <c r="BW122" s="43">
        <v>19.14</v>
      </c>
      <c r="BX122" s="42"/>
      <c r="CB122" s="47">
        <v>0</v>
      </c>
      <c r="CC122" s="43"/>
      <c r="CF122">
        <v>40</v>
      </c>
      <c r="CG122">
        <v>40</v>
      </c>
      <c r="CH122" s="47">
        <v>0</v>
      </c>
      <c r="CI122" s="43"/>
      <c r="CN122" s="47">
        <v>0</v>
      </c>
      <c r="CO122" s="43"/>
      <c r="CP122" s="42"/>
      <c r="CS122">
        <v>37</v>
      </c>
      <c r="CT122" s="50">
        <v>-37</v>
      </c>
      <c r="CU122" s="43">
        <v>12.21</v>
      </c>
      <c r="CV122" s="42"/>
      <c r="CZ122" s="47">
        <v>0</v>
      </c>
      <c r="DA122" s="43"/>
      <c r="DE122">
        <v>16</v>
      </c>
      <c r="DF122">
        <v>17</v>
      </c>
      <c r="DG122" s="47">
        <v>-1</v>
      </c>
      <c r="DH122" s="43"/>
      <c r="DK122" s="47">
        <v>0</v>
      </c>
      <c r="DL122" s="43"/>
      <c r="DM122" s="40">
        <v>72</v>
      </c>
      <c r="DN122">
        <v>76</v>
      </c>
      <c r="DO122">
        <v>8</v>
      </c>
      <c r="DP122">
        <v>8</v>
      </c>
      <c r="DQ122" s="47">
        <v>-4</v>
      </c>
      <c r="DR122" s="43"/>
      <c r="DU122">
        <v>8</v>
      </c>
      <c r="DV122">
        <v>12</v>
      </c>
      <c r="DW122" s="47">
        <v>-4</v>
      </c>
      <c r="DX122" s="43"/>
      <c r="EA122">
        <v>8</v>
      </c>
      <c r="EB122">
        <v>8</v>
      </c>
      <c r="EC122" s="47">
        <v>0</v>
      </c>
      <c r="ED122" s="43"/>
      <c r="EE122" s="42"/>
      <c r="EG122">
        <v>104</v>
      </c>
      <c r="EH122">
        <v>108</v>
      </c>
      <c r="EI122" s="47">
        <v>-4</v>
      </c>
      <c r="EJ122" s="43"/>
      <c r="EO122" s="47">
        <v>0</v>
      </c>
      <c r="EP122" s="43"/>
      <c r="EQ122" s="42"/>
      <c r="ES122">
        <v>24</v>
      </c>
      <c r="ET122">
        <v>26</v>
      </c>
      <c r="EU122" s="47">
        <v>-2</v>
      </c>
      <c r="EV122" s="43"/>
      <c r="EW122" s="42"/>
      <c r="FA122">
        <v>96</v>
      </c>
      <c r="FB122">
        <v>96</v>
      </c>
      <c r="FC122" s="47">
        <v>0</v>
      </c>
      <c r="FD122" s="43"/>
      <c r="FE122" s="42"/>
      <c r="FI122" s="47">
        <v>0</v>
      </c>
      <c r="FJ122" s="43"/>
      <c r="FQ122" s="47">
        <v>0</v>
      </c>
      <c r="FR122" s="43"/>
      <c r="FS122" s="42"/>
      <c r="FU122">
        <v>200</v>
      </c>
      <c r="FV122">
        <v>200</v>
      </c>
      <c r="FW122" s="47">
        <v>0</v>
      </c>
      <c r="FX122" s="43"/>
      <c r="FY122" s="42"/>
      <c r="GA122">
        <v>24</v>
      </c>
      <c r="GB122">
        <v>28</v>
      </c>
      <c r="GC122" s="47">
        <v>-4</v>
      </c>
      <c r="GD122" s="43"/>
      <c r="GE122" s="42"/>
      <c r="GI122" s="47">
        <v>0</v>
      </c>
      <c r="GJ122" s="43"/>
      <c r="GK122">
        <v>40</v>
      </c>
      <c r="GL122">
        <v>40</v>
      </c>
      <c r="GM122">
        <v>40</v>
      </c>
      <c r="GN122">
        <v>40</v>
      </c>
      <c r="GO122">
        <v>48</v>
      </c>
      <c r="GP122">
        <v>50</v>
      </c>
      <c r="GQ122" s="47">
        <v>-2</v>
      </c>
      <c r="GR122" s="43"/>
      <c r="GU122">
        <v>48</v>
      </c>
      <c r="GW122">
        <v>48</v>
      </c>
      <c r="GX122" s="47">
        <v>0</v>
      </c>
      <c r="GY122" s="43"/>
      <c r="GZ122" s="42"/>
      <c r="HC122" s="47">
        <v>0</v>
      </c>
      <c r="HD122" s="43"/>
      <c r="HE122" s="40">
        <v>168</v>
      </c>
      <c r="HG122">
        <v>167</v>
      </c>
      <c r="HH122" s="47">
        <v>1</v>
      </c>
      <c r="HI122" s="43"/>
      <c r="HN122" s="47">
        <v>0</v>
      </c>
      <c r="HO122" s="43"/>
      <c r="HP122" s="42"/>
      <c r="HU122" s="47">
        <v>0</v>
      </c>
      <c r="HV122" s="43"/>
      <c r="IA122" s="47">
        <v>0</v>
      </c>
      <c r="IB122" s="43"/>
      <c r="IC122" s="42"/>
      <c r="IE122">
        <v>152</v>
      </c>
      <c r="IF122">
        <v>150</v>
      </c>
      <c r="IG122" s="47">
        <v>2</v>
      </c>
      <c r="IH122" s="43"/>
      <c r="IM122" s="47">
        <v>0</v>
      </c>
      <c r="IN122" s="43"/>
      <c r="IO122" s="40">
        <v>96</v>
      </c>
      <c r="IP122" s="44">
        <v>100</v>
      </c>
      <c r="IQ122" s="47">
        <v>-4</v>
      </c>
      <c r="IR122" s="43"/>
      <c r="IS122" s="42"/>
      <c r="IW122" s="47">
        <v>0</v>
      </c>
      <c r="IX122" s="43"/>
      <c r="IY122" s="40">
        <v>136</v>
      </c>
      <c r="IZ122">
        <v>140</v>
      </c>
      <c r="JA122" s="47">
        <v>-4</v>
      </c>
      <c r="JB122" s="43"/>
      <c r="JC122" s="42"/>
      <c r="JG122" s="47">
        <v>0</v>
      </c>
      <c r="JH122" s="43"/>
      <c r="JM122">
        <v>48</v>
      </c>
      <c r="JN122">
        <v>50</v>
      </c>
      <c r="JO122" s="47">
        <v>-2</v>
      </c>
      <c r="JP122" s="43"/>
      <c r="JQ122" s="40">
        <v>80</v>
      </c>
      <c r="JR122">
        <v>80</v>
      </c>
      <c r="JS122">
        <v>80</v>
      </c>
      <c r="JT122">
        <v>80</v>
      </c>
      <c r="JU122" s="47">
        <v>0</v>
      </c>
      <c r="JV122" s="43"/>
      <c r="JZ122">
        <v>120</v>
      </c>
      <c r="KA122" s="50">
        <v>-120</v>
      </c>
      <c r="KB122" s="45">
        <v>39.6</v>
      </c>
      <c r="KE122">
        <v>80</v>
      </c>
      <c r="KF122">
        <v>80</v>
      </c>
      <c r="KG122" s="47">
        <v>0</v>
      </c>
      <c r="KH122" s="45"/>
      <c r="KI122">
        <v>80</v>
      </c>
      <c r="KJ122">
        <v>80</v>
      </c>
      <c r="KK122">
        <v>40</v>
      </c>
      <c r="KL122">
        <v>40</v>
      </c>
      <c r="KM122" s="47">
        <v>0</v>
      </c>
      <c r="KN122" s="45"/>
      <c r="KS122" s="47">
        <v>0</v>
      </c>
      <c r="KT122" s="43"/>
      <c r="KU122">
        <v>16</v>
      </c>
      <c r="KV122">
        <v>20</v>
      </c>
      <c r="KW122" s="47">
        <v>-4</v>
      </c>
      <c r="KX122" s="45"/>
      <c r="KY122">
        <v>112</v>
      </c>
      <c r="KZ122">
        <v>110</v>
      </c>
      <c r="LA122">
        <v>112</v>
      </c>
      <c r="LB122">
        <v>114</v>
      </c>
      <c r="LC122" s="47">
        <v>0</v>
      </c>
      <c r="LD122" s="43"/>
      <c r="LE122" s="40">
        <v>120</v>
      </c>
      <c r="LF122" s="44">
        <v>120</v>
      </c>
      <c r="LG122" s="47">
        <v>0</v>
      </c>
      <c r="LH122" s="45"/>
      <c r="LK122">
        <v>128</v>
      </c>
      <c r="LL122">
        <v>130</v>
      </c>
      <c r="LM122" s="47">
        <v>-2</v>
      </c>
      <c r="LN122" s="45"/>
      <c r="LO122">
        <v>96</v>
      </c>
      <c r="LP122">
        <v>100</v>
      </c>
      <c r="LS122" s="47">
        <v>-4</v>
      </c>
      <c r="LT122" s="45"/>
      <c r="LY122" s="47">
        <v>0</v>
      </c>
      <c r="LZ122" s="45"/>
      <c r="MA122">
        <v>40</v>
      </c>
      <c r="MB122">
        <v>40</v>
      </c>
      <c r="MC122">
        <v>48</v>
      </c>
      <c r="MD122">
        <v>50</v>
      </c>
      <c r="ME122" s="47">
        <v>-2</v>
      </c>
      <c r="MF122" s="45"/>
      <c r="MG122" s="40">
        <v>88</v>
      </c>
      <c r="MH122">
        <v>90</v>
      </c>
      <c r="MI122">
        <v>96</v>
      </c>
      <c r="MJ122">
        <v>100</v>
      </c>
      <c r="MK122">
        <v>104</v>
      </c>
      <c r="ML122">
        <v>103</v>
      </c>
      <c r="MM122" s="47">
        <v>-5</v>
      </c>
      <c r="MN122" s="45"/>
      <c r="MO122" s="44">
        <v>0</v>
      </c>
      <c r="MP122" s="44">
        <v>0</v>
      </c>
      <c r="MQ122" s="44">
        <v>0</v>
      </c>
      <c r="MR122" s="44">
        <v>0</v>
      </c>
      <c r="MS122" s="47">
        <v>0</v>
      </c>
      <c r="MT122" s="45"/>
      <c r="MU122" s="44">
        <v>0</v>
      </c>
      <c r="MV122" s="44">
        <v>0</v>
      </c>
      <c r="MW122" s="44">
        <v>88</v>
      </c>
      <c r="MX122" s="44">
        <v>90</v>
      </c>
      <c r="MY122" s="47">
        <v>-2</v>
      </c>
      <c r="MZ122" s="45"/>
      <c r="NA122" s="46">
        <v>248</v>
      </c>
      <c r="NB122" s="44">
        <v>250</v>
      </c>
      <c r="NC122" s="47">
        <v>-2</v>
      </c>
      <c r="ND122" s="45"/>
      <c r="NE122" s="46">
        <v>0</v>
      </c>
      <c r="NF122" s="44">
        <v>0</v>
      </c>
      <c r="NG122" s="44">
        <v>88</v>
      </c>
      <c r="NH122" s="44">
        <v>0</v>
      </c>
      <c r="NI122" s="44">
        <v>90</v>
      </c>
      <c r="NJ122" s="47">
        <v>-2</v>
      </c>
      <c r="NK122" s="45"/>
      <c r="NL122" s="46">
        <v>56</v>
      </c>
      <c r="NM122" s="44">
        <v>60</v>
      </c>
      <c r="NN122" s="44">
        <v>48</v>
      </c>
      <c r="NO122" s="44">
        <v>50</v>
      </c>
      <c r="NP122" s="47">
        <v>-6</v>
      </c>
      <c r="NQ122" s="45"/>
      <c r="NR122" s="46">
        <v>72</v>
      </c>
      <c r="NS122" s="44">
        <v>72</v>
      </c>
      <c r="NT122" s="47">
        <v>0</v>
      </c>
      <c r="NU122" s="45"/>
      <c r="NV122" s="46">
        <v>0</v>
      </c>
      <c r="NW122" s="44">
        <v>0</v>
      </c>
      <c r="NX122" s="44">
        <v>16</v>
      </c>
      <c r="NY122" s="44">
        <v>16</v>
      </c>
      <c r="NZ122" s="47">
        <v>0</v>
      </c>
      <c r="OA122" s="45"/>
      <c r="OB122" s="46">
        <v>40</v>
      </c>
      <c r="OC122" s="44">
        <v>40</v>
      </c>
      <c r="OD122" s="47">
        <v>0</v>
      </c>
      <c r="OE122" s="45"/>
      <c r="OF122" s="46">
        <v>0</v>
      </c>
      <c r="OG122" s="44">
        <v>0</v>
      </c>
      <c r="OH122" s="44">
        <v>8</v>
      </c>
      <c r="OI122" s="44">
        <v>8</v>
      </c>
      <c r="OJ122" s="47">
        <v>0</v>
      </c>
      <c r="OK122" s="45"/>
      <c r="OL122" s="44">
        <v>0</v>
      </c>
      <c r="OM122" s="43"/>
      <c r="ON122" s="44">
        <v>0</v>
      </c>
      <c r="OO122" s="44">
        <v>0</v>
      </c>
      <c r="OP122" s="47">
        <v>0</v>
      </c>
      <c r="OQ122" s="45"/>
      <c r="OR122" s="46">
        <v>0</v>
      </c>
      <c r="OS122" s="44">
        <v>0</v>
      </c>
      <c r="OT122" s="44">
        <v>24</v>
      </c>
      <c r="OU122" s="44">
        <v>25</v>
      </c>
      <c r="OV122" s="47">
        <v>-1</v>
      </c>
      <c r="OW122" s="45"/>
      <c r="OX122" s="46">
        <v>0</v>
      </c>
      <c r="OY122" s="44">
        <v>0</v>
      </c>
      <c r="OZ122" s="44">
        <v>48</v>
      </c>
      <c r="PA122" s="44">
        <v>50</v>
      </c>
      <c r="PB122" s="47">
        <v>-2</v>
      </c>
      <c r="PC122" s="45"/>
      <c r="PD122" s="46">
        <v>0</v>
      </c>
      <c r="PE122" s="44">
        <v>0</v>
      </c>
      <c r="PF122" s="44">
        <v>16</v>
      </c>
      <c r="PG122" s="44">
        <v>16</v>
      </c>
      <c r="PH122" s="47">
        <v>0</v>
      </c>
      <c r="PI122" s="45"/>
      <c r="PJ122" s="46">
        <v>0</v>
      </c>
      <c r="PK122" s="44">
        <v>0</v>
      </c>
      <c r="PL122" s="44">
        <v>88</v>
      </c>
      <c r="PM122" s="44">
        <v>93</v>
      </c>
      <c r="PN122" s="47">
        <v>-5</v>
      </c>
      <c r="PO122" s="45"/>
      <c r="PP122" s="46">
        <v>0</v>
      </c>
      <c r="PQ122" s="44">
        <v>0</v>
      </c>
      <c r="PR122" s="44">
        <v>8</v>
      </c>
      <c r="PS122" s="44">
        <v>10</v>
      </c>
      <c r="PT122" s="47">
        <v>-2</v>
      </c>
      <c r="PU122" s="45"/>
      <c r="PV122" s="46">
        <v>40</v>
      </c>
      <c r="PW122" s="44">
        <v>40</v>
      </c>
      <c r="PX122" s="47">
        <v>0</v>
      </c>
      <c r="PY122" s="45"/>
      <c r="PZ122" s="46">
        <v>104</v>
      </c>
      <c r="QA122" s="44">
        <v>108</v>
      </c>
      <c r="QB122" s="47">
        <v>-4</v>
      </c>
      <c r="QC122" s="45"/>
      <c r="QD122" s="46">
        <v>0</v>
      </c>
      <c r="QE122" s="44">
        <v>0</v>
      </c>
      <c r="QF122" s="44">
        <v>8</v>
      </c>
      <c r="QG122" s="44">
        <v>10</v>
      </c>
      <c r="QH122" s="47">
        <v>-2</v>
      </c>
      <c r="QI122" s="45"/>
      <c r="QJ122" s="46">
        <v>48</v>
      </c>
      <c r="QK122" s="44">
        <v>50</v>
      </c>
      <c r="QL122" s="47">
        <v>-2</v>
      </c>
      <c r="QM122" s="45"/>
      <c r="QN122" s="46">
        <v>0</v>
      </c>
      <c r="QO122" s="44">
        <v>0</v>
      </c>
      <c r="QP122" s="44">
        <v>24</v>
      </c>
      <c r="QQ122" s="44">
        <v>26</v>
      </c>
      <c r="QR122" s="47">
        <v>-2</v>
      </c>
      <c r="QS122" s="45"/>
      <c r="QT122" s="46">
        <v>40</v>
      </c>
      <c r="QU122" s="44">
        <v>42</v>
      </c>
      <c r="QV122" s="47">
        <v>-2</v>
      </c>
      <c r="QW122" s="45"/>
      <c r="QX122" s="46">
        <v>0</v>
      </c>
      <c r="QY122" s="44">
        <v>0</v>
      </c>
      <c r="QZ122" s="44">
        <v>0</v>
      </c>
      <c r="RA122" s="33">
        <v>24</v>
      </c>
      <c r="RB122" s="50">
        <v>-24</v>
      </c>
      <c r="RC122" s="45">
        <v>7.92</v>
      </c>
      <c r="RD122" s="42">
        <v>0</v>
      </c>
      <c r="RE122" s="44">
        <v>0</v>
      </c>
      <c r="RF122" s="44">
        <v>0</v>
      </c>
      <c r="RG122" s="44">
        <v>0</v>
      </c>
      <c r="RH122" s="47">
        <v>0</v>
      </c>
      <c r="RI122" s="45"/>
      <c r="RJ122" s="42">
        <v>16</v>
      </c>
      <c r="RK122" s="47">
        <v>20</v>
      </c>
      <c r="RL122" s="47">
        <v>0</v>
      </c>
      <c r="RM122" s="47">
        <v>0</v>
      </c>
      <c r="RN122" s="47">
        <v>-4</v>
      </c>
      <c r="RO122" s="43"/>
      <c r="RP122" s="42">
        <v>80</v>
      </c>
      <c r="RQ122" s="47">
        <v>83</v>
      </c>
      <c r="RR122" s="47">
        <v>-3</v>
      </c>
      <c r="RS122" s="43"/>
      <c r="RT122" s="42">
        <v>0</v>
      </c>
      <c r="RU122" s="47">
        <v>0</v>
      </c>
      <c r="RV122" s="47">
        <v>0</v>
      </c>
      <c r="RW122" s="47">
        <v>0</v>
      </c>
      <c r="RX122" s="47">
        <v>0</v>
      </c>
      <c r="RY122" s="43"/>
      <c r="RZ122" s="42">
        <v>80</v>
      </c>
      <c r="SA122" s="47">
        <v>80</v>
      </c>
      <c r="SB122" s="47">
        <v>0</v>
      </c>
      <c r="SC122" s="47">
        <v>0</v>
      </c>
      <c r="SD122" s="47">
        <v>0</v>
      </c>
      <c r="SE122" s="43"/>
      <c r="SF122" s="42">
        <v>0</v>
      </c>
      <c r="SG122" s="47">
        <v>0</v>
      </c>
      <c r="SH122" s="47">
        <v>0</v>
      </c>
      <c r="SI122" s="47">
        <v>0</v>
      </c>
      <c r="SJ122" s="47">
        <v>0</v>
      </c>
      <c r="SK122" s="43"/>
      <c r="SL122" s="42">
        <v>0</v>
      </c>
      <c r="SM122" s="47">
        <v>0</v>
      </c>
      <c r="SN122" s="47">
        <v>0</v>
      </c>
      <c r="SO122" s="43"/>
      <c r="SP122" s="42">
        <v>0</v>
      </c>
      <c r="SQ122" s="47">
        <v>0</v>
      </c>
      <c r="SR122" s="47">
        <v>0</v>
      </c>
      <c r="SS122" s="47">
        <v>0</v>
      </c>
      <c r="ST122" s="47">
        <v>0</v>
      </c>
      <c r="SU122" s="43"/>
    </row>
    <row r="123" spans="1:515" x14ac:dyDescent="0.25">
      <c r="A123" s="47" t="s">
        <v>430</v>
      </c>
      <c r="B123" s="41">
        <v>1</v>
      </c>
      <c r="J123" s="42"/>
      <c r="K123" s="51"/>
      <c r="L123" s="51"/>
      <c r="M123" s="51"/>
      <c r="N123" s="51">
        <f t="shared" si="12"/>
        <v>0</v>
      </c>
      <c r="O123" s="43"/>
      <c r="P123" s="46"/>
      <c r="Q123" s="51"/>
      <c r="R123" s="51"/>
      <c r="S123" s="51"/>
      <c r="T123" s="51">
        <f t="shared" si="13"/>
        <v>0</v>
      </c>
      <c r="U123" s="43"/>
      <c r="V123" s="42"/>
      <c r="W123" s="51"/>
      <c r="X123" s="51"/>
      <c r="Y123" s="51"/>
      <c r="Z123" s="51">
        <f t="shared" si="14"/>
        <v>0</v>
      </c>
      <c r="AA123" s="43"/>
      <c r="AB123" s="42"/>
      <c r="AC123" s="51"/>
      <c r="AD123" s="51"/>
      <c r="AE123" s="51"/>
      <c r="AF123" s="51">
        <v>0</v>
      </c>
      <c r="AG123" s="43"/>
      <c r="AH123" s="51"/>
      <c r="AL123" s="47">
        <v>0</v>
      </c>
      <c r="AM123" s="43"/>
      <c r="AN123" s="42"/>
      <c r="AR123" s="47">
        <v>0</v>
      </c>
      <c r="AS123" s="43"/>
      <c r="AX123" s="47">
        <v>0</v>
      </c>
      <c r="AY123" s="43"/>
      <c r="BD123" s="47">
        <v>0</v>
      </c>
      <c r="BE123" s="43"/>
      <c r="BF123" s="42"/>
      <c r="BJ123" s="47">
        <v>0</v>
      </c>
      <c r="BK123" s="43"/>
      <c r="BL123" s="42"/>
      <c r="BP123" s="47">
        <v>0</v>
      </c>
      <c r="BQ123" s="43"/>
      <c r="BV123" s="47">
        <v>0</v>
      </c>
      <c r="BW123" s="43"/>
      <c r="BX123" s="42"/>
      <c r="CB123" s="47">
        <v>0</v>
      </c>
      <c r="CC123" s="43"/>
      <c r="CH123" s="47">
        <v>0</v>
      </c>
      <c r="CI123" s="43"/>
      <c r="CN123" s="47">
        <v>0</v>
      </c>
      <c r="CO123" s="43"/>
      <c r="CP123" s="42"/>
      <c r="CT123" s="47">
        <v>0</v>
      </c>
      <c r="CU123" s="43"/>
      <c r="CV123" s="42"/>
      <c r="CZ123" s="47">
        <v>0</v>
      </c>
      <c r="DA123" s="43"/>
      <c r="DG123" s="47">
        <v>0</v>
      </c>
      <c r="DH123" s="43"/>
      <c r="DK123" s="47">
        <v>0</v>
      </c>
      <c r="DL123" s="43"/>
      <c r="DM123" s="42"/>
      <c r="DQ123" s="47">
        <v>0</v>
      </c>
      <c r="DR123" s="43"/>
      <c r="DW123" s="47">
        <v>0</v>
      </c>
      <c r="DX123" s="43"/>
      <c r="EC123" s="47">
        <v>0</v>
      </c>
      <c r="ED123" s="43"/>
      <c r="EE123" s="42"/>
      <c r="EI123" s="47">
        <v>0</v>
      </c>
      <c r="EJ123" s="43"/>
      <c r="EO123" s="47">
        <v>0</v>
      </c>
      <c r="EP123" s="43"/>
      <c r="EQ123" s="42"/>
      <c r="EU123" s="47">
        <v>0</v>
      </c>
      <c r="EV123" s="43"/>
      <c r="EW123" s="42"/>
      <c r="FC123" s="47">
        <v>0</v>
      </c>
      <c r="FD123" s="43"/>
      <c r="FE123" s="42"/>
      <c r="FI123" s="47">
        <v>0</v>
      </c>
      <c r="FJ123" s="43"/>
      <c r="FQ123" s="47">
        <v>0</v>
      </c>
      <c r="FR123" s="43"/>
      <c r="FS123" s="42"/>
      <c r="FW123" s="47">
        <v>0</v>
      </c>
      <c r="FX123" s="43"/>
      <c r="FY123" s="42"/>
      <c r="GC123" s="47">
        <v>0</v>
      </c>
      <c r="GD123" s="43"/>
      <c r="GE123" s="42"/>
      <c r="GI123" s="47">
        <v>0</v>
      </c>
      <c r="GJ123" s="43"/>
      <c r="GQ123" s="47">
        <v>0</v>
      </c>
      <c r="GR123" s="43"/>
      <c r="GX123" s="47">
        <v>0</v>
      </c>
      <c r="GY123" s="43"/>
      <c r="GZ123" s="42"/>
      <c r="HC123" s="47">
        <v>0</v>
      </c>
      <c r="HD123" s="43"/>
      <c r="HE123" s="42"/>
      <c r="HH123" s="47">
        <v>0</v>
      </c>
      <c r="HI123" s="43"/>
      <c r="HN123" s="47">
        <v>0</v>
      </c>
      <c r="HO123" s="43"/>
      <c r="HP123" s="42"/>
      <c r="HU123" s="47">
        <v>0</v>
      </c>
      <c r="HV123" s="43"/>
      <c r="IA123" s="47">
        <v>0</v>
      </c>
      <c r="IB123" s="43"/>
      <c r="IC123" s="42"/>
      <c r="IE123">
        <v>10</v>
      </c>
      <c r="IF123">
        <v>8</v>
      </c>
      <c r="IG123" s="47">
        <v>2</v>
      </c>
      <c r="IH123" s="43"/>
      <c r="IM123" s="47">
        <v>0</v>
      </c>
      <c r="IN123" s="43"/>
      <c r="IO123" s="42"/>
      <c r="IQ123" s="47">
        <v>0</v>
      </c>
      <c r="IR123" s="43"/>
      <c r="IS123" s="42"/>
      <c r="IW123" s="47">
        <v>0</v>
      </c>
      <c r="IX123" s="43"/>
      <c r="IY123" s="42"/>
      <c r="JA123" s="47">
        <v>0</v>
      </c>
      <c r="JB123" s="43"/>
      <c r="JC123" s="42"/>
      <c r="JG123" s="47">
        <v>0</v>
      </c>
      <c r="JH123" s="43"/>
      <c r="JO123" s="47">
        <v>0</v>
      </c>
      <c r="JP123" s="43"/>
      <c r="JQ123" s="42"/>
      <c r="JS123">
        <v>10</v>
      </c>
      <c r="JT123">
        <v>10</v>
      </c>
      <c r="JU123" s="47">
        <v>0</v>
      </c>
      <c r="JV123" s="43"/>
      <c r="JY123">
        <v>5</v>
      </c>
      <c r="JZ123">
        <v>5</v>
      </c>
      <c r="KA123" s="47">
        <v>0</v>
      </c>
      <c r="KB123" s="45"/>
      <c r="KG123" s="47">
        <v>0</v>
      </c>
      <c r="KH123" s="45"/>
      <c r="KM123" s="47">
        <v>0</v>
      </c>
      <c r="KN123" s="45"/>
      <c r="KS123" s="47">
        <v>0</v>
      </c>
      <c r="KT123" s="43"/>
      <c r="KU123">
        <v>5</v>
      </c>
      <c r="KV123">
        <v>4</v>
      </c>
      <c r="KW123" s="47">
        <v>1</v>
      </c>
      <c r="KX123" s="45"/>
      <c r="LC123" s="47">
        <v>0</v>
      </c>
      <c r="LD123" s="43"/>
      <c r="LE123" s="40">
        <v>10</v>
      </c>
      <c r="LF123" s="44">
        <v>12</v>
      </c>
      <c r="LG123" s="47">
        <v>-2</v>
      </c>
      <c r="LH123" s="45"/>
      <c r="LM123" s="47">
        <v>0</v>
      </c>
      <c r="LN123" s="45"/>
      <c r="LS123" s="47">
        <v>0</v>
      </c>
      <c r="LT123" s="45"/>
      <c r="LU123">
        <v>11</v>
      </c>
      <c r="LV123">
        <v>8</v>
      </c>
      <c r="LY123" s="47">
        <v>3</v>
      </c>
      <c r="LZ123" s="45"/>
      <c r="MD123">
        <v>12</v>
      </c>
      <c r="ME123" s="50">
        <v>-12</v>
      </c>
      <c r="MF123" s="45">
        <v>12</v>
      </c>
      <c r="MG123" s="46"/>
      <c r="ML123">
        <v>7</v>
      </c>
      <c r="MM123" s="50">
        <v>-7</v>
      </c>
      <c r="MN123" s="45">
        <v>7</v>
      </c>
      <c r="MO123" s="44">
        <v>0</v>
      </c>
      <c r="MP123" s="44">
        <v>0</v>
      </c>
      <c r="MQ123" s="44">
        <v>10.41</v>
      </c>
      <c r="MR123" s="44">
        <v>13</v>
      </c>
      <c r="MS123" s="47">
        <v>-2.59</v>
      </c>
      <c r="MT123" s="45"/>
      <c r="MU123" s="44">
        <v>0</v>
      </c>
      <c r="MV123" s="44">
        <v>0</v>
      </c>
      <c r="MW123" s="44">
        <v>0</v>
      </c>
      <c r="MX123" s="44">
        <v>8</v>
      </c>
      <c r="MY123" s="50">
        <v>-8</v>
      </c>
      <c r="MZ123" s="45">
        <v>8</v>
      </c>
      <c r="NA123" s="46">
        <v>0</v>
      </c>
      <c r="NB123" s="44">
        <v>0</v>
      </c>
      <c r="NC123" s="47">
        <v>0</v>
      </c>
      <c r="ND123" s="45"/>
      <c r="NE123" s="46">
        <v>0</v>
      </c>
      <c r="NF123" s="44">
        <v>0</v>
      </c>
      <c r="NG123" s="44">
        <v>10.430999999999999</v>
      </c>
      <c r="NH123" s="44">
        <v>0</v>
      </c>
      <c r="NI123" s="44">
        <v>8</v>
      </c>
      <c r="NJ123" s="47">
        <v>2.4309999999999992</v>
      </c>
      <c r="NK123" s="45"/>
      <c r="NL123" s="46">
        <v>0</v>
      </c>
      <c r="NM123" s="44">
        <v>0</v>
      </c>
      <c r="NN123" s="44">
        <v>10.284000000000001</v>
      </c>
      <c r="NO123" s="44">
        <v>10</v>
      </c>
      <c r="NP123" s="47">
        <v>0.2840000000000007</v>
      </c>
      <c r="NQ123" s="45"/>
      <c r="NR123" s="46">
        <v>10.442</v>
      </c>
      <c r="NS123" s="44">
        <v>10</v>
      </c>
      <c r="NT123" s="47">
        <v>0.44200000000000023</v>
      </c>
      <c r="NU123" s="45"/>
      <c r="NV123" s="46">
        <v>0</v>
      </c>
      <c r="NW123" s="44">
        <v>0</v>
      </c>
      <c r="NX123" s="44">
        <v>0</v>
      </c>
      <c r="NY123" s="33">
        <v>11</v>
      </c>
      <c r="NZ123" s="50">
        <v>-11</v>
      </c>
      <c r="OA123" s="45">
        <v>11</v>
      </c>
      <c r="OB123" s="46">
        <v>5.26</v>
      </c>
      <c r="OC123" s="44">
        <v>5</v>
      </c>
      <c r="OD123" s="47">
        <v>0.25999999999999979</v>
      </c>
      <c r="OE123" s="45"/>
      <c r="OF123" s="46">
        <v>0</v>
      </c>
      <c r="OG123" s="44">
        <v>0</v>
      </c>
      <c r="OH123" s="44">
        <v>0</v>
      </c>
      <c r="OI123" s="44">
        <v>0</v>
      </c>
      <c r="OJ123" s="47">
        <v>0</v>
      </c>
      <c r="OK123" s="45"/>
      <c r="OL123" s="44">
        <v>0</v>
      </c>
      <c r="OM123" s="43"/>
      <c r="ON123" s="44">
        <v>0</v>
      </c>
      <c r="OO123" s="44">
        <v>0</v>
      </c>
      <c r="OP123" s="47">
        <v>0</v>
      </c>
      <c r="OQ123" s="45"/>
      <c r="OR123" s="46">
        <v>0</v>
      </c>
      <c r="OS123" s="44">
        <v>0</v>
      </c>
      <c r="OT123" s="44">
        <v>0</v>
      </c>
      <c r="OU123" s="44">
        <v>0</v>
      </c>
      <c r="OV123" s="47">
        <v>0</v>
      </c>
      <c r="OW123" s="45"/>
      <c r="OX123" s="46">
        <v>0</v>
      </c>
      <c r="OY123" s="44">
        <v>0</v>
      </c>
      <c r="OZ123" s="44">
        <v>48.456000000000003</v>
      </c>
      <c r="PA123" s="44">
        <v>50</v>
      </c>
      <c r="PB123" s="47">
        <v>-1.5439999999999969</v>
      </c>
      <c r="PC123" s="45"/>
      <c r="PD123" s="46">
        <v>0</v>
      </c>
      <c r="PE123" s="44">
        <v>0</v>
      </c>
      <c r="PF123" s="44">
        <v>0</v>
      </c>
      <c r="PG123" s="44">
        <v>0</v>
      </c>
      <c r="PH123" s="47">
        <v>0</v>
      </c>
      <c r="PI123" s="45"/>
      <c r="PJ123" s="46">
        <v>0</v>
      </c>
      <c r="PK123" s="44">
        <v>0</v>
      </c>
      <c r="PL123" s="44">
        <v>5.274</v>
      </c>
      <c r="PM123" s="44">
        <v>5</v>
      </c>
      <c r="PN123" s="47">
        <v>0.27400000000000002</v>
      </c>
      <c r="PO123" s="45"/>
      <c r="PP123" s="46">
        <v>0</v>
      </c>
      <c r="PQ123" s="44">
        <v>0</v>
      </c>
      <c r="PR123" s="44">
        <v>10.481999999999999</v>
      </c>
      <c r="PS123" s="44">
        <v>10</v>
      </c>
      <c r="PT123" s="47">
        <v>0.48199999999999932</v>
      </c>
      <c r="PU123" s="45"/>
      <c r="PV123" s="46">
        <v>10.629</v>
      </c>
      <c r="PW123" s="44">
        <v>10</v>
      </c>
      <c r="PX123" s="47">
        <v>0.62899999999999956</v>
      </c>
      <c r="PY123" s="45"/>
      <c r="PZ123" s="46">
        <v>26.539000000000001</v>
      </c>
      <c r="QA123" s="44">
        <v>28</v>
      </c>
      <c r="QB123" s="47">
        <v>-1.460999999999999</v>
      </c>
      <c r="QC123" s="45"/>
      <c r="QD123" s="46">
        <v>0</v>
      </c>
      <c r="QE123" s="44">
        <v>0</v>
      </c>
      <c r="QF123" s="44">
        <v>0</v>
      </c>
      <c r="QG123" s="44">
        <v>0</v>
      </c>
      <c r="QH123" s="47">
        <v>0</v>
      </c>
      <c r="QI123" s="45"/>
      <c r="QJ123" s="46">
        <v>5.3029999999999999</v>
      </c>
      <c r="QK123" s="44">
        <v>5</v>
      </c>
      <c r="QL123" s="47">
        <v>0.30299999999999988</v>
      </c>
      <c r="QM123" s="45"/>
      <c r="QN123" s="46">
        <v>0</v>
      </c>
      <c r="QO123" s="44">
        <v>0</v>
      </c>
      <c r="QP123" s="44">
        <v>0</v>
      </c>
      <c r="QQ123" s="44">
        <v>0</v>
      </c>
      <c r="QR123" s="47">
        <v>0</v>
      </c>
      <c r="QS123" s="45"/>
      <c r="QT123" s="46">
        <v>47.622</v>
      </c>
      <c r="QU123" s="44">
        <v>50</v>
      </c>
      <c r="QV123" s="47">
        <v>-2.3780000000000001</v>
      </c>
      <c r="QW123" s="45"/>
      <c r="QX123" s="46">
        <v>0</v>
      </c>
      <c r="QY123" s="44">
        <v>0</v>
      </c>
      <c r="QZ123" s="44">
        <v>0</v>
      </c>
      <c r="RA123" s="33">
        <v>50</v>
      </c>
      <c r="RB123" s="50">
        <v>-50</v>
      </c>
      <c r="RC123" s="45">
        <v>50</v>
      </c>
      <c r="RD123" s="42">
        <v>0</v>
      </c>
      <c r="RE123" s="44">
        <v>0</v>
      </c>
      <c r="RF123" s="44">
        <v>0</v>
      </c>
      <c r="RG123" s="44">
        <v>0</v>
      </c>
      <c r="RH123" s="47">
        <v>0</v>
      </c>
      <c r="RI123" s="45"/>
      <c r="RJ123" s="42">
        <v>0</v>
      </c>
      <c r="RK123" s="47">
        <v>0</v>
      </c>
      <c r="RL123" s="47">
        <v>0</v>
      </c>
      <c r="RM123" s="13">
        <v>20</v>
      </c>
      <c r="RN123" s="50">
        <v>-20</v>
      </c>
      <c r="RO123" s="43">
        <v>20</v>
      </c>
      <c r="RP123" s="42">
        <v>0</v>
      </c>
      <c r="RQ123" s="47">
        <v>40</v>
      </c>
      <c r="RR123" s="50">
        <v>-40</v>
      </c>
      <c r="RS123" s="43">
        <v>40</v>
      </c>
      <c r="RT123" s="42">
        <v>0</v>
      </c>
      <c r="RU123" s="47">
        <v>0</v>
      </c>
      <c r="RV123" s="47">
        <v>0</v>
      </c>
      <c r="RW123" s="47">
        <v>0</v>
      </c>
      <c r="RX123" s="47">
        <v>0</v>
      </c>
      <c r="RY123" s="43"/>
      <c r="RZ123" s="42">
        <v>0</v>
      </c>
      <c r="SA123" s="47">
        <v>40</v>
      </c>
      <c r="SB123" s="47">
        <v>0</v>
      </c>
      <c r="SC123" s="47">
        <v>40</v>
      </c>
      <c r="SD123" s="50">
        <v>-80</v>
      </c>
      <c r="SE123" s="43">
        <v>80</v>
      </c>
      <c r="SF123" s="42">
        <v>0</v>
      </c>
      <c r="SG123" s="47">
        <v>0</v>
      </c>
      <c r="SH123" s="47">
        <v>0</v>
      </c>
      <c r="SI123" s="47">
        <v>0</v>
      </c>
      <c r="SJ123" s="47">
        <v>0</v>
      </c>
      <c r="SK123" s="43"/>
      <c r="SL123" s="42">
        <v>0</v>
      </c>
      <c r="SM123" s="47">
        <v>0</v>
      </c>
      <c r="SN123" s="47">
        <v>0</v>
      </c>
      <c r="SO123" s="43"/>
      <c r="SP123" s="42">
        <v>0</v>
      </c>
      <c r="SQ123" s="47">
        <v>0</v>
      </c>
      <c r="SR123" s="47">
        <v>0</v>
      </c>
      <c r="SS123" s="47">
        <v>0</v>
      </c>
      <c r="ST123" s="47">
        <v>0</v>
      </c>
      <c r="SU123" s="43"/>
    </row>
    <row r="124" spans="1:515" x14ac:dyDescent="0.25">
      <c r="A124" s="47" t="s">
        <v>431</v>
      </c>
      <c r="B124" s="41">
        <v>0.33</v>
      </c>
      <c r="E124">
        <v>180</v>
      </c>
      <c r="J124" s="42"/>
      <c r="K124" s="51"/>
      <c r="L124" s="51"/>
      <c r="M124" s="51"/>
      <c r="N124" s="51">
        <f t="shared" si="12"/>
        <v>0</v>
      </c>
      <c r="O124" s="43"/>
      <c r="P124" s="40">
        <v>264</v>
      </c>
      <c r="Q124" s="52">
        <v>267</v>
      </c>
      <c r="R124" s="52">
        <v>224</v>
      </c>
      <c r="S124" s="52">
        <v>229</v>
      </c>
      <c r="T124" s="51">
        <f t="shared" si="13"/>
        <v>-8</v>
      </c>
      <c r="U124" s="43"/>
      <c r="V124" s="40">
        <v>88</v>
      </c>
      <c r="W124" s="52">
        <v>91</v>
      </c>
      <c r="X124" s="51"/>
      <c r="Y124" s="51"/>
      <c r="Z124" s="51">
        <f t="shared" si="14"/>
        <v>-3</v>
      </c>
      <c r="AA124" s="43"/>
      <c r="AB124" s="40">
        <v>80</v>
      </c>
      <c r="AC124" s="56">
        <v>80.434782608695656</v>
      </c>
      <c r="AD124" s="52">
        <v>104</v>
      </c>
      <c r="AE124" s="56">
        <v>104.5652173913043</v>
      </c>
      <c r="AF124" s="51">
        <v>-0.99999999999995737</v>
      </c>
      <c r="AG124" s="43"/>
      <c r="AH124" s="51"/>
      <c r="AL124" s="47">
        <v>0</v>
      </c>
      <c r="AM124" s="43"/>
      <c r="AN124" s="42"/>
      <c r="AR124" s="47">
        <v>0</v>
      </c>
      <c r="AS124" s="43"/>
      <c r="AT124">
        <v>200</v>
      </c>
      <c r="AU124">
        <v>200</v>
      </c>
      <c r="AV124">
        <v>184</v>
      </c>
      <c r="AW124">
        <v>184</v>
      </c>
      <c r="AX124" s="47">
        <v>0</v>
      </c>
      <c r="AY124" s="43"/>
      <c r="AZ124">
        <v>128</v>
      </c>
      <c r="BA124">
        <v>130</v>
      </c>
      <c r="BB124">
        <v>160</v>
      </c>
      <c r="BC124">
        <v>158</v>
      </c>
      <c r="BD124" s="47">
        <v>0</v>
      </c>
      <c r="BE124" s="43"/>
      <c r="BF124" s="40">
        <v>40</v>
      </c>
      <c r="BG124">
        <v>40</v>
      </c>
      <c r="BH124">
        <v>40</v>
      </c>
      <c r="BI124">
        <v>41</v>
      </c>
      <c r="BJ124" s="47">
        <v>-1</v>
      </c>
      <c r="BK124" s="43"/>
      <c r="BL124" s="42"/>
      <c r="BP124" s="47">
        <v>0</v>
      </c>
      <c r="BQ124" s="43"/>
      <c r="BS124">
        <v>120</v>
      </c>
      <c r="BT124">
        <v>152</v>
      </c>
      <c r="BU124">
        <v>157</v>
      </c>
      <c r="BV124" s="50">
        <v>-125</v>
      </c>
      <c r="BW124" s="43">
        <v>41.25</v>
      </c>
      <c r="BX124" s="40">
        <v>136</v>
      </c>
      <c r="BY124">
        <v>140</v>
      </c>
      <c r="BZ124">
        <v>64</v>
      </c>
      <c r="CA124">
        <v>69</v>
      </c>
      <c r="CB124" s="47">
        <v>-9</v>
      </c>
      <c r="CC124" s="43"/>
      <c r="CD124">
        <v>136</v>
      </c>
      <c r="CE124">
        <v>140</v>
      </c>
      <c r="CF124">
        <v>152</v>
      </c>
      <c r="CG124">
        <v>152</v>
      </c>
      <c r="CH124" s="47">
        <v>-4</v>
      </c>
      <c r="CI124" s="43"/>
      <c r="CJ124">
        <v>128</v>
      </c>
      <c r="CK124">
        <v>130</v>
      </c>
      <c r="CL124">
        <v>136</v>
      </c>
      <c r="CM124">
        <v>137</v>
      </c>
      <c r="CN124" s="47">
        <v>-3</v>
      </c>
      <c r="CO124" s="43"/>
      <c r="CP124" s="42"/>
      <c r="CR124">
        <v>104</v>
      </c>
      <c r="CS124">
        <v>104</v>
      </c>
      <c r="CT124" s="47">
        <v>0</v>
      </c>
      <c r="CU124" s="43"/>
      <c r="CV124" s="40">
        <v>192</v>
      </c>
      <c r="CW124">
        <v>190</v>
      </c>
      <c r="CX124">
        <v>192</v>
      </c>
      <c r="CY124">
        <v>194</v>
      </c>
      <c r="CZ124" s="47">
        <v>0</v>
      </c>
      <c r="DA124" s="43"/>
      <c r="DB124">
        <v>104</v>
      </c>
      <c r="DC124">
        <v>104</v>
      </c>
      <c r="DG124" s="47">
        <v>0</v>
      </c>
      <c r="DH124" s="43"/>
      <c r="DI124">
        <v>96</v>
      </c>
      <c r="DJ124">
        <v>100</v>
      </c>
      <c r="DK124" s="47">
        <v>-4</v>
      </c>
      <c r="DL124" s="43"/>
      <c r="DM124" s="40">
        <v>248</v>
      </c>
      <c r="DN124">
        <v>252</v>
      </c>
      <c r="DO124">
        <v>232</v>
      </c>
      <c r="DP124">
        <v>235</v>
      </c>
      <c r="DQ124" s="47">
        <v>-7</v>
      </c>
      <c r="DR124" s="43"/>
      <c r="DW124" s="47">
        <v>0</v>
      </c>
      <c r="DX124" s="43"/>
      <c r="EA124">
        <v>104</v>
      </c>
      <c r="EB124">
        <v>107</v>
      </c>
      <c r="EC124" s="47">
        <v>-3</v>
      </c>
      <c r="ED124" s="43"/>
      <c r="EE124" s="42"/>
      <c r="EG124">
        <v>384</v>
      </c>
      <c r="EH124">
        <v>386</v>
      </c>
      <c r="EI124" s="47">
        <v>-2</v>
      </c>
      <c r="EJ124" s="43"/>
      <c r="EM124">
        <v>16</v>
      </c>
      <c r="EN124">
        <v>18</v>
      </c>
      <c r="EO124" s="47">
        <v>-2</v>
      </c>
      <c r="EP124" s="43"/>
      <c r="EQ124" s="42"/>
      <c r="ES124">
        <v>184</v>
      </c>
      <c r="ET124">
        <v>185</v>
      </c>
      <c r="EU124" s="47">
        <v>-1</v>
      </c>
      <c r="EV124" s="43"/>
      <c r="EW124" s="42"/>
      <c r="EY124">
        <v>200</v>
      </c>
      <c r="EZ124">
        <v>200</v>
      </c>
      <c r="FB124">
        <v>100</v>
      </c>
      <c r="FC124" s="50">
        <v>-100</v>
      </c>
      <c r="FD124" s="43">
        <v>33</v>
      </c>
      <c r="FE124" s="40">
        <v>80</v>
      </c>
      <c r="FF124">
        <v>80</v>
      </c>
      <c r="FG124">
        <v>96</v>
      </c>
      <c r="FH124">
        <v>100</v>
      </c>
      <c r="FI124" s="47">
        <v>-4</v>
      </c>
      <c r="FJ124" s="43"/>
      <c r="FQ124" s="47">
        <v>0</v>
      </c>
      <c r="FR124" s="43"/>
      <c r="FS124" s="42"/>
      <c r="FU124">
        <v>432</v>
      </c>
      <c r="FV124">
        <v>430</v>
      </c>
      <c r="FW124" s="47">
        <v>2</v>
      </c>
      <c r="FX124" s="43"/>
      <c r="FY124" s="42"/>
      <c r="GA124">
        <v>88</v>
      </c>
      <c r="GB124">
        <v>88</v>
      </c>
      <c r="GC124" s="47">
        <v>0</v>
      </c>
      <c r="GD124" s="43"/>
      <c r="GE124" s="40">
        <v>200</v>
      </c>
      <c r="GF124">
        <v>200</v>
      </c>
      <c r="GG124">
        <v>136</v>
      </c>
      <c r="GH124">
        <v>140</v>
      </c>
      <c r="GI124" s="47">
        <v>-4</v>
      </c>
      <c r="GJ124" s="43"/>
      <c r="GK124">
        <v>64</v>
      </c>
      <c r="GL124">
        <v>64</v>
      </c>
      <c r="GM124">
        <v>64</v>
      </c>
      <c r="GN124">
        <v>64</v>
      </c>
      <c r="GO124">
        <v>88</v>
      </c>
      <c r="GP124">
        <v>92</v>
      </c>
      <c r="GQ124" s="47">
        <v>-4</v>
      </c>
      <c r="GR124" s="43"/>
      <c r="GS124">
        <v>200</v>
      </c>
      <c r="GT124">
        <v>200</v>
      </c>
      <c r="GU124">
        <v>160</v>
      </c>
      <c r="GW124">
        <v>160</v>
      </c>
      <c r="GX124" s="47">
        <v>0</v>
      </c>
      <c r="GY124" s="43"/>
      <c r="GZ124" s="42"/>
      <c r="HC124" s="47">
        <v>0</v>
      </c>
      <c r="HD124" s="43"/>
      <c r="HE124" s="40">
        <v>504</v>
      </c>
      <c r="HG124">
        <v>503</v>
      </c>
      <c r="HH124" s="47">
        <v>1</v>
      </c>
      <c r="HI124" s="43"/>
      <c r="HJ124">
        <v>176</v>
      </c>
      <c r="HM124">
        <v>180</v>
      </c>
      <c r="HN124" s="47">
        <v>-4</v>
      </c>
      <c r="HO124" s="43"/>
      <c r="HP124" s="40">
        <v>40</v>
      </c>
      <c r="HR124">
        <v>40</v>
      </c>
      <c r="HS124">
        <v>40</v>
      </c>
      <c r="HT124">
        <v>40</v>
      </c>
      <c r="HU124" s="47">
        <v>0</v>
      </c>
      <c r="HV124" s="43"/>
      <c r="HW124">
        <v>168</v>
      </c>
      <c r="HX124">
        <v>170</v>
      </c>
      <c r="HY124">
        <v>200</v>
      </c>
      <c r="HZ124">
        <v>200</v>
      </c>
      <c r="IA124" s="47">
        <v>-2</v>
      </c>
      <c r="IB124" s="43"/>
      <c r="IC124" s="42"/>
      <c r="IE124">
        <v>312</v>
      </c>
      <c r="IF124">
        <v>310</v>
      </c>
      <c r="IG124" s="47">
        <v>2</v>
      </c>
      <c r="IH124" s="43"/>
      <c r="II124">
        <v>64</v>
      </c>
      <c r="IJ124">
        <v>64</v>
      </c>
      <c r="IK124">
        <v>88</v>
      </c>
      <c r="IL124">
        <v>86</v>
      </c>
      <c r="IM124" s="47">
        <v>2</v>
      </c>
      <c r="IN124" s="43"/>
      <c r="IO124" s="42"/>
      <c r="IQ124" s="47">
        <v>0</v>
      </c>
      <c r="IR124" s="43"/>
      <c r="IS124" s="40">
        <v>96</v>
      </c>
      <c r="IT124">
        <v>100</v>
      </c>
      <c r="IU124">
        <v>208</v>
      </c>
      <c r="IV124">
        <v>210</v>
      </c>
      <c r="IW124" s="47">
        <v>-6</v>
      </c>
      <c r="IX124" s="43"/>
      <c r="IY124" s="40">
        <v>336</v>
      </c>
      <c r="IZ124">
        <v>340</v>
      </c>
      <c r="JA124" s="47">
        <v>-4</v>
      </c>
      <c r="JB124" s="43"/>
      <c r="JC124" s="40">
        <v>128</v>
      </c>
      <c r="JD124">
        <v>130</v>
      </c>
      <c r="JE124">
        <v>96</v>
      </c>
      <c r="JF124">
        <v>100</v>
      </c>
      <c r="JG124" s="47">
        <v>-6</v>
      </c>
      <c r="JH124" s="43"/>
      <c r="JI124">
        <v>200</v>
      </c>
      <c r="JJ124">
        <v>200</v>
      </c>
      <c r="JM124">
        <v>312</v>
      </c>
      <c r="JN124">
        <v>310</v>
      </c>
      <c r="JO124" s="47">
        <v>2</v>
      </c>
      <c r="JP124" s="43"/>
      <c r="JQ124" s="42"/>
      <c r="JR124">
        <v>100</v>
      </c>
      <c r="JS124">
        <v>88</v>
      </c>
      <c r="JT124">
        <v>90</v>
      </c>
      <c r="JU124" s="50">
        <v>-102</v>
      </c>
      <c r="JV124" s="45">
        <v>33.659999999999997</v>
      </c>
      <c r="JW124">
        <v>96</v>
      </c>
      <c r="JX124">
        <v>100</v>
      </c>
      <c r="JY124">
        <v>160</v>
      </c>
      <c r="JZ124">
        <v>160</v>
      </c>
      <c r="KA124" s="47">
        <v>-4</v>
      </c>
      <c r="KB124" s="45"/>
      <c r="KC124">
        <v>200</v>
      </c>
      <c r="KD124">
        <v>200</v>
      </c>
      <c r="KE124">
        <v>240</v>
      </c>
      <c r="KF124">
        <v>240</v>
      </c>
      <c r="KG124" s="47">
        <v>0</v>
      </c>
      <c r="KH124" s="45"/>
      <c r="KI124">
        <v>32</v>
      </c>
      <c r="KJ124">
        <v>32</v>
      </c>
      <c r="KM124" s="47">
        <v>0</v>
      </c>
      <c r="KN124" s="45"/>
      <c r="KO124">
        <v>280</v>
      </c>
      <c r="KP124">
        <v>280</v>
      </c>
      <c r="KQ124">
        <v>216</v>
      </c>
      <c r="KR124">
        <v>220</v>
      </c>
      <c r="KS124" s="47">
        <v>-4</v>
      </c>
      <c r="KT124" s="43"/>
      <c r="KU124">
        <v>56</v>
      </c>
      <c r="KV124">
        <v>56</v>
      </c>
      <c r="KW124" s="47">
        <v>0</v>
      </c>
      <c r="KX124" s="45"/>
      <c r="KY124">
        <v>16</v>
      </c>
      <c r="KZ124">
        <v>100</v>
      </c>
      <c r="LB124">
        <v>84</v>
      </c>
      <c r="LC124" s="50">
        <v>-168</v>
      </c>
      <c r="LD124" s="43">
        <v>55.44</v>
      </c>
      <c r="LE124" s="40">
        <v>272</v>
      </c>
      <c r="LF124" s="44">
        <v>270</v>
      </c>
      <c r="LG124" s="47">
        <v>2</v>
      </c>
      <c r="LH124" s="45"/>
      <c r="LK124">
        <v>192</v>
      </c>
      <c r="LL124">
        <v>190</v>
      </c>
      <c r="LM124" s="47">
        <v>2</v>
      </c>
      <c r="LN124" s="45"/>
      <c r="LS124" s="47">
        <v>0</v>
      </c>
      <c r="LT124" s="45"/>
      <c r="LY124" s="47">
        <v>0</v>
      </c>
      <c r="LZ124" s="45"/>
      <c r="MA124">
        <v>296</v>
      </c>
      <c r="MB124">
        <v>300</v>
      </c>
      <c r="MC124">
        <v>496</v>
      </c>
      <c r="MD124">
        <v>500</v>
      </c>
      <c r="ME124" s="47">
        <v>-8</v>
      </c>
      <c r="MF124" s="45"/>
      <c r="MG124" s="46"/>
      <c r="MM124" s="47">
        <v>0</v>
      </c>
      <c r="MN124" s="45"/>
      <c r="MO124" s="44">
        <v>0</v>
      </c>
      <c r="MP124" s="44">
        <v>0</v>
      </c>
      <c r="MQ124" s="44">
        <v>0</v>
      </c>
      <c r="MR124" s="44">
        <v>0</v>
      </c>
      <c r="MS124" s="47">
        <v>0</v>
      </c>
      <c r="MT124" s="45"/>
      <c r="MU124" s="44">
        <v>496</v>
      </c>
      <c r="MV124" s="44">
        <v>500</v>
      </c>
      <c r="MW124" s="44">
        <v>496</v>
      </c>
      <c r="MX124" s="44">
        <v>500</v>
      </c>
      <c r="MY124" s="47">
        <v>-8</v>
      </c>
      <c r="MZ124" s="45"/>
      <c r="NA124" s="46">
        <v>248</v>
      </c>
      <c r="NB124" s="44">
        <v>260</v>
      </c>
      <c r="NC124" s="50">
        <v>-12</v>
      </c>
      <c r="ND124" s="45">
        <v>3.96</v>
      </c>
      <c r="NE124" s="46">
        <v>0</v>
      </c>
      <c r="NF124" s="44">
        <v>0</v>
      </c>
      <c r="NG124" s="44">
        <v>280</v>
      </c>
      <c r="NH124" s="44">
        <v>0</v>
      </c>
      <c r="NI124" s="44">
        <v>280</v>
      </c>
      <c r="NJ124" s="47">
        <v>0</v>
      </c>
      <c r="NK124" s="45"/>
      <c r="NL124" s="46">
        <v>80</v>
      </c>
      <c r="NM124" s="44">
        <v>80</v>
      </c>
      <c r="NN124" s="44">
        <v>72</v>
      </c>
      <c r="NO124" s="44">
        <v>70</v>
      </c>
      <c r="NP124" s="47">
        <v>2</v>
      </c>
      <c r="NQ124" s="45"/>
      <c r="NR124" s="46">
        <v>112</v>
      </c>
      <c r="NS124" s="44">
        <v>110</v>
      </c>
      <c r="NT124" s="47">
        <v>2</v>
      </c>
      <c r="NU124" s="45"/>
      <c r="NV124" s="46">
        <v>0</v>
      </c>
      <c r="NW124" s="44">
        <v>0</v>
      </c>
      <c r="NX124" s="44">
        <v>0</v>
      </c>
      <c r="NY124" s="44">
        <v>0</v>
      </c>
      <c r="NZ124" s="47">
        <v>0</v>
      </c>
      <c r="OA124" s="45"/>
      <c r="OB124" s="46">
        <v>96</v>
      </c>
      <c r="OC124" s="44">
        <v>100</v>
      </c>
      <c r="OD124" s="47">
        <v>-4</v>
      </c>
      <c r="OE124" s="45"/>
      <c r="OF124" s="46">
        <v>0</v>
      </c>
      <c r="OG124" s="44">
        <v>0</v>
      </c>
      <c r="OH124" s="44">
        <v>0</v>
      </c>
      <c r="OI124" s="44">
        <v>0</v>
      </c>
      <c r="OJ124" s="47">
        <v>0</v>
      </c>
      <c r="OK124" s="45"/>
      <c r="OL124" s="44">
        <v>72</v>
      </c>
      <c r="OM124" s="43">
        <v>-23.76</v>
      </c>
      <c r="ON124" s="44">
        <v>0</v>
      </c>
      <c r="OO124" s="44">
        <v>70</v>
      </c>
      <c r="OP124" s="50">
        <v>-70</v>
      </c>
      <c r="OQ124" s="45">
        <v>23.1</v>
      </c>
      <c r="OR124" s="46">
        <v>0</v>
      </c>
      <c r="OS124" s="44">
        <v>0</v>
      </c>
      <c r="OT124" s="44">
        <v>32</v>
      </c>
      <c r="OU124" s="44">
        <v>30</v>
      </c>
      <c r="OV124" s="47">
        <v>2</v>
      </c>
      <c r="OW124" s="45"/>
      <c r="OX124" s="46">
        <v>40</v>
      </c>
      <c r="OY124" s="44">
        <v>40</v>
      </c>
      <c r="OZ124" s="44">
        <v>40</v>
      </c>
      <c r="PA124" s="44">
        <v>40</v>
      </c>
      <c r="PB124" s="47">
        <v>0</v>
      </c>
      <c r="PC124" s="45"/>
      <c r="PD124" s="46">
        <v>0</v>
      </c>
      <c r="PE124" s="44">
        <v>0</v>
      </c>
      <c r="PF124" s="44">
        <v>48</v>
      </c>
      <c r="PG124" s="44">
        <v>50</v>
      </c>
      <c r="PH124" s="47">
        <v>-2</v>
      </c>
      <c r="PI124" s="45"/>
      <c r="PJ124" s="46">
        <v>0</v>
      </c>
      <c r="PK124" s="44">
        <v>0</v>
      </c>
      <c r="PL124" s="44">
        <v>0</v>
      </c>
      <c r="PM124" s="33">
        <v>120</v>
      </c>
      <c r="PN124" s="50">
        <v>-120</v>
      </c>
      <c r="PO124" s="45">
        <v>39.6</v>
      </c>
      <c r="PP124" s="46">
        <v>0</v>
      </c>
      <c r="PQ124" s="33">
        <v>100</v>
      </c>
      <c r="PR124" s="44">
        <v>96</v>
      </c>
      <c r="PS124" s="44">
        <v>100</v>
      </c>
      <c r="PT124" s="50">
        <v>-104</v>
      </c>
      <c r="PU124" s="45">
        <v>34.32</v>
      </c>
      <c r="PV124" s="46">
        <v>0</v>
      </c>
      <c r="PW124" s="44">
        <v>70</v>
      </c>
      <c r="PX124" s="50">
        <v>-70</v>
      </c>
      <c r="PY124" s="45">
        <v>23.1</v>
      </c>
      <c r="PZ124" s="46">
        <v>80</v>
      </c>
      <c r="QA124" s="44">
        <v>80</v>
      </c>
      <c r="QB124" s="47">
        <v>0</v>
      </c>
      <c r="QC124" s="45"/>
      <c r="QD124" s="46">
        <v>0</v>
      </c>
      <c r="QE124" s="44">
        <v>0</v>
      </c>
      <c r="QF124" s="44">
        <v>80</v>
      </c>
      <c r="QG124" s="44">
        <v>84.799999999999983</v>
      </c>
      <c r="QH124" s="47">
        <v>-4.7999999999999829</v>
      </c>
      <c r="QI124" s="45"/>
      <c r="QJ124" s="46">
        <v>96</v>
      </c>
      <c r="QK124" s="44">
        <v>100</v>
      </c>
      <c r="QL124" s="47">
        <v>-4</v>
      </c>
      <c r="QM124" s="45"/>
      <c r="QN124" s="46">
        <v>0</v>
      </c>
      <c r="QO124" s="44">
        <v>0</v>
      </c>
      <c r="QP124" s="44">
        <v>48</v>
      </c>
      <c r="QQ124" s="44">
        <v>50</v>
      </c>
      <c r="QR124" s="47">
        <v>-2</v>
      </c>
      <c r="QS124" s="45"/>
      <c r="QT124" s="46">
        <v>8</v>
      </c>
      <c r="QU124" s="44">
        <v>10</v>
      </c>
      <c r="QV124" s="47">
        <v>-2</v>
      </c>
      <c r="QW124" s="45"/>
      <c r="QX124" s="46">
        <v>0</v>
      </c>
      <c r="QY124" s="44">
        <v>0</v>
      </c>
      <c r="QZ124" s="44">
        <v>112</v>
      </c>
      <c r="RA124" s="44">
        <v>110</v>
      </c>
      <c r="RB124" s="47">
        <v>2</v>
      </c>
      <c r="RC124" s="45"/>
      <c r="RD124" s="42">
        <v>0</v>
      </c>
      <c r="RE124" s="44">
        <v>0</v>
      </c>
      <c r="RF124" s="44">
        <v>32</v>
      </c>
      <c r="RG124" s="44">
        <v>30</v>
      </c>
      <c r="RH124" s="47">
        <v>2</v>
      </c>
      <c r="RI124" s="45"/>
      <c r="RJ124" s="42">
        <v>16</v>
      </c>
      <c r="RK124" s="47">
        <v>20</v>
      </c>
      <c r="RL124" s="47">
        <v>0</v>
      </c>
      <c r="RM124" s="47">
        <v>0</v>
      </c>
      <c r="RN124" s="47">
        <v>-4</v>
      </c>
      <c r="RO124" s="43"/>
      <c r="RP124" s="42">
        <v>88</v>
      </c>
      <c r="RQ124" s="47">
        <v>92</v>
      </c>
      <c r="RR124" s="47">
        <v>-4</v>
      </c>
      <c r="RS124" s="43"/>
      <c r="RT124" s="42">
        <v>0</v>
      </c>
      <c r="RU124" s="47">
        <v>0</v>
      </c>
      <c r="RV124" s="47">
        <v>0</v>
      </c>
      <c r="RW124" s="47">
        <v>0</v>
      </c>
      <c r="RX124" s="47">
        <v>0</v>
      </c>
      <c r="RY124" s="43"/>
      <c r="RZ124" s="42">
        <v>80</v>
      </c>
      <c r="SA124" s="47">
        <v>80</v>
      </c>
      <c r="SB124" s="47">
        <v>0</v>
      </c>
      <c r="SC124" s="47">
        <v>0</v>
      </c>
      <c r="SD124" s="47">
        <v>0</v>
      </c>
      <c r="SE124" s="43"/>
      <c r="SF124" s="42">
        <v>0</v>
      </c>
      <c r="SG124" s="47">
        <v>0</v>
      </c>
      <c r="SH124" s="47">
        <v>0</v>
      </c>
      <c r="SI124" s="47">
        <v>0</v>
      </c>
      <c r="SJ124" s="47">
        <v>0</v>
      </c>
      <c r="SK124" s="43"/>
      <c r="SL124" s="42">
        <v>0</v>
      </c>
      <c r="SM124" s="47">
        <v>0</v>
      </c>
      <c r="SN124" s="47">
        <v>0</v>
      </c>
      <c r="SO124" s="43"/>
      <c r="SP124" s="42">
        <v>0</v>
      </c>
      <c r="SQ124" s="47">
        <v>0</v>
      </c>
      <c r="SR124" s="47">
        <v>0</v>
      </c>
      <c r="SS124" s="47">
        <v>0</v>
      </c>
      <c r="ST124" s="47">
        <v>0</v>
      </c>
      <c r="SU124" s="43"/>
    </row>
    <row r="125" spans="1:515" x14ac:dyDescent="0.25">
      <c r="A125" s="47" t="s">
        <v>432</v>
      </c>
      <c r="B125" s="41">
        <v>1</v>
      </c>
      <c r="J125" s="42"/>
      <c r="K125" s="51"/>
      <c r="L125" s="51"/>
      <c r="M125" s="51"/>
      <c r="N125" s="51">
        <f t="shared" si="12"/>
        <v>0</v>
      </c>
      <c r="O125" s="43"/>
      <c r="P125" s="46"/>
      <c r="Q125" s="51"/>
      <c r="R125" s="51"/>
      <c r="S125" s="51"/>
      <c r="T125" s="51">
        <f t="shared" si="13"/>
        <v>0</v>
      </c>
      <c r="U125" s="43"/>
      <c r="V125" s="42"/>
      <c r="W125" s="51"/>
      <c r="X125" s="51"/>
      <c r="Y125" s="51"/>
      <c r="Z125" s="51">
        <f t="shared" si="14"/>
        <v>0</v>
      </c>
      <c r="AA125" s="43"/>
      <c r="AB125" s="42"/>
      <c r="AC125" s="51"/>
      <c r="AD125" s="51"/>
      <c r="AE125" s="51"/>
      <c r="AF125" s="51">
        <v>0</v>
      </c>
      <c r="AG125" s="43"/>
      <c r="AH125" s="51"/>
      <c r="AL125" s="47">
        <v>0</v>
      </c>
      <c r="AM125" s="43"/>
      <c r="AN125" s="42"/>
      <c r="AR125" s="47">
        <v>0</v>
      </c>
      <c r="AS125" s="43"/>
      <c r="AX125" s="47">
        <v>0</v>
      </c>
      <c r="AY125" s="43"/>
      <c r="BD125" s="47">
        <v>0</v>
      </c>
      <c r="BE125" s="43"/>
      <c r="BF125" s="42"/>
      <c r="BJ125" s="47">
        <v>0</v>
      </c>
      <c r="BK125" s="43"/>
      <c r="BL125" s="42"/>
      <c r="BP125" s="47">
        <v>0</v>
      </c>
      <c r="BQ125" s="43"/>
      <c r="BV125" s="47">
        <v>0</v>
      </c>
      <c r="BW125" s="43"/>
      <c r="BX125" s="42"/>
      <c r="CB125" s="47">
        <v>0</v>
      </c>
      <c r="CC125" s="43"/>
      <c r="CH125" s="47">
        <v>0</v>
      </c>
      <c r="CI125" s="43"/>
      <c r="CN125" s="47">
        <v>0</v>
      </c>
      <c r="CO125" s="43"/>
      <c r="CP125" s="42"/>
      <c r="CT125" s="47">
        <v>0</v>
      </c>
      <c r="CU125" s="43"/>
      <c r="CV125" s="42"/>
      <c r="CZ125" s="47">
        <v>0</v>
      </c>
      <c r="DA125" s="43"/>
      <c r="DG125" s="47">
        <v>0</v>
      </c>
      <c r="DH125" s="43"/>
      <c r="DK125" s="47">
        <v>0</v>
      </c>
      <c r="DL125" s="43"/>
      <c r="DM125" s="42"/>
      <c r="DQ125" s="47">
        <v>0</v>
      </c>
      <c r="DR125" s="43"/>
      <c r="DW125" s="47">
        <v>0</v>
      </c>
      <c r="DX125" s="43"/>
      <c r="EC125" s="47">
        <v>0</v>
      </c>
      <c r="ED125" s="43"/>
      <c r="EE125" s="42"/>
      <c r="EI125" s="47">
        <v>0</v>
      </c>
      <c r="EJ125" s="43"/>
      <c r="EO125" s="47">
        <v>0</v>
      </c>
      <c r="EP125" s="43"/>
      <c r="EQ125" s="42"/>
      <c r="EU125" s="47">
        <v>0</v>
      </c>
      <c r="EV125" s="43"/>
      <c r="EW125" s="42"/>
      <c r="FC125" s="47">
        <v>0</v>
      </c>
      <c r="FD125" s="43"/>
      <c r="FE125" s="42"/>
      <c r="FI125" s="47">
        <v>0</v>
      </c>
      <c r="FJ125" s="43"/>
      <c r="FQ125" s="47">
        <v>0</v>
      </c>
      <c r="FR125" s="43"/>
      <c r="FS125" s="42"/>
      <c r="FW125" s="47">
        <v>0</v>
      </c>
      <c r="FX125" s="43"/>
      <c r="FY125" s="42"/>
      <c r="GC125" s="47">
        <v>0</v>
      </c>
      <c r="GD125" s="43"/>
      <c r="GE125" s="42"/>
      <c r="GI125" s="47">
        <v>0</v>
      </c>
      <c r="GJ125" s="43"/>
      <c r="GQ125" s="47">
        <v>0</v>
      </c>
      <c r="GR125" s="43"/>
      <c r="GX125" s="47">
        <v>0</v>
      </c>
      <c r="GY125" s="43"/>
      <c r="GZ125" s="42"/>
      <c r="HC125" s="47">
        <v>0</v>
      </c>
      <c r="HD125" s="43"/>
      <c r="HE125" s="42"/>
      <c r="HH125" s="47">
        <v>0</v>
      </c>
      <c r="HI125" s="43"/>
      <c r="HN125" s="47">
        <v>0</v>
      </c>
      <c r="HO125" s="43"/>
      <c r="HP125" s="42"/>
      <c r="HU125" s="47">
        <v>0</v>
      </c>
      <c r="HV125" s="43"/>
      <c r="IA125" s="47">
        <v>0</v>
      </c>
      <c r="IB125" s="43"/>
      <c r="IC125" s="42"/>
      <c r="IG125" s="47">
        <v>0</v>
      </c>
      <c r="IH125" s="43"/>
      <c r="IM125" s="47">
        <v>0</v>
      </c>
      <c r="IN125" s="43"/>
      <c r="IO125" s="42"/>
      <c r="IQ125" s="47">
        <v>0</v>
      </c>
      <c r="IR125" s="43"/>
      <c r="IS125" s="42"/>
      <c r="IW125" s="47">
        <v>0</v>
      </c>
      <c r="IX125" s="43"/>
      <c r="IY125" s="42"/>
      <c r="JA125" s="47">
        <v>0</v>
      </c>
      <c r="JB125" s="43"/>
      <c r="JC125" s="42"/>
      <c r="JG125" s="47">
        <v>0</v>
      </c>
      <c r="JH125" s="43"/>
      <c r="JM125">
        <v>99</v>
      </c>
      <c r="JN125">
        <v>100</v>
      </c>
      <c r="JO125" s="47">
        <v>-1</v>
      </c>
      <c r="JP125" s="43"/>
      <c r="JQ125" s="42"/>
      <c r="JU125" s="47">
        <v>0</v>
      </c>
      <c r="JV125" s="43"/>
      <c r="JY125">
        <v>89</v>
      </c>
      <c r="JZ125">
        <v>90</v>
      </c>
      <c r="KA125" s="47">
        <v>-1</v>
      </c>
      <c r="KB125" s="45"/>
      <c r="KG125" s="47">
        <v>0</v>
      </c>
      <c r="KH125" s="45"/>
      <c r="KI125">
        <v>21</v>
      </c>
      <c r="KJ125">
        <v>20</v>
      </c>
      <c r="KK125">
        <v>16</v>
      </c>
      <c r="KL125">
        <v>18</v>
      </c>
      <c r="KM125" s="47">
        <v>-1</v>
      </c>
      <c r="KN125" s="45"/>
      <c r="KO125">
        <v>21</v>
      </c>
      <c r="KP125">
        <v>20</v>
      </c>
      <c r="KS125" s="47">
        <v>1</v>
      </c>
      <c r="KT125" s="43"/>
      <c r="KU125">
        <v>37</v>
      </c>
      <c r="KV125">
        <v>38</v>
      </c>
      <c r="KW125" s="47">
        <v>-1</v>
      </c>
      <c r="KX125" s="45"/>
      <c r="LC125" s="47">
        <v>0</v>
      </c>
      <c r="LD125" s="43"/>
      <c r="LE125" s="40">
        <v>42</v>
      </c>
      <c r="LF125" s="44">
        <v>40</v>
      </c>
      <c r="LG125" s="47">
        <v>2</v>
      </c>
      <c r="LH125" s="45"/>
      <c r="LK125">
        <v>66</v>
      </c>
      <c r="LL125">
        <v>70</v>
      </c>
      <c r="LM125" s="47">
        <v>-4</v>
      </c>
      <c r="LN125" s="45"/>
      <c r="LP125">
        <v>15</v>
      </c>
      <c r="LS125" s="50">
        <v>-15</v>
      </c>
      <c r="LT125" s="45">
        <v>15</v>
      </c>
      <c r="LU125">
        <v>16</v>
      </c>
      <c r="LV125">
        <v>16</v>
      </c>
      <c r="LW125">
        <v>26</v>
      </c>
      <c r="LX125">
        <v>24</v>
      </c>
      <c r="LY125" s="47">
        <v>2</v>
      </c>
      <c r="LZ125" s="45"/>
      <c r="MC125">
        <v>47</v>
      </c>
      <c r="MD125">
        <v>50</v>
      </c>
      <c r="ME125" s="47">
        <v>-3</v>
      </c>
      <c r="MF125" s="45"/>
      <c r="MG125" s="46"/>
      <c r="MI125">
        <v>21</v>
      </c>
      <c r="MJ125">
        <v>20</v>
      </c>
      <c r="MK125">
        <v>21</v>
      </c>
      <c r="ML125">
        <v>20</v>
      </c>
      <c r="MM125" s="47">
        <v>2</v>
      </c>
      <c r="MN125" s="45"/>
      <c r="MO125" s="44">
        <v>0</v>
      </c>
      <c r="MP125" s="44">
        <v>0</v>
      </c>
      <c r="MQ125" s="44">
        <v>0</v>
      </c>
      <c r="MR125" s="44">
        <v>0</v>
      </c>
      <c r="MS125" s="47">
        <v>0</v>
      </c>
      <c r="MT125" s="45"/>
      <c r="MU125" s="44">
        <v>0</v>
      </c>
      <c r="MV125" s="44">
        <v>0</v>
      </c>
      <c r="MW125" s="44">
        <v>0</v>
      </c>
      <c r="MX125" s="44">
        <v>0</v>
      </c>
      <c r="MY125" s="47">
        <v>0</v>
      </c>
      <c r="MZ125" s="45"/>
      <c r="NA125" s="46">
        <v>130.399</v>
      </c>
      <c r="NB125" s="44">
        <v>132</v>
      </c>
      <c r="NC125" s="47">
        <v>-1.6009999999999991</v>
      </c>
      <c r="ND125" s="45"/>
      <c r="NE125" s="46">
        <v>0</v>
      </c>
      <c r="NF125" s="44">
        <v>0</v>
      </c>
      <c r="NG125" s="44">
        <v>15.686999999999999</v>
      </c>
      <c r="NH125" s="44">
        <v>0</v>
      </c>
      <c r="NI125" s="44">
        <v>17</v>
      </c>
      <c r="NJ125" s="47">
        <v>-1.3130000000000011</v>
      </c>
      <c r="NK125" s="45"/>
      <c r="NL125" s="46">
        <v>20.771999999999998</v>
      </c>
      <c r="NM125" s="44">
        <v>20</v>
      </c>
      <c r="NN125" s="44">
        <v>31.367999999999999</v>
      </c>
      <c r="NO125" s="44">
        <v>30</v>
      </c>
      <c r="NP125" s="47">
        <v>2.140000000000001</v>
      </c>
      <c r="NQ125" s="45"/>
      <c r="NR125" s="46">
        <v>72.819000000000003</v>
      </c>
      <c r="NS125" s="44">
        <v>75</v>
      </c>
      <c r="NT125" s="47">
        <v>-2.1809999999999969</v>
      </c>
      <c r="NU125" s="45"/>
      <c r="NV125" s="46">
        <v>0</v>
      </c>
      <c r="NW125" s="44">
        <v>0</v>
      </c>
      <c r="NX125" s="44">
        <v>31.608000000000001</v>
      </c>
      <c r="NY125" s="44">
        <v>32</v>
      </c>
      <c r="NZ125" s="47">
        <v>-0.39199999999999952</v>
      </c>
      <c r="OA125" s="45"/>
      <c r="OB125" s="46">
        <v>41.679000000000002</v>
      </c>
      <c r="OC125" s="44">
        <v>40</v>
      </c>
      <c r="OD125" s="47">
        <v>1.679000000000002</v>
      </c>
      <c r="OE125" s="45"/>
      <c r="OF125" s="46">
        <v>0</v>
      </c>
      <c r="OG125" s="44">
        <v>0</v>
      </c>
      <c r="OH125" s="44">
        <v>57.317999999999998</v>
      </c>
      <c r="OI125" s="44">
        <v>57</v>
      </c>
      <c r="OJ125" s="47">
        <v>0.31799999999999778</v>
      </c>
      <c r="OK125" s="45"/>
      <c r="OL125" s="44">
        <v>0</v>
      </c>
      <c r="OM125" s="43"/>
      <c r="ON125" s="44">
        <v>0</v>
      </c>
      <c r="OO125" s="44">
        <v>0</v>
      </c>
      <c r="OP125" s="47">
        <v>0</v>
      </c>
      <c r="OQ125" s="45"/>
      <c r="OR125" s="46">
        <v>0</v>
      </c>
      <c r="OS125" s="44">
        <v>0</v>
      </c>
      <c r="OT125" s="44">
        <v>15.919</v>
      </c>
      <c r="OU125" s="44">
        <v>15</v>
      </c>
      <c r="OV125" s="47">
        <v>0.91900000000000048</v>
      </c>
      <c r="OW125" s="45"/>
      <c r="OX125" s="46">
        <v>0</v>
      </c>
      <c r="OY125" s="44">
        <v>0</v>
      </c>
      <c r="OZ125" s="44">
        <v>47.265000000000001</v>
      </c>
      <c r="PA125" s="44">
        <v>50</v>
      </c>
      <c r="PB125" s="47">
        <v>-2.734999999999999</v>
      </c>
      <c r="PC125" s="45"/>
      <c r="PD125" s="46">
        <v>0</v>
      </c>
      <c r="PE125" s="44">
        <v>0</v>
      </c>
      <c r="PF125" s="44">
        <v>47.088999999999999</v>
      </c>
      <c r="PG125" s="44">
        <v>50</v>
      </c>
      <c r="PH125" s="47">
        <v>-2.9110000000000009</v>
      </c>
      <c r="PI125" s="45"/>
      <c r="PJ125" s="46">
        <v>0</v>
      </c>
      <c r="PK125" s="44">
        <v>0</v>
      </c>
      <c r="PL125" s="44">
        <v>0</v>
      </c>
      <c r="PM125" s="33">
        <v>20</v>
      </c>
      <c r="PN125" s="50">
        <v>-20</v>
      </c>
      <c r="PO125" s="45">
        <v>20</v>
      </c>
      <c r="PP125" s="46">
        <v>0</v>
      </c>
      <c r="PQ125" s="44">
        <v>0</v>
      </c>
      <c r="PR125" s="44">
        <v>42.179000000000002</v>
      </c>
      <c r="PS125" s="44">
        <v>40</v>
      </c>
      <c r="PT125" s="47">
        <v>2.179000000000002</v>
      </c>
      <c r="PU125" s="45"/>
      <c r="PV125" s="46">
        <v>41.957999999999998</v>
      </c>
      <c r="PW125" s="44">
        <v>40</v>
      </c>
      <c r="PX125" s="47">
        <v>1.957999999999998</v>
      </c>
      <c r="PY125" s="45"/>
      <c r="PZ125" s="46">
        <v>31.513999999999999</v>
      </c>
      <c r="QA125" s="44">
        <v>32</v>
      </c>
      <c r="QB125" s="47">
        <v>-0.48600000000000071</v>
      </c>
      <c r="QC125" s="45"/>
      <c r="QD125" s="46">
        <v>0</v>
      </c>
      <c r="QE125" s="44">
        <v>0</v>
      </c>
      <c r="QF125" s="44">
        <v>21.167999999999999</v>
      </c>
      <c r="QG125" s="44">
        <v>18.926199999999991</v>
      </c>
      <c r="QH125" s="47">
        <v>2.2418000000000049</v>
      </c>
      <c r="QI125" s="45"/>
      <c r="QJ125" s="46">
        <v>10.574999999999999</v>
      </c>
      <c r="QK125" s="44">
        <v>10</v>
      </c>
      <c r="QL125" s="47">
        <v>0.57499999999999929</v>
      </c>
      <c r="QM125" s="45"/>
      <c r="QN125" s="46">
        <v>0</v>
      </c>
      <c r="QO125" s="44">
        <v>0</v>
      </c>
      <c r="QP125" s="44">
        <v>43.473999999999997</v>
      </c>
      <c r="QQ125" s="44">
        <v>40</v>
      </c>
      <c r="QR125" s="47">
        <v>3.4739999999999971</v>
      </c>
      <c r="QS125" s="45"/>
      <c r="QT125" s="46">
        <v>15.952999999999999</v>
      </c>
      <c r="QU125" s="44">
        <v>17</v>
      </c>
      <c r="QV125" s="47">
        <v>-1.047000000000001</v>
      </c>
      <c r="QW125" s="45"/>
      <c r="QX125" s="46">
        <v>0</v>
      </c>
      <c r="QY125" s="44">
        <v>0</v>
      </c>
      <c r="QZ125" s="44">
        <v>31.643999999999998</v>
      </c>
      <c r="RA125" s="44">
        <v>30</v>
      </c>
      <c r="RB125" s="47">
        <v>1.6439999999999979</v>
      </c>
      <c r="RC125" s="45"/>
      <c r="RD125" s="42">
        <v>0</v>
      </c>
      <c r="RE125" s="44">
        <v>0</v>
      </c>
      <c r="RF125" s="44">
        <v>0</v>
      </c>
      <c r="RG125" s="33">
        <v>30</v>
      </c>
      <c r="RH125" s="50">
        <v>-30</v>
      </c>
      <c r="RI125" s="45">
        <v>30</v>
      </c>
      <c r="RJ125" s="42">
        <v>57.965000000000003</v>
      </c>
      <c r="RK125" s="47">
        <v>56</v>
      </c>
      <c r="RL125" s="47">
        <v>0</v>
      </c>
      <c r="RM125" s="47">
        <v>0</v>
      </c>
      <c r="RN125" s="47">
        <v>1.965000000000003</v>
      </c>
      <c r="RO125" s="43"/>
      <c r="RP125" s="42">
        <v>56.920999999999999</v>
      </c>
      <c r="RQ125" s="47">
        <v>60</v>
      </c>
      <c r="RR125" s="47">
        <v>-3.0790000000000011</v>
      </c>
      <c r="RS125" s="43"/>
      <c r="RT125" s="42">
        <v>0</v>
      </c>
      <c r="RU125" s="47">
        <v>0</v>
      </c>
      <c r="RV125" s="47">
        <v>0</v>
      </c>
      <c r="RW125" s="47">
        <v>0</v>
      </c>
      <c r="RX125" s="47">
        <v>0</v>
      </c>
      <c r="RY125" s="43"/>
      <c r="RZ125" s="42">
        <v>41.753999999999998</v>
      </c>
      <c r="SA125" s="47">
        <v>40</v>
      </c>
      <c r="SB125" s="47">
        <v>41.976999999999997</v>
      </c>
      <c r="SC125" s="47">
        <v>40</v>
      </c>
      <c r="SD125" s="47">
        <v>3.730999999999995</v>
      </c>
      <c r="SE125" s="43"/>
      <c r="SF125" s="42">
        <v>0</v>
      </c>
      <c r="SG125" s="47">
        <v>0</v>
      </c>
      <c r="SH125" s="47">
        <v>0</v>
      </c>
      <c r="SI125" s="47">
        <v>0</v>
      </c>
      <c r="SJ125" s="47">
        <v>0</v>
      </c>
      <c r="SK125" s="43"/>
      <c r="SL125" s="42">
        <v>0</v>
      </c>
      <c r="SM125" s="47">
        <v>0</v>
      </c>
      <c r="SN125" s="47">
        <v>0</v>
      </c>
      <c r="SO125" s="43"/>
      <c r="SP125" s="42">
        <v>0</v>
      </c>
      <c r="SQ125" s="47">
        <v>0</v>
      </c>
      <c r="SR125" s="47">
        <v>0</v>
      </c>
      <c r="SS125" s="47">
        <v>0</v>
      </c>
      <c r="ST125" s="47">
        <v>0</v>
      </c>
      <c r="SU125" s="43"/>
    </row>
    <row r="126" spans="1:515" x14ac:dyDescent="0.25">
      <c r="A126" s="47" t="s">
        <v>433</v>
      </c>
      <c r="B126" s="41">
        <v>0.33</v>
      </c>
      <c r="J126" s="42"/>
      <c r="K126" s="51"/>
      <c r="L126" s="51"/>
      <c r="M126" s="51"/>
      <c r="N126" s="51">
        <f t="shared" si="12"/>
        <v>0</v>
      </c>
      <c r="O126" s="43"/>
      <c r="P126" s="46"/>
      <c r="Q126" s="51"/>
      <c r="R126" s="51"/>
      <c r="S126" s="51"/>
      <c r="T126" s="51">
        <f t="shared" si="13"/>
        <v>0</v>
      </c>
      <c r="U126" s="43"/>
      <c r="V126" s="42"/>
      <c r="W126" s="51"/>
      <c r="X126" s="51"/>
      <c r="Y126" s="51"/>
      <c r="Z126" s="51">
        <f t="shared" si="14"/>
        <v>0</v>
      </c>
      <c r="AA126" s="43"/>
      <c r="AB126" s="42"/>
      <c r="AC126" s="51"/>
      <c r="AD126" s="51"/>
      <c r="AE126" s="51"/>
      <c r="AF126" s="51">
        <v>0</v>
      </c>
      <c r="AG126" s="43"/>
      <c r="AH126" s="51"/>
      <c r="AL126" s="47">
        <v>0</v>
      </c>
      <c r="AM126" s="43"/>
      <c r="AN126" s="42"/>
      <c r="AR126" s="47">
        <v>0</v>
      </c>
      <c r="AS126" s="43"/>
      <c r="AX126" s="47">
        <v>0</v>
      </c>
      <c r="AY126" s="43"/>
      <c r="BD126" s="47">
        <v>0</v>
      </c>
      <c r="BE126" s="43"/>
      <c r="BF126" s="42"/>
      <c r="BJ126" s="47">
        <v>0</v>
      </c>
      <c r="BK126" s="43"/>
      <c r="BL126" s="42"/>
      <c r="BP126" s="47">
        <v>0</v>
      </c>
      <c r="BQ126" s="43"/>
      <c r="BV126" s="47">
        <v>0</v>
      </c>
      <c r="BW126" s="43"/>
      <c r="BX126" s="42"/>
      <c r="CB126" s="47">
        <v>0</v>
      </c>
      <c r="CC126" s="43"/>
      <c r="CH126" s="47">
        <v>0</v>
      </c>
      <c r="CI126" s="43"/>
      <c r="CN126" s="47">
        <v>0</v>
      </c>
      <c r="CO126" s="43"/>
      <c r="CP126" s="42"/>
      <c r="CT126" s="47">
        <v>0</v>
      </c>
      <c r="CU126" s="43"/>
      <c r="CV126" s="42"/>
      <c r="CZ126" s="47">
        <v>0</v>
      </c>
      <c r="DA126" s="43"/>
      <c r="DG126" s="47">
        <v>0</v>
      </c>
      <c r="DH126" s="43"/>
      <c r="DK126" s="47">
        <v>0</v>
      </c>
      <c r="DL126" s="43"/>
      <c r="DM126" s="42"/>
      <c r="DQ126" s="47">
        <v>0</v>
      </c>
      <c r="DR126" s="43"/>
      <c r="DW126" s="47">
        <v>0</v>
      </c>
      <c r="DX126" s="43"/>
      <c r="EC126" s="47">
        <v>0</v>
      </c>
      <c r="ED126" s="43"/>
      <c r="EE126" s="42"/>
      <c r="EI126" s="47">
        <v>0</v>
      </c>
      <c r="EJ126" s="43"/>
      <c r="EO126" s="47">
        <v>0</v>
      </c>
      <c r="EP126" s="43"/>
      <c r="EQ126" s="42"/>
      <c r="EU126" s="47">
        <v>0</v>
      </c>
      <c r="EV126" s="43"/>
      <c r="EW126" s="42"/>
      <c r="FC126" s="47">
        <v>0</v>
      </c>
      <c r="FD126" s="43"/>
      <c r="FE126" s="42"/>
      <c r="FI126" s="47">
        <v>0</v>
      </c>
      <c r="FJ126" s="43"/>
      <c r="FQ126" s="47">
        <v>0</v>
      </c>
      <c r="FR126" s="43"/>
      <c r="FS126" s="42"/>
      <c r="FW126" s="47">
        <v>0</v>
      </c>
      <c r="FX126" s="43"/>
      <c r="FY126" s="42"/>
      <c r="GC126" s="47">
        <v>0</v>
      </c>
      <c r="GD126" s="43"/>
      <c r="GE126" s="42"/>
      <c r="GI126" s="47">
        <v>0</v>
      </c>
      <c r="GJ126" s="43"/>
      <c r="GQ126" s="47">
        <v>0</v>
      </c>
      <c r="GR126" s="43"/>
      <c r="GX126" s="47">
        <v>0</v>
      </c>
      <c r="GY126" s="43"/>
      <c r="GZ126" s="42"/>
      <c r="HC126" s="47">
        <v>0</v>
      </c>
      <c r="HD126" s="43"/>
      <c r="HE126" s="42"/>
      <c r="HH126" s="47">
        <v>0</v>
      </c>
      <c r="HI126" s="43"/>
      <c r="HN126" s="47">
        <v>0</v>
      </c>
      <c r="HO126" s="43"/>
      <c r="HP126" s="42"/>
      <c r="HU126" s="47">
        <v>0</v>
      </c>
      <c r="HV126" s="43"/>
      <c r="IA126" s="47">
        <v>0</v>
      </c>
      <c r="IB126" s="43"/>
      <c r="IC126" s="42"/>
      <c r="IG126" s="47">
        <v>0</v>
      </c>
      <c r="IH126" s="43"/>
      <c r="IM126" s="47">
        <v>0</v>
      </c>
      <c r="IN126" s="43"/>
      <c r="IO126" s="42"/>
      <c r="IQ126" s="47">
        <v>0</v>
      </c>
      <c r="IR126" s="43"/>
      <c r="IS126" s="42"/>
      <c r="IW126" s="47">
        <v>0</v>
      </c>
      <c r="IX126" s="43"/>
      <c r="IY126" s="42"/>
      <c r="JA126" s="47">
        <v>0</v>
      </c>
      <c r="JB126" s="43"/>
      <c r="JC126" s="42"/>
      <c r="JG126" s="47">
        <v>0</v>
      </c>
      <c r="JH126" s="43"/>
      <c r="JM126">
        <v>192</v>
      </c>
      <c r="JN126">
        <v>190</v>
      </c>
      <c r="JO126" s="47">
        <v>2</v>
      </c>
      <c r="JP126" s="43"/>
      <c r="JQ126" s="42"/>
      <c r="JS126">
        <v>72</v>
      </c>
      <c r="JT126">
        <v>70</v>
      </c>
      <c r="JU126" s="47">
        <v>2</v>
      </c>
      <c r="JV126" s="43"/>
      <c r="JY126">
        <v>16</v>
      </c>
      <c r="JZ126">
        <v>16</v>
      </c>
      <c r="KA126" s="47">
        <v>0</v>
      </c>
      <c r="KB126" s="45"/>
      <c r="KC126">
        <v>96</v>
      </c>
      <c r="KD126">
        <v>100</v>
      </c>
      <c r="KE126">
        <v>112</v>
      </c>
      <c r="KF126">
        <v>110</v>
      </c>
      <c r="KG126" s="47">
        <v>-2</v>
      </c>
      <c r="KH126" s="45"/>
      <c r="KI126">
        <v>16</v>
      </c>
      <c r="KJ126">
        <v>16</v>
      </c>
      <c r="KM126" s="47">
        <v>0</v>
      </c>
      <c r="KN126" s="45"/>
      <c r="KS126" s="47">
        <v>0</v>
      </c>
      <c r="KT126" s="43"/>
      <c r="KU126">
        <v>88</v>
      </c>
      <c r="KV126">
        <v>90</v>
      </c>
      <c r="KW126" s="47">
        <v>-2</v>
      </c>
      <c r="KX126" s="45"/>
      <c r="LA126">
        <v>16</v>
      </c>
      <c r="LB126">
        <v>20</v>
      </c>
      <c r="LC126" s="47">
        <v>-4</v>
      </c>
      <c r="LD126" s="43"/>
      <c r="LE126" s="40">
        <v>136</v>
      </c>
      <c r="LF126" s="44">
        <v>140</v>
      </c>
      <c r="LG126" s="47">
        <v>-4</v>
      </c>
      <c r="LH126" s="45"/>
      <c r="LK126">
        <v>16</v>
      </c>
      <c r="LL126">
        <v>14</v>
      </c>
      <c r="LM126" s="47">
        <v>2</v>
      </c>
      <c r="LN126" s="45"/>
      <c r="LQ126">
        <v>248</v>
      </c>
      <c r="LR126">
        <v>250</v>
      </c>
      <c r="LS126" s="47">
        <v>-2</v>
      </c>
      <c r="LT126" s="45"/>
      <c r="LY126" s="47">
        <v>0</v>
      </c>
      <c r="LZ126" s="45"/>
      <c r="MA126">
        <v>48</v>
      </c>
      <c r="MB126">
        <v>50</v>
      </c>
      <c r="MC126">
        <v>80</v>
      </c>
      <c r="MD126">
        <v>80</v>
      </c>
      <c r="ME126" s="47">
        <v>-2</v>
      </c>
      <c r="MF126" s="45"/>
      <c r="MG126" s="46"/>
      <c r="MM126" s="47">
        <v>0</v>
      </c>
      <c r="MN126" s="45"/>
      <c r="MO126" s="44">
        <v>0</v>
      </c>
      <c r="MP126" s="44">
        <v>0</v>
      </c>
      <c r="MQ126" s="44">
        <v>0</v>
      </c>
      <c r="MR126" s="44">
        <v>0</v>
      </c>
      <c r="MS126" s="47">
        <v>0</v>
      </c>
      <c r="MT126" s="45"/>
      <c r="MU126" s="44">
        <v>0</v>
      </c>
      <c r="MV126" s="44">
        <v>0</v>
      </c>
      <c r="MW126" s="44">
        <v>0</v>
      </c>
      <c r="MX126" s="44">
        <v>0</v>
      </c>
      <c r="MY126" s="47">
        <v>0</v>
      </c>
      <c r="MZ126" s="45"/>
      <c r="NA126" s="46">
        <v>400</v>
      </c>
      <c r="NB126" s="44">
        <v>400</v>
      </c>
      <c r="NC126" s="47">
        <v>0</v>
      </c>
      <c r="ND126" s="45"/>
      <c r="NE126" s="46">
        <v>824</v>
      </c>
      <c r="NF126" s="44">
        <v>900</v>
      </c>
      <c r="NG126" s="44">
        <v>496</v>
      </c>
      <c r="NH126" s="44">
        <v>0</v>
      </c>
      <c r="NI126" s="44">
        <v>500</v>
      </c>
      <c r="NJ126" s="50">
        <v>-80</v>
      </c>
      <c r="NK126" s="45">
        <v>26.4</v>
      </c>
      <c r="NL126" s="46">
        <v>64</v>
      </c>
      <c r="NM126" s="44">
        <v>62</v>
      </c>
      <c r="NN126" s="44">
        <v>48</v>
      </c>
      <c r="NO126" s="44">
        <v>48</v>
      </c>
      <c r="NP126" s="47">
        <v>2</v>
      </c>
      <c r="NQ126" s="45"/>
      <c r="NR126" s="46">
        <v>16</v>
      </c>
      <c r="NS126" s="44">
        <v>32</v>
      </c>
      <c r="NT126" s="50">
        <v>-16</v>
      </c>
      <c r="NU126" s="45">
        <v>5.28</v>
      </c>
      <c r="NV126" s="46">
        <v>0</v>
      </c>
      <c r="NW126" s="44">
        <v>0</v>
      </c>
      <c r="NX126" s="44">
        <v>8</v>
      </c>
      <c r="NY126" s="44">
        <v>8</v>
      </c>
      <c r="NZ126" s="47">
        <v>0</v>
      </c>
      <c r="OA126" s="45"/>
      <c r="OB126" s="46">
        <v>0</v>
      </c>
      <c r="OC126" s="44">
        <v>0</v>
      </c>
      <c r="OD126" s="47">
        <v>0</v>
      </c>
      <c r="OE126" s="45"/>
      <c r="OF126" s="46">
        <v>0</v>
      </c>
      <c r="OG126" s="44">
        <v>0</v>
      </c>
      <c r="OH126" s="44">
        <v>0</v>
      </c>
      <c r="OI126" s="44">
        <v>0</v>
      </c>
      <c r="OJ126" s="47">
        <v>0</v>
      </c>
      <c r="OK126" s="45"/>
      <c r="OL126" s="44">
        <v>0</v>
      </c>
      <c r="OM126" s="43"/>
      <c r="ON126" s="44">
        <v>0</v>
      </c>
      <c r="OO126" s="44">
        <v>0</v>
      </c>
      <c r="OP126" s="47">
        <v>0</v>
      </c>
      <c r="OQ126" s="45"/>
      <c r="OR126" s="46">
        <v>0</v>
      </c>
      <c r="OS126" s="44">
        <v>0</v>
      </c>
      <c r="OT126" s="44">
        <v>24</v>
      </c>
      <c r="OU126" s="44">
        <v>24</v>
      </c>
      <c r="OV126" s="47">
        <v>0</v>
      </c>
      <c r="OW126" s="45"/>
      <c r="OX126" s="46">
        <v>0</v>
      </c>
      <c r="OY126" s="44">
        <v>0</v>
      </c>
      <c r="OZ126" s="44">
        <v>8</v>
      </c>
      <c r="PA126" s="44">
        <v>10</v>
      </c>
      <c r="PB126" s="47">
        <v>-2</v>
      </c>
      <c r="PC126" s="45"/>
      <c r="PD126" s="46">
        <v>0</v>
      </c>
      <c r="PE126" s="44">
        <v>0</v>
      </c>
      <c r="PF126" s="44">
        <v>0</v>
      </c>
      <c r="PG126" s="44">
        <v>0</v>
      </c>
      <c r="PH126" s="47">
        <v>0</v>
      </c>
      <c r="PI126" s="45"/>
      <c r="PJ126" s="46">
        <v>0</v>
      </c>
      <c r="PK126" s="44">
        <v>0</v>
      </c>
      <c r="PL126" s="44">
        <v>0</v>
      </c>
      <c r="PM126" s="44">
        <v>0</v>
      </c>
      <c r="PN126" s="47">
        <v>0</v>
      </c>
      <c r="PO126" s="45"/>
      <c r="PP126" s="46">
        <v>0</v>
      </c>
      <c r="PQ126" s="44">
        <v>0</v>
      </c>
      <c r="PR126" s="44">
        <v>16</v>
      </c>
      <c r="PS126" s="44">
        <v>20</v>
      </c>
      <c r="PT126" s="47">
        <v>-4</v>
      </c>
      <c r="PU126" s="45"/>
      <c r="PV126" s="46">
        <v>48</v>
      </c>
      <c r="PW126" s="44">
        <v>50</v>
      </c>
      <c r="PX126" s="47">
        <v>-2</v>
      </c>
      <c r="PY126" s="45"/>
      <c r="PZ126" s="46">
        <v>0</v>
      </c>
      <c r="QA126" s="44">
        <v>0</v>
      </c>
      <c r="QB126" s="47">
        <v>0</v>
      </c>
      <c r="QC126" s="45"/>
      <c r="QD126" s="46">
        <v>0</v>
      </c>
      <c r="QE126" s="44">
        <v>0</v>
      </c>
      <c r="QF126" s="44">
        <v>0</v>
      </c>
      <c r="QG126" s="44">
        <v>0</v>
      </c>
      <c r="QH126" s="47">
        <v>0</v>
      </c>
      <c r="QI126" s="45"/>
      <c r="QJ126" s="46">
        <v>0</v>
      </c>
      <c r="QK126" s="44">
        <v>0</v>
      </c>
      <c r="QL126" s="47">
        <v>0</v>
      </c>
      <c r="QM126" s="45"/>
      <c r="QN126" s="46">
        <v>0</v>
      </c>
      <c r="QO126" s="44">
        <v>0</v>
      </c>
      <c r="QP126" s="44">
        <v>72</v>
      </c>
      <c r="QQ126" s="44">
        <v>74</v>
      </c>
      <c r="QR126" s="47">
        <v>-2</v>
      </c>
      <c r="QS126" s="45"/>
      <c r="QT126" s="46">
        <v>16</v>
      </c>
      <c r="QU126" s="44">
        <v>21</v>
      </c>
      <c r="QV126" s="47">
        <v>-5</v>
      </c>
      <c r="QW126" s="45"/>
      <c r="QX126" s="46">
        <v>0</v>
      </c>
      <c r="QY126" s="44">
        <v>0</v>
      </c>
      <c r="QZ126" s="44">
        <v>8</v>
      </c>
      <c r="RA126" s="44">
        <v>8</v>
      </c>
      <c r="RB126" s="47">
        <v>0</v>
      </c>
      <c r="RC126" s="45"/>
      <c r="RD126" s="42">
        <v>0</v>
      </c>
      <c r="RE126" s="44">
        <v>0</v>
      </c>
      <c r="RF126" s="44">
        <v>24</v>
      </c>
      <c r="RG126" s="44">
        <v>24</v>
      </c>
      <c r="RH126" s="47">
        <v>0</v>
      </c>
      <c r="RI126" s="45"/>
      <c r="RJ126" s="42">
        <v>24</v>
      </c>
      <c r="RK126" s="47">
        <v>29</v>
      </c>
      <c r="RL126" s="47">
        <v>0</v>
      </c>
      <c r="RM126" s="47">
        <v>0</v>
      </c>
      <c r="RN126" s="47">
        <v>-5</v>
      </c>
      <c r="RO126" s="43"/>
      <c r="RP126" s="42">
        <v>40</v>
      </c>
      <c r="RQ126" s="47">
        <v>38</v>
      </c>
      <c r="RR126" s="47">
        <v>2</v>
      </c>
      <c r="RS126" s="43"/>
      <c r="RT126" s="42">
        <v>0</v>
      </c>
      <c r="RU126" s="47">
        <v>0</v>
      </c>
      <c r="RV126" s="47">
        <v>0</v>
      </c>
      <c r="RW126" s="47">
        <v>0</v>
      </c>
      <c r="RX126" s="47">
        <v>0</v>
      </c>
      <c r="RY126" s="43"/>
      <c r="RZ126" s="42">
        <v>80</v>
      </c>
      <c r="SA126" s="47">
        <v>80</v>
      </c>
      <c r="SB126" s="47">
        <v>0</v>
      </c>
      <c r="SC126" s="47">
        <v>0</v>
      </c>
      <c r="SD126" s="47">
        <v>0</v>
      </c>
      <c r="SE126" s="43"/>
      <c r="SF126" s="42">
        <v>0</v>
      </c>
      <c r="SG126" s="47">
        <v>0</v>
      </c>
      <c r="SH126" s="47">
        <v>0</v>
      </c>
      <c r="SI126" s="47">
        <v>0</v>
      </c>
      <c r="SJ126" s="47">
        <v>0</v>
      </c>
      <c r="SK126" s="43"/>
      <c r="SL126" s="42">
        <v>0</v>
      </c>
      <c r="SM126" s="47">
        <v>0</v>
      </c>
      <c r="SN126" s="47">
        <v>0</v>
      </c>
      <c r="SO126" s="43"/>
      <c r="SP126" s="42">
        <v>0</v>
      </c>
      <c r="SQ126" s="47">
        <v>0</v>
      </c>
      <c r="SR126" s="47">
        <v>0</v>
      </c>
      <c r="SS126" s="47">
        <v>0</v>
      </c>
      <c r="ST126" s="47">
        <v>0</v>
      </c>
      <c r="SU126" s="43"/>
    </row>
    <row r="127" spans="1:515" x14ac:dyDescent="0.25">
      <c r="A127" s="47" t="s">
        <v>434</v>
      </c>
      <c r="B127" s="41">
        <v>1</v>
      </c>
      <c r="J127" s="42"/>
      <c r="K127" s="51"/>
      <c r="L127" s="51"/>
      <c r="M127" s="51"/>
      <c r="N127" s="51">
        <f t="shared" si="12"/>
        <v>0</v>
      </c>
      <c r="O127" s="43"/>
      <c r="P127" s="46"/>
      <c r="Q127" s="51"/>
      <c r="R127" s="51"/>
      <c r="S127" s="51"/>
      <c r="T127" s="51">
        <f t="shared" si="13"/>
        <v>0</v>
      </c>
      <c r="U127" s="43"/>
      <c r="V127" s="42"/>
      <c r="W127" s="51"/>
      <c r="X127" s="51"/>
      <c r="Y127" s="51"/>
      <c r="Z127" s="51">
        <f t="shared" si="14"/>
        <v>0</v>
      </c>
      <c r="AA127" s="43"/>
      <c r="AB127" s="42"/>
      <c r="AC127" s="51"/>
      <c r="AD127" s="51"/>
      <c r="AE127" s="51"/>
      <c r="AF127" s="51">
        <v>0</v>
      </c>
      <c r="AG127" s="43"/>
      <c r="AH127" s="51"/>
      <c r="AL127" s="47">
        <v>0</v>
      </c>
      <c r="AM127" s="43"/>
      <c r="AN127" s="42"/>
      <c r="AR127" s="47">
        <v>0</v>
      </c>
      <c r="AS127" s="43"/>
      <c r="AX127" s="47">
        <v>0</v>
      </c>
      <c r="AY127" s="43"/>
      <c r="BD127" s="47">
        <v>0</v>
      </c>
      <c r="BE127" s="43"/>
      <c r="BF127" s="42"/>
      <c r="BJ127" s="47">
        <v>0</v>
      </c>
      <c r="BK127" s="43"/>
      <c r="BL127" s="42"/>
      <c r="BP127" s="47">
        <v>0</v>
      </c>
      <c r="BQ127" s="43"/>
      <c r="BV127" s="47">
        <v>0</v>
      </c>
      <c r="BW127" s="43"/>
      <c r="BX127" s="42"/>
      <c r="CB127" s="47">
        <v>0</v>
      </c>
      <c r="CC127" s="43"/>
      <c r="CH127" s="47">
        <v>0</v>
      </c>
      <c r="CI127" s="43"/>
      <c r="CN127" s="47">
        <v>0</v>
      </c>
      <c r="CO127" s="43"/>
      <c r="CP127" s="42"/>
      <c r="CT127" s="47">
        <v>0</v>
      </c>
      <c r="CU127" s="43"/>
      <c r="CV127" s="42"/>
      <c r="CZ127" s="47">
        <v>0</v>
      </c>
      <c r="DA127" s="43"/>
      <c r="DG127" s="47">
        <v>0</v>
      </c>
      <c r="DH127" s="43"/>
      <c r="DK127" s="47">
        <v>0</v>
      </c>
      <c r="DL127" s="43"/>
      <c r="DM127" s="42"/>
      <c r="DQ127" s="47">
        <v>0</v>
      </c>
      <c r="DR127" s="43"/>
      <c r="DW127" s="47">
        <v>0</v>
      </c>
      <c r="DX127" s="43"/>
      <c r="EC127" s="47">
        <v>0</v>
      </c>
      <c r="ED127" s="43"/>
      <c r="EE127" s="42"/>
      <c r="EI127" s="47">
        <v>0</v>
      </c>
      <c r="EJ127" s="43"/>
      <c r="EO127" s="47">
        <v>0</v>
      </c>
      <c r="EP127" s="43"/>
      <c r="EQ127" s="42"/>
      <c r="EU127" s="47">
        <v>0</v>
      </c>
      <c r="EV127" s="43"/>
      <c r="EW127" s="42"/>
      <c r="FC127" s="47">
        <v>0</v>
      </c>
      <c r="FD127" s="43"/>
      <c r="FE127" s="42"/>
      <c r="FI127" s="47">
        <v>0</v>
      </c>
      <c r="FJ127" s="43"/>
      <c r="FQ127" s="47">
        <v>0</v>
      </c>
      <c r="FR127" s="43"/>
      <c r="FS127" s="42"/>
      <c r="FW127" s="47">
        <v>0</v>
      </c>
      <c r="FX127" s="43"/>
      <c r="FY127" s="42"/>
      <c r="GC127" s="47">
        <v>0</v>
      </c>
      <c r="GD127" s="43"/>
      <c r="GE127" s="42"/>
      <c r="GI127" s="47">
        <v>0</v>
      </c>
      <c r="GJ127" s="43"/>
      <c r="GQ127" s="47">
        <v>0</v>
      </c>
      <c r="GR127" s="43"/>
      <c r="GX127" s="47">
        <v>0</v>
      </c>
      <c r="GY127" s="43"/>
      <c r="GZ127" s="42"/>
      <c r="HC127" s="47">
        <v>0</v>
      </c>
      <c r="HD127" s="43"/>
      <c r="HE127" s="42"/>
      <c r="HH127" s="47">
        <v>0</v>
      </c>
      <c r="HI127" s="43"/>
      <c r="HN127" s="47">
        <v>0</v>
      </c>
      <c r="HO127" s="43"/>
      <c r="HP127" s="42"/>
      <c r="HU127" s="47">
        <v>0</v>
      </c>
      <c r="HV127" s="43"/>
      <c r="IA127" s="47">
        <v>0</v>
      </c>
      <c r="IB127" s="43"/>
      <c r="IC127" s="42"/>
      <c r="IG127" s="47">
        <v>0</v>
      </c>
      <c r="IH127" s="43"/>
      <c r="IM127" s="47">
        <v>0</v>
      </c>
      <c r="IN127" s="43"/>
      <c r="IO127" s="42"/>
      <c r="IQ127" s="47">
        <v>0</v>
      </c>
      <c r="IR127" s="43"/>
      <c r="IS127" s="42"/>
      <c r="IW127" s="47">
        <v>0</v>
      </c>
      <c r="IX127" s="43"/>
      <c r="IY127" s="42"/>
      <c r="JA127" s="47">
        <v>0</v>
      </c>
      <c r="JB127" s="43"/>
      <c r="JC127" s="42"/>
      <c r="JG127" s="47">
        <v>0</v>
      </c>
      <c r="JH127" s="43"/>
      <c r="JO127" s="47">
        <v>0</v>
      </c>
      <c r="JP127" s="43"/>
      <c r="JQ127" s="42"/>
      <c r="JS127">
        <v>5</v>
      </c>
      <c r="JT127">
        <v>4</v>
      </c>
      <c r="JU127" s="47">
        <v>1</v>
      </c>
      <c r="JV127" s="43"/>
      <c r="KA127" s="47">
        <v>0</v>
      </c>
      <c r="KB127" s="45"/>
      <c r="KG127" s="47">
        <v>0</v>
      </c>
      <c r="KH127" s="45"/>
      <c r="KM127" s="47">
        <v>0</v>
      </c>
      <c r="KN127" s="45"/>
      <c r="KS127" s="47">
        <v>0</v>
      </c>
      <c r="KT127" s="43"/>
      <c r="KW127" s="47">
        <v>0</v>
      </c>
      <c r="KX127" s="45"/>
      <c r="LA127">
        <v>10</v>
      </c>
      <c r="LB127">
        <v>11</v>
      </c>
      <c r="LC127" s="47">
        <v>-1</v>
      </c>
      <c r="LD127" s="43"/>
      <c r="LE127" s="40">
        <v>5</v>
      </c>
      <c r="LF127" s="44">
        <v>6</v>
      </c>
      <c r="LG127" s="47">
        <v>-1</v>
      </c>
      <c r="LH127" s="45"/>
      <c r="LK127">
        <v>5</v>
      </c>
      <c r="LL127">
        <v>4</v>
      </c>
      <c r="LM127" s="47">
        <v>1</v>
      </c>
      <c r="LN127" s="45"/>
      <c r="LS127" s="47">
        <v>0</v>
      </c>
      <c r="LT127" s="45"/>
      <c r="LY127" s="47">
        <v>0</v>
      </c>
      <c r="LZ127" s="45"/>
      <c r="MC127">
        <v>15</v>
      </c>
      <c r="MD127">
        <v>18</v>
      </c>
      <c r="ME127" s="47">
        <v>-3</v>
      </c>
      <c r="MF127" s="45"/>
      <c r="MG127" s="46"/>
      <c r="MM127" s="47">
        <v>0</v>
      </c>
      <c r="MN127" s="45"/>
      <c r="MO127" s="44">
        <v>0</v>
      </c>
      <c r="MP127" s="44">
        <v>0</v>
      </c>
      <c r="MQ127" s="44">
        <v>5.1360000000000001</v>
      </c>
      <c r="MR127" s="44">
        <v>6</v>
      </c>
      <c r="MS127" s="47">
        <v>-0.86399999999999988</v>
      </c>
      <c r="MT127" s="45"/>
      <c r="MU127" s="44">
        <v>0</v>
      </c>
      <c r="MV127" s="44">
        <v>0</v>
      </c>
      <c r="MW127" s="44">
        <v>5.0549999999999997</v>
      </c>
      <c r="MX127" s="44">
        <v>5</v>
      </c>
      <c r="MY127" s="47">
        <v>5.4999999999999723E-2</v>
      </c>
      <c r="MZ127" s="45"/>
      <c r="NA127" s="46">
        <v>0</v>
      </c>
      <c r="NB127" s="44">
        <v>0</v>
      </c>
      <c r="NC127" s="47">
        <v>0</v>
      </c>
      <c r="ND127" s="45"/>
      <c r="NE127" s="46">
        <v>0</v>
      </c>
      <c r="NF127" s="44">
        <v>0</v>
      </c>
      <c r="NG127" s="44">
        <v>10.077999999999999</v>
      </c>
      <c r="NH127" s="44">
        <v>0</v>
      </c>
      <c r="NI127" s="44">
        <v>8</v>
      </c>
      <c r="NJ127" s="47">
        <v>2.077999999999999</v>
      </c>
      <c r="NK127" s="45"/>
      <c r="NL127" s="46">
        <v>0</v>
      </c>
      <c r="NM127" s="44">
        <v>0</v>
      </c>
      <c r="NN127" s="44">
        <v>5.1310000000000002</v>
      </c>
      <c r="NO127" s="44">
        <v>7</v>
      </c>
      <c r="NP127" s="47">
        <v>-1.869</v>
      </c>
      <c r="NQ127" s="45"/>
      <c r="NR127" s="46">
        <v>10.363</v>
      </c>
      <c r="NS127" s="44">
        <v>10</v>
      </c>
      <c r="NT127" s="47">
        <v>0.36299999999999949</v>
      </c>
      <c r="NU127" s="45"/>
      <c r="NV127" s="46">
        <v>0</v>
      </c>
      <c r="NW127" s="44">
        <v>0</v>
      </c>
      <c r="NX127" s="44">
        <v>5.1820000000000004</v>
      </c>
      <c r="NY127" s="44">
        <v>5</v>
      </c>
      <c r="NZ127" s="47">
        <v>0.18200000000000041</v>
      </c>
      <c r="OA127" s="45"/>
      <c r="OB127" s="46">
        <v>0</v>
      </c>
      <c r="OC127" s="44">
        <v>0</v>
      </c>
      <c r="OD127" s="47">
        <v>0</v>
      </c>
      <c r="OE127" s="45"/>
      <c r="OF127" s="46">
        <v>0</v>
      </c>
      <c r="OG127" s="44">
        <v>0</v>
      </c>
      <c r="OH127" s="44">
        <v>0</v>
      </c>
      <c r="OI127" s="44">
        <v>0</v>
      </c>
      <c r="OJ127" s="47">
        <v>0</v>
      </c>
      <c r="OK127" s="45"/>
      <c r="OL127" s="44">
        <v>0</v>
      </c>
      <c r="OM127" s="43"/>
      <c r="ON127" s="44">
        <v>0</v>
      </c>
      <c r="OO127" s="44">
        <v>0</v>
      </c>
      <c r="OP127" s="47">
        <v>0</v>
      </c>
      <c r="OQ127" s="45"/>
      <c r="OR127" s="46">
        <v>0</v>
      </c>
      <c r="OS127" s="44">
        <v>0</v>
      </c>
      <c r="OT127" s="44">
        <v>0</v>
      </c>
      <c r="OU127" s="44">
        <v>0</v>
      </c>
      <c r="OV127" s="47">
        <v>0</v>
      </c>
      <c r="OW127" s="45"/>
      <c r="OX127" s="46">
        <v>0</v>
      </c>
      <c r="OY127" s="44">
        <v>0</v>
      </c>
      <c r="OZ127" s="44">
        <v>26.036999999999999</v>
      </c>
      <c r="PA127" s="44">
        <v>25</v>
      </c>
      <c r="PB127" s="47">
        <v>1.036999999999999</v>
      </c>
      <c r="PC127" s="45"/>
      <c r="PD127" s="46">
        <v>0</v>
      </c>
      <c r="PE127" s="44">
        <v>0</v>
      </c>
      <c r="PF127" s="44">
        <v>0</v>
      </c>
      <c r="PG127" s="44">
        <v>0</v>
      </c>
      <c r="PH127" s="47">
        <v>0</v>
      </c>
      <c r="PI127" s="45"/>
      <c r="PJ127" s="46">
        <v>0</v>
      </c>
      <c r="PK127" s="44">
        <v>0</v>
      </c>
      <c r="PL127" s="44">
        <v>0</v>
      </c>
      <c r="PM127" s="44">
        <v>0</v>
      </c>
      <c r="PN127" s="47">
        <v>0</v>
      </c>
      <c r="PO127" s="45"/>
      <c r="PP127" s="46">
        <v>0</v>
      </c>
      <c r="PQ127" s="44">
        <v>0</v>
      </c>
      <c r="PR127" s="44">
        <v>0</v>
      </c>
      <c r="PS127" s="44">
        <v>0</v>
      </c>
      <c r="PT127" s="47">
        <v>0</v>
      </c>
      <c r="PU127" s="45"/>
      <c r="PV127" s="46">
        <v>0</v>
      </c>
      <c r="PW127" s="44">
        <v>0</v>
      </c>
      <c r="PX127" s="47">
        <v>0</v>
      </c>
      <c r="PY127" s="45"/>
      <c r="PZ127" s="46">
        <v>0</v>
      </c>
      <c r="QA127" s="44">
        <v>0</v>
      </c>
      <c r="QB127" s="47">
        <v>0</v>
      </c>
      <c r="QC127" s="45"/>
      <c r="QD127" s="46">
        <v>0</v>
      </c>
      <c r="QE127" s="44">
        <v>0</v>
      </c>
      <c r="QF127" s="44">
        <v>0</v>
      </c>
      <c r="QG127" s="44">
        <v>0</v>
      </c>
      <c r="QH127" s="47">
        <v>0</v>
      </c>
      <c r="QI127" s="45"/>
      <c r="QJ127" s="46">
        <v>31.512</v>
      </c>
      <c r="QK127" s="44">
        <v>30</v>
      </c>
      <c r="QL127" s="47">
        <v>1.512</v>
      </c>
      <c r="QM127" s="45"/>
      <c r="QN127" s="46">
        <v>0</v>
      </c>
      <c r="QO127" s="44">
        <v>0</v>
      </c>
      <c r="QP127" s="44">
        <v>0</v>
      </c>
      <c r="QQ127" s="44">
        <v>0</v>
      </c>
      <c r="QR127" s="47">
        <v>0</v>
      </c>
      <c r="QS127" s="45"/>
      <c r="QT127" s="46">
        <v>0</v>
      </c>
      <c r="QU127" s="44">
        <v>0</v>
      </c>
      <c r="QV127" s="47">
        <v>0</v>
      </c>
      <c r="QW127" s="45"/>
      <c r="QX127" s="46">
        <v>0</v>
      </c>
      <c r="QY127" s="44">
        <v>0</v>
      </c>
      <c r="QZ127" s="44">
        <v>20.61</v>
      </c>
      <c r="RA127" s="44">
        <v>21</v>
      </c>
      <c r="RB127" s="47">
        <v>-0.39000000000000062</v>
      </c>
      <c r="RC127" s="45"/>
      <c r="RD127" s="42">
        <v>0</v>
      </c>
      <c r="RE127" s="44">
        <v>0</v>
      </c>
      <c r="RF127" s="44">
        <v>0</v>
      </c>
      <c r="RG127" s="44">
        <v>0</v>
      </c>
      <c r="RH127" s="47">
        <v>0</v>
      </c>
      <c r="RI127" s="45"/>
      <c r="RJ127" s="42">
        <v>31.831</v>
      </c>
      <c r="RK127" s="47">
        <v>31</v>
      </c>
      <c r="RL127" s="47">
        <v>0</v>
      </c>
      <c r="RM127" s="47">
        <v>0</v>
      </c>
      <c r="RN127" s="47">
        <v>0.83099999999999952</v>
      </c>
      <c r="RO127" s="43"/>
      <c r="RP127" s="42">
        <v>0</v>
      </c>
      <c r="RQ127" s="47">
        <v>0</v>
      </c>
      <c r="RR127" s="47">
        <v>0</v>
      </c>
      <c r="RS127" s="43"/>
      <c r="RT127" s="42">
        <v>0</v>
      </c>
      <c r="RU127" s="47">
        <v>0</v>
      </c>
      <c r="RV127" s="47">
        <v>0</v>
      </c>
      <c r="RW127" s="47">
        <v>0</v>
      </c>
      <c r="RX127" s="47">
        <v>0</v>
      </c>
      <c r="RY127" s="43"/>
      <c r="RZ127" s="42">
        <v>41.588000000000001</v>
      </c>
      <c r="SA127" s="47">
        <v>40</v>
      </c>
      <c r="SB127" s="47">
        <v>41.610999999999997</v>
      </c>
      <c r="SC127" s="47">
        <v>40</v>
      </c>
      <c r="SD127" s="47">
        <v>3.1989999999999981</v>
      </c>
      <c r="SE127" s="43"/>
      <c r="SF127" s="42">
        <v>0</v>
      </c>
      <c r="SG127" s="47">
        <v>0</v>
      </c>
      <c r="SH127" s="47">
        <v>0</v>
      </c>
      <c r="SI127" s="47">
        <v>0</v>
      </c>
      <c r="SJ127" s="47">
        <v>0</v>
      </c>
      <c r="SK127" s="43"/>
      <c r="SL127" s="42">
        <v>0</v>
      </c>
      <c r="SM127" s="47">
        <v>0</v>
      </c>
      <c r="SN127" s="47">
        <v>0</v>
      </c>
      <c r="SO127" s="43"/>
      <c r="SP127" s="42">
        <v>0</v>
      </c>
      <c r="SQ127" s="47">
        <v>0</v>
      </c>
      <c r="SR127" s="47">
        <v>0</v>
      </c>
      <c r="SS127" s="47">
        <v>0</v>
      </c>
      <c r="ST127" s="47">
        <v>0</v>
      </c>
      <c r="SU127" s="43"/>
    </row>
    <row r="128" spans="1:515" x14ac:dyDescent="0.25">
      <c r="A128" s="47" t="s">
        <v>435</v>
      </c>
      <c r="B128" s="41">
        <v>0.75</v>
      </c>
      <c r="J128" s="42"/>
      <c r="K128" s="51"/>
      <c r="L128" s="51"/>
      <c r="M128" s="51"/>
      <c r="N128" s="51">
        <f t="shared" si="12"/>
        <v>0</v>
      </c>
      <c r="O128" s="43"/>
      <c r="P128" s="46"/>
      <c r="Q128" s="51"/>
      <c r="R128" s="51"/>
      <c r="S128" s="51"/>
      <c r="T128" s="51">
        <f t="shared" si="13"/>
        <v>0</v>
      </c>
      <c r="U128" s="43"/>
      <c r="V128" s="42"/>
      <c r="W128" s="51"/>
      <c r="X128" s="51"/>
      <c r="Y128" s="51"/>
      <c r="Z128" s="51">
        <f t="shared" si="14"/>
        <v>0</v>
      </c>
      <c r="AA128" s="43"/>
      <c r="AB128" s="42"/>
      <c r="AC128" s="51"/>
      <c r="AD128" s="51"/>
      <c r="AE128" s="51"/>
      <c r="AF128" s="51">
        <v>0</v>
      </c>
      <c r="AG128" s="43"/>
      <c r="AH128" s="51"/>
      <c r="AL128" s="47">
        <v>0</v>
      </c>
      <c r="AM128" s="43"/>
      <c r="AN128" s="42"/>
      <c r="AR128" s="47">
        <v>0</v>
      </c>
      <c r="AS128" s="43"/>
      <c r="AX128" s="47">
        <v>0</v>
      </c>
      <c r="AY128" s="43"/>
      <c r="BD128" s="47">
        <v>0</v>
      </c>
      <c r="BE128" s="43"/>
      <c r="BF128" s="42"/>
      <c r="BJ128" s="47">
        <v>0</v>
      </c>
      <c r="BK128" s="43"/>
      <c r="BL128" s="42"/>
      <c r="BP128" s="47">
        <v>0</v>
      </c>
      <c r="BQ128" s="43"/>
      <c r="BV128" s="47">
        <v>0</v>
      </c>
      <c r="BW128" s="43"/>
      <c r="BX128" s="42"/>
      <c r="CB128" s="47">
        <v>0</v>
      </c>
      <c r="CC128" s="43"/>
      <c r="CH128" s="47">
        <v>0</v>
      </c>
      <c r="CI128" s="43"/>
      <c r="CN128" s="47">
        <v>0</v>
      </c>
      <c r="CO128" s="43"/>
      <c r="CP128" s="42"/>
      <c r="CT128" s="47">
        <v>0</v>
      </c>
      <c r="CU128" s="43"/>
      <c r="CV128" s="42"/>
      <c r="CZ128" s="47">
        <v>0</v>
      </c>
      <c r="DA128" s="43"/>
      <c r="DG128" s="47">
        <v>0</v>
      </c>
      <c r="DH128" s="43"/>
      <c r="DK128" s="47">
        <v>0</v>
      </c>
      <c r="DL128" s="43"/>
      <c r="DM128" s="42"/>
      <c r="DQ128" s="47">
        <v>0</v>
      </c>
      <c r="DR128" s="43"/>
      <c r="DW128" s="47">
        <v>0</v>
      </c>
      <c r="DX128" s="43"/>
      <c r="EC128" s="47">
        <v>0</v>
      </c>
      <c r="ED128" s="43"/>
      <c r="EE128" s="42"/>
      <c r="EI128" s="47">
        <v>0</v>
      </c>
      <c r="EJ128" s="43"/>
      <c r="EO128" s="47">
        <v>0</v>
      </c>
      <c r="EP128" s="43"/>
      <c r="EQ128" s="42"/>
      <c r="EU128" s="47">
        <v>0</v>
      </c>
      <c r="EV128" s="43"/>
      <c r="EW128" s="42"/>
      <c r="FC128" s="47">
        <v>0</v>
      </c>
      <c r="FD128" s="43"/>
      <c r="FE128" s="42"/>
      <c r="FI128" s="47">
        <v>0</v>
      </c>
      <c r="FJ128" s="43"/>
      <c r="FQ128" s="47">
        <v>0</v>
      </c>
      <c r="FR128" s="43"/>
      <c r="FS128" s="42"/>
      <c r="FW128" s="47">
        <v>0</v>
      </c>
      <c r="FX128" s="43"/>
      <c r="FY128" s="42"/>
      <c r="GC128" s="47">
        <v>0</v>
      </c>
      <c r="GD128" s="43"/>
      <c r="GE128" s="42"/>
      <c r="GI128" s="47">
        <v>0</v>
      </c>
      <c r="GJ128" s="43"/>
      <c r="GQ128" s="47">
        <v>0</v>
      </c>
      <c r="GR128" s="43"/>
      <c r="GX128" s="47">
        <v>0</v>
      </c>
      <c r="GY128" s="43"/>
      <c r="GZ128" s="42"/>
      <c r="HC128" s="47">
        <v>0</v>
      </c>
      <c r="HD128" s="43"/>
      <c r="HE128" s="42"/>
      <c r="HH128" s="47">
        <v>0</v>
      </c>
      <c r="HI128" s="43"/>
      <c r="HN128" s="47">
        <v>0</v>
      </c>
      <c r="HO128" s="43"/>
      <c r="HP128" s="42"/>
      <c r="HU128" s="47">
        <v>0</v>
      </c>
      <c r="HV128" s="43"/>
      <c r="IA128" s="47">
        <v>0</v>
      </c>
      <c r="IB128" s="43"/>
      <c r="IC128" s="42"/>
      <c r="IG128" s="47">
        <v>0</v>
      </c>
      <c r="IH128" s="43"/>
      <c r="IM128" s="47">
        <v>0</v>
      </c>
      <c r="IN128" s="43"/>
      <c r="IO128" s="42"/>
      <c r="IQ128" s="47">
        <v>0</v>
      </c>
      <c r="IR128" s="43"/>
      <c r="IS128" s="42"/>
      <c r="IW128" s="47">
        <v>0</v>
      </c>
      <c r="IX128" s="43"/>
      <c r="IY128" s="42"/>
      <c r="JA128" s="47">
        <v>0</v>
      </c>
      <c r="JB128" s="43"/>
      <c r="JC128" s="42"/>
      <c r="JG128" s="47">
        <v>0</v>
      </c>
      <c r="JH128" s="43"/>
      <c r="JO128" s="47">
        <v>0</v>
      </c>
      <c r="JP128" s="43"/>
      <c r="JQ128" s="42"/>
      <c r="JU128" s="47">
        <v>0</v>
      </c>
      <c r="JV128" s="43"/>
      <c r="KA128" s="47">
        <v>0</v>
      </c>
      <c r="KB128" s="45"/>
      <c r="KG128" s="47">
        <v>0</v>
      </c>
      <c r="KH128" s="45"/>
      <c r="KM128" s="47">
        <v>0</v>
      </c>
      <c r="KN128" s="45"/>
      <c r="KS128" s="47">
        <v>0</v>
      </c>
      <c r="KT128" s="43"/>
      <c r="KW128" s="47">
        <v>0</v>
      </c>
      <c r="KX128" s="45"/>
      <c r="LC128" s="47">
        <v>0</v>
      </c>
      <c r="LD128" s="43"/>
      <c r="LE128" s="46"/>
      <c r="LG128" s="47">
        <v>0</v>
      </c>
      <c r="LH128" s="45"/>
      <c r="LM128" s="47">
        <v>0</v>
      </c>
      <c r="LN128" s="45"/>
      <c r="LS128" s="47">
        <v>0</v>
      </c>
      <c r="LT128" s="45"/>
      <c r="LY128" s="47">
        <v>0</v>
      </c>
      <c r="LZ128" s="45"/>
      <c r="ME128" s="47">
        <v>0</v>
      </c>
      <c r="MF128" s="45"/>
      <c r="MG128" s="46"/>
      <c r="MM128" s="47">
        <v>0</v>
      </c>
      <c r="MN128" s="45"/>
      <c r="MO128" s="44">
        <v>0</v>
      </c>
      <c r="MP128" s="44">
        <v>0</v>
      </c>
      <c r="MQ128" s="44">
        <v>0</v>
      </c>
      <c r="MR128" s="44">
        <v>0</v>
      </c>
      <c r="MS128" s="47">
        <v>0</v>
      </c>
      <c r="MT128" s="45"/>
      <c r="MU128" s="44">
        <v>0</v>
      </c>
      <c r="MV128" s="44">
        <v>0</v>
      </c>
      <c r="MW128" s="44">
        <v>0</v>
      </c>
      <c r="MX128" s="44">
        <v>0</v>
      </c>
      <c r="MY128" s="47">
        <v>0</v>
      </c>
      <c r="MZ128" s="45"/>
      <c r="NA128" s="46">
        <v>0</v>
      </c>
      <c r="NB128" s="44">
        <v>0</v>
      </c>
      <c r="NC128" s="47">
        <v>0</v>
      </c>
      <c r="ND128" s="45"/>
      <c r="NE128" s="46">
        <v>0</v>
      </c>
      <c r="NF128" s="44">
        <v>0</v>
      </c>
      <c r="NG128" s="44">
        <v>0</v>
      </c>
      <c r="NH128" s="44">
        <v>0</v>
      </c>
      <c r="NI128" s="44">
        <v>0</v>
      </c>
      <c r="NJ128" s="47">
        <v>0</v>
      </c>
      <c r="NK128" s="45"/>
      <c r="NL128" s="46">
        <v>0</v>
      </c>
      <c r="NM128" s="44">
        <v>0</v>
      </c>
      <c r="NN128" s="44">
        <v>0</v>
      </c>
      <c r="NO128" s="44">
        <v>0</v>
      </c>
      <c r="NP128" s="47">
        <v>0</v>
      </c>
      <c r="NQ128" s="45"/>
      <c r="NR128" s="46">
        <v>0</v>
      </c>
      <c r="NS128" s="44">
        <v>0</v>
      </c>
      <c r="NT128" s="47">
        <v>0</v>
      </c>
      <c r="NU128" s="45"/>
      <c r="NV128" s="46">
        <v>0</v>
      </c>
      <c r="NW128" s="44">
        <v>0</v>
      </c>
      <c r="NX128" s="44">
        <v>0</v>
      </c>
      <c r="NY128" s="44">
        <v>0</v>
      </c>
      <c r="NZ128" s="47">
        <v>0</v>
      </c>
      <c r="OA128" s="45"/>
      <c r="OB128" s="46">
        <v>0</v>
      </c>
      <c r="OC128" s="44">
        <v>0</v>
      </c>
      <c r="OD128" s="47">
        <v>0</v>
      </c>
      <c r="OE128" s="45"/>
      <c r="OF128" s="46">
        <v>0</v>
      </c>
      <c r="OG128" s="44">
        <v>0</v>
      </c>
      <c r="OH128" s="44">
        <v>0</v>
      </c>
      <c r="OI128" s="44">
        <v>0</v>
      </c>
      <c r="OJ128" s="47">
        <v>0</v>
      </c>
      <c r="OK128" s="45"/>
      <c r="OL128" s="44">
        <v>0</v>
      </c>
      <c r="OM128" s="43"/>
      <c r="ON128" s="44">
        <v>0</v>
      </c>
      <c r="OO128" s="44">
        <v>0</v>
      </c>
      <c r="OP128" s="47">
        <v>0</v>
      </c>
      <c r="OQ128" s="45"/>
      <c r="OR128" s="46">
        <v>0</v>
      </c>
      <c r="OS128" s="44">
        <v>0</v>
      </c>
      <c r="OT128" s="44">
        <v>0</v>
      </c>
      <c r="OU128" s="44">
        <v>0</v>
      </c>
      <c r="OV128" s="47">
        <v>0</v>
      </c>
      <c r="OW128" s="45"/>
      <c r="OX128" s="46">
        <v>0</v>
      </c>
      <c r="OY128" s="44">
        <v>0</v>
      </c>
      <c r="OZ128" s="44">
        <v>0</v>
      </c>
      <c r="PA128" s="44">
        <v>0</v>
      </c>
      <c r="PB128" s="47">
        <v>0</v>
      </c>
      <c r="PC128" s="45"/>
      <c r="PD128" s="46">
        <v>0</v>
      </c>
      <c r="PE128" s="44">
        <v>0</v>
      </c>
      <c r="PF128" s="44">
        <v>0</v>
      </c>
      <c r="PG128" s="44">
        <v>0</v>
      </c>
      <c r="PH128" s="47">
        <v>0</v>
      </c>
      <c r="PI128" s="45"/>
      <c r="PJ128" s="46">
        <v>0</v>
      </c>
      <c r="PK128" s="44">
        <v>0</v>
      </c>
      <c r="PL128" s="44">
        <v>0</v>
      </c>
      <c r="PM128" s="44">
        <v>0</v>
      </c>
      <c r="PN128" s="47">
        <v>0</v>
      </c>
      <c r="PO128" s="45"/>
      <c r="PP128" s="46">
        <v>0</v>
      </c>
      <c r="PQ128" s="44">
        <v>0</v>
      </c>
      <c r="PR128" s="44">
        <v>0</v>
      </c>
      <c r="PS128" s="44">
        <v>0</v>
      </c>
      <c r="PT128" s="47">
        <v>0</v>
      </c>
      <c r="PU128" s="45"/>
      <c r="PV128" s="46">
        <v>0</v>
      </c>
      <c r="PW128" s="44">
        <v>0</v>
      </c>
      <c r="PX128" s="47">
        <v>0</v>
      </c>
      <c r="PY128" s="45"/>
      <c r="PZ128" s="46">
        <v>0</v>
      </c>
      <c r="QA128" s="44">
        <v>0</v>
      </c>
      <c r="QB128" s="47">
        <v>0</v>
      </c>
      <c r="QC128" s="45"/>
      <c r="QD128" s="46">
        <v>0</v>
      </c>
      <c r="QE128" s="44">
        <v>0</v>
      </c>
      <c r="QF128" s="44">
        <v>0</v>
      </c>
      <c r="QG128" s="44">
        <v>0</v>
      </c>
      <c r="QH128" s="47">
        <v>0</v>
      </c>
      <c r="QI128" s="45"/>
      <c r="QJ128" s="46">
        <v>0</v>
      </c>
      <c r="QK128" s="44">
        <v>0</v>
      </c>
      <c r="QL128" s="47">
        <v>0</v>
      </c>
      <c r="QM128" s="45"/>
      <c r="QN128" s="46">
        <v>0</v>
      </c>
      <c r="QO128" s="44">
        <v>0</v>
      </c>
      <c r="QP128" s="44">
        <v>0</v>
      </c>
      <c r="QQ128" s="44">
        <v>0</v>
      </c>
      <c r="QR128" s="47">
        <v>0</v>
      </c>
      <c r="QS128" s="45"/>
      <c r="QT128" s="46">
        <v>0</v>
      </c>
      <c r="QU128" s="44">
        <v>0</v>
      </c>
      <c r="QV128" s="47">
        <v>0</v>
      </c>
      <c r="QW128" s="45"/>
      <c r="QX128" s="46">
        <v>0</v>
      </c>
      <c r="QY128" s="44">
        <v>0</v>
      </c>
      <c r="QZ128" s="44">
        <v>0</v>
      </c>
      <c r="RA128" s="44">
        <v>0</v>
      </c>
      <c r="RB128" s="47">
        <v>0</v>
      </c>
      <c r="RC128" s="45"/>
      <c r="RD128" s="42">
        <v>0</v>
      </c>
      <c r="RE128" s="44">
        <v>0</v>
      </c>
      <c r="RF128" s="44">
        <v>0</v>
      </c>
      <c r="RG128" s="44">
        <v>0</v>
      </c>
      <c r="RH128" s="47">
        <v>0</v>
      </c>
      <c r="RI128" s="45"/>
      <c r="RJ128" s="42">
        <v>0</v>
      </c>
      <c r="RK128" s="47">
        <v>0</v>
      </c>
      <c r="RL128" s="47">
        <v>0</v>
      </c>
      <c r="RM128" s="47">
        <v>0</v>
      </c>
      <c r="RN128" s="47">
        <v>0</v>
      </c>
      <c r="RO128" s="43"/>
      <c r="RP128" s="42">
        <v>0</v>
      </c>
      <c r="RQ128" s="47">
        <v>0</v>
      </c>
      <c r="RR128" s="47">
        <v>0</v>
      </c>
      <c r="RS128" s="43"/>
      <c r="RT128" s="42">
        <v>0</v>
      </c>
      <c r="RU128" s="47">
        <v>0</v>
      </c>
      <c r="RV128" s="47">
        <v>0</v>
      </c>
      <c r="RW128" s="47">
        <v>0</v>
      </c>
      <c r="RX128" s="47">
        <v>0</v>
      </c>
      <c r="RY128" s="43"/>
      <c r="RZ128" s="42">
        <v>0</v>
      </c>
      <c r="SA128" s="47">
        <v>0</v>
      </c>
      <c r="SB128" s="47">
        <v>0</v>
      </c>
      <c r="SC128" s="47">
        <v>0</v>
      </c>
      <c r="SD128" s="47">
        <v>0</v>
      </c>
      <c r="SE128" s="43"/>
      <c r="SF128" s="42">
        <v>0</v>
      </c>
      <c r="SG128" s="47">
        <v>0</v>
      </c>
      <c r="SH128" s="47">
        <v>0</v>
      </c>
      <c r="SI128" s="47">
        <v>0</v>
      </c>
      <c r="SJ128" s="47">
        <v>0</v>
      </c>
      <c r="SK128" s="43"/>
      <c r="SL128" s="42">
        <v>48</v>
      </c>
      <c r="SM128" s="47">
        <v>50</v>
      </c>
      <c r="SN128" s="47">
        <v>-2</v>
      </c>
      <c r="SO128" s="43"/>
      <c r="SP128" s="42">
        <v>48</v>
      </c>
      <c r="SQ128" s="47">
        <v>50</v>
      </c>
      <c r="SR128" s="47">
        <v>102</v>
      </c>
      <c r="SS128" s="47">
        <v>100</v>
      </c>
      <c r="ST128" s="47">
        <v>0</v>
      </c>
      <c r="SU128" s="43"/>
    </row>
    <row r="129" spans="1:515" x14ac:dyDescent="0.25">
      <c r="A129" s="47" t="s">
        <v>436</v>
      </c>
      <c r="B129" s="41">
        <v>0.4</v>
      </c>
      <c r="J129" s="42"/>
      <c r="K129" s="51"/>
      <c r="L129" s="51"/>
      <c r="M129" s="51"/>
      <c r="N129" s="51">
        <f t="shared" si="12"/>
        <v>0</v>
      </c>
      <c r="O129" s="43"/>
      <c r="P129" s="46"/>
      <c r="Q129" s="51"/>
      <c r="R129" s="51"/>
      <c r="S129" s="51"/>
      <c r="T129" s="51">
        <f t="shared" si="13"/>
        <v>0</v>
      </c>
      <c r="U129" s="43"/>
      <c r="V129" s="42"/>
      <c r="W129" s="51"/>
      <c r="X129" s="51"/>
      <c r="Y129" s="51"/>
      <c r="Z129" s="51">
        <f t="shared" si="14"/>
        <v>0</v>
      </c>
      <c r="AA129" s="43"/>
      <c r="AB129" s="42"/>
      <c r="AC129" s="51"/>
      <c r="AD129" s="51"/>
      <c r="AE129" s="51"/>
      <c r="AF129" s="51">
        <v>0</v>
      </c>
      <c r="AG129" s="43"/>
      <c r="AH129" s="51"/>
      <c r="AL129" s="47">
        <v>0</v>
      </c>
      <c r="AM129" s="43"/>
      <c r="AN129" s="42"/>
      <c r="AR129" s="47">
        <v>0</v>
      </c>
      <c r="AS129" s="43"/>
      <c r="AX129" s="47">
        <v>0</v>
      </c>
      <c r="AY129" s="43"/>
      <c r="BD129" s="47">
        <v>0</v>
      </c>
      <c r="BE129" s="43"/>
      <c r="BF129" s="42"/>
      <c r="BJ129" s="47">
        <v>0</v>
      </c>
      <c r="BK129" s="43"/>
      <c r="BL129" s="42"/>
      <c r="BP129" s="47">
        <v>0</v>
      </c>
      <c r="BQ129" s="43"/>
      <c r="BV129" s="47">
        <v>0</v>
      </c>
      <c r="BW129" s="43"/>
      <c r="BX129" s="42"/>
      <c r="CB129" s="47">
        <v>0</v>
      </c>
      <c r="CC129" s="43"/>
      <c r="CH129" s="47">
        <v>0</v>
      </c>
      <c r="CI129" s="43"/>
      <c r="CN129" s="47">
        <v>0</v>
      </c>
      <c r="CO129" s="43"/>
      <c r="CP129" s="42"/>
      <c r="CT129" s="47">
        <v>0</v>
      </c>
      <c r="CU129" s="43"/>
      <c r="CV129" s="42"/>
      <c r="CZ129" s="47">
        <v>0</v>
      </c>
      <c r="DA129" s="43"/>
      <c r="DG129" s="47">
        <v>0</v>
      </c>
      <c r="DH129" s="43"/>
      <c r="DK129" s="47">
        <v>0</v>
      </c>
      <c r="DL129" s="43"/>
      <c r="DM129" s="42"/>
      <c r="DQ129" s="47">
        <v>0</v>
      </c>
      <c r="DR129" s="43"/>
      <c r="DW129" s="47">
        <v>0</v>
      </c>
      <c r="DX129" s="43"/>
      <c r="EC129" s="47">
        <v>0</v>
      </c>
      <c r="ED129" s="43"/>
      <c r="EE129" s="42"/>
      <c r="EI129" s="47">
        <v>0</v>
      </c>
      <c r="EJ129" s="43"/>
      <c r="EO129" s="47">
        <v>0</v>
      </c>
      <c r="EP129" s="43"/>
      <c r="EQ129" s="42"/>
      <c r="EU129" s="47">
        <v>0</v>
      </c>
      <c r="EV129" s="43"/>
      <c r="EW129" s="42"/>
      <c r="FC129" s="47">
        <v>0</v>
      </c>
      <c r="FD129" s="43"/>
      <c r="FE129" s="42"/>
      <c r="FI129" s="47">
        <v>0</v>
      </c>
      <c r="FJ129" s="43"/>
      <c r="FQ129" s="47">
        <v>0</v>
      </c>
      <c r="FR129" s="43"/>
      <c r="FS129" s="42"/>
      <c r="FW129" s="47">
        <v>0</v>
      </c>
      <c r="FX129" s="43"/>
      <c r="FY129" s="42"/>
      <c r="GC129" s="47">
        <v>0</v>
      </c>
      <c r="GD129" s="43"/>
      <c r="GE129" s="42"/>
      <c r="GI129" s="47">
        <v>0</v>
      </c>
      <c r="GJ129" s="43"/>
      <c r="GQ129" s="47">
        <v>0</v>
      </c>
      <c r="GR129" s="43"/>
      <c r="GX129" s="47">
        <v>0</v>
      </c>
      <c r="GY129" s="43"/>
      <c r="GZ129" s="42"/>
      <c r="HC129" s="47">
        <v>0</v>
      </c>
      <c r="HD129" s="43"/>
      <c r="HE129" s="42"/>
      <c r="HH129" s="47">
        <v>0</v>
      </c>
      <c r="HI129" s="43"/>
      <c r="HN129" s="47">
        <v>0</v>
      </c>
      <c r="HO129" s="43"/>
      <c r="HP129" s="42"/>
      <c r="HU129" s="47">
        <v>0</v>
      </c>
      <c r="HV129" s="43"/>
      <c r="IA129" s="47">
        <v>0</v>
      </c>
      <c r="IB129" s="43"/>
      <c r="IC129" s="42"/>
      <c r="IG129" s="47">
        <v>0</v>
      </c>
      <c r="IH129" s="43"/>
      <c r="IM129" s="47">
        <v>0</v>
      </c>
      <c r="IN129" s="43"/>
      <c r="IO129" s="42"/>
      <c r="IQ129" s="47">
        <v>0</v>
      </c>
      <c r="IR129" s="43"/>
      <c r="IS129" s="42"/>
      <c r="IW129" s="47">
        <v>0</v>
      </c>
      <c r="IX129" s="43"/>
      <c r="IY129" s="42"/>
      <c r="JA129" s="47">
        <v>0</v>
      </c>
      <c r="JB129" s="43"/>
      <c r="JC129" s="42"/>
      <c r="JG129" s="47">
        <v>0</v>
      </c>
      <c r="JH129" s="43"/>
      <c r="JO129" s="47">
        <v>0</v>
      </c>
      <c r="JP129" s="43"/>
      <c r="JQ129" s="42"/>
      <c r="JU129" s="47">
        <v>0</v>
      </c>
      <c r="JV129" s="43"/>
      <c r="JY129" s="48">
        <v>32</v>
      </c>
      <c r="KA129" s="47">
        <v>0</v>
      </c>
      <c r="KB129" s="45"/>
      <c r="KE129">
        <v>96</v>
      </c>
      <c r="KF129">
        <v>100</v>
      </c>
      <c r="KG129" s="47">
        <v>-4</v>
      </c>
      <c r="KH129" s="45"/>
      <c r="KI129">
        <v>24</v>
      </c>
      <c r="KJ129">
        <v>24</v>
      </c>
      <c r="KM129" s="47">
        <v>0</v>
      </c>
      <c r="KN129" s="45"/>
      <c r="KQ129">
        <v>48</v>
      </c>
      <c r="KR129">
        <v>50</v>
      </c>
      <c r="KS129" s="47">
        <v>-2</v>
      </c>
      <c r="KT129" s="43"/>
      <c r="KV129">
        <v>32</v>
      </c>
      <c r="KW129" s="50">
        <v>-32</v>
      </c>
      <c r="KX129" s="43">
        <v>12.8</v>
      </c>
      <c r="LC129" s="47">
        <v>0</v>
      </c>
      <c r="LD129" s="43"/>
      <c r="LE129" s="40">
        <v>16</v>
      </c>
      <c r="LF129" s="44">
        <v>16</v>
      </c>
      <c r="LG129" s="47">
        <v>0</v>
      </c>
      <c r="LH129" s="45"/>
      <c r="LK129">
        <v>56</v>
      </c>
      <c r="LL129">
        <v>56</v>
      </c>
      <c r="LM129" s="47">
        <v>0</v>
      </c>
      <c r="LN129" s="45"/>
      <c r="LS129" s="47">
        <v>0</v>
      </c>
      <c r="LT129" s="45"/>
      <c r="LV129">
        <v>16</v>
      </c>
      <c r="LY129" s="50">
        <v>-16</v>
      </c>
      <c r="LZ129" s="45">
        <v>6.4</v>
      </c>
      <c r="MA129">
        <v>40</v>
      </c>
      <c r="MB129">
        <v>40</v>
      </c>
      <c r="MD129">
        <v>90</v>
      </c>
      <c r="ME129" s="50">
        <v>-90</v>
      </c>
      <c r="MF129" s="45">
        <v>36</v>
      </c>
      <c r="MG129" s="46"/>
      <c r="MH129">
        <v>20</v>
      </c>
      <c r="MI129">
        <v>16</v>
      </c>
      <c r="MJ129">
        <v>20</v>
      </c>
      <c r="MM129" s="50">
        <v>-24</v>
      </c>
      <c r="MN129" s="45">
        <v>9.6000000000000014</v>
      </c>
      <c r="MO129" s="44">
        <v>0</v>
      </c>
      <c r="MP129" s="44">
        <v>0</v>
      </c>
      <c r="MQ129" s="44">
        <v>48</v>
      </c>
      <c r="MR129" s="44">
        <v>50</v>
      </c>
      <c r="MS129" s="47">
        <v>-2</v>
      </c>
      <c r="MT129" s="45"/>
      <c r="MU129" s="44">
        <v>0</v>
      </c>
      <c r="MV129" s="44">
        <v>0</v>
      </c>
      <c r="MW129" s="44">
        <v>88</v>
      </c>
      <c r="MX129" s="44">
        <v>90</v>
      </c>
      <c r="MY129" s="47">
        <v>-2</v>
      </c>
      <c r="MZ129" s="45"/>
      <c r="NA129" s="46">
        <v>0</v>
      </c>
      <c r="NB129" s="44">
        <v>0</v>
      </c>
      <c r="NC129" s="47">
        <v>0</v>
      </c>
      <c r="ND129" s="45"/>
      <c r="NE129" s="46">
        <v>32</v>
      </c>
      <c r="NF129" s="44">
        <v>32</v>
      </c>
      <c r="NG129" s="44">
        <v>32</v>
      </c>
      <c r="NH129" s="44">
        <v>0</v>
      </c>
      <c r="NI129" s="44">
        <v>32</v>
      </c>
      <c r="NJ129" s="47">
        <v>0</v>
      </c>
      <c r="NK129" s="45"/>
      <c r="NL129" s="46">
        <v>32</v>
      </c>
      <c r="NM129" s="44">
        <v>32</v>
      </c>
      <c r="NN129" s="44">
        <v>56</v>
      </c>
      <c r="NO129" s="44">
        <v>56</v>
      </c>
      <c r="NP129" s="47">
        <v>0</v>
      </c>
      <c r="NQ129" s="45"/>
      <c r="NR129" s="46">
        <v>16</v>
      </c>
      <c r="NS129" s="44">
        <v>20</v>
      </c>
      <c r="NT129" s="47">
        <v>-4</v>
      </c>
      <c r="NU129" s="45"/>
      <c r="NV129" s="46">
        <v>0</v>
      </c>
      <c r="NW129" s="44">
        <v>0</v>
      </c>
      <c r="NX129" s="44">
        <v>32</v>
      </c>
      <c r="NY129" s="44">
        <v>30</v>
      </c>
      <c r="NZ129" s="47">
        <v>2</v>
      </c>
      <c r="OA129" s="45"/>
      <c r="OB129" s="46">
        <v>40</v>
      </c>
      <c r="OC129" s="44">
        <v>40</v>
      </c>
      <c r="OD129" s="47">
        <v>0</v>
      </c>
      <c r="OE129" s="45"/>
      <c r="OF129" s="46">
        <v>80</v>
      </c>
      <c r="OG129" s="44">
        <v>80</v>
      </c>
      <c r="OH129" s="44">
        <v>0</v>
      </c>
      <c r="OI129" s="44">
        <v>0</v>
      </c>
      <c r="OJ129" s="47">
        <v>0</v>
      </c>
      <c r="OK129" s="45"/>
      <c r="OL129" s="44">
        <v>0</v>
      </c>
      <c r="OM129" s="43"/>
      <c r="OQ129" s="45"/>
      <c r="OR129" s="46"/>
      <c r="OW129" s="45"/>
      <c r="OX129" s="46"/>
      <c r="PC129" s="45"/>
      <c r="PD129" s="46"/>
      <c r="PI129" s="45"/>
      <c r="PJ129" s="46"/>
      <c r="PO129" s="45"/>
      <c r="PP129" s="46"/>
      <c r="PU129" s="45"/>
      <c r="PV129" s="46"/>
      <c r="PY129" s="45"/>
      <c r="PZ129" s="46"/>
      <c r="QC129" s="45"/>
      <c r="QD129" s="46"/>
      <c r="QI129" s="45"/>
      <c r="QJ129" s="46"/>
      <c r="QM129" s="45"/>
      <c r="QN129" s="46"/>
      <c r="QS129" s="45"/>
      <c r="QT129" s="46"/>
      <c r="QW129" s="45"/>
      <c r="QX129" s="46"/>
      <c r="RC129" s="45"/>
      <c r="RD129" s="42"/>
      <c r="RE129" s="44"/>
      <c r="RG129" s="44"/>
      <c r="RI129" s="45"/>
      <c r="RJ129" s="42"/>
      <c r="RO129" s="43"/>
      <c r="RP129" s="42"/>
      <c r="RS129" s="43"/>
      <c r="RT129" s="42"/>
      <c r="RY129" s="43"/>
      <c r="RZ129" s="42"/>
      <c r="SE129" s="43"/>
      <c r="SF129" s="42"/>
      <c r="SK129" s="43"/>
      <c r="SL129" s="42"/>
      <c r="SO129" s="43"/>
      <c r="SP129" s="42"/>
      <c r="SU129" s="43"/>
    </row>
    <row r="130" spans="1:515" x14ac:dyDescent="0.25">
      <c r="A130" s="47" t="s">
        <v>437</v>
      </c>
      <c r="B130" s="41">
        <v>1</v>
      </c>
      <c r="J130" s="42"/>
      <c r="K130" s="51"/>
      <c r="L130" s="51"/>
      <c r="M130" s="51"/>
      <c r="N130" s="51">
        <f t="shared" si="12"/>
        <v>0</v>
      </c>
      <c r="O130" s="43"/>
      <c r="P130" s="46"/>
      <c r="Q130" s="51"/>
      <c r="R130" s="51"/>
      <c r="S130" s="51"/>
      <c r="T130" s="51">
        <f t="shared" si="13"/>
        <v>0</v>
      </c>
      <c r="U130" s="43"/>
      <c r="V130" s="42"/>
      <c r="W130" s="51"/>
      <c r="X130" s="51"/>
      <c r="Y130" s="51"/>
      <c r="Z130" s="51">
        <f t="shared" si="14"/>
        <v>0</v>
      </c>
      <c r="AA130" s="43"/>
      <c r="AB130" s="42"/>
      <c r="AC130" s="51"/>
      <c r="AD130" s="51"/>
      <c r="AE130" s="51"/>
      <c r="AF130" s="51">
        <v>0</v>
      </c>
      <c r="AG130" s="43"/>
      <c r="AH130" s="51"/>
      <c r="AL130" s="47">
        <v>0</v>
      </c>
      <c r="AM130" s="43"/>
      <c r="AN130" s="42"/>
      <c r="AR130" s="47">
        <v>0</v>
      </c>
      <c r="AS130" s="43"/>
      <c r="AX130" s="47">
        <v>0</v>
      </c>
      <c r="AY130" s="43"/>
      <c r="BD130" s="47">
        <v>0</v>
      </c>
      <c r="BE130" s="43"/>
      <c r="BF130" s="42"/>
      <c r="BJ130" s="47">
        <v>0</v>
      </c>
      <c r="BK130" s="43"/>
      <c r="BL130" s="42"/>
      <c r="BP130" s="47">
        <v>0</v>
      </c>
      <c r="BQ130" s="43"/>
      <c r="BV130" s="47">
        <v>0</v>
      </c>
      <c r="BW130" s="43"/>
      <c r="BX130" s="42"/>
      <c r="CB130" s="47">
        <v>0</v>
      </c>
      <c r="CC130" s="43"/>
      <c r="CH130" s="47">
        <v>0</v>
      </c>
      <c r="CI130" s="43"/>
      <c r="CN130" s="47">
        <v>0</v>
      </c>
      <c r="CO130" s="43"/>
      <c r="CP130" s="42"/>
      <c r="CT130" s="47">
        <v>0</v>
      </c>
      <c r="CU130" s="43"/>
      <c r="CV130" s="42"/>
      <c r="CZ130" s="47">
        <v>0</v>
      </c>
      <c r="DA130" s="43"/>
      <c r="DG130" s="47">
        <v>0</v>
      </c>
      <c r="DH130" s="43"/>
      <c r="DK130" s="47">
        <v>0</v>
      </c>
      <c r="DL130" s="43"/>
      <c r="DM130" s="42"/>
      <c r="DQ130" s="47">
        <v>0</v>
      </c>
      <c r="DR130" s="43"/>
      <c r="DW130" s="47">
        <v>0</v>
      </c>
      <c r="DX130" s="43"/>
      <c r="EC130" s="47">
        <v>0</v>
      </c>
      <c r="ED130" s="43"/>
      <c r="EE130" s="42"/>
      <c r="EI130" s="47">
        <v>0</v>
      </c>
      <c r="EJ130" s="43"/>
      <c r="EO130" s="47">
        <v>0</v>
      </c>
      <c r="EP130" s="43"/>
      <c r="EQ130" s="42"/>
      <c r="EU130" s="47">
        <v>0</v>
      </c>
      <c r="EV130" s="43"/>
      <c r="EW130" s="42"/>
      <c r="FC130" s="47">
        <v>0</v>
      </c>
      <c r="FD130" s="43"/>
      <c r="FE130" s="42"/>
      <c r="FI130" s="47">
        <v>0</v>
      </c>
      <c r="FJ130" s="43"/>
      <c r="FQ130" s="47">
        <v>0</v>
      </c>
      <c r="FR130" s="43"/>
      <c r="FS130" s="42"/>
      <c r="FW130" s="47">
        <v>0</v>
      </c>
      <c r="FX130" s="43"/>
      <c r="FY130" s="42"/>
      <c r="GC130" s="47">
        <v>0</v>
      </c>
      <c r="GD130" s="43"/>
      <c r="GE130" s="42"/>
      <c r="GI130" s="47">
        <v>0</v>
      </c>
      <c r="GJ130" s="43"/>
      <c r="GQ130" s="47">
        <v>0</v>
      </c>
      <c r="GR130" s="43"/>
      <c r="GX130" s="47">
        <v>0</v>
      </c>
      <c r="GY130" s="43"/>
      <c r="GZ130" s="42"/>
      <c r="HC130" s="47">
        <v>0</v>
      </c>
      <c r="HD130" s="43"/>
      <c r="HE130" s="42"/>
      <c r="HH130" s="47">
        <v>0</v>
      </c>
      <c r="HI130" s="43"/>
      <c r="HN130" s="47">
        <v>0</v>
      </c>
      <c r="HO130" s="43"/>
      <c r="HP130" s="42"/>
      <c r="HU130" s="47">
        <v>0</v>
      </c>
      <c r="HV130" s="43"/>
      <c r="IA130" s="47">
        <v>0</v>
      </c>
      <c r="IB130" s="43"/>
      <c r="IC130" s="42"/>
      <c r="IG130" s="47">
        <v>0</v>
      </c>
      <c r="IH130" s="43"/>
      <c r="IM130" s="47">
        <v>0</v>
      </c>
      <c r="IN130" s="43"/>
      <c r="IO130" s="42"/>
      <c r="IQ130" s="47">
        <v>0</v>
      </c>
      <c r="IR130" s="43"/>
      <c r="IS130" s="42"/>
      <c r="IW130" s="47">
        <v>0</v>
      </c>
      <c r="IX130" s="43"/>
      <c r="IY130" s="42"/>
      <c r="JA130" s="47">
        <v>0</v>
      </c>
      <c r="JB130" s="43"/>
      <c r="JC130" s="42"/>
      <c r="JG130" s="47">
        <v>0</v>
      </c>
      <c r="JH130" s="43"/>
      <c r="JO130" s="47">
        <v>0</v>
      </c>
      <c r="JP130" s="43"/>
      <c r="JQ130" s="42"/>
      <c r="JU130" s="47">
        <v>0</v>
      </c>
      <c r="JV130" s="43"/>
      <c r="JY130" s="48">
        <v>48</v>
      </c>
      <c r="KA130" s="47">
        <v>0</v>
      </c>
      <c r="KB130" s="45"/>
      <c r="KE130">
        <v>122</v>
      </c>
      <c r="KF130">
        <v>120</v>
      </c>
      <c r="KG130" s="47">
        <v>2</v>
      </c>
      <c r="KH130" s="45"/>
      <c r="KI130">
        <v>12</v>
      </c>
      <c r="KJ130">
        <v>10</v>
      </c>
      <c r="KM130" s="47">
        <v>2</v>
      </c>
      <c r="KN130" s="45"/>
      <c r="KO130">
        <v>82</v>
      </c>
      <c r="KP130">
        <v>80</v>
      </c>
      <c r="KQ130">
        <v>61</v>
      </c>
      <c r="KR130">
        <v>60</v>
      </c>
      <c r="KS130" s="47">
        <v>3</v>
      </c>
      <c r="KT130" s="43"/>
      <c r="KV130">
        <v>20</v>
      </c>
      <c r="KW130" s="50">
        <v>-20</v>
      </c>
      <c r="KX130" s="43">
        <v>20</v>
      </c>
      <c r="KY130">
        <v>89</v>
      </c>
      <c r="KZ130">
        <v>90</v>
      </c>
      <c r="LA130">
        <v>82</v>
      </c>
      <c r="LB130">
        <v>80</v>
      </c>
      <c r="LC130" s="47">
        <v>1</v>
      </c>
      <c r="LD130" s="43"/>
      <c r="LE130" s="40">
        <v>49</v>
      </c>
      <c r="LF130" s="44">
        <v>50</v>
      </c>
      <c r="LG130" s="47">
        <v>-1</v>
      </c>
      <c r="LH130" s="45"/>
      <c r="LK130">
        <v>49</v>
      </c>
      <c r="LL130">
        <v>50</v>
      </c>
      <c r="LM130" s="47">
        <v>-1</v>
      </c>
      <c r="LN130" s="45"/>
      <c r="LS130" s="47">
        <v>0</v>
      </c>
      <c r="LT130" s="45"/>
      <c r="LU130">
        <v>48</v>
      </c>
      <c r="LV130">
        <v>50</v>
      </c>
      <c r="LW130">
        <v>170</v>
      </c>
      <c r="LX130">
        <v>170</v>
      </c>
      <c r="LY130" s="47">
        <v>-2</v>
      </c>
      <c r="LZ130" s="45"/>
      <c r="MA130">
        <v>33</v>
      </c>
      <c r="MB130">
        <v>30</v>
      </c>
      <c r="MC130">
        <v>32</v>
      </c>
      <c r="MD130">
        <v>30</v>
      </c>
      <c r="ME130" s="47">
        <v>5</v>
      </c>
      <c r="MF130" s="45"/>
      <c r="MG130" s="40">
        <v>40</v>
      </c>
      <c r="MH130">
        <v>40</v>
      </c>
      <c r="MI130">
        <v>40</v>
      </c>
      <c r="MJ130">
        <v>40</v>
      </c>
      <c r="MK130">
        <v>20</v>
      </c>
      <c r="ML130">
        <v>37</v>
      </c>
      <c r="MM130" s="50">
        <v>-17</v>
      </c>
      <c r="MN130" s="45">
        <v>17</v>
      </c>
      <c r="MO130" s="44">
        <v>0</v>
      </c>
      <c r="MP130" s="44">
        <v>0</v>
      </c>
      <c r="MQ130" s="44">
        <v>81.471000000000004</v>
      </c>
      <c r="MR130" s="44">
        <v>80</v>
      </c>
      <c r="MS130" s="47">
        <v>1.4710000000000041</v>
      </c>
      <c r="MT130" s="45"/>
      <c r="MU130" s="44">
        <v>0</v>
      </c>
      <c r="MV130" s="44">
        <v>0</v>
      </c>
      <c r="MW130" s="44">
        <v>16.242000000000001</v>
      </c>
      <c r="MX130" s="44">
        <v>15</v>
      </c>
      <c r="MY130" s="47">
        <v>1.2420000000000011</v>
      </c>
      <c r="MZ130" s="45"/>
      <c r="NA130" s="46">
        <v>150.30500000000001</v>
      </c>
      <c r="NB130" s="44">
        <v>150</v>
      </c>
      <c r="NC130" s="47">
        <v>0.30500000000000682</v>
      </c>
      <c r="ND130" s="45"/>
      <c r="NE130" s="46">
        <v>0</v>
      </c>
      <c r="NF130" s="44">
        <v>80</v>
      </c>
      <c r="NG130" s="44">
        <v>69.153999999999996</v>
      </c>
      <c r="NH130" s="44">
        <v>0</v>
      </c>
      <c r="NI130" s="44">
        <v>70</v>
      </c>
      <c r="NJ130" s="50">
        <v>-80.846000000000004</v>
      </c>
      <c r="NK130" s="45">
        <v>80.846000000000004</v>
      </c>
      <c r="NL130" s="46">
        <v>100.99</v>
      </c>
      <c r="NM130" s="44">
        <v>100</v>
      </c>
      <c r="NN130" s="44">
        <v>0</v>
      </c>
      <c r="NO130" s="44">
        <v>0</v>
      </c>
      <c r="NP130" s="47">
        <v>0.98999999999999488</v>
      </c>
      <c r="NQ130" s="45"/>
      <c r="NR130" s="46">
        <v>204.95699999999999</v>
      </c>
      <c r="NS130" s="44">
        <v>240</v>
      </c>
      <c r="NT130" s="50">
        <v>-35.043000000000013</v>
      </c>
      <c r="NU130" s="45">
        <v>35.043000000000013</v>
      </c>
      <c r="NV130" s="46">
        <v>0</v>
      </c>
      <c r="NW130" s="44">
        <v>0</v>
      </c>
      <c r="NX130" s="44">
        <v>40.381999999999998</v>
      </c>
      <c r="NY130" s="44">
        <v>40</v>
      </c>
      <c r="NZ130" s="47">
        <v>0.3819999999999979</v>
      </c>
      <c r="OA130" s="45"/>
      <c r="OB130" s="46">
        <v>40.387</v>
      </c>
      <c r="OC130" s="44">
        <v>40</v>
      </c>
      <c r="OD130" s="47">
        <v>0.38700000000000051</v>
      </c>
      <c r="OE130" s="45"/>
      <c r="OF130" s="46">
        <v>68.344999999999999</v>
      </c>
      <c r="OG130" s="44">
        <v>70</v>
      </c>
      <c r="OH130" s="44">
        <v>0</v>
      </c>
      <c r="OI130" s="44">
        <v>0</v>
      </c>
      <c r="OJ130" s="47">
        <v>-1.6550000000000009</v>
      </c>
      <c r="OK130" s="45"/>
      <c r="OL130" s="44">
        <v>0</v>
      </c>
      <c r="OM130" s="43"/>
      <c r="OQ130" s="45"/>
      <c r="OR130" s="46"/>
      <c r="OW130" s="45"/>
      <c r="OX130" s="46"/>
      <c r="PC130" s="45"/>
      <c r="PD130" s="46"/>
      <c r="PI130" s="45"/>
      <c r="PJ130" s="46"/>
      <c r="PO130" s="45"/>
      <c r="PP130" s="46"/>
      <c r="PU130" s="45"/>
      <c r="PV130" s="46"/>
      <c r="PY130" s="45"/>
      <c r="PZ130" s="46"/>
      <c r="QC130" s="45"/>
      <c r="QD130" s="46"/>
      <c r="QI130" s="45"/>
      <c r="QJ130" s="46"/>
      <c r="QM130" s="45"/>
      <c r="QN130" s="46"/>
      <c r="QS130" s="45"/>
      <c r="QT130" s="46"/>
      <c r="QW130" s="45"/>
      <c r="QX130" s="46"/>
      <c r="RC130" s="45"/>
      <c r="RD130" s="42"/>
      <c r="RE130" s="44"/>
      <c r="RG130" s="44"/>
      <c r="RI130" s="45"/>
      <c r="RJ130" s="42"/>
      <c r="RO130" s="43"/>
      <c r="RP130" s="42"/>
      <c r="RS130" s="43"/>
      <c r="RT130" s="42"/>
      <c r="RY130" s="43"/>
      <c r="RZ130" s="42"/>
      <c r="SE130" s="43"/>
      <c r="SF130" s="42"/>
      <c r="SK130" s="43"/>
      <c r="SL130" s="42"/>
      <c r="SO130" s="43"/>
      <c r="SP130" s="42"/>
      <c r="SU130" s="43"/>
    </row>
    <row r="131" spans="1:515" x14ac:dyDescent="0.25">
      <c r="A131" s="47" t="s">
        <v>438</v>
      </c>
      <c r="B131" s="41">
        <v>0.66</v>
      </c>
      <c r="J131" s="42"/>
      <c r="K131" s="51"/>
      <c r="L131" s="51"/>
      <c r="M131" s="51"/>
      <c r="N131" s="51">
        <f t="shared" si="12"/>
        <v>0</v>
      </c>
      <c r="O131" s="43"/>
      <c r="P131" s="46"/>
      <c r="Q131" s="51"/>
      <c r="R131" s="51"/>
      <c r="S131" s="51"/>
      <c r="T131" s="51">
        <f t="shared" si="13"/>
        <v>0</v>
      </c>
      <c r="U131" s="43"/>
      <c r="V131" s="42"/>
      <c r="W131" s="51"/>
      <c r="X131" s="51"/>
      <c r="Y131" s="51"/>
      <c r="Z131" s="51">
        <f t="shared" si="14"/>
        <v>0</v>
      </c>
      <c r="AA131" s="43"/>
      <c r="AB131" s="42"/>
      <c r="AC131" s="51"/>
      <c r="AD131" s="51"/>
      <c r="AE131" s="51"/>
      <c r="AF131" s="51">
        <v>0</v>
      </c>
      <c r="AG131" s="43"/>
      <c r="AH131" s="51"/>
      <c r="AL131" s="47">
        <v>0</v>
      </c>
      <c r="AM131" s="43"/>
      <c r="AN131" s="42"/>
      <c r="AR131" s="47">
        <v>0</v>
      </c>
      <c r="AS131" s="43"/>
      <c r="AX131" s="47">
        <v>0</v>
      </c>
      <c r="AY131" s="43"/>
      <c r="BD131" s="47">
        <v>0</v>
      </c>
      <c r="BE131" s="43"/>
      <c r="BF131" s="42"/>
      <c r="BJ131" s="47">
        <v>0</v>
      </c>
      <c r="BK131" s="43"/>
      <c r="BL131" s="42"/>
      <c r="BP131" s="47">
        <v>0</v>
      </c>
      <c r="BQ131" s="43"/>
      <c r="BV131" s="47">
        <v>0</v>
      </c>
      <c r="BW131" s="43"/>
      <c r="BX131" s="42"/>
      <c r="CB131" s="47">
        <v>0</v>
      </c>
      <c r="CC131" s="43"/>
      <c r="CH131" s="47">
        <v>0</v>
      </c>
      <c r="CI131" s="43"/>
      <c r="CN131" s="47">
        <v>0</v>
      </c>
      <c r="CO131" s="43"/>
      <c r="CP131" s="42"/>
      <c r="CT131" s="47">
        <v>0</v>
      </c>
      <c r="CU131" s="43"/>
      <c r="CV131" s="42"/>
      <c r="CZ131" s="47">
        <v>0</v>
      </c>
      <c r="DA131" s="43"/>
      <c r="DG131" s="47">
        <v>0</v>
      </c>
      <c r="DH131" s="43"/>
      <c r="DK131" s="47">
        <v>0</v>
      </c>
      <c r="DL131" s="43"/>
      <c r="DM131" s="42"/>
      <c r="DQ131" s="47">
        <v>0</v>
      </c>
      <c r="DR131" s="43"/>
      <c r="DW131" s="47">
        <v>0</v>
      </c>
      <c r="DX131" s="43"/>
      <c r="EC131" s="47">
        <v>0</v>
      </c>
      <c r="ED131" s="43"/>
      <c r="EE131" s="42"/>
      <c r="EI131" s="47">
        <v>0</v>
      </c>
      <c r="EJ131" s="43"/>
      <c r="EO131" s="47">
        <v>0</v>
      </c>
      <c r="EP131" s="43"/>
      <c r="EQ131" s="42"/>
      <c r="EU131" s="47">
        <v>0</v>
      </c>
      <c r="EV131" s="43"/>
      <c r="EW131" s="42"/>
      <c r="FC131" s="47">
        <v>0</v>
      </c>
      <c r="FD131" s="43"/>
      <c r="FE131" s="42"/>
      <c r="FI131" s="47">
        <v>0</v>
      </c>
      <c r="FJ131" s="43"/>
      <c r="FQ131" s="47">
        <v>0</v>
      </c>
      <c r="FR131" s="43"/>
      <c r="FS131" s="42"/>
      <c r="FW131" s="47">
        <v>0</v>
      </c>
      <c r="FX131" s="43"/>
      <c r="FY131" s="42"/>
      <c r="GC131" s="47">
        <v>0</v>
      </c>
      <c r="GD131" s="43"/>
      <c r="GE131" s="42"/>
      <c r="GI131" s="47">
        <v>0</v>
      </c>
      <c r="GJ131" s="43"/>
      <c r="GQ131" s="47">
        <v>0</v>
      </c>
      <c r="GR131" s="43"/>
      <c r="GX131" s="47">
        <v>0</v>
      </c>
      <c r="GY131" s="43"/>
      <c r="GZ131" s="42"/>
      <c r="HC131" s="47">
        <v>0</v>
      </c>
      <c r="HD131" s="43"/>
      <c r="HE131" s="42"/>
      <c r="HH131" s="47">
        <v>0</v>
      </c>
      <c r="HI131" s="43"/>
      <c r="HN131" s="47">
        <v>0</v>
      </c>
      <c r="HO131" s="43"/>
      <c r="HP131" s="42"/>
      <c r="HU131" s="47">
        <v>0</v>
      </c>
      <c r="HV131" s="43"/>
      <c r="IA131" s="47">
        <v>0</v>
      </c>
      <c r="IB131" s="43"/>
      <c r="IC131" s="42"/>
      <c r="IG131" s="47">
        <v>0</v>
      </c>
      <c r="IH131" s="43"/>
      <c r="IM131" s="47">
        <v>0</v>
      </c>
      <c r="IN131" s="43"/>
      <c r="IO131" s="42"/>
      <c r="IQ131" s="47">
        <v>0</v>
      </c>
      <c r="IR131" s="43"/>
      <c r="IS131" s="42"/>
      <c r="IW131" s="47">
        <v>0</v>
      </c>
      <c r="IX131" s="43"/>
      <c r="IY131" s="42"/>
      <c r="JA131" s="47">
        <v>0</v>
      </c>
      <c r="JB131" s="43"/>
      <c r="JC131" s="42"/>
      <c r="JG131" s="47">
        <v>0</v>
      </c>
      <c r="JH131" s="43"/>
      <c r="JO131" s="47">
        <v>0</v>
      </c>
      <c r="JP131" s="43"/>
      <c r="JQ131" s="42"/>
      <c r="JS131">
        <v>16</v>
      </c>
      <c r="JT131">
        <v>16</v>
      </c>
      <c r="JU131" s="47">
        <v>0</v>
      </c>
      <c r="JV131" s="43"/>
      <c r="JY131">
        <v>8</v>
      </c>
      <c r="JZ131">
        <v>8</v>
      </c>
      <c r="KA131" s="47">
        <v>0</v>
      </c>
      <c r="KB131" s="45"/>
      <c r="KG131" s="47">
        <v>0</v>
      </c>
      <c r="KH131" s="45"/>
      <c r="KM131" s="47">
        <v>0</v>
      </c>
      <c r="KN131" s="45"/>
      <c r="KS131" s="47">
        <v>0</v>
      </c>
      <c r="KT131" s="43"/>
      <c r="KW131" s="47">
        <v>0</v>
      </c>
      <c r="KX131" s="45"/>
      <c r="LC131" s="47">
        <v>0</v>
      </c>
      <c r="LD131" s="43"/>
      <c r="LE131" s="46"/>
      <c r="LG131" s="47">
        <v>0</v>
      </c>
      <c r="LH131" s="45"/>
      <c r="LK131">
        <v>72</v>
      </c>
      <c r="LL131">
        <v>70</v>
      </c>
      <c r="LM131" s="47">
        <v>2</v>
      </c>
      <c r="LN131" s="45"/>
      <c r="LO131">
        <v>16</v>
      </c>
      <c r="LP131">
        <v>16</v>
      </c>
      <c r="LS131" s="47">
        <v>0</v>
      </c>
      <c r="LT131" s="45"/>
      <c r="LY131" s="47">
        <v>0</v>
      </c>
      <c r="LZ131" s="45"/>
      <c r="MC131">
        <v>40</v>
      </c>
      <c r="MD131">
        <v>40</v>
      </c>
      <c r="ME131" s="47">
        <v>0</v>
      </c>
      <c r="MF131" s="45"/>
      <c r="MG131" s="46"/>
      <c r="MI131">
        <v>8</v>
      </c>
      <c r="MJ131">
        <v>8</v>
      </c>
      <c r="MM131" s="47">
        <v>0</v>
      </c>
      <c r="MN131" s="45"/>
      <c r="MO131" s="44">
        <v>0</v>
      </c>
      <c r="MP131" s="44">
        <v>0</v>
      </c>
      <c r="MQ131" s="44">
        <v>8</v>
      </c>
      <c r="MR131" s="44">
        <v>8</v>
      </c>
      <c r="MS131" s="47">
        <v>0</v>
      </c>
      <c r="MT131" s="45"/>
      <c r="MU131" s="44">
        <v>0</v>
      </c>
      <c r="MV131" s="44">
        <v>0</v>
      </c>
      <c r="MW131" s="44">
        <v>32</v>
      </c>
      <c r="MX131" s="44">
        <v>37</v>
      </c>
      <c r="MY131" s="47">
        <v>-5</v>
      </c>
      <c r="MZ131" s="45"/>
      <c r="NA131" s="46">
        <v>0</v>
      </c>
      <c r="NB131" s="44">
        <v>0</v>
      </c>
      <c r="NC131" s="47">
        <v>0</v>
      </c>
      <c r="ND131" s="45"/>
      <c r="NE131" s="46">
        <v>0</v>
      </c>
      <c r="NF131" s="44">
        <v>0</v>
      </c>
      <c r="NG131" s="44">
        <v>24</v>
      </c>
      <c r="NH131" s="44">
        <v>0</v>
      </c>
      <c r="NI131" s="44">
        <v>26</v>
      </c>
      <c r="NJ131" s="47">
        <v>-2</v>
      </c>
      <c r="NK131" s="45"/>
      <c r="NL131" s="46">
        <v>0</v>
      </c>
      <c r="NM131" s="44">
        <v>0</v>
      </c>
      <c r="NN131" s="44">
        <v>16</v>
      </c>
      <c r="NO131" s="44">
        <v>16</v>
      </c>
      <c r="NP131" s="47">
        <v>0</v>
      </c>
      <c r="NQ131" s="45"/>
      <c r="NR131" s="46">
        <v>16</v>
      </c>
      <c r="NS131" s="44">
        <v>20</v>
      </c>
      <c r="NT131" s="47">
        <v>-4</v>
      </c>
      <c r="NU131" s="45"/>
      <c r="NV131" s="46">
        <v>0</v>
      </c>
      <c r="NW131" s="44">
        <v>0</v>
      </c>
      <c r="NX131" s="44">
        <v>8</v>
      </c>
      <c r="NY131" s="44">
        <v>8</v>
      </c>
      <c r="NZ131" s="47">
        <v>0</v>
      </c>
      <c r="OA131" s="45"/>
      <c r="OB131" s="46">
        <v>0</v>
      </c>
      <c r="OC131" s="44">
        <v>0</v>
      </c>
      <c r="OD131" s="47">
        <v>0</v>
      </c>
      <c r="OE131" s="45"/>
      <c r="OF131" s="46">
        <v>0</v>
      </c>
      <c r="OG131" s="44">
        <v>0</v>
      </c>
      <c r="OH131" s="44">
        <v>16</v>
      </c>
      <c r="OI131" s="44">
        <v>16</v>
      </c>
      <c r="OJ131" s="47">
        <v>0</v>
      </c>
      <c r="OK131" s="45"/>
      <c r="OL131" s="44">
        <v>0</v>
      </c>
      <c r="OM131" s="43"/>
      <c r="ON131" s="44">
        <v>8</v>
      </c>
      <c r="OO131" s="44">
        <v>8</v>
      </c>
      <c r="OP131" s="47">
        <v>0</v>
      </c>
      <c r="OQ131" s="45"/>
      <c r="OR131" s="46">
        <v>0</v>
      </c>
      <c r="OS131" s="44">
        <v>0</v>
      </c>
      <c r="OT131" s="44">
        <v>24</v>
      </c>
      <c r="OU131" s="44">
        <v>27</v>
      </c>
      <c r="OV131" s="47">
        <v>-3</v>
      </c>
      <c r="OW131" s="45"/>
      <c r="OX131" s="46">
        <v>0</v>
      </c>
      <c r="OY131" s="44">
        <v>0</v>
      </c>
      <c r="OZ131" s="44">
        <v>0</v>
      </c>
      <c r="PA131" s="44">
        <v>0</v>
      </c>
      <c r="PB131" s="47">
        <v>0</v>
      </c>
      <c r="PC131" s="45"/>
      <c r="PD131" s="46">
        <v>0</v>
      </c>
      <c r="PE131" s="44">
        <v>0</v>
      </c>
      <c r="PF131" s="44">
        <v>0</v>
      </c>
      <c r="PG131" s="44">
        <v>0</v>
      </c>
      <c r="PH131" s="47">
        <v>0</v>
      </c>
      <c r="PI131" s="45"/>
      <c r="PJ131" s="46">
        <v>0</v>
      </c>
      <c r="PK131" s="44">
        <v>0</v>
      </c>
      <c r="PL131" s="44">
        <v>0</v>
      </c>
      <c r="PM131" s="44">
        <v>0</v>
      </c>
      <c r="PN131" s="47">
        <v>0</v>
      </c>
      <c r="PO131" s="45"/>
      <c r="PP131" s="46">
        <v>0</v>
      </c>
      <c r="PQ131" s="44">
        <v>0</v>
      </c>
      <c r="PR131" s="44">
        <v>0</v>
      </c>
      <c r="PS131" s="44">
        <v>0</v>
      </c>
      <c r="PT131" s="47">
        <v>0</v>
      </c>
      <c r="PU131" s="45"/>
      <c r="PV131" s="46">
        <v>40</v>
      </c>
      <c r="PW131" s="44">
        <v>40</v>
      </c>
      <c r="PX131" s="47">
        <v>0</v>
      </c>
      <c r="PY131" s="45"/>
      <c r="PZ131" s="46">
        <v>0</v>
      </c>
      <c r="QA131" s="44">
        <v>0</v>
      </c>
      <c r="QB131" s="47">
        <v>0</v>
      </c>
      <c r="QC131" s="45"/>
      <c r="QD131" s="46">
        <v>0</v>
      </c>
      <c r="QE131" s="44">
        <v>0</v>
      </c>
      <c r="QF131" s="44">
        <v>0</v>
      </c>
      <c r="QG131" s="44">
        <v>0</v>
      </c>
      <c r="QH131" s="47">
        <v>0</v>
      </c>
      <c r="QI131" s="45"/>
      <c r="QJ131" s="46">
        <v>24</v>
      </c>
      <c r="QK131" s="44">
        <v>25</v>
      </c>
      <c r="QL131" s="47">
        <v>-1</v>
      </c>
      <c r="QM131" s="45"/>
      <c r="QN131" s="46">
        <v>0</v>
      </c>
      <c r="QO131" s="44">
        <v>0</v>
      </c>
      <c r="QP131" s="44">
        <v>0</v>
      </c>
      <c r="QQ131" s="44">
        <v>0</v>
      </c>
      <c r="QR131" s="47">
        <v>0</v>
      </c>
      <c r="QS131" s="45"/>
      <c r="QT131" s="46">
        <v>0</v>
      </c>
      <c r="QU131" s="44">
        <v>0</v>
      </c>
      <c r="QV131" s="47">
        <v>0</v>
      </c>
      <c r="QW131" s="45"/>
      <c r="QX131" s="46">
        <v>0</v>
      </c>
      <c r="QY131" s="44">
        <v>0</v>
      </c>
      <c r="QZ131" s="44">
        <v>88</v>
      </c>
      <c r="RA131" s="44">
        <v>120</v>
      </c>
      <c r="RB131" s="50">
        <v>-32</v>
      </c>
      <c r="RC131" s="45">
        <v>21.12</v>
      </c>
      <c r="RD131" s="42">
        <v>0</v>
      </c>
      <c r="RE131" s="44">
        <v>0</v>
      </c>
      <c r="RF131" s="44">
        <v>8</v>
      </c>
      <c r="RG131" s="44">
        <v>10</v>
      </c>
      <c r="RH131" s="47">
        <v>-2</v>
      </c>
      <c r="RI131" s="45"/>
      <c r="RJ131" s="42">
        <v>0</v>
      </c>
      <c r="RK131" s="13">
        <v>85</v>
      </c>
      <c r="RL131" s="47">
        <v>0</v>
      </c>
      <c r="RM131" s="47">
        <v>0</v>
      </c>
      <c r="RN131" s="50">
        <v>-85</v>
      </c>
      <c r="RO131" s="43">
        <v>56.1</v>
      </c>
      <c r="RP131" s="42">
        <v>0</v>
      </c>
      <c r="RQ131" s="47">
        <v>0</v>
      </c>
      <c r="RR131" s="47">
        <v>0</v>
      </c>
      <c r="RS131" s="43"/>
      <c r="RT131" s="42">
        <v>0</v>
      </c>
      <c r="RU131" s="47">
        <v>0</v>
      </c>
      <c r="RV131" s="47">
        <v>0</v>
      </c>
      <c r="RW131" s="47">
        <v>0</v>
      </c>
      <c r="RX131" s="47">
        <v>0</v>
      </c>
      <c r="RY131" s="43"/>
      <c r="RZ131" s="42">
        <v>80</v>
      </c>
      <c r="SA131" s="47">
        <v>80</v>
      </c>
      <c r="SB131" s="47">
        <v>0</v>
      </c>
      <c r="SC131" s="47">
        <v>0</v>
      </c>
      <c r="SD131" s="47">
        <v>0</v>
      </c>
      <c r="SE131" s="43"/>
      <c r="SF131" s="42">
        <v>0</v>
      </c>
      <c r="SG131" s="47">
        <v>0</v>
      </c>
      <c r="SH131" s="47">
        <v>0</v>
      </c>
      <c r="SI131" s="47">
        <v>0</v>
      </c>
      <c r="SJ131" s="47">
        <v>0</v>
      </c>
      <c r="SK131" s="43"/>
      <c r="SL131" s="42">
        <v>0</v>
      </c>
      <c r="SM131" s="47">
        <v>0</v>
      </c>
      <c r="SN131" s="47">
        <v>0</v>
      </c>
      <c r="SO131" s="43"/>
      <c r="SP131" s="42">
        <v>0</v>
      </c>
      <c r="SQ131" s="47">
        <v>0</v>
      </c>
      <c r="SR131" s="47">
        <v>0</v>
      </c>
      <c r="SS131" s="47">
        <v>0</v>
      </c>
      <c r="ST131" s="47">
        <v>0</v>
      </c>
      <c r="SU131" s="43"/>
    </row>
    <row r="132" spans="1:515" x14ac:dyDescent="0.25">
      <c r="A132" s="47" t="s">
        <v>439</v>
      </c>
      <c r="B132" s="41">
        <v>0.66</v>
      </c>
      <c r="J132" s="42"/>
      <c r="K132" s="51"/>
      <c r="L132" s="51"/>
      <c r="M132" s="51"/>
      <c r="N132" s="51">
        <f t="shared" ref="N132:N195" si="15">J132+L132-K132-M132</f>
        <v>0</v>
      </c>
      <c r="O132" s="43"/>
      <c r="P132" s="46"/>
      <c r="Q132" s="51"/>
      <c r="R132" s="51"/>
      <c r="S132" s="51"/>
      <c r="T132" s="51">
        <f t="shared" ref="T132:T195" si="16">P132+R132-Q132-S132</f>
        <v>0</v>
      </c>
      <c r="U132" s="43"/>
      <c r="V132" s="42"/>
      <c r="W132" s="51"/>
      <c r="X132" s="51"/>
      <c r="Y132" s="51"/>
      <c r="Z132" s="51">
        <f t="shared" ref="Z132:Z195" si="17">V132+X132-W132-Y132</f>
        <v>0</v>
      </c>
      <c r="AA132" s="43"/>
      <c r="AB132" s="42"/>
      <c r="AC132" s="51"/>
      <c r="AD132" s="51"/>
      <c r="AE132" s="51"/>
      <c r="AF132" s="51">
        <v>0</v>
      </c>
      <c r="AG132" s="43"/>
      <c r="AH132" s="51"/>
      <c r="AL132" s="47">
        <v>0</v>
      </c>
      <c r="AM132" s="43"/>
      <c r="AN132" s="42"/>
      <c r="AR132" s="47">
        <v>0</v>
      </c>
      <c r="AS132" s="43"/>
      <c r="AX132" s="47">
        <v>0</v>
      </c>
      <c r="AY132" s="43"/>
      <c r="BD132" s="47">
        <v>0</v>
      </c>
      <c r="BE132" s="43"/>
      <c r="BF132" s="42"/>
      <c r="BJ132" s="47">
        <v>0</v>
      </c>
      <c r="BK132" s="43"/>
      <c r="BL132" s="42"/>
      <c r="BP132" s="47">
        <v>0</v>
      </c>
      <c r="BQ132" s="43"/>
      <c r="BV132" s="47">
        <v>0</v>
      </c>
      <c r="BW132" s="43"/>
      <c r="BX132" s="42"/>
      <c r="CB132" s="47">
        <v>0</v>
      </c>
      <c r="CC132" s="43"/>
      <c r="CH132" s="47">
        <v>0</v>
      </c>
      <c r="CI132" s="43"/>
      <c r="CN132" s="47">
        <v>0</v>
      </c>
      <c r="CO132" s="43"/>
      <c r="CP132" s="42"/>
      <c r="CT132" s="47">
        <v>0</v>
      </c>
      <c r="CU132" s="43"/>
      <c r="CV132" s="42"/>
      <c r="CZ132" s="47">
        <v>0</v>
      </c>
      <c r="DA132" s="43"/>
      <c r="DG132" s="47">
        <v>0</v>
      </c>
      <c r="DH132" s="43"/>
      <c r="DK132" s="47">
        <v>0</v>
      </c>
      <c r="DL132" s="43"/>
      <c r="DM132" s="42"/>
      <c r="DQ132" s="47">
        <v>0</v>
      </c>
      <c r="DR132" s="43"/>
      <c r="DW132" s="47">
        <v>0</v>
      </c>
      <c r="DX132" s="43"/>
      <c r="EC132" s="47">
        <v>0</v>
      </c>
      <c r="ED132" s="43"/>
      <c r="EE132" s="42"/>
      <c r="EI132" s="47">
        <v>0</v>
      </c>
      <c r="EJ132" s="43"/>
      <c r="EO132" s="47">
        <v>0</v>
      </c>
      <c r="EP132" s="43"/>
      <c r="EQ132" s="42"/>
      <c r="EU132" s="47">
        <v>0</v>
      </c>
      <c r="EV132" s="43"/>
      <c r="EW132" s="42"/>
      <c r="FC132" s="47">
        <v>0</v>
      </c>
      <c r="FD132" s="43"/>
      <c r="FE132" s="42"/>
      <c r="FI132" s="47">
        <v>0</v>
      </c>
      <c r="FJ132" s="43"/>
      <c r="FQ132" s="47">
        <v>0</v>
      </c>
      <c r="FR132" s="43"/>
      <c r="FS132" s="42"/>
      <c r="FW132" s="47">
        <v>0</v>
      </c>
      <c r="FX132" s="43"/>
      <c r="FY132" s="42"/>
      <c r="GC132" s="47">
        <v>0</v>
      </c>
      <c r="GD132" s="43"/>
      <c r="GE132" s="42"/>
      <c r="GI132" s="47">
        <v>0</v>
      </c>
      <c r="GJ132" s="43"/>
      <c r="GQ132" s="47">
        <v>0</v>
      </c>
      <c r="GR132" s="43"/>
      <c r="GX132" s="47">
        <v>0</v>
      </c>
      <c r="GY132" s="43"/>
      <c r="GZ132" s="42"/>
      <c r="HC132" s="47">
        <v>0</v>
      </c>
      <c r="HD132" s="43"/>
      <c r="HE132" s="42"/>
      <c r="HH132" s="47">
        <v>0</v>
      </c>
      <c r="HI132" s="43"/>
      <c r="HN132" s="47">
        <v>0</v>
      </c>
      <c r="HO132" s="43"/>
      <c r="HP132" s="42"/>
      <c r="HU132" s="47">
        <v>0</v>
      </c>
      <c r="HV132" s="43"/>
      <c r="IA132" s="47">
        <v>0</v>
      </c>
      <c r="IB132" s="43"/>
      <c r="IC132" s="42"/>
      <c r="IG132" s="47">
        <v>0</v>
      </c>
      <c r="IH132" s="43"/>
      <c r="IM132" s="47">
        <v>0</v>
      </c>
      <c r="IN132" s="43"/>
      <c r="IO132" s="42"/>
      <c r="IQ132" s="47">
        <v>0</v>
      </c>
      <c r="IR132" s="43"/>
      <c r="IS132" s="42"/>
      <c r="IW132" s="47">
        <v>0</v>
      </c>
      <c r="IX132" s="43"/>
      <c r="IY132" s="40">
        <v>8</v>
      </c>
      <c r="JA132" s="47">
        <v>8</v>
      </c>
      <c r="JB132" s="43"/>
      <c r="JC132" s="42"/>
      <c r="JG132" s="47">
        <v>0</v>
      </c>
      <c r="JH132" s="43"/>
      <c r="JO132" s="47">
        <v>0</v>
      </c>
      <c r="JP132" s="43"/>
      <c r="JQ132" s="42"/>
      <c r="JS132">
        <v>8</v>
      </c>
      <c r="JT132">
        <v>8</v>
      </c>
      <c r="JU132" s="47">
        <v>0</v>
      </c>
      <c r="JV132" s="43"/>
      <c r="JY132">
        <v>8</v>
      </c>
      <c r="JZ132">
        <v>4</v>
      </c>
      <c r="KA132" s="47">
        <v>4</v>
      </c>
      <c r="KB132" s="45"/>
      <c r="KG132" s="47">
        <v>0</v>
      </c>
      <c r="KH132" s="45"/>
      <c r="KM132" s="47">
        <v>0</v>
      </c>
      <c r="KN132" s="45"/>
      <c r="KS132" s="47">
        <v>0</v>
      </c>
      <c r="KT132" s="43"/>
      <c r="KU132">
        <v>8</v>
      </c>
      <c r="KV132">
        <v>8</v>
      </c>
      <c r="KW132" s="47">
        <v>0</v>
      </c>
      <c r="KX132" s="45"/>
      <c r="LA132">
        <v>16</v>
      </c>
      <c r="LB132">
        <v>21</v>
      </c>
      <c r="LC132" s="47">
        <v>-5</v>
      </c>
      <c r="LD132" s="43"/>
      <c r="LE132" s="46"/>
      <c r="LG132" s="47">
        <v>0</v>
      </c>
      <c r="LH132" s="45"/>
      <c r="LK132">
        <v>32</v>
      </c>
      <c r="LL132">
        <v>30</v>
      </c>
      <c r="LM132" s="47">
        <v>2</v>
      </c>
      <c r="LN132" s="45"/>
      <c r="LQ132">
        <v>32</v>
      </c>
      <c r="LR132">
        <v>32</v>
      </c>
      <c r="LS132" s="47">
        <v>0</v>
      </c>
      <c r="LT132" s="45"/>
      <c r="LY132" s="47">
        <v>0</v>
      </c>
      <c r="LZ132" s="45"/>
      <c r="MC132">
        <v>40</v>
      </c>
      <c r="MD132">
        <v>40</v>
      </c>
      <c r="ME132" s="47">
        <v>0</v>
      </c>
      <c r="MF132" s="45"/>
      <c r="MG132" s="46"/>
      <c r="MI132">
        <v>8</v>
      </c>
      <c r="MJ132">
        <v>8</v>
      </c>
      <c r="MM132" s="47">
        <v>0</v>
      </c>
      <c r="MN132" s="45"/>
      <c r="MO132" s="44">
        <v>0</v>
      </c>
      <c r="MP132" s="44">
        <v>0</v>
      </c>
      <c r="MQ132" s="44">
        <v>8</v>
      </c>
      <c r="MR132" s="44">
        <v>13</v>
      </c>
      <c r="MS132" s="47">
        <v>-5</v>
      </c>
      <c r="MT132" s="45"/>
      <c r="MU132" s="44">
        <v>0</v>
      </c>
      <c r="MV132" s="44">
        <v>0</v>
      </c>
      <c r="MW132" s="44">
        <v>8</v>
      </c>
      <c r="MX132" s="44">
        <v>32</v>
      </c>
      <c r="MY132" s="50">
        <v>-24</v>
      </c>
      <c r="MZ132" s="45">
        <v>15.84</v>
      </c>
      <c r="NA132" s="46">
        <v>8</v>
      </c>
      <c r="NB132" s="44">
        <v>9</v>
      </c>
      <c r="NC132" s="47">
        <v>-1</v>
      </c>
      <c r="ND132" s="45"/>
      <c r="NE132" s="46">
        <v>0</v>
      </c>
      <c r="NF132" s="44">
        <v>0</v>
      </c>
      <c r="NG132" s="44">
        <v>16</v>
      </c>
      <c r="NH132" s="44">
        <v>0</v>
      </c>
      <c r="NI132" s="44">
        <v>16</v>
      </c>
      <c r="NJ132" s="47">
        <v>0</v>
      </c>
      <c r="NK132" s="45"/>
      <c r="NL132" s="46">
        <v>0</v>
      </c>
      <c r="NM132" s="44">
        <v>0</v>
      </c>
      <c r="NN132" s="44">
        <v>32</v>
      </c>
      <c r="NO132" s="44">
        <v>32</v>
      </c>
      <c r="NP132" s="47">
        <v>0</v>
      </c>
      <c r="NQ132" s="45"/>
      <c r="NR132" s="46">
        <v>24</v>
      </c>
      <c r="NS132" s="44">
        <v>24</v>
      </c>
      <c r="NT132" s="47">
        <v>0</v>
      </c>
      <c r="NU132" s="45"/>
      <c r="NV132" s="46">
        <v>0</v>
      </c>
      <c r="NW132" s="44">
        <v>0</v>
      </c>
      <c r="NX132" s="44">
        <v>8</v>
      </c>
      <c r="NY132" s="44">
        <v>8</v>
      </c>
      <c r="NZ132" s="47">
        <v>0</v>
      </c>
      <c r="OA132" s="45"/>
      <c r="OB132" s="46">
        <v>8</v>
      </c>
      <c r="OC132" s="44">
        <v>8</v>
      </c>
      <c r="OD132" s="47">
        <v>0</v>
      </c>
      <c r="OE132" s="45"/>
      <c r="OF132" s="46">
        <v>0</v>
      </c>
      <c r="OG132" s="44">
        <v>0</v>
      </c>
      <c r="OH132" s="44">
        <v>0</v>
      </c>
      <c r="OI132" s="44">
        <v>0</v>
      </c>
      <c r="OJ132" s="47">
        <v>0</v>
      </c>
      <c r="OK132" s="45"/>
      <c r="OL132" s="44">
        <v>16</v>
      </c>
      <c r="OM132" s="43">
        <v>-10.56</v>
      </c>
      <c r="ON132" s="44">
        <v>0</v>
      </c>
      <c r="OO132" s="44">
        <v>16</v>
      </c>
      <c r="OP132" s="50">
        <v>-16</v>
      </c>
      <c r="OQ132" s="45">
        <v>10.56</v>
      </c>
      <c r="OR132" s="46">
        <v>0</v>
      </c>
      <c r="OS132" s="44">
        <v>0</v>
      </c>
      <c r="OT132" s="44">
        <v>0</v>
      </c>
      <c r="OU132" s="44">
        <v>0</v>
      </c>
      <c r="OV132" s="47">
        <v>0</v>
      </c>
      <c r="OW132" s="45"/>
      <c r="OX132" s="46">
        <v>0</v>
      </c>
      <c r="OY132" s="44">
        <v>0</v>
      </c>
      <c r="OZ132" s="44">
        <v>48</v>
      </c>
      <c r="PA132" s="44">
        <v>50</v>
      </c>
      <c r="PB132" s="47">
        <v>-2</v>
      </c>
      <c r="PC132" s="45"/>
      <c r="PD132" s="46">
        <v>0</v>
      </c>
      <c r="PE132" s="44">
        <v>0</v>
      </c>
      <c r="PF132" s="44">
        <v>8</v>
      </c>
      <c r="PG132" s="44">
        <v>8</v>
      </c>
      <c r="PH132" s="47">
        <v>0</v>
      </c>
      <c r="PI132" s="45"/>
      <c r="PJ132" s="46">
        <v>0</v>
      </c>
      <c r="PK132" s="44">
        <v>0</v>
      </c>
      <c r="PL132" s="44">
        <v>0</v>
      </c>
      <c r="PM132" s="33">
        <v>16</v>
      </c>
      <c r="PN132" s="50">
        <v>-16</v>
      </c>
      <c r="PO132" s="45">
        <v>10.56</v>
      </c>
      <c r="PP132" s="46">
        <v>0</v>
      </c>
      <c r="PQ132" s="44">
        <v>0</v>
      </c>
      <c r="PR132" s="44">
        <v>8</v>
      </c>
      <c r="PS132" s="44">
        <v>10</v>
      </c>
      <c r="PT132" s="47">
        <v>-2</v>
      </c>
      <c r="PU132" s="45"/>
      <c r="PV132" s="46">
        <v>24</v>
      </c>
      <c r="PW132" s="44">
        <v>25</v>
      </c>
      <c r="PX132" s="47">
        <v>-1</v>
      </c>
      <c r="PY132" s="45"/>
      <c r="PZ132" s="46">
        <v>8</v>
      </c>
      <c r="QA132" s="44">
        <v>10</v>
      </c>
      <c r="QB132" s="47">
        <v>-2</v>
      </c>
      <c r="QC132" s="45"/>
      <c r="QD132" s="46">
        <v>0</v>
      </c>
      <c r="QE132" s="44">
        <v>0</v>
      </c>
      <c r="QF132" s="44">
        <v>0</v>
      </c>
      <c r="QG132" s="44">
        <v>0</v>
      </c>
      <c r="QH132" s="47">
        <v>0</v>
      </c>
      <c r="QI132" s="45"/>
      <c r="QJ132" s="46">
        <v>32</v>
      </c>
      <c r="QK132" s="44">
        <v>30</v>
      </c>
      <c r="QL132" s="47">
        <v>2</v>
      </c>
      <c r="QM132" s="45"/>
      <c r="QN132" s="46">
        <v>0</v>
      </c>
      <c r="QO132" s="44">
        <v>0</v>
      </c>
      <c r="QP132" s="44">
        <v>0</v>
      </c>
      <c r="QQ132" s="44">
        <v>0</v>
      </c>
      <c r="QR132" s="47">
        <v>0</v>
      </c>
      <c r="QS132" s="45"/>
      <c r="QT132" s="46">
        <v>0</v>
      </c>
      <c r="QU132" s="44">
        <v>0</v>
      </c>
      <c r="QV132" s="47">
        <v>0</v>
      </c>
      <c r="QW132" s="45"/>
      <c r="QX132" s="46">
        <v>0</v>
      </c>
      <c r="QY132" s="44">
        <v>0</v>
      </c>
      <c r="QZ132" s="44">
        <v>48</v>
      </c>
      <c r="RA132" s="44">
        <v>50</v>
      </c>
      <c r="RB132" s="47">
        <v>-2</v>
      </c>
      <c r="RC132" s="45"/>
      <c r="RD132" s="42">
        <v>0</v>
      </c>
      <c r="RE132" s="44">
        <v>0</v>
      </c>
      <c r="RF132" s="44">
        <v>0</v>
      </c>
      <c r="RG132" s="33">
        <v>28</v>
      </c>
      <c r="RH132" s="50">
        <v>-28</v>
      </c>
      <c r="RI132" s="45">
        <v>18.48</v>
      </c>
      <c r="RJ132" s="42">
        <v>56</v>
      </c>
      <c r="RK132" s="47">
        <v>60</v>
      </c>
      <c r="RL132" s="47">
        <v>0</v>
      </c>
      <c r="RM132" s="47">
        <v>0</v>
      </c>
      <c r="RN132" s="47">
        <v>-4</v>
      </c>
      <c r="RO132" s="43"/>
      <c r="RP132" s="42">
        <v>0</v>
      </c>
      <c r="RQ132" s="47">
        <v>0</v>
      </c>
      <c r="RR132" s="47">
        <v>0</v>
      </c>
      <c r="RS132" s="43"/>
      <c r="RT132" s="42">
        <v>0</v>
      </c>
      <c r="RU132" s="47">
        <v>0</v>
      </c>
      <c r="RV132" s="47">
        <v>0</v>
      </c>
      <c r="RW132" s="47">
        <v>0</v>
      </c>
      <c r="RX132" s="47">
        <v>0</v>
      </c>
      <c r="RY132" s="43"/>
      <c r="RZ132" s="42">
        <v>80</v>
      </c>
      <c r="SA132" s="47">
        <v>80</v>
      </c>
      <c r="SB132" s="47">
        <v>0</v>
      </c>
      <c r="SC132" s="47">
        <v>0</v>
      </c>
      <c r="SD132" s="47">
        <v>0</v>
      </c>
      <c r="SE132" s="43"/>
      <c r="SF132" s="42">
        <v>0</v>
      </c>
      <c r="SG132" s="47">
        <v>0</v>
      </c>
      <c r="SH132" s="47">
        <v>0</v>
      </c>
      <c r="SI132" s="47">
        <v>0</v>
      </c>
      <c r="SJ132" s="47">
        <v>0</v>
      </c>
      <c r="SK132" s="43"/>
      <c r="SL132" s="42">
        <v>0</v>
      </c>
      <c r="SM132" s="47">
        <v>0</v>
      </c>
      <c r="SN132" s="47">
        <v>0</v>
      </c>
      <c r="SO132" s="43"/>
      <c r="SP132" s="42">
        <v>0</v>
      </c>
      <c r="SQ132" s="47">
        <v>0</v>
      </c>
      <c r="SR132" s="47">
        <v>0</v>
      </c>
      <c r="SS132" s="47">
        <v>0</v>
      </c>
      <c r="ST132" s="47">
        <v>0</v>
      </c>
      <c r="SU132" s="43"/>
    </row>
    <row r="133" spans="1:515" x14ac:dyDescent="0.25">
      <c r="A133" s="47" t="s">
        <v>440</v>
      </c>
      <c r="B133" s="41">
        <v>0.66</v>
      </c>
      <c r="J133" s="42"/>
      <c r="K133" s="51"/>
      <c r="L133" s="51"/>
      <c r="M133" s="51"/>
      <c r="N133" s="51">
        <f t="shared" si="15"/>
        <v>0</v>
      </c>
      <c r="O133" s="43"/>
      <c r="P133" s="46"/>
      <c r="Q133" s="51"/>
      <c r="R133" s="51"/>
      <c r="S133" s="51"/>
      <c r="T133" s="51">
        <f t="shared" si="16"/>
        <v>0</v>
      </c>
      <c r="U133" s="43"/>
      <c r="V133" s="42"/>
      <c r="W133" s="51"/>
      <c r="X133" s="51"/>
      <c r="Y133" s="51"/>
      <c r="Z133" s="51">
        <f t="shared" si="17"/>
        <v>0</v>
      </c>
      <c r="AA133" s="43"/>
      <c r="AB133" s="42"/>
      <c r="AC133" s="51"/>
      <c r="AD133" s="51"/>
      <c r="AE133" s="51"/>
      <c r="AF133" s="51">
        <v>0</v>
      </c>
      <c r="AG133" s="43"/>
      <c r="AH133" s="51"/>
      <c r="AL133" s="47">
        <v>0</v>
      </c>
      <c r="AM133" s="43"/>
      <c r="AN133" s="42"/>
      <c r="AR133" s="47">
        <v>0</v>
      </c>
      <c r="AS133" s="43"/>
      <c r="AX133" s="47">
        <v>0</v>
      </c>
      <c r="AY133" s="43"/>
      <c r="BD133" s="47">
        <v>0</v>
      </c>
      <c r="BE133" s="43"/>
      <c r="BF133" s="42"/>
      <c r="BJ133" s="47">
        <v>0</v>
      </c>
      <c r="BK133" s="43"/>
      <c r="BL133" s="42"/>
      <c r="BP133" s="47">
        <v>0</v>
      </c>
      <c r="BQ133" s="43"/>
      <c r="BV133" s="47">
        <v>0</v>
      </c>
      <c r="BW133" s="43"/>
      <c r="BX133" s="42"/>
      <c r="CB133" s="47">
        <v>0</v>
      </c>
      <c r="CC133" s="43"/>
      <c r="CH133" s="47">
        <v>0</v>
      </c>
      <c r="CI133" s="43"/>
      <c r="CN133" s="47">
        <v>0</v>
      </c>
      <c r="CO133" s="43"/>
      <c r="CP133" s="42"/>
      <c r="CT133" s="47">
        <v>0</v>
      </c>
      <c r="CU133" s="43"/>
      <c r="CV133" s="42"/>
      <c r="CZ133" s="47">
        <v>0</v>
      </c>
      <c r="DA133" s="43"/>
      <c r="DG133" s="47">
        <v>0</v>
      </c>
      <c r="DH133" s="43"/>
      <c r="DK133" s="47">
        <v>0</v>
      </c>
      <c r="DL133" s="43"/>
      <c r="DM133" s="42"/>
      <c r="DQ133" s="47">
        <v>0</v>
      </c>
      <c r="DR133" s="43"/>
      <c r="DW133" s="47">
        <v>0</v>
      </c>
      <c r="DX133" s="43"/>
      <c r="EC133" s="47">
        <v>0</v>
      </c>
      <c r="ED133" s="43"/>
      <c r="EE133" s="42"/>
      <c r="EI133" s="47">
        <v>0</v>
      </c>
      <c r="EJ133" s="43"/>
      <c r="EO133" s="47">
        <v>0</v>
      </c>
      <c r="EP133" s="43"/>
      <c r="EQ133" s="42"/>
      <c r="EU133" s="47">
        <v>0</v>
      </c>
      <c r="EV133" s="43"/>
      <c r="EW133" s="42"/>
      <c r="FC133" s="47">
        <v>0</v>
      </c>
      <c r="FD133" s="43"/>
      <c r="FE133" s="42"/>
      <c r="FI133" s="47">
        <v>0</v>
      </c>
      <c r="FJ133" s="43"/>
      <c r="FQ133" s="47">
        <v>0</v>
      </c>
      <c r="FR133" s="43"/>
      <c r="FS133" s="42"/>
      <c r="FW133" s="47">
        <v>0</v>
      </c>
      <c r="FX133" s="43"/>
      <c r="FY133" s="42"/>
      <c r="GC133" s="47">
        <v>0</v>
      </c>
      <c r="GD133" s="43"/>
      <c r="GE133" s="42"/>
      <c r="GI133" s="47">
        <v>0</v>
      </c>
      <c r="GJ133" s="43"/>
      <c r="GQ133" s="47">
        <v>0</v>
      </c>
      <c r="GR133" s="43"/>
      <c r="GX133" s="47">
        <v>0</v>
      </c>
      <c r="GY133" s="43"/>
      <c r="GZ133" s="42"/>
      <c r="HC133" s="47">
        <v>0</v>
      </c>
      <c r="HD133" s="43"/>
      <c r="HE133" s="42"/>
      <c r="HH133" s="47">
        <v>0</v>
      </c>
      <c r="HI133" s="43"/>
      <c r="HN133" s="47">
        <v>0</v>
      </c>
      <c r="HO133" s="43"/>
      <c r="HP133" s="42"/>
      <c r="HU133" s="47">
        <v>0</v>
      </c>
      <c r="HV133" s="43"/>
      <c r="IA133" s="47">
        <v>0</v>
      </c>
      <c r="IB133" s="43"/>
      <c r="IC133" s="42"/>
      <c r="IG133" s="47">
        <v>0</v>
      </c>
      <c r="IH133" s="43"/>
      <c r="IM133" s="47">
        <v>0</v>
      </c>
      <c r="IN133" s="43"/>
      <c r="IO133" s="42"/>
      <c r="IQ133" s="47">
        <v>0</v>
      </c>
      <c r="IR133" s="43"/>
      <c r="IS133" s="42"/>
      <c r="IW133" s="47">
        <v>0</v>
      </c>
      <c r="IX133" s="43"/>
      <c r="IY133" s="42"/>
      <c r="JA133" s="47">
        <v>0</v>
      </c>
      <c r="JB133" s="43"/>
      <c r="JC133" s="42"/>
      <c r="JG133" s="47">
        <v>0</v>
      </c>
      <c r="JH133" s="43"/>
      <c r="JO133" s="47">
        <v>0</v>
      </c>
      <c r="JP133" s="43"/>
      <c r="JQ133" s="42"/>
      <c r="JU133" s="47">
        <v>0</v>
      </c>
      <c r="JV133" s="43"/>
      <c r="KA133" s="47">
        <v>0</v>
      </c>
      <c r="KB133" s="45"/>
      <c r="KG133" s="47">
        <v>0</v>
      </c>
      <c r="KH133" s="45"/>
      <c r="KM133" s="47">
        <v>0</v>
      </c>
      <c r="KN133" s="45"/>
      <c r="KS133" s="47">
        <v>0</v>
      </c>
      <c r="KT133" s="43"/>
      <c r="KW133" s="47">
        <v>0</v>
      </c>
      <c r="KX133" s="45"/>
      <c r="LC133" s="47">
        <v>0</v>
      </c>
      <c r="LD133" s="43"/>
      <c r="LE133" s="46"/>
      <c r="LG133" s="47">
        <v>0</v>
      </c>
      <c r="LH133" s="45"/>
      <c r="LM133" s="47">
        <v>0</v>
      </c>
      <c r="LN133" s="45"/>
      <c r="LS133" s="47">
        <v>0</v>
      </c>
      <c r="LT133" s="45"/>
      <c r="LY133" s="47">
        <v>0</v>
      </c>
      <c r="LZ133" s="45"/>
      <c r="ME133" s="47">
        <v>0</v>
      </c>
      <c r="MF133" s="45"/>
      <c r="MG133" s="46"/>
      <c r="MM133" s="47">
        <v>0</v>
      </c>
      <c r="MN133" s="45"/>
      <c r="MO133" s="44">
        <v>0</v>
      </c>
      <c r="MP133" s="44">
        <v>0</v>
      </c>
      <c r="MQ133" s="44">
        <v>0</v>
      </c>
      <c r="MR133" s="44">
        <v>0</v>
      </c>
      <c r="MS133" s="47">
        <v>0</v>
      </c>
      <c r="MT133" s="45"/>
      <c r="MU133" s="44">
        <v>0</v>
      </c>
      <c r="MV133" s="44">
        <v>0</v>
      </c>
      <c r="MW133" s="44">
        <v>0</v>
      </c>
      <c r="MX133" s="44">
        <v>0</v>
      </c>
      <c r="MY133" s="47">
        <v>0</v>
      </c>
      <c r="MZ133" s="45"/>
      <c r="NA133" s="46">
        <v>0</v>
      </c>
      <c r="NB133" s="44">
        <v>0</v>
      </c>
      <c r="NC133" s="47">
        <v>0</v>
      </c>
      <c r="ND133" s="45"/>
      <c r="NE133" s="46">
        <v>0</v>
      </c>
      <c r="NF133" s="44">
        <v>0</v>
      </c>
      <c r="NG133" s="44">
        <v>0</v>
      </c>
      <c r="NH133" s="44">
        <v>0</v>
      </c>
      <c r="NI133" s="44">
        <v>0</v>
      </c>
      <c r="NJ133" s="47">
        <v>0</v>
      </c>
      <c r="NK133" s="45"/>
      <c r="NL133" s="46">
        <v>0</v>
      </c>
      <c r="NM133" s="44">
        <v>0</v>
      </c>
      <c r="NN133" s="44">
        <v>0</v>
      </c>
      <c r="NO133" s="44">
        <v>0</v>
      </c>
      <c r="NP133" s="47">
        <v>0</v>
      </c>
      <c r="NQ133" s="45"/>
      <c r="NR133" s="46">
        <v>0</v>
      </c>
      <c r="NS133" s="44">
        <v>0</v>
      </c>
      <c r="NT133" s="47">
        <v>0</v>
      </c>
      <c r="NU133" s="45"/>
      <c r="NV133" s="46">
        <v>0</v>
      </c>
      <c r="NW133" s="44">
        <v>0</v>
      </c>
      <c r="NX133" s="44">
        <v>0</v>
      </c>
      <c r="NY133" s="44">
        <v>0</v>
      </c>
      <c r="NZ133" s="47">
        <v>0</v>
      </c>
      <c r="OA133" s="45"/>
      <c r="OB133" s="46">
        <v>0</v>
      </c>
      <c r="OC133" s="44">
        <v>0</v>
      </c>
      <c r="OD133" s="47">
        <v>0</v>
      </c>
      <c r="OE133" s="45"/>
      <c r="OF133" s="46">
        <v>0</v>
      </c>
      <c r="OG133" s="44">
        <v>0</v>
      </c>
      <c r="OH133" s="44">
        <v>0</v>
      </c>
      <c r="OI133" s="44">
        <v>0</v>
      </c>
      <c r="OJ133" s="47">
        <v>0</v>
      </c>
      <c r="OK133" s="45"/>
      <c r="OL133" s="44">
        <v>0</v>
      </c>
      <c r="OM133" s="43"/>
      <c r="ON133" s="44">
        <v>0</v>
      </c>
      <c r="OO133" s="44">
        <v>0</v>
      </c>
      <c r="OP133" s="47">
        <v>0</v>
      </c>
      <c r="OQ133" s="45"/>
      <c r="OR133" s="46">
        <v>0</v>
      </c>
      <c r="OS133" s="44">
        <v>0</v>
      </c>
      <c r="OT133" s="44">
        <v>0</v>
      </c>
      <c r="OU133" s="44">
        <v>0</v>
      </c>
      <c r="OV133" s="47">
        <v>0</v>
      </c>
      <c r="OW133" s="45"/>
      <c r="OX133" s="46">
        <v>0</v>
      </c>
      <c r="OY133" s="44">
        <v>0</v>
      </c>
      <c r="OZ133" s="44">
        <v>0</v>
      </c>
      <c r="PA133" s="44">
        <v>0</v>
      </c>
      <c r="PB133" s="47">
        <v>0</v>
      </c>
      <c r="PC133" s="45"/>
      <c r="PD133" s="46">
        <v>0</v>
      </c>
      <c r="PE133" s="44">
        <v>0</v>
      </c>
      <c r="PF133" s="44">
        <v>0</v>
      </c>
      <c r="PG133" s="44">
        <v>0</v>
      </c>
      <c r="PH133" s="47">
        <v>0</v>
      </c>
      <c r="PI133" s="45"/>
      <c r="PJ133" s="46">
        <v>0</v>
      </c>
      <c r="PK133" s="44">
        <v>0</v>
      </c>
      <c r="PL133" s="44">
        <v>0</v>
      </c>
      <c r="PM133" s="44">
        <v>0</v>
      </c>
      <c r="PN133" s="47">
        <v>0</v>
      </c>
      <c r="PO133" s="45"/>
      <c r="PP133" s="46">
        <v>0</v>
      </c>
      <c r="PQ133" s="44">
        <v>0</v>
      </c>
      <c r="PR133" s="44">
        <v>0</v>
      </c>
      <c r="PS133" s="44">
        <v>0</v>
      </c>
      <c r="PT133" s="47">
        <v>0</v>
      </c>
      <c r="PU133" s="45"/>
      <c r="PV133" s="46">
        <v>8</v>
      </c>
      <c r="PW133" s="44">
        <v>10</v>
      </c>
      <c r="PX133" s="47">
        <v>-2</v>
      </c>
      <c r="PY133" s="45"/>
      <c r="PZ133" s="46">
        <v>32</v>
      </c>
      <c r="QA133" s="44">
        <v>30</v>
      </c>
      <c r="QB133" s="47">
        <v>2</v>
      </c>
      <c r="QC133" s="45"/>
      <c r="QD133" s="46">
        <v>0</v>
      </c>
      <c r="QE133" s="44">
        <v>0</v>
      </c>
      <c r="QF133" s="44">
        <v>0</v>
      </c>
      <c r="QG133" s="44">
        <v>0</v>
      </c>
      <c r="QH133" s="47">
        <v>0</v>
      </c>
      <c r="QI133" s="45"/>
      <c r="QJ133" s="46">
        <v>32</v>
      </c>
      <c r="QK133" s="44">
        <v>35</v>
      </c>
      <c r="QL133" s="47">
        <v>-3</v>
      </c>
      <c r="QM133" s="45"/>
      <c r="QN133" s="46">
        <v>0</v>
      </c>
      <c r="QO133" s="44">
        <v>0</v>
      </c>
      <c r="QP133" s="44">
        <v>0</v>
      </c>
      <c r="QQ133" s="44">
        <v>0</v>
      </c>
      <c r="QR133" s="47">
        <v>0</v>
      </c>
      <c r="QS133" s="45"/>
      <c r="QT133" s="46">
        <v>0</v>
      </c>
      <c r="QU133" s="44">
        <v>0</v>
      </c>
      <c r="QV133" s="47">
        <v>0</v>
      </c>
      <c r="QW133" s="45"/>
      <c r="QX133" s="46">
        <v>0</v>
      </c>
      <c r="QY133" s="44">
        <v>0</v>
      </c>
      <c r="QZ133" s="44">
        <v>0</v>
      </c>
      <c r="RA133" s="44">
        <v>0</v>
      </c>
      <c r="RB133" s="47">
        <v>0</v>
      </c>
      <c r="RC133" s="45"/>
      <c r="RD133" s="42">
        <v>0</v>
      </c>
      <c r="RE133" s="44">
        <v>0</v>
      </c>
      <c r="RF133" s="44">
        <v>0</v>
      </c>
      <c r="RG133" s="44">
        <v>0</v>
      </c>
      <c r="RH133" s="47">
        <v>0</v>
      </c>
      <c r="RI133" s="45"/>
      <c r="RJ133" s="42">
        <v>0</v>
      </c>
      <c r="RK133" s="47">
        <v>0</v>
      </c>
      <c r="RL133" s="47">
        <v>16</v>
      </c>
      <c r="RM133" s="47">
        <v>20</v>
      </c>
      <c r="RN133" s="47">
        <v>-4</v>
      </c>
      <c r="RO133" s="43"/>
      <c r="RP133" s="42">
        <v>40</v>
      </c>
      <c r="RQ133" s="47">
        <v>40</v>
      </c>
      <c r="RR133" s="47">
        <v>0</v>
      </c>
      <c r="RS133" s="43"/>
      <c r="RT133" s="42">
        <v>0</v>
      </c>
      <c r="RU133" s="47">
        <v>30</v>
      </c>
      <c r="RV133" s="47">
        <v>0</v>
      </c>
      <c r="RW133" s="47">
        <v>0</v>
      </c>
      <c r="RX133" s="50">
        <v>-30</v>
      </c>
      <c r="RY133" s="43">
        <v>19.8</v>
      </c>
      <c r="RZ133" s="42">
        <v>0</v>
      </c>
      <c r="SA133" s="47">
        <v>80</v>
      </c>
      <c r="SB133" s="47">
        <v>0</v>
      </c>
      <c r="SC133" s="47">
        <v>0</v>
      </c>
      <c r="SD133" s="50">
        <v>-80</v>
      </c>
      <c r="SE133" s="43">
        <v>52.8</v>
      </c>
      <c r="SF133" s="42">
        <v>0</v>
      </c>
      <c r="SG133" s="47">
        <v>0</v>
      </c>
      <c r="SH133" s="47">
        <v>0</v>
      </c>
      <c r="SI133" s="47">
        <v>0</v>
      </c>
      <c r="SJ133" s="47">
        <v>0</v>
      </c>
      <c r="SK133" s="43"/>
      <c r="SL133" s="42">
        <v>0</v>
      </c>
      <c r="SM133" s="47">
        <v>0</v>
      </c>
      <c r="SN133" s="47">
        <v>0</v>
      </c>
      <c r="SO133" s="43"/>
      <c r="SP133" s="42">
        <v>0</v>
      </c>
      <c r="SQ133" s="47">
        <v>0</v>
      </c>
      <c r="SR133" s="47">
        <v>0</v>
      </c>
      <c r="SS133" s="47">
        <v>0</v>
      </c>
      <c r="ST133" s="47">
        <v>0</v>
      </c>
      <c r="SU133" s="43"/>
    </row>
    <row r="134" spans="1:515" x14ac:dyDescent="0.25">
      <c r="A134" s="47" t="s">
        <v>441</v>
      </c>
      <c r="B134" s="41">
        <v>0.33</v>
      </c>
      <c r="J134" s="42"/>
      <c r="K134" s="51"/>
      <c r="L134" s="52">
        <v>32</v>
      </c>
      <c r="M134" s="52">
        <v>32</v>
      </c>
      <c r="N134" s="51">
        <f t="shared" si="15"/>
        <v>0</v>
      </c>
      <c r="O134" s="43"/>
      <c r="P134" s="40">
        <v>48</v>
      </c>
      <c r="Q134" s="52">
        <v>52</v>
      </c>
      <c r="R134" s="52">
        <v>40</v>
      </c>
      <c r="S134" s="52">
        <v>45</v>
      </c>
      <c r="T134" s="51">
        <f t="shared" si="16"/>
        <v>-9</v>
      </c>
      <c r="U134" s="43"/>
      <c r="V134" s="42"/>
      <c r="W134" s="51"/>
      <c r="X134" s="51"/>
      <c r="Y134" s="51"/>
      <c r="Z134" s="51">
        <f t="shared" si="17"/>
        <v>0</v>
      </c>
      <c r="AA134" s="43"/>
      <c r="AB134" s="42"/>
      <c r="AC134" s="51"/>
      <c r="AD134" s="52">
        <v>48</v>
      </c>
      <c r="AE134" s="56">
        <v>55</v>
      </c>
      <c r="AF134" s="51">
        <v>-7</v>
      </c>
      <c r="AG134" s="43"/>
      <c r="AH134" s="52">
        <v>8</v>
      </c>
      <c r="AI134">
        <v>8</v>
      </c>
      <c r="AL134" s="47">
        <v>0</v>
      </c>
      <c r="AM134" s="43"/>
      <c r="AN134" s="42"/>
      <c r="AP134">
        <v>16</v>
      </c>
      <c r="AQ134">
        <v>17</v>
      </c>
      <c r="AR134" s="47">
        <v>-1</v>
      </c>
      <c r="AS134" s="43"/>
      <c r="AV134">
        <v>8</v>
      </c>
      <c r="AW134">
        <v>6</v>
      </c>
      <c r="AX134" s="47">
        <v>2</v>
      </c>
      <c r="AY134" s="43"/>
      <c r="BB134">
        <v>72</v>
      </c>
      <c r="BC134">
        <v>75</v>
      </c>
      <c r="BD134" s="47">
        <v>-3</v>
      </c>
      <c r="BE134" s="43"/>
      <c r="BF134" s="42"/>
      <c r="BJ134" s="47">
        <v>0</v>
      </c>
      <c r="BK134" s="43"/>
      <c r="BL134" s="42"/>
      <c r="BP134" s="47">
        <v>0</v>
      </c>
      <c r="BQ134" s="43"/>
      <c r="BT134">
        <v>64</v>
      </c>
      <c r="BU134">
        <v>64</v>
      </c>
      <c r="BV134" s="47">
        <v>0</v>
      </c>
      <c r="BW134" s="43"/>
      <c r="BX134" s="42"/>
      <c r="CB134" s="47">
        <v>0</v>
      </c>
      <c r="CC134" s="43"/>
      <c r="CD134">
        <v>32</v>
      </c>
      <c r="CE134">
        <v>32</v>
      </c>
      <c r="CF134">
        <v>40</v>
      </c>
      <c r="CG134">
        <v>42</v>
      </c>
      <c r="CH134" s="47">
        <v>-2</v>
      </c>
      <c r="CI134" s="43"/>
      <c r="CN134" s="47">
        <v>0</v>
      </c>
      <c r="CO134" s="43"/>
      <c r="CP134" s="42"/>
      <c r="CR134">
        <v>32</v>
      </c>
      <c r="CS134">
        <v>61</v>
      </c>
      <c r="CT134" s="50">
        <v>-29</v>
      </c>
      <c r="CU134" s="43">
        <v>9.57</v>
      </c>
      <c r="CV134" s="42"/>
      <c r="CZ134" s="47">
        <v>0</v>
      </c>
      <c r="DA134" s="43"/>
      <c r="DE134">
        <v>112</v>
      </c>
      <c r="DF134">
        <v>114</v>
      </c>
      <c r="DG134" s="47">
        <v>-2</v>
      </c>
      <c r="DH134" s="43"/>
      <c r="DK134" s="47">
        <v>0</v>
      </c>
      <c r="DL134" s="43"/>
      <c r="DM134" s="40">
        <v>32</v>
      </c>
      <c r="DN134">
        <v>36</v>
      </c>
      <c r="DO134">
        <v>56</v>
      </c>
      <c r="DP134">
        <v>59</v>
      </c>
      <c r="DQ134" s="47">
        <v>-7</v>
      </c>
      <c r="DR134" s="43"/>
      <c r="DW134" s="47">
        <v>0</v>
      </c>
      <c r="DX134" s="43"/>
      <c r="EA134">
        <v>88</v>
      </c>
      <c r="EB134">
        <v>87</v>
      </c>
      <c r="EC134" s="47">
        <v>1</v>
      </c>
      <c r="ED134" s="43"/>
      <c r="EE134" s="42"/>
      <c r="EG134">
        <v>56</v>
      </c>
      <c r="EH134">
        <v>56</v>
      </c>
      <c r="EI134" s="47">
        <v>0</v>
      </c>
      <c r="EJ134" s="43"/>
      <c r="EO134" s="47">
        <v>0</v>
      </c>
      <c r="EP134" s="43"/>
      <c r="EQ134" s="42"/>
      <c r="ES134">
        <v>40</v>
      </c>
      <c r="ET134">
        <v>44</v>
      </c>
      <c r="EU134" s="47">
        <v>-4</v>
      </c>
      <c r="EV134" s="43"/>
      <c r="EW134" s="42"/>
      <c r="FA134">
        <v>24</v>
      </c>
      <c r="FB134">
        <v>24</v>
      </c>
      <c r="FC134" s="47">
        <v>0</v>
      </c>
      <c r="FD134" s="43"/>
      <c r="FE134" s="42"/>
      <c r="FG134">
        <v>56</v>
      </c>
      <c r="FH134">
        <v>60</v>
      </c>
      <c r="FI134" s="47">
        <v>-4</v>
      </c>
      <c r="FJ134" s="43"/>
      <c r="FQ134" s="47">
        <v>0</v>
      </c>
      <c r="FR134" s="43"/>
      <c r="FS134" s="42"/>
      <c r="FU134">
        <v>120</v>
      </c>
      <c r="FV134">
        <v>120</v>
      </c>
      <c r="FW134" s="47">
        <v>0</v>
      </c>
      <c r="FX134" s="43"/>
      <c r="FY134" s="42"/>
      <c r="GC134" s="47">
        <v>0</v>
      </c>
      <c r="GD134" s="43"/>
      <c r="GE134" s="42"/>
      <c r="GI134" s="47">
        <v>0</v>
      </c>
      <c r="GJ134" s="43"/>
      <c r="GM134">
        <v>40</v>
      </c>
      <c r="GN134">
        <v>40</v>
      </c>
      <c r="GO134">
        <v>56</v>
      </c>
      <c r="GP134">
        <v>56</v>
      </c>
      <c r="GQ134" s="47">
        <v>0</v>
      </c>
      <c r="GR134" s="43"/>
      <c r="GU134">
        <v>24</v>
      </c>
      <c r="GW134">
        <v>24</v>
      </c>
      <c r="GX134" s="47">
        <v>0</v>
      </c>
      <c r="GY134" s="43"/>
      <c r="GZ134" s="40">
        <v>8</v>
      </c>
      <c r="HB134" s="44">
        <v>5.7999999999999972</v>
      </c>
      <c r="HC134" s="47">
        <v>2.2000000000000028</v>
      </c>
      <c r="HD134" s="43"/>
      <c r="HE134" s="40">
        <v>40</v>
      </c>
      <c r="HG134">
        <v>38</v>
      </c>
      <c r="HH134" s="47">
        <v>2</v>
      </c>
      <c r="HI134" s="43"/>
      <c r="HN134" s="47">
        <v>0</v>
      </c>
      <c r="HO134" s="43"/>
      <c r="HP134" s="40">
        <v>40</v>
      </c>
      <c r="HR134">
        <v>40</v>
      </c>
      <c r="HS134">
        <v>40</v>
      </c>
      <c r="HT134">
        <v>40</v>
      </c>
      <c r="HU134" s="47">
        <v>0</v>
      </c>
      <c r="HV134" s="43"/>
      <c r="HY134">
        <v>40</v>
      </c>
      <c r="HZ134">
        <v>40</v>
      </c>
      <c r="IA134" s="47">
        <v>0</v>
      </c>
      <c r="IB134" s="43"/>
      <c r="IC134" s="42"/>
      <c r="IG134" s="47">
        <v>0</v>
      </c>
      <c r="IH134" s="43"/>
      <c r="IK134">
        <v>32</v>
      </c>
      <c r="IL134">
        <v>32</v>
      </c>
      <c r="IM134" s="47">
        <v>0</v>
      </c>
      <c r="IN134" s="43"/>
      <c r="IO134" s="40">
        <v>24</v>
      </c>
      <c r="IP134" s="44">
        <v>29</v>
      </c>
      <c r="IQ134" s="47">
        <v>-5</v>
      </c>
      <c r="IR134" s="43"/>
      <c r="IS134" s="42"/>
      <c r="IU134">
        <v>96</v>
      </c>
      <c r="IV134">
        <v>99</v>
      </c>
      <c r="IW134" s="47">
        <v>-3</v>
      </c>
      <c r="IX134" s="43"/>
      <c r="IY134" s="40">
        <v>48</v>
      </c>
      <c r="IZ134">
        <v>50</v>
      </c>
      <c r="JA134" s="47">
        <v>-2</v>
      </c>
      <c r="JB134" s="43"/>
      <c r="JC134" s="42"/>
      <c r="JG134" s="47">
        <v>0</v>
      </c>
      <c r="JH134" s="43"/>
      <c r="JM134">
        <v>24</v>
      </c>
      <c r="JN134">
        <v>24</v>
      </c>
      <c r="JO134" s="47">
        <v>0</v>
      </c>
      <c r="JP134" s="43"/>
      <c r="JQ134" s="42"/>
      <c r="JS134">
        <v>96</v>
      </c>
      <c r="JT134">
        <v>96</v>
      </c>
      <c r="JU134" s="47">
        <v>0</v>
      </c>
      <c r="JV134" s="43"/>
      <c r="JY134">
        <v>16</v>
      </c>
      <c r="JZ134">
        <v>20</v>
      </c>
      <c r="KA134" s="47">
        <v>-4</v>
      </c>
      <c r="KB134" s="45"/>
      <c r="KG134" s="47">
        <v>0</v>
      </c>
      <c r="KH134" s="45"/>
      <c r="KI134">
        <v>24</v>
      </c>
      <c r="KJ134">
        <v>24</v>
      </c>
      <c r="KM134" s="47">
        <v>0</v>
      </c>
      <c r="KN134" s="45"/>
      <c r="KS134" s="47">
        <v>0</v>
      </c>
      <c r="KT134" s="43"/>
      <c r="KU134">
        <v>96</v>
      </c>
      <c r="KV134">
        <v>100</v>
      </c>
      <c r="KW134" s="47">
        <v>-4</v>
      </c>
      <c r="KX134" s="45"/>
      <c r="KY134">
        <v>80</v>
      </c>
      <c r="KZ134">
        <v>80</v>
      </c>
      <c r="LA134">
        <v>80</v>
      </c>
      <c r="LB134">
        <v>80</v>
      </c>
      <c r="LC134" s="47">
        <v>0</v>
      </c>
      <c r="LD134" s="43"/>
      <c r="LE134" s="46"/>
      <c r="LG134" s="47">
        <v>0</v>
      </c>
      <c r="LH134" s="45"/>
      <c r="LM134" s="47">
        <v>0</v>
      </c>
      <c r="LN134" s="45"/>
      <c r="LQ134">
        <v>128</v>
      </c>
      <c r="LR134">
        <v>130</v>
      </c>
      <c r="LS134" s="47">
        <v>-2</v>
      </c>
      <c r="LT134" s="45"/>
      <c r="LW134">
        <v>48</v>
      </c>
      <c r="LX134">
        <v>50</v>
      </c>
      <c r="LY134" s="47">
        <v>-2</v>
      </c>
      <c r="LZ134" s="45"/>
      <c r="ME134" s="47">
        <v>0</v>
      </c>
      <c r="MF134" s="45"/>
      <c r="MG134" s="40">
        <v>72</v>
      </c>
      <c r="MH134">
        <v>70</v>
      </c>
      <c r="MI134">
        <v>80</v>
      </c>
      <c r="MJ134">
        <v>80</v>
      </c>
      <c r="MK134">
        <v>80</v>
      </c>
      <c r="ML134">
        <v>80</v>
      </c>
      <c r="MM134" s="47">
        <v>2</v>
      </c>
      <c r="MN134" s="45"/>
      <c r="MO134" s="44">
        <v>0</v>
      </c>
      <c r="MP134" s="44">
        <v>0</v>
      </c>
      <c r="MQ134" s="44">
        <v>16</v>
      </c>
      <c r="MR134" s="44">
        <v>20</v>
      </c>
      <c r="MS134" s="47">
        <v>-4</v>
      </c>
      <c r="MT134" s="45"/>
      <c r="MU134" s="44">
        <v>0</v>
      </c>
      <c r="MV134" s="44">
        <v>0</v>
      </c>
      <c r="MW134" s="44">
        <v>32</v>
      </c>
      <c r="MX134" s="44">
        <v>32</v>
      </c>
      <c r="MY134" s="47">
        <v>0</v>
      </c>
      <c r="MZ134" s="45"/>
      <c r="NA134" s="46">
        <v>136</v>
      </c>
      <c r="NB134" s="44">
        <v>140</v>
      </c>
      <c r="NC134" s="47">
        <v>-4</v>
      </c>
      <c r="ND134" s="45"/>
      <c r="NE134" s="46">
        <v>0</v>
      </c>
      <c r="NF134" s="44">
        <v>0</v>
      </c>
      <c r="NG134" s="44">
        <v>32</v>
      </c>
      <c r="NH134" s="44">
        <v>0</v>
      </c>
      <c r="NI134" s="44">
        <v>36</v>
      </c>
      <c r="NJ134" s="47">
        <v>-4</v>
      </c>
      <c r="NK134" s="45"/>
      <c r="NL134" s="46">
        <v>48</v>
      </c>
      <c r="NM134" s="44">
        <v>48</v>
      </c>
      <c r="NN134" s="44">
        <v>120</v>
      </c>
      <c r="NO134" s="44">
        <v>122</v>
      </c>
      <c r="NP134" s="47">
        <v>-2</v>
      </c>
      <c r="NQ134" s="45"/>
      <c r="NR134" s="46">
        <v>32</v>
      </c>
      <c r="NS134" s="44">
        <v>30</v>
      </c>
      <c r="NT134" s="47">
        <v>2</v>
      </c>
      <c r="NU134" s="45"/>
      <c r="NV134" s="46">
        <v>0</v>
      </c>
      <c r="NW134" s="44">
        <v>0</v>
      </c>
      <c r="NX134" s="44">
        <v>128</v>
      </c>
      <c r="NY134" s="44">
        <v>130</v>
      </c>
      <c r="NZ134" s="47">
        <v>-2</v>
      </c>
      <c r="OA134" s="45"/>
      <c r="OB134" s="46">
        <v>32</v>
      </c>
      <c r="OC134" s="44">
        <v>35</v>
      </c>
      <c r="OD134" s="47">
        <v>-3</v>
      </c>
      <c r="OE134" s="45"/>
      <c r="OF134" s="46">
        <v>0</v>
      </c>
      <c r="OG134" s="44">
        <v>0</v>
      </c>
      <c r="OH134" s="44">
        <v>0</v>
      </c>
      <c r="OI134" s="44">
        <v>0</v>
      </c>
      <c r="OJ134" s="47">
        <v>0</v>
      </c>
      <c r="OK134" s="45"/>
      <c r="OL134" s="44">
        <v>0</v>
      </c>
      <c r="OM134" s="43"/>
      <c r="ON134" s="44">
        <v>0</v>
      </c>
      <c r="OO134" s="44">
        <v>0</v>
      </c>
      <c r="OP134" s="47">
        <v>0</v>
      </c>
      <c r="OQ134" s="45"/>
      <c r="OR134" s="46">
        <v>0</v>
      </c>
      <c r="OS134" s="44">
        <v>0</v>
      </c>
      <c r="OT134" s="44">
        <v>160</v>
      </c>
      <c r="OU134" s="44">
        <v>161</v>
      </c>
      <c r="OV134" s="47">
        <v>-1</v>
      </c>
      <c r="OW134" s="45"/>
      <c r="OX134" s="46">
        <v>0</v>
      </c>
      <c r="OY134" s="44">
        <v>0</v>
      </c>
      <c r="OZ134" s="44">
        <v>0</v>
      </c>
      <c r="PA134" s="44">
        <v>0</v>
      </c>
      <c r="PB134" s="47">
        <v>0</v>
      </c>
      <c r="PC134" s="45"/>
      <c r="PD134" s="46">
        <v>0</v>
      </c>
      <c r="PE134" s="44">
        <v>0</v>
      </c>
      <c r="PF134" s="44">
        <v>48</v>
      </c>
      <c r="PG134" s="44">
        <v>50</v>
      </c>
      <c r="PH134" s="47">
        <v>-2</v>
      </c>
      <c r="PI134" s="45"/>
      <c r="PJ134" s="46">
        <v>0</v>
      </c>
      <c r="PK134" s="44">
        <v>0</v>
      </c>
      <c r="PL134" s="44">
        <v>160</v>
      </c>
      <c r="PM134" s="44">
        <v>160</v>
      </c>
      <c r="PN134" s="47">
        <v>0</v>
      </c>
      <c r="PO134" s="45"/>
      <c r="PP134" s="46">
        <v>0</v>
      </c>
      <c r="PQ134" s="44">
        <v>0</v>
      </c>
      <c r="PR134" s="44">
        <v>120</v>
      </c>
      <c r="PS134" s="44">
        <v>120</v>
      </c>
      <c r="PT134" s="47">
        <v>0</v>
      </c>
      <c r="PU134" s="45"/>
      <c r="PV134" s="46">
        <v>16</v>
      </c>
      <c r="PW134" s="44">
        <v>20</v>
      </c>
      <c r="PX134" s="47">
        <v>-4</v>
      </c>
      <c r="PY134" s="45"/>
      <c r="PZ134" s="46">
        <v>192</v>
      </c>
      <c r="QA134" s="44">
        <v>190</v>
      </c>
      <c r="QB134" s="47">
        <v>2</v>
      </c>
      <c r="QC134" s="45"/>
      <c r="QD134" s="46">
        <v>0</v>
      </c>
      <c r="QE134" s="44">
        <v>0</v>
      </c>
      <c r="QF134" s="44">
        <v>0</v>
      </c>
      <c r="QG134" s="44">
        <v>0</v>
      </c>
      <c r="QH134" s="47">
        <v>0</v>
      </c>
      <c r="QI134" s="45"/>
      <c r="QJ134" s="46">
        <v>32</v>
      </c>
      <c r="QK134" s="44">
        <v>30</v>
      </c>
      <c r="QL134" s="47">
        <v>2</v>
      </c>
      <c r="QM134" s="45"/>
      <c r="QN134" s="46">
        <v>0</v>
      </c>
      <c r="QO134" s="44">
        <v>0</v>
      </c>
      <c r="QP134" s="44">
        <v>96</v>
      </c>
      <c r="QQ134" s="44">
        <v>100</v>
      </c>
      <c r="QR134" s="47">
        <v>-4</v>
      </c>
      <c r="QS134" s="45"/>
      <c r="QT134" s="46">
        <v>8</v>
      </c>
      <c r="QU134" s="44">
        <v>8</v>
      </c>
      <c r="QV134" s="47">
        <v>0</v>
      </c>
      <c r="QW134" s="45"/>
      <c r="QX134" s="46">
        <v>0</v>
      </c>
      <c r="QY134" s="44">
        <v>0</v>
      </c>
      <c r="QZ134" s="44">
        <v>0</v>
      </c>
      <c r="RA134" s="44">
        <v>0</v>
      </c>
      <c r="RB134" s="47">
        <v>0</v>
      </c>
      <c r="RC134" s="45"/>
      <c r="RD134" s="42">
        <v>0</v>
      </c>
      <c r="RE134" s="44">
        <v>0</v>
      </c>
      <c r="RF134" s="44">
        <v>32</v>
      </c>
      <c r="RG134" s="44">
        <v>30</v>
      </c>
      <c r="RH134" s="47">
        <v>2</v>
      </c>
      <c r="RI134" s="45"/>
      <c r="RJ134" s="42">
        <v>32</v>
      </c>
      <c r="RK134" s="47">
        <v>30</v>
      </c>
      <c r="RL134" s="47">
        <v>0</v>
      </c>
      <c r="RM134" s="47">
        <v>0</v>
      </c>
      <c r="RN134" s="47">
        <v>2</v>
      </c>
      <c r="RO134" s="43"/>
      <c r="RP134" s="42">
        <v>128</v>
      </c>
      <c r="RQ134" s="47">
        <v>133</v>
      </c>
      <c r="RR134" s="47">
        <v>-5</v>
      </c>
      <c r="RS134" s="43"/>
      <c r="RT134" s="42">
        <v>0</v>
      </c>
      <c r="RU134" s="47">
        <v>0</v>
      </c>
      <c r="RV134" s="47">
        <v>0</v>
      </c>
      <c r="RW134" s="47">
        <v>0</v>
      </c>
      <c r="RX134" s="47">
        <v>0</v>
      </c>
      <c r="RY134" s="43"/>
      <c r="RZ134" s="42">
        <v>80</v>
      </c>
      <c r="SA134" s="47">
        <v>80</v>
      </c>
      <c r="SB134" s="47">
        <v>0</v>
      </c>
      <c r="SC134" s="47">
        <v>0</v>
      </c>
      <c r="SD134" s="47">
        <v>0</v>
      </c>
      <c r="SE134" s="43"/>
      <c r="SF134" s="42">
        <v>0</v>
      </c>
      <c r="SG134" s="47">
        <v>0</v>
      </c>
      <c r="SH134" s="47">
        <v>0</v>
      </c>
      <c r="SI134" s="47">
        <v>0</v>
      </c>
      <c r="SJ134" s="47">
        <v>0</v>
      </c>
      <c r="SK134" s="43"/>
      <c r="SL134" s="42">
        <v>0</v>
      </c>
      <c r="SM134" s="47">
        <v>0</v>
      </c>
      <c r="SN134" s="47">
        <v>0</v>
      </c>
      <c r="SO134" s="43"/>
      <c r="SP134" s="42">
        <v>0</v>
      </c>
      <c r="SQ134" s="47">
        <v>0</v>
      </c>
      <c r="SR134" s="47">
        <v>0</v>
      </c>
      <c r="SS134" s="47">
        <v>0</v>
      </c>
      <c r="ST134" s="47">
        <v>0</v>
      </c>
      <c r="SU134" s="43"/>
    </row>
    <row r="135" spans="1:515" x14ac:dyDescent="0.25">
      <c r="A135" s="47" t="s">
        <v>442</v>
      </c>
      <c r="B135" s="41">
        <v>0.36</v>
      </c>
      <c r="J135" s="42"/>
      <c r="K135" s="51"/>
      <c r="L135" s="51"/>
      <c r="M135" s="51"/>
      <c r="N135" s="51">
        <f t="shared" si="15"/>
        <v>0</v>
      </c>
      <c r="O135" s="43"/>
      <c r="P135" s="46"/>
      <c r="Q135" s="51"/>
      <c r="R135" s="51"/>
      <c r="S135" s="51"/>
      <c r="T135" s="51">
        <f t="shared" si="16"/>
        <v>0</v>
      </c>
      <c r="U135" s="43"/>
      <c r="V135" s="42"/>
      <c r="W135" s="51"/>
      <c r="X135" s="51"/>
      <c r="Y135" s="51"/>
      <c r="Z135" s="51">
        <f t="shared" si="17"/>
        <v>0</v>
      </c>
      <c r="AA135" s="43"/>
      <c r="AB135" s="42"/>
      <c r="AC135" s="51"/>
      <c r="AD135" s="51"/>
      <c r="AE135" s="51"/>
      <c r="AF135" s="51">
        <v>0</v>
      </c>
      <c r="AG135" s="43"/>
      <c r="AH135" s="51"/>
      <c r="AL135" s="47">
        <v>0</v>
      </c>
      <c r="AM135" s="43"/>
      <c r="AN135" s="42"/>
      <c r="AR135" s="47">
        <v>0</v>
      </c>
      <c r="AS135" s="43"/>
      <c r="AX135" s="47">
        <v>0</v>
      </c>
      <c r="AY135" s="43"/>
      <c r="BC135">
        <v>24</v>
      </c>
      <c r="BD135" s="50">
        <v>-24</v>
      </c>
      <c r="BE135" s="43">
        <v>8.64</v>
      </c>
      <c r="BF135" s="42"/>
      <c r="BI135">
        <v>20</v>
      </c>
      <c r="BJ135" s="50">
        <v>-20</v>
      </c>
      <c r="BK135" s="43">
        <v>7.1999999999999993</v>
      </c>
      <c r="BL135" s="42"/>
      <c r="BO135">
        <v>30</v>
      </c>
      <c r="BP135" s="50">
        <v>-30</v>
      </c>
      <c r="BQ135" s="43">
        <v>10.8</v>
      </c>
      <c r="BU135">
        <v>36</v>
      </c>
      <c r="BV135" s="50">
        <v>-36</v>
      </c>
      <c r="BW135" s="43">
        <v>12.96</v>
      </c>
      <c r="BX135" s="42"/>
      <c r="CA135">
        <v>20</v>
      </c>
      <c r="CB135" s="50">
        <v>-20</v>
      </c>
      <c r="CC135" s="43">
        <v>7.1999999999999993</v>
      </c>
      <c r="CF135">
        <v>8</v>
      </c>
      <c r="CG135">
        <v>8</v>
      </c>
      <c r="CH135" s="47">
        <v>0</v>
      </c>
      <c r="CI135" s="43"/>
      <c r="CL135">
        <v>8</v>
      </c>
      <c r="CM135">
        <v>8</v>
      </c>
      <c r="CN135" s="47">
        <v>0</v>
      </c>
      <c r="CO135" s="43"/>
      <c r="CP135" s="42"/>
      <c r="CR135">
        <v>16</v>
      </c>
      <c r="CS135">
        <v>18</v>
      </c>
      <c r="CT135" s="47">
        <v>-2</v>
      </c>
      <c r="CU135" s="43"/>
      <c r="CV135" s="42"/>
      <c r="CX135">
        <v>16</v>
      </c>
      <c r="CY135">
        <v>14</v>
      </c>
      <c r="CZ135" s="47">
        <v>2</v>
      </c>
      <c r="DA135" s="43"/>
      <c r="DE135">
        <v>16</v>
      </c>
      <c r="DF135">
        <v>18</v>
      </c>
      <c r="DG135" s="47">
        <v>-2</v>
      </c>
      <c r="DH135" s="43"/>
      <c r="DK135" s="47">
        <v>0</v>
      </c>
      <c r="DL135" s="43"/>
      <c r="DM135" s="42"/>
      <c r="DO135">
        <v>8</v>
      </c>
      <c r="DP135">
        <v>10</v>
      </c>
      <c r="DQ135" s="47">
        <v>-2</v>
      </c>
      <c r="DR135" s="43"/>
      <c r="DU135">
        <v>8</v>
      </c>
      <c r="DV135">
        <v>6</v>
      </c>
      <c r="DW135" s="47">
        <v>2</v>
      </c>
      <c r="DX135" s="43"/>
      <c r="EA135">
        <v>32</v>
      </c>
      <c r="EB135">
        <v>35</v>
      </c>
      <c r="EC135" s="47">
        <v>-3</v>
      </c>
      <c r="ED135" s="43"/>
      <c r="EE135" s="42"/>
      <c r="EG135">
        <v>24</v>
      </c>
      <c r="EH135">
        <v>24</v>
      </c>
      <c r="EI135" s="47">
        <v>0</v>
      </c>
      <c r="EJ135" s="43"/>
      <c r="EM135">
        <v>8</v>
      </c>
      <c r="EN135">
        <v>8</v>
      </c>
      <c r="EO135" s="47">
        <v>0</v>
      </c>
      <c r="EP135" s="43"/>
      <c r="EQ135" s="42"/>
      <c r="ES135">
        <v>24</v>
      </c>
      <c r="ET135">
        <v>29</v>
      </c>
      <c r="EU135" s="47">
        <v>-5</v>
      </c>
      <c r="EV135" s="43"/>
      <c r="EW135" s="42"/>
      <c r="FC135" s="47">
        <v>0</v>
      </c>
      <c r="FD135" s="43"/>
      <c r="FE135" s="42"/>
      <c r="FG135">
        <v>32</v>
      </c>
      <c r="FH135">
        <v>34</v>
      </c>
      <c r="FI135" s="47">
        <v>-2</v>
      </c>
      <c r="FJ135" s="43"/>
      <c r="FM135">
        <v>8</v>
      </c>
      <c r="FN135">
        <v>7</v>
      </c>
      <c r="FQ135" s="47">
        <v>1</v>
      </c>
      <c r="FR135" s="43"/>
      <c r="FS135" s="42"/>
      <c r="FW135" s="47">
        <v>0</v>
      </c>
      <c r="FX135" s="43"/>
      <c r="FY135" s="42"/>
      <c r="GC135" s="47">
        <v>0</v>
      </c>
      <c r="GD135" s="43"/>
      <c r="GE135" s="42"/>
      <c r="GG135">
        <v>40</v>
      </c>
      <c r="GH135">
        <v>40</v>
      </c>
      <c r="GI135" s="47">
        <v>0</v>
      </c>
      <c r="GJ135" s="43"/>
      <c r="GQ135" s="47">
        <v>0</v>
      </c>
      <c r="GR135" s="43"/>
      <c r="GX135" s="47">
        <v>0</v>
      </c>
      <c r="GY135" s="43"/>
      <c r="GZ135" s="40">
        <v>32</v>
      </c>
      <c r="HB135" s="44">
        <v>33.400000000000013</v>
      </c>
      <c r="HC135" s="47">
        <v>-1.400000000000013</v>
      </c>
      <c r="HD135" s="43"/>
      <c r="HE135" s="42"/>
      <c r="HH135" s="47">
        <v>0</v>
      </c>
      <c r="HI135" s="43"/>
      <c r="HN135" s="47">
        <v>0</v>
      </c>
      <c r="HO135" s="43"/>
      <c r="HP135" s="42"/>
      <c r="HS135">
        <v>32</v>
      </c>
      <c r="HT135">
        <v>32</v>
      </c>
      <c r="HU135" s="47">
        <v>0</v>
      </c>
      <c r="HV135" s="43"/>
      <c r="IA135" s="47">
        <v>0</v>
      </c>
      <c r="IB135" s="43"/>
      <c r="IC135" s="42"/>
      <c r="IE135">
        <v>32</v>
      </c>
      <c r="IF135">
        <v>32</v>
      </c>
      <c r="IG135" s="47">
        <v>0</v>
      </c>
      <c r="IH135" s="43"/>
      <c r="IK135">
        <v>8</v>
      </c>
      <c r="IL135">
        <v>7</v>
      </c>
      <c r="IM135" s="47">
        <v>1</v>
      </c>
      <c r="IN135" s="43"/>
      <c r="IO135" s="42"/>
      <c r="IQ135" s="47">
        <v>0</v>
      </c>
      <c r="IR135" s="43"/>
      <c r="IS135" s="42"/>
      <c r="IW135" s="47">
        <v>0</v>
      </c>
      <c r="IX135" s="43"/>
      <c r="IY135" s="40">
        <v>24</v>
      </c>
      <c r="IZ135">
        <v>24</v>
      </c>
      <c r="JA135" s="47">
        <v>0</v>
      </c>
      <c r="JB135" s="43"/>
      <c r="JC135" s="42"/>
      <c r="JG135" s="47">
        <v>0</v>
      </c>
      <c r="JH135" s="43"/>
      <c r="JO135" s="47">
        <v>0</v>
      </c>
      <c r="JP135" s="43"/>
      <c r="JQ135" s="42"/>
      <c r="JS135">
        <v>72</v>
      </c>
      <c r="JT135">
        <v>70</v>
      </c>
      <c r="JU135" s="47">
        <v>2</v>
      </c>
      <c r="JV135" s="43"/>
      <c r="JY135">
        <v>8</v>
      </c>
      <c r="JZ135">
        <v>6</v>
      </c>
      <c r="KA135" s="47">
        <v>2</v>
      </c>
      <c r="KB135" s="45"/>
      <c r="KG135" s="47">
        <v>0</v>
      </c>
      <c r="KH135" s="45"/>
      <c r="KM135" s="47">
        <v>0</v>
      </c>
      <c r="KN135" s="45"/>
      <c r="KO135">
        <v>48</v>
      </c>
      <c r="KP135">
        <v>50</v>
      </c>
      <c r="KQ135">
        <v>40</v>
      </c>
      <c r="KR135">
        <v>40</v>
      </c>
      <c r="KS135" s="47">
        <v>-2</v>
      </c>
      <c r="KT135" s="43"/>
      <c r="KW135" s="47">
        <v>0</v>
      </c>
      <c r="KX135" s="45"/>
      <c r="LA135">
        <v>32</v>
      </c>
      <c r="LB135">
        <v>79</v>
      </c>
      <c r="LC135" s="50">
        <v>-47</v>
      </c>
      <c r="LD135" s="43">
        <v>16.920000000000002</v>
      </c>
      <c r="LE135" s="40">
        <v>48</v>
      </c>
      <c r="LF135" s="44">
        <v>50</v>
      </c>
      <c r="LG135" s="47">
        <v>-2</v>
      </c>
      <c r="LH135" s="45"/>
      <c r="LM135" s="47">
        <v>0</v>
      </c>
      <c r="LN135" s="45"/>
      <c r="LS135" s="47">
        <v>0</v>
      </c>
      <c r="LT135" s="45"/>
      <c r="LW135">
        <v>64</v>
      </c>
      <c r="LX135">
        <v>65</v>
      </c>
      <c r="LY135" s="47">
        <v>-1</v>
      </c>
      <c r="LZ135" s="45"/>
      <c r="ME135" s="47">
        <v>0</v>
      </c>
      <c r="MF135" s="45"/>
      <c r="MG135" s="40">
        <v>40</v>
      </c>
      <c r="MH135">
        <v>40</v>
      </c>
      <c r="MI135">
        <v>40</v>
      </c>
      <c r="MJ135">
        <v>40</v>
      </c>
      <c r="MK135">
        <v>40</v>
      </c>
      <c r="ML135">
        <v>40</v>
      </c>
      <c r="MM135" s="47">
        <v>0</v>
      </c>
      <c r="MN135" s="45"/>
      <c r="MO135" s="44">
        <v>0</v>
      </c>
      <c r="MP135" s="44">
        <v>0</v>
      </c>
      <c r="MQ135" s="44">
        <v>16</v>
      </c>
      <c r="MR135" s="44">
        <v>20</v>
      </c>
      <c r="MS135" s="47">
        <v>-4</v>
      </c>
      <c r="MT135" s="45"/>
      <c r="MU135" s="44">
        <v>0</v>
      </c>
      <c r="MV135" s="44">
        <v>0</v>
      </c>
      <c r="MW135" s="44">
        <v>32</v>
      </c>
      <c r="MX135" s="44">
        <v>30</v>
      </c>
      <c r="MY135" s="47">
        <v>2</v>
      </c>
      <c r="MZ135" s="45"/>
      <c r="NA135" s="46">
        <v>64</v>
      </c>
      <c r="NB135" s="44">
        <v>65</v>
      </c>
      <c r="NC135" s="47">
        <v>-1</v>
      </c>
      <c r="ND135" s="45"/>
      <c r="NE135" s="46">
        <v>0</v>
      </c>
      <c r="NF135" s="44">
        <v>0</v>
      </c>
      <c r="NG135" s="44">
        <v>0</v>
      </c>
      <c r="NH135" s="44">
        <v>0</v>
      </c>
      <c r="NI135" s="44">
        <v>0</v>
      </c>
      <c r="NJ135" s="47">
        <v>0</v>
      </c>
      <c r="NK135" s="45"/>
      <c r="NL135" s="46">
        <v>32</v>
      </c>
      <c r="NM135" s="44">
        <v>30</v>
      </c>
      <c r="NN135" s="44">
        <v>72</v>
      </c>
      <c r="NO135" s="44">
        <v>70</v>
      </c>
      <c r="NP135" s="47">
        <v>4</v>
      </c>
      <c r="NQ135" s="45"/>
      <c r="NR135" s="31">
        <v>96</v>
      </c>
      <c r="NS135" s="44">
        <v>0</v>
      </c>
      <c r="NT135" s="47">
        <v>0</v>
      </c>
      <c r="NU135" s="45"/>
      <c r="NV135" s="46">
        <v>0</v>
      </c>
      <c r="NW135" s="44">
        <v>0</v>
      </c>
      <c r="NX135" s="44">
        <v>0</v>
      </c>
      <c r="NY135" s="44">
        <v>0</v>
      </c>
      <c r="NZ135" s="47">
        <v>0</v>
      </c>
      <c r="OA135" s="45"/>
      <c r="OB135" s="46">
        <v>0</v>
      </c>
      <c r="OC135" s="44">
        <v>0</v>
      </c>
      <c r="OD135" s="47">
        <v>0</v>
      </c>
      <c r="OE135" s="45"/>
      <c r="OF135" s="46">
        <v>0</v>
      </c>
      <c r="OG135" s="44">
        <v>0</v>
      </c>
      <c r="OH135" s="28">
        <v>72</v>
      </c>
      <c r="OI135" s="44">
        <v>0</v>
      </c>
      <c r="OJ135" s="47">
        <v>0</v>
      </c>
      <c r="OK135" s="45"/>
      <c r="OL135" s="44">
        <v>0</v>
      </c>
      <c r="OM135" s="43"/>
      <c r="ON135" s="44">
        <v>0</v>
      </c>
      <c r="OO135" s="44">
        <v>0</v>
      </c>
      <c r="OP135" s="47">
        <v>0</v>
      </c>
      <c r="OQ135" s="45"/>
      <c r="OR135" s="46">
        <v>0</v>
      </c>
      <c r="OS135" s="44">
        <v>0</v>
      </c>
      <c r="OT135" s="28">
        <v>24</v>
      </c>
      <c r="OU135" s="44">
        <v>0</v>
      </c>
      <c r="OV135" s="47">
        <v>0</v>
      </c>
      <c r="OW135" s="45"/>
      <c r="OX135" s="46">
        <v>0</v>
      </c>
      <c r="OY135" s="44">
        <v>0</v>
      </c>
      <c r="OZ135" s="44">
        <v>80</v>
      </c>
      <c r="PA135" s="44">
        <v>85</v>
      </c>
      <c r="PB135" s="47">
        <v>-5</v>
      </c>
      <c r="PC135" s="45"/>
      <c r="PD135" s="46">
        <v>0</v>
      </c>
      <c r="PE135" s="44">
        <v>0</v>
      </c>
      <c r="PF135" s="44">
        <v>56</v>
      </c>
      <c r="PG135" s="44">
        <v>60</v>
      </c>
      <c r="PH135" s="47">
        <v>-4</v>
      </c>
      <c r="PI135" s="45"/>
      <c r="PJ135" s="46">
        <v>0</v>
      </c>
      <c r="PK135" s="44">
        <v>0</v>
      </c>
      <c r="PL135" s="44">
        <v>80</v>
      </c>
      <c r="PM135" s="44">
        <v>91</v>
      </c>
      <c r="PN135" s="50">
        <v>-11</v>
      </c>
      <c r="PO135" s="45">
        <v>3.96</v>
      </c>
      <c r="PP135" s="46">
        <v>0</v>
      </c>
      <c r="PQ135" s="44">
        <v>0</v>
      </c>
      <c r="PR135" s="44">
        <v>40</v>
      </c>
      <c r="PS135" s="44">
        <v>45</v>
      </c>
      <c r="PT135" s="47">
        <v>-5</v>
      </c>
      <c r="PU135" s="45"/>
      <c r="PV135" s="46">
        <v>56</v>
      </c>
      <c r="PW135" s="44">
        <v>60</v>
      </c>
      <c r="PX135" s="47">
        <v>-4</v>
      </c>
      <c r="PY135" s="45"/>
      <c r="PZ135" s="46">
        <v>64</v>
      </c>
      <c r="QA135" s="44">
        <v>69</v>
      </c>
      <c r="QB135" s="47">
        <v>-5</v>
      </c>
      <c r="QC135" s="45"/>
      <c r="QD135" s="46">
        <v>0</v>
      </c>
      <c r="QE135" s="44">
        <v>0</v>
      </c>
      <c r="QF135" s="44">
        <v>112</v>
      </c>
      <c r="QG135" s="44">
        <v>112.6</v>
      </c>
      <c r="QH135" s="47">
        <v>-0.59999999999999432</v>
      </c>
      <c r="QI135" s="45"/>
      <c r="QJ135" s="46">
        <v>40</v>
      </c>
      <c r="QK135" s="44">
        <v>40</v>
      </c>
      <c r="QL135" s="47">
        <v>0</v>
      </c>
      <c r="QM135" s="45"/>
      <c r="QN135" s="46">
        <v>0</v>
      </c>
      <c r="QO135" s="44">
        <v>0</v>
      </c>
      <c r="QP135" s="44">
        <v>136</v>
      </c>
      <c r="QQ135" s="44">
        <v>140</v>
      </c>
      <c r="QR135" s="47">
        <v>-4</v>
      </c>
      <c r="QS135" s="45"/>
      <c r="QT135" s="46">
        <v>0</v>
      </c>
      <c r="QU135" s="44">
        <v>0</v>
      </c>
      <c r="QV135" s="47">
        <v>0</v>
      </c>
      <c r="QW135" s="45"/>
      <c r="QX135" s="46">
        <v>0</v>
      </c>
      <c r="QY135" s="44">
        <v>0</v>
      </c>
      <c r="QZ135" s="44">
        <v>32</v>
      </c>
      <c r="RA135" s="44">
        <v>30</v>
      </c>
      <c r="RB135" s="47">
        <v>2</v>
      </c>
      <c r="RC135" s="45"/>
      <c r="RD135" s="42">
        <v>0</v>
      </c>
      <c r="RE135" s="44">
        <v>0</v>
      </c>
      <c r="RF135" s="44">
        <v>88</v>
      </c>
      <c r="RG135" s="44">
        <v>91</v>
      </c>
      <c r="RH135" s="47">
        <v>-3</v>
      </c>
      <c r="RI135" s="45"/>
      <c r="RJ135" s="42">
        <v>8</v>
      </c>
      <c r="RK135" s="47">
        <v>60</v>
      </c>
      <c r="RL135" s="47">
        <v>72</v>
      </c>
      <c r="RM135" s="47">
        <v>70</v>
      </c>
      <c r="RN135" s="50">
        <v>-50</v>
      </c>
      <c r="RO135" s="43">
        <v>18</v>
      </c>
      <c r="RP135" s="42">
        <v>0</v>
      </c>
      <c r="RQ135" s="47">
        <v>0</v>
      </c>
      <c r="RR135" s="47">
        <v>0</v>
      </c>
      <c r="RS135" s="43"/>
      <c r="RT135" s="42">
        <v>104</v>
      </c>
      <c r="RU135" s="47">
        <v>104</v>
      </c>
      <c r="RV135" s="47">
        <v>0</v>
      </c>
      <c r="RW135" s="47">
        <v>0</v>
      </c>
      <c r="RX135" s="47">
        <v>0</v>
      </c>
      <c r="RY135" s="43"/>
      <c r="RZ135" s="42">
        <v>24</v>
      </c>
      <c r="SA135" s="47">
        <v>25</v>
      </c>
      <c r="SB135" s="47">
        <v>0</v>
      </c>
      <c r="SC135" s="47">
        <v>0</v>
      </c>
      <c r="SD135" s="47">
        <v>-1</v>
      </c>
      <c r="SE135" s="43"/>
      <c r="SF135" s="42">
        <v>0</v>
      </c>
      <c r="SG135" s="47">
        <v>0</v>
      </c>
      <c r="SH135" s="47">
        <v>0</v>
      </c>
      <c r="SI135" s="47">
        <v>0</v>
      </c>
      <c r="SJ135" s="47">
        <v>0</v>
      </c>
      <c r="SK135" s="43"/>
      <c r="SL135" s="42">
        <v>216</v>
      </c>
      <c r="SM135" s="47">
        <v>220</v>
      </c>
      <c r="SN135" s="47">
        <v>-4</v>
      </c>
      <c r="SO135" s="43"/>
      <c r="SP135" s="42">
        <v>0</v>
      </c>
      <c r="SQ135" s="47">
        <v>0</v>
      </c>
      <c r="SR135" s="47">
        <v>0</v>
      </c>
      <c r="SS135" s="47">
        <v>0</v>
      </c>
      <c r="ST135" s="47">
        <v>0</v>
      </c>
      <c r="SU135" s="43"/>
    </row>
    <row r="136" spans="1:515" x14ac:dyDescent="0.25">
      <c r="A136" s="47" t="s">
        <v>443</v>
      </c>
      <c r="B136" s="41">
        <v>0.15</v>
      </c>
      <c r="J136" s="42"/>
      <c r="K136" s="51"/>
      <c r="L136" s="51"/>
      <c r="M136" s="51"/>
      <c r="N136" s="51">
        <f t="shared" si="15"/>
        <v>0</v>
      </c>
      <c r="O136" s="43"/>
      <c r="P136" s="46"/>
      <c r="Q136" s="51"/>
      <c r="R136" s="51"/>
      <c r="S136" s="51"/>
      <c r="T136" s="51">
        <f t="shared" si="16"/>
        <v>0</v>
      </c>
      <c r="U136" s="43"/>
      <c r="V136" s="42"/>
      <c r="W136" s="51"/>
      <c r="X136" s="51"/>
      <c r="Y136" s="51"/>
      <c r="Z136" s="51">
        <f t="shared" si="17"/>
        <v>0</v>
      </c>
      <c r="AA136" s="43"/>
      <c r="AB136" s="42"/>
      <c r="AC136" s="51"/>
      <c r="AD136" s="51"/>
      <c r="AE136" s="51"/>
      <c r="AF136" s="51">
        <v>0</v>
      </c>
      <c r="AG136" s="43"/>
      <c r="AH136" s="51"/>
      <c r="AL136" s="47">
        <v>0</v>
      </c>
      <c r="AM136" s="43"/>
      <c r="AN136" s="42"/>
      <c r="AR136" s="47">
        <v>0</v>
      </c>
      <c r="AS136" s="43"/>
      <c r="AX136" s="47">
        <v>0</v>
      </c>
      <c r="AY136" s="43"/>
      <c r="BD136" s="47">
        <v>0</v>
      </c>
      <c r="BE136" s="43"/>
      <c r="BF136" s="42"/>
      <c r="BJ136" s="47">
        <v>0</v>
      </c>
      <c r="BK136" s="43"/>
      <c r="BL136" s="42"/>
      <c r="BP136" s="47">
        <v>0</v>
      </c>
      <c r="BQ136" s="43"/>
      <c r="BV136" s="47">
        <v>0</v>
      </c>
      <c r="BW136" s="43"/>
      <c r="BX136" s="42"/>
      <c r="CB136" s="47">
        <v>0</v>
      </c>
      <c r="CC136" s="43"/>
      <c r="CH136" s="47">
        <v>0</v>
      </c>
      <c r="CI136" s="43"/>
      <c r="CN136" s="47">
        <v>0</v>
      </c>
      <c r="CO136" s="43"/>
      <c r="CP136" s="42"/>
      <c r="CT136" s="47">
        <v>0</v>
      </c>
      <c r="CU136" s="43"/>
      <c r="CV136" s="42"/>
      <c r="CZ136" s="47">
        <v>0</v>
      </c>
      <c r="DA136" s="43"/>
      <c r="DG136" s="47">
        <v>0</v>
      </c>
      <c r="DH136" s="43"/>
      <c r="DK136" s="47">
        <v>0</v>
      </c>
      <c r="DL136" s="43"/>
      <c r="DM136" s="42"/>
      <c r="DQ136" s="47">
        <v>0</v>
      </c>
      <c r="DR136" s="43"/>
      <c r="DW136" s="47">
        <v>0</v>
      </c>
      <c r="DX136" s="43"/>
      <c r="EC136" s="47">
        <v>0</v>
      </c>
      <c r="ED136" s="43"/>
      <c r="EE136" s="42"/>
      <c r="EI136" s="47">
        <v>0</v>
      </c>
      <c r="EJ136" s="43"/>
      <c r="EO136" s="47">
        <v>0</v>
      </c>
      <c r="EP136" s="43"/>
      <c r="EQ136" s="42"/>
      <c r="EU136" s="47">
        <v>0</v>
      </c>
      <c r="EV136" s="43"/>
      <c r="EW136" s="42"/>
      <c r="FC136" s="47">
        <v>0</v>
      </c>
      <c r="FD136" s="43"/>
      <c r="FE136" s="42"/>
      <c r="FI136" s="47">
        <v>0</v>
      </c>
      <c r="FJ136" s="43"/>
      <c r="FQ136" s="47">
        <v>0</v>
      </c>
      <c r="FR136" s="43"/>
      <c r="FS136" s="42"/>
      <c r="FW136" s="47">
        <v>0</v>
      </c>
      <c r="FX136" s="43"/>
      <c r="FY136" s="42"/>
      <c r="GC136" s="47">
        <v>0</v>
      </c>
      <c r="GD136" s="43"/>
      <c r="GE136" s="42"/>
      <c r="GI136" s="47">
        <v>0</v>
      </c>
      <c r="GJ136" s="43"/>
      <c r="GQ136" s="47">
        <v>0</v>
      </c>
      <c r="GR136" s="43"/>
      <c r="GX136" s="47">
        <v>0</v>
      </c>
      <c r="GY136" s="43"/>
      <c r="GZ136" s="42"/>
      <c r="HC136" s="47">
        <v>0</v>
      </c>
      <c r="HD136" s="43"/>
      <c r="HE136" s="42"/>
      <c r="HH136" s="47">
        <v>0</v>
      </c>
      <c r="HI136" s="43"/>
      <c r="HN136" s="47">
        <v>0</v>
      </c>
      <c r="HO136" s="43"/>
      <c r="HP136" s="42"/>
      <c r="HU136" s="47">
        <v>0</v>
      </c>
      <c r="HV136" s="43"/>
      <c r="IA136" s="47">
        <v>0</v>
      </c>
      <c r="IB136" s="43"/>
      <c r="IC136" s="42"/>
      <c r="IG136" s="47">
        <v>0</v>
      </c>
      <c r="IH136" s="43"/>
      <c r="IM136" s="47">
        <v>0</v>
      </c>
      <c r="IN136" s="43"/>
      <c r="IO136" s="42"/>
      <c r="IQ136" s="47">
        <v>0</v>
      </c>
      <c r="IR136" s="43"/>
      <c r="IS136" s="42"/>
      <c r="IW136" s="47">
        <v>0</v>
      </c>
      <c r="IX136" s="43"/>
      <c r="IY136" s="42"/>
      <c r="JA136" s="47">
        <v>0</v>
      </c>
      <c r="JB136" s="43"/>
      <c r="JC136" s="42"/>
      <c r="JG136" s="47">
        <v>0</v>
      </c>
      <c r="JH136" s="43"/>
      <c r="JO136" s="47">
        <v>0</v>
      </c>
      <c r="JP136" s="43"/>
      <c r="JQ136" s="42"/>
      <c r="JU136" s="47">
        <v>0</v>
      </c>
      <c r="JV136" s="43"/>
      <c r="KA136" s="47">
        <v>0</v>
      </c>
      <c r="KB136" s="45"/>
      <c r="KG136" s="47">
        <v>0</v>
      </c>
      <c r="KH136" s="45"/>
      <c r="KM136" s="47">
        <v>0</v>
      </c>
      <c r="KN136" s="45"/>
      <c r="KS136" s="47">
        <v>0</v>
      </c>
      <c r="KT136" s="43"/>
      <c r="KW136" s="47">
        <v>0</v>
      </c>
      <c r="KX136" s="45"/>
      <c r="LC136" s="47">
        <v>0</v>
      </c>
      <c r="LD136" s="43"/>
      <c r="LE136" s="46"/>
      <c r="LG136" s="47">
        <v>0</v>
      </c>
      <c r="LH136" s="45"/>
      <c r="LM136" s="47">
        <v>0</v>
      </c>
      <c r="LN136" s="45"/>
      <c r="LQ136">
        <v>12</v>
      </c>
      <c r="LR136">
        <v>20</v>
      </c>
      <c r="LS136" s="47">
        <v>-8</v>
      </c>
      <c r="LT136" s="45"/>
      <c r="LX136">
        <v>14</v>
      </c>
      <c r="LY136" s="50">
        <v>-14</v>
      </c>
      <c r="LZ136" s="45">
        <v>2.1</v>
      </c>
      <c r="ME136" s="47">
        <v>0</v>
      </c>
      <c r="MF136" s="45"/>
      <c r="MG136" s="46"/>
      <c r="MM136" s="47">
        <v>0</v>
      </c>
      <c r="MN136" s="45"/>
      <c r="MO136" s="44">
        <v>0</v>
      </c>
      <c r="MP136" s="44">
        <v>0</v>
      </c>
      <c r="MQ136" s="44">
        <v>12</v>
      </c>
      <c r="MR136" s="44">
        <v>12</v>
      </c>
      <c r="MS136" s="47">
        <v>0</v>
      </c>
      <c r="MT136" s="45"/>
      <c r="MU136" s="44">
        <v>0</v>
      </c>
      <c r="MV136" s="44">
        <v>0</v>
      </c>
      <c r="MW136" s="44">
        <v>12</v>
      </c>
      <c r="MX136" s="44">
        <v>17</v>
      </c>
      <c r="MY136" s="47">
        <v>-5</v>
      </c>
      <c r="MZ136" s="45"/>
      <c r="NA136" s="46">
        <v>0</v>
      </c>
      <c r="NB136" s="44">
        <v>0</v>
      </c>
      <c r="NC136" s="47">
        <v>0</v>
      </c>
      <c r="ND136" s="45"/>
      <c r="NE136" s="46">
        <v>0</v>
      </c>
      <c r="NF136" s="44">
        <v>0</v>
      </c>
      <c r="NG136" s="44">
        <v>0</v>
      </c>
      <c r="NH136" s="44">
        <v>0</v>
      </c>
      <c r="NI136" s="44">
        <v>0</v>
      </c>
      <c r="NJ136" s="47">
        <v>0</v>
      </c>
      <c r="NK136" s="45"/>
      <c r="NL136" s="46">
        <v>0</v>
      </c>
      <c r="NM136" s="44">
        <v>0</v>
      </c>
      <c r="NN136" s="44">
        <v>0</v>
      </c>
      <c r="NO136" s="44">
        <v>0</v>
      </c>
      <c r="NP136" s="47">
        <v>0</v>
      </c>
      <c r="NQ136" s="45"/>
      <c r="NR136" s="46">
        <v>0</v>
      </c>
      <c r="NS136" s="44">
        <v>0</v>
      </c>
      <c r="NT136" s="47">
        <v>0</v>
      </c>
      <c r="NU136" s="45"/>
      <c r="NV136" s="46">
        <v>0</v>
      </c>
      <c r="NW136" s="44">
        <v>0</v>
      </c>
      <c r="NX136" s="44">
        <v>48</v>
      </c>
      <c r="NY136" s="44">
        <v>53</v>
      </c>
      <c r="NZ136" s="47">
        <v>-5</v>
      </c>
      <c r="OA136" s="45"/>
      <c r="OB136" s="46">
        <v>0</v>
      </c>
      <c r="OC136" s="44">
        <v>0</v>
      </c>
      <c r="OD136" s="47">
        <v>0</v>
      </c>
      <c r="OE136" s="45"/>
      <c r="OF136" s="46">
        <v>0</v>
      </c>
      <c r="OG136" s="44">
        <v>0</v>
      </c>
      <c r="OH136" s="44">
        <v>12</v>
      </c>
      <c r="OI136" s="44">
        <v>12</v>
      </c>
      <c r="OJ136" s="47">
        <v>0</v>
      </c>
      <c r="OK136" s="45"/>
      <c r="OL136" s="44">
        <v>0</v>
      </c>
      <c r="OM136" s="43"/>
      <c r="ON136" s="44">
        <v>0</v>
      </c>
      <c r="OO136" s="44">
        <v>0</v>
      </c>
      <c r="OP136" s="47">
        <v>0</v>
      </c>
      <c r="OQ136" s="45"/>
      <c r="OR136" s="46">
        <v>0</v>
      </c>
      <c r="OS136" s="44">
        <v>0</v>
      </c>
      <c r="OT136" s="44">
        <v>24</v>
      </c>
      <c r="OU136" s="44">
        <v>24</v>
      </c>
      <c r="OV136" s="47">
        <v>0</v>
      </c>
      <c r="OW136" s="45"/>
      <c r="OX136" s="46">
        <v>0</v>
      </c>
      <c r="OY136" s="44">
        <v>0</v>
      </c>
      <c r="OZ136" s="44">
        <v>48</v>
      </c>
      <c r="PA136" s="44">
        <v>48</v>
      </c>
      <c r="PB136" s="47">
        <v>0</v>
      </c>
      <c r="PC136" s="45"/>
      <c r="PD136" s="46">
        <v>0</v>
      </c>
      <c r="PE136" s="44">
        <v>0</v>
      </c>
      <c r="PF136" s="44">
        <v>0</v>
      </c>
      <c r="PG136" s="44">
        <v>0</v>
      </c>
      <c r="PH136" s="47">
        <v>0</v>
      </c>
      <c r="PI136" s="45"/>
      <c r="PJ136" s="46">
        <v>0</v>
      </c>
      <c r="PK136" s="44">
        <v>0</v>
      </c>
      <c r="PL136" s="44">
        <v>0</v>
      </c>
      <c r="PM136" s="44">
        <v>0</v>
      </c>
      <c r="PN136" s="47">
        <v>0</v>
      </c>
      <c r="PO136" s="45"/>
      <c r="PP136" s="46">
        <v>0</v>
      </c>
      <c r="PQ136" s="44">
        <v>0</v>
      </c>
      <c r="PR136" s="44">
        <v>12</v>
      </c>
      <c r="PS136" s="44">
        <v>10</v>
      </c>
      <c r="PT136" s="47">
        <v>2</v>
      </c>
      <c r="PU136" s="45"/>
      <c r="PV136" s="46">
        <v>12</v>
      </c>
      <c r="PW136" s="44">
        <v>12</v>
      </c>
      <c r="PX136" s="47">
        <v>0</v>
      </c>
      <c r="PY136" s="45"/>
      <c r="PZ136" s="46">
        <v>0</v>
      </c>
      <c r="QA136" s="44">
        <v>0</v>
      </c>
      <c r="QB136" s="47">
        <v>0</v>
      </c>
      <c r="QC136" s="45"/>
      <c r="QD136" s="46">
        <v>0</v>
      </c>
      <c r="QE136" s="44">
        <v>0</v>
      </c>
      <c r="QF136" s="44">
        <v>0</v>
      </c>
      <c r="QG136" s="44">
        <v>0</v>
      </c>
      <c r="QH136" s="47">
        <v>0</v>
      </c>
      <c r="QI136" s="45"/>
      <c r="QJ136" s="46">
        <v>0</v>
      </c>
      <c r="QK136" s="44">
        <v>0</v>
      </c>
      <c r="QL136" s="47">
        <v>0</v>
      </c>
      <c r="QM136" s="45"/>
      <c r="QN136" s="46">
        <v>0</v>
      </c>
      <c r="QO136" s="44">
        <v>0</v>
      </c>
      <c r="QP136" s="44">
        <v>12</v>
      </c>
      <c r="QQ136" s="44">
        <v>21</v>
      </c>
      <c r="QR136" s="47">
        <v>-9</v>
      </c>
      <c r="QS136" s="45"/>
      <c r="QT136" s="46">
        <v>0</v>
      </c>
      <c r="QU136" s="44">
        <v>0</v>
      </c>
      <c r="QV136" s="47">
        <v>0</v>
      </c>
      <c r="QW136" s="45"/>
      <c r="QX136" s="46">
        <v>0</v>
      </c>
      <c r="QY136" s="44">
        <v>0</v>
      </c>
      <c r="QZ136" s="44">
        <v>0</v>
      </c>
      <c r="RA136" s="44">
        <v>0</v>
      </c>
      <c r="RB136" s="47">
        <v>0</v>
      </c>
      <c r="RC136" s="45"/>
      <c r="RD136" s="42">
        <v>0</v>
      </c>
      <c r="RE136" s="44">
        <v>0</v>
      </c>
      <c r="RF136" s="44">
        <v>0</v>
      </c>
      <c r="RG136" s="44">
        <v>0</v>
      </c>
      <c r="RH136" s="47">
        <v>0</v>
      </c>
      <c r="RI136" s="45"/>
      <c r="RJ136" s="42">
        <v>12</v>
      </c>
      <c r="RK136" s="47">
        <v>17</v>
      </c>
      <c r="RL136" s="47">
        <v>0</v>
      </c>
      <c r="RM136" s="47">
        <v>0</v>
      </c>
      <c r="RN136" s="47">
        <v>-5</v>
      </c>
      <c r="RO136" s="43"/>
      <c r="RP136" s="42">
        <v>0</v>
      </c>
      <c r="RQ136" s="47">
        <v>0</v>
      </c>
      <c r="RR136" s="47">
        <v>0</v>
      </c>
      <c r="RS136" s="43"/>
      <c r="RT136" s="42">
        <v>0</v>
      </c>
      <c r="RU136" s="47">
        <v>0</v>
      </c>
      <c r="RV136" s="47">
        <v>0</v>
      </c>
      <c r="RW136" s="47">
        <v>0</v>
      </c>
      <c r="RX136" s="47">
        <v>0</v>
      </c>
      <c r="RY136" s="43"/>
      <c r="RZ136" s="42">
        <v>0</v>
      </c>
      <c r="SA136" s="47">
        <v>0</v>
      </c>
      <c r="SB136" s="47">
        <v>0</v>
      </c>
      <c r="SC136" s="47">
        <v>0</v>
      </c>
      <c r="SD136" s="47">
        <v>0</v>
      </c>
      <c r="SE136" s="43"/>
      <c r="SF136" s="42">
        <v>0</v>
      </c>
      <c r="SG136" s="47">
        <v>0</v>
      </c>
      <c r="SH136" s="47">
        <v>48</v>
      </c>
      <c r="SI136" s="47">
        <v>0</v>
      </c>
      <c r="SJ136" s="47">
        <v>48</v>
      </c>
      <c r="SK136" s="43"/>
      <c r="SL136" s="42">
        <v>0</v>
      </c>
      <c r="SM136" s="47">
        <v>0</v>
      </c>
      <c r="SN136" s="47">
        <v>0</v>
      </c>
      <c r="SO136" s="43"/>
      <c r="SP136" s="42">
        <v>0</v>
      </c>
      <c r="SQ136" s="47">
        <v>0</v>
      </c>
      <c r="SR136" s="47">
        <v>0</v>
      </c>
      <c r="SS136" s="47">
        <v>0</v>
      </c>
      <c r="ST136" s="47">
        <v>0</v>
      </c>
      <c r="SU136" s="43"/>
    </row>
    <row r="137" spans="1:515" x14ac:dyDescent="0.25">
      <c r="A137" s="47" t="s">
        <v>444</v>
      </c>
      <c r="B137" s="41">
        <v>0.15</v>
      </c>
      <c r="J137" s="42"/>
      <c r="K137" s="51"/>
      <c r="L137" s="51"/>
      <c r="M137" s="51"/>
      <c r="N137" s="51">
        <f t="shared" si="15"/>
        <v>0</v>
      </c>
      <c r="O137" s="43"/>
      <c r="P137" s="46"/>
      <c r="Q137" s="51"/>
      <c r="R137" s="51"/>
      <c r="S137" s="51"/>
      <c r="T137" s="51">
        <f t="shared" si="16"/>
        <v>0</v>
      </c>
      <c r="U137" s="43"/>
      <c r="V137" s="42"/>
      <c r="W137" s="51"/>
      <c r="X137" s="51"/>
      <c r="Y137" s="51"/>
      <c r="Z137" s="51">
        <f t="shared" si="17"/>
        <v>0</v>
      </c>
      <c r="AA137" s="43"/>
      <c r="AB137" s="42"/>
      <c r="AC137" s="51"/>
      <c r="AD137" s="51"/>
      <c r="AE137" s="51"/>
      <c r="AF137" s="51">
        <v>0</v>
      </c>
      <c r="AG137" s="43"/>
      <c r="AH137" s="51"/>
      <c r="AL137" s="47">
        <v>0</v>
      </c>
      <c r="AM137" s="43"/>
      <c r="AN137" s="42"/>
      <c r="AR137" s="47">
        <v>0</v>
      </c>
      <c r="AS137" s="43"/>
      <c r="AX137" s="47">
        <v>0</v>
      </c>
      <c r="AY137" s="43"/>
      <c r="BD137" s="47">
        <v>0</v>
      </c>
      <c r="BE137" s="43"/>
      <c r="BF137" s="42"/>
      <c r="BJ137" s="47">
        <v>0</v>
      </c>
      <c r="BK137" s="43"/>
      <c r="BL137" s="42"/>
      <c r="BP137" s="47">
        <v>0</v>
      </c>
      <c r="BQ137" s="43"/>
      <c r="BV137" s="47">
        <v>0</v>
      </c>
      <c r="BW137" s="43"/>
      <c r="BX137" s="42"/>
      <c r="CB137" s="47">
        <v>0</v>
      </c>
      <c r="CC137" s="43"/>
      <c r="CH137" s="47">
        <v>0</v>
      </c>
      <c r="CI137" s="43"/>
      <c r="CN137" s="47">
        <v>0</v>
      </c>
      <c r="CO137" s="43"/>
      <c r="CP137" s="42"/>
      <c r="CT137" s="47">
        <v>0</v>
      </c>
      <c r="CU137" s="43"/>
      <c r="CV137" s="42"/>
      <c r="CZ137" s="47">
        <v>0</v>
      </c>
      <c r="DA137" s="43"/>
      <c r="DG137" s="47">
        <v>0</v>
      </c>
      <c r="DH137" s="43"/>
      <c r="DK137" s="47">
        <v>0</v>
      </c>
      <c r="DL137" s="43"/>
      <c r="DM137" s="42"/>
      <c r="DQ137" s="47">
        <v>0</v>
      </c>
      <c r="DR137" s="43"/>
      <c r="DW137" s="47">
        <v>0</v>
      </c>
      <c r="DX137" s="43"/>
      <c r="EC137" s="47">
        <v>0</v>
      </c>
      <c r="ED137" s="43"/>
      <c r="EE137" s="42"/>
      <c r="EI137" s="47">
        <v>0</v>
      </c>
      <c r="EJ137" s="43"/>
      <c r="EO137" s="47">
        <v>0</v>
      </c>
      <c r="EP137" s="43"/>
      <c r="EQ137" s="42"/>
      <c r="EU137" s="47">
        <v>0</v>
      </c>
      <c r="EV137" s="43"/>
      <c r="EW137" s="42"/>
      <c r="FC137" s="47">
        <v>0</v>
      </c>
      <c r="FD137" s="43"/>
      <c r="FE137" s="42"/>
      <c r="FI137" s="47">
        <v>0</v>
      </c>
      <c r="FJ137" s="43"/>
      <c r="FQ137" s="47">
        <v>0</v>
      </c>
      <c r="FR137" s="43"/>
      <c r="FS137" s="42"/>
      <c r="FW137" s="47">
        <v>0</v>
      </c>
      <c r="FX137" s="43"/>
      <c r="FY137" s="42"/>
      <c r="GC137" s="47">
        <v>0</v>
      </c>
      <c r="GD137" s="43"/>
      <c r="GE137" s="42"/>
      <c r="GI137" s="47">
        <v>0</v>
      </c>
      <c r="GJ137" s="43"/>
      <c r="GQ137" s="47">
        <v>0</v>
      </c>
      <c r="GR137" s="43"/>
      <c r="GX137" s="47">
        <v>0</v>
      </c>
      <c r="GY137" s="43"/>
      <c r="GZ137" s="42"/>
      <c r="HC137" s="47">
        <v>0</v>
      </c>
      <c r="HD137" s="43"/>
      <c r="HE137" s="42"/>
      <c r="HH137" s="47">
        <v>0</v>
      </c>
      <c r="HI137" s="43"/>
      <c r="HN137" s="47">
        <v>0</v>
      </c>
      <c r="HO137" s="43"/>
      <c r="HP137" s="42"/>
      <c r="HU137" s="47">
        <v>0</v>
      </c>
      <c r="HV137" s="43"/>
      <c r="IA137" s="47">
        <v>0</v>
      </c>
      <c r="IB137" s="43"/>
      <c r="IC137" s="42"/>
      <c r="IG137" s="47">
        <v>0</v>
      </c>
      <c r="IH137" s="43"/>
      <c r="IM137" s="47">
        <v>0</v>
      </c>
      <c r="IN137" s="43"/>
      <c r="IO137" s="42"/>
      <c r="IQ137" s="47">
        <v>0</v>
      </c>
      <c r="IR137" s="43"/>
      <c r="IS137" s="42"/>
      <c r="IW137" s="47">
        <v>0</v>
      </c>
      <c r="IX137" s="43"/>
      <c r="IY137" s="42"/>
      <c r="JA137" s="47">
        <v>0</v>
      </c>
      <c r="JB137" s="43"/>
      <c r="JC137" s="42"/>
      <c r="JG137" s="47">
        <v>0</v>
      </c>
      <c r="JH137" s="43"/>
      <c r="JO137" s="47">
        <v>0</v>
      </c>
      <c r="JP137" s="43"/>
      <c r="JQ137" s="42"/>
      <c r="JU137" s="47">
        <v>0</v>
      </c>
      <c r="JV137" s="43"/>
      <c r="KA137" s="47">
        <v>0</v>
      </c>
      <c r="KB137" s="45"/>
      <c r="KG137" s="47">
        <v>0</v>
      </c>
      <c r="KH137" s="45"/>
      <c r="KM137" s="47">
        <v>0</v>
      </c>
      <c r="KN137" s="45"/>
      <c r="KS137" s="47">
        <v>0</v>
      </c>
      <c r="KT137" s="43"/>
      <c r="KW137" s="47">
        <v>0</v>
      </c>
      <c r="KX137" s="45"/>
      <c r="LC137" s="47">
        <v>0</v>
      </c>
      <c r="LD137" s="43"/>
      <c r="LE137" s="46"/>
      <c r="LG137" s="47">
        <v>0</v>
      </c>
      <c r="LH137" s="45"/>
      <c r="LM137" s="47">
        <v>0</v>
      </c>
      <c r="LN137" s="45"/>
      <c r="LS137" s="47">
        <v>0</v>
      </c>
      <c r="LT137" s="45"/>
      <c r="LW137">
        <v>12</v>
      </c>
      <c r="LX137">
        <v>12</v>
      </c>
      <c r="LY137" s="47">
        <v>0</v>
      </c>
      <c r="LZ137" s="45"/>
      <c r="ME137" s="47">
        <v>0</v>
      </c>
      <c r="MF137" s="45"/>
      <c r="MG137" s="46"/>
      <c r="MM137" s="47">
        <v>0</v>
      </c>
      <c r="MN137" s="45"/>
      <c r="MO137" s="44">
        <v>0</v>
      </c>
      <c r="MP137" s="44">
        <v>0</v>
      </c>
      <c r="MQ137" s="44">
        <v>12</v>
      </c>
      <c r="MR137" s="44">
        <v>6</v>
      </c>
      <c r="MS137" s="47">
        <v>6</v>
      </c>
      <c r="MT137" s="45"/>
      <c r="MU137" s="44">
        <v>0</v>
      </c>
      <c r="MV137" s="44">
        <v>0</v>
      </c>
      <c r="MW137" s="44">
        <v>0</v>
      </c>
      <c r="MX137" s="44">
        <v>0</v>
      </c>
      <c r="MY137" s="47">
        <v>0</v>
      </c>
      <c r="MZ137" s="45"/>
      <c r="NA137" s="46">
        <v>12</v>
      </c>
      <c r="NB137" s="44">
        <v>12</v>
      </c>
      <c r="NC137" s="47">
        <v>0</v>
      </c>
      <c r="ND137" s="45"/>
      <c r="NE137" s="46">
        <v>0</v>
      </c>
      <c r="NF137" s="44">
        <v>0</v>
      </c>
      <c r="NG137" s="44">
        <v>12</v>
      </c>
      <c r="NH137" s="44">
        <v>0</v>
      </c>
      <c r="NI137" s="44">
        <v>10</v>
      </c>
      <c r="NJ137" s="47">
        <v>2</v>
      </c>
      <c r="NK137" s="45"/>
      <c r="NL137" s="46">
        <v>0</v>
      </c>
      <c r="NM137" s="44">
        <v>0</v>
      </c>
      <c r="NN137" s="44">
        <v>0</v>
      </c>
      <c r="NO137" s="44">
        <v>0</v>
      </c>
      <c r="NP137" s="47">
        <v>0</v>
      </c>
      <c r="NQ137" s="45"/>
      <c r="NR137" s="46">
        <v>0</v>
      </c>
      <c r="NS137" s="44">
        <v>0</v>
      </c>
      <c r="NT137" s="47">
        <v>0</v>
      </c>
      <c r="NU137" s="45"/>
      <c r="NV137" s="46">
        <v>0</v>
      </c>
      <c r="NW137" s="44">
        <v>0</v>
      </c>
      <c r="NX137" s="44">
        <v>36</v>
      </c>
      <c r="NY137" s="44">
        <v>39</v>
      </c>
      <c r="NZ137" s="47">
        <v>-3</v>
      </c>
      <c r="OA137" s="45"/>
      <c r="OB137" s="46">
        <v>0</v>
      </c>
      <c r="OC137" s="44">
        <v>0</v>
      </c>
      <c r="OD137" s="47">
        <v>0</v>
      </c>
      <c r="OE137" s="45"/>
      <c r="OF137" s="46">
        <v>0</v>
      </c>
      <c r="OG137" s="44">
        <v>0</v>
      </c>
      <c r="OH137" s="44">
        <v>24</v>
      </c>
      <c r="OI137" s="44">
        <v>25</v>
      </c>
      <c r="OJ137" s="47">
        <v>-1</v>
      </c>
      <c r="OK137" s="45"/>
      <c r="OL137" s="44">
        <v>0</v>
      </c>
      <c r="OM137" s="43"/>
      <c r="ON137" s="44">
        <v>12</v>
      </c>
      <c r="OO137" s="44">
        <v>12</v>
      </c>
      <c r="OP137" s="47">
        <v>0</v>
      </c>
      <c r="OQ137" s="45"/>
      <c r="OR137" s="46">
        <v>0</v>
      </c>
      <c r="OS137" s="44">
        <v>0</v>
      </c>
      <c r="OT137" s="44">
        <v>24</v>
      </c>
      <c r="OU137" s="44">
        <v>24</v>
      </c>
      <c r="OV137" s="47">
        <v>0</v>
      </c>
      <c r="OW137" s="45"/>
      <c r="OX137" s="46">
        <v>0</v>
      </c>
      <c r="OY137" s="44">
        <v>0</v>
      </c>
      <c r="OZ137" s="44">
        <v>12</v>
      </c>
      <c r="PA137" s="44">
        <v>12</v>
      </c>
      <c r="PB137" s="47">
        <v>0</v>
      </c>
      <c r="PC137" s="45"/>
      <c r="PD137" s="46">
        <v>0</v>
      </c>
      <c r="PE137" s="44">
        <v>0</v>
      </c>
      <c r="PF137" s="44">
        <v>12</v>
      </c>
      <c r="PG137" s="44">
        <v>12</v>
      </c>
      <c r="PH137" s="47">
        <v>0</v>
      </c>
      <c r="PI137" s="45"/>
      <c r="PJ137" s="46">
        <v>0</v>
      </c>
      <c r="PK137" s="44">
        <v>0</v>
      </c>
      <c r="PL137" s="44">
        <v>0</v>
      </c>
      <c r="PM137" s="44">
        <v>0</v>
      </c>
      <c r="PN137" s="47">
        <v>0</v>
      </c>
      <c r="PO137" s="45"/>
      <c r="PP137" s="46">
        <v>0</v>
      </c>
      <c r="PQ137" s="44">
        <v>0</v>
      </c>
      <c r="PR137" s="44">
        <v>0</v>
      </c>
      <c r="PS137" s="44">
        <v>0</v>
      </c>
      <c r="PT137" s="47">
        <v>0</v>
      </c>
      <c r="PU137" s="45"/>
      <c r="PV137" s="46">
        <v>0</v>
      </c>
      <c r="PW137" s="44">
        <v>0</v>
      </c>
      <c r="PX137" s="47">
        <v>0</v>
      </c>
      <c r="PY137" s="45"/>
      <c r="PZ137" s="46">
        <v>0</v>
      </c>
      <c r="QA137" s="44">
        <v>0</v>
      </c>
      <c r="QB137" s="47">
        <v>0</v>
      </c>
      <c r="QC137" s="45"/>
      <c r="QD137" s="46">
        <v>0</v>
      </c>
      <c r="QE137" s="44">
        <v>0</v>
      </c>
      <c r="QF137" s="44">
        <v>0</v>
      </c>
      <c r="QG137" s="44">
        <v>0</v>
      </c>
      <c r="QH137" s="47">
        <v>0</v>
      </c>
      <c r="QI137" s="45"/>
      <c r="QJ137" s="46">
        <v>0</v>
      </c>
      <c r="QK137" s="44">
        <v>0</v>
      </c>
      <c r="QL137" s="47">
        <v>0</v>
      </c>
      <c r="QM137" s="45"/>
      <c r="QN137" s="46">
        <v>0</v>
      </c>
      <c r="QO137" s="44">
        <v>0</v>
      </c>
      <c r="QP137" s="44">
        <v>24</v>
      </c>
      <c r="QQ137" s="44">
        <v>28</v>
      </c>
      <c r="QR137" s="47">
        <v>-4</v>
      </c>
      <c r="QS137" s="45"/>
      <c r="QT137" s="46">
        <v>0</v>
      </c>
      <c r="QU137" s="44">
        <v>0</v>
      </c>
      <c r="QV137" s="47">
        <v>0</v>
      </c>
      <c r="QW137" s="45"/>
      <c r="QX137" s="46">
        <v>0</v>
      </c>
      <c r="QY137" s="44">
        <v>0</v>
      </c>
      <c r="QZ137" s="44">
        <v>0</v>
      </c>
      <c r="RA137" s="44">
        <v>0</v>
      </c>
      <c r="RB137" s="47">
        <v>0</v>
      </c>
      <c r="RC137" s="45"/>
      <c r="RD137" s="42">
        <v>0</v>
      </c>
      <c r="RE137" s="44">
        <v>0</v>
      </c>
      <c r="RF137" s="44">
        <v>0</v>
      </c>
      <c r="RG137" s="44">
        <v>0</v>
      </c>
      <c r="RH137" s="47">
        <v>0</v>
      </c>
      <c r="RI137" s="45"/>
      <c r="RJ137" s="42">
        <v>0</v>
      </c>
      <c r="RK137" s="47">
        <v>0</v>
      </c>
      <c r="RL137" s="47">
        <v>0</v>
      </c>
      <c r="RM137" s="47">
        <v>0</v>
      </c>
      <c r="RN137" s="47">
        <v>0</v>
      </c>
      <c r="RO137" s="43"/>
      <c r="RP137" s="42">
        <v>12</v>
      </c>
      <c r="RQ137" s="47">
        <v>10</v>
      </c>
      <c r="RR137" s="47">
        <v>2</v>
      </c>
      <c r="RS137" s="43"/>
      <c r="RT137" s="42">
        <v>0</v>
      </c>
      <c r="RU137" s="47">
        <v>0</v>
      </c>
      <c r="RV137" s="47">
        <v>0</v>
      </c>
      <c r="RW137" s="47">
        <v>0</v>
      </c>
      <c r="RX137" s="47">
        <v>0</v>
      </c>
      <c r="RY137" s="43"/>
      <c r="RZ137" s="42">
        <v>0</v>
      </c>
      <c r="SA137" s="47">
        <v>0</v>
      </c>
      <c r="SB137" s="47">
        <v>0</v>
      </c>
      <c r="SC137" s="47">
        <v>0</v>
      </c>
      <c r="SD137" s="47">
        <v>0</v>
      </c>
      <c r="SE137" s="43"/>
      <c r="SF137" s="42">
        <v>0</v>
      </c>
      <c r="SG137" s="47">
        <v>0</v>
      </c>
      <c r="SH137" s="47">
        <v>48</v>
      </c>
      <c r="SI137" s="47">
        <v>0</v>
      </c>
      <c r="SJ137" s="47">
        <v>48</v>
      </c>
      <c r="SK137" s="43"/>
      <c r="SL137" s="42">
        <v>0</v>
      </c>
      <c r="SM137" s="47">
        <v>0</v>
      </c>
      <c r="SN137" s="47">
        <v>0</v>
      </c>
      <c r="SO137" s="43"/>
      <c r="SP137" s="42">
        <v>0</v>
      </c>
      <c r="SQ137" s="47">
        <v>0</v>
      </c>
      <c r="SR137" s="47">
        <v>0</v>
      </c>
      <c r="SS137" s="47">
        <v>0</v>
      </c>
      <c r="ST137" s="47">
        <v>0</v>
      </c>
      <c r="SU137" s="43"/>
    </row>
    <row r="138" spans="1:515" x14ac:dyDescent="0.25">
      <c r="A138" s="47" t="s">
        <v>445</v>
      </c>
      <c r="B138" s="41">
        <v>0.15</v>
      </c>
      <c r="J138" s="42"/>
      <c r="K138" s="51"/>
      <c r="L138" s="51"/>
      <c r="M138" s="51"/>
      <c r="N138" s="51">
        <f t="shared" si="15"/>
        <v>0</v>
      </c>
      <c r="O138" s="43"/>
      <c r="P138" s="46"/>
      <c r="Q138" s="51"/>
      <c r="R138" s="51"/>
      <c r="S138" s="51"/>
      <c r="T138" s="51">
        <f t="shared" si="16"/>
        <v>0</v>
      </c>
      <c r="U138" s="43"/>
      <c r="V138" s="42"/>
      <c r="W138" s="51"/>
      <c r="X138" s="51"/>
      <c r="Y138" s="51"/>
      <c r="Z138" s="51">
        <f t="shared" si="17"/>
        <v>0</v>
      </c>
      <c r="AA138" s="43"/>
      <c r="AB138" s="42"/>
      <c r="AC138" s="51"/>
      <c r="AD138" s="51"/>
      <c r="AE138" s="51"/>
      <c r="AF138" s="51">
        <v>0</v>
      </c>
      <c r="AG138" s="43"/>
      <c r="AH138" s="51"/>
      <c r="AL138" s="47">
        <v>0</v>
      </c>
      <c r="AM138" s="43"/>
      <c r="AN138" s="42"/>
      <c r="AR138" s="47">
        <v>0</v>
      </c>
      <c r="AS138" s="43"/>
      <c r="AX138" s="47">
        <v>0</v>
      </c>
      <c r="AY138" s="43"/>
      <c r="BD138" s="47">
        <v>0</v>
      </c>
      <c r="BE138" s="43"/>
      <c r="BF138" s="42"/>
      <c r="BJ138" s="47">
        <v>0</v>
      </c>
      <c r="BK138" s="43"/>
      <c r="BL138" s="42"/>
      <c r="BP138" s="47">
        <v>0</v>
      </c>
      <c r="BQ138" s="43"/>
      <c r="BV138" s="47">
        <v>0</v>
      </c>
      <c r="BW138" s="43"/>
      <c r="BX138" s="42"/>
      <c r="CB138" s="47">
        <v>0</v>
      </c>
      <c r="CC138" s="43"/>
      <c r="CH138" s="47">
        <v>0</v>
      </c>
      <c r="CI138" s="43"/>
      <c r="CN138" s="47">
        <v>0</v>
      </c>
      <c r="CO138" s="43"/>
      <c r="CP138" s="42"/>
      <c r="CT138" s="47">
        <v>0</v>
      </c>
      <c r="CU138" s="43"/>
      <c r="CV138" s="42"/>
      <c r="CZ138" s="47">
        <v>0</v>
      </c>
      <c r="DA138" s="43"/>
      <c r="DG138" s="47">
        <v>0</v>
      </c>
      <c r="DH138" s="43"/>
      <c r="DK138" s="47">
        <v>0</v>
      </c>
      <c r="DL138" s="43"/>
      <c r="DM138" s="42"/>
      <c r="DQ138" s="47">
        <v>0</v>
      </c>
      <c r="DR138" s="43"/>
      <c r="DW138" s="47">
        <v>0</v>
      </c>
      <c r="DX138" s="43"/>
      <c r="EC138" s="47">
        <v>0</v>
      </c>
      <c r="ED138" s="43"/>
      <c r="EE138" s="42"/>
      <c r="EI138" s="47">
        <v>0</v>
      </c>
      <c r="EJ138" s="43"/>
      <c r="EO138" s="47">
        <v>0</v>
      </c>
      <c r="EP138" s="43"/>
      <c r="EQ138" s="42"/>
      <c r="EU138" s="47">
        <v>0</v>
      </c>
      <c r="EV138" s="43"/>
      <c r="EW138" s="42"/>
      <c r="FC138" s="47">
        <v>0</v>
      </c>
      <c r="FD138" s="43"/>
      <c r="FE138" s="42"/>
      <c r="FI138" s="47">
        <v>0</v>
      </c>
      <c r="FJ138" s="43"/>
      <c r="FQ138" s="47">
        <v>0</v>
      </c>
      <c r="FR138" s="43"/>
      <c r="FS138" s="42"/>
      <c r="FW138" s="47">
        <v>0</v>
      </c>
      <c r="FX138" s="43"/>
      <c r="FY138" s="42"/>
      <c r="GC138" s="47">
        <v>0</v>
      </c>
      <c r="GD138" s="43"/>
      <c r="GE138" s="42"/>
      <c r="GI138" s="47">
        <v>0</v>
      </c>
      <c r="GJ138" s="43"/>
      <c r="GQ138" s="47">
        <v>0</v>
      </c>
      <c r="GR138" s="43"/>
      <c r="GX138" s="47">
        <v>0</v>
      </c>
      <c r="GY138" s="43"/>
      <c r="GZ138" s="42"/>
      <c r="HC138" s="47">
        <v>0</v>
      </c>
      <c r="HD138" s="43"/>
      <c r="HE138" s="42"/>
      <c r="HH138" s="47">
        <v>0</v>
      </c>
      <c r="HI138" s="43"/>
      <c r="HN138" s="47">
        <v>0</v>
      </c>
      <c r="HO138" s="43"/>
      <c r="HP138" s="42"/>
      <c r="HU138" s="47">
        <v>0</v>
      </c>
      <c r="HV138" s="43"/>
      <c r="IA138" s="47">
        <v>0</v>
      </c>
      <c r="IB138" s="43"/>
      <c r="IC138" s="42"/>
      <c r="IG138" s="47">
        <v>0</v>
      </c>
      <c r="IH138" s="43"/>
      <c r="IM138" s="47">
        <v>0</v>
      </c>
      <c r="IN138" s="43"/>
      <c r="IO138" s="42"/>
      <c r="IQ138" s="47">
        <v>0</v>
      </c>
      <c r="IR138" s="43"/>
      <c r="IS138" s="42"/>
      <c r="IW138" s="47">
        <v>0</v>
      </c>
      <c r="IX138" s="43"/>
      <c r="IY138" s="42"/>
      <c r="JA138" s="47">
        <v>0</v>
      </c>
      <c r="JB138" s="43"/>
      <c r="JC138" s="42"/>
      <c r="JG138" s="47">
        <v>0</v>
      </c>
      <c r="JH138" s="43"/>
      <c r="JO138" s="47">
        <v>0</v>
      </c>
      <c r="JP138" s="43"/>
      <c r="JQ138" s="42"/>
      <c r="JU138" s="47">
        <v>0</v>
      </c>
      <c r="JV138" s="43"/>
      <c r="KA138" s="47">
        <v>0</v>
      </c>
      <c r="KB138" s="45"/>
      <c r="KG138" s="47">
        <v>0</v>
      </c>
      <c r="KH138" s="45"/>
      <c r="KM138" s="47">
        <v>0</v>
      </c>
      <c r="KN138" s="45"/>
      <c r="KS138" s="47">
        <v>0</v>
      </c>
      <c r="KT138" s="43"/>
      <c r="KW138" s="47">
        <v>0</v>
      </c>
      <c r="KX138" s="45"/>
      <c r="LC138" s="47">
        <v>0</v>
      </c>
      <c r="LD138" s="43"/>
      <c r="LE138" s="46"/>
      <c r="LG138" s="47">
        <v>0</v>
      </c>
      <c r="LH138" s="45"/>
      <c r="LM138" s="47">
        <v>0</v>
      </c>
      <c r="LN138" s="45"/>
      <c r="LS138" s="47">
        <v>0</v>
      </c>
      <c r="LT138" s="45"/>
      <c r="LY138" s="47">
        <v>0</v>
      </c>
      <c r="LZ138" s="45"/>
      <c r="MC138">
        <v>24</v>
      </c>
      <c r="MD138">
        <v>27</v>
      </c>
      <c r="ME138" s="47">
        <v>-3</v>
      </c>
      <c r="MF138" s="45"/>
      <c r="MG138" s="46"/>
      <c r="MM138" s="47">
        <v>0</v>
      </c>
      <c r="MN138" s="45"/>
      <c r="MO138" s="44">
        <v>0</v>
      </c>
      <c r="MP138" s="44">
        <v>0</v>
      </c>
      <c r="MQ138" s="44">
        <v>12</v>
      </c>
      <c r="MR138" s="44">
        <v>19</v>
      </c>
      <c r="MS138" s="47">
        <v>-7</v>
      </c>
      <c r="MT138" s="45"/>
      <c r="MU138" s="44">
        <v>0</v>
      </c>
      <c r="MV138" s="44">
        <v>0</v>
      </c>
      <c r="MW138" s="44">
        <v>0</v>
      </c>
      <c r="MX138" s="44">
        <v>0</v>
      </c>
      <c r="MY138" s="47">
        <v>0</v>
      </c>
      <c r="MZ138" s="45"/>
      <c r="NA138" s="46">
        <v>12</v>
      </c>
      <c r="NB138" s="44">
        <v>13</v>
      </c>
      <c r="NC138" s="47">
        <v>-1</v>
      </c>
      <c r="ND138" s="45"/>
      <c r="NE138" s="46">
        <v>0</v>
      </c>
      <c r="NF138" s="44">
        <v>0</v>
      </c>
      <c r="NG138" s="44">
        <v>0</v>
      </c>
      <c r="NH138" s="44">
        <v>0</v>
      </c>
      <c r="NI138" s="44">
        <v>0</v>
      </c>
      <c r="NJ138" s="47">
        <v>0</v>
      </c>
      <c r="NK138" s="45"/>
      <c r="NL138" s="46">
        <v>0</v>
      </c>
      <c r="NM138" s="44">
        <v>0</v>
      </c>
      <c r="NN138" s="44">
        <v>0</v>
      </c>
      <c r="NO138" s="44">
        <v>0</v>
      </c>
      <c r="NP138" s="47">
        <v>0</v>
      </c>
      <c r="NQ138" s="45"/>
      <c r="NR138" s="46">
        <v>0</v>
      </c>
      <c r="NS138" s="44">
        <v>0</v>
      </c>
      <c r="NT138" s="47">
        <v>0</v>
      </c>
      <c r="NU138" s="45"/>
      <c r="NV138" s="46">
        <v>0</v>
      </c>
      <c r="NW138" s="44">
        <v>0</v>
      </c>
      <c r="NX138" s="44">
        <v>60</v>
      </c>
      <c r="NY138" s="44">
        <v>64</v>
      </c>
      <c r="NZ138" s="47">
        <v>-4</v>
      </c>
      <c r="OA138" s="45"/>
      <c r="OB138" s="46">
        <v>0</v>
      </c>
      <c r="OC138" s="44">
        <v>0</v>
      </c>
      <c r="OD138" s="47">
        <v>0</v>
      </c>
      <c r="OE138" s="45"/>
      <c r="OF138" s="46">
        <v>0</v>
      </c>
      <c r="OG138" s="44">
        <v>0</v>
      </c>
      <c r="OH138" s="44">
        <v>0</v>
      </c>
      <c r="OI138" s="44">
        <v>0</v>
      </c>
      <c r="OJ138" s="47">
        <v>0</v>
      </c>
      <c r="OK138" s="45"/>
      <c r="OL138" s="44">
        <v>0</v>
      </c>
      <c r="OM138" s="43"/>
      <c r="ON138" s="44">
        <v>12</v>
      </c>
      <c r="OO138" s="44">
        <v>12</v>
      </c>
      <c r="OP138" s="47">
        <v>0</v>
      </c>
      <c r="OQ138" s="45"/>
      <c r="OR138" s="46">
        <v>0</v>
      </c>
      <c r="OS138" s="44">
        <v>0</v>
      </c>
      <c r="OT138" s="44">
        <v>24</v>
      </c>
      <c r="OU138" s="44">
        <v>24</v>
      </c>
      <c r="OV138" s="47">
        <v>0</v>
      </c>
      <c r="OW138" s="45"/>
      <c r="OX138" s="46">
        <v>0</v>
      </c>
      <c r="OY138" s="44">
        <v>0</v>
      </c>
      <c r="OZ138" s="44">
        <v>12</v>
      </c>
      <c r="PA138" s="44">
        <v>12</v>
      </c>
      <c r="PB138" s="47">
        <v>0</v>
      </c>
      <c r="PC138" s="45"/>
      <c r="PD138" s="46">
        <v>0</v>
      </c>
      <c r="PE138" s="44">
        <v>0</v>
      </c>
      <c r="PF138" s="44">
        <v>0</v>
      </c>
      <c r="PG138" s="44">
        <v>0</v>
      </c>
      <c r="PH138" s="47">
        <v>0</v>
      </c>
      <c r="PI138" s="45"/>
      <c r="PJ138" s="46">
        <v>0</v>
      </c>
      <c r="PK138" s="44">
        <v>0</v>
      </c>
      <c r="PL138" s="44">
        <v>0</v>
      </c>
      <c r="PM138" s="44">
        <v>0</v>
      </c>
      <c r="PN138" s="47">
        <v>0</v>
      </c>
      <c r="PO138" s="45"/>
      <c r="PP138" s="46">
        <v>0</v>
      </c>
      <c r="PQ138" s="44">
        <v>0</v>
      </c>
      <c r="PR138" s="44">
        <v>0</v>
      </c>
      <c r="PS138" s="44">
        <v>0</v>
      </c>
      <c r="PT138" s="47">
        <v>0</v>
      </c>
      <c r="PU138" s="45"/>
      <c r="PV138" s="46">
        <v>0</v>
      </c>
      <c r="PW138" s="44">
        <v>0</v>
      </c>
      <c r="PX138" s="47">
        <v>0</v>
      </c>
      <c r="PY138" s="45"/>
      <c r="PZ138" s="46">
        <v>0</v>
      </c>
      <c r="QA138" s="44">
        <v>0</v>
      </c>
      <c r="QB138" s="47">
        <v>0</v>
      </c>
      <c r="QC138" s="45"/>
      <c r="QD138" s="46">
        <v>0</v>
      </c>
      <c r="QE138" s="44">
        <v>0</v>
      </c>
      <c r="QF138" s="44">
        <v>0</v>
      </c>
      <c r="QG138" s="44">
        <v>0</v>
      </c>
      <c r="QH138" s="47">
        <v>0</v>
      </c>
      <c r="QI138" s="45"/>
      <c r="QJ138" s="46">
        <v>0</v>
      </c>
      <c r="QK138" s="44">
        <v>0</v>
      </c>
      <c r="QL138" s="47">
        <v>0</v>
      </c>
      <c r="QM138" s="45"/>
      <c r="QN138" s="46">
        <v>0</v>
      </c>
      <c r="QO138" s="44">
        <v>0</v>
      </c>
      <c r="QP138" s="44">
        <v>12</v>
      </c>
      <c r="QQ138" s="44">
        <v>20</v>
      </c>
      <c r="QR138" s="47">
        <v>-8</v>
      </c>
      <c r="QS138" s="45"/>
      <c r="QT138" s="46">
        <v>0</v>
      </c>
      <c r="QU138" s="44">
        <v>0</v>
      </c>
      <c r="QV138" s="47">
        <v>0</v>
      </c>
      <c r="QW138" s="45"/>
      <c r="QX138" s="46">
        <v>0</v>
      </c>
      <c r="QY138" s="44">
        <v>0</v>
      </c>
      <c r="QZ138" s="44">
        <v>0</v>
      </c>
      <c r="RA138" s="44">
        <v>0</v>
      </c>
      <c r="RB138" s="47">
        <v>0</v>
      </c>
      <c r="RC138" s="45"/>
      <c r="RD138" s="42">
        <v>0</v>
      </c>
      <c r="RE138" s="44">
        <v>0</v>
      </c>
      <c r="RF138" s="44">
        <v>0</v>
      </c>
      <c r="RG138" s="44">
        <v>0</v>
      </c>
      <c r="RH138" s="47">
        <v>0</v>
      </c>
      <c r="RI138" s="45"/>
      <c r="RJ138" s="42">
        <v>0</v>
      </c>
      <c r="RK138" s="47">
        <v>0</v>
      </c>
      <c r="RL138" s="47">
        <v>0</v>
      </c>
      <c r="RM138" s="47">
        <v>0</v>
      </c>
      <c r="RN138" s="47">
        <v>0</v>
      </c>
      <c r="RO138" s="43"/>
      <c r="RP138" s="42">
        <v>0</v>
      </c>
      <c r="RQ138" s="47">
        <v>0</v>
      </c>
      <c r="RR138" s="47">
        <v>0</v>
      </c>
      <c r="RS138" s="43"/>
      <c r="RT138" s="42">
        <v>0</v>
      </c>
      <c r="RU138" s="47">
        <v>0</v>
      </c>
      <c r="RV138" s="47">
        <v>0</v>
      </c>
      <c r="RW138" s="47">
        <v>0</v>
      </c>
      <c r="RX138" s="47">
        <v>0</v>
      </c>
      <c r="RY138" s="43"/>
      <c r="RZ138" s="42">
        <v>0</v>
      </c>
      <c r="SA138" s="47">
        <v>0</v>
      </c>
      <c r="SB138" s="47">
        <v>0</v>
      </c>
      <c r="SC138" s="47">
        <v>0</v>
      </c>
      <c r="SD138" s="47">
        <v>0</v>
      </c>
      <c r="SE138" s="43"/>
      <c r="SF138" s="42">
        <v>0</v>
      </c>
      <c r="SG138" s="47">
        <v>0</v>
      </c>
      <c r="SH138" s="47">
        <v>48</v>
      </c>
      <c r="SI138" s="47">
        <v>0</v>
      </c>
      <c r="SJ138" s="47">
        <v>48</v>
      </c>
      <c r="SK138" s="43"/>
      <c r="SL138" s="42">
        <v>0</v>
      </c>
      <c r="SM138" s="47">
        <v>0</v>
      </c>
      <c r="SN138" s="47">
        <v>0</v>
      </c>
      <c r="SO138" s="43"/>
      <c r="SP138" s="42">
        <v>0</v>
      </c>
      <c r="SQ138" s="47">
        <v>0</v>
      </c>
      <c r="SR138" s="47">
        <v>0</v>
      </c>
      <c r="SS138" s="47">
        <v>0</v>
      </c>
      <c r="ST138" s="47">
        <v>0</v>
      </c>
      <c r="SU138" s="43"/>
    </row>
    <row r="139" spans="1:515" x14ac:dyDescent="0.25">
      <c r="A139" s="47" t="s">
        <v>446</v>
      </c>
      <c r="B139" s="41">
        <v>1</v>
      </c>
      <c r="E139">
        <v>190</v>
      </c>
      <c r="J139" s="40">
        <v>490</v>
      </c>
      <c r="K139" s="52">
        <v>493</v>
      </c>
      <c r="L139" s="52">
        <v>411</v>
      </c>
      <c r="M139" s="52">
        <v>402</v>
      </c>
      <c r="N139" s="51">
        <f t="shared" si="15"/>
        <v>6</v>
      </c>
      <c r="O139" s="43"/>
      <c r="P139" s="40">
        <v>318</v>
      </c>
      <c r="Q139" s="52">
        <v>323</v>
      </c>
      <c r="R139" s="52">
        <v>278</v>
      </c>
      <c r="S139" s="52">
        <v>277</v>
      </c>
      <c r="T139" s="51">
        <f t="shared" si="16"/>
        <v>-4</v>
      </c>
      <c r="U139" s="43"/>
      <c r="V139" s="40">
        <v>84</v>
      </c>
      <c r="W139" s="52">
        <v>89</v>
      </c>
      <c r="X139" s="51"/>
      <c r="Y139" s="51"/>
      <c r="Z139" s="51">
        <f t="shared" si="17"/>
        <v>-5</v>
      </c>
      <c r="AA139" s="43"/>
      <c r="AB139" s="40">
        <v>200</v>
      </c>
      <c r="AC139" s="56">
        <v>202.60869565217391</v>
      </c>
      <c r="AD139" s="52">
        <v>256</v>
      </c>
      <c r="AE139" s="56">
        <v>263.39130434782612</v>
      </c>
      <c r="AF139" s="57">
        <v>-10.00000000000003</v>
      </c>
      <c r="AG139" s="43">
        <v>10.00000000000003</v>
      </c>
      <c r="AH139" s="52">
        <v>289</v>
      </c>
      <c r="AI139">
        <v>301</v>
      </c>
      <c r="AJ139">
        <v>236</v>
      </c>
      <c r="AK139">
        <v>241</v>
      </c>
      <c r="AL139" s="50">
        <v>-17</v>
      </c>
      <c r="AM139" s="43">
        <v>17</v>
      </c>
      <c r="AN139" s="40">
        <v>193</v>
      </c>
      <c r="AO139">
        <v>200</v>
      </c>
      <c r="AP139">
        <v>97</v>
      </c>
      <c r="AQ139">
        <v>101</v>
      </c>
      <c r="AR139" s="50">
        <v>-11</v>
      </c>
      <c r="AS139" s="43">
        <v>11</v>
      </c>
      <c r="AT139">
        <v>496</v>
      </c>
      <c r="AU139">
        <v>500</v>
      </c>
      <c r="AV139">
        <v>363</v>
      </c>
      <c r="AW139">
        <v>365</v>
      </c>
      <c r="AX139" s="47">
        <v>-6</v>
      </c>
      <c r="AY139" s="43"/>
      <c r="AZ139">
        <v>161</v>
      </c>
      <c r="BA139">
        <v>160</v>
      </c>
      <c r="BB139">
        <v>110</v>
      </c>
      <c r="BC139">
        <v>107</v>
      </c>
      <c r="BD139" s="47">
        <v>4</v>
      </c>
      <c r="BE139" s="43"/>
      <c r="BF139" s="40">
        <v>160</v>
      </c>
      <c r="BG139">
        <v>160</v>
      </c>
      <c r="BH139">
        <v>110</v>
      </c>
      <c r="BI139">
        <v>106</v>
      </c>
      <c r="BJ139" s="47">
        <v>4</v>
      </c>
      <c r="BK139" s="43"/>
      <c r="BL139" s="40">
        <v>410</v>
      </c>
      <c r="BM139">
        <v>400</v>
      </c>
      <c r="BN139">
        <v>411</v>
      </c>
      <c r="BO139">
        <v>422</v>
      </c>
      <c r="BP139" s="47">
        <v>-1</v>
      </c>
      <c r="BQ139" s="43"/>
      <c r="BR139">
        <v>250</v>
      </c>
      <c r="BS139">
        <v>250</v>
      </c>
      <c r="BT139">
        <v>187</v>
      </c>
      <c r="BU139">
        <v>188</v>
      </c>
      <c r="BV139" s="47">
        <v>-1</v>
      </c>
      <c r="BW139" s="43"/>
      <c r="BX139" s="40">
        <v>283</v>
      </c>
      <c r="BY139">
        <v>280</v>
      </c>
      <c r="BZ139">
        <v>336</v>
      </c>
      <c r="CA139">
        <v>326</v>
      </c>
      <c r="CB139" s="47">
        <v>13</v>
      </c>
      <c r="CC139" s="43"/>
      <c r="CD139">
        <v>320</v>
      </c>
      <c r="CE139">
        <v>320</v>
      </c>
      <c r="CF139">
        <v>320</v>
      </c>
      <c r="CG139">
        <v>322</v>
      </c>
      <c r="CH139" s="47">
        <v>-2</v>
      </c>
      <c r="CI139" s="43"/>
      <c r="CJ139">
        <v>305</v>
      </c>
      <c r="CK139">
        <v>300</v>
      </c>
      <c r="CL139">
        <v>298</v>
      </c>
      <c r="CM139">
        <v>306</v>
      </c>
      <c r="CN139" s="47">
        <v>-3</v>
      </c>
      <c r="CO139" s="43"/>
      <c r="CP139" s="40">
        <v>205</v>
      </c>
      <c r="CQ139">
        <v>200</v>
      </c>
      <c r="CR139">
        <v>259</v>
      </c>
      <c r="CS139">
        <v>261</v>
      </c>
      <c r="CT139" s="47">
        <v>3</v>
      </c>
      <c r="CU139" s="43"/>
      <c r="CV139" s="40">
        <v>89</v>
      </c>
      <c r="CW139">
        <v>90</v>
      </c>
      <c r="CX139">
        <v>101</v>
      </c>
      <c r="CY139">
        <v>104</v>
      </c>
      <c r="CZ139" s="47">
        <v>-4</v>
      </c>
      <c r="DA139" s="43"/>
      <c r="DB139">
        <v>451</v>
      </c>
      <c r="DC139">
        <v>450</v>
      </c>
      <c r="DE139">
        <v>533</v>
      </c>
      <c r="DF139">
        <v>534</v>
      </c>
      <c r="DG139" s="47">
        <v>0</v>
      </c>
      <c r="DH139" s="43"/>
      <c r="DI139">
        <v>200</v>
      </c>
      <c r="DJ139">
        <v>200</v>
      </c>
      <c r="DK139" s="47">
        <v>0</v>
      </c>
      <c r="DL139" s="43"/>
      <c r="DM139" s="40">
        <v>393</v>
      </c>
      <c r="DN139">
        <v>390</v>
      </c>
      <c r="DO139">
        <v>368</v>
      </c>
      <c r="DP139">
        <v>368</v>
      </c>
      <c r="DQ139" s="47">
        <v>3</v>
      </c>
      <c r="DR139" s="43"/>
      <c r="DS139">
        <v>100</v>
      </c>
      <c r="DT139">
        <v>100</v>
      </c>
      <c r="DU139">
        <v>76</v>
      </c>
      <c r="DV139">
        <v>80</v>
      </c>
      <c r="DW139" s="47">
        <v>-4</v>
      </c>
      <c r="DX139" s="43"/>
      <c r="DY139">
        <v>250</v>
      </c>
      <c r="DZ139">
        <v>250</v>
      </c>
      <c r="EA139">
        <v>259</v>
      </c>
      <c r="EB139">
        <v>265</v>
      </c>
      <c r="EC139" s="47">
        <v>-6</v>
      </c>
      <c r="ED139" s="43"/>
      <c r="EE139" s="42"/>
      <c r="EG139">
        <v>252</v>
      </c>
      <c r="EH139">
        <v>253</v>
      </c>
      <c r="EI139" s="47">
        <v>-1</v>
      </c>
      <c r="EJ139" s="43"/>
      <c r="EK139">
        <v>108</v>
      </c>
      <c r="EL139">
        <v>110</v>
      </c>
      <c r="EM139">
        <v>193</v>
      </c>
      <c r="EN139">
        <v>194</v>
      </c>
      <c r="EO139" s="47">
        <v>-3</v>
      </c>
      <c r="EP139" s="43"/>
      <c r="EQ139" s="42"/>
      <c r="ES139">
        <v>431</v>
      </c>
      <c r="ET139">
        <v>432</v>
      </c>
      <c r="EU139" s="47">
        <v>-1</v>
      </c>
      <c r="EV139" s="43"/>
      <c r="EW139" s="42"/>
      <c r="FA139">
        <v>231</v>
      </c>
      <c r="FB139">
        <v>230</v>
      </c>
      <c r="FC139" s="47">
        <v>1</v>
      </c>
      <c r="FD139" s="43"/>
      <c r="FE139" s="40">
        <v>145</v>
      </c>
      <c r="FF139">
        <v>140</v>
      </c>
      <c r="FG139">
        <v>102</v>
      </c>
      <c r="FH139">
        <v>100</v>
      </c>
      <c r="FI139" s="47">
        <v>7</v>
      </c>
      <c r="FJ139" s="43"/>
      <c r="FK139">
        <v>202</v>
      </c>
      <c r="FL139">
        <v>200</v>
      </c>
      <c r="FM139">
        <v>304</v>
      </c>
      <c r="FN139">
        <v>300</v>
      </c>
      <c r="FO139">
        <v>403</v>
      </c>
      <c r="FP139">
        <v>400</v>
      </c>
      <c r="FQ139" s="47">
        <v>9</v>
      </c>
      <c r="FR139" s="43"/>
      <c r="FS139" s="42"/>
      <c r="FW139" s="47">
        <v>0</v>
      </c>
      <c r="FX139" s="43"/>
      <c r="FY139" s="40">
        <v>286</v>
      </c>
      <c r="FZ139">
        <v>290</v>
      </c>
      <c r="GA139">
        <v>301</v>
      </c>
      <c r="GB139">
        <v>300</v>
      </c>
      <c r="GC139" s="47">
        <v>-3</v>
      </c>
      <c r="GD139" s="43"/>
      <c r="GE139" s="40">
        <v>331</v>
      </c>
      <c r="GF139">
        <v>330</v>
      </c>
      <c r="GG139">
        <v>339</v>
      </c>
      <c r="GH139">
        <v>340</v>
      </c>
      <c r="GI139" s="47">
        <v>0</v>
      </c>
      <c r="GJ139" s="43"/>
      <c r="GM139">
        <v>17</v>
      </c>
      <c r="GN139">
        <v>20</v>
      </c>
      <c r="GO139">
        <v>25</v>
      </c>
      <c r="GP139">
        <v>30</v>
      </c>
      <c r="GQ139" s="47">
        <v>-8</v>
      </c>
      <c r="GR139" s="43"/>
      <c r="GS139">
        <v>403</v>
      </c>
      <c r="GT139">
        <v>400</v>
      </c>
      <c r="GU139">
        <v>361</v>
      </c>
      <c r="GW139">
        <v>360</v>
      </c>
      <c r="GX139" s="47">
        <v>4</v>
      </c>
      <c r="GY139" s="43"/>
      <c r="GZ139" s="40">
        <v>184</v>
      </c>
      <c r="HB139" s="44">
        <v>184.28739999999999</v>
      </c>
      <c r="HC139" s="47">
        <v>-0.287399999999991</v>
      </c>
      <c r="HD139" s="43"/>
      <c r="HE139" s="40">
        <v>391</v>
      </c>
      <c r="HG139">
        <v>388</v>
      </c>
      <c r="HH139" s="47">
        <v>3</v>
      </c>
      <c r="HI139" s="43"/>
      <c r="HN139" s="47">
        <v>0</v>
      </c>
      <c r="HO139" s="43"/>
      <c r="HP139" s="40">
        <v>220</v>
      </c>
      <c r="HR139">
        <v>220</v>
      </c>
      <c r="HS139">
        <v>220</v>
      </c>
      <c r="HT139">
        <v>220</v>
      </c>
      <c r="HU139" s="47">
        <v>0</v>
      </c>
      <c r="HV139" s="43"/>
      <c r="HY139">
        <v>42</v>
      </c>
      <c r="HZ139">
        <v>43</v>
      </c>
      <c r="IA139" s="47">
        <v>-1</v>
      </c>
      <c r="IB139" s="43"/>
      <c r="IC139" s="42"/>
      <c r="IG139" s="47">
        <v>0</v>
      </c>
      <c r="IH139" s="43"/>
      <c r="II139">
        <v>262</v>
      </c>
      <c r="IJ139">
        <v>260</v>
      </c>
      <c r="IK139">
        <v>317</v>
      </c>
      <c r="IL139">
        <v>320</v>
      </c>
      <c r="IM139" s="47">
        <v>-1</v>
      </c>
      <c r="IN139" s="43"/>
      <c r="IO139" s="40">
        <v>42</v>
      </c>
      <c r="IP139" s="44">
        <v>41.324399999999997</v>
      </c>
      <c r="IQ139" s="47">
        <v>0.67560000000000286</v>
      </c>
      <c r="IR139" s="43"/>
      <c r="IS139" s="40">
        <v>203</v>
      </c>
      <c r="IT139">
        <v>200</v>
      </c>
      <c r="IU139">
        <v>227</v>
      </c>
      <c r="IV139">
        <v>230</v>
      </c>
      <c r="IW139" s="47">
        <v>0</v>
      </c>
      <c r="IX139" s="43"/>
      <c r="IY139" s="42"/>
      <c r="JA139" s="47">
        <v>0</v>
      </c>
      <c r="JB139" s="43"/>
      <c r="JC139" s="40">
        <v>59</v>
      </c>
      <c r="JD139">
        <v>60</v>
      </c>
      <c r="JG139" s="47">
        <v>-1</v>
      </c>
      <c r="JH139" s="43"/>
      <c r="JI139">
        <v>152</v>
      </c>
      <c r="JJ139">
        <v>150</v>
      </c>
      <c r="JM139">
        <v>152</v>
      </c>
      <c r="JN139">
        <v>150</v>
      </c>
      <c r="JO139" s="47">
        <v>4</v>
      </c>
      <c r="JP139" s="43"/>
      <c r="JQ139" s="40">
        <v>302</v>
      </c>
      <c r="JR139">
        <v>300</v>
      </c>
      <c r="JS139">
        <v>252</v>
      </c>
      <c r="JT139">
        <v>250</v>
      </c>
      <c r="JU139" s="47">
        <v>4</v>
      </c>
      <c r="JV139" s="43"/>
      <c r="JY139">
        <v>332</v>
      </c>
      <c r="JZ139">
        <v>340</v>
      </c>
      <c r="KA139" s="47">
        <v>-8</v>
      </c>
      <c r="KB139" s="45"/>
      <c r="KC139">
        <v>99</v>
      </c>
      <c r="KD139">
        <v>100</v>
      </c>
      <c r="KE139">
        <v>202</v>
      </c>
      <c r="KF139">
        <v>200</v>
      </c>
      <c r="KG139" s="47">
        <v>1</v>
      </c>
      <c r="KH139" s="45"/>
      <c r="KI139">
        <v>259</v>
      </c>
      <c r="KJ139">
        <v>260</v>
      </c>
      <c r="KK139">
        <v>101</v>
      </c>
      <c r="KL139">
        <v>100</v>
      </c>
      <c r="KM139" s="47">
        <v>0</v>
      </c>
      <c r="KN139" s="45"/>
      <c r="KO139">
        <v>326</v>
      </c>
      <c r="KP139">
        <v>330</v>
      </c>
      <c r="KQ139">
        <v>287</v>
      </c>
      <c r="KR139">
        <v>290</v>
      </c>
      <c r="KS139" s="47">
        <v>-7</v>
      </c>
      <c r="KT139" s="43"/>
      <c r="KU139">
        <v>102</v>
      </c>
      <c r="KV139">
        <v>100</v>
      </c>
      <c r="KW139" s="47">
        <v>2</v>
      </c>
      <c r="KX139" s="45"/>
      <c r="KY139">
        <v>153</v>
      </c>
      <c r="KZ139">
        <v>150</v>
      </c>
      <c r="LA139">
        <v>51</v>
      </c>
      <c r="LB139">
        <v>50</v>
      </c>
      <c r="LC139" s="47">
        <v>4</v>
      </c>
      <c r="LD139" s="43"/>
      <c r="LE139" s="40">
        <v>405</v>
      </c>
      <c r="LF139" s="44">
        <v>460</v>
      </c>
      <c r="LG139" s="50">
        <v>-55</v>
      </c>
      <c r="LH139" s="45">
        <v>55</v>
      </c>
      <c r="LK139">
        <v>229</v>
      </c>
      <c r="LL139">
        <v>226</v>
      </c>
      <c r="LM139" s="47">
        <v>3</v>
      </c>
      <c r="LN139" s="45"/>
      <c r="LO139">
        <v>42</v>
      </c>
      <c r="LP139">
        <v>40</v>
      </c>
      <c r="LS139" s="47">
        <v>2</v>
      </c>
      <c r="LT139" s="45"/>
      <c r="LU139">
        <v>101</v>
      </c>
      <c r="LV139">
        <v>100</v>
      </c>
      <c r="LW139">
        <v>59</v>
      </c>
      <c r="LX139">
        <v>60</v>
      </c>
      <c r="LY139" s="47">
        <v>0</v>
      </c>
      <c r="LZ139" s="45"/>
      <c r="MA139">
        <v>152</v>
      </c>
      <c r="MB139">
        <v>150</v>
      </c>
      <c r="MC139">
        <v>320</v>
      </c>
      <c r="MD139">
        <v>320</v>
      </c>
      <c r="ME139" s="47">
        <v>2</v>
      </c>
      <c r="MF139" s="45"/>
      <c r="MG139" s="46"/>
      <c r="MH139">
        <v>50</v>
      </c>
      <c r="MI139">
        <v>67</v>
      </c>
      <c r="MJ139">
        <v>70</v>
      </c>
      <c r="MM139" s="50">
        <v>-53</v>
      </c>
      <c r="MN139" s="45">
        <v>53</v>
      </c>
      <c r="MO139" s="44">
        <v>0</v>
      </c>
      <c r="MP139" s="44">
        <v>0</v>
      </c>
      <c r="MQ139" s="44">
        <v>352.935</v>
      </c>
      <c r="MR139" s="44">
        <v>350</v>
      </c>
      <c r="MS139" s="47">
        <v>2.9350000000000018</v>
      </c>
      <c r="MT139" s="45"/>
      <c r="MU139" s="44">
        <v>0</v>
      </c>
      <c r="MV139" s="44">
        <v>0</v>
      </c>
      <c r="MW139" s="44">
        <v>0</v>
      </c>
      <c r="MX139" s="44">
        <v>0</v>
      </c>
      <c r="MY139" s="47">
        <v>0</v>
      </c>
      <c r="MZ139" s="45"/>
      <c r="NA139" s="46">
        <v>313.92399999999998</v>
      </c>
      <c r="NB139" s="44">
        <v>310</v>
      </c>
      <c r="NC139" s="47">
        <v>3.9239999999999782</v>
      </c>
      <c r="ND139" s="45"/>
      <c r="NE139" s="46">
        <v>201.92500000000001</v>
      </c>
      <c r="NF139" s="44">
        <v>200</v>
      </c>
      <c r="NG139" s="44">
        <v>202.602</v>
      </c>
      <c r="NH139" s="44">
        <v>0</v>
      </c>
      <c r="NI139" s="44">
        <v>200</v>
      </c>
      <c r="NJ139" s="47">
        <v>4.5270000000000437</v>
      </c>
      <c r="NK139" s="45"/>
      <c r="NL139" s="46">
        <v>109.392</v>
      </c>
      <c r="NM139" s="44">
        <v>110</v>
      </c>
      <c r="NN139" s="44">
        <v>99.994</v>
      </c>
      <c r="NO139" s="44">
        <v>100</v>
      </c>
      <c r="NP139" s="47">
        <v>-0.61400000000000432</v>
      </c>
      <c r="NQ139" s="45"/>
      <c r="NR139" s="46">
        <v>0</v>
      </c>
      <c r="NS139" s="44">
        <v>0</v>
      </c>
      <c r="NT139" s="47">
        <v>0</v>
      </c>
      <c r="NU139" s="45"/>
      <c r="NV139" s="46">
        <v>226.417</v>
      </c>
      <c r="NW139" s="44">
        <v>230</v>
      </c>
      <c r="NX139" s="44">
        <v>405.55799999999999</v>
      </c>
      <c r="NY139" s="44">
        <v>400</v>
      </c>
      <c r="NZ139" s="47">
        <v>1.975000000000023</v>
      </c>
      <c r="OA139" s="45"/>
      <c r="OB139" s="46">
        <v>673.596</v>
      </c>
      <c r="OC139" s="44">
        <v>670</v>
      </c>
      <c r="OD139" s="47">
        <v>3.5960000000000041</v>
      </c>
      <c r="OE139" s="45"/>
      <c r="OF139" s="46">
        <v>118.616</v>
      </c>
      <c r="OG139" s="44">
        <v>120</v>
      </c>
      <c r="OH139" s="44">
        <v>201.298</v>
      </c>
      <c r="OI139" s="44">
        <v>200</v>
      </c>
      <c r="OJ139" s="47">
        <v>-8.6000000000012733E-2</v>
      </c>
      <c r="OK139" s="45"/>
      <c r="OL139" s="44">
        <v>0</v>
      </c>
      <c r="OM139" s="43"/>
      <c r="ON139" s="44">
        <v>236.404</v>
      </c>
      <c r="OO139" s="44">
        <v>240</v>
      </c>
      <c r="OP139" s="47">
        <v>-3.5960000000000041</v>
      </c>
      <c r="OQ139" s="45"/>
      <c r="OR139" s="46">
        <v>76.292000000000002</v>
      </c>
      <c r="OS139" s="44">
        <v>80</v>
      </c>
      <c r="OT139" s="44">
        <v>118.27200000000001</v>
      </c>
      <c r="OU139" s="44">
        <v>120</v>
      </c>
      <c r="OV139" s="47">
        <v>-5.4359999999999786</v>
      </c>
      <c r="OW139" s="45"/>
      <c r="OX139" s="25">
        <v>59.024000000000001</v>
      </c>
      <c r="OY139" s="44">
        <v>0</v>
      </c>
      <c r="OZ139" s="44">
        <v>50.688000000000002</v>
      </c>
      <c r="PA139" s="44">
        <v>48</v>
      </c>
      <c r="PB139" s="47">
        <v>61.712000000000003</v>
      </c>
      <c r="PC139" s="45"/>
      <c r="PD139" s="46">
        <v>221.34899999999999</v>
      </c>
      <c r="PE139" s="44">
        <v>220</v>
      </c>
      <c r="PF139" s="44">
        <v>304.70499999999998</v>
      </c>
      <c r="PG139" s="44">
        <v>300</v>
      </c>
      <c r="PH139" s="47">
        <v>6.0539999999999736</v>
      </c>
      <c r="PI139" s="45"/>
      <c r="PJ139" s="25">
        <v>251.42099999999999</v>
      </c>
      <c r="PK139" s="44">
        <v>0</v>
      </c>
      <c r="PL139" s="44">
        <v>200.983</v>
      </c>
      <c r="PM139" s="44">
        <v>200</v>
      </c>
      <c r="PN139" s="47">
        <v>252.404</v>
      </c>
      <c r="PO139" s="45"/>
      <c r="PP139" s="46">
        <v>101.50700000000001</v>
      </c>
      <c r="PQ139" s="44">
        <v>100</v>
      </c>
      <c r="PR139" s="44">
        <v>100.1</v>
      </c>
      <c r="PS139" s="44">
        <v>100</v>
      </c>
      <c r="PT139" s="47">
        <v>1.6069999999999991</v>
      </c>
      <c r="PU139" s="45"/>
      <c r="PV139" s="46">
        <v>543.27800000000002</v>
      </c>
      <c r="PW139" s="44">
        <v>550</v>
      </c>
      <c r="PX139" s="47">
        <v>-6.72199999999998</v>
      </c>
      <c r="PY139" s="45"/>
      <c r="PZ139" s="46">
        <v>0</v>
      </c>
      <c r="QA139" s="44">
        <v>0</v>
      </c>
      <c r="QB139" s="47">
        <v>0</v>
      </c>
      <c r="QC139" s="45"/>
      <c r="QD139" s="46">
        <v>446.553</v>
      </c>
      <c r="QE139" s="44">
        <v>450</v>
      </c>
      <c r="QF139" s="44">
        <v>354.46199999999999</v>
      </c>
      <c r="QG139" s="44">
        <v>351.13099999999997</v>
      </c>
      <c r="QH139" s="47">
        <v>-0.11599999999998541</v>
      </c>
      <c r="QI139" s="45"/>
      <c r="QJ139" s="46">
        <v>0</v>
      </c>
      <c r="QK139" s="44">
        <v>0</v>
      </c>
      <c r="QL139" s="47">
        <v>0</v>
      </c>
      <c r="QM139" s="45"/>
      <c r="QN139" s="46">
        <v>125.244</v>
      </c>
      <c r="QO139" s="44">
        <v>130</v>
      </c>
      <c r="QP139" s="44">
        <v>101.919</v>
      </c>
      <c r="QQ139" s="44">
        <v>100</v>
      </c>
      <c r="QR139" s="47">
        <v>-2.8369999999999891</v>
      </c>
      <c r="QS139" s="45"/>
      <c r="QT139" s="46">
        <v>0</v>
      </c>
      <c r="QU139" s="44">
        <v>0</v>
      </c>
      <c r="QV139" s="47">
        <v>0</v>
      </c>
      <c r="QW139" s="45"/>
      <c r="QX139" s="46">
        <v>0</v>
      </c>
      <c r="QY139" s="44">
        <v>0</v>
      </c>
      <c r="QZ139" s="44">
        <v>0</v>
      </c>
      <c r="RA139" s="44">
        <v>0</v>
      </c>
      <c r="RB139" s="47">
        <v>0</v>
      </c>
      <c r="RC139" s="45"/>
      <c r="RD139" s="18">
        <v>300.238</v>
      </c>
      <c r="RE139" s="44">
        <v>0</v>
      </c>
      <c r="RF139" s="44">
        <v>124.959</v>
      </c>
      <c r="RG139" s="44">
        <v>124</v>
      </c>
      <c r="RH139" s="47">
        <v>301.197</v>
      </c>
      <c r="RI139" s="45"/>
      <c r="RJ139" s="8">
        <v>149.19499999999999</v>
      </c>
      <c r="RK139" s="47">
        <v>0</v>
      </c>
      <c r="RL139" s="7">
        <v>150.29</v>
      </c>
      <c r="RM139" s="47">
        <v>0</v>
      </c>
      <c r="RN139" s="47">
        <v>0</v>
      </c>
      <c r="RO139" s="43"/>
      <c r="RP139" s="8">
        <v>854.37</v>
      </c>
      <c r="RQ139" s="47">
        <v>0</v>
      </c>
      <c r="RR139" s="47">
        <v>0</v>
      </c>
      <c r="RS139" s="43"/>
      <c r="RT139" s="8">
        <v>334.96100000000001</v>
      </c>
      <c r="RU139" s="47">
        <v>0</v>
      </c>
      <c r="RV139" s="7">
        <v>595.26099999999997</v>
      </c>
      <c r="RW139" s="47">
        <v>0</v>
      </c>
      <c r="RX139" s="47">
        <v>0</v>
      </c>
      <c r="RY139" s="43"/>
      <c r="RZ139" s="42">
        <v>0</v>
      </c>
      <c r="SA139" s="47">
        <v>0</v>
      </c>
      <c r="SB139" s="47">
        <v>0</v>
      </c>
      <c r="SC139" s="47">
        <v>0</v>
      </c>
      <c r="SD139" s="47">
        <v>0</v>
      </c>
      <c r="SE139" s="43"/>
      <c r="SF139" s="42">
        <v>0</v>
      </c>
      <c r="SG139" s="47">
        <v>0</v>
      </c>
      <c r="SH139" s="47">
        <v>0</v>
      </c>
      <c r="SI139" s="47">
        <v>0</v>
      </c>
      <c r="SJ139" s="47">
        <v>0</v>
      </c>
      <c r="SK139" s="43"/>
      <c r="SL139" s="42">
        <v>0</v>
      </c>
      <c r="SM139" s="47">
        <v>0</v>
      </c>
      <c r="SN139" s="47">
        <v>0</v>
      </c>
      <c r="SO139" s="43"/>
      <c r="SP139" s="42">
        <v>0</v>
      </c>
      <c r="SQ139" s="47">
        <v>0</v>
      </c>
      <c r="SR139" s="47">
        <v>0</v>
      </c>
      <c r="SS139" s="47">
        <v>0</v>
      </c>
      <c r="ST139" s="47">
        <v>0</v>
      </c>
      <c r="SU139" s="43"/>
    </row>
    <row r="140" spans="1:515" x14ac:dyDescent="0.25">
      <c r="A140" s="47" t="s">
        <v>447</v>
      </c>
      <c r="B140" s="41">
        <v>1</v>
      </c>
      <c r="E140">
        <v>39</v>
      </c>
      <c r="F140">
        <v>24</v>
      </c>
      <c r="G140">
        <v>24</v>
      </c>
      <c r="J140" s="40">
        <v>34</v>
      </c>
      <c r="K140" s="52">
        <v>34</v>
      </c>
      <c r="L140" s="52">
        <v>28</v>
      </c>
      <c r="M140" s="52">
        <v>28</v>
      </c>
      <c r="N140" s="51">
        <f t="shared" si="15"/>
        <v>0</v>
      </c>
      <c r="O140" s="43"/>
      <c r="P140" s="46"/>
      <c r="Q140" s="51"/>
      <c r="R140" s="52">
        <v>20</v>
      </c>
      <c r="S140" s="52">
        <v>20</v>
      </c>
      <c r="T140" s="51">
        <f t="shared" si="16"/>
        <v>0</v>
      </c>
      <c r="U140" s="43"/>
      <c r="V140" s="40">
        <v>38</v>
      </c>
      <c r="W140" s="52">
        <v>40</v>
      </c>
      <c r="X140" s="52">
        <v>24</v>
      </c>
      <c r="Y140" s="52">
        <v>24</v>
      </c>
      <c r="Z140" s="51">
        <f t="shared" si="17"/>
        <v>-2</v>
      </c>
      <c r="AA140" s="43"/>
      <c r="AB140" s="42"/>
      <c r="AC140" s="51"/>
      <c r="AD140" s="52">
        <v>23</v>
      </c>
      <c r="AE140" s="56">
        <v>25</v>
      </c>
      <c r="AF140" s="51">
        <v>-2</v>
      </c>
      <c r="AG140" s="43"/>
      <c r="AH140" s="51"/>
      <c r="AL140" s="47">
        <v>0</v>
      </c>
      <c r="AM140" s="43"/>
      <c r="AN140" s="40">
        <v>31</v>
      </c>
      <c r="AO140">
        <v>30</v>
      </c>
      <c r="AP140">
        <v>31</v>
      </c>
      <c r="AQ140">
        <v>30</v>
      </c>
      <c r="AR140" s="47">
        <v>2</v>
      </c>
      <c r="AS140" s="43"/>
      <c r="AX140" s="47">
        <v>0</v>
      </c>
      <c r="AY140" s="43"/>
      <c r="BB140">
        <v>50</v>
      </c>
      <c r="BD140" s="47">
        <v>50</v>
      </c>
      <c r="BE140" s="43"/>
      <c r="BF140" s="42"/>
      <c r="BJ140" s="47">
        <v>0</v>
      </c>
      <c r="BK140" s="43"/>
      <c r="BL140" s="42"/>
      <c r="BP140" s="47">
        <v>0</v>
      </c>
      <c r="BQ140" s="43"/>
      <c r="BW140" s="43"/>
      <c r="BX140" s="40"/>
      <c r="CC140" s="43"/>
      <c r="CI140" s="43"/>
      <c r="CO140" s="43"/>
      <c r="CP140" s="40"/>
      <c r="CU140" s="43"/>
      <c r="CV140" s="40"/>
      <c r="DA140" s="43"/>
      <c r="DH140" s="43"/>
      <c r="DL140" s="43"/>
      <c r="DM140" s="40"/>
      <c r="DR140" s="43"/>
      <c r="DX140" s="43"/>
      <c r="ED140" s="43"/>
      <c r="EE140" s="42"/>
      <c r="EJ140" s="43"/>
      <c r="EP140" s="43"/>
      <c r="EQ140" s="42"/>
      <c r="EV140" s="43"/>
      <c r="EW140" s="42"/>
      <c r="FD140" s="43"/>
      <c r="FE140" s="40"/>
      <c r="FJ140" s="43"/>
      <c r="FP140" s="47"/>
      <c r="FR140" s="43"/>
      <c r="FS140" s="42"/>
      <c r="FV140" s="47"/>
      <c r="FX140" s="43"/>
      <c r="FY140" s="40"/>
      <c r="GD140" s="43"/>
      <c r="GE140" s="40"/>
      <c r="GJ140" s="43"/>
      <c r="GR140" s="43"/>
      <c r="GT140" s="47"/>
      <c r="GY140" s="43"/>
      <c r="GZ140" s="40"/>
      <c r="HD140" s="43"/>
      <c r="HE140" s="40"/>
      <c r="HH140" s="47"/>
      <c r="HI140" s="43"/>
      <c r="HO140" s="43"/>
      <c r="HP140" s="40"/>
      <c r="HR140" s="47"/>
      <c r="HV140" s="43"/>
      <c r="IB140" s="43"/>
      <c r="IC140" s="42"/>
      <c r="IH140" s="43"/>
      <c r="IN140" s="43"/>
      <c r="IO140" s="40"/>
      <c r="IR140" s="43"/>
      <c r="IS140" s="40"/>
      <c r="IX140" s="43"/>
      <c r="IY140" s="42"/>
      <c r="JB140" s="43"/>
      <c r="JC140" s="40"/>
      <c r="JH140" s="43"/>
      <c r="JK140" s="44"/>
      <c r="JP140" s="43"/>
      <c r="JQ140" s="40"/>
      <c r="JV140" s="43"/>
      <c r="KB140" s="45"/>
      <c r="KH140" s="45"/>
      <c r="KN140" s="45"/>
      <c r="KT140" s="43"/>
      <c r="KX140" s="45"/>
      <c r="LD140" s="43"/>
      <c r="LE140" s="40"/>
      <c r="LF140" s="44"/>
      <c r="LH140" s="45"/>
      <c r="LN140" s="45"/>
      <c r="LT140" s="45"/>
      <c r="LZ140" s="45"/>
      <c r="MF140" s="45"/>
      <c r="MG140" s="46"/>
      <c r="MN140" s="45"/>
      <c r="MO140" s="44"/>
      <c r="MP140" s="44"/>
      <c r="MQ140" s="44"/>
      <c r="MR140" s="44"/>
      <c r="MT140" s="45"/>
      <c r="MU140" s="44"/>
      <c r="MV140" s="44"/>
      <c r="MW140" s="44"/>
      <c r="MX140" s="44"/>
      <c r="MZ140" s="45"/>
      <c r="NA140" s="46"/>
      <c r="NB140" s="44"/>
      <c r="ND140" s="45"/>
      <c r="NE140" s="46"/>
      <c r="NF140" s="44"/>
      <c r="NG140" s="44"/>
      <c r="NH140" s="44"/>
      <c r="NI140" s="44"/>
      <c r="NK140" s="45"/>
      <c r="NL140" s="46"/>
      <c r="NM140" s="44"/>
      <c r="NN140" s="44"/>
      <c r="NO140" s="44"/>
      <c r="NQ140" s="45"/>
      <c r="NR140" s="46"/>
      <c r="NS140" s="44"/>
      <c r="NU140" s="45"/>
      <c r="NV140" s="46"/>
      <c r="NW140" s="44"/>
      <c r="NX140" s="44"/>
      <c r="NY140" s="44"/>
      <c r="OA140" s="45"/>
      <c r="OB140" s="46"/>
      <c r="OC140" s="44"/>
      <c r="OE140" s="45"/>
      <c r="OF140" s="46"/>
      <c r="OG140" s="44"/>
      <c r="OH140" s="44"/>
      <c r="OI140" s="44"/>
      <c r="OK140" s="45"/>
      <c r="OL140" s="44"/>
      <c r="OM140" s="43"/>
      <c r="ON140" s="44"/>
      <c r="OO140" s="44"/>
      <c r="OQ140" s="45"/>
      <c r="OR140" s="46"/>
      <c r="OS140" s="44"/>
      <c r="OT140" s="44"/>
      <c r="OU140" s="44"/>
      <c r="OW140" s="45"/>
      <c r="OX140" s="46"/>
      <c r="OY140" s="44"/>
      <c r="OZ140" s="44"/>
      <c r="PA140" s="44"/>
      <c r="PC140" s="45"/>
      <c r="PD140" s="46"/>
      <c r="PE140" s="44"/>
      <c r="PF140" s="44"/>
      <c r="PG140" s="44"/>
      <c r="PI140" s="45"/>
      <c r="PJ140" s="46"/>
      <c r="PK140" s="44"/>
      <c r="PL140" s="44"/>
      <c r="PM140" s="44"/>
      <c r="PO140" s="45"/>
      <c r="PP140" s="46"/>
      <c r="PQ140" s="44"/>
      <c r="PR140" s="44"/>
      <c r="PS140" s="44"/>
      <c r="PU140" s="45"/>
      <c r="PV140" s="46"/>
      <c r="PW140" s="44"/>
      <c r="PY140" s="45"/>
      <c r="PZ140" s="46"/>
      <c r="QA140" s="44"/>
      <c r="QC140" s="45"/>
      <c r="QD140" s="46"/>
      <c r="QE140" s="44"/>
      <c r="QF140" s="44"/>
      <c r="QG140" s="44"/>
      <c r="QI140" s="45"/>
      <c r="QJ140" s="46"/>
      <c r="QK140" s="44"/>
      <c r="QM140" s="45"/>
      <c r="QN140" s="46"/>
      <c r="QO140" s="44"/>
      <c r="QP140" s="44"/>
      <c r="QQ140" s="44"/>
      <c r="QS140" s="45"/>
      <c r="QT140" s="46"/>
      <c r="QU140" s="44"/>
      <c r="QW140" s="45"/>
      <c r="QX140" s="46"/>
      <c r="QY140" s="44"/>
      <c r="QZ140" s="44"/>
      <c r="RA140" s="44"/>
      <c r="RC140" s="45"/>
      <c r="RD140" s="42"/>
      <c r="RE140" s="44"/>
      <c r="RF140" s="44"/>
      <c r="RG140" s="44"/>
      <c r="RI140" s="45"/>
      <c r="RJ140" s="42"/>
      <c r="RO140" s="43"/>
      <c r="RP140" s="42"/>
      <c r="RS140" s="43"/>
      <c r="RT140" s="42"/>
      <c r="RY140" s="43"/>
      <c r="RZ140" s="42"/>
      <c r="SE140" s="43"/>
      <c r="SF140" s="42"/>
      <c r="SK140" s="43"/>
      <c r="SL140" s="42"/>
      <c r="SO140" s="43"/>
      <c r="SP140" s="42"/>
      <c r="SU140" s="43"/>
    </row>
    <row r="141" spans="1:515" x14ac:dyDescent="0.25">
      <c r="A141" s="47" t="s">
        <v>448</v>
      </c>
      <c r="B141" s="41">
        <v>0.1</v>
      </c>
      <c r="E141">
        <v>40</v>
      </c>
      <c r="F141">
        <v>50</v>
      </c>
      <c r="G141">
        <v>50</v>
      </c>
      <c r="J141" s="42"/>
      <c r="K141" s="51"/>
      <c r="L141" s="52">
        <v>10</v>
      </c>
      <c r="M141" s="52">
        <v>10</v>
      </c>
      <c r="N141" s="51">
        <f t="shared" si="15"/>
        <v>0</v>
      </c>
      <c r="O141" s="43"/>
      <c r="P141" s="40">
        <v>30</v>
      </c>
      <c r="Q141" s="52">
        <v>30</v>
      </c>
      <c r="R141" s="52">
        <v>20</v>
      </c>
      <c r="S141" s="52">
        <v>25</v>
      </c>
      <c r="T141" s="51">
        <f t="shared" si="16"/>
        <v>-5</v>
      </c>
      <c r="U141" s="43"/>
      <c r="V141" s="42"/>
      <c r="W141" s="51"/>
      <c r="X141" s="52">
        <v>30</v>
      </c>
      <c r="Y141" s="52">
        <v>37</v>
      </c>
      <c r="Z141" s="51">
        <f t="shared" si="17"/>
        <v>-7</v>
      </c>
      <c r="AA141" s="43"/>
      <c r="AB141" s="42"/>
      <c r="AC141" s="51"/>
      <c r="AD141" s="51"/>
      <c r="AE141" s="51"/>
      <c r="AF141" s="51">
        <v>0</v>
      </c>
      <c r="AG141" s="43"/>
      <c r="AH141" s="51"/>
      <c r="AL141" s="47">
        <v>0</v>
      </c>
      <c r="AM141" s="43"/>
      <c r="AN141" s="42"/>
      <c r="AR141" s="47">
        <v>0</v>
      </c>
      <c r="AS141" s="43"/>
      <c r="AT141">
        <v>40</v>
      </c>
      <c r="AU141">
        <v>40</v>
      </c>
      <c r="AV141">
        <v>40</v>
      </c>
      <c r="AW141">
        <v>41</v>
      </c>
      <c r="AX141" s="47">
        <v>-1</v>
      </c>
      <c r="AY141" s="43"/>
      <c r="BD141" s="47">
        <v>0</v>
      </c>
      <c r="BE141" s="43"/>
      <c r="BF141" s="42"/>
      <c r="BJ141" s="47">
        <v>0</v>
      </c>
      <c r="BK141" s="43"/>
      <c r="BL141" s="40">
        <v>40</v>
      </c>
      <c r="BM141">
        <v>40</v>
      </c>
      <c r="BN141">
        <v>50</v>
      </c>
      <c r="BO141">
        <v>51</v>
      </c>
      <c r="BP141" s="47">
        <v>-1</v>
      </c>
      <c r="BQ141" s="43"/>
      <c r="BR141">
        <v>10</v>
      </c>
      <c r="BS141">
        <v>10</v>
      </c>
      <c r="BT141">
        <v>10</v>
      </c>
      <c r="BU141">
        <v>10</v>
      </c>
      <c r="BV141" s="47">
        <v>0</v>
      </c>
      <c r="BW141" s="43"/>
      <c r="BX141" s="42"/>
      <c r="BZ141">
        <v>50</v>
      </c>
      <c r="CA141">
        <v>56</v>
      </c>
      <c r="CB141" s="47">
        <v>-6</v>
      </c>
      <c r="CC141" s="43"/>
      <c r="CH141" s="47">
        <v>0</v>
      </c>
      <c r="CI141" s="43"/>
      <c r="CN141" s="47">
        <v>0</v>
      </c>
      <c r="CO141" s="43"/>
      <c r="CP141" s="42"/>
      <c r="CR141">
        <v>60</v>
      </c>
      <c r="CS141">
        <v>62</v>
      </c>
      <c r="CT141" s="47">
        <v>-2</v>
      </c>
      <c r="CU141" s="43"/>
      <c r="CV141" s="42"/>
      <c r="CZ141" s="47">
        <v>0</v>
      </c>
      <c r="DA141" s="43"/>
      <c r="DE141">
        <v>30</v>
      </c>
      <c r="DF141">
        <v>34</v>
      </c>
      <c r="DG141" s="47">
        <v>-4</v>
      </c>
      <c r="DH141" s="43"/>
      <c r="DK141" s="47">
        <v>0</v>
      </c>
      <c r="DL141" s="43"/>
      <c r="DM141" s="40">
        <v>40</v>
      </c>
      <c r="DN141">
        <v>41</v>
      </c>
      <c r="DQ141" s="47">
        <v>-1</v>
      </c>
      <c r="DR141" s="43"/>
      <c r="DU141">
        <v>50</v>
      </c>
      <c r="DV141">
        <v>56</v>
      </c>
      <c r="DW141" s="47">
        <v>-6</v>
      </c>
      <c r="DX141" s="43"/>
      <c r="EA141">
        <v>10</v>
      </c>
      <c r="EB141">
        <v>17</v>
      </c>
      <c r="EC141" s="47">
        <v>-7</v>
      </c>
      <c r="ED141" s="43"/>
      <c r="EE141" s="42"/>
      <c r="EG141">
        <v>10</v>
      </c>
      <c r="EH141">
        <v>10</v>
      </c>
      <c r="EI141" s="47">
        <v>0</v>
      </c>
      <c r="EJ141" s="43"/>
      <c r="EO141" s="47">
        <v>0</v>
      </c>
      <c r="EP141" s="43"/>
      <c r="EQ141" s="42"/>
      <c r="ES141">
        <v>10</v>
      </c>
      <c r="ET141">
        <v>10</v>
      </c>
      <c r="EU141" s="47">
        <v>0</v>
      </c>
      <c r="EV141" s="43"/>
      <c r="EW141" s="42"/>
      <c r="FA141">
        <v>50</v>
      </c>
      <c r="FB141">
        <v>50</v>
      </c>
      <c r="FC141" s="47">
        <v>0</v>
      </c>
      <c r="FD141" s="43"/>
      <c r="FE141" s="42"/>
      <c r="FG141">
        <v>10</v>
      </c>
      <c r="FH141">
        <v>9</v>
      </c>
      <c r="FI141" s="47">
        <v>1</v>
      </c>
      <c r="FJ141" s="43"/>
      <c r="FM141">
        <v>20</v>
      </c>
      <c r="FN141">
        <v>20</v>
      </c>
      <c r="FQ141" s="47">
        <v>0</v>
      </c>
      <c r="FR141" s="43"/>
      <c r="FS141" s="42"/>
      <c r="FU141">
        <v>40</v>
      </c>
      <c r="FV141">
        <v>47</v>
      </c>
      <c r="FW141" s="47">
        <v>-7</v>
      </c>
      <c r="FX141" s="43"/>
      <c r="FY141" s="42"/>
      <c r="GC141" s="47">
        <v>0</v>
      </c>
      <c r="GD141" s="43"/>
      <c r="GE141" s="42"/>
      <c r="GG141">
        <v>40</v>
      </c>
      <c r="GH141">
        <v>40</v>
      </c>
      <c r="GI141" s="47">
        <v>0</v>
      </c>
      <c r="GJ141" s="43"/>
      <c r="GO141">
        <v>10</v>
      </c>
      <c r="GP141">
        <v>6</v>
      </c>
      <c r="GQ141" s="47">
        <v>4</v>
      </c>
      <c r="GR141" s="43"/>
      <c r="GU141">
        <v>40</v>
      </c>
      <c r="GW141">
        <v>40</v>
      </c>
      <c r="GX141" s="47">
        <v>0</v>
      </c>
      <c r="GY141" s="43"/>
      <c r="GZ141" s="42"/>
      <c r="HC141" s="47">
        <v>0</v>
      </c>
      <c r="HD141" s="43"/>
      <c r="HE141" s="40">
        <v>20</v>
      </c>
      <c r="HG141">
        <v>24</v>
      </c>
      <c r="HH141" s="47">
        <v>-4</v>
      </c>
      <c r="HI141" s="43"/>
      <c r="HJ141">
        <v>30</v>
      </c>
      <c r="HM141">
        <v>30</v>
      </c>
      <c r="HN141" s="47">
        <v>0</v>
      </c>
      <c r="HO141" s="43"/>
      <c r="HP141" s="42"/>
      <c r="HU141" s="47">
        <v>0</v>
      </c>
      <c r="HV141" s="43"/>
      <c r="IA141" s="47">
        <v>0</v>
      </c>
      <c r="IB141" s="43"/>
      <c r="IC141" s="42"/>
      <c r="IE141">
        <v>70</v>
      </c>
      <c r="IF141">
        <v>70</v>
      </c>
      <c r="IG141" s="47">
        <v>0</v>
      </c>
      <c r="IH141" s="43"/>
      <c r="IM141" s="47">
        <v>0</v>
      </c>
      <c r="IN141" s="43"/>
      <c r="IO141" s="40">
        <v>20</v>
      </c>
      <c r="IP141" s="44">
        <v>18</v>
      </c>
      <c r="IQ141" s="47">
        <v>2</v>
      </c>
      <c r="IR141" s="43"/>
      <c r="IS141" s="42"/>
      <c r="IU141">
        <v>30</v>
      </c>
      <c r="IV141">
        <v>31</v>
      </c>
      <c r="IW141" s="47">
        <v>-1</v>
      </c>
      <c r="IX141" s="43"/>
      <c r="IY141" s="42"/>
      <c r="JA141" s="47">
        <v>0</v>
      </c>
      <c r="JB141" s="43"/>
      <c r="JC141" s="42"/>
      <c r="JG141" s="47">
        <v>0</v>
      </c>
      <c r="JH141" s="43"/>
      <c r="JM141">
        <v>40</v>
      </c>
      <c r="JN141">
        <v>40</v>
      </c>
      <c r="JO141" s="47">
        <v>0</v>
      </c>
      <c r="JP141" s="43"/>
      <c r="JQ141" s="42"/>
      <c r="JS141">
        <v>10</v>
      </c>
      <c r="JT141">
        <v>10</v>
      </c>
      <c r="JU141" s="47">
        <v>0</v>
      </c>
      <c r="JV141" s="43"/>
      <c r="JY141">
        <v>10</v>
      </c>
      <c r="JZ141">
        <v>5</v>
      </c>
      <c r="KA141" s="47">
        <v>5</v>
      </c>
      <c r="KB141" s="45"/>
      <c r="KG141" s="47">
        <v>0</v>
      </c>
      <c r="KH141" s="45"/>
      <c r="KM141" s="47">
        <v>0</v>
      </c>
      <c r="KN141" s="45"/>
      <c r="KQ141">
        <v>50</v>
      </c>
      <c r="KR141">
        <v>50</v>
      </c>
      <c r="KS141" s="47">
        <v>0</v>
      </c>
      <c r="KT141" s="43"/>
      <c r="KU141">
        <v>30</v>
      </c>
      <c r="KV141">
        <v>35</v>
      </c>
      <c r="KW141" s="47">
        <v>-5</v>
      </c>
      <c r="KX141" s="45"/>
      <c r="LC141" s="47">
        <v>0</v>
      </c>
      <c r="LD141" s="43"/>
      <c r="LE141" s="46"/>
      <c r="LG141" s="47">
        <v>0</v>
      </c>
      <c r="LH141" s="45"/>
      <c r="LK141">
        <v>70</v>
      </c>
      <c r="LL141">
        <v>70</v>
      </c>
      <c r="LM141" s="47">
        <v>0</v>
      </c>
      <c r="LN141" s="45"/>
      <c r="LO141">
        <v>10</v>
      </c>
      <c r="LP141">
        <v>16</v>
      </c>
      <c r="LS141" s="47">
        <v>-6</v>
      </c>
      <c r="LT141" s="45"/>
      <c r="LY141" s="47">
        <v>0</v>
      </c>
      <c r="LZ141" s="45"/>
      <c r="ME141" s="47">
        <v>0</v>
      </c>
      <c r="MF141" s="45"/>
      <c r="MG141" s="46"/>
      <c r="MI141">
        <v>60</v>
      </c>
      <c r="MJ141">
        <v>60</v>
      </c>
      <c r="MK141">
        <v>30</v>
      </c>
      <c r="ML141">
        <v>50</v>
      </c>
      <c r="MM141" s="50">
        <v>-20</v>
      </c>
      <c r="MN141" s="45">
        <v>2</v>
      </c>
      <c r="MO141" s="44">
        <v>0</v>
      </c>
      <c r="MP141" s="44">
        <v>0</v>
      </c>
      <c r="MQ141" s="44">
        <v>20</v>
      </c>
      <c r="MR141" s="44">
        <v>20</v>
      </c>
      <c r="MS141" s="47">
        <v>0</v>
      </c>
      <c r="MT141" s="45"/>
      <c r="MU141" s="44">
        <v>0</v>
      </c>
      <c r="MV141" s="44">
        <v>0</v>
      </c>
      <c r="MW141" s="44">
        <v>0</v>
      </c>
      <c r="MX141" s="44">
        <v>0</v>
      </c>
      <c r="MY141" s="47">
        <v>0</v>
      </c>
      <c r="MZ141" s="45"/>
      <c r="NA141" s="46">
        <v>0</v>
      </c>
      <c r="NB141" s="44">
        <v>0</v>
      </c>
      <c r="NC141" s="47">
        <v>0</v>
      </c>
      <c r="ND141" s="45"/>
      <c r="NE141" s="46">
        <v>0</v>
      </c>
      <c r="NF141" s="44">
        <v>0</v>
      </c>
      <c r="NG141" s="44">
        <v>50</v>
      </c>
      <c r="NH141" s="44">
        <v>0</v>
      </c>
      <c r="NI141" s="44">
        <v>50</v>
      </c>
      <c r="NJ141" s="47">
        <v>0</v>
      </c>
      <c r="NK141" s="45"/>
      <c r="NL141" s="46">
        <v>30</v>
      </c>
      <c r="NM141" s="44">
        <v>30</v>
      </c>
      <c r="NN141" s="44">
        <v>30</v>
      </c>
      <c r="NO141" s="44">
        <v>30</v>
      </c>
      <c r="NP141" s="47">
        <v>0</v>
      </c>
      <c r="NQ141" s="45"/>
      <c r="NR141" s="46">
        <v>20</v>
      </c>
      <c r="NS141" s="44">
        <v>20</v>
      </c>
      <c r="NT141" s="47">
        <v>0</v>
      </c>
      <c r="NU141" s="45"/>
      <c r="NV141" s="46">
        <v>10</v>
      </c>
      <c r="NW141" s="44">
        <v>10</v>
      </c>
      <c r="NX141" s="44">
        <v>50</v>
      </c>
      <c r="NY141" s="44">
        <v>50</v>
      </c>
      <c r="NZ141" s="47">
        <v>0</v>
      </c>
      <c r="OA141" s="45"/>
      <c r="OB141" s="46">
        <v>10</v>
      </c>
      <c r="OC141" s="44">
        <v>10</v>
      </c>
      <c r="OD141" s="47">
        <v>0</v>
      </c>
      <c r="OE141" s="45"/>
      <c r="OF141" s="46">
        <v>0</v>
      </c>
      <c r="OG141" s="44">
        <v>0</v>
      </c>
      <c r="OH141" s="44">
        <v>10</v>
      </c>
      <c r="OI141" s="44">
        <v>10</v>
      </c>
      <c r="OJ141" s="47">
        <v>0</v>
      </c>
      <c r="OK141" s="45"/>
      <c r="OL141" s="44">
        <v>0</v>
      </c>
      <c r="OM141" s="43"/>
      <c r="ON141" s="44">
        <v>0</v>
      </c>
      <c r="OO141" s="44">
        <v>78</v>
      </c>
      <c r="OP141" s="50">
        <v>-78</v>
      </c>
      <c r="OQ141" s="45">
        <v>7.8000000000000007</v>
      </c>
      <c r="OR141" s="46">
        <v>0</v>
      </c>
      <c r="OS141" s="44">
        <v>0</v>
      </c>
      <c r="OT141" s="44">
        <v>0</v>
      </c>
      <c r="OU141" s="44">
        <v>0</v>
      </c>
      <c r="OV141" s="47">
        <v>0</v>
      </c>
      <c r="OW141" s="45"/>
      <c r="OX141" s="46">
        <v>0</v>
      </c>
      <c r="OY141" s="44">
        <v>0</v>
      </c>
      <c r="OZ141" s="44">
        <v>0</v>
      </c>
      <c r="PA141" s="44">
        <v>0</v>
      </c>
      <c r="PB141" s="47">
        <v>0</v>
      </c>
      <c r="PC141" s="45"/>
      <c r="PD141" s="46">
        <v>0</v>
      </c>
      <c r="PE141" s="44">
        <v>0</v>
      </c>
      <c r="PF141" s="44">
        <v>40</v>
      </c>
      <c r="PG141" s="44">
        <v>60</v>
      </c>
      <c r="PH141" s="50">
        <v>-20</v>
      </c>
      <c r="PI141" s="45">
        <v>2</v>
      </c>
      <c r="PJ141" s="46">
        <v>0</v>
      </c>
      <c r="PK141" s="44">
        <v>0</v>
      </c>
      <c r="PL141" s="44">
        <v>0</v>
      </c>
      <c r="PM141" s="44">
        <v>0</v>
      </c>
      <c r="PN141" s="47">
        <v>0</v>
      </c>
      <c r="PO141" s="45"/>
      <c r="PP141" s="46">
        <v>0</v>
      </c>
      <c r="PQ141" s="44">
        <v>0</v>
      </c>
      <c r="PR141" s="44">
        <v>60</v>
      </c>
      <c r="PS141" s="44">
        <v>60</v>
      </c>
      <c r="PT141" s="47">
        <v>0</v>
      </c>
      <c r="PU141" s="45"/>
      <c r="PV141" s="46">
        <v>50</v>
      </c>
      <c r="PW141" s="44">
        <v>50</v>
      </c>
      <c r="PX141" s="47">
        <v>0</v>
      </c>
      <c r="PY141" s="45"/>
      <c r="PZ141" s="46">
        <v>0</v>
      </c>
      <c r="QA141" s="44">
        <v>0</v>
      </c>
      <c r="QB141" s="47">
        <v>0</v>
      </c>
      <c r="QC141" s="45"/>
      <c r="QD141" s="46">
        <v>0</v>
      </c>
      <c r="QE141" s="44">
        <v>0</v>
      </c>
      <c r="QF141" s="44">
        <v>0</v>
      </c>
      <c r="QG141" s="44">
        <v>0</v>
      </c>
      <c r="QH141" s="47">
        <v>0</v>
      </c>
      <c r="QI141" s="45"/>
      <c r="QJ141" s="46">
        <v>40</v>
      </c>
      <c r="QK141" s="44">
        <v>40</v>
      </c>
      <c r="QL141" s="47">
        <v>0</v>
      </c>
      <c r="QM141" s="45"/>
      <c r="QN141" s="46">
        <v>0</v>
      </c>
      <c r="QO141" s="44">
        <v>0</v>
      </c>
      <c r="QP141" s="44">
        <v>90</v>
      </c>
      <c r="QQ141" s="44">
        <v>90</v>
      </c>
      <c r="QR141" s="47">
        <v>0</v>
      </c>
      <c r="QS141" s="45"/>
      <c r="QT141" s="46"/>
      <c r="QW141" s="45"/>
      <c r="QX141" s="46"/>
      <c r="RC141" s="45"/>
      <c r="RD141" s="42"/>
      <c r="RE141" s="44"/>
      <c r="RG141" s="44"/>
      <c r="RI141" s="45"/>
      <c r="RJ141" s="42"/>
      <c r="RO141" s="43"/>
      <c r="RP141" s="42"/>
      <c r="RS141" s="43"/>
      <c r="RT141" s="42"/>
      <c r="RY141" s="43"/>
      <c r="RZ141" s="42"/>
      <c r="SE141" s="43"/>
      <c r="SF141" s="42"/>
      <c r="SK141" s="43"/>
      <c r="SL141" s="42"/>
      <c r="SO141" s="43"/>
      <c r="SP141" s="42"/>
      <c r="SU141" s="43"/>
    </row>
    <row r="142" spans="1:515" x14ac:dyDescent="0.25">
      <c r="A142" s="47" t="s">
        <v>449</v>
      </c>
      <c r="B142" s="41">
        <v>0.4</v>
      </c>
      <c r="E142">
        <v>53</v>
      </c>
      <c r="F142">
        <v>12</v>
      </c>
      <c r="G142">
        <v>16</v>
      </c>
      <c r="J142" s="40">
        <v>36</v>
      </c>
      <c r="K142" s="52">
        <v>36</v>
      </c>
      <c r="L142" s="52">
        <v>24</v>
      </c>
      <c r="M142" s="52">
        <v>29</v>
      </c>
      <c r="N142" s="51">
        <f t="shared" si="15"/>
        <v>-5</v>
      </c>
      <c r="O142" s="43"/>
      <c r="P142" s="46"/>
      <c r="Q142" s="51"/>
      <c r="R142" s="51"/>
      <c r="S142" s="51"/>
      <c r="T142" s="51">
        <f t="shared" si="16"/>
        <v>0</v>
      </c>
      <c r="U142" s="43"/>
      <c r="V142" s="40">
        <v>30</v>
      </c>
      <c r="W142" s="52">
        <v>32</v>
      </c>
      <c r="X142" s="52">
        <v>60</v>
      </c>
      <c r="Y142" s="52">
        <v>62</v>
      </c>
      <c r="Z142" s="51">
        <f t="shared" si="17"/>
        <v>-4</v>
      </c>
      <c r="AA142" s="43"/>
      <c r="AB142" s="42"/>
      <c r="AC142" s="51"/>
      <c r="AD142" s="52">
        <v>84</v>
      </c>
      <c r="AE142" s="56">
        <v>85</v>
      </c>
      <c r="AF142" s="51">
        <v>-1</v>
      </c>
      <c r="AG142" s="43"/>
      <c r="AH142" s="51"/>
      <c r="AJ142">
        <v>60</v>
      </c>
      <c r="AK142">
        <v>62</v>
      </c>
      <c r="AL142" s="47">
        <v>-2</v>
      </c>
      <c r="AM142" s="43"/>
      <c r="AN142" s="42"/>
      <c r="AP142">
        <v>6</v>
      </c>
      <c r="AQ142">
        <v>8</v>
      </c>
      <c r="AR142" s="47">
        <v>-2</v>
      </c>
      <c r="AS142" s="43"/>
      <c r="AV142">
        <v>12</v>
      </c>
      <c r="AW142">
        <v>17</v>
      </c>
      <c r="AX142" s="47">
        <v>-5</v>
      </c>
      <c r="AY142" s="43"/>
      <c r="AZ142">
        <v>30</v>
      </c>
      <c r="BA142">
        <v>32</v>
      </c>
      <c r="BB142">
        <v>42</v>
      </c>
      <c r="BC142">
        <v>45</v>
      </c>
      <c r="BD142" s="47">
        <v>-5</v>
      </c>
      <c r="BE142" s="43"/>
      <c r="BF142" s="40">
        <v>30</v>
      </c>
      <c r="BG142">
        <v>32</v>
      </c>
      <c r="BH142">
        <v>54</v>
      </c>
      <c r="BI142">
        <v>52</v>
      </c>
      <c r="BJ142" s="47">
        <v>0</v>
      </c>
      <c r="BK142" s="43"/>
      <c r="BL142" s="40">
        <v>18</v>
      </c>
      <c r="BM142">
        <v>20</v>
      </c>
      <c r="BP142" s="47">
        <v>-2</v>
      </c>
      <c r="BQ142" s="43"/>
      <c r="BR142">
        <v>18</v>
      </c>
      <c r="BS142">
        <v>16</v>
      </c>
      <c r="BT142">
        <v>18</v>
      </c>
      <c r="BU142">
        <v>18</v>
      </c>
      <c r="BV142" s="47">
        <v>2</v>
      </c>
      <c r="BW142" s="43"/>
      <c r="BX142" s="40">
        <v>42</v>
      </c>
      <c r="BY142">
        <v>40</v>
      </c>
      <c r="BZ142">
        <v>60</v>
      </c>
      <c r="CA142">
        <v>62</v>
      </c>
      <c r="CB142" s="47">
        <v>0</v>
      </c>
      <c r="CC142" s="43"/>
      <c r="CH142" s="47">
        <v>0</v>
      </c>
      <c r="CI142" s="43"/>
      <c r="CJ142">
        <v>42</v>
      </c>
      <c r="CK142">
        <v>40</v>
      </c>
      <c r="CL142">
        <v>42</v>
      </c>
      <c r="CM142">
        <v>45</v>
      </c>
      <c r="CN142" s="47">
        <v>-1</v>
      </c>
      <c r="CO142" s="43"/>
      <c r="CP142" s="42"/>
      <c r="CR142">
        <v>30</v>
      </c>
      <c r="CS142">
        <v>30</v>
      </c>
      <c r="CT142" s="47">
        <v>0</v>
      </c>
      <c r="CU142" s="43"/>
      <c r="CV142" s="42"/>
      <c r="CZ142" s="47">
        <v>0</v>
      </c>
      <c r="DA142" s="43"/>
      <c r="DB142">
        <v>30</v>
      </c>
      <c r="DC142">
        <v>30</v>
      </c>
      <c r="DG142" s="47">
        <v>0</v>
      </c>
      <c r="DH142" s="43"/>
      <c r="DK142" s="47">
        <v>0</v>
      </c>
      <c r="DL142" s="43"/>
      <c r="DM142" s="40">
        <v>48</v>
      </c>
      <c r="DN142">
        <v>46</v>
      </c>
      <c r="DO142">
        <v>30</v>
      </c>
      <c r="DP142">
        <v>31</v>
      </c>
      <c r="DQ142" s="47">
        <v>1</v>
      </c>
      <c r="DR142" s="43"/>
      <c r="DW142" s="47">
        <v>0</v>
      </c>
      <c r="DX142" s="43"/>
      <c r="EC142" s="47">
        <v>0</v>
      </c>
      <c r="ED142" s="43"/>
      <c r="EE142" s="42"/>
      <c r="EG142" s="47">
        <v>48</v>
      </c>
      <c r="EH142">
        <v>50</v>
      </c>
      <c r="EI142" s="47">
        <v>-2</v>
      </c>
      <c r="EJ142" s="43"/>
      <c r="EO142" s="47">
        <v>0</v>
      </c>
      <c r="EP142" s="43"/>
      <c r="EQ142" s="42"/>
      <c r="EU142" s="47">
        <v>0</v>
      </c>
      <c r="EV142" s="43"/>
      <c r="EW142" s="42"/>
      <c r="FC142" s="47">
        <v>0</v>
      </c>
      <c r="FD142" s="43"/>
      <c r="FE142" s="42"/>
      <c r="FI142" s="47">
        <v>0</v>
      </c>
      <c r="FJ142" s="43"/>
      <c r="FR142" s="43"/>
      <c r="FS142" s="42"/>
      <c r="FX142" s="43"/>
      <c r="FY142" s="42"/>
      <c r="GD142" s="43"/>
      <c r="GE142" s="42"/>
      <c r="GJ142" s="43"/>
      <c r="GR142" s="43"/>
      <c r="GY142" s="43"/>
      <c r="GZ142" s="42"/>
      <c r="HD142" s="43"/>
      <c r="HE142" s="40"/>
      <c r="HI142" s="43"/>
      <c r="HO142" s="43"/>
      <c r="HP142" s="42"/>
      <c r="HV142" s="43"/>
      <c r="IB142" s="43"/>
      <c r="IC142" s="42"/>
      <c r="IH142" s="43"/>
      <c r="IN142" s="43"/>
      <c r="IO142" s="40"/>
      <c r="IR142" s="43"/>
      <c r="IS142" s="42"/>
      <c r="IX142" s="43"/>
      <c r="IY142" s="42"/>
      <c r="JB142" s="43"/>
      <c r="JC142" s="42"/>
      <c r="JH142" s="43"/>
      <c r="JP142" s="43"/>
      <c r="JQ142" s="42"/>
      <c r="JV142" s="43"/>
      <c r="KB142" s="45"/>
      <c r="KH142" s="45"/>
      <c r="KN142" s="45"/>
      <c r="KT142" s="43"/>
      <c r="KX142" s="45"/>
      <c r="LD142" s="43"/>
      <c r="LE142" s="46"/>
      <c r="LH142" s="45"/>
      <c r="LN142" s="45"/>
      <c r="LT142" s="45"/>
      <c r="LZ142" s="45"/>
      <c r="MF142" s="45"/>
      <c r="MG142" s="46"/>
      <c r="MM142" s="50"/>
      <c r="MN142" s="45"/>
      <c r="MO142" s="44"/>
      <c r="MP142" s="44"/>
      <c r="MQ142" s="44"/>
      <c r="MR142" s="44"/>
      <c r="MT142" s="45"/>
      <c r="MU142" s="44"/>
      <c r="MV142" s="44"/>
      <c r="MW142" s="44"/>
      <c r="MX142" s="44"/>
      <c r="MZ142" s="45"/>
      <c r="NA142" s="46"/>
      <c r="NB142" s="44"/>
      <c r="ND142" s="45"/>
      <c r="NE142" s="46"/>
      <c r="NF142" s="44"/>
      <c r="NG142" s="44"/>
      <c r="NH142" s="44"/>
      <c r="NI142" s="44"/>
      <c r="NK142" s="45"/>
      <c r="NL142" s="46"/>
      <c r="NM142" s="44"/>
      <c r="NN142" s="44"/>
      <c r="NO142" s="44"/>
      <c r="NQ142" s="45"/>
      <c r="NR142" s="46"/>
      <c r="NS142" s="44"/>
      <c r="NU142" s="45"/>
      <c r="NV142" s="46"/>
      <c r="NW142" s="44"/>
      <c r="NX142" s="44"/>
      <c r="NY142" s="44"/>
      <c r="OA142" s="45"/>
      <c r="OB142" s="46"/>
      <c r="OC142" s="44"/>
      <c r="OE142" s="45"/>
      <c r="OF142" s="46"/>
      <c r="OG142" s="44"/>
      <c r="OH142" s="44"/>
      <c r="OI142" s="44"/>
      <c r="OK142" s="45"/>
      <c r="OL142" s="44"/>
      <c r="OM142" s="43"/>
      <c r="ON142" s="44"/>
      <c r="OO142" s="44"/>
      <c r="OP142" s="50"/>
      <c r="OQ142" s="45"/>
      <c r="OR142" s="46"/>
      <c r="OS142" s="44"/>
      <c r="OT142" s="44"/>
      <c r="OU142" s="44"/>
      <c r="OW142" s="45"/>
      <c r="OX142" s="46"/>
      <c r="OY142" s="44"/>
      <c r="OZ142" s="44"/>
      <c r="PA142" s="44"/>
      <c r="PC142" s="45"/>
      <c r="PD142" s="46"/>
      <c r="PE142" s="44"/>
      <c r="PF142" s="44"/>
      <c r="PG142" s="44"/>
      <c r="PH142" s="50"/>
      <c r="PI142" s="45"/>
      <c r="PJ142" s="46"/>
      <c r="PK142" s="44"/>
      <c r="PL142" s="44"/>
      <c r="PM142" s="44"/>
      <c r="PO142" s="45"/>
      <c r="PP142" s="46"/>
      <c r="PQ142" s="44"/>
      <c r="PR142" s="44"/>
      <c r="PS142" s="44"/>
      <c r="PU142" s="45"/>
      <c r="PV142" s="46"/>
      <c r="PW142" s="44"/>
      <c r="PY142" s="45"/>
      <c r="PZ142" s="46"/>
      <c r="QA142" s="44"/>
      <c r="QC142" s="45"/>
      <c r="QD142" s="46"/>
      <c r="QE142" s="44"/>
      <c r="QF142" s="44"/>
      <c r="QG142" s="44"/>
      <c r="QI142" s="45"/>
      <c r="QJ142" s="46"/>
      <c r="QK142" s="44"/>
      <c r="QM142" s="45"/>
      <c r="QN142" s="46"/>
      <c r="QO142" s="44"/>
      <c r="QP142" s="44"/>
      <c r="QQ142" s="44"/>
      <c r="QS142" s="45"/>
      <c r="QT142" s="46"/>
      <c r="QW142" s="45"/>
      <c r="QX142" s="46"/>
      <c r="RC142" s="45"/>
      <c r="RD142" s="42"/>
      <c r="RE142" s="44"/>
      <c r="RG142" s="44"/>
      <c r="RI142" s="45"/>
      <c r="RJ142" s="42"/>
      <c r="RO142" s="43"/>
      <c r="RP142" s="42"/>
      <c r="RS142" s="43"/>
      <c r="RT142" s="42"/>
      <c r="RY142" s="43"/>
      <c r="RZ142" s="42"/>
      <c r="SE142" s="43"/>
      <c r="SF142" s="42"/>
      <c r="SK142" s="43"/>
      <c r="SL142" s="42"/>
      <c r="SO142" s="43"/>
      <c r="SP142" s="42"/>
      <c r="SU142" s="43"/>
    </row>
    <row r="143" spans="1:515" x14ac:dyDescent="0.25">
      <c r="A143" s="47" t="s">
        <v>450</v>
      </c>
      <c r="B143" s="41">
        <v>1</v>
      </c>
      <c r="J143" s="42"/>
      <c r="K143" s="51"/>
      <c r="L143" s="51"/>
      <c r="M143" s="51"/>
      <c r="N143" s="51">
        <f t="shared" si="15"/>
        <v>0</v>
      </c>
      <c r="O143" s="43"/>
      <c r="P143" s="46"/>
      <c r="Q143" s="51"/>
      <c r="R143" s="51"/>
      <c r="S143" s="51"/>
      <c r="T143" s="51">
        <f t="shared" si="16"/>
        <v>0</v>
      </c>
      <c r="U143" s="43"/>
      <c r="V143" s="42"/>
      <c r="W143" s="51"/>
      <c r="X143" s="51"/>
      <c r="Y143" s="51"/>
      <c r="Z143" s="51">
        <f t="shared" si="17"/>
        <v>0</v>
      </c>
      <c r="AA143" s="43"/>
      <c r="AB143" s="42"/>
      <c r="AC143" s="51"/>
      <c r="AD143" s="51"/>
      <c r="AE143" s="51"/>
      <c r="AF143" s="51">
        <v>0</v>
      </c>
      <c r="AG143" s="43"/>
      <c r="AH143" s="51"/>
      <c r="AL143" s="47">
        <v>0</v>
      </c>
      <c r="AM143" s="43"/>
      <c r="AN143" s="42"/>
      <c r="AR143" s="47">
        <v>0</v>
      </c>
      <c r="AS143" s="43"/>
      <c r="AX143" s="47">
        <v>0</v>
      </c>
      <c r="AY143" s="43"/>
      <c r="BD143" s="47">
        <v>0</v>
      </c>
      <c r="BE143" s="43"/>
      <c r="BF143" s="42"/>
      <c r="BJ143" s="47">
        <v>0</v>
      </c>
      <c r="BK143" s="43"/>
      <c r="BL143" s="42"/>
      <c r="BP143" s="47">
        <v>0</v>
      </c>
      <c r="BQ143" s="43"/>
      <c r="BV143" s="47">
        <v>0</v>
      </c>
      <c r="BW143" s="43"/>
      <c r="BX143" s="42"/>
      <c r="CB143" s="47">
        <v>0</v>
      </c>
      <c r="CC143" s="43"/>
      <c r="CH143" s="47">
        <v>0</v>
      </c>
      <c r="CI143" s="43"/>
      <c r="CN143" s="47">
        <v>0</v>
      </c>
      <c r="CO143" s="43"/>
      <c r="CP143" s="42"/>
      <c r="CT143" s="47">
        <v>0</v>
      </c>
      <c r="CU143" s="43"/>
      <c r="CV143" s="42"/>
      <c r="CZ143" s="47">
        <v>0</v>
      </c>
      <c r="DA143" s="43"/>
      <c r="DG143" s="47">
        <v>0</v>
      </c>
      <c r="DH143" s="43"/>
      <c r="DK143" s="47">
        <v>0</v>
      </c>
      <c r="DL143" s="43"/>
      <c r="DM143" s="42"/>
      <c r="DQ143" s="47">
        <v>0</v>
      </c>
      <c r="DR143" s="43"/>
      <c r="DW143" s="47">
        <v>0</v>
      </c>
      <c r="DX143" s="43"/>
      <c r="EC143" s="47">
        <v>0</v>
      </c>
      <c r="ED143" s="43"/>
      <c r="EE143" s="42"/>
      <c r="EI143" s="47">
        <v>0</v>
      </c>
      <c r="EJ143" s="43"/>
      <c r="EO143" s="47">
        <v>0</v>
      </c>
      <c r="EP143" s="43"/>
      <c r="EQ143" s="42"/>
      <c r="EU143" s="47">
        <v>0</v>
      </c>
      <c r="EV143" s="43"/>
      <c r="EW143" s="42"/>
      <c r="FC143" s="47">
        <v>0</v>
      </c>
      <c r="FD143" s="43"/>
      <c r="FE143" s="42"/>
      <c r="FI143" s="47">
        <v>0</v>
      </c>
      <c r="FJ143" s="43"/>
      <c r="FQ143" s="47">
        <v>0</v>
      </c>
      <c r="FR143" s="43"/>
      <c r="FS143" s="42"/>
      <c r="FW143" s="47">
        <v>0</v>
      </c>
      <c r="FX143" s="43"/>
      <c r="FY143" s="42"/>
      <c r="GC143" s="47">
        <v>0</v>
      </c>
      <c r="GD143" s="43"/>
      <c r="GE143" s="42"/>
      <c r="GI143" s="47">
        <v>0</v>
      </c>
      <c r="GJ143" s="43"/>
      <c r="GQ143" s="47">
        <v>0</v>
      </c>
      <c r="GR143" s="43"/>
      <c r="GX143" s="47">
        <v>0</v>
      </c>
      <c r="GY143" s="43"/>
      <c r="GZ143" s="42"/>
      <c r="HC143" s="47">
        <v>0</v>
      </c>
      <c r="HD143" s="43"/>
      <c r="HE143" s="42"/>
      <c r="HH143" s="47">
        <v>0</v>
      </c>
      <c r="HI143" s="43"/>
      <c r="HN143" s="47">
        <v>0</v>
      </c>
      <c r="HO143" s="43"/>
      <c r="HP143" s="42"/>
      <c r="HU143" s="47">
        <v>0</v>
      </c>
      <c r="HV143" s="43"/>
      <c r="IA143" s="47">
        <v>0</v>
      </c>
      <c r="IB143" s="43"/>
      <c r="IC143" s="42"/>
      <c r="IG143" s="47">
        <v>0</v>
      </c>
      <c r="IH143" s="43"/>
      <c r="IM143" s="47">
        <v>0</v>
      </c>
      <c r="IN143" s="43"/>
      <c r="IO143" s="42"/>
      <c r="IQ143" s="47">
        <v>0</v>
      </c>
      <c r="IR143" s="43"/>
      <c r="IS143" s="42"/>
      <c r="IW143" s="47">
        <v>0</v>
      </c>
      <c r="IX143" s="43"/>
      <c r="IY143" s="42"/>
      <c r="JA143" s="47">
        <v>0</v>
      </c>
      <c r="JB143" s="43"/>
      <c r="JC143" s="42"/>
      <c r="JG143" s="47">
        <v>0</v>
      </c>
      <c r="JH143" s="43"/>
      <c r="JO143" s="47">
        <v>0</v>
      </c>
      <c r="JP143" s="43"/>
      <c r="JQ143" s="42"/>
      <c r="JU143" s="47">
        <v>0</v>
      </c>
      <c r="JV143" s="43"/>
      <c r="KA143" s="47">
        <v>0</v>
      </c>
      <c r="KB143" s="45"/>
      <c r="KG143" s="47">
        <v>0</v>
      </c>
      <c r="KH143" s="45"/>
      <c r="KM143" s="47">
        <v>0</v>
      </c>
      <c r="KN143" s="45"/>
      <c r="KS143" s="47">
        <v>0</v>
      </c>
      <c r="KT143" s="43"/>
      <c r="KW143" s="47">
        <v>0</v>
      </c>
      <c r="KX143" s="45"/>
      <c r="LC143" s="47">
        <v>0</v>
      </c>
      <c r="LD143" s="43"/>
      <c r="LE143" s="46"/>
      <c r="LG143" s="47">
        <v>0</v>
      </c>
      <c r="LH143" s="45"/>
      <c r="LM143" s="47">
        <v>0</v>
      </c>
      <c r="LN143" s="45"/>
      <c r="LS143" s="47">
        <v>0</v>
      </c>
      <c r="LT143" s="45"/>
      <c r="LY143" s="47">
        <v>0</v>
      </c>
      <c r="LZ143" s="45"/>
      <c r="ME143" s="47">
        <v>0</v>
      </c>
      <c r="MF143" s="45"/>
      <c r="MG143" s="46"/>
      <c r="MM143" s="47">
        <v>0</v>
      </c>
      <c r="MN143" s="45"/>
      <c r="MO143" s="44">
        <v>0</v>
      </c>
      <c r="MP143" s="33">
        <v>30</v>
      </c>
      <c r="MQ143" s="44">
        <v>0</v>
      </c>
      <c r="MR143" s="32">
        <v>30</v>
      </c>
      <c r="MS143" s="50">
        <v>-28.96</v>
      </c>
      <c r="MT143" s="45">
        <v>28.96</v>
      </c>
      <c r="MU143" s="44">
        <v>0</v>
      </c>
      <c r="MV143" s="44">
        <v>0</v>
      </c>
      <c r="MW143" s="44">
        <v>49.527999999999999</v>
      </c>
      <c r="MX143" s="44">
        <v>49</v>
      </c>
      <c r="MY143" s="47">
        <v>0.52799999999999869</v>
      </c>
      <c r="MZ143" s="45"/>
      <c r="NA143" s="46">
        <v>0</v>
      </c>
      <c r="NB143" s="44">
        <v>0</v>
      </c>
      <c r="NC143" s="47">
        <v>0</v>
      </c>
      <c r="ND143" s="45"/>
      <c r="NE143" s="46">
        <v>0</v>
      </c>
      <c r="NF143" s="44">
        <v>0</v>
      </c>
      <c r="NG143" s="44">
        <v>136.834</v>
      </c>
      <c r="NH143" s="44">
        <v>0</v>
      </c>
      <c r="NI143" s="44">
        <v>130</v>
      </c>
      <c r="NJ143" s="47">
        <v>6.8340000000000032</v>
      </c>
      <c r="NK143" s="45"/>
      <c r="NL143" s="46">
        <v>0</v>
      </c>
      <c r="NM143" s="44">
        <v>0</v>
      </c>
      <c r="NN143" s="44">
        <v>12.835000000000001</v>
      </c>
      <c r="NO143" s="44">
        <v>12</v>
      </c>
      <c r="NP143" s="47">
        <v>0.83500000000000085</v>
      </c>
      <c r="NQ143" s="45"/>
      <c r="NR143" s="46">
        <v>64.350999999999999</v>
      </c>
      <c r="NS143" s="44">
        <v>65</v>
      </c>
      <c r="NT143" s="47">
        <v>-0.64900000000000091</v>
      </c>
      <c r="NU143" s="45"/>
      <c r="NV143" s="46">
        <v>13.058</v>
      </c>
      <c r="NW143" s="44">
        <v>10</v>
      </c>
      <c r="NX143" s="44">
        <v>32.274999999999999</v>
      </c>
      <c r="NY143" s="44">
        <v>34</v>
      </c>
      <c r="NZ143" s="47">
        <v>1.332999999999998</v>
      </c>
      <c r="OA143" s="45"/>
      <c r="OB143" s="46">
        <v>0</v>
      </c>
      <c r="OC143" s="44">
        <v>0</v>
      </c>
      <c r="OD143" s="47">
        <v>0</v>
      </c>
      <c r="OE143" s="45"/>
      <c r="OF143" s="46">
        <v>0</v>
      </c>
      <c r="OG143" s="44">
        <v>0</v>
      </c>
      <c r="OH143" s="44">
        <v>0</v>
      </c>
      <c r="OI143" s="44">
        <v>0</v>
      </c>
      <c r="OJ143" s="47">
        <v>0</v>
      </c>
      <c r="OK143" s="45"/>
      <c r="OL143" s="44">
        <v>0</v>
      </c>
      <c r="OM143" s="43"/>
      <c r="ON143" s="44">
        <v>0</v>
      </c>
      <c r="OO143" s="44">
        <v>0</v>
      </c>
      <c r="OP143" s="47">
        <v>0</v>
      </c>
      <c r="OQ143" s="45"/>
      <c r="OR143" s="46">
        <v>0</v>
      </c>
      <c r="OS143" s="44">
        <v>0</v>
      </c>
      <c r="OT143" s="44">
        <v>13.12</v>
      </c>
      <c r="OU143" s="44">
        <v>12</v>
      </c>
      <c r="OV143" s="47">
        <v>1.119999999999999</v>
      </c>
      <c r="OW143" s="45"/>
      <c r="OX143" s="46">
        <v>0</v>
      </c>
      <c r="OY143" s="44">
        <v>0</v>
      </c>
      <c r="OZ143" s="44">
        <v>24.414999999999999</v>
      </c>
      <c r="PA143" s="44">
        <v>28</v>
      </c>
      <c r="PB143" s="47">
        <v>-3.5850000000000009</v>
      </c>
      <c r="PC143" s="45"/>
      <c r="PD143" s="46">
        <v>0</v>
      </c>
      <c r="PE143" s="44">
        <v>0</v>
      </c>
      <c r="PF143" s="44">
        <v>0</v>
      </c>
      <c r="PG143" s="44">
        <v>0</v>
      </c>
      <c r="PH143" s="47">
        <v>0</v>
      </c>
      <c r="PI143" s="45"/>
      <c r="PJ143" s="46">
        <v>0</v>
      </c>
      <c r="PK143" s="44">
        <v>0</v>
      </c>
      <c r="PL143" s="44">
        <v>0</v>
      </c>
      <c r="PM143" s="44">
        <v>0</v>
      </c>
      <c r="PN143" s="47">
        <v>0</v>
      </c>
      <c r="PO143" s="45"/>
      <c r="PP143" s="46">
        <v>0</v>
      </c>
      <c r="PQ143" s="44">
        <v>0</v>
      </c>
      <c r="PR143" s="44">
        <v>31.137</v>
      </c>
      <c r="PS143" s="44">
        <v>30</v>
      </c>
      <c r="PT143" s="47">
        <v>1.137</v>
      </c>
      <c r="PU143" s="45"/>
      <c r="PV143" s="46">
        <v>31.757999999999999</v>
      </c>
      <c r="PW143" s="44">
        <v>30</v>
      </c>
      <c r="PX143" s="47">
        <v>1.7579999999999989</v>
      </c>
      <c r="PY143" s="45"/>
      <c r="PZ143" s="46">
        <v>0</v>
      </c>
      <c r="QA143" s="44">
        <v>0</v>
      </c>
      <c r="QB143" s="47">
        <v>0</v>
      </c>
      <c r="QC143" s="45"/>
      <c r="QD143" s="46">
        <v>0</v>
      </c>
      <c r="QE143" s="44">
        <v>0</v>
      </c>
      <c r="QF143" s="17">
        <v>18.53</v>
      </c>
      <c r="QG143" s="44">
        <v>0</v>
      </c>
      <c r="QH143" s="47">
        <v>0</v>
      </c>
      <c r="QI143" s="45"/>
      <c r="QJ143" s="46"/>
      <c r="QM143" s="45"/>
      <c r="QN143" s="46"/>
      <c r="QS143" s="45"/>
      <c r="QT143" s="46"/>
      <c r="QW143" s="45"/>
      <c r="QX143" s="46"/>
      <c r="RC143" s="45"/>
      <c r="RD143" s="42"/>
      <c r="RE143" s="44"/>
      <c r="RG143" s="44"/>
      <c r="RI143" s="45"/>
      <c r="RJ143" s="42"/>
      <c r="RO143" s="43"/>
      <c r="RP143" s="42"/>
      <c r="RS143" s="43"/>
      <c r="RT143" s="42"/>
      <c r="RY143" s="43"/>
      <c r="RZ143" s="42"/>
      <c r="SE143" s="43"/>
      <c r="SF143" s="42"/>
      <c r="SK143" s="43"/>
      <c r="SL143" s="42"/>
      <c r="SO143" s="43"/>
      <c r="SP143" s="42"/>
      <c r="SU143" s="43"/>
    </row>
    <row r="144" spans="1:515" x14ac:dyDescent="0.25">
      <c r="A144" s="47" t="s">
        <v>451</v>
      </c>
      <c r="B144" s="41">
        <v>0.6</v>
      </c>
      <c r="J144" s="42"/>
      <c r="K144" s="51"/>
      <c r="L144" s="51"/>
      <c r="M144" s="51"/>
      <c r="N144" s="51">
        <f t="shared" si="15"/>
        <v>0</v>
      </c>
      <c r="O144" s="43"/>
      <c r="P144" s="46"/>
      <c r="Q144" s="51"/>
      <c r="R144" s="51"/>
      <c r="S144" s="51"/>
      <c r="T144" s="51">
        <f t="shared" si="16"/>
        <v>0</v>
      </c>
      <c r="U144" s="43"/>
      <c r="V144" s="42"/>
      <c r="W144" s="51"/>
      <c r="X144" s="51"/>
      <c r="Y144" s="51"/>
      <c r="Z144" s="51">
        <f t="shared" si="17"/>
        <v>0</v>
      </c>
      <c r="AA144" s="43"/>
      <c r="AB144" s="42"/>
      <c r="AC144" s="51"/>
      <c r="AD144" s="51"/>
      <c r="AE144" s="51"/>
      <c r="AF144" s="51">
        <v>0</v>
      </c>
      <c r="AG144" s="43"/>
      <c r="AH144" s="51"/>
      <c r="AL144" s="47">
        <v>0</v>
      </c>
      <c r="AM144" s="43"/>
      <c r="AN144" s="42"/>
      <c r="AR144" s="47">
        <v>0</v>
      </c>
      <c r="AS144" s="43"/>
      <c r="AX144" s="47">
        <v>0</v>
      </c>
      <c r="AY144" s="43"/>
      <c r="BD144" s="47">
        <v>0</v>
      </c>
      <c r="BE144" s="43"/>
      <c r="BF144" s="42"/>
      <c r="BJ144" s="47">
        <v>0</v>
      </c>
      <c r="BK144" s="43"/>
      <c r="BL144" s="42"/>
      <c r="BP144" s="47">
        <v>0</v>
      </c>
      <c r="BQ144" s="43"/>
      <c r="BV144" s="47">
        <v>0</v>
      </c>
      <c r="BW144" s="43"/>
      <c r="BX144" s="42"/>
      <c r="CB144" s="47">
        <v>0</v>
      </c>
      <c r="CC144" s="43"/>
      <c r="CH144" s="47">
        <v>0</v>
      </c>
      <c r="CI144" s="43"/>
      <c r="CN144" s="47">
        <v>0</v>
      </c>
      <c r="CO144" s="43"/>
      <c r="CP144" s="42"/>
      <c r="CT144" s="47">
        <v>0</v>
      </c>
      <c r="CU144" s="43"/>
      <c r="CV144" s="42"/>
      <c r="CZ144" s="47">
        <v>0</v>
      </c>
      <c r="DA144" s="43"/>
      <c r="DG144" s="47">
        <v>0</v>
      </c>
      <c r="DH144" s="43"/>
      <c r="DK144" s="47">
        <v>0</v>
      </c>
      <c r="DL144" s="43"/>
      <c r="DM144" s="42"/>
      <c r="DQ144" s="47">
        <v>0</v>
      </c>
      <c r="DR144" s="43"/>
      <c r="DW144" s="47">
        <v>0</v>
      </c>
      <c r="DX144" s="43"/>
      <c r="EC144" s="47">
        <v>0</v>
      </c>
      <c r="ED144" s="43"/>
      <c r="EE144" s="42"/>
      <c r="EI144" s="47">
        <v>0</v>
      </c>
      <c r="EJ144" s="43"/>
      <c r="EO144" s="47">
        <v>0</v>
      </c>
      <c r="EP144" s="43"/>
      <c r="EQ144" s="42"/>
      <c r="EU144" s="47">
        <v>0</v>
      </c>
      <c r="EV144" s="43"/>
      <c r="EW144" s="42"/>
      <c r="FC144" s="47">
        <v>0</v>
      </c>
      <c r="FD144" s="43"/>
      <c r="FE144" s="42"/>
      <c r="FI144" s="47">
        <v>0</v>
      </c>
      <c r="FJ144" s="43"/>
      <c r="FQ144" s="47">
        <v>0</v>
      </c>
      <c r="FR144" s="43"/>
      <c r="FS144" s="42"/>
      <c r="FW144" s="47">
        <v>0</v>
      </c>
      <c r="FX144" s="43"/>
      <c r="FY144" s="42"/>
      <c r="GC144" s="47">
        <v>0</v>
      </c>
      <c r="GD144" s="43"/>
      <c r="GE144" s="42"/>
      <c r="GI144" s="47">
        <v>0</v>
      </c>
      <c r="GJ144" s="43"/>
      <c r="GQ144" s="47">
        <v>0</v>
      </c>
      <c r="GR144" s="43"/>
      <c r="GX144" s="47">
        <v>0</v>
      </c>
      <c r="GY144" s="43"/>
      <c r="GZ144" s="42"/>
      <c r="HC144" s="47">
        <v>0</v>
      </c>
      <c r="HD144" s="43"/>
      <c r="HE144" s="42"/>
      <c r="HH144" s="47">
        <v>0</v>
      </c>
      <c r="HI144" s="43"/>
      <c r="HN144" s="47">
        <v>0</v>
      </c>
      <c r="HO144" s="43"/>
      <c r="HP144" s="42"/>
      <c r="HU144" s="47">
        <v>0</v>
      </c>
      <c r="HV144" s="43"/>
      <c r="IA144" s="47">
        <v>0</v>
      </c>
      <c r="IB144" s="43"/>
      <c r="IC144" s="42"/>
      <c r="IG144" s="47">
        <v>0</v>
      </c>
      <c r="IH144" s="43"/>
      <c r="IM144" s="47">
        <v>0</v>
      </c>
      <c r="IN144" s="43"/>
      <c r="IO144" s="42"/>
      <c r="IQ144" s="47">
        <v>0</v>
      </c>
      <c r="IR144" s="43"/>
      <c r="IS144" s="42"/>
      <c r="IW144" s="47">
        <v>0</v>
      </c>
      <c r="IX144" s="43"/>
      <c r="IY144" s="42"/>
      <c r="JA144" s="47">
        <v>0</v>
      </c>
      <c r="JB144" s="43"/>
      <c r="JC144" s="42"/>
      <c r="JG144" s="47">
        <v>0</v>
      </c>
      <c r="JH144" s="43"/>
      <c r="JO144" s="47">
        <v>0</v>
      </c>
      <c r="JP144" s="43"/>
      <c r="JQ144" s="42"/>
      <c r="JU144" s="47">
        <v>0</v>
      </c>
      <c r="JV144" s="43"/>
      <c r="KA144" s="47">
        <v>0</v>
      </c>
      <c r="KB144" s="45"/>
      <c r="KG144" s="47">
        <v>0</v>
      </c>
      <c r="KH144" s="45"/>
      <c r="KI144">
        <v>96</v>
      </c>
      <c r="KJ144">
        <v>100</v>
      </c>
      <c r="KK144">
        <v>88</v>
      </c>
      <c r="KL144">
        <v>89</v>
      </c>
      <c r="KM144" s="47">
        <v>-5</v>
      </c>
      <c r="KN144" s="45"/>
      <c r="KO144">
        <v>40</v>
      </c>
      <c r="KP144">
        <v>40</v>
      </c>
      <c r="KQ144">
        <v>40</v>
      </c>
      <c r="KR144">
        <v>40</v>
      </c>
      <c r="KS144" s="47">
        <v>0</v>
      </c>
      <c r="KT144" s="43"/>
      <c r="KU144">
        <v>96</v>
      </c>
      <c r="KV144">
        <v>96</v>
      </c>
      <c r="KW144" s="47">
        <v>0</v>
      </c>
      <c r="KX144" s="45"/>
      <c r="LC144" s="47">
        <v>0</v>
      </c>
      <c r="LD144" s="43"/>
      <c r="LE144" s="40">
        <v>32</v>
      </c>
      <c r="LF144" s="44">
        <v>30</v>
      </c>
      <c r="LG144" s="47">
        <v>2</v>
      </c>
      <c r="LH144" s="45"/>
      <c r="LK144">
        <v>208</v>
      </c>
      <c r="LL144">
        <v>206</v>
      </c>
      <c r="LM144" s="47">
        <v>2</v>
      </c>
      <c r="LN144" s="45"/>
      <c r="LS144" s="47">
        <v>0</v>
      </c>
      <c r="LT144" s="45"/>
      <c r="LU144">
        <v>40</v>
      </c>
      <c r="LV144">
        <v>40</v>
      </c>
      <c r="LW144">
        <v>72</v>
      </c>
      <c r="LX144">
        <v>70</v>
      </c>
      <c r="LY144" s="47">
        <v>2</v>
      </c>
      <c r="LZ144" s="45"/>
      <c r="MA144">
        <v>48</v>
      </c>
      <c r="MB144">
        <v>50</v>
      </c>
      <c r="MC144">
        <v>136</v>
      </c>
      <c r="MD144">
        <v>140</v>
      </c>
      <c r="ME144" s="47">
        <v>-6</v>
      </c>
      <c r="MF144" s="45"/>
      <c r="MG144" s="46"/>
      <c r="MM144" s="47">
        <v>0</v>
      </c>
      <c r="MN144" s="45"/>
      <c r="MO144" s="44">
        <v>96</v>
      </c>
      <c r="MP144" s="44">
        <v>100</v>
      </c>
      <c r="MQ144" s="44">
        <v>96</v>
      </c>
      <c r="MR144" s="44">
        <v>100</v>
      </c>
      <c r="MS144" s="47">
        <v>-8</v>
      </c>
      <c r="MT144" s="45"/>
      <c r="MU144" s="44">
        <v>0</v>
      </c>
      <c r="MV144" s="44">
        <v>0</v>
      </c>
      <c r="MW144" s="44">
        <v>96</v>
      </c>
      <c r="MX144" s="44">
        <v>100</v>
      </c>
      <c r="MY144" s="47">
        <v>-4</v>
      </c>
      <c r="MZ144" s="45"/>
      <c r="NA144" s="46">
        <v>0</v>
      </c>
      <c r="NB144" s="44">
        <v>0</v>
      </c>
      <c r="NC144" s="47">
        <v>0</v>
      </c>
      <c r="ND144" s="45"/>
      <c r="NE144" s="46">
        <v>0</v>
      </c>
      <c r="NF144" s="44">
        <v>0</v>
      </c>
      <c r="NG144" s="44">
        <v>400</v>
      </c>
      <c r="NH144" s="44">
        <v>400</v>
      </c>
      <c r="NI144" s="44">
        <v>80</v>
      </c>
      <c r="NJ144" s="50">
        <v>-80</v>
      </c>
      <c r="NK144" s="45">
        <v>48</v>
      </c>
      <c r="NL144" s="46">
        <v>0</v>
      </c>
      <c r="NM144" s="44">
        <v>0</v>
      </c>
      <c r="NN144" s="44">
        <v>0</v>
      </c>
      <c r="NO144" s="44">
        <v>0</v>
      </c>
      <c r="NP144" s="47">
        <v>0</v>
      </c>
      <c r="NQ144" s="45"/>
      <c r="NR144" s="46">
        <v>0</v>
      </c>
      <c r="NS144" s="44">
        <v>0</v>
      </c>
      <c r="NT144" s="47">
        <v>0</v>
      </c>
      <c r="NU144" s="45"/>
      <c r="NV144" s="46">
        <v>0</v>
      </c>
      <c r="NW144" s="44">
        <v>0</v>
      </c>
      <c r="NX144" s="44">
        <v>72</v>
      </c>
      <c r="NY144" s="44">
        <v>70</v>
      </c>
      <c r="NZ144" s="47">
        <v>2</v>
      </c>
      <c r="OA144" s="45"/>
      <c r="OB144" s="46">
        <v>80</v>
      </c>
      <c r="OC144" s="44">
        <v>80</v>
      </c>
      <c r="OD144" s="47">
        <v>0</v>
      </c>
      <c r="OE144" s="45"/>
      <c r="OF144" s="46"/>
      <c r="OK144" s="45"/>
      <c r="OM144" s="43"/>
      <c r="OQ144" s="45"/>
      <c r="OR144" s="46"/>
      <c r="OW144" s="45"/>
      <c r="OX144" s="46"/>
      <c r="PC144" s="45"/>
      <c r="PD144" s="46"/>
      <c r="PI144" s="45"/>
      <c r="PJ144" s="46"/>
      <c r="PO144" s="45"/>
      <c r="PP144" s="46"/>
      <c r="PU144" s="45"/>
      <c r="PV144" s="46"/>
      <c r="PY144" s="45"/>
      <c r="PZ144" s="46"/>
      <c r="QC144" s="45"/>
      <c r="QD144" s="46"/>
      <c r="QI144" s="45"/>
      <c r="QJ144" s="46"/>
      <c r="QM144" s="45"/>
      <c r="QN144" s="46"/>
      <c r="QS144" s="45"/>
      <c r="QT144" s="46"/>
      <c r="QW144" s="45"/>
      <c r="QX144" s="46"/>
      <c r="RC144" s="45"/>
      <c r="RD144" s="42"/>
      <c r="RE144" s="44"/>
      <c r="RG144" s="44"/>
      <c r="RI144" s="45"/>
      <c r="RJ144" s="42"/>
      <c r="RO144" s="43"/>
      <c r="RP144" s="42"/>
      <c r="RS144" s="43"/>
      <c r="RT144" s="42"/>
      <c r="RY144" s="43"/>
      <c r="RZ144" s="42"/>
      <c r="SE144" s="43"/>
      <c r="SF144" s="42"/>
      <c r="SK144" s="43"/>
      <c r="SL144" s="42"/>
      <c r="SO144" s="43"/>
      <c r="SP144" s="42"/>
      <c r="SU144" s="43"/>
    </row>
    <row r="145" spans="1:515" x14ac:dyDescent="0.25">
      <c r="A145" s="47" t="s">
        <v>452</v>
      </c>
      <c r="B145" s="41">
        <v>1</v>
      </c>
      <c r="J145" s="42"/>
      <c r="K145" s="51"/>
      <c r="L145" s="51"/>
      <c r="M145" s="51"/>
      <c r="N145" s="51">
        <f t="shared" si="15"/>
        <v>0</v>
      </c>
      <c r="O145" s="43"/>
      <c r="P145" s="46"/>
      <c r="Q145" s="51"/>
      <c r="R145" s="51"/>
      <c r="S145" s="51"/>
      <c r="T145" s="51">
        <f t="shared" si="16"/>
        <v>0</v>
      </c>
      <c r="U145" s="43"/>
      <c r="V145" s="42"/>
      <c r="W145" s="51"/>
      <c r="X145" s="51"/>
      <c r="Y145" s="51"/>
      <c r="Z145" s="51">
        <f t="shared" si="17"/>
        <v>0</v>
      </c>
      <c r="AA145" s="43"/>
      <c r="AB145" s="42"/>
      <c r="AC145" s="51"/>
      <c r="AD145" s="51"/>
      <c r="AE145" s="51"/>
      <c r="AF145" s="51">
        <v>0</v>
      </c>
      <c r="AG145" s="43"/>
      <c r="AH145" s="51"/>
      <c r="AL145" s="47">
        <v>0</v>
      </c>
      <c r="AM145" s="43"/>
      <c r="AN145" s="42"/>
      <c r="AR145" s="47">
        <v>0</v>
      </c>
      <c r="AS145" s="43"/>
      <c r="AX145" s="47">
        <v>0</v>
      </c>
      <c r="AY145" s="43"/>
      <c r="BD145" s="47">
        <v>0</v>
      </c>
      <c r="BE145" s="43"/>
      <c r="BF145" s="42"/>
      <c r="BJ145" s="47">
        <v>0</v>
      </c>
      <c r="BK145" s="43"/>
      <c r="BL145" s="42"/>
      <c r="BP145" s="47">
        <v>0</v>
      </c>
      <c r="BQ145" s="43"/>
      <c r="BV145" s="47">
        <v>0</v>
      </c>
      <c r="BW145" s="43"/>
      <c r="BX145" s="42"/>
      <c r="CB145" s="47">
        <v>0</v>
      </c>
      <c r="CC145" s="43"/>
      <c r="CH145" s="47">
        <v>0</v>
      </c>
      <c r="CI145" s="43"/>
      <c r="CN145" s="47">
        <v>0</v>
      </c>
      <c r="CO145" s="43"/>
      <c r="CP145" s="42"/>
      <c r="CT145" s="47">
        <v>0</v>
      </c>
      <c r="CU145" s="43"/>
      <c r="CV145" s="42"/>
      <c r="CZ145" s="47">
        <v>0</v>
      </c>
      <c r="DA145" s="43"/>
      <c r="DG145" s="47">
        <v>0</v>
      </c>
      <c r="DH145" s="43"/>
      <c r="DK145" s="47">
        <v>0</v>
      </c>
      <c r="DL145" s="43"/>
      <c r="DM145" s="42"/>
      <c r="DQ145" s="47">
        <v>0</v>
      </c>
      <c r="DR145" s="43"/>
      <c r="DW145" s="47">
        <v>0</v>
      </c>
      <c r="DX145" s="43"/>
      <c r="EC145" s="47">
        <v>0</v>
      </c>
      <c r="ED145" s="43"/>
      <c r="EE145" s="42"/>
      <c r="EI145" s="47">
        <v>0</v>
      </c>
      <c r="EJ145" s="43"/>
      <c r="EO145" s="47">
        <v>0</v>
      </c>
      <c r="EP145" s="43"/>
      <c r="EQ145" s="42"/>
      <c r="EU145" s="47">
        <v>0</v>
      </c>
      <c r="EV145" s="43"/>
      <c r="EW145" s="42"/>
      <c r="FC145" s="47">
        <v>0</v>
      </c>
      <c r="FD145" s="43"/>
      <c r="FE145" s="42"/>
      <c r="FI145" s="47">
        <v>0</v>
      </c>
      <c r="FJ145" s="43"/>
      <c r="FQ145" s="47">
        <v>0</v>
      </c>
      <c r="FR145" s="43"/>
      <c r="FS145" s="42"/>
      <c r="FW145" s="47">
        <v>0</v>
      </c>
      <c r="FX145" s="43"/>
      <c r="FY145" s="42"/>
      <c r="GC145" s="47">
        <v>0</v>
      </c>
      <c r="GD145" s="43"/>
      <c r="GE145" s="42"/>
      <c r="GI145" s="47">
        <v>0</v>
      </c>
      <c r="GJ145" s="43"/>
      <c r="GQ145" s="47">
        <v>0</v>
      </c>
      <c r="GR145" s="43"/>
      <c r="GX145" s="47">
        <v>0</v>
      </c>
      <c r="GY145" s="43"/>
      <c r="GZ145" s="42"/>
      <c r="HC145" s="47">
        <v>0</v>
      </c>
      <c r="HD145" s="43"/>
      <c r="HE145" s="42"/>
      <c r="HH145" s="47">
        <v>0</v>
      </c>
      <c r="HI145" s="43"/>
      <c r="HN145" s="47">
        <v>0</v>
      </c>
      <c r="HO145" s="43"/>
      <c r="HP145" s="42"/>
      <c r="HR145">
        <v>50</v>
      </c>
      <c r="HS145">
        <v>71</v>
      </c>
      <c r="HT145">
        <v>70</v>
      </c>
      <c r="HU145" s="50">
        <v>-49</v>
      </c>
      <c r="HV145" s="43">
        <v>49</v>
      </c>
      <c r="IA145" s="47">
        <v>0</v>
      </c>
      <c r="IB145" s="43"/>
      <c r="IC145" s="42"/>
      <c r="IG145" s="47">
        <v>0</v>
      </c>
      <c r="IH145" s="43"/>
      <c r="IK145">
        <v>161</v>
      </c>
      <c r="IL145">
        <v>160</v>
      </c>
      <c r="IM145" s="47">
        <v>1</v>
      </c>
      <c r="IN145" s="43"/>
      <c r="IO145" s="42"/>
      <c r="IQ145" s="47">
        <v>0</v>
      </c>
      <c r="IR145" s="43"/>
      <c r="IS145" s="42"/>
      <c r="IW145" s="47">
        <v>0</v>
      </c>
      <c r="IX145" s="43"/>
      <c r="IY145" s="40">
        <v>20</v>
      </c>
      <c r="IZ145">
        <v>20</v>
      </c>
      <c r="JA145" s="47">
        <v>0</v>
      </c>
      <c r="JB145" s="43"/>
      <c r="JC145" s="42"/>
      <c r="JE145">
        <v>39</v>
      </c>
      <c r="JF145">
        <v>39</v>
      </c>
      <c r="JG145" s="47">
        <v>0</v>
      </c>
      <c r="JH145" s="43"/>
      <c r="JM145">
        <v>202</v>
      </c>
      <c r="JN145">
        <v>205</v>
      </c>
      <c r="JO145" s="47">
        <v>-3</v>
      </c>
      <c r="JP145" s="43"/>
      <c r="JQ145" s="42"/>
      <c r="JS145">
        <v>63</v>
      </c>
      <c r="JT145">
        <v>60</v>
      </c>
      <c r="JU145" s="47">
        <v>3</v>
      </c>
      <c r="JV145" s="43"/>
      <c r="JY145">
        <v>63</v>
      </c>
      <c r="JZ145">
        <v>60</v>
      </c>
      <c r="KA145" s="47">
        <v>3</v>
      </c>
      <c r="KB145" s="45"/>
      <c r="KC145">
        <v>63</v>
      </c>
      <c r="KD145">
        <v>61</v>
      </c>
      <c r="KG145" s="47">
        <v>2</v>
      </c>
      <c r="KH145" s="45"/>
      <c r="KI145">
        <v>83</v>
      </c>
      <c r="KJ145">
        <v>80</v>
      </c>
      <c r="KK145">
        <v>83</v>
      </c>
      <c r="KL145">
        <v>80</v>
      </c>
      <c r="KM145" s="47">
        <v>6</v>
      </c>
      <c r="KN145" s="45"/>
      <c r="KQ145">
        <v>74</v>
      </c>
      <c r="KR145">
        <v>72</v>
      </c>
      <c r="KS145" s="47">
        <v>2</v>
      </c>
      <c r="KT145" s="43"/>
      <c r="KU145">
        <v>79</v>
      </c>
      <c r="KV145">
        <v>77</v>
      </c>
      <c r="KW145" s="47">
        <v>2</v>
      </c>
      <c r="KX145" s="45"/>
      <c r="LA145">
        <v>43</v>
      </c>
      <c r="LB145">
        <v>43</v>
      </c>
      <c r="LC145" s="47">
        <v>0</v>
      </c>
      <c r="LD145" s="43"/>
      <c r="LE145" s="46"/>
      <c r="LG145" s="47">
        <v>0</v>
      </c>
      <c r="LH145" s="45"/>
      <c r="LK145">
        <v>152</v>
      </c>
      <c r="LL145">
        <v>150</v>
      </c>
      <c r="LM145" s="47">
        <v>2</v>
      </c>
      <c r="LN145" s="45"/>
      <c r="LQ145">
        <v>144</v>
      </c>
      <c r="LR145">
        <v>145</v>
      </c>
      <c r="LS145" s="47">
        <v>-1</v>
      </c>
      <c r="LT145" s="45"/>
      <c r="LY145" s="47">
        <v>0</v>
      </c>
      <c r="LZ145" s="45"/>
      <c r="MA145">
        <v>52</v>
      </c>
      <c r="MB145">
        <v>50</v>
      </c>
      <c r="MC145">
        <v>91</v>
      </c>
      <c r="MD145">
        <v>90</v>
      </c>
      <c r="ME145" s="47">
        <v>3</v>
      </c>
      <c r="MF145" s="45"/>
      <c r="MG145" s="46"/>
      <c r="MM145" s="47">
        <v>0</v>
      </c>
      <c r="MN145" s="45"/>
      <c r="MO145" s="44">
        <v>0</v>
      </c>
      <c r="MP145" s="44">
        <v>0</v>
      </c>
      <c r="MQ145" s="44">
        <v>70.647000000000006</v>
      </c>
      <c r="MR145" s="44">
        <v>70</v>
      </c>
      <c r="MS145" s="47">
        <v>0.64700000000000557</v>
      </c>
      <c r="MT145" s="45"/>
      <c r="MU145" s="44">
        <v>0</v>
      </c>
      <c r="MV145" s="44">
        <v>0</v>
      </c>
      <c r="MW145" s="44">
        <v>113.42700000000001</v>
      </c>
      <c r="MX145" s="44">
        <v>112</v>
      </c>
      <c r="MY145" s="47">
        <v>1.4270000000000069</v>
      </c>
      <c r="MZ145" s="45"/>
      <c r="NA145" s="46">
        <v>0</v>
      </c>
      <c r="NB145" s="44">
        <v>0</v>
      </c>
      <c r="NC145" s="47">
        <v>0</v>
      </c>
      <c r="ND145" s="45"/>
      <c r="NE145" s="46">
        <v>0</v>
      </c>
      <c r="NF145" s="44">
        <v>0</v>
      </c>
      <c r="NG145" s="44">
        <v>112.245</v>
      </c>
      <c r="NH145" s="44">
        <v>0</v>
      </c>
      <c r="NI145" s="44">
        <v>110</v>
      </c>
      <c r="NJ145" s="47">
        <v>2.245000000000005</v>
      </c>
      <c r="NK145" s="45"/>
      <c r="NL145" s="46">
        <v>0</v>
      </c>
      <c r="NM145" s="44">
        <v>0</v>
      </c>
      <c r="NN145" s="44">
        <v>0</v>
      </c>
      <c r="NO145" s="44">
        <v>0</v>
      </c>
      <c r="NP145" s="47">
        <v>0</v>
      </c>
      <c r="NQ145" s="45"/>
      <c r="NR145" s="46">
        <v>19.777999999999999</v>
      </c>
      <c r="NS145" s="44">
        <v>20</v>
      </c>
      <c r="NT145" s="47">
        <v>-0.22200000000000131</v>
      </c>
      <c r="NU145" s="45"/>
      <c r="NV145" s="46">
        <v>11.86</v>
      </c>
      <c r="NW145" s="44">
        <v>10</v>
      </c>
      <c r="NX145" s="44">
        <v>31.588999999999999</v>
      </c>
      <c r="NY145" s="44">
        <v>30</v>
      </c>
      <c r="NZ145" s="47">
        <v>3.4489999999999981</v>
      </c>
      <c r="OA145" s="45"/>
      <c r="OB145" s="46">
        <v>12.268000000000001</v>
      </c>
      <c r="OC145" s="44">
        <v>10</v>
      </c>
      <c r="OD145" s="47">
        <v>2.2680000000000011</v>
      </c>
      <c r="OE145" s="45"/>
      <c r="OF145" s="46">
        <v>0</v>
      </c>
      <c r="OG145" s="44">
        <v>0</v>
      </c>
      <c r="OH145" s="44">
        <v>51.194000000000003</v>
      </c>
      <c r="OI145" s="44">
        <v>50</v>
      </c>
      <c r="OJ145" s="47">
        <v>1.1940000000000031</v>
      </c>
      <c r="OK145" s="45"/>
      <c r="OL145" s="44">
        <v>0</v>
      </c>
      <c r="OM145" s="43"/>
      <c r="ON145" s="44">
        <v>0</v>
      </c>
      <c r="OO145" s="44">
        <v>0</v>
      </c>
      <c r="OP145" s="47">
        <v>0</v>
      </c>
      <c r="OQ145" s="45"/>
      <c r="OR145" s="46">
        <v>0</v>
      </c>
      <c r="OS145" s="44">
        <v>0</v>
      </c>
      <c r="OT145" s="44">
        <v>0</v>
      </c>
      <c r="OU145" s="44">
        <v>0</v>
      </c>
      <c r="OV145" s="47">
        <v>0</v>
      </c>
      <c r="OW145" s="45"/>
      <c r="OX145" s="46">
        <v>0</v>
      </c>
      <c r="OY145" s="44">
        <v>0</v>
      </c>
      <c r="OZ145" s="44">
        <v>82.656999999999996</v>
      </c>
      <c r="PA145" s="44">
        <v>80</v>
      </c>
      <c r="PB145" s="47">
        <v>2.656999999999996</v>
      </c>
      <c r="PC145" s="45"/>
      <c r="PD145" s="46">
        <v>0</v>
      </c>
      <c r="PE145" s="44">
        <v>0</v>
      </c>
      <c r="PF145" s="44">
        <v>19.605</v>
      </c>
      <c r="PG145" s="44">
        <v>20</v>
      </c>
      <c r="PH145" s="47">
        <v>-0.39499999999999957</v>
      </c>
      <c r="PI145" s="45"/>
      <c r="PJ145" s="46">
        <v>0</v>
      </c>
      <c r="PK145" s="44">
        <v>0</v>
      </c>
      <c r="PL145" s="44">
        <v>127.887</v>
      </c>
      <c r="PM145" s="44">
        <v>129</v>
      </c>
      <c r="PN145" s="47">
        <v>-1.113</v>
      </c>
      <c r="PO145" s="45"/>
      <c r="PP145" s="46">
        <v>0</v>
      </c>
      <c r="PQ145" s="44">
        <v>0</v>
      </c>
      <c r="PR145" s="44">
        <v>0</v>
      </c>
      <c r="PS145" s="44">
        <v>0</v>
      </c>
      <c r="PT145" s="47">
        <v>0</v>
      </c>
      <c r="PU145" s="45"/>
      <c r="PV145" s="46">
        <v>23.75</v>
      </c>
      <c r="PW145" s="44">
        <v>20</v>
      </c>
      <c r="PX145" s="47">
        <v>3.75</v>
      </c>
      <c r="PY145" s="45"/>
      <c r="PZ145" s="46">
        <v>75.216999999999999</v>
      </c>
      <c r="QA145" s="44">
        <v>73</v>
      </c>
      <c r="QB145" s="47">
        <v>2.2169999999999992</v>
      </c>
      <c r="QC145" s="45"/>
      <c r="QD145" s="46">
        <v>0</v>
      </c>
      <c r="QE145" s="44">
        <v>0</v>
      </c>
      <c r="QF145" s="44">
        <v>0</v>
      </c>
      <c r="QG145" s="44">
        <v>0</v>
      </c>
      <c r="QH145" s="47">
        <v>0</v>
      </c>
      <c r="QI145" s="45"/>
      <c r="QJ145" s="46">
        <v>31.449000000000002</v>
      </c>
      <c r="QK145" s="44">
        <v>30</v>
      </c>
      <c r="QL145" s="47">
        <v>1.4490000000000021</v>
      </c>
      <c r="QM145" s="45"/>
      <c r="QN145" s="46">
        <v>0</v>
      </c>
      <c r="QO145" s="44">
        <v>0</v>
      </c>
      <c r="QP145" s="44">
        <v>0</v>
      </c>
      <c r="QQ145" s="44">
        <v>0</v>
      </c>
      <c r="QR145" s="47">
        <v>0</v>
      </c>
      <c r="QS145" s="45"/>
      <c r="QT145" s="23">
        <v>7.843</v>
      </c>
      <c r="QU145" s="44">
        <v>0</v>
      </c>
      <c r="QV145" s="47">
        <v>7.843</v>
      </c>
      <c r="QW145" s="45"/>
      <c r="QX145" s="46"/>
      <c r="RC145" s="45"/>
      <c r="RD145" s="18"/>
      <c r="RE145" s="44"/>
      <c r="RG145" s="44"/>
      <c r="RI145" s="45"/>
      <c r="RJ145" s="8"/>
      <c r="RL145" s="7"/>
      <c r="RO145" s="43"/>
      <c r="RP145" s="8"/>
      <c r="RS145" s="43"/>
      <c r="RT145" s="8"/>
      <c r="RV145" s="7"/>
      <c r="RY145" s="43"/>
      <c r="RZ145" s="42"/>
      <c r="SE145" s="43"/>
      <c r="SF145" s="42"/>
      <c r="SK145" s="43"/>
      <c r="SL145" s="42"/>
      <c r="SO145" s="43"/>
      <c r="SP145" s="42"/>
      <c r="SU145" s="43"/>
    </row>
    <row r="146" spans="1:515" x14ac:dyDescent="0.25">
      <c r="A146" s="47" t="s">
        <v>453</v>
      </c>
      <c r="B146" s="41">
        <v>1</v>
      </c>
      <c r="J146" s="42"/>
      <c r="K146" s="51"/>
      <c r="L146" s="51"/>
      <c r="M146" s="51"/>
      <c r="N146" s="51">
        <f t="shared" si="15"/>
        <v>0</v>
      </c>
      <c r="O146" s="43"/>
      <c r="P146" s="46"/>
      <c r="Q146" s="51"/>
      <c r="R146" s="51"/>
      <c r="S146" s="51"/>
      <c r="T146" s="51">
        <f t="shared" si="16"/>
        <v>0</v>
      </c>
      <c r="U146" s="43"/>
      <c r="V146" s="42"/>
      <c r="W146" s="51"/>
      <c r="X146" s="51"/>
      <c r="Y146" s="51"/>
      <c r="Z146" s="51">
        <f t="shared" si="17"/>
        <v>0</v>
      </c>
      <c r="AA146" s="43"/>
      <c r="AB146" s="42"/>
      <c r="AC146" s="51"/>
      <c r="AD146" s="51"/>
      <c r="AE146" s="51"/>
      <c r="AF146" s="51">
        <v>0</v>
      </c>
      <c r="AG146" s="43"/>
      <c r="AH146" s="51"/>
      <c r="AL146" s="47">
        <v>0</v>
      </c>
      <c r="AM146" s="43"/>
      <c r="AN146" s="42"/>
      <c r="AR146" s="47">
        <v>0</v>
      </c>
      <c r="AS146" s="43"/>
      <c r="AX146" s="47">
        <v>0</v>
      </c>
      <c r="AY146" s="43"/>
      <c r="BD146" s="47">
        <v>0</v>
      </c>
      <c r="BE146" s="43"/>
      <c r="BF146" s="42"/>
      <c r="BJ146" s="47">
        <v>0</v>
      </c>
      <c r="BK146" s="43"/>
      <c r="BL146" s="42"/>
      <c r="BP146" s="47">
        <v>0</v>
      </c>
      <c r="BQ146" s="43"/>
      <c r="BV146" s="47">
        <v>0</v>
      </c>
      <c r="BW146" s="43"/>
      <c r="BX146" s="42"/>
      <c r="CB146" s="47">
        <v>0</v>
      </c>
      <c r="CC146" s="43"/>
      <c r="CH146" s="47">
        <v>0</v>
      </c>
      <c r="CI146" s="43"/>
      <c r="CN146" s="47">
        <v>0</v>
      </c>
      <c r="CO146" s="43"/>
      <c r="CP146" s="42"/>
      <c r="CT146" s="47">
        <v>0</v>
      </c>
      <c r="CU146" s="43"/>
      <c r="CV146" s="42"/>
      <c r="CZ146" s="47">
        <v>0</v>
      </c>
      <c r="DA146" s="43"/>
      <c r="DG146" s="47">
        <v>0</v>
      </c>
      <c r="DH146" s="43"/>
      <c r="DK146" s="47">
        <v>0</v>
      </c>
      <c r="DL146" s="43"/>
      <c r="DM146" s="42"/>
      <c r="DQ146" s="47">
        <v>0</v>
      </c>
      <c r="DR146" s="43"/>
      <c r="DW146" s="47">
        <v>0</v>
      </c>
      <c r="DX146" s="43"/>
      <c r="EC146" s="47">
        <v>0</v>
      </c>
      <c r="ED146" s="43"/>
      <c r="EE146" s="42"/>
      <c r="EI146" s="47">
        <v>0</v>
      </c>
      <c r="EJ146" s="43"/>
      <c r="EO146" s="47">
        <v>0</v>
      </c>
      <c r="EP146" s="43"/>
      <c r="EQ146" s="42"/>
      <c r="EU146" s="47">
        <v>0</v>
      </c>
      <c r="EV146" s="43"/>
      <c r="EW146" s="42"/>
      <c r="FC146" s="47">
        <v>0</v>
      </c>
      <c r="FD146" s="43"/>
      <c r="FE146" s="42"/>
      <c r="FI146" s="47">
        <v>0</v>
      </c>
      <c r="FJ146" s="43"/>
      <c r="FQ146" s="47">
        <v>0</v>
      </c>
      <c r="FR146" s="43"/>
      <c r="FS146" s="42"/>
      <c r="FW146" s="47">
        <v>0</v>
      </c>
      <c r="FX146" s="43"/>
      <c r="FY146" s="42"/>
      <c r="GC146" s="47">
        <v>0</v>
      </c>
      <c r="GD146" s="43"/>
      <c r="GE146" s="42"/>
      <c r="GI146" s="47">
        <v>0</v>
      </c>
      <c r="GJ146" s="43"/>
      <c r="GQ146" s="47">
        <v>0</v>
      </c>
      <c r="GR146" s="43"/>
      <c r="GX146" s="47">
        <v>0</v>
      </c>
      <c r="GY146" s="43"/>
      <c r="GZ146" s="42"/>
      <c r="HC146" s="47">
        <v>0</v>
      </c>
      <c r="HD146" s="43"/>
      <c r="HE146" s="42"/>
      <c r="HH146" s="47">
        <v>0</v>
      </c>
      <c r="HI146" s="43"/>
      <c r="HN146" s="47">
        <v>0</v>
      </c>
      <c r="HO146" s="43"/>
      <c r="HP146" s="42"/>
      <c r="HU146" s="47">
        <v>0</v>
      </c>
      <c r="HV146" s="43"/>
      <c r="IA146" s="47">
        <v>0</v>
      </c>
      <c r="IB146" s="43"/>
      <c r="IC146" s="42"/>
      <c r="IG146" s="47">
        <v>0</v>
      </c>
      <c r="IH146" s="43"/>
      <c r="IM146" s="47">
        <v>0</v>
      </c>
      <c r="IN146" s="43"/>
      <c r="IO146" s="42"/>
      <c r="IQ146" s="47">
        <v>0</v>
      </c>
      <c r="IR146" s="43"/>
      <c r="IS146" s="42"/>
      <c r="IW146" s="47">
        <v>0</v>
      </c>
      <c r="IX146" s="43"/>
      <c r="IY146" s="40">
        <v>43</v>
      </c>
      <c r="IZ146">
        <v>41</v>
      </c>
      <c r="JA146" s="47">
        <v>2</v>
      </c>
      <c r="JB146" s="43"/>
      <c r="JC146" s="42"/>
      <c r="JG146" s="47">
        <v>0</v>
      </c>
      <c r="JH146" s="43"/>
      <c r="JM146">
        <v>39</v>
      </c>
      <c r="JN146">
        <v>37</v>
      </c>
      <c r="JO146" s="47">
        <v>2</v>
      </c>
      <c r="JP146" s="43"/>
      <c r="JQ146" s="42"/>
      <c r="JS146">
        <v>12</v>
      </c>
      <c r="JT146">
        <v>10</v>
      </c>
      <c r="JU146" s="47">
        <v>2</v>
      </c>
      <c r="JV146" s="43"/>
      <c r="KA146" s="47">
        <v>0</v>
      </c>
      <c r="KB146" s="45"/>
      <c r="KG146" s="47">
        <v>0</v>
      </c>
      <c r="KH146" s="45"/>
      <c r="KI146">
        <v>32</v>
      </c>
      <c r="KJ146">
        <v>30</v>
      </c>
      <c r="KK146">
        <v>31</v>
      </c>
      <c r="KL146">
        <v>30</v>
      </c>
      <c r="KM146" s="47">
        <v>3</v>
      </c>
      <c r="KN146" s="45"/>
      <c r="KQ146">
        <v>12</v>
      </c>
      <c r="KR146">
        <v>10</v>
      </c>
      <c r="KS146" s="47">
        <v>2</v>
      </c>
      <c r="KT146" s="43"/>
      <c r="KW146" s="47">
        <v>0</v>
      </c>
      <c r="KX146" s="45"/>
      <c r="LA146">
        <v>16</v>
      </c>
      <c r="LB146">
        <v>15</v>
      </c>
      <c r="LC146" s="47">
        <v>1</v>
      </c>
      <c r="LD146" s="43"/>
      <c r="LE146" s="40">
        <v>39</v>
      </c>
      <c r="LF146" s="44">
        <v>37.9236</v>
      </c>
      <c r="LG146" s="47">
        <v>1.0764</v>
      </c>
      <c r="LH146" s="45"/>
      <c r="LM146" s="47">
        <v>0</v>
      </c>
      <c r="LN146" s="45"/>
      <c r="LS146" s="47">
        <v>0</v>
      </c>
      <c r="LT146" s="45"/>
      <c r="LY146" s="47">
        <v>0</v>
      </c>
      <c r="LZ146" s="45"/>
      <c r="MC146">
        <v>32</v>
      </c>
      <c r="MD146">
        <v>30</v>
      </c>
      <c r="ME146" s="47">
        <v>2</v>
      </c>
      <c r="MF146" s="45"/>
      <c r="MG146" s="46"/>
      <c r="MK146">
        <v>8</v>
      </c>
      <c r="ML146">
        <v>9</v>
      </c>
      <c r="MM146" s="47">
        <v>-1</v>
      </c>
      <c r="MN146" s="45"/>
      <c r="MO146" s="44">
        <v>0</v>
      </c>
      <c r="MP146" s="44">
        <v>0</v>
      </c>
      <c r="MQ146" s="44">
        <v>0</v>
      </c>
      <c r="MR146" s="44">
        <v>0</v>
      </c>
      <c r="MS146" s="47">
        <v>0</v>
      </c>
      <c r="MT146" s="45"/>
      <c r="MU146" s="44">
        <v>0</v>
      </c>
      <c r="MV146" s="44">
        <v>0</v>
      </c>
      <c r="MW146" s="44">
        <v>0</v>
      </c>
      <c r="MX146" s="44">
        <v>0</v>
      </c>
      <c r="MY146" s="47">
        <v>0</v>
      </c>
      <c r="MZ146" s="45"/>
      <c r="NA146" s="46">
        <v>70.271000000000001</v>
      </c>
      <c r="NB146" s="44">
        <v>69</v>
      </c>
      <c r="NC146" s="47">
        <v>1.271000000000001</v>
      </c>
      <c r="ND146" s="45"/>
      <c r="NE146" s="46">
        <v>0</v>
      </c>
      <c r="NF146" s="44">
        <v>0</v>
      </c>
      <c r="NG146" s="44">
        <v>0</v>
      </c>
      <c r="NH146" s="44">
        <v>0</v>
      </c>
      <c r="NI146" s="44">
        <v>0</v>
      </c>
      <c r="NJ146" s="47">
        <v>0</v>
      </c>
      <c r="NK146" s="45"/>
      <c r="NL146" s="46">
        <v>0</v>
      </c>
      <c r="NM146" s="44">
        <v>0</v>
      </c>
      <c r="NN146" s="44">
        <v>0</v>
      </c>
      <c r="NO146" s="44">
        <v>0</v>
      </c>
      <c r="NP146" s="47">
        <v>0</v>
      </c>
      <c r="NQ146" s="45"/>
      <c r="NR146" s="46">
        <v>81.891999999999996</v>
      </c>
      <c r="NS146" s="44">
        <v>80</v>
      </c>
      <c r="NT146" s="47">
        <v>1.8919999999999959</v>
      </c>
      <c r="NU146" s="45"/>
      <c r="NV146" s="46">
        <v>0</v>
      </c>
      <c r="NW146" s="44">
        <v>0</v>
      </c>
      <c r="NX146" s="44">
        <v>0</v>
      </c>
      <c r="NY146" s="44">
        <v>0</v>
      </c>
      <c r="NZ146" s="47">
        <v>0</v>
      </c>
      <c r="OA146" s="45"/>
      <c r="OB146" s="46">
        <v>31.870999999999999</v>
      </c>
      <c r="OC146" s="44">
        <v>30</v>
      </c>
      <c r="OD146" s="47">
        <v>1.8709999999999991</v>
      </c>
      <c r="OE146" s="45"/>
      <c r="OF146" s="46">
        <v>0</v>
      </c>
      <c r="OG146" s="44">
        <v>0</v>
      </c>
      <c r="OH146" s="44">
        <v>0</v>
      </c>
      <c r="OI146" s="44">
        <v>0</v>
      </c>
      <c r="OJ146" s="47">
        <v>0</v>
      </c>
      <c r="OK146" s="45"/>
      <c r="OL146" s="44">
        <v>0</v>
      </c>
      <c r="OM146" s="43"/>
      <c r="ON146" s="44">
        <v>0</v>
      </c>
      <c r="OO146" s="44">
        <v>0</v>
      </c>
      <c r="OP146" s="47">
        <v>0</v>
      </c>
      <c r="OQ146" s="45"/>
      <c r="OR146" s="46">
        <v>0</v>
      </c>
      <c r="OS146" s="44">
        <v>0</v>
      </c>
      <c r="OT146" s="44">
        <v>0</v>
      </c>
      <c r="OU146" s="44">
        <v>0</v>
      </c>
      <c r="OV146" s="47">
        <v>0</v>
      </c>
      <c r="OW146" s="45"/>
      <c r="OX146" s="25">
        <v>31.161000000000001</v>
      </c>
      <c r="OY146" s="44">
        <v>0</v>
      </c>
      <c r="OZ146" s="44">
        <v>0</v>
      </c>
      <c r="PA146" s="44">
        <v>0</v>
      </c>
      <c r="PB146" s="47">
        <v>31.161000000000001</v>
      </c>
      <c r="PC146" s="45"/>
      <c r="PD146" s="46">
        <v>0</v>
      </c>
      <c r="PE146" s="44">
        <v>0</v>
      </c>
      <c r="PF146" s="44">
        <v>0</v>
      </c>
      <c r="PG146" s="44">
        <v>0</v>
      </c>
      <c r="PH146" s="47">
        <v>0</v>
      </c>
      <c r="PI146" s="45"/>
      <c r="PJ146" s="46">
        <v>0</v>
      </c>
      <c r="PK146" s="44">
        <v>0</v>
      </c>
      <c r="PL146" s="44">
        <v>69.691999999999993</v>
      </c>
      <c r="PM146" s="44">
        <v>71</v>
      </c>
      <c r="PN146" s="47">
        <v>-1.3080000000000069</v>
      </c>
      <c r="PO146" s="45"/>
      <c r="PP146" s="46">
        <v>0</v>
      </c>
      <c r="PQ146" s="44">
        <v>0</v>
      </c>
      <c r="PR146" s="44">
        <v>27.565000000000001</v>
      </c>
      <c r="PS146" s="44">
        <v>26</v>
      </c>
      <c r="PT146" s="47">
        <v>1.5650000000000011</v>
      </c>
      <c r="PU146" s="45"/>
      <c r="PV146" s="46">
        <v>19.707999999999998</v>
      </c>
      <c r="PW146" s="44">
        <v>20</v>
      </c>
      <c r="PX146" s="47">
        <v>-0.29200000000000159</v>
      </c>
      <c r="PY146" s="45"/>
      <c r="PZ146" s="46">
        <v>0</v>
      </c>
      <c r="QA146" s="44">
        <v>0</v>
      </c>
      <c r="QB146" s="47">
        <v>0</v>
      </c>
      <c r="QC146" s="45"/>
      <c r="QD146" s="46">
        <v>0</v>
      </c>
      <c r="QE146" s="44">
        <v>0</v>
      </c>
      <c r="QF146" s="44">
        <v>0</v>
      </c>
      <c r="QG146" s="44">
        <v>0</v>
      </c>
      <c r="QH146" s="47">
        <v>0</v>
      </c>
      <c r="QI146" s="45"/>
      <c r="QJ146" s="46">
        <v>0</v>
      </c>
      <c r="QK146" s="44">
        <v>0</v>
      </c>
      <c r="QL146" s="47">
        <v>0</v>
      </c>
      <c r="QM146" s="45"/>
      <c r="QN146" s="46">
        <v>0</v>
      </c>
      <c r="QO146" s="44">
        <v>0</v>
      </c>
      <c r="QP146" s="17">
        <v>93.578000000000003</v>
      </c>
      <c r="QQ146" s="44">
        <v>0</v>
      </c>
      <c r="QR146" s="47">
        <v>0</v>
      </c>
      <c r="QS146" s="45"/>
      <c r="QT146" s="46"/>
      <c r="QW146" s="45"/>
      <c r="QX146" s="46"/>
      <c r="RC146" s="45"/>
      <c r="RD146" s="42"/>
      <c r="RE146" s="44"/>
      <c r="RG146" s="44"/>
      <c r="RI146" s="45"/>
      <c r="RJ146" s="42"/>
      <c r="RO146" s="43"/>
      <c r="RP146" s="42"/>
      <c r="RS146" s="43"/>
      <c r="RT146" s="42"/>
      <c r="RY146" s="43"/>
      <c r="RZ146" s="42"/>
      <c r="SE146" s="43"/>
      <c r="SF146" s="42"/>
      <c r="SK146" s="43"/>
      <c r="SL146" s="42"/>
      <c r="SO146" s="43"/>
      <c r="SP146" s="42"/>
      <c r="SU146" s="43"/>
    </row>
    <row r="147" spans="1:515" x14ac:dyDescent="0.25">
      <c r="A147" s="47" t="s">
        <v>454</v>
      </c>
      <c r="B147" s="41">
        <v>1</v>
      </c>
      <c r="J147" s="42"/>
      <c r="K147" s="51"/>
      <c r="L147" s="51"/>
      <c r="M147" s="51"/>
      <c r="N147" s="51">
        <f t="shared" si="15"/>
        <v>0</v>
      </c>
      <c r="O147" s="43"/>
      <c r="P147" s="46"/>
      <c r="Q147" s="51"/>
      <c r="R147" s="51"/>
      <c r="S147" s="51"/>
      <c r="T147" s="51">
        <f t="shared" si="16"/>
        <v>0</v>
      </c>
      <c r="U147" s="43"/>
      <c r="V147" s="42"/>
      <c r="W147" s="51"/>
      <c r="X147" s="51"/>
      <c r="Y147" s="51"/>
      <c r="Z147" s="51">
        <f t="shared" si="17"/>
        <v>0</v>
      </c>
      <c r="AA147" s="43"/>
      <c r="AB147" s="42"/>
      <c r="AC147" s="51"/>
      <c r="AD147" s="51"/>
      <c r="AE147" s="51"/>
      <c r="AF147" s="51">
        <v>0</v>
      </c>
      <c r="AG147" s="43"/>
      <c r="AH147" s="51"/>
      <c r="AL147" s="47">
        <v>0</v>
      </c>
      <c r="AM147" s="43"/>
      <c r="AN147" s="42"/>
      <c r="AR147" s="47">
        <v>0</v>
      </c>
      <c r="AS147" s="43"/>
      <c r="AX147" s="47">
        <v>0</v>
      </c>
      <c r="AY147" s="43"/>
      <c r="BD147" s="47">
        <v>0</v>
      </c>
      <c r="BE147" s="43"/>
      <c r="BF147" s="42"/>
      <c r="BJ147" s="47">
        <v>0</v>
      </c>
      <c r="BK147" s="43"/>
      <c r="BL147" s="42"/>
      <c r="BP147" s="47">
        <v>0</v>
      </c>
      <c r="BQ147" s="43"/>
      <c r="BV147" s="47">
        <v>0</v>
      </c>
      <c r="BW147" s="43"/>
      <c r="BX147" s="42"/>
      <c r="CB147" s="47">
        <v>0</v>
      </c>
      <c r="CC147" s="43"/>
      <c r="CH147" s="47">
        <v>0</v>
      </c>
      <c r="CI147" s="43"/>
      <c r="CN147" s="47">
        <v>0</v>
      </c>
      <c r="CO147" s="43"/>
      <c r="CP147" s="42"/>
      <c r="CT147" s="47">
        <v>0</v>
      </c>
      <c r="CU147" s="43"/>
      <c r="CV147" s="42"/>
      <c r="CZ147" s="47">
        <v>0</v>
      </c>
      <c r="DA147" s="43"/>
      <c r="DG147" s="47">
        <v>0</v>
      </c>
      <c r="DH147" s="43"/>
      <c r="DK147" s="47">
        <v>0</v>
      </c>
      <c r="DL147" s="43"/>
      <c r="DM147" s="42"/>
      <c r="DQ147" s="47">
        <v>0</v>
      </c>
      <c r="DR147" s="43"/>
      <c r="DW147" s="47">
        <v>0</v>
      </c>
      <c r="DX147" s="43"/>
      <c r="EC147" s="47">
        <v>0</v>
      </c>
      <c r="ED147" s="43"/>
      <c r="EE147" s="42"/>
      <c r="EI147" s="47">
        <v>0</v>
      </c>
      <c r="EJ147" s="43"/>
      <c r="EO147" s="47">
        <v>0</v>
      </c>
      <c r="EP147" s="43"/>
      <c r="EQ147" s="42"/>
      <c r="EU147" s="47">
        <v>0</v>
      </c>
      <c r="EV147" s="43"/>
      <c r="EW147" s="42"/>
      <c r="FC147" s="47">
        <v>0</v>
      </c>
      <c r="FD147" s="43"/>
      <c r="FE147" s="42"/>
      <c r="FI147" s="47">
        <v>0</v>
      </c>
      <c r="FJ147" s="43"/>
      <c r="FQ147" s="47">
        <v>0</v>
      </c>
      <c r="FR147" s="43"/>
      <c r="FS147" s="42"/>
      <c r="FW147" s="47">
        <v>0</v>
      </c>
      <c r="FX147" s="43"/>
      <c r="FY147" s="42"/>
      <c r="GC147" s="47">
        <v>0</v>
      </c>
      <c r="GD147" s="43"/>
      <c r="GE147" s="42"/>
      <c r="GI147" s="47">
        <v>0</v>
      </c>
      <c r="GJ147" s="43"/>
      <c r="GQ147" s="47">
        <v>0</v>
      </c>
      <c r="GR147" s="43"/>
      <c r="GX147" s="47">
        <v>0</v>
      </c>
      <c r="GY147" s="43"/>
      <c r="GZ147" s="42"/>
      <c r="HC147" s="47">
        <v>0</v>
      </c>
      <c r="HD147" s="43"/>
      <c r="HE147" s="42"/>
      <c r="HH147" s="47">
        <v>0</v>
      </c>
      <c r="HI147" s="43"/>
      <c r="HN147" s="47">
        <v>0</v>
      </c>
      <c r="HO147" s="43"/>
      <c r="HP147" s="42"/>
      <c r="HU147" s="47">
        <v>0</v>
      </c>
      <c r="HV147" s="43"/>
      <c r="IA147" s="47">
        <v>0</v>
      </c>
      <c r="IB147" s="43"/>
      <c r="IC147" s="42"/>
      <c r="IG147" s="47">
        <v>0</v>
      </c>
      <c r="IH147" s="43"/>
      <c r="IM147" s="47">
        <v>0</v>
      </c>
      <c r="IN147" s="43"/>
      <c r="IO147" s="42"/>
      <c r="IQ147" s="47">
        <v>0</v>
      </c>
      <c r="IR147" s="43"/>
      <c r="IS147" s="42"/>
      <c r="IW147" s="47">
        <v>0</v>
      </c>
      <c r="IX147" s="43"/>
      <c r="IY147" s="42"/>
      <c r="JA147" s="47">
        <v>0</v>
      </c>
      <c r="JB147" s="43"/>
      <c r="JC147" s="42"/>
      <c r="JG147" s="47">
        <v>0</v>
      </c>
      <c r="JH147" s="43"/>
      <c r="JO147" s="47">
        <v>0</v>
      </c>
      <c r="JP147" s="43"/>
      <c r="JQ147" s="42"/>
      <c r="JU147" s="47">
        <v>0</v>
      </c>
      <c r="JV147" s="43"/>
      <c r="KA147" s="47">
        <v>0</v>
      </c>
      <c r="KB147" s="45"/>
      <c r="KG147" s="47">
        <v>0</v>
      </c>
      <c r="KH147" s="45"/>
      <c r="KM147" s="47">
        <v>0</v>
      </c>
      <c r="KN147" s="45"/>
      <c r="KS147" s="47">
        <v>0</v>
      </c>
      <c r="KT147" s="43"/>
      <c r="KW147" s="47">
        <v>0</v>
      </c>
      <c r="KX147" s="45"/>
      <c r="LC147" s="47">
        <v>0</v>
      </c>
      <c r="LD147" s="43"/>
      <c r="LE147" s="46"/>
      <c r="LG147" s="47">
        <v>0</v>
      </c>
      <c r="LH147" s="45"/>
      <c r="LM147" s="47">
        <v>0</v>
      </c>
      <c r="LN147" s="45"/>
      <c r="LS147" s="47">
        <v>0</v>
      </c>
      <c r="LT147" s="45"/>
      <c r="LY147" s="47">
        <v>0</v>
      </c>
      <c r="LZ147" s="45"/>
      <c r="ME147" s="47">
        <v>0</v>
      </c>
      <c r="MF147" s="45"/>
      <c r="MG147" s="46"/>
      <c r="MM147" s="47">
        <v>0</v>
      </c>
      <c r="MN147" s="45"/>
      <c r="MO147" s="44">
        <v>0</v>
      </c>
      <c r="MP147" s="44">
        <v>0</v>
      </c>
      <c r="MQ147" s="44">
        <v>0</v>
      </c>
      <c r="MR147" s="44">
        <v>0</v>
      </c>
      <c r="MS147" s="47">
        <v>0</v>
      </c>
      <c r="MT147" s="45"/>
      <c r="MU147" s="44">
        <v>0</v>
      </c>
      <c r="MV147" s="44">
        <v>0</v>
      </c>
      <c r="MW147" s="44">
        <v>0</v>
      </c>
      <c r="MX147" s="44">
        <v>0</v>
      </c>
      <c r="MY147" s="47">
        <v>0</v>
      </c>
      <c r="MZ147" s="45"/>
      <c r="NA147" s="46">
        <v>0</v>
      </c>
      <c r="NB147" s="44">
        <v>0</v>
      </c>
      <c r="NC147" s="47">
        <v>0</v>
      </c>
      <c r="ND147" s="45"/>
      <c r="NE147" s="46">
        <v>0</v>
      </c>
      <c r="NF147" s="44">
        <v>0</v>
      </c>
      <c r="NG147" s="44">
        <v>0</v>
      </c>
      <c r="NH147" s="44">
        <v>0</v>
      </c>
      <c r="NI147" s="32">
        <v>60</v>
      </c>
      <c r="NJ147" s="47">
        <v>-0.29999999999999721</v>
      </c>
      <c r="NK147" s="45"/>
      <c r="NL147" s="46">
        <v>0</v>
      </c>
      <c r="NM147" s="44">
        <v>0</v>
      </c>
      <c r="NN147" s="44">
        <v>71.650000000000006</v>
      </c>
      <c r="NO147" s="44">
        <v>70</v>
      </c>
      <c r="NP147" s="47">
        <v>1.6500000000000059</v>
      </c>
      <c r="NQ147" s="45"/>
      <c r="NR147" s="46">
        <v>47.8</v>
      </c>
      <c r="NS147" s="44">
        <v>50</v>
      </c>
      <c r="NT147" s="47">
        <v>-2.2000000000000028</v>
      </c>
      <c r="NU147" s="45"/>
      <c r="NV147" s="46">
        <v>12.061999999999999</v>
      </c>
      <c r="NW147" s="44">
        <v>10</v>
      </c>
      <c r="NX147" s="44">
        <v>17.984999999999999</v>
      </c>
      <c r="NY147" s="44">
        <v>20</v>
      </c>
      <c r="NZ147" s="47">
        <v>4.6999999999997037E-2</v>
      </c>
      <c r="OA147" s="45"/>
      <c r="OB147" s="46">
        <v>131.47</v>
      </c>
      <c r="OC147" s="44">
        <v>130</v>
      </c>
      <c r="OD147" s="47">
        <v>1.4699999999999991</v>
      </c>
      <c r="OE147" s="45"/>
      <c r="OF147" s="46">
        <v>0</v>
      </c>
      <c r="OG147" s="44">
        <v>0</v>
      </c>
      <c r="OH147" s="44">
        <v>0</v>
      </c>
      <c r="OI147" s="44">
        <v>0</v>
      </c>
      <c r="OJ147" s="47">
        <v>0</v>
      </c>
      <c r="OK147" s="45"/>
      <c r="OL147" s="44">
        <v>0</v>
      </c>
      <c r="OM147" s="43"/>
      <c r="ON147" s="44">
        <v>72.349999999999994</v>
      </c>
      <c r="OO147" s="44">
        <v>75</v>
      </c>
      <c r="OP147" s="47">
        <v>-2.6500000000000061</v>
      </c>
      <c r="OQ147" s="45"/>
      <c r="OR147" s="46">
        <v>0</v>
      </c>
      <c r="OS147" s="44">
        <v>0</v>
      </c>
      <c r="OT147" s="44">
        <v>42.255000000000003</v>
      </c>
      <c r="OU147" s="44">
        <v>43</v>
      </c>
      <c r="OV147" s="47">
        <v>-0.74499999999999744</v>
      </c>
      <c r="OW147" s="45"/>
      <c r="OX147" s="46">
        <v>0</v>
      </c>
      <c r="OY147" s="44">
        <v>0</v>
      </c>
      <c r="OZ147" s="44">
        <v>0</v>
      </c>
      <c r="PA147" s="44">
        <v>0</v>
      </c>
      <c r="PB147" s="47">
        <v>0</v>
      </c>
      <c r="PC147" s="45"/>
      <c r="PD147" s="46">
        <v>0</v>
      </c>
      <c r="PE147" s="44">
        <v>0</v>
      </c>
      <c r="PF147" s="44">
        <v>0</v>
      </c>
      <c r="PG147" s="44">
        <v>0</v>
      </c>
      <c r="PH147" s="47">
        <v>0</v>
      </c>
      <c r="PI147" s="45"/>
      <c r="PJ147" s="46">
        <v>0</v>
      </c>
      <c r="PK147" s="44">
        <v>0</v>
      </c>
      <c r="PL147" s="44">
        <v>0</v>
      </c>
      <c r="PM147" s="44">
        <v>0</v>
      </c>
      <c r="PN147" s="47">
        <v>0</v>
      </c>
      <c r="PO147" s="45"/>
      <c r="PP147" s="46">
        <v>0</v>
      </c>
      <c r="PQ147" s="44">
        <v>0</v>
      </c>
      <c r="PR147" s="44">
        <v>108.095</v>
      </c>
      <c r="PS147" s="44">
        <v>107</v>
      </c>
      <c r="PT147" s="47">
        <v>1.0949999999999991</v>
      </c>
      <c r="PU147" s="45"/>
      <c r="PV147" s="46">
        <v>150.64500000000001</v>
      </c>
      <c r="PW147" s="44">
        <v>150</v>
      </c>
      <c r="PX147" s="47">
        <v>0.64500000000001023</v>
      </c>
      <c r="PY147" s="45"/>
      <c r="PZ147" s="46">
        <v>0</v>
      </c>
      <c r="QA147" s="44">
        <v>0</v>
      </c>
      <c r="QB147" s="47">
        <v>0</v>
      </c>
      <c r="QC147" s="45"/>
      <c r="QD147" s="46">
        <v>119.65</v>
      </c>
      <c r="QE147" s="44">
        <v>120</v>
      </c>
      <c r="QF147" s="44">
        <v>77.540000000000006</v>
      </c>
      <c r="QG147" s="44">
        <v>80</v>
      </c>
      <c r="QH147" s="47">
        <v>-2.8100000000000018</v>
      </c>
      <c r="QI147" s="45"/>
      <c r="QJ147" s="46">
        <v>0</v>
      </c>
      <c r="QK147" s="44">
        <v>0</v>
      </c>
      <c r="QL147" s="47">
        <v>0</v>
      </c>
      <c r="QM147" s="45"/>
      <c r="QN147" s="46">
        <v>0</v>
      </c>
      <c r="QO147" s="44">
        <v>0</v>
      </c>
      <c r="QP147" s="44">
        <v>0</v>
      </c>
      <c r="QQ147" s="44">
        <v>0</v>
      </c>
      <c r="QR147" s="47">
        <v>0</v>
      </c>
      <c r="QS147" s="45"/>
      <c r="QT147" s="46">
        <v>30.34</v>
      </c>
      <c r="QU147" s="44">
        <v>0</v>
      </c>
      <c r="QV147" s="47">
        <v>30.34</v>
      </c>
      <c r="QW147" s="45"/>
      <c r="QX147" s="46">
        <v>0</v>
      </c>
      <c r="QY147" s="44">
        <v>0</v>
      </c>
      <c r="QZ147" s="44">
        <v>0</v>
      </c>
      <c r="RA147" s="44">
        <v>0</v>
      </c>
      <c r="RB147" s="47">
        <v>0</v>
      </c>
      <c r="RC147" s="45"/>
      <c r="RD147" s="42">
        <v>0</v>
      </c>
      <c r="RE147" s="44">
        <v>0</v>
      </c>
      <c r="RF147" s="17">
        <v>239.185</v>
      </c>
      <c r="RG147" s="44">
        <v>0</v>
      </c>
      <c r="RH147" s="47">
        <v>0</v>
      </c>
      <c r="RI147" s="45"/>
      <c r="RJ147" s="8"/>
      <c r="RL147" s="7"/>
      <c r="RO147" s="43"/>
      <c r="RP147" s="8"/>
      <c r="RS147" s="43"/>
      <c r="RT147" s="8"/>
      <c r="RV147" s="7"/>
      <c r="RY147" s="43"/>
      <c r="RZ147" s="42"/>
      <c r="SE147" s="43"/>
      <c r="SF147" s="42"/>
      <c r="SK147" s="43"/>
      <c r="SL147" s="42"/>
      <c r="SO147" s="43"/>
      <c r="SP147" s="42"/>
      <c r="SU147" s="43"/>
    </row>
    <row r="148" spans="1:515" x14ac:dyDescent="0.25">
      <c r="A148" s="47" t="s">
        <v>455</v>
      </c>
      <c r="B148" s="41">
        <v>1</v>
      </c>
      <c r="J148" s="42"/>
      <c r="K148" s="51"/>
      <c r="L148" s="52">
        <v>12</v>
      </c>
      <c r="M148" s="52">
        <v>12</v>
      </c>
      <c r="N148" s="51">
        <f t="shared" si="15"/>
        <v>0</v>
      </c>
      <c r="O148" s="43"/>
      <c r="P148" s="46"/>
      <c r="Q148" s="51"/>
      <c r="R148" s="52">
        <v>36</v>
      </c>
      <c r="S148" s="52">
        <v>39</v>
      </c>
      <c r="T148" s="51">
        <f t="shared" si="16"/>
        <v>-3</v>
      </c>
      <c r="U148" s="43"/>
      <c r="V148" s="42"/>
      <c r="W148" s="51"/>
      <c r="X148" s="51"/>
      <c r="Y148" s="51"/>
      <c r="Z148" s="51">
        <f t="shared" si="17"/>
        <v>0</v>
      </c>
      <c r="AA148" s="43"/>
      <c r="AB148" s="42"/>
      <c r="AC148" s="51"/>
      <c r="AD148" s="52">
        <v>59</v>
      </c>
      <c r="AE148" s="56">
        <v>64</v>
      </c>
      <c r="AF148" s="51">
        <v>-5</v>
      </c>
      <c r="AG148" s="43"/>
      <c r="AH148" s="52">
        <v>6</v>
      </c>
      <c r="AI148">
        <v>10</v>
      </c>
      <c r="AJ148">
        <v>6</v>
      </c>
      <c r="AK148">
        <v>11</v>
      </c>
      <c r="AL148" s="47">
        <v>-9</v>
      </c>
      <c r="AM148" s="43"/>
      <c r="AN148" s="42"/>
      <c r="AR148" s="47">
        <v>0</v>
      </c>
      <c r="AS148" s="43"/>
      <c r="AT148">
        <v>30</v>
      </c>
      <c r="AU148">
        <v>30</v>
      </c>
      <c r="AX148" s="47">
        <v>0</v>
      </c>
      <c r="AY148" s="43"/>
      <c r="AZ148">
        <v>18</v>
      </c>
      <c r="BA148">
        <v>20</v>
      </c>
      <c r="BB148">
        <v>36</v>
      </c>
      <c r="BC148">
        <v>37</v>
      </c>
      <c r="BD148" s="47">
        <v>-3</v>
      </c>
      <c r="BE148" s="43"/>
      <c r="BF148" s="42"/>
      <c r="BJ148" s="47">
        <v>0</v>
      </c>
      <c r="BK148" s="43"/>
      <c r="BL148" s="40">
        <v>12</v>
      </c>
      <c r="BM148">
        <v>10</v>
      </c>
      <c r="BN148">
        <v>12</v>
      </c>
      <c r="BO148">
        <v>14</v>
      </c>
      <c r="BP148" s="47">
        <v>0</v>
      </c>
      <c r="BQ148" s="43"/>
      <c r="BT148">
        <v>35</v>
      </c>
      <c r="BU148">
        <v>37</v>
      </c>
      <c r="BV148" s="47">
        <v>-2</v>
      </c>
      <c r="BW148" s="43"/>
      <c r="BX148" s="40">
        <v>6</v>
      </c>
      <c r="BY148">
        <v>6</v>
      </c>
      <c r="CB148" s="47">
        <v>0</v>
      </c>
      <c r="CC148" s="43"/>
      <c r="CF148">
        <v>31</v>
      </c>
      <c r="CG148">
        <v>32</v>
      </c>
      <c r="CH148" s="47">
        <v>-1</v>
      </c>
      <c r="CI148" s="43"/>
      <c r="CL148">
        <v>18</v>
      </c>
      <c r="CM148">
        <v>17</v>
      </c>
      <c r="CN148" s="47">
        <v>1</v>
      </c>
      <c r="CO148" s="43"/>
      <c r="CP148" s="42"/>
      <c r="CT148" s="47">
        <v>0</v>
      </c>
      <c r="CU148" s="43"/>
      <c r="CV148" s="42"/>
      <c r="CX148">
        <v>18</v>
      </c>
      <c r="CY148">
        <v>16</v>
      </c>
      <c r="CZ148" s="47">
        <v>2</v>
      </c>
      <c r="DA148" s="43"/>
      <c r="DE148">
        <v>18</v>
      </c>
      <c r="DF148">
        <v>18</v>
      </c>
      <c r="DG148" s="47">
        <v>0</v>
      </c>
      <c r="DH148" s="43"/>
      <c r="DK148" s="47">
        <v>0</v>
      </c>
      <c r="DL148" s="43"/>
      <c r="DM148" s="42"/>
      <c r="DO148">
        <v>6</v>
      </c>
      <c r="DP148">
        <v>4</v>
      </c>
      <c r="DQ148" s="47">
        <v>2</v>
      </c>
      <c r="DR148" s="43"/>
      <c r="DU148">
        <v>24</v>
      </c>
      <c r="DV148">
        <v>26</v>
      </c>
      <c r="DW148" s="47">
        <v>-2</v>
      </c>
      <c r="DX148" s="43"/>
      <c r="EA148">
        <v>6</v>
      </c>
      <c r="EB148">
        <v>4</v>
      </c>
      <c r="EC148" s="47">
        <v>2</v>
      </c>
      <c r="ED148" s="43"/>
      <c r="EE148" s="42"/>
      <c r="EI148" s="47">
        <v>0</v>
      </c>
      <c r="EJ148" s="43"/>
      <c r="EM148">
        <v>24</v>
      </c>
      <c r="EN148">
        <v>26</v>
      </c>
      <c r="EO148" s="47">
        <v>-2</v>
      </c>
      <c r="EP148" s="43"/>
      <c r="EQ148" s="42"/>
      <c r="EU148" s="47">
        <v>0</v>
      </c>
      <c r="EV148" s="43"/>
      <c r="EW148" s="42"/>
      <c r="FB148">
        <v>40</v>
      </c>
      <c r="FC148" s="50">
        <v>-40</v>
      </c>
      <c r="FD148" s="43">
        <v>40</v>
      </c>
      <c r="FE148" s="42"/>
      <c r="FI148" s="47">
        <v>0</v>
      </c>
      <c r="FJ148" s="43"/>
      <c r="FM148">
        <v>48</v>
      </c>
      <c r="FN148">
        <v>50</v>
      </c>
      <c r="FQ148" s="47">
        <v>-2</v>
      </c>
      <c r="FR148" s="43"/>
      <c r="FS148" s="42"/>
      <c r="FW148" s="47">
        <v>0</v>
      </c>
      <c r="FX148" s="43"/>
      <c r="FY148" s="42"/>
      <c r="GC148" s="47">
        <v>0</v>
      </c>
      <c r="GD148" s="43"/>
      <c r="GE148" s="42"/>
      <c r="GG148">
        <v>30</v>
      </c>
      <c r="GH148">
        <v>32</v>
      </c>
      <c r="GI148" s="47">
        <v>-2</v>
      </c>
      <c r="GJ148" s="43"/>
      <c r="GQ148" s="47">
        <v>0</v>
      </c>
      <c r="GR148" s="43"/>
      <c r="GX148" s="47">
        <v>0</v>
      </c>
      <c r="GY148" s="43"/>
      <c r="GZ148" s="40">
        <v>30</v>
      </c>
      <c r="HB148" s="44">
        <v>30</v>
      </c>
      <c r="HC148" s="47">
        <v>0</v>
      </c>
      <c r="HD148" s="43"/>
      <c r="HE148" s="40">
        <v>30</v>
      </c>
      <c r="HG148">
        <v>31</v>
      </c>
      <c r="HH148" s="47">
        <v>-1</v>
      </c>
      <c r="HI148" s="43"/>
      <c r="HN148" s="47">
        <v>0</v>
      </c>
      <c r="HO148" s="43"/>
      <c r="HP148" s="42"/>
      <c r="HU148" s="47">
        <v>0</v>
      </c>
      <c r="HV148" s="43"/>
      <c r="IA148" s="47">
        <v>0</v>
      </c>
      <c r="IB148" s="43"/>
      <c r="IC148" s="42"/>
      <c r="IE148">
        <v>18</v>
      </c>
      <c r="IF148">
        <v>20</v>
      </c>
      <c r="IG148" s="47">
        <v>-2</v>
      </c>
      <c r="IH148" s="43"/>
      <c r="IK148">
        <v>60</v>
      </c>
      <c r="IL148">
        <v>60</v>
      </c>
      <c r="IM148" s="47">
        <v>0</v>
      </c>
      <c r="IN148" s="43"/>
      <c r="IO148" s="42"/>
      <c r="IQ148" s="47">
        <v>0</v>
      </c>
      <c r="IR148" s="43"/>
      <c r="IS148" s="42"/>
      <c r="IU148">
        <v>42</v>
      </c>
      <c r="IV148">
        <v>40</v>
      </c>
      <c r="IW148" s="47">
        <v>2</v>
      </c>
      <c r="IX148" s="43"/>
      <c r="IY148" s="42"/>
      <c r="JA148" s="47">
        <v>0</v>
      </c>
      <c r="JB148" s="43"/>
      <c r="JC148" s="42"/>
      <c r="JG148" s="47">
        <v>0</v>
      </c>
      <c r="JH148" s="43"/>
      <c r="JM148">
        <v>90</v>
      </c>
      <c r="JN148">
        <v>90</v>
      </c>
      <c r="JO148" s="47">
        <v>0</v>
      </c>
      <c r="JP148" s="43"/>
      <c r="JQ148" s="40">
        <v>18</v>
      </c>
      <c r="JR148">
        <v>20</v>
      </c>
      <c r="JU148" s="47">
        <v>-2</v>
      </c>
      <c r="JV148" s="43"/>
      <c r="JY148">
        <v>6</v>
      </c>
      <c r="JZ148">
        <v>8</v>
      </c>
      <c r="KA148" s="47">
        <v>-2</v>
      </c>
      <c r="KB148" s="45"/>
      <c r="KE148">
        <v>60</v>
      </c>
      <c r="KF148">
        <v>60</v>
      </c>
      <c r="KG148" s="47">
        <v>0</v>
      </c>
      <c r="KH148" s="45"/>
      <c r="KI148">
        <v>6</v>
      </c>
      <c r="KJ148">
        <v>4</v>
      </c>
      <c r="KM148" s="47">
        <v>2</v>
      </c>
      <c r="KN148" s="45"/>
      <c r="KO148">
        <v>18</v>
      </c>
      <c r="KP148">
        <v>20</v>
      </c>
      <c r="KS148" s="47">
        <v>-2</v>
      </c>
      <c r="KT148" s="43"/>
      <c r="KU148">
        <v>12</v>
      </c>
      <c r="KV148">
        <v>10</v>
      </c>
      <c r="KW148" s="47">
        <v>2</v>
      </c>
      <c r="KX148" s="45"/>
      <c r="LA148">
        <v>42</v>
      </c>
      <c r="LB148">
        <v>40</v>
      </c>
      <c r="LC148" s="47">
        <v>2</v>
      </c>
      <c r="LD148" s="43"/>
      <c r="LE148" s="40">
        <v>18</v>
      </c>
      <c r="LF148" s="44">
        <v>20</v>
      </c>
      <c r="LG148" s="47">
        <v>-2</v>
      </c>
      <c r="LH148" s="45"/>
      <c r="LM148" s="47">
        <v>0</v>
      </c>
      <c r="LN148" s="45"/>
      <c r="LS148" s="47">
        <v>0</v>
      </c>
      <c r="LT148" s="45"/>
      <c r="LW148">
        <v>18</v>
      </c>
      <c r="LX148">
        <v>20</v>
      </c>
      <c r="LY148" s="47">
        <v>-2</v>
      </c>
      <c r="LZ148" s="45"/>
      <c r="ME148" s="47">
        <v>0</v>
      </c>
      <c r="MF148" s="45"/>
      <c r="MG148" s="46"/>
      <c r="MM148" s="47">
        <v>0</v>
      </c>
      <c r="MN148" s="45"/>
      <c r="MO148" s="44">
        <v>0</v>
      </c>
      <c r="MP148" s="44">
        <v>0</v>
      </c>
      <c r="MQ148" s="44">
        <v>0</v>
      </c>
      <c r="MR148" s="44">
        <v>0</v>
      </c>
      <c r="MS148" s="47">
        <v>0</v>
      </c>
      <c r="MT148" s="45"/>
      <c r="MU148" s="44">
        <v>0</v>
      </c>
      <c r="MV148" s="44">
        <v>0</v>
      </c>
      <c r="MW148" s="44">
        <v>0</v>
      </c>
      <c r="MX148" s="44">
        <v>0</v>
      </c>
      <c r="MY148" s="47">
        <v>0</v>
      </c>
      <c r="MZ148" s="45"/>
      <c r="NA148" s="46">
        <v>78.525000000000006</v>
      </c>
      <c r="NB148" s="44">
        <v>81</v>
      </c>
      <c r="NC148" s="47">
        <v>-2.4749999999999939</v>
      </c>
      <c r="ND148" s="45"/>
      <c r="NE148" s="46">
        <v>0</v>
      </c>
      <c r="NF148" s="44">
        <v>0</v>
      </c>
      <c r="NG148" s="32">
        <v>59.7</v>
      </c>
      <c r="NH148" s="44">
        <v>0</v>
      </c>
      <c r="NI148" s="44">
        <v>0</v>
      </c>
      <c r="NJ148" s="47">
        <v>0</v>
      </c>
      <c r="NK148" s="45"/>
      <c r="NL148" s="46"/>
      <c r="NQ148" s="45"/>
      <c r="NR148" s="46"/>
      <c r="NU148" s="45"/>
      <c r="NV148" s="46"/>
      <c r="OA148" s="45"/>
      <c r="OB148" s="46"/>
      <c r="OE148" s="45"/>
      <c r="OF148" s="46"/>
      <c r="OK148" s="45"/>
      <c r="OM148" s="43"/>
      <c r="OQ148" s="45"/>
      <c r="OR148" s="46"/>
      <c r="OW148" s="45"/>
      <c r="OX148" s="46"/>
      <c r="PC148" s="45"/>
      <c r="PD148" s="46"/>
      <c r="PI148" s="45"/>
      <c r="PJ148" s="46"/>
      <c r="PO148" s="45"/>
      <c r="PP148" s="46"/>
      <c r="PU148" s="45"/>
      <c r="PV148" s="46"/>
      <c r="PY148" s="45"/>
      <c r="PZ148" s="46"/>
      <c r="QC148" s="45"/>
      <c r="QD148" s="46"/>
      <c r="QI148" s="45"/>
      <c r="QJ148" s="46"/>
      <c r="QM148" s="45"/>
      <c r="QN148" s="46"/>
      <c r="QS148" s="45"/>
      <c r="QT148" s="46"/>
      <c r="QW148" s="45"/>
      <c r="QX148" s="46"/>
      <c r="RC148" s="45"/>
      <c r="RD148" s="42"/>
      <c r="RE148" s="44"/>
      <c r="RG148" s="44"/>
      <c r="RI148" s="45"/>
      <c r="RJ148" s="42"/>
      <c r="RO148" s="43"/>
      <c r="RP148" s="42"/>
      <c r="RS148" s="43"/>
      <c r="RT148" s="42"/>
      <c r="RY148" s="43"/>
      <c r="RZ148" s="42"/>
      <c r="SE148" s="43"/>
      <c r="SF148" s="42"/>
      <c r="SK148" s="43"/>
      <c r="SL148" s="42"/>
      <c r="SO148" s="43"/>
      <c r="SP148" s="42"/>
      <c r="SU148" s="43"/>
    </row>
    <row r="149" spans="1:515" x14ac:dyDescent="0.25">
      <c r="A149" s="47" t="s">
        <v>456</v>
      </c>
      <c r="B149" s="41">
        <v>1</v>
      </c>
      <c r="J149" s="42"/>
      <c r="K149" s="51"/>
      <c r="L149" s="51"/>
      <c r="M149" s="51"/>
      <c r="N149" s="51">
        <f t="shared" si="15"/>
        <v>0</v>
      </c>
      <c r="O149" s="43"/>
      <c r="P149" s="46"/>
      <c r="Q149" s="51"/>
      <c r="R149" s="51"/>
      <c r="S149" s="51"/>
      <c r="T149" s="51">
        <f t="shared" si="16"/>
        <v>0</v>
      </c>
      <c r="U149" s="43"/>
      <c r="V149" s="42"/>
      <c r="W149" s="51"/>
      <c r="X149" s="51"/>
      <c r="Y149" s="51"/>
      <c r="Z149" s="51">
        <f t="shared" si="17"/>
        <v>0</v>
      </c>
      <c r="AA149" s="43"/>
      <c r="AB149" s="42"/>
      <c r="AC149" s="51"/>
      <c r="AD149" s="51"/>
      <c r="AE149" s="51"/>
      <c r="AF149" s="51">
        <v>0</v>
      </c>
      <c r="AG149" s="43"/>
      <c r="AH149" s="51"/>
      <c r="AL149" s="47">
        <v>0</v>
      </c>
      <c r="AM149" s="43"/>
      <c r="AN149" s="42"/>
      <c r="AR149" s="47">
        <v>0</v>
      </c>
      <c r="AS149" s="43"/>
      <c r="AX149" s="47">
        <v>0</v>
      </c>
      <c r="AY149" s="43"/>
      <c r="BD149" s="47">
        <v>0</v>
      </c>
      <c r="BE149" s="43"/>
      <c r="BF149" s="42"/>
      <c r="BJ149" s="47">
        <v>0</v>
      </c>
      <c r="BK149" s="43"/>
      <c r="BL149" s="42"/>
      <c r="BP149" s="47">
        <v>0</v>
      </c>
      <c r="BQ149" s="43"/>
      <c r="BV149" s="47">
        <v>0</v>
      </c>
      <c r="BW149" s="43"/>
      <c r="BX149" s="42"/>
      <c r="CB149" s="47">
        <v>0</v>
      </c>
      <c r="CC149" s="43"/>
      <c r="CH149" s="47">
        <v>0</v>
      </c>
      <c r="CI149" s="43"/>
      <c r="CN149" s="47">
        <v>0</v>
      </c>
      <c r="CO149" s="43"/>
      <c r="CP149" s="42"/>
      <c r="CT149" s="47">
        <v>0</v>
      </c>
      <c r="CU149" s="43"/>
      <c r="CV149" s="42"/>
      <c r="CZ149" s="47">
        <v>0</v>
      </c>
      <c r="DA149" s="43"/>
      <c r="DG149" s="47">
        <v>0</v>
      </c>
      <c r="DH149" s="43"/>
      <c r="DK149" s="47">
        <v>0</v>
      </c>
      <c r="DL149" s="43"/>
      <c r="DM149" s="42"/>
      <c r="DQ149" s="47">
        <v>0</v>
      </c>
      <c r="DR149" s="43"/>
      <c r="DW149" s="47">
        <v>0</v>
      </c>
      <c r="DX149" s="43"/>
      <c r="EC149" s="47">
        <v>0</v>
      </c>
      <c r="ED149" s="43"/>
      <c r="EE149" s="42"/>
      <c r="EI149" s="47">
        <v>0</v>
      </c>
      <c r="EJ149" s="43"/>
      <c r="EO149" s="47">
        <v>0</v>
      </c>
      <c r="EP149" s="43"/>
      <c r="EQ149" s="42"/>
      <c r="EU149" s="47">
        <v>0</v>
      </c>
      <c r="EV149" s="43"/>
      <c r="EW149" s="42"/>
      <c r="FC149" s="47">
        <v>0</v>
      </c>
      <c r="FD149" s="43"/>
      <c r="FE149" s="42"/>
      <c r="FI149" s="47">
        <v>0</v>
      </c>
      <c r="FJ149" s="43"/>
      <c r="FQ149" s="47">
        <v>0</v>
      </c>
      <c r="FR149" s="43"/>
      <c r="FS149" s="42"/>
      <c r="FW149" s="47">
        <v>0</v>
      </c>
      <c r="FX149" s="43"/>
      <c r="FY149" s="42"/>
      <c r="GC149" s="47">
        <v>0</v>
      </c>
      <c r="GD149" s="43"/>
      <c r="GE149" s="42"/>
      <c r="GI149" s="47">
        <v>0</v>
      </c>
      <c r="GJ149" s="43"/>
      <c r="GQ149" s="47">
        <v>0</v>
      </c>
      <c r="GR149" s="43"/>
      <c r="GX149" s="47">
        <v>0</v>
      </c>
      <c r="GY149" s="43"/>
      <c r="GZ149" s="42"/>
      <c r="HC149" s="47">
        <v>0</v>
      </c>
      <c r="HD149" s="43"/>
      <c r="HE149" s="42"/>
      <c r="HH149" s="47">
        <v>0</v>
      </c>
      <c r="HI149" s="43"/>
      <c r="HN149" s="47">
        <v>0</v>
      </c>
      <c r="HO149" s="43"/>
      <c r="HP149" s="42"/>
      <c r="HU149" s="47">
        <v>0</v>
      </c>
      <c r="HV149" s="43"/>
      <c r="IA149" s="47">
        <v>0</v>
      </c>
      <c r="IB149" s="43"/>
      <c r="IC149" s="42"/>
      <c r="IG149" s="47">
        <v>0</v>
      </c>
      <c r="IH149" s="43"/>
      <c r="IM149" s="47">
        <v>0</v>
      </c>
      <c r="IN149" s="43"/>
      <c r="IO149" s="42"/>
      <c r="IQ149" s="47">
        <v>0</v>
      </c>
      <c r="IR149" s="43"/>
      <c r="IS149" s="42"/>
      <c r="IW149" s="47">
        <v>0</v>
      </c>
      <c r="IX149" s="43"/>
      <c r="IY149" s="42"/>
      <c r="JA149" s="47">
        <v>0</v>
      </c>
      <c r="JB149" s="43"/>
      <c r="JC149" s="42"/>
      <c r="JG149" s="47">
        <v>0</v>
      </c>
      <c r="JH149" s="43"/>
      <c r="JO149" s="47">
        <v>0</v>
      </c>
      <c r="JP149" s="43"/>
      <c r="JQ149" s="42"/>
      <c r="JU149" s="47">
        <v>0</v>
      </c>
      <c r="JV149" s="43"/>
      <c r="KA149" s="47">
        <v>0</v>
      </c>
      <c r="KB149" s="45"/>
      <c r="KG149" s="47">
        <v>0</v>
      </c>
      <c r="KH149" s="45"/>
      <c r="KM149" s="47">
        <v>0</v>
      </c>
      <c r="KN149" s="45"/>
      <c r="KS149" s="47">
        <v>0</v>
      </c>
      <c r="KT149" s="43"/>
      <c r="KW149" s="47">
        <v>0</v>
      </c>
      <c r="KX149" s="45"/>
      <c r="LC149" s="47">
        <v>0</v>
      </c>
      <c r="LD149" s="43"/>
      <c r="LE149" s="46"/>
      <c r="LG149" s="47">
        <v>0</v>
      </c>
      <c r="LH149" s="45"/>
      <c r="LM149" s="47">
        <v>0</v>
      </c>
      <c r="LN149" s="45"/>
      <c r="LS149" s="47">
        <v>0</v>
      </c>
      <c r="LT149" s="45"/>
      <c r="LY149" s="47">
        <v>0</v>
      </c>
      <c r="LZ149" s="45"/>
      <c r="ME149" s="47">
        <v>0</v>
      </c>
      <c r="MF149" s="45"/>
      <c r="MG149" s="46"/>
      <c r="MM149" s="47">
        <v>0</v>
      </c>
      <c r="MN149" s="45"/>
      <c r="MO149" s="44">
        <v>0</v>
      </c>
      <c r="MP149" s="44">
        <v>0</v>
      </c>
      <c r="MQ149" s="44">
        <v>0</v>
      </c>
      <c r="MR149" s="44">
        <v>0</v>
      </c>
      <c r="MS149" s="47">
        <v>0</v>
      </c>
      <c r="MT149" s="45"/>
      <c r="MU149" s="44">
        <v>0</v>
      </c>
      <c r="MV149" s="44">
        <v>0</v>
      </c>
      <c r="MW149" s="44">
        <v>0</v>
      </c>
      <c r="MX149" s="44">
        <v>0</v>
      </c>
      <c r="MY149" s="47">
        <v>0</v>
      </c>
      <c r="MZ149" s="45"/>
      <c r="NA149" s="46">
        <v>0</v>
      </c>
      <c r="NB149" s="44">
        <v>0</v>
      </c>
      <c r="NC149" s="47">
        <v>0</v>
      </c>
      <c r="ND149" s="45"/>
      <c r="NE149" s="46">
        <v>0</v>
      </c>
      <c r="NF149" s="44">
        <v>0</v>
      </c>
      <c r="NG149" s="44">
        <v>0</v>
      </c>
      <c r="NH149" s="44">
        <v>0</v>
      </c>
      <c r="NI149" s="44">
        <v>0</v>
      </c>
      <c r="NJ149" s="47">
        <v>0</v>
      </c>
      <c r="NK149" s="45"/>
      <c r="NL149" s="46">
        <v>0</v>
      </c>
      <c r="NM149" s="44">
        <v>0</v>
      </c>
      <c r="NN149" s="44">
        <v>0</v>
      </c>
      <c r="NO149" s="44">
        <v>0</v>
      </c>
      <c r="NP149" s="47">
        <v>0</v>
      </c>
      <c r="NQ149" s="45"/>
      <c r="NR149" s="46">
        <v>0</v>
      </c>
      <c r="NS149" s="44">
        <v>0</v>
      </c>
      <c r="NT149" s="47">
        <v>0</v>
      </c>
      <c r="NU149" s="45"/>
      <c r="NV149" s="46">
        <v>0</v>
      </c>
      <c r="NW149" s="44">
        <v>0</v>
      </c>
      <c r="NX149" s="44">
        <v>0</v>
      </c>
      <c r="NY149" s="44">
        <v>0</v>
      </c>
      <c r="NZ149" s="47">
        <v>0</v>
      </c>
      <c r="OA149" s="45"/>
      <c r="OB149" s="46">
        <v>0</v>
      </c>
      <c r="OC149" s="44">
        <v>0</v>
      </c>
      <c r="OD149" s="47">
        <v>0</v>
      </c>
      <c r="OE149" s="45"/>
      <c r="OF149" s="46">
        <v>0</v>
      </c>
      <c r="OG149" s="44">
        <v>0</v>
      </c>
      <c r="OH149" s="44">
        <v>0</v>
      </c>
      <c r="OI149" s="44">
        <v>0</v>
      </c>
      <c r="OJ149" s="47">
        <v>0</v>
      </c>
      <c r="OK149" s="45"/>
      <c r="OL149" s="44">
        <v>0</v>
      </c>
      <c r="OM149" s="43"/>
      <c r="ON149" s="44">
        <v>0</v>
      </c>
      <c r="OO149" s="44">
        <v>0</v>
      </c>
      <c r="OP149" s="47">
        <v>0</v>
      </c>
      <c r="OQ149" s="45"/>
      <c r="OR149" s="46">
        <v>0</v>
      </c>
      <c r="OS149" s="44">
        <v>0</v>
      </c>
      <c r="OT149" s="44">
        <v>0</v>
      </c>
      <c r="OU149" s="44">
        <v>0</v>
      </c>
      <c r="OV149" s="47">
        <v>0</v>
      </c>
      <c r="OW149" s="45"/>
      <c r="OX149" s="46">
        <v>0</v>
      </c>
      <c r="OY149" s="44">
        <v>0</v>
      </c>
      <c r="OZ149" s="44">
        <v>16.395</v>
      </c>
      <c r="PA149" s="44">
        <v>16</v>
      </c>
      <c r="PB149" s="47">
        <v>0.39499999999999957</v>
      </c>
      <c r="PC149" s="45"/>
      <c r="PD149" s="46">
        <v>0</v>
      </c>
      <c r="PE149" s="44">
        <v>0</v>
      </c>
      <c r="PF149" s="44">
        <v>0</v>
      </c>
      <c r="PG149" s="44">
        <v>0</v>
      </c>
      <c r="PH149" s="47">
        <v>0</v>
      </c>
      <c r="PI149" s="45"/>
      <c r="PJ149" s="46">
        <v>0</v>
      </c>
      <c r="PK149" s="44">
        <v>0</v>
      </c>
      <c r="PL149" s="44">
        <v>0</v>
      </c>
      <c r="PM149" s="44">
        <v>0</v>
      </c>
      <c r="PN149" s="47">
        <v>0</v>
      </c>
      <c r="PO149" s="45"/>
      <c r="PP149" s="46">
        <v>0</v>
      </c>
      <c r="PQ149" s="44">
        <v>0</v>
      </c>
      <c r="PR149" s="44">
        <v>0</v>
      </c>
      <c r="PS149" s="44">
        <v>0</v>
      </c>
      <c r="PT149" s="47">
        <v>0</v>
      </c>
      <c r="PU149" s="45"/>
      <c r="PV149" s="46">
        <v>65.299000000000007</v>
      </c>
      <c r="PW149" s="44">
        <v>70</v>
      </c>
      <c r="PX149" s="47">
        <v>-4.7009999999999934</v>
      </c>
      <c r="PY149" s="45"/>
      <c r="PZ149" s="46">
        <v>65.516000000000005</v>
      </c>
      <c r="QA149" s="44">
        <v>64</v>
      </c>
      <c r="QB149" s="47">
        <v>1.5160000000000049</v>
      </c>
      <c r="QC149" s="45"/>
      <c r="QD149" s="46">
        <v>0</v>
      </c>
      <c r="QE149" s="44">
        <v>0</v>
      </c>
      <c r="QF149" s="44">
        <v>0</v>
      </c>
      <c r="QG149" s="44">
        <v>0</v>
      </c>
      <c r="QH149" s="47">
        <v>0</v>
      </c>
      <c r="QI149" s="45"/>
      <c r="QJ149" s="46">
        <v>41.164000000000001</v>
      </c>
      <c r="QK149" s="44">
        <v>40</v>
      </c>
      <c r="QL149" s="47">
        <v>1.164000000000001</v>
      </c>
      <c r="QM149" s="45"/>
      <c r="QN149" s="46">
        <v>0</v>
      </c>
      <c r="QO149" s="44">
        <v>0</v>
      </c>
      <c r="QP149" s="44">
        <v>40.631</v>
      </c>
      <c r="QQ149" s="44">
        <v>40</v>
      </c>
      <c r="QR149" s="47">
        <v>0.63100000000000023</v>
      </c>
      <c r="QS149" s="45"/>
      <c r="QT149" s="46"/>
      <c r="QW149" s="45"/>
      <c r="QX149" s="46"/>
      <c r="RC149" s="45"/>
      <c r="RD149" s="42"/>
      <c r="RE149" s="44"/>
      <c r="RG149" s="44"/>
      <c r="RI149" s="45"/>
      <c r="RJ149" s="42"/>
      <c r="RO149" s="43"/>
      <c r="RP149" s="42"/>
      <c r="RS149" s="43"/>
      <c r="RT149" s="42"/>
      <c r="RY149" s="43"/>
      <c r="RZ149" s="42"/>
      <c r="SE149" s="43"/>
      <c r="SF149" s="42"/>
      <c r="SK149" s="43"/>
      <c r="SL149" s="42"/>
      <c r="SO149" s="43"/>
      <c r="SP149" s="42"/>
      <c r="SU149" s="43"/>
    </row>
    <row r="150" spans="1:515" x14ac:dyDescent="0.25">
      <c r="A150" s="47" t="s">
        <v>457</v>
      </c>
      <c r="B150" s="41">
        <v>1</v>
      </c>
      <c r="J150" s="42"/>
      <c r="K150" s="51"/>
      <c r="L150" s="51"/>
      <c r="M150" s="51"/>
      <c r="N150" s="51">
        <f t="shared" si="15"/>
        <v>0</v>
      </c>
      <c r="O150" s="43"/>
      <c r="P150" s="46"/>
      <c r="Q150" s="51"/>
      <c r="R150" s="51"/>
      <c r="S150" s="51"/>
      <c r="T150" s="51">
        <f t="shared" si="16"/>
        <v>0</v>
      </c>
      <c r="U150" s="43"/>
      <c r="V150" s="42"/>
      <c r="W150" s="51"/>
      <c r="X150" s="51"/>
      <c r="Y150" s="51"/>
      <c r="Z150" s="51">
        <f t="shared" si="17"/>
        <v>0</v>
      </c>
      <c r="AA150" s="43"/>
      <c r="AB150" s="42"/>
      <c r="AC150" s="51"/>
      <c r="AD150" s="51"/>
      <c r="AE150" s="51"/>
      <c r="AF150" s="51">
        <v>0</v>
      </c>
      <c r="AG150" s="43"/>
      <c r="AH150" s="51"/>
      <c r="AL150" s="47">
        <v>0</v>
      </c>
      <c r="AM150" s="43"/>
      <c r="AN150" s="42"/>
      <c r="AR150" s="47">
        <v>0</v>
      </c>
      <c r="AS150" s="43"/>
      <c r="AX150" s="47">
        <v>0</v>
      </c>
      <c r="AY150" s="43"/>
      <c r="BD150" s="47">
        <v>0</v>
      </c>
      <c r="BE150" s="43"/>
      <c r="BF150" s="42"/>
      <c r="BJ150" s="47">
        <v>0</v>
      </c>
      <c r="BK150" s="43"/>
      <c r="BL150" s="42"/>
      <c r="BP150" s="47">
        <v>0</v>
      </c>
      <c r="BQ150" s="43"/>
      <c r="BV150" s="47">
        <v>0</v>
      </c>
      <c r="BW150" s="43"/>
      <c r="BX150" s="42"/>
      <c r="CB150" s="47">
        <v>0</v>
      </c>
      <c r="CC150" s="43"/>
      <c r="CH150" s="47">
        <v>0</v>
      </c>
      <c r="CI150" s="43"/>
      <c r="CN150" s="47">
        <v>0</v>
      </c>
      <c r="CO150" s="43"/>
      <c r="CP150" s="42"/>
      <c r="CT150" s="47">
        <v>0</v>
      </c>
      <c r="CU150" s="43"/>
      <c r="CV150" s="42"/>
      <c r="CZ150" s="47">
        <v>0</v>
      </c>
      <c r="DA150" s="43"/>
      <c r="DG150" s="47">
        <v>0</v>
      </c>
      <c r="DH150" s="43"/>
      <c r="DK150" s="47">
        <v>0</v>
      </c>
      <c r="DL150" s="43"/>
      <c r="DM150" s="42"/>
      <c r="DQ150" s="47">
        <v>0</v>
      </c>
      <c r="DR150" s="43"/>
      <c r="DW150" s="47">
        <v>0</v>
      </c>
      <c r="DX150" s="43"/>
      <c r="EC150" s="47">
        <v>0</v>
      </c>
      <c r="ED150" s="43"/>
      <c r="EE150" s="42"/>
      <c r="EI150" s="47">
        <v>0</v>
      </c>
      <c r="EJ150" s="43"/>
      <c r="EO150" s="47">
        <v>0</v>
      </c>
      <c r="EP150" s="43"/>
      <c r="EQ150" s="42"/>
      <c r="EU150" s="47">
        <v>0</v>
      </c>
      <c r="EV150" s="43"/>
      <c r="EW150" s="42"/>
      <c r="FC150" s="47">
        <v>0</v>
      </c>
      <c r="FD150" s="43"/>
      <c r="FE150" s="42"/>
      <c r="FI150" s="47">
        <v>0</v>
      </c>
      <c r="FJ150" s="43"/>
      <c r="FQ150" s="47">
        <v>0</v>
      </c>
      <c r="FR150" s="43"/>
      <c r="FS150" s="42"/>
      <c r="FW150" s="47">
        <v>0</v>
      </c>
      <c r="FX150" s="43"/>
      <c r="FY150" s="42"/>
      <c r="GC150" s="47">
        <v>0</v>
      </c>
      <c r="GD150" s="43"/>
      <c r="GE150" s="42"/>
      <c r="GI150" s="47">
        <v>0</v>
      </c>
      <c r="GJ150" s="43"/>
      <c r="GQ150" s="47">
        <v>0</v>
      </c>
      <c r="GR150" s="43"/>
      <c r="GV150">
        <v>69</v>
      </c>
      <c r="GW150">
        <v>68</v>
      </c>
      <c r="GX150" s="47">
        <v>1</v>
      </c>
      <c r="GY150" s="43"/>
      <c r="GZ150" s="42"/>
      <c r="HA150">
        <v>41</v>
      </c>
      <c r="HB150" s="44">
        <v>40</v>
      </c>
      <c r="HC150" s="47">
        <v>1</v>
      </c>
      <c r="HD150" s="43"/>
      <c r="HE150" s="42"/>
      <c r="HF150">
        <v>21</v>
      </c>
      <c r="HG150" s="47">
        <v>20</v>
      </c>
      <c r="HH150" s="47">
        <v>1</v>
      </c>
      <c r="HI150" s="43"/>
      <c r="HN150" s="47">
        <v>0</v>
      </c>
      <c r="HO150" s="43"/>
      <c r="HP150" s="42"/>
      <c r="HQ150" s="47">
        <v>40</v>
      </c>
      <c r="HU150" s="47">
        <v>40</v>
      </c>
      <c r="HV150" s="43"/>
      <c r="IB150" s="43"/>
      <c r="IC150" s="42"/>
      <c r="IH150" s="43"/>
      <c r="IN150" s="43"/>
      <c r="IO150" s="42"/>
      <c r="IR150" s="43"/>
      <c r="IS150" s="42"/>
      <c r="IX150" s="43"/>
      <c r="IY150" s="42"/>
      <c r="JB150" s="43"/>
      <c r="JC150" s="42"/>
      <c r="JH150" s="43"/>
      <c r="JP150" s="43"/>
      <c r="JQ150" s="42"/>
      <c r="JV150" s="43"/>
      <c r="KB150" s="45"/>
      <c r="KH150" s="45"/>
      <c r="KN150" s="45"/>
      <c r="KT150" s="43"/>
      <c r="KX150" s="45"/>
      <c r="LD150" s="43"/>
      <c r="LE150" s="46"/>
      <c r="LH150" s="45"/>
      <c r="LN150" s="45"/>
      <c r="LT150" s="45"/>
      <c r="LZ150" s="45"/>
      <c r="MF150" s="45"/>
      <c r="MG150" s="46"/>
      <c r="MN150" s="45"/>
      <c r="MT150" s="45"/>
      <c r="MZ150" s="45"/>
      <c r="NA150" s="46"/>
      <c r="ND150" s="45"/>
      <c r="NE150" s="46"/>
      <c r="NK150" s="45"/>
      <c r="NL150" s="46"/>
      <c r="NQ150" s="45"/>
      <c r="NR150" s="46"/>
      <c r="NU150" s="45"/>
      <c r="NV150" s="46"/>
      <c r="OA150" s="45"/>
      <c r="OB150" s="46"/>
      <c r="OC150" s="44"/>
      <c r="OE150" s="45"/>
      <c r="OF150" s="46"/>
      <c r="OG150" s="44"/>
      <c r="OH150" s="44"/>
      <c r="OI150" s="44"/>
      <c r="OK150" s="45"/>
      <c r="OL150" s="44"/>
      <c r="OM150" s="43"/>
      <c r="ON150" s="44"/>
      <c r="OO150" s="44"/>
      <c r="OQ150" s="45"/>
      <c r="OR150" s="46"/>
      <c r="OS150" s="44"/>
      <c r="OT150" s="44"/>
      <c r="OU150" s="44"/>
      <c r="OW150" s="45"/>
      <c r="OX150" s="46"/>
      <c r="OY150" s="44"/>
      <c r="OZ150" s="44"/>
      <c r="PA150" s="44"/>
      <c r="PC150" s="45"/>
      <c r="PD150" s="46"/>
      <c r="PE150" s="44"/>
      <c r="PF150" s="44"/>
      <c r="PG150" s="44"/>
      <c r="PI150" s="45"/>
      <c r="PJ150" s="46"/>
      <c r="PK150" s="44"/>
      <c r="PL150" s="44"/>
      <c r="PM150" s="44"/>
      <c r="PO150" s="45"/>
      <c r="PP150" s="46"/>
      <c r="PQ150" s="44"/>
      <c r="PR150" s="44"/>
      <c r="PS150" s="44"/>
      <c r="PU150" s="45"/>
      <c r="PV150" s="46"/>
      <c r="PW150" s="44"/>
      <c r="PY150" s="45"/>
      <c r="PZ150" s="46"/>
      <c r="QA150" s="44"/>
      <c r="QC150" s="45"/>
      <c r="QD150" s="46"/>
      <c r="QE150" s="44"/>
      <c r="QF150" s="44"/>
      <c r="QG150" s="44"/>
      <c r="QI150" s="45"/>
      <c r="QJ150" s="46"/>
      <c r="QK150" s="44"/>
      <c r="QM150" s="45"/>
      <c r="QN150" s="46"/>
      <c r="QO150" s="44"/>
      <c r="QP150" s="44"/>
      <c r="QQ150" s="44"/>
      <c r="QS150" s="45"/>
      <c r="QT150" s="46"/>
      <c r="QW150" s="45"/>
      <c r="QX150" s="46"/>
      <c r="RC150" s="45"/>
      <c r="RD150" s="42"/>
      <c r="RE150" s="44"/>
      <c r="RG150" s="44"/>
      <c r="RI150" s="45"/>
      <c r="RJ150" s="42"/>
      <c r="RO150" s="43"/>
      <c r="RP150" s="42"/>
      <c r="RS150" s="43"/>
      <c r="RT150" s="42"/>
      <c r="RY150" s="43"/>
      <c r="RZ150" s="42"/>
      <c r="SE150" s="43"/>
      <c r="SF150" s="42"/>
      <c r="SK150" s="43"/>
      <c r="SL150" s="42"/>
      <c r="SO150" s="43"/>
      <c r="SP150" s="42"/>
      <c r="SU150" s="43"/>
    </row>
    <row r="151" spans="1:515" x14ac:dyDescent="0.25">
      <c r="A151" s="47" t="s">
        <v>458</v>
      </c>
      <c r="B151" s="41">
        <v>1</v>
      </c>
      <c r="J151" s="42"/>
      <c r="K151" s="51"/>
      <c r="L151" s="51"/>
      <c r="M151" s="51"/>
      <c r="N151" s="51">
        <f t="shared" si="15"/>
        <v>0</v>
      </c>
      <c r="O151" s="43"/>
      <c r="P151" s="46"/>
      <c r="Q151" s="51"/>
      <c r="R151" s="51"/>
      <c r="S151" s="51"/>
      <c r="T151" s="51">
        <f t="shared" si="16"/>
        <v>0</v>
      </c>
      <c r="U151" s="43"/>
      <c r="V151" s="42"/>
      <c r="W151" s="51"/>
      <c r="X151" s="51"/>
      <c r="Y151" s="51"/>
      <c r="Z151" s="51">
        <f t="shared" si="17"/>
        <v>0</v>
      </c>
      <c r="AA151" s="43"/>
      <c r="AB151" s="42"/>
      <c r="AC151" s="51"/>
      <c r="AD151" s="51"/>
      <c r="AE151" s="51"/>
      <c r="AF151" s="51">
        <v>0</v>
      </c>
      <c r="AG151" s="43"/>
      <c r="AH151" s="51"/>
      <c r="AL151" s="47">
        <v>0</v>
      </c>
      <c r="AM151" s="43"/>
      <c r="AN151" s="42"/>
      <c r="AR151" s="47">
        <v>0</v>
      </c>
      <c r="AS151" s="43"/>
      <c r="AX151" s="47">
        <v>0</v>
      </c>
      <c r="AY151" s="43"/>
      <c r="BD151" s="47">
        <v>0</v>
      </c>
      <c r="BE151" s="43"/>
      <c r="BF151" s="42"/>
      <c r="BJ151" s="47">
        <v>0</v>
      </c>
      <c r="BK151" s="43"/>
      <c r="BL151" s="42"/>
      <c r="BP151" s="47">
        <v>0</v>
      </c>
      <c r="BQ151" s="43"/>
      <c r="BV151" s="47">
        <v>0</v>
      </c>
      <c r="BW151" s="43"/>
      <c r="BX151" s="42"/>
      <c r="CB151" s="47">
        <v>0</v>
      </c>
      <c r="CC151" s="43"/>
      <c r="CH151" s="47">
        <v>0</v>
      </c>
      <c r="CI151" s="43"/>
      <c r="CN151" s="47">
        <v>0</v>
      </c>
      <c r="CO151" s="43"/>
      <c r="CP151" s="42"/>
      <c r="CT151" s="47">
        <v>0</v>
      </c>
      <c r="CU151" s="43"/>
      <c r="CV151" s="42"/>
      <c r="CZ151" s="47">
        <v>0</v>
      </c>
      <c r="DA151" s="43"/>
      <c r="DG151" s="47">
        <v>0</v>
      </c>
      <c r="DH151" s="43"/>
      <c r="DK151" s="47">
        <v>0</v>
      </c>
      <c r="DL151" s="43"/>
      <c r="DM151" s="42"/>
      <c r="DQ151" s="47">
        <v>0</v>
      </c>
      <c r="DR151" s="43"/>
      <c r="DW151" s="47">
        <v>0</v>
      </c>
      <c r="DX151" s="43"/>
      <c r="EC151" s="47">
        <v>0</v>
      </c>
      <c r="ED151" s="43"/>
      <c r="EE151" s="42"/>
      <c r="EI151" s="47">
        <v>0</v>
      </c>
      <c r="EJ151" s="43"/>
      <c r="EO151" s="47">
        <v>0</v>
      </c>
      <c r="EP151" s="43"/>
      <c r="EQ151" s="42"/>
      <c r="EU151" s="47">
        <v>0</v>
      </c>
      <c r="EV151" s="43"/>
      <c r="EW151" s="42"/>
      <c r="FC151" s="47">
        <v>0</v>
      </c>
      <c r="FD151" s="43"/>
      <c r="FE151" s="42"/>
      <c r="FI151" s="47">
        <v>0</v>
      </c>
      <c r="FJ151" s="43"/>
      <c r="FQ151" s="47">
        <v>0</v>
      </c>
      <c r="FR151" s="43"/>
      <c r="FS151" s="42"/>
      <c r="FW151" s="47">
        <v>0</v>
      </c>
      <c r="FX151" s="43"/>
      <c r="FY151" s="42"/>
      <c r="GC151" s="47">
        <v>0</v>
      </c>
      <c r="GD151" s="43"/>
      <c r="GE151" s="42"/>
      <c r="GI151" s="47">
        <v>0</v>
      </c>
      <c r="GJ151" s="43"/>
      <c r="GQ151" s="47">
        <v>0</v>
      </c>
      <c r="GR151" s="43"/>
      <c r="GX151" s="47">
        <v>0</v>
      </c>
      <c r="GY151" s="43"/>
      <c r="GZ151" s="42"/>
      <c r="HC151" s="47">
        <v>0</v>
      </c>
      <c r="HD151" s="43"/>
      <c r="HE151" s="42"/>
      <c r="HH151" s="47">
        <v>0</v>
      </c>
      <c r="HI151" s="43"/>
      <c r="HN151" s="47">
        <v>0</v>
      </c>
      <c r="HO151" s="43"/>
      <c r="HP151" s="42">
        <v>53</v>
      </c>
      <c r="HR151" s="47">
        <v>52</v>
      </c>
      <c r="HU151" s="47">
        <v>1</v>
      </c>
      <c r="HV151" s="43"/>
      <c r="IA151" s="47">
        <v>0</v>
      </c>
      <c r="IB151" s="43"/>
      <c r="IC151" s="42"/>
      <c r="IH151" s="43"/>
      <c r="IN151" s="43"/>
      <c r="IO151" s="42"/>
      <c r="IR151" s="43"/>
      <c r="IS151" s="42"/>
      <c r="IX151" s="43"/>
      <c r="IY151" s="42"/>
      <c r="JB151" s="43"/>
      <c r="JC151" s="42"/>
      <c r="JH151" s="43"/>
      <c r="JP151" s="43"/>
      <c r="JQ151" s="42"/>
      <c r="JV151" s="43"/>
      <c r="KB151" s="45"/>
      <c r="KH151" s="45"/>
      <c r="KN151" s="45"/>
      <c r="KT151" s="43"/>
      <c r="KX151" s="45"/>
      <c r="LD151" s="43"/>
      <c r="LE151" s="46"/>
      <c r="LH151" s="45"/>
      <c r="LN151" s="45"/>
      <c r="LT151" s="45"/>
      <c r="LZ151" s="45"/>
      <c r="MF151" s="45"/>
      <c r="MG151" s="46"/>
      <c r="MN151" s="45"/>
      <c r="MT151" s="45"/>
      <c r="MZ151" s="45"/>
      <c r="NA151" s="46"/>
      <c r="ND151" s="45"/>
      <c r="NE151" s="46"/>
      <c r="NK151" s="45"/>
      <c r="NL151" s="46"/>
      <c r="NQ151" s="45"/>
      <c r="NR151" s="46"/>
      <c r="NU151" s="45"/>
      <c r="NV151" s="46"/>
      <c r="OA151" s="45"/>
      <c r="OB151" s="46"/>
      <c r="OE151" s="45"/>
      <c r="OF151" s="46"/>
      <c r="OG151" s="44"/>
      <c r="OH151" s="44"/>
      <c r="OI151" s="44"/>
      <c r="OK151" s="45"/>
      <c r="OL151" s="44"/>
      <c r="OM151" s="43"/>
      <c r="ON151" s="44"/>
      <c r="OO151" s="44"/>
      <c r="OQ151" s="45"/>
      <c r="OR151" s="46"/>
      <c r="OS151" s="44"/>
      <c r="OT151" s="44"/>
      <c r="OU151" s="44"/>
      <c r="OW151" s="45"/>
      <c r="OX151" s="46"/>
      <c r="OY151" s="44"/>
      <c r="OZ151" s="44"/>
      <c r="PA151" s="44"/>
      <c r="PC151" s="45"/>
      <c r="PD151" s="46"/>
      <c r="PE151" s="44"/>
      <c r="PF151" s="44"/>
      <c r="PG151" s="44"/>
      <c r="PI151" s="45"/>
      <c r="PJ151" s="46"/>
      <c r="PK151" s="44"/>
      <c r="PL151" s="44"/>
      <c r="PM151" s="44"/>
      <c r="PO151" s="45"/>
      <c r="PP151" s="46"/>
      <c r="PQ151" s="44"/>
      <c r="PR151" s="44"/>
      <c r="PS151" s="44"/>
      <c r="PU151" s="45"/>
      <c r="PV151" s="46"/>
      <c r="PW151" s="44"/>
      <c r="PY151" s="45"/>
      <c r="PZ151" s="46"/>
      <c r="QA151" s="44"/>
      <c r="QC151" s="45"/>
      <c r="QD151" s="46"/>
      <c r="QE151" s="44"/>
      <c r="QF151" s="44"/>
      <c r="QG151" s="44"/>
      <c r="QI151" s="45"/>
      <c r="QJ151" s="46"/>
      <c r="QK151" s="44"/>
      <c r="QM151" s="45"/>
      <c r="QN151" s="46"/>
      <c r="QO151" s="44"/>
      <c r="QP151" s="44"/>
      <c r="QQ151" s="44"/>
      <c r="QS151" s="45"/>
      <c r="QT151" s="46"/>
      <c r="QW151" s="45"/>
      <c r="QX151" s="46"/>
      <c r="RC151" s="45"/>
      <c r="RD151" s="42"/>
      <c r="RE151" s="44"/>
      <c r="RG151" s="44"/>
      <c r="RI151" s="45"/>
      <c r="RJ151" s="42"/>
      <c r="RO151" s="43"/>
      <c r="RP151" s="42"/>
      <c r="RS151" s="43"/>
      <c r="RT151" s="42"/>
      <c r="RY151" s="43"/>
      <c r="RZ151" s="42"/>
      <c r="SE151" s="43"/>
      <c r="SF151" s="42"/>
      <c r="SK151" s="43"/>
      <c r="SL151" s="42"/>
      <c r="SO151" s="43"/>
      <c r="SP151" s="42"/>
      <c r="SU151" s="43"/>
    </row>
    <row r="152" spans="1:515" x14ac:dyDescent="0.25">
      <c r="A152" s="47" t="s">
        <v>459</v>
      </c>
      <c r="B152" s="41">
        <v>1</v>
      </c>
      <c r="J152" s="42"/>
      <c r="K152" s="51"/>
      <c r="L152" s="51"/>
      <c r="M152" s="51"/>
      <c r="N152" s="51">
        <f t="shared" si="15"/>
        <v>0</v>
      </c>
      <c r="O152" s="43"/>
      <c r="P152" s="46"/>
      <c r="Q152" s="51"/>
      <c r="R152" s="51"/>
      <c r="S152" s="51"/>
      <c r="T152" s="51">
        <f t="shared" si="16"/>
        <v>0</v>
      </c>
      <c r="U152" s="43"/>
      <c r="V152" s="42"/>
      <c r="W152" s="51"/>
      <c r="X152" s="51"/>
      <c r="Y152" s="51"/>
      <c r="Z152" s="51">
        <f t="shared" si="17"/>
        <v>0</v>
      </c>
      <c r="AA152" s="43"/>
      <c r="AB152" s="42"/>
      <c r="AC152" s="51"/>
      <c r="AD152" s="51"/>
      <c r="AE152" s="51"/>
      <c r="AF152" s="51">
        <v>0</v>
      </c>
      <c r="AG152" s="43"/>
      <c r="AH152" s="51"/>
      <c r="AL152" s="47">
        <v>0</v>
      </c>
      <c r="AM152" s="43"/>
      <c r="AN152" s="42"/>
      <c r="AR152" s="47">
        <v>0</v>
      </c>
      <c r="AS152" s="43"/>
      <c r="AX152" s="47">
        <v>0</v>
      </c>
      <c r="AY152" s="43"/>
      <c r="BD152" s="47">
        <v>0</v>
      </c>
      <c r="BE152" s="43"/>
      <c r="BF152" s="42"/>
      <c r="BJ152" s="47">
        <v>0</v>
      </c>
      <c r="BK152" s="43"/>
      <c r="BL152" s="42"/>
      <c r="BP152" s="47">
        <v>0</v>
      </c>
      <c r="BQ152" s="43"/>
      <c r="BV152" s="47">
        <v>0</v>
      </c>
      <c r="BW152" s="43"/>
      <c r="BX152" s="42"/>
      <c r="CB152" s="47">
        <v>0</v>
      </c>
      <c r="CC152" s="43"/>
      <c r="CH152" s="47">
        <v>0</v>
      </c>
      <c r="CI152" s="43"/>
      <c r="CN152" s="47">
        <v>0</v>
      </c>
      <c r="CO152" s="43"/>
      <c r="CP152" s="42"/>
      <c r="CT152" s="47">
        <v>0</v>
      </c>
      <c r="CU152" s="43"/>
      <c r="CV152" s="42"/>
      <c r="CZ152" s="47">
        <v>0</v>
      </c>
      <c r="DA152" s="43"/>
      <c r="DG152" s="47">
        <v>0</v>
      </c>
      <c r="DH152" s="43"/>
      <c r="DK152" s="47">
        <v>0</v>
      </c>
      <c r="DL152" s="43"/>
      <c r="DM152" s="42"/>
      <c r="DQ152" s="47">
        <v>0</v>
      </c>
      <c r="DR152" s="43"/>
      <c r="DW152" s="47">
        <v>0</v>
      </c>
      <c r="DX152" s="43"/>
      <c r="EC152" s="47">
        <v>0</v>
      </c>
      <c r="ED152" s="43"/>
      <c r="EE152" s="42"/>
      <c r="EI152" s="47">
        <v>0</v>
      </c>
      <c r="EJ152" s="43"/>
      <c r="EO152" s="47">
        <v>0</v>
      </c>
      <c r="EP152" s="43"/>
      <c r="EQ152" s="42"/>
      <c r="EU152" s="47">
        <v>0</v>
      </c>
      <c r="EV152" s="43"/>
      <c r="EW152" s="42"/>
      <c r="FC152" s="47">
        <v>0</v>
      </c>
      <c r="FD152" s="43"/>
      <c r="FE152" s="42"/>
      <c r="FI152" s="47">
        <v>0</v>
      </c>
      <c r="FJ152" s="43"/>
      <c r="FQ152" s="47">
        <v>0</v>
      </c>
      <c r="FR152" s="43"/>
      <c r="FS152" s="42"/>
      <c r="FW152" s="47">
        <v>0</v>
      </c>
      <c r="FX152" s="43"/>
      <c r="FY152" s="42"/>
      <c r="GC152" s="47">
        <v>0</v>
      </c>
      <c r="GD152" s="43"/>
      <c r="GE152" s="42"/>
      <c r="GI152" s="47">
        <v>0</v>
      </c>
      <c r="GJ152" s="43"/>
      <c r="GQ152" s="47">
        <v>0</v>
      </c>
      <c r="GR152" s="43"/>
      <c r="GT152">
        <v>10</v>
      </c>
      <c r="GX152" s="50">
        <v>-10</v>
      </c>
      <c r="GY152" s="43">
        <v>10</v>
      </c>
      <c r="GZ152" s="42"/>
      <c r="HC152" s="47">
        <v>0</v>
      </c>
      <c r="HD152" s="43"/>
      <c r="HE152" s="42"/>
      <c r="HG152">
        <v>40</v>
      </c>
      <c r="HH152" s="50">
        <v>-40</v>
      </c>
      <c r="HI152" s="43">
        <v>40</v>
      </c>
      <c r="HN152" s="47">
        <v>0</v>
      </c>
      <c r="HO152" s="43"/>
      <c r="HP152" s="42"/>
      <c r="HR152" s="47">
        <v>52</v>
      </c>
      <c r="HU152" s="50">
        <v>-52</v>
      </c>
      <c r="HV152" s="43">
        <v>52</v>
      </c>
      <c r="IA152" s="47">
        <v>0</v>
      </c>
      <c r="IB152" s="43"/>
      <c r="IC152" s="42"/>
      <c r="IH152" s="43"/>
      <c r="IN152" s="43"/>
      <c r="IO152" s="42"/>
      <c r="IR152" s="43"/>
      <c r="IS152" s="42"/>
      <c r="IX152" s="43"/>
      <c r="IY152" s="42"/>
      <c r="JB152" s="43"/>
      <c r="JC152" s="42"/>
      <c r="JH152" s="43"/>
      <c r="JP152" s="43"/>
      <c r="JQ152" s="42"/>
      <c r="JV152" s="43"/>
      <c r="KB152" s="45"/>
      <c r="KH152" s="45"/>
      <c r="KN152" s="45"/>
      <c r="KT152" s="43"/>
      <c r="KX152" s="45"/>
      <c r="LD152" s="43"/>
      <c r="LE152" s="46"/>
      <c r="LH152" s="45"/>
      <c r="LN152" s="45"/>
      <c r="LT152" s="45"/>
      <c r="LZ152" s="45"/>
      <c r="MF152" s="45"/>
      <c r="MG152" s="46"/>
      <c r="MN152" s="45"/>
      <c r="MT152" s="45"/>
      <c r="MZ152" s="45"/>
      <c r="NA152" s="46"/>
      <c r="ND152" s="45"/>
      <c r="NE152" s="46"/>
      <c r="NK152" s="45"/>
      <c r="NL152" s="46"/>
      <c r="NQ152" s="45"/>
      <c r="NR152" s="46"/>
      <c r="NU152" s="45"/>
      <c r="NV152" s="46"/>
      <c r="OA152" s="45"/>
      <c r="OB152" s="46"/>
      <c r="OE152" s="45"/>
      <c r="OF152" s="46"/>
      <c r="OG152" s="44"/>
      <c r="OH152" s="44"/>
      <c r="OI152" s="44"/>
      <c r="OK152" s="45"/>
      <c r="OL152" s="44"/>
      <c r="OM152" s="43"/>
      <c r="ON152" s="44"/>
      <c r="OO152" s="44"/>
      <c r="OQ152" s="45"/>
      <c r="OR152" s="46"/>
      <c r="OS152" s="44"/>
      <c r="OT152" s="44"/>
      <c r="OU152" s="44"/>
      <c r="OW152" s="45"/>
      <c r="OX152" s="46"/>
      <c r="OY152" s="44"/>
      <c r="OZ152" s="44"/>
      <c r="PA152" s="44"/>
      <c r="PC152" s="45"/>
      <c r="PD152" s="46"/>
      <c r="PE152" s="44"/>
      <c r="PF152" s="44"/>
      <c r="PG152" s="44"/>
      <c r="PI152" s="45"/>
      <c r="PJ152" s="46"/>
      <c r="PK152" s="44"/>
      <c r="PL152" s="44"/>
      <c r="PM152" s="44"/>
      <c r="PO152" s="45"/>
      <c r="PP152" s="46"/>
      <c r="PQ152" s="44"/>
      <c r="PR152" s="44"/>
      <c r="PS152" s="44"/>
      <c r="PU152" s="45"/>
      <c r="PV152" s="46"/>
      <c r="PW152" s="44"/>
      <c r="PY152" s="45"/>
      <c r="PZ152" s="46"/>
      <c r="QA152" s="44"/>
      <c r="QC152" s="45"/>
      <c r="QD152" s="46"/>
      <c r="QE152" s="44"/>
      <c r="QF152" s="44"/>
      <c r="QG152" s="44"/>
      <c r="QI152" s="45"/>
      <c r="QJ152" s="46"/>
      <c r="QK152" s="44"/>
      <c r="QM152" s="45"/>
      <c r="QN152" s="46"/>
      <c r="QO152" s="44"/>
      <c r="QP152" s="44"/>
      <c r="QQ152" s="44"/>
      <c r="QS152" s="45"/>
      <c r="QT152" s="46"/>
      <c r="QW152" s="45"/>
      <c r="QX152" s="46"/>
      <c r="RC152" s="45"/>
      <c r="RD152" s="42"/>
      <c r="RE152" s="44"/>
      <c r="RG152" s="44"/>
      <c r="RI152" s="45"/>
      <c r="RJ152" s="42"/>
      <c r="RO152" s="43"/>
      <c r="RP152" s="42"/>
      <c r="RS152" s="43"/>
      <c r="RT152" s="42"/>
      <c r="RY152" s="43"/>
      <c r="RZ152" s="42"/>
      <c r="SE152" s="43"/>
      <c r="SF152" s="42"/>
      <c r="SK152" s="43"/>
      <c r="SL152" s="42"/>
      <c r="SO152" s="43"/>
      <c r="SP152" s="42"/>
      <c r="SU152" s="43"/>
    </row>
    <row r="153" spans="1:515" x14ac:dyDescent="0.25">
      <c r="A153" s="47" t="s">
        <v>460</v>
      </c>
      <c r="B153" s="41">
        <v>0.4</v>
      </c>
      <c r="J153" s="42"/>
      <c r="K153" s="51"/>
      <c r="L153" s="51"/>
      <c r="M153" s="51"/>
      <c r="N153" s="51">
        <f t="shared" si="15"/>
        <v>0</v>
      </c>
      <c r="O153" s="43"/>
      <c r="P153" s="46"/>
      <c r="Q153" s="51"/>
      <c r="R153" s="51"/>
      <c r="S153" s="51"/>
      <c r="T153" s="51">
        <f t="shared" si="16"/>
        <v>0</v>
      </c>
      <c r="U153" s="43"/>
      <c r="V153" s="42"/>
      <c r="W153" s="51"/>
      <c r="X153" s="51"/>
      <c r="Y153" s="51"/>
      <c r="Z153" s="51">
        <f t="shared" si="17"/>
        <v>0</v>
      </c>
      <c r="AA153" s="43"/>
      <c r="AB153" s="42"/>
      <c r="AC153" s="51"/>
      <c r="AD153" s="51"/>
      <c r="AE153" s="51"/>
      <c r="AF153" s="51">
        <v>0</v>
      </c>
      <c r="AG153" s="43"/>
      <c r="AH153" s="51"/>
      <c r="AL153" s="47">
        <v>0</v>
      </c>
      <c r="AM153" s="43"/>
      <c r="AN153" s="42"/>
      <c r="AR153" s="47">
        <v>0</v>
      </c>
      <c r="AS153" s="43"/>
      <c r="AX153" s="47">
        <v>0</v>
      </c>
      <c r="AY153" s="43"/>
      <c r="BD153" s="47">
        <v>0</v>
      </c>
      <c r="BE153" s="43"/>
      <c r="BF153" s="42"/>
      <c r="BJ153" s="47">
        <v>0</v>
      </c>
      <c r="BK153" s="43"/>
      <c r="BL153" s="42"/>
      <c r="BP153" s="47">
        <v>0</v>
      </c>
      <c r="BQ153" s="43"/>
      <c r="BV153" s="47">
        <v>0</v>
      </c>
      <c r="BW153" s="43"/>
      <c r="BX153" s="42"/>
      <c r="CB153" s="47">
        <v>0</v>
      </c>
      <c r="CC153" s="43"/>
      <c r="CH153" s="47">
        <v>0</v>
      </c>
      <c r="CI153" s="43"/>
      <c r="CN153" s="47">
        <v>0</v>
      </c>
      <c r="CO153" s="43"/>
      <c r="CP153" s="42"/>
      <c r="CT153" s="47">
        <v>0</v>
      </c>
      <c r="CU153" s="43"/>
      <c r="CV153" s="42"/>
      <c r="CZ153" s="47">
        <v>0</v>
      </c>
      <c r="DA153" s="43"/>
      <c r="DG153" s="47">
        <v>0</v>
      </c>
      <c r="DH153" s="43"/>
      <c r="DK153" s="47">
        <v>0</v>
      </c>
      <c r="DL153" s="43"/>
      <c r="DM153" s="42"/>
      <c r="DQ153" s="47">
        <v>0</v>
      </c>
      <c r="DR153" s="43"/>
      <c r="DW153" s="47">
        <v>0</v>
      </c>
      <c r="DX153" s="43"/>
      <c r="EC153" s="47">
        <v>0</v>
      </c>
      <c r="ED153" s="43"/>
      <c r="EE153" s="42"/>
      <c r="EI153" s="47">
        <v>0</v>
      </c>
      <c r="EJ153" s="43"/>
      <c r="EN153">
        <v>16</v>
      </c>
      <c r="EO153" s="50">
        <v>-16</v>
      </c>
      <c r="EP153" s="43">
        <v>6.4</v>
      </c>
      <c r="EQ153" s="42"/>
      <c r="ET153">
        <v>8</v>
      </c>
      <c r="EU153" s="50">
        <v>-8</v>
      </c>
      <c r="EV153" s="43">
        <v>3.2</v>
      </c>
      <c r="EW153" s="42"/>
      <c r="FB153">
        <v>8</v>
      </c>
      <c r="FC153" s="50">
        <v>-8</v>
      </c>
      <c r="FD153" s="43">
        <v>3.2</v>
      </c>
      <c r="FE153" s="42"/>
      <c r="FH153">
        <v>8</v>
      </c>
      <c r="FI153" s="50">
        <v>-8</v>
      </c>
      <c r="FJ153" s="43">
        <v>3.2</v>
      </c>
      <c r="FN153">
        <v>8</v>
      </c>
      <c r="FQ153" s="50">
        <v>-8</v>
      </c>
      <c r="FR153" s="43">
        <v>3.2</v>
      </c>
      <c r="FS153" s="42"/>
      <c r="FV153">
        <v>8</v>
      </c>
      <c r="FW153" s="50">
        <v>-8</v>
      </c>
      <c r="FX153" s="43">
        <v>3.2</v>
      </c>
      <c r="FY153" s="42"/>
      <c r="GB153">
        <v>8</v>
      </c>
      <c r="GC153" s="50">
        <v>-8</v>
      </c>
      <c r="GD153" s="43">
        <v>3.2</v>
      </c>
      <c r="GE153" s="42"/>
      <c r="GH153">
        <v>8</v>
      </c>
      <c r="GI153" s="50">
        <v>-8</v>
      </c>
      <c r="GJ153" s="43">
        <v>3.2</v>
      </c>
      <c r="GQ153" s="47">
        <v>0</v>
      </c>
      <c r="GR153" s="43"/>
      <c r="GT153">
        <v>16</v>
      </c>
      <c r="GX153" s="50">
        <v>-16</v>
      </c>
      <c r="GY153" s="43">
        <v>6.4</v>
      </c>
      <c r="GZ153" s="42"/>
      <c r="HC153" s="47">
        <v>0</v>
      </c>
      <c r="HD153" s="43"/>
      <c r="HE153" s="42"/>
      <c r="HG153">
        <v>8</v>
      </c>
      <c r="HH153" s="50">
        <v>-8</v>
      </c>
      <c r="HI153" s="43">
        <v>3.2</v>
      </c>
      <c r="HN153" s="47">
        <v>0</v>
      </c>
      <c r="HO153" s="43"/>
      <c r="HP153" s="42"/>
      <c r="HU153" s="47">
        <v>0</v>
      </c>
      <c r="HV153" s="43"/>
      <c r="IA153" s="47">
        <v>0</v>
      </c>
      <c r="IB153" s="43"/>
      <c r="IC153" s="42"/>
      <c r="IG153" s="47">
        <v>0</v>
      </c>
      <c r="IH153" s="43"/>
      <c r="IM153" s="47">
        <v>0</v>
      </c>
      <c r="IN153" s="43"/>
      <c r="IO153" s="42"/>
      <c r="IQ153" s="47">
        <v>0</v>
      </c>
      <c r="IR153" s="43"/>
      <c r="IS153" s="42"/>
      <c r="IW153" s="47">
        <v>0</v>
      </c>
      <c r="IX153" s="43"/>
      <c r="IY153" s="46">
        <v>16</v>
      </c>
      <c r="IZ153" s="47">
        <v>16</v>
      </c>
      <c r="JA153" s="47">
        <v>0</v>
      </c>
      <c r="JB153" s="43"/>
      <c r="JC153" s="42"/>
      <c r="JG153" s="47">
        <v>0</v>
      </c>
      <c r="JH153" s="43"/>
      <c r="JO153" s="47">
        <v>0</v>
      </c>
      <c r="JP153" s="45"/>
      <c r="JQ153" s="42"/>
      <c r="JV153" s="43"/>
      <c r="KB153" s="45"/>
      <c r="KH153" s="45"/>
      <c r="KN153" s="45"/>
      <c r="KT153" s="43"/>
      <c r="KX153" s="45"/>
      <c r="LD153" s="43"/>
      <c r="LE153" s="46"/>
      <c r="LH153" s="45"/>
      <c r="LN153" s="45"/>
      <c r="LT153" s="45"/>
      <c r="LZ153" s="45"/>
      <c r="MF153" s="45"/>
      <c r="MG153" s="46"/>
      <c r="MN153" s="45"/>
      <c r="MT153" s="45"/>
      <c r="MZ153" s="45"/>
      <c r="NA153" s="46"/>
      <c r="ND153" s="45"/>
      <c r="NE153" s="46"/>
      <c r="NK153" s="45"/>
      <c r="NL153" s="46"/>
      <c r="NQ153" s="45"/>
      <c r="NR153" s="46"/>
      <c r="NU153" s="45"/>
      <c r="NV153" s="46"/>
      <c r="OA153" s="45"/>
      <c r="OB153" s="46"/>
      <c r="OE153" s="45"/>
      <c r="OF153" s="46"/>
      <c r="OK153" s="45"/>
      <c r="OM153" s="43"/>
      <c r="OQ153" s="45"/>
      <c r="OR153" s="46"/>
      <c r="OW153" s="45"/>
      <c r="OX153" s="46"/>
      <c r="PC153" s="45"/>
      <c r="PD153" s="46"/>
      <c r="PE153" s="44"/>
      <c r="PF153" s="44"/>
      <c r="PG153" s="44"/>
      <c r="PI153" s="45"/>
      <c r="PJ153" s="46"/>
      <c r="PK153" s="44"/>
      <c r="PL153" s="44"/>
      <c r="PM153" s="44"/>
      <c r="PO153" s="45"/>
      <c r="PP153" s="46"/>
      <c r="PQ153" s="44"/>
      <c r="PR153" s="44"/>
      <c r="PS153" s="44"/>
      <c r="PU153" s="45"/>
      <c r="PV153" s="46"/>
      <c r="PW153" s="44"/>
      <c r="PY153" s="45"/>
      <c r="PZ153" s="46"/>
      <c r="QA153" s="44"/>
      <c r="QC153" s="45"/>
      <c r="QD153" s="46"/>
      <c r="QE153" s="44"/>
      <c r="QF153" s="44"/>
      <c r="QG153" s="44"/>
      <c r="QI153" s="45"/>
      <c r="QJ153" s="46"/>
      <c r="QK153" s="44"/>
      <c r="QM153" s="45"/>
      <c r="QN153" s="46"/>
      <c r="QO153" s="44"/>
      <c r="QP153" s="44"/>
      <c r="QQ153" s="44"/>
      <c r="QS153" s="45"/>
      <c r="QT153" s="46"/>
      <c r="QW153" s="45"/>
      <c r="QX153" s="46"/>
      <c r="RC153" s="45"/>
      <c r="RD153" s="42"/>
      <c r="RE153" s="44"/>
      <c r="RG153" s="44"/>
      <c r="RI153" s="45"/>
      <c r="RJ153" s="42"/>
      <c r="RO153" s="43"/>
      <c r="RP153" s="42"/>
      <c r="RS153" s="43"/>
      <c r="RT153" s="42"/>
      <c r="RY153" s="43"/>
      <c r="RZ153" s="42"/>
      <c r="SE153" s="43"/>
      <c r="SF153" s="42"/>
      <c r="SK153" s="43"/>
      <c r="SL153" s="42"/>
      <c r="SO153" s="43"/>
      <c r="SP153" s="42"/>
      <c r="SU153" s="43"/>
    </row>
    <row r="154" spans="1:515" x14ac:dyDescent="0.25">
      <c r="A154" s="47" t="s">
        <v>461</v>
      </c>
      <c r="B154" s="41">
        <v>0.41</v>
      </c>
      <c r="J154" s="42"/>
      <c r="K154" s="51"/>
      <c r="L154" s="51"/>
      <c r="M154" s="51"/>
      <c r="N154" s="51">
        <f t="shared" si="15"/>
        <v>0</v>
      </c>
      <c r="O154" s="43"/>
      <c r="P154" s="46"/>
      <c r="Q154" s="51"/>
      <c r="R154" s="51"/>
      <c r="S154" s="51"/>
      <c r="T154" s="51">
        <f t="shared" si="16"/>
        <v>0</v>
      </c>
      <c r="U154" s="43"/>
      <c r="V154" s="42"/>
      <c r="W154" s="51"/>
      <c r="X154" s="51"/>
      <c r="Y154" s="51"/>
      <c r="Z154" s="51">
        <f t="shared" si="17"/>
        <v>0</v>
      </c>
      <c r="AA154" s="43"/>
      <c r="AB154" s="42"/>
      <c r="AC154" s="51"/>
      <c r="AD154" s="51"/>
      <c r="AE154" s="51"/>
      <c r="AF154" s="51">
        <v>0</v>
      </c>
      <c r="AG154" s="43"/>
      <c r="AH154" s="51"/>
      <c r="AL154" s="47">
        <v>0</v>
      </c>
      <c r="AM154" s="43"/>
      <c r="AN154" s="42"/>
      <c r="AR154" s="47">
        <v>0</v>
      </c>
      <c r="AS154" s="43"/>
      <c r="AX154" s="47">
        <v>0</v>
      </c>
      <c r="AY154" s="43"/>
      <c r="BD154" s="47">
        <v>0</v>
      </c>
      <c r="BE154" s="43"/>
      <c r="BF154" s="42"/>
      <c r="BJ154" s="47">
        <v>0</v>
      </c>
      <c r="BK154" s="43"/>
      <c r="BL154" s="42"/>
      <c r="BP154" s="47">
        <v>0</v>
      </c>
      <c r="BQ154" s="43"/>
      <c r="BV154" s="47">
        <v>0</v>
      </c>
      <c r="BW154" s="43"/>
      <c r="BX154" s="42"/>
      <c r="CB154" s="47">
        <v>0</v>
      </c>
      <c r="CC154" s="43"/>
      <c r="CH154" s="47">
        <v>0</v>
      </c>
      <c r="CI154" s="43"/>
      <c r="CN154" s="47">
        <v>0</v>
      </c>
      <c r="CO154" s="43"/>
      <c r="CP154" s="42"/>
      <c r="CT154" s="47">
        <v>0</v>
      </c>
      <c r="CU154" s="43"/>
      <c r="CV154" s="42"/>
      <c r="CZ154" s="47">
        <v>0</v>
      </c>
      <c r="DA154" s="43"/>
      <c r="DG154" s="47">
        <v>0</v>
      </c>
      <c r="DH154" s="43"/>
      <c r="DK154" s="47">
        <v>0</v>
      </c>
      <c r="DL154" s="43"/>
      <c r="DM154" s="42"/>
      <c r="DQ154" s="47">
        <v>0</v>
      </c>
      <c r="DR154" s="43"/>
      <c r="DW154" s="47">
        <v>0</v>
      </c>
      <c r="DX154" s="43"/>
      <c r="EC154" s="47">
        <v>0</v>
      </c>
      <c r="ED154" s="43"/>
      <c r="EE154" s="42"/>
      <c r="EI154" s="47">
        <v>0</v>
      </c>
      <c r="EJ154" s="43"/>
      <c r="EO154" s="47">
        <v>0</v>
      </c>
      <c r="EP154" s="43"/>
      <c r="EQ154" s="42"/>
      <c r="EU154" s="47">
        <v>0</v>
      </c>
      <c r="EV154" s="43"/>
      <c r="EW154" s="42"/>
      <c r="FC154" s="47">
        <v>0</v>
      </c>
      <c r="FD154" s="43"/>
      <c r="FE154" s="42"/>
      <c r="FI154" s="47">
        <v>0</v>
      </c>
      <c r="FJ154" s="43"/>
      <c r="FQ154" s="47">
        <v>0</v>
      </c>
      <c r="FR154" s="43"/>
      <c r="FS154" s="42"/>
      <c r="FW154" s="47">
        <v>0</v>
      </c>
      <c r="FX154" s="43"/>
      <c r="FY154" s="42"/>
      <c r="GC154" s="47">
        <v>0</v>
      </c>
      <c r="GD154" s="43"/>
      <c r="GE154" s="42"/>
      <c r="GI154" s="47">
        <v>0</v>
      </c>
      <c r="GJ154" s="43"/>
      <c r="GQ154" s="47">
        <v>0</v>
      </c>
      <c r="GR154" s="43"/>
      <c r="GX154" s="47">
        <v>0</v>
      </c>
      <c r="GY154" s="43"/>
      <c r="GZ154" s="42"/>
      <c r="HC154" s="47">
        <v>0</v>
      </c>
      <c r="HD154" s="43"/>
      <c r="HE154" s="42"/>
      <c r="HH154" s="47">
        <v>0</v>
      </c>
      <c r="HI154" s="43"/>
      <c r="HN154" s="47">
        <v>0</v>
      </c>
      <c r="HO154" s="43"/>
      <c r="HP154" s="42"/>
      <c r="HU154" s="47">
        <v>0</v>
      </c>
      <c r="HV154" s="43"/>
      <c r="IA154" s="47">
        <v>0</v>
      </c>
      <c r="IB154" s="43"/>
      <c r="IC154" s="42"/>
      <c r="IG154" s="47">
        <v>0</v>
      </c>
      <c r="IH154" s="43"/>
      <c r="IM154" s="47">
        <v>0</v>
      </c>
      <c r="IN154" s="43"/>
      <c r="IO154" s="42"/>
      <c r="IQ154" s="47">
        <v>0</v>
      </c>
      <c r="IR154" s="43"/>
      <c r="IS154" s="42"/>
      <c r="IW154" s="47">
        <v>0</v>
      </c>
      <c r="IX154" s="43"/>
      <c r="IY154" s="42"/>
      <c r="JA154" s="47">
        <v>0</v>
      </c>
      <c r="JB154" s="43"/>
      <c r="JC154" s="42"/>
      <c r="JG154" s="47">
        <v>0</v>
      </c>
      <c r="JH154" s="43"/>
      <c r="JO154" s="47">
        <v>0</v>
      </c>
      <c r="JP154" s="43"/>
      <c r="JQ154" s="42"/>
      <c r="JU154" s="47">
        <v>0</v>
      </c>
      <c r="JV154" s="43"/>
      <c r="KA154" s="47">
        <v>0</v>
      </c>
      <c r="KB154" s="45"/>
      <c r="KG154" s="47">
        <v>0</v>
      </c>
      <c r="KH154" s="45"/>
      <c r="KM154" s="47">
        <v>0</v>
      </c>
      <c r="KN154" s="45"/>
      <c r="KS154" s="47">
        <v>0</v>
      </c>
      <c r="KT154" s="43"/>
      <c r="KW154" s="47">
        <v>0</v>
      </c>
      <c r="KX154" s="45"/>
      <c r="LC154" s="47">
        <v>0</v>
      </c>
      <c r="LD154" s="43"/>
      <c r="LE154" s="46"/>
      <c r="LG154" s="47">
        <v>0</v>
      </c>
      <c r="LH154" s="45"/>
      <c r="LM154" s="47">
        <v>0</v>
      </c>
      <c r="LN154" s="45"/>
      <c r="LS154" s="47">
        <v>0</v>
      </c>
      <c r="LT154" s="45"/>
      <c r="LY154" s="47">
        <v>0</v>
      </c>
      <c r="LZ154" s="45"/>
      <c r="ME154" s="47">
        <v>0</v>
      </c>
      <c r="MF154" s="45"/>
      <c r="MG154" s="46"/>
      <c r="MM154" s="47">
        <v>0</v>
      </c>
      <c r="MN154" s="45"/>
      <c r="MO154" s="44">
        <v>0</v>
      </c>
      <c r="MP154" s="44">
        <v>0</v>
      </c>
      <c r="MQ154" s="44">
        <v>0</v>
      </c>
      <c r="MR154" s="44">
        <v>0</v>
      </c>
      <c r="MS154" s="47">
        <v>0</v>
      </c>
      <c r="MT154" s="45"/>
      <c r="MU154" s="44">
        <v>0</v>
      </c>
      <c r="MV154" s="44">
        <v>0</v>
      </c>
      <c r="MW154" s="44">
        <v>0</v>
      </c>
      <c r="MX154" s="44">
        <v>0</v>
      </c>
      <c r="MY154" s="47">
        <v>0</v>
      </c>
      <c r="MZ154" s="45"/>
      <c r="NA154" s="46">
        <v>0</v>
      </c>
      <c r="NB154" s="44">
        <v>0</v>
      </c>
      <c r="NC154" s="47">
        <v>0</v>
      </c>
      <c r="ND154" s="45"/>
      <c r="NE154" s="46">
        <v>0</v>
      </c>
      <c r="NF154" s="44">
        <v>0</v>
      </c>
      <c r="NG154" s="44">
        <v>0</v>
      </c>
      <c r="NH154" s="44">
        <v>0</v>
      </c>
      <c r="NI154" s="44">
        <v>0</v>
      </c>
      <c r="NJ154" s="47">
        <v>0</v>
      </c>
      <c r="NK154" s="45"/>
      <c r="NL154" s="46">
        <v>0</v>
      </c>
      <c r="NM154" s="44">
        <v>0</v>
      </c>
      <c r="NN154" s="44">
        <v>0</v>
      </c>
      <c r="NO154" s="44">
        <v>0</v>
      </c>
      <c r="NP154" s="47">
        <v>0</v>
      </c>
      <c r="NQ154" s="45"/>
      <c r="NR154" s="46">
        <v>0</v>
      </c>
      <c r="NS154" s="44">
        <v>0</v>
      </c>
      <c r="NT154" s="47">
        <v>0</v>
      </c>
      <c r="NU154" s="45"/>
      <c r="NV154" s="46">
        <v>0</v>
      </c>
      <c r="NW154" s="44">
        <v>0</v>
      </c>
      <c r="NX154" s="44">
        <v>0</v>
      </c>
      <c r="NY154" s="44">
        <v>0</v>
      </c>
      <c r="NZ154" s="47">
        <v>0</v>
      </c>
      <c r="OA154" s="45"/>
      <c r="OB154" s="46">
        <v>0</v>
      </c>
      <c r="OC154" s="44">
        <v>0</v>
      </c>
      <c r="OD154" s="47">
        <v>0</v>
      </c>
      <c r="OE154" s="45"/>
      <c r="OF154" s="46">
        <v>0</v>
      </c>
      <c r="OG154" s="44">
        <v>0</v>
      </c>
      <c r="OH154" s="44">
        <v>0</v>
      </c>
      <c r="OI154" s="44">
        <v>0</v>
      </c>
      <c r="OJ154" s="47">
        <v>0</v>
      </c>
      <c r="OK154" s="45"/>
      <c r="OL154" s="44">
        <v>0</v>
      </c>
      <c r="OM154" s="43"/>
      <c r="ON154" s="44">
        <v>0</v>
      </c>
      <c r="OO154" s="44">
        <v>0</v>
      </c>
      <c r="OP154" s="47">
        <v>0</v>
      </c>
      <c r="OQ154" s="45"/>
      <c r="OR154" s="46">
        <v>0</v>
      </c>
      <c r="OS154" s="44">
        <v>0</v>
      </c>
      <c r="OT154" s="44">
        <v>0</v>
      </c>
      <c r="OU154" s="44">
        <v>0</v>
      </c>
      <c r="OV154" s="47">
        <v>0</v>
      </c>
      <c r="OW154" s="45"/>
      <c r="OX154" s="46">
        <v>0</v>
      </c>
      <c r="OY154" s="44">
        <v>0</v>
      </c>
      <c r="OZ154" s="44">
        <v>0</v>
      </c>
      <c r="PA154" s="44">
        <v>0</v>
      </c>
      <c r="PB154" s="47">
        <v>0</v>
      </c>
      <c r="PC154" s="45"/>
      <c r="PD154" s="46">
        <v>0</v>
      </c>
      <c r="PE154" s="44">
        <v>0</v>
      </c>
      <c r="PF154" s="44">
        <v>0</v>
      </c>
      <c r="PG154" s="44">
        <v>0</v>
      </c>
      <c r="PH154" s="47">
        <v>0</v>
      </c>
      <c r="PI154" s="45"/>
      <c r="PJ154" s="46">
        <v>0</v>
      </c>
      <c r="PK154" s="44">
        <v>0</v>
      </c>
      <c r="PL154" s="44">
        <v>0</v>
      </c>
      <c r="PM154" s="44">
        <v>0</v>
      </c>
      <c r="PN154" s="47">
        <v>0</v>
      </c>
      <c r="PO154" s="45"/>
      <c r="PP154" s="46">
        <v>0</v>
      </c>
      <c r="PQ154" s="44">
        <v>0</v>
      </c>
      <c r="PR154" s="44">
        <v>0</v>
      </c>
      <c r="PS154" s="44">
        <v>0</v>
      </c>
      <c r="PT154" s="47">
        <v>0</v>
      </c>
      <c r="PU154" s="45"/>
      <c r="PV154" s="46">
        <v>0</v>
      </c>
      <c r="PW154" s="44">
        <v>0</v>
      </c>
      <c r="PX154" s="47">
        <v>0</v>
      </c>
      <c r="PY154" s="45"/>
      <c r="PZ154" s="46">
        <v>0</v>
      </c>
      <c r="QA154" s="44">
        <v>0</v>
      </c>
      <c r="QB154" s="47">
        <v>0</v>
      </c>
      <c r="QC154" s="45"/>
      <c r="QD154" s="46">
        <v>0</v>
      </c>
      <c r="QE154" s="44">
        <v>0</v>
      </c>
      <c r="QF154" s="44">
        <v>0</v>
      </c>
      <c r="QG154" s="44">
        <v>0</v>
      </c>
      <c r="QH154" s="47">
        <v>0</v>
      </c>
      <c r="QI154" s="45"/>
      <c r="QJ154" s="46">
        <v>0</v>
      </c>
      <c r="QK154" s="44">
        <v>0</v>
      </c>
      <c r="QL154" s="47">
        <v>0</v>
      </c>
      <c r="QM154" s="45"/>
      <c r="QN154" s="23">
        <v>510</v>
      </c>
      <c r="QO154" s="44">
        <v>0</v>
      </c>
      <c r="QP154" s="17">
        <v>480</v>
      </c>
      <c r="QQ154" s="44">
        <v>0</v>
      </c>
      <c r="QR154" s="47">
        <v>0</v>
      </c>
      <c r="QS154" s="45"/>
      <c r="QT154" s="46">
        <v>40</v>
      </c>
      <c r="QU154" s="44">
        <v>0</v>
      </c>
      <c r="QV154" s="47">
        <v>40</v>
      </c>
      <c r="QW154" s="45"/>
      <c r="QX154" s="46">
        <v>0</v>
      </c>
      <c r="QY154" s="44">
        <v>0</v>
      </c>
      <c r="QZ154" s="44">
        <v>0</v>
      </c>
      <c r="RA154" s="44">
        <v>0</v>
      </c>
      <c r="RB154" s="47">
        <v>0</v>
      </c>
      <c r="RC154" s="45"/>
      <c r="RD154" s="42">
        <v>0</v>
      </c>
      <c r="RE154" s="44">
        <v>0</v>
      </c>
      <c r="RF154" s="17">
        <v>50</v>
      </c>
      <c r="RG154" s="44">
        <v>0</v>
      </c>
      <c r="RH154" s="47">
        <v>0</v>
      </c>
      <c r="RI154" s="45"/>
      <c r="RJ154" s="8"/>
      <c r="RL154" s="7"/>
      <c r="RO154" s="43"/>
      <c r="RP154" s="8"/>
      <c r="RS154" s="43"/>
      <c r="RT154" s="8"/>
      <c r="RV154" s="7"/>
      <c r="RY154" s="43"/>
      <c r="RZ154" s="42"/>
      <c r="SE154" s="43"/>
      <c r="SF154" s="42"/>
      <c r="SK154" s="43"/>
      <c r="SL154" s="42"/>
      <c r="SO154" s="43"/>
      <c r="SP154" s="42"/>
      <c r="SU154" s="43"/>
    </row>
    <row r="155" spans="1:515" x14ac:dyDescent="0.25">
      <c r="A155" s="47" t="s">
        <v>462</v>
      </c>
      <c r="B155" s="41">
        <v>0.33</v>
      </c>
      <c r="J155" s="42"/>
      <c r="K155" s="51"/>
      <c r="L155" s="51"/>
      <c r="M155" s="51"/>
      <c r="N155" s="51">
        <f t="shared" si="15"/>
        <v>0</v>
      </c>
      <c r="O155" s="43"/>
      <c r="P155" s="46"/>
      <c r="Q155" s="51"/>
      <c r="R155" s="51"/>
      <c r="S155" s="51"/>
      <c r="T155" s="51">
        <f t="shared" si="16"/>
        <v>0</v>
      </c>
      <c r="U155" s="43"/>
      <c r="V155" s="42"/>
      <c r="W155" s="51"/>
      <c r="X155" s="51"/>
      <c r="Y155" s="51"/>
      <c r="Z155" s="51">
        <f t="shared" si="17"/>
        <v>0</v>
      </c>
      <c r="AA155" s="43"/>
      <c r="AB155" s="42"/>
      <c r="AC155" s="51"/>
      <c r="AD155" s="51"/>
      <c r="AE155" s="51"/>
      <c r="AF155" s="51">
        <v>0</v>
      </c>
      <c r="AG155" s="43"/>
      <c r="AH155" s="51"/>
      <c r="AL155" s="47">
        <v>0</v>
      </c>
      <c r="AM155" s="43"/>
      <c r="AN155" s="42"/>
      <c r="AR155" s="47">
        <v>0</v>
      </c>
      <c r="AS155" s="43"/>
      <c r="AX155" s="47">
        <v>0</v>
      </c>
      <c r="AY155" s="43"/>
      <c r="BD155" s="47">
        <v>0</v>
      </c>
      <c r="BE155" s="43"/>
      <c r="BF155" s="42"/>
      <c r="BJ155" s="47">
        <v>0</v>
      </c>
      <c r="BK155" s="43"/>
      <c r="BL155" s="42"/>
      <c r="BP155" s="47">
        <v>0</v>
      </c>
      <c r="BQ155" s="43"/>
      <c r="BV155" s="47">
        <v>0</v>
      </c>
      <c r="BW155" s="43"/>
      <c r="BX155" s="42"/>
      <c r="CB155" s="47">
        <v>0</v>
      </c>
      <c r="CC155" s="43"/>
      <c r="CH155" s="47">
        <v>0</v>
      </c>
      <c r="CI155" s="43"/>
      <c r="CN155" s="47">
        <v>0</v>
      </c>
      <c r="CO155" s="43"/>
      <c r="CP155" s="42"/>
      <c r="CS155">
        <v>24</v>
      </c>
      <c r="CT155" s="47">
        <v>0</v>
      </c>
      <c r="CU155" s="43"/>
      <c r="CV155" s="42"/>
      <c r="CW155">
        <v>10</v>
      </c>
      <c r="CZ155" s="50">
        <v>-10</v>
      </c>
      <c r="DA155" s="43">
        <v>3.3</v>
      </c>
      <c r="DF155">
        <v>8</v>
      </c>
      <c r="DG155" s="47">
        <v>-2</v>
      </c>
      <c r="DH155" s="43"/>
      <c r="DK155" s="47">
        <v>0</v>
      </c>
      <c r="DL155" s="43"/>
      <c r="DM155" s="42"/>
      <c r="DN155">
        <v>27</v>
      </c>
      <c r="DQ155" s="47">
        <v>-3</v>
      </c>
      <c r="DR155" s="43"/>
      <c r="DW155" s="47">
        <v>0</v>
      </c>
      <c r="DX155" s="43"/>
      <c r="EB155" s="38">
        <v>23</v>
      </c>
      <c r="EC155" s="47">
        <v>1</v>
      </c>
      <c r="ED155" s="43"/>
      <c r="EE155" s="42"/>
      <c r="EH155">
        <v>16</v>
      </c>
      <c r="EI155" s="47">
        <v>2</v>
      </c>
      <c r="EJ155" s="43"/>
      <c r="EN155">
        <v>19</v>
      </c>
      <c r="EO155" s="47">
        <v>-1</v>
      </c>
      <c r="EP155" s="43"/>
      <c r="EQ155" s="42"/>
      <c r="EU155" s="47">
        <v>0</v>
      </c>
      <c r="EV155" s="43"/>
      <c r="EW155" s="42"/>
      <c r="FB155">
        <v>8</v>
      </c>
      <c r="FC155" s="47">
        <v>-2</v>
      </c>
      <c r="FD155" s="43"/>
      <c r="FE155" s="42"/>
      <c r="FH155">
        <v>16</v>
      </c>
      <c r="FI155" s="47">
        <v>2</v>
      </c>
      <c r="FJ155" s="43"/>
      <c r="FN155">
        <v>8</v>
      </c>
      <c r="FQ155" s="50">
        <v>-8</v>
      </c>
      <c r="FR155" s="43">
        <v>2.64</v>
      </c>
      <c r="FS155" s="42"/>
      <c r="FV155">
        <v>6</v>
      </c>
      <c r="FW155" s="47">
        <v>0</v>
      </c>
      <c r="FX155" s="43"/>
      <c r="FY155" s="42"/>
      <c r="GB155">
        <v>8</v>
      </c>
      <c r="GC155" s="47">
        <v>-2</v>
      </c>
      <c r="GD155" s="43"/>
      <c r="GE155" s="42"/>
      <c r="GH155">
        <v>8</v>
      </c>
      <c r="GI155" s="47">
        <v>-2</v>
      </c>
      <c r="GJ155" s="43"/>
      <c r="GQ155" s="47">
        <v>0</v>
      </c>
      <c r="GR155" s="43"/>
      <c r="GX155" s="47">
        <v>0</v>
      </c>
      <c r="GY155" s="43"/>
      <c r="GZ155" s="40">
        <v>8</v>
      </c>
      <c r="HB155" s="44">
        <v>10</v>
      </c>
      <c r="HC155" s="47">
        <v>-2</v>
      </c>
      <c r="HD155" s="43"/>
      <c r="HE155" s="42"/>
      <c r="HH155" s="47">
        <v>0</v>
      </c>
      <c r="HI155" s="43"/>
      <c r="HN155" s="47">
        <v>0</v>
      </c>
      <c r="HO155" s="43"/>
      <c r="HP155" s="42"/>
      <c r="HS155">
        <v>56</v>
      </c>
      <c r="HT155">
        <v>56</v>
      </c>
      <c r="HU155" s="47">
        <v>0</v>
      </c>
      <c r="HV155" s="43"/>
      <c r="IA155" s="47">
        <v>0</v>
      </c>
      <c r="IB155" s="43"/>
      <c r="IC155" s="42"/>
      <c r="IE155">
        <v>32</v>
      </c>
      <c r="IF155">
        <v>48</v>
      </c>
      <c r="IG155" s="50">
        <v>-16</v>
      </c>
      <c r="IH155" s="43">
        <v>5.28</v>
      </c>
      <c r="IM155" s="47">
        <v>0</v>
      </c>
      <c r="IN155" s="43"/>
      <c r="IO155" s="42"/>
      <c r="IQ155" s="47">
        <v>0</v>
      </c>
      <c r="IR155" s="43"/>
      <c r="IS155" s="42"/>
      <c r="IU155">
        <v>48</v>
      </c>
      <c r="IV155">
        <v>48</v>
      </c>
      <c r="IW155" s="47">
        <v>0</v>
      </c>
      <c r="IX155" s="43"/>
      <c r="IY155" s="42"/>
      <c r="JA155" s="47">
        <v>0</v>
      </c>
      <c r="JB155" s="43"/>
      <c r="JC155" s="42"/>
      <c r="JG155" s="47">
        <v>0</v>
      </c>
      <c r="JH155" s="43"/>
      <c r="JM155">
        <v>32</v>
      </c>
      <c r="JN155">
        <v>30</v>
      </c>
      <c r="JO155" s="47">
        <v>2</v>
      </c>
      <c r="JP155" s="43"/>
      <c r="JQ155" s="42"/>
      <c r="JS155">
        <v>8</v>
      </c>
      <c r="JT155">
        <v>8</v>
      </c>
      <c r="JU155" s="47">
        <v>0</v>
      </c>
      <c r="JV155" s="43"/>
      <c r="JY155">
        <v>16</v>
      </c>
      <c r="JZ155">
        <v>21</v>
      </c>
      <c r="KA155" s="47">
        <v>-5</v>
      </c>
      <c r="KB155" s="45"/>
      <c r="KG155" s="47">
        <v>0</v>
      </c>
      <c r="KH155" s="45"/>
      <c r="KI155">
        <v>8</v>
      </c>
      <c r="KJ155">
        <v>8</v>
      </c>
      <c r="KM155" s="47">
        <v>0</v>
      </c>
      <c r="KN155" s="45"/>
      <c r="KO155">
        <v>16</v>
      </c>
      <c r="KP155">
        <v>16</v>
      </c>
      <c r="KS155" s="47">
        <v>0</v>
      </c>
      <c r="KT155" s="43"/>
      <c r="KU155">
        <v>16</v>
      </c>
      <c r="KV155">
        <v>16</v>
      </c>
      <c r="KW155" s="47">
        <v>0</v>
      </c>
      <c r="KX155" s="45"/>
      <c r="LC155" s="47">
        <v>0</v>
      </c>
      <c r="LD155" s="43"/>
      <c r="LE155" s="46"/>
      <c r="LG155" s="47">
        <v>0</v>
      </c>
      <c r="LH155" s="45"/>
      <c r="LK155">
        <v>32</v>
      </c>
      <c r="LL155">
        <v>32</v>
      </c>
      <c r="LM155" s="47">
        <v>0</v>
      </c>
      <c r="LN155" s="45"/>
      <c r="LS155" s="47">
        <v>0</v>
      </c>
      <c r="LT155" s="45"/>
      <c r="LY155" s="47">
        <v>0</v>
      </c>
      <c r="LZ155" s="45"/>
      <c r="ME155" s="47">
        <v>0</v>
      </c>
      <c r="MF155" s="45"/>
      <c r="MG155" s="46"/>
      <c r="MI155">
        <v>72</v>
      </c>
      <c r="MJ155">
        <v>70</v>
      </c>
      <c r="MK155">
        <v>56</v>
      </c>
      <c r="ML155">
        <v>60</v>
      </c>
      <c r="MM155" s="47">
        <v>-2</v>
      </c>
      <c r="MN155" s="45"/>
      <c r="MO155" s="44">
        <v>0</v>
      </c>
      <c r="MP155" s="44">
        <v>0</v>
      </c>
      <c r="MQ155" s="44">
        <v>0</v>
      </c>
      <c r="MR155" s="44">
        <v>0</v>
      </c>
      <c r="MS155" s="47">
        <v>0</v>
      </c>
      <c r="MT155" s="45"/>
      <c r="MU155" s="44">
        <v>0</v>
      </c>
      <c r="MV155" s="44">
        <v>0</v>
      </c>
      <c r="MW155" s="44">
        <v>0</v>
      </c>
      <c r="MX155" s="44">
        <v>0</v>
      </c>
      <c r="MY155" s="47">
        <v>0</v>
      </c>
      <c r="MZ155" s="45"/>
      <c r="NA155" s="46">
        <v>40</v>
      </c>
      <c r="NB155" s="44">
        <v>41</v>
      </c>
      <c r="NC155" s="47">
        <v>-1</v>
      </c>
      <c r="ND155" s="45"/>
      <c r="NE155" s="46">
        <v>0</v>
      </c>
      <c r="NF155" s="44">
        <v>0</v>
      </c>
      <c r="NG155" s="44">
        <v>96</v>
      </c>
      <c r="NH155" s="44">
        <v>0</v>
      </c>
      <c r="NI155" s="44">
        <v>94</v>
      </c>
      <c r="NJ155" s="47">
        <v>2</v>
      </c>
      <c r="NK155" s="45"/>
      <c r="NL155" s="46">
        <v>0</v>
      </c>
      <c r="NM155" s="44">
        <v>0</v>
      </c>
      <c r="NN155" s="44">
        <v>0</v>
      </c>
      <c r="NO155" s="44">
        <v>0</v>
      </c>
      <c r="NP155" s="47">
        <v>0</v>
      </c>
      <c r="NQ155" s="45"/>
      <c r="NR155" s="46">
        <v>160</v>
      </c>
      <c r="NS155" s="44">
        <v>158</v>
      </c>
      <c r="NT155" s="47">
        <v>2</v>
      </c>
      <c r="NU155" s="45"/>
      <c r="NV155" s="46">
        <v>0</v>
      </c>
      <c r="NW155" s="44">
        <v>0</v>
      </c>
      <c r="NX155" s="44">
        <v>40</v>
      </c>
      <c r="NY155" s="44">
        <v>40</v>
      </c>
      <c r="NZ155" s="47">
        <v>0</v>
      </c>
      <c r="OA155" s="45"/>
      <c r="OB155" s="46">
        <v>0</v>
      </c>
      <c r="OC155" s="44">
        <v>0</v>
      </c>
      <c r="OD155" s="47">
        <v>0</v>
      </c>
      <c r="OE155" s="45"/>
      <c r="OF155" s="46">
        <v>80</v>
      </c>
      <c r="OG155" s="44">
        <v>80</v>
      </c>
      <c r="OH155" s="44">
        <v>0</v>
      </c>
      <c r="OI155" s="44">
        <v>0</v>
      </c>
      <c r="OJ155" s="47">
        <v>0</v>
      </c>
      <c r="OK155" s="45"/>
      <c r="OL155" s="44">
        <v>0</v>
      </c>
      <c r="OM155" s="43"/>
      <c r="OQ155" s="45"/>
      <c r="OR155" s="46"/>
      <c r="OW155" s="45"/>
      <c r="OX155" s="46"/>
      <c r="PC155" s="45"/>
      <c r="PD155" s="46"/>
      <c r="PI155" s="45"/>
      <c r="PJ155" s="46"/>
      <c r="PO155" s="45"/>
      <c r="PP155" s="46"/>
      <c r="PU155" s="45"/>
      <c r="PV155" s="46"/>
      <c r="PY155" s="45"/>
      <c r="PZ155" s="46"/>
      <c r="QC155" s="45"/>
      <c r="QD155" s="46"/>
      <c r="QI155" s="45"/>
      <c r="QJ155" s="46"/>
      <c r="QM155" s="45"/>
      <c r="QN155" s="46"/>
      <c r="QS155" s="45"/>
      <c r="QT155" s="46"/>
      <c r="QW155" s="45"/>
      <c r="QX155" s="46"/>
      <c r="RC155" s="45"/>
      <c r="RD155" s="42"/>
      <c r="RE155" s="44"/>
      <c r="RG155" s="44"/>
      <c r="RI155" s="45"/>
      <c r="RJ155" s="42"/>
      <c r="RO155" s="43"/>
      <c r="RP155" s="42"/>
      <c r="RS155" s="43"/>
      <c r="RT155" s="42"/>
      <c r="RY155" s="43"/>
      <c r="RZ155" s="42"/>
      <c r="SE155" s="43"/>
      <c r="SF155" s="42"/>
      <c r="SK155" s="43"/>
      <c r="SL155" s="42"/>
      <c r="SO155" s="43"/>
      <c r="SP155" s="42"/>
      <c r="SU155" s="43"/>
    </row>
    <row r="156" spans="1:515" x14ac:dyDescent="0.25">
      <c r="A156" s="47" t="s">
        <v>463</v>
      </c>
      <c r="B156" s="41">
        <v>0.36</v>
      </c>
      <c r="J156" s="42"/>
      <c r="K156" s="51"/>
      <c r="L156" s="51"/>
      <c r="M156" s="51"/>
      <c r="N156" s="51">
        <f t="shared" si="15"/>
        <v>0</v>
      </c>
      <c r="O156" s="43"/>
      <c r="P156" s="46"/>
      <c r="Q156" s="51"/>
      <c r="R156" s="51"/>
      <c r="S156" s="51"/>
      <c r="T156" s="51">
        <f t="shared" si="16"/>
        <v>0</v>
      </c>
      <c r="U156" s="43"/>
      <c r="V156" s="42"/>
      <c r="W156" s="51"/>
      <c r="X156" s="51"/>
      <c r="Y156" s="51"/>
      <c r="Z156" s="51">
        <f t="shared" si="17"/>
        <v>0</v>
      </c>
      <c r="AA156" s="43"/>
      <c r="AB156" s="42"/>
      <c r="AC156" s="51"/>
      <c r="AD156" s="51"/>
      <c r="AE156" s="51"/>
      <c r="AF156" s="51">
        <v>0</v>
      </c>
      <c r="AG156" s="43"/>
      <c r="AH156" s="51"/>
      <c r="AL156" s="47">
        <v>0</v>
      </c>
      <c r="AM156" s="43"/>
      <c r="AN156" s="42"/>
      <c r="AR156" s="47">
        <v>0</v>
      </c>
      <c r="AS156" s="43"/>
      <c r="AX156" s="47">
        <v>0</v>
      </c>
      <c r="AY156" s="43"/>
      <c r="BD156" s="47">
        <v>0</v>
      </c>
      <c r="BE156" s="43"/>
      <c r="BF156" s="42"/>
      <c r="BJ156" s="47">
        <v>0</v>
      </c>
      <c r="BK156" s="43"/>
      <c r="BL156" s="42"/>
      <c r="BP156" s="47">
        <v>0</v>
      </c>
      <c r="BQ156" s="43"/>
      <c r="BV156" s="47">
        <v>0</v>
      </c>
      <c r="BW156" s="43"/>
      <c r="BX156" s="42"/>
      <c r="CB156" s="47">
        <v>0</v>
      </c>
      <c r="CC156" s="43"/>
      <c r="CH156" s="47">
        <v>0</v>
      </c>
      <c r="CI156" s="43"/>
      <c r="CN156" s="47">
        <v>0</v>
      </c>
      <c r="CO156" s="43"/>
      <c r="CP156" s="42"/>
      <c r="CT156" s="47">
        <v>0</v>
      </c>
      <c r="CU156" s="43"/>
      <c r="CV156" s="42"/>
      <c r="CZ156" s="47">
        <v>0</v>
      </c>
      <c r="DA156" s="43"/>
      <c r="DG156" s="47">
        <v>0</v>
      </c>
      <c r="DH156" s="43"/>
      <c r="DK156" s="47">
        <v>0</v>
      </c>
      <c r="DL156" s="43"/>
      <c r="DM156" s="42"/>
      <c r="DQ156" s="47">
        <v>0</v>
      </c>
      <c r="DR156" s="43"/>
      <c r="DW156" s="47">
        <v>0</v>
      </c>
      <c r="DX156" s="43"/>
      <c r="EC156" s="47">
        <v>0</v>
      </c>
      <c r="ED156" s="43"/>
      <c r="EE156" s="42"/>
      <c r="EI156" s="47">
        <v>0</v>
      </c>
      <c r="EJ156" s="43"/>
      <c r="EO156" s="47">
        <v>0</v>
      </c>
      <c r="EP156" s="43"/>
      <c r="EQ156" s="42"/>
      <c r="EU156" s="47">
        <v>0</v>
      </c>
      <c r="EV156" s="43"/>
      <c r="EW156" s="42"/>
      <c r="FC156" s="47">
        <v>0</v>
      </c>
      <c r="FD156" s="43"/>
      <c r="FE156" s="42"/>
      <c r="FI156" s="47">
        <v>0</v>
      </c>
      <c r="FJ156" s="43"/>
      <c r="FQ156" s="47">
        <v>0</v>
      </c>
      <c r="FR156" s="43"/>
      <c r="FS156" s="42"/>
      <c r="FW156" s="47">
        <v>0</v>
      </c>
      <c r="FX156" s="43"/>
      <c r="FY156" s="42"/>
      <c r="GC156" s="47">
        <v>0</v>
      </c>
      <c r="GD156" s="43"/>
      <c r="GE156" s="42"/>
      <c r="GI156" s="47">
        <v>0</v>
      </c>
      <c r="GJ156" s="43"/>
      <c r="GQ156" s="47">
        <v>0</v>
      </c>
      <c r="GR156" s="43"/>
      <c r="GX156" s="47">
        <v>0</v>
      </c>
      <c r="GY156" s="43"/>
      <c r="GZ156" s="42"/>
      <c r="HC156" s="47">
        <v>0</v>
      </c>
      <c r="HD156" s="43"/>
      <c r="HE156" s="42"/>
      <c r="HH156" s="47">
        <v>0</v>
      </c>
      <c r="HI156" s="43"/>
      <c r="HN156" s="47">
        <v>0</v>
      </c>
      <c r="HO156" s="43"/>
      <c r="HP156" s="42"/>
      <c r="HU156" s="47">
        <v>0</v>
      </c>
      <c r="HV156" s="43"/>
      <c r="IA156" s="47">
        <v>0</v>
      </c>
      <c r="IB156" s="43"/>
      <c r="IC156" s="42"/>
      <c r="IG156" s="47">
        <v>0</v>
      </c>
      <c r="IH156" s="43"/>
      <c r="IM156" s="47">
        <v>0</v>
      </c>
      <c r="IN156" s="43"/>
      <c r="IO156" s="42"/>
      <c r="IQ156" s="47">
        <v>0</v>
      </c>
      <c r="IR156" s="43"/>
      <c r="IS156" s="42"/>
      <c r="IW156" s="47">
        <v>0</v>
      </c>
      <c r="IX156" s="43"/>
      <c r="IY156" s="42"/>
      <c r="JA156" s="47">
        <v>0</v>
      </c>
      <c r="JB156" s="43"/>
      <c r="JC156" s="42"/>
      <c r="JG156" s="47">
        <v>0</v>
      </c>
      <c r="JH156" s="43"/>
      <c r="JO156" s="47">
        <v>0</v>
      </c>
      <c r="JP156" s="43"/>
      <c r="JQ156" s="42"/>
      <c r="JU156" s="47">
        <v>0</v>
      </c>
      <c r="JV156" s="43"/>
      <c r="KA156" s="47">
        <v>0</v>
      </c>
      <c r="KB156" s="45"/>
      <c r="KG156" s="47">
        <v>0</v>
      </c>
      <c r="KH156" s="45"/>
      <c r="KM156" s="47">
        <v>0</v>
      </c>
      <c r="KN156" s="45"/>
      <c r="KS156" s="47">
        <v>0</v>
      </c>
      <c r="KT156" s="43"/>
      <c r="KW156" s="47">
        <v>0</v>
      </c>
      <c r="KX156" s="45"/>
      <c r="LC156" s="47">
        <v>0</v>
      </c>
      <c r="LD156" s="43"/>
      <c r="LE156" s="46"/>
      <c r="LG156" s="47">
        <v>0</v>
      </c>
      <c r="LH156" s="45"/>
      <c r="LM156" s="47">
        <v>0</v>
      </c>
      <c r="LN156" s="45"/>
      <c r="LS156" s="47">
        <v>0</v>
      </c>
      <c r="LT156" s="45"/>
      <c r="LY156" s="47">
        <v>0</v>
      </c>
      <c r="LZ156" s="45"/>
      <c r="ME156" s="47">
        <v>0</v>
      </c>
      <c r="MF156" s="45"/>
      <c r="MG156" s="46"/>
      <c r="MM156" s="47">
        <v>0</v>
      </c>
      <c r="MN156" s="45"/>
      <c r="MO156" s="44">
        <v>0</v>
      </c>
      <c r="MP156" s="44">
        <v>0</v>
      </c>
      <c r="MQ156" s="44">
        <v>0</v>
      </c>
      <c r="MR156" s="44">
        <v>0</v>
      </c>
      <c r="MS156" s="47">
        <v>0</v>
      </c>
      <c r="MT156" s="45"/>
      <c r="MU156" s="44">
        <v>0</v>
      </c>
      <c r="MV156" s="44">
        <v>0</v>
      </c>
      <c r="MW156" s="44">
        <v>0</v>
      </c>
      <c r="MX156" s="44">
        <v>0</v>
      </c>
      <c r="MY156" s="47">
        <v>0</v>
      </c>
      <c r="MZ156" s="45"/>
      <c r="NA156" s="46">
        <v>0</v>
      </c>
      <c r="NB156" s="44">
        <v>0</v>
      </c>
      <c r="NC156" s="47">
        <v>0</v>
      </c>
      <c r="ND156" s="45"/>
      <c r="NE156" s="46">
        <v>0</v>
      </c>
      <c r="NF156" s="44">
        <v>0</v>
      </c>
      <c r="NG156" s="44">
        <v>0</v>
      </c>
      <c r="NH156" s="44">
        <v>0</v>
      </c>
      <c r="NI156" s="44">
        <v>0</v>
      </c>
      <c r="NJ156" s="47">
        <v>0</v>
      </c>
      <c r="NK156" s="45"/>
      <c r="NL156" s="46">
        <v>0</v>
      </c>
      <c r="NM156" s="44">
        <v>0</v>
      </c>
      <c r="NN156" s="44">
        <v>0</v>
      </c>
      <c r="NO156" s="44">
        <v>0</v>
      </c>
      <c r="NP156" s="47">
        <v>0</v>
      </c>
      <c r="NQ156" s="45"/>
      <c r="NR156" s="46">
        <v>0</v>
      </c>
      <c r="NS156" s="33">
        <v>100</v>
      </c>
      <c r="NT156" s="47">
        <v>-4</v>
      </c>
      <c r="NU156" s="45"/>
      <c r="NV156" s="46">
        <v>0</v>
      </c>
      <c r="NW156" s="44">
        <v>0</v>
      </c>
      <c r="NX156" s="44">
        <v>0</v>
      </c>
      <c r="NY156" s="33">
        <v>133</v>
      </c>
      <c r="NZ156" s="50">
        <v>-133</v>
      </c>
      <c r="OA156" s="45">
        <v>47.88</v>
      </c>
      <c r="OB156" s="46">
        <v>0</v>
      </c>
      <c r="OC156" s="44">
        <v>40</v>
      </c>
      <c r="OD156" s="50">
        <v>-40</v>
      </c>
      <c r="OE156" s="45">
        <v>14.4</v>
      </c>
      <c r="OF156" s="46">
        <v>0</v>
      </c>
      <c r="OG156" s="44">
        <v>0</v>
      </c>
      <c r="OH156" s="44">
        <v>0</v>
      </c>
      <c r="OI156" s="28">
        <v>75</v>
      </c>
      <c r="OJ156" s="47">
        <v>-3</v>
      </c>
      <c r="OK156" s="45"/>
      <c r="OL156" s="44">
        <v>0</v>
      </c>
      <c r="OM156" s="43"/>
      <c r="ON156" s="44">
        <v>0</v>
      </c>
      <c r="OO156" s="44">
        <v>0</v>
      </c>
      <c r="OP156" s="47">
        <v>0</v>
      </c>
      <c r="OQ156" s="45"/>
      <c r="OR156" s="46">
        <v>0</v>
      </c>
      <c r="OS156" s="44">
        <v>0</v>
      </c>
      <c r="OT156" s="44">
        <v>0</v>
      </c>
      <c r="OU156" s="28">
        <v>25</v>
      </c>
      <c r="OV156" s="47">
        <v>-1</v>
      </c>
      <c r="OW156" s="45"/>
      <c r="OX156" s="46"/>
      <c r="PC156" s="45"/>
      <c r="PD156" s="46"/>
      <c r="PI156" s="45"/>
      <c r="PJ156" s="46"/>
      <c r="PO156" s="45"/>
      <c r="PP156" s="46"/>
      <c r="PU156" s="45"/>
      <c r="PV156" s="46"/>
      <c r="PY156" s="45"/>
      <c r="PZ156" s="46"/>
      <c r="QC156" s="45"/>
      <c r="QD156" s="46"/>
      <c r="QI156" s="45"/>
      <c r="QJ156" s="46"/>
      <c r="QM156" s="45"/>
      <c r="QN156" s="23"/>
      <c r="QP156" s="17"/>
      <c r="QS156" s="45"/>
      <c r="QT156" s="46"/>
      <c r="QW156" s="45"/>
      <c r="QX156" s="46"/>
      <c r="RC156" s="45"/>
      <c r="RD156" s="42"/>
      <c r="RE156" s="44"/>
      <c r="RF156" s="17"/>
      <c r="RG156" s="44"/>
      <c r="RI156" s="45"/>
      <c r="RJ156" s="8"/>
      <c r="RL156" s="7"/>
      <c r="RO156" s="43"/>
      <c r="RP156" s="8"/>
      <c r="RS156" s="43"/>
      <c r="RT156" s="8"/>
      <c r="RV156" s="7"/>
      <c r="RY156" s="43"/>
      <c r="RZ156" s="42"/>
      <c r="SE156" s="43"/>
      <c r="SF156" s="42"/>
      <c r="SK156" s="43"/>
      <c r="SL156" s="42"/>
      <c r="SO156" s="43"/>
      <c r="SP156" s="42"/>
      <c r="SU156" s="43"/>
    </row>
    <row r="157" spans="1:515" x14ac:dyDescent="0.25">
      <c r="A157" s="47" t="s">
        <v>464</v>
      </c>
      <c r="B157" s="41">
        <v>1</v>
      </c>
      <c r="J157" s="42"/>
      <c r="K157" s="51"/>
      <c r="L157" s="51"/>
      <c r="M157" s="51"/>
      <c r="N157" s="51">
        <f t="shared" si="15"/>
        <v>0</v>
      </c>
      <c r="O157" s="43"/>
      <c r="P157" s="46"/>
      <c r="Q157" s="51"/>
      <c r="R157" s="51"/>
      <c r="S157" s="51"/>
      <c r="T157" s="51">
        <f t="shared" si="16"/>
        <v>0</v>
      </c>
      <c r="U157" s="43"/>
      <c r="V157" s="42"/>
      <c r="W157" s="51"/>
      <c r="X157" s="51"/>
      <c r="Y157" s="51"/>
      <c r="Z157" s="51">
        <f t="shared" si="17"/>
        <v>0</v>
      </c>
      <c r="AA157" s="43"/>
      <c r="AB157" s="42"/>
      <c r="AC157" s="51"/>
      <c r="AD157" s="51"/>
      <c r="AE157" s="51"/>
      <c r="AF157" s="51">
        <v>0</v>
      </c>
      <c r="AG157" s="43"/>
      <c r="AH157" s="51"/>
      <c r="AL157" s="47">
        <v>0</v>
      </c>
      <c r="AM157" s="43"/>
      <c r="AN157" s="42"/>
      <c r="AR157" s="47">
        <v>0</v>
      </c>
      <c r="AS157" s="43"/>
      <c r="AX157" s="47">
        <v>0</v>
      </c>
      <c r="AY157" s="43"/>
      <c r="BD157" s="47">
        <v>0</v>
      </c>
      <c r="BE157" s="43"/>
      <c r="BF157" s="42"/>
      <c r="BJ157" s="47">
        <v>0</v>
      </c>
      <c r="BK157" s="43"/>
      <c r="BL157" s="42"/>
      <c r="BP157" s="47">
        <v>0</v>
      </c>
      <c r="BQ157" s="43"/>
      <c r="BV157" s="47">
        <v>0</v>
      </c>
      <c r="BW157" s="43"/>
      <c r="BX157" s="42"/>
      <c r="CB157" s="47">
        <v>0</v>
      </c>
      <c r="CC157" s="43"/>
      <c r="CH157" s="47">
        <v>0</v>
      </c>
      <c r="CI157" s="43"/>
      <c r="CN157" s="47">
        <v>0</v>
      </c>
      <c r="CO157" s="43"/>
      <c r="CP157" s="42"/>
      <c r="CT157" s="47">
        <v>0</v>
      </c>
      <c r="CU157" s="43"/>
      <c r="CV157" s="42"/>
      <c r="CZ157" s="47">
        <v>0</v>
      </c>
      <c r="DA157" s="43"/>
      <c r="DG157" s="47">
        <v>0</v>
      </c>
      <c r="DH157" s="43"/>
      <c r="DK157" s="47">
        <v>0</v>
      </c>
      <c r="DL157" s="43"/>
      <c r="DM157" s="42"/>
      <c r="DQ157" s="47">
        <v>0</v>
      </c>
      <c r="DR157" s="43"/>
      <c r="DW157" s="47">
        <v>0</v>
      </c>
      <c r="DX157" s="43"/>
      <c r="EC157" s="47">
        <v>0</v>
      </c>
      <c r="ED157" s="43"/>
      <c r="EE157" s="42"/>
      <c r="EI157" s="47">
        <v>0</v>
      </c>
      <c r="EJ157" s="43"/>
      <c r="EO157" s="47">
        <v>0</v>
      </c>
      <c r="EP157" s="43"/>
      <c r="EQ157" s="42"/>
      <c r="EU157" s="47">
        <v>0</v>
      </c>
      <c r="EV157" s="43"/>
      <c r="EW157" s="42"/>
      <c r="FC157" s="47">
        <v>0</v>
      </c>
      <c r="FD157" s="43"/>
      <c r="FE157" s="42"/>
      <c r="FI157" s="47">
        <v>0</v>
      </c>
      <c r="FJ157" s="43"/>
      <c r="FQ157" s="47">
        <v>0</v>
      </c>
      <c r="FR157" s="43"/>
      <c r="FS157" s="42"/>
      <c r="FW157" s="47">
        <v>0</v>
      </c>
      <c r="FX157" s="43"/>
      <c r="FY157" s="42"/>
      <c r="GC157" s="47">
        <v>0</v>
      </c>
      <c r="GD157" s="43"/>
      <c r="GE157" s="42"/>
      <c r="GI157" s="47">
        <v>0</v>
      </c>
      <c r="GJ157" s="43"/>
      <c r="GQ157" s="47">
        <v>0</v>
      </c>
      <c r="GR157" s="43"/>
      <c r="GX157" s="47">
        <v>0</v>
      </c>
      <c r="GY157" s="43"/>
      <c r="GZ157" s="42"/>
      <c r="HC157" s="47">
        <v>0</v>
      </c>
      <c r="HD157" s="43"/>
      <c r="HE157" s="42"/>
      <c r="HH157" s="47">
        <v>0</v>
      </c>
      <c r="HI157" s="43"/>
      <c r="HN157" s="47">
        <v>0</v>
      </c>
      <c r="HO157" s="43"/>
      <c r="HP157" s="42"/>
      <c r="HU157" s="47">
        <v>0</v>
      </c>
      <c r="HV157" s="43"/>
      <c r="IA157" s="47">
        <v>0</v>
      </c>
      <c r="IB157" s="43"/>
      <c r="IC157" s="42"/>
      <c r="IG157" s="47">
        <v>0</v>
      </c>
      <c r="IH157" s="43"/>
      <c r="IM157" s="47">
        <v>0</v>
      </c>
      <c r="IN157" s="43"/>
      <c r="IO157" s="42"/>
      <c r="IQ157" s="47">
        <v>0</v>
      </c>
      <c r="IR157" s="43"/>
      <c r="IS157" s="42"/>
      <c r="IW157" s="47">
        <v>0</v>
      </c>
      <c r="IX157" s="43"/>
      <c r="IY157" s="42"/>
      <c r="JA157" s="47">
        <v>0</v>
      </c>
      <c r="JB157" s="43"/>
      <c r="JC157" s="42"/>
      <c r="JG157" s="47">
        <v>0</v>
      </c>
      <c r="JH157" s="43"/>
      <c r="JO157" s="47">
        <v>0</v>
      </c>
      <c r="JP157" s="43"/>
      <c r="JQ157" s="42"/>
      <c r="JU157" s="47">
        <v>0</v>
      </c>
      <c r="JV157" s="43"/>
      <c r="KA157" s="47">
        <v>0</v>
      </c>
      <c r="KB157" s="45"/>
      <c r="KG157" s="47">
        <v>0</v>
      </c>
      <c r="KH157" s="45"/>
      <c r="KJ157">
        <v>80</v>
      </c>
      <c r="KK157">
        <v>80</v>
      </c>
      <c r="KL157">
        <v>80</v>
      </c>
      <c r="KM157" s="50">
        <v>-80</v>
      </c>
      <c r="KN157" s="45">
        <v>80</v>
      </c>
      <c r="KO157">
        <v>68</v>
      </c>
      <c r="KP157">
        <v>70</v>
      </c>
      <c r="KQ157">
        <v>49</v>
      </c>
      <c r="KR157">
        <v>50</v>
      </c>
      <c r="KS157" s="47">
        <v>-3</v>
      </c>
      <c r="KT157" s="43"/>
      <c r="KU157">
        <v>18</v>
      </c>
      <c r="KV157">
        <v>20</v>
      </c>
      <c r="KW157" s="47">
        <v>-2</v>
      </c>
      <c r="KX157" s="45"/>
      <c r="KY157">
        <v>81</v>
      </c>
      <c r="KZ157">
        <v>80</v>
      </c>
      <c r="LA157">
        <v>62</v>
      </c>
      <c r="LB157">
        <v>65</v>
      </c>
      <c r="LC157" s="47">
        <v>-2</v>
      </c>
      <c r="LD157" s="43"/>
      <c r="LE157" s="46"/>
      <c r="LG157" s="47">
        <v>0</v>
      </c>
      <c r="LH157" s="45"/>
      <c r="LM157" s="47">
        <v>0</v>
      </c>
      <c r="LN157" s="45"/>
      <c r="LQ157">
        <v>209</v>
      </c>
      <c r="LR157">
        <v>214</v>
      </c>
      <c r="LS157" s="47">
        <v>-5</v>
      </c>
      <c r="LT157" s="45"/>
      <c r="LY157" s="47">
        <v>0</v>
      </c>
      <c r="LZ157" s="45"/>
      <c r="ME157" s="47">
        <v>0</v>
      </c>
      <c r="MF157" s="45"/>
      <c r="MG157" s="46"/>
      <c r="MI157">
        <v>50</v>
      </c>
      <c r="MJ157">
        <v>50</v>
      </c>
      <c r="MK157">
        <v>6</v>
      </c>
      <c r="ML157">
        <v>50</v>
      </c>
      <c r="MM157" s="50">
        <v>-44</v>
      </c>
      <c r="MN157" s="45">
        <v>44</v>
      </c>
      <c r="MO157" s="44">
        <v>0</v>
      </c>
      <c r="MP157" s="44">
        <v>0</v>
      </c>
      <c r="MQ157" s="32">
        <v>31.04</v>
      </c>
      <c r="MR157" s="44">
        <v>0</v>
      </c>
      <c r="MS157" s="47">
        <v>0</v>
      </c>
      <c r="MT157" s="45"/>
      <c r="MZ157" s="45"/>
      <c r="NA157" s="46"/>
      <c r="ND157" s="45"/>
      <c r="NE157" s="46"/>
      <c r="NK157" s="45"/>
      <c r="NL157" s="46"/>
      <c r="NQ157" s="45"/>
      <c r="NR157" s="46"/>
      <c r="NU157" s="45"/>
      <c r="NV157" s="46"/>
      <c r="OA157" s="45"/>
      <c r="OB157" s="46"/>
      <c r="OE157" s="45"/>
      <c r="OF157" s="46"/>
      <c r="OK157" s="45"/>
      <c r="OM157" s="43"/>
      <c r="OQ157" s="45"/>
      <c r="OR157" s="46"/>
      <c r="OW157" s="45"/>
      <c r="OX157" s="46"/>
      <c r="PC157" s="45"/>
      <c r="PD157" s="46"/>
      <c r="PI157" s="45"/>
      <c r="PJ157" s="46"/>
      <c r="PO157" s="45"/>
      <c r="PP157" s="46"/>
      <c r="PU157" s="45"/>
      <c r="PV157" s="46"/>
      <c r="PY157" s="45"/>
      <c r="PZ157" s="46"/>
      <c r="QC157" s="45"/>
      <c r="QD157" s="46"/>
      <c r="QI157" s="45"/>
      <c r="QJ157" s="46"/>
      <c r="QM157" s="45"/>
      <c r="QN157" s="46"/>
      <c r="QS157" s="45"/>
      <c r="QT157" s="46"/>
      <c r="QW157" s="45"/>
      <c r="QX157" s="46"/>
      <c r="RC157" s="45"/>
      <c r="RD157" s="42"/>
      <c r="RE157" s="44"/>
      <c r="RG157" s="44"/>
      <c r="RI157" s="45"/>
      <c r="RJ157" s="42"/>
      <c r="RO157" s="43"/>
      <c r="RP157" s="42"/>
      <c r="RS157" s="43"/>
      <c r="RT157" s="42"/>
      <c r="RY157" s="43"/>
      <c r="RZ157" s="42"/>
      <c r="SE157" s="43"/>
      <c r="SF157" s="42"/>
      <c r="SK157" s="43"/>
      <c r="SL157" s="42"/>
      <c r="SO157" s="43"/>
      <c r="SP157" s="42"/>
      <c r="SU157" s="43"/>
    </row>
    <row r="158" spans="1:515" x14ac:dyDescent="0.25">
      <c r="A158" s="47" t="s">
        <v>465</v>
      </c>
      <c r="B158" s="41">
        <v>1</v>
      </c>
      <c r="J158" s="42"/>
      <c r="K158" s="51"/>
      <c r="L158" s="51"/>
      <c r="M158" s="51"/>
      <c r="N158" s="51">
        <f t="shared" si="15"/>
        <v>0</v>
      </c>
      <c r="O158" s="43"/>
      <c r="P158" s="46"/>
      <c r="Q158" s="51"/>
      <c r="R158" s="51"/>
      <c r="S158" s="51"/>
      <c r="T158" s="51">
        <f t="shared" si="16"/>
        <v>0</v>
      </c>
      <c r="U158" s="43"/>
      <c r="V158" s="42"/>
      <c r="W158" s="51"/>
      <c r="X158" s="51"/>
      <c r="Y158" s="51"/>
      <c r="Z158" s="51">
        <f t="shared" si="17"/>
        <v>0</v>
      </c>
      <c r="AA158" s="43"/>
      <c r="AB158" s="42"/>
      <c r="AC158" s="51"/>
      <c r="AD158" s="51"/>
      <c r="AE158" s="51"/>
      <c r="AF158" s="51">
        <v>0</v>
      </c>
      <c r="AG158" s="43"/>
      <c r="AH158" s="51"/>
      <c r="AL158" s="47">
        <v>0</v>
      </c>
      <c r="AM158" s="43"/>
      <c r="AN158" s="42"/>
      <c r="AR158" s="47">
        <v>0</v>
      </c>
      <c r="AS158" s="43"/>
      <c r="AX158" s="47">
        <v>0</v>
      </c>
      <c r="AY158" s="43"/>
      <c r="BD158" s="47">
        <v>0</v>
      </c>
      <c r="BE158" s="43"/>
      <c r="BF158" s="42"/>
      <c r="BJ158" s="47">
        <v>0</v>
      </c>
      <c r="BK158" s="43"/>
      <c r="BL158" s="42"/>
      <c r="BP158" s="47">
        <v>0</v>
      </c>
      <c r="BQ158" s="43"/>
      <c r="BV158" s="47">
        <v>0</v>
      </c>
      <c r="BW158" s="43"/>
      <c r="BX158" s="42"/>
      <c r="CB158" s="47">
        <v>0</v>
      </c>
      <c r="CC158" s="43"/>
      <c r="CH158" s="47">
        <v>0</v>
      </c>
      <c r="CI158" s="43"/>
      <c r="CN158" s="47">
        <v>0</v>
      </c>
      <c r="CO158" s="43"/>
      <c r="CP158" s="42"/>
      <c r="CT158" s="47">
        <v>0</v>
      </c>
      <c r="CU158" s="43"/>
      <c r="CV158" s="42"/>
      <c r="CZ158" s="47">
        <v>0</v>
      </c>
      <c r="DA158" s="43"/>
      <c r="DG158" s="47">
        <v>0</v>
      </c>
      <c r="DH158" s="43"/>
      <c r="DK158" s="47">
        <v>0</v>
      </c>
      <c r="DL158" s="43"/>
      <c r="DM158" s="42"/>
      <c r="DQ158" s="47">
        <v>0</v>
      </c>
      <c r="DR158" s="43"/>
      <c r="DW158" s="47">
        <v>0</v>
      </c>
      <c r="DX158" s="43"/>
      <c r="EC158" s="47">
        <v>0</v>
      </c>
      <c r="ED158" s="43"/>
      <c r="EE158" s="42"/>
      <c r="EI158" s="47">
        <v>0</v>
      </c>
      <c r="EJ158" s="43"/>
      <c r="EO158" s="47">
        <v>0</v>
      </c>
      <c r="EP158" s="43"/>
      <c r="EQ158" s="42"/>
      <c r="EU158" s="47">
        <v>0</v>
      </c>
      <c r="EV158" s="43"/>
      <c r="EW158" s="42"/>
      <c r="FC158" s="47">
        <v>0</v>
      </c>
      <c r="FD158" s="43"/>
      <c r="FE158" s="42"/>
      <c r="FI158" s="47">
        <v>0</v>
      </c>
      <c r="FJ158" s="43"/>
      <c r="FQ158" s="47">
        <v>0</v>
      </c>
      <c r="FR158" s="43"/>
      <c r="FS158" s="42"/>
      <c r="FW158" s="47">
        <v>0</v>
      </c>
      <c r="FX158" s="43"/>
      <c r="FY158" s="42"/>
      <c r="GC158" s="47">
        <v>0</v>
      </c>
      <c r="GD158" s="43"/>
      <c r="GE158" s="42"/>
      <c r="GI158" s="47">
        <v>0</v>
      </c>
      <c r="GJ158" s="43"/>
      <c r="GQ158" s="47">
        <v>0</v>
      </c>
      <c r="GR158" s="43"/>
      <c r="GX158" s="47">
        <v>0</v>
      </c>
      <c r="GY158" s="43"/>
      <c r="GZ158" s="42"/>
      <c r="HC158" s="47">
        <v>0</v>
      </c>
      <c r="HD158" s="43"/>
      <c r="HE158" s="42"/>
      <c r="HH158" s="47">
        <v>0</v>
      </c>
      <c r="HI158" s="43"/>
      <c r="HN158" s="47">
        <v>0</v>
      </c>
      <c r="HO158" s="43"/>
      <c r="HP158" s="42"/>
      <c r="HU158" s="47">
        <v>0</v>
      </c>
      <c r="HV158" s="43"/>
      <c r="IA158" s="47">
        <v>0</v>
      </c>
      <c r="IB158" s="43"/>
      <c r="IC158" s="42"/>
      <c r="IG158" s="47">
        <v>0</v>
      </c>
      <c r="IH158" s="43"/>
      <c r="IM158" s="47">
        <v>0</v>
      </c>
      <c r="IN158" s="43"/>
      <c r="IO158" s="42"/>
      <c r="IQ158" s="47">
        <v>0</v>
      </c>
      <c r="IR158" s="43"/>
      <c r="IS158" s="42"/>
      <c r="IW158" s="47">
        <v>0</v>
      </c>
      <c r="IX158" s="43"/>
      <c r="IY158" s="42"/>
      <c r="JA158" s="47">
        <v>0</v>
      </c>
      <c r="JB158" s="43"/>
      <c r="JC158" s="42"/>
      <c r="JG158" s="47">
        <v>0</v>
      </c>
      <c r="JH158" s="43"/>
      <c r="JO158" s="47">
        <v>0</v>
      </c>
      <c r="JP158" s="43"/>
      <c r="JQ158" s="42"/>
      <c r="JU158" s="47">
        <v>0</v>
      </c>
      <c r="JV158" s="43"/>
      <c r="KA158" s="47">
        <v>0</v>
      </c>
      <c r="KB158" s="45"/>
      <c r="KG158" s="47">
        <v>0</v>
      </c>
      <c r="KH158" s="45"/>
      <c r="KI158">
        <v>80</v>
      </c>
      <c r="KJ158">
        <v>80</v>
      </c>
      <c r="KK158">
        <v>67</v>
      </c>
      <c r="KL158">
        <v>70</v>
      </c>
      <c r="KM158" s="47">
        <v>-3</v>
      </c>
      <c r="KN158" s="45"/>
      <c r="KO158">
        <v>179</v>
      </c>
      <c r="KP158">
        <v>180</v>
      </c>
      <c r="KQ158">
        <v>118</v>
      </c>
      <c r="KR158">
        <v>160</v>
      </c>
      <c r="KS158" s="50">
        <v>-43</v>
      </c>
      <c r="KT158" s="43">
        <v>43</v>
      </c>
      <c r="KU158">
        <v>19</v>
      </c>
      <c r="KV158">
        <v>30</v>
      </c>
      <c r="KW158" s="50">
        <v>-11</v>
      </c>
      <c r="KX158" s="43">
        <v>11</v>
      </c>
      <c r="KY158">
        <v>148</v>
      </c>
      <c r="KZ158">
        <v>150</v>
      </c>
      <c r="LA158">
        <v>130</v>
      </c>
      <c r="LB158">
        <v>130</v>
      </c>
      <c r="LC158" s="47">
        <v>-2</v>
      </c>
      <c r="LD158" s="43"/>
      <c r="LE158" s="40">
        <v>97</v>
      </c>
      <c r="LF158" s="44">
        <v>100</v>
      </c>
      <c r="LG158" s="47">
        <v>-3</v>
      </c>
      <c r="LH158" s="45"/>
      <c r="LK158">
        <v>131</v>
      </c>
      <c r="LL158">
        <v>130</v>
      </c>
      <c r="LM158" s="47">
        <v>1</v>
      </c>
      <c r="LN158" s="45"/>
      <c r="LQ158">
        <v>119</v>
      </c>
      <c r="LR158">
        <v>120</v>
      </c>
      <c r="LS158" s="47">
        <v>-1</v>
      </c>
      <c r="LT158" s="45"/>
      <c r="LU158">
        <v>50</v>
      </c>
      <c r="LV158">
        <v>50</v>
      </c>
      <c r="LW158">
        <v>129</v>
      </c>
      <c r="LX158">
        <v>130</v>
      </c>
      <c r="LY158" s="47">
        <v>-1</v>
      </c>
      <c r="LZ158" s="45"/>
      <c r="ME158" s="47">
        <v>0</v>
      </c>
      <c r="MF158" s="45"/>
      <c r="MG158" s="40">
        <v>99</v>
      </c>
      <c r="MH158">
        <v>100</v>
      </c>
      <c r="MI158">
        <v>97</v>
      </c>
      <c r="MJ158">
        <v>100</v>
      </c>
      <c r="MK158">
        <v>43</v>
      </c>
      <c r="ML158">
        <v>100</v>
      </c>
      <c r="MM158" s="50">
        <v>-61</v>
      </c>
      <c r="MN158" s="45">
        <v>61</v>
      </c>
      <c r="MO158" s="44">
        <v>0</v>
      </c>
      <c r="MP158" s="44">
        <v>0</v>
      </c>
      <c r="MQ158" s="32">
        <v>132.06200000000001</v>
      </c>
      <c r="MR158" s="44">
        <v>0</v>
      </c>
      <c r="MS158" s="47">
        <v>0</v>
      </c>
      <c r="MT158" s="45"/>
      <c r="MZ158" s="45"/>
      <c r="NA158" s="46"/>
      <c r="ND158" s="45"/>
      <c r="NE158" s="46"/>
      <c r="NK158" s="45"/>
      <c r="NL158" s="46"/>
      <c r="NQ158" s="45"/>
      <c r="NR158" s="46"/>
      <c r="NU158" s="45"/>
      <c r="NV158" s="46"/>
      <c r="OA158" s="45"/>
      <c r="OB158" s="46"/>
      <c r="OE158" s="45"/>
      <c r="OF158" s="46"/>
      <c r="OK158" s="45"/>
      <c r="OM158" s="43"/>
      <c r="OQ158" s="45"/>
      <c r="OR158" s="46"/>
      <c r="OW158" s="45"/>
      <c r="OX158" s="46"/>
      <c r="PC158" s="45"/>
      <c r="PD158" s="46"/>
      <c r="PI158" s="45"/>
      <c r="PJ158" s="46"/>
      <c r="PO158" s="45"/>
      <c r="PP158" s="46"/>
      <c r="PU158" s="45"/>
      <c r="PV158" s="46"/>
      <c r="PY158" s="45"/>
      <c r="PZ158" s="46"/>
      <c r="QC158" s="45"/>
      <c r="QD158" s="46"/>
      <c r="QI158" s="45"/>
      <c r="QJ158" s="46"/>
      <c r="QM158" s="45"/>
      <c r="QN158" s="46"/>
      <c r="QS158" s="45"/>
      <c r="QT158" s="46"/>
      <c r="QW158" s="45"/>
      <c r="QX158" s="46"/>
      <c r="RC158" s="45"/>
      <c r="RD158" s="42"/>
      <c r="RE158" s="44"/>
      <c r="RG158" s="44"/>
      <c r="RI158" s="45"/>
      <c r="RJ158" s="42"/>
      <c r="RO158" s="43"/>
      <c r="RP158" s="42"/>
      <c r="RS158" s="43"/>
      <c r="RT158" s="42"/>
      <c r="RY158" s="43"/>
      <c r="RZ158" s="42"/>
      <c r="SE158" s="43"/>
      <c r="SF158" s="42"/>
      <c r="SK158" s="43"/>
      <c r="SL158" s="42"/>
      <c r="SO158" s="43"/>
      <c r="SP158" s="42"/>
      <c r="SU158" s="43"/>
    </row>
    <row r="159" spans="1:515" x14ac:dyDescent="0.25">
      <c r="A159" s="47" t="s">
        <v>466</v>
      </c>
      <c r="B159" s="41">
        <v>1</v>
      </c>
      <c r="J159" s="42"/>
      <c r="K159" s="51"/>
      <c r="L159" s="51"/>
      <c r="M159" s="51"/>
      <c r="N159" s="51">
        <f t="shared" si="15"/>
        <v>0</v>
      </c>
      <c r="O159" s="43"/>
      <c r="P159" s="46"/>
      <c r="Q159" s="51"/>
      <c r="R159" s="51"/>
      <c r="S159" s="51"/>
      <c r="T159" s="51">
        <f t="shared" si="16"/>
        <v>0</v>
      </c>
      <c r="U159" s="43"/>
      <c r="V159" s="42"/>
      <c r="W159" s="51"/>
      <c r="X159" s="51"/>
      <c r="Y159" s="51"/>
      <c r="Z159" s="51">
        <f t="shared" si="17"/>
        <v>0</v>
      </c>
      <c r="AA159" s="43"/>
      <c r="AB159" s="42"/>
      <c r="AC159" s="51"/>
      <c r="AD159" s="51"/>
      <c r="AE159" s="51"/>
      <c r="AF159" s="51">
        <v>0</v>
      </c>
      <c r="AG159" s="43"/>
      <c r="AH159" s="51"/>
      <c r="AL159" s="47">
        <v>0</v>
      </c>
      <c r="AM159" s="43"/>
      <c r="AN159" s="42"/>
      <c r="AR159" s="47">
        <v>0</v>
      </c>
      <c r="AS159" s="43"/>
      <c r="AX159" s="47">
        <v>0</v>
      </c>
      <c r="AY159" s="43"/>
      <c r="BD159" s="47">
        <v>0</v>
      </c>
      <c r="BE159" s="43"/>
      <c r="BF159" s="42"/>
      <c r="BJ159" s="47">
        <v>0</v>
      </c>
      <c r="BK159" s="43"/>
      <c r="BL159" s="42"/>
      <c r="BP159" s="47">
        <v>0</v>
      </c>
      <c r="BQ159" s="43"/>
      <c r="BV159" s="47">
        <v>0</v>
      </c>
      <c r="BW159" s="43"/>
      <c r="BX159" s="42"/>
      <c r="CB159" s="47">
        <v>0</v>
      </c>
      <c r="CC159" s="43"/>
      <c r="CH159" s="47">
        <v>0</v>
      </c>
      <c r="CI159" s="43"/>
      <c r="CN159" s="47">
        <v>0</v>
      </c>
      <c r="CO159" s="43"/>
      <c r="CP159" s="42"/>
      <c r="CT159" s="47">
        <v>0</v>
      </c>
      <c r="CU159" s="43"/>
      <c r="CV159" s="42"/>
      <c r="CZ159" s="47">
        <v>0</v>
      </c>
      <c r="DA159" s="43"/>
      <c r="DG159" s="47">
        <v>0</v>
      </c>
      <c r="DH159" s="43"/>
      <c r="DK159" s="47">
        <v>0</v>
      </c>
      <c r="DL159" s="43"/>
      <c r="DM159" s="42"/>
      <c r="DQ159" s="47">
        <v>0</v>
      </c>
      <c r="DR159" s="43"/>
      <c r="DW159" s="47">
        <v>0</v>
      </c>
      <c r="DX159" s="43"/>
      <c r="EC159" s="47">
        <v>0</v>
      </c>
      <c r="ED159" s="43"/>
      <c r="EE159" s="42"/>
      <c r="EI159" s="47">
        <v>0</v>
      </c>
      <c r="EJ159" s="43"/>
      <c r="EO159" s="47">
        <v>0</v>
      </c>
      <c r="EP159" s="43"/>
      <c r="EQ159" s="42"/>
      <c r="EU159" s="47">
        <v>0</v>
      </c>
      <c r="EV159" s="43"/>
      <c r="EW159" s="42"/>
      <c r="FC159" s="47">
        <v>0</v>
      </c>
      <c r="FD159" s="43"/>
      <c r="FE159" s="42"/>
      <c r="FI159" s="47">
        <v>0</v>
      </c>
      <c r="FJ159" s="43"/>
      <c r="FQ159" s="47">
        <v>0</v>
      </c>
      <c r="FR159" s="43"/>
      <c r="FS159" s="42"/>
      <c r="FW159" s="47">
        <v>0</v>
      </c>
      <c r="FX159" s="43"/>
      <c r="FY159" s="42"/>
      <c r="GC159" s="47">
        <v>0</v>
      </c>
      <c r="GD159" s="43"/>
      <c r="GE159" s="42"/>
      <c r="GI159" s="47">
        <v>0</v>
      </c>
      <c r="GJ159" s="43"/>
      <c r="GQ159" s="47">
        <v>0</v>
      </c>
      <c r="GR159" s="43"/>
      <c r="GX159" s="47">
        <v>0</v>
      </c>
      <c r="GY159" s="43"/>
      <c r="GZ159" s="42"/>
      <c r="HC159" s="47">
        <v>0</v>
      </c>
      <c r="HD159" s="43"/>
      <c r="HE159" s="42"/>
      <c r="HH159" s="47">
        <v>0</v>
      </c>
      <c r="HI159" s="43"/>
      <c r="HN159" s="47">
        <v>0</v>
      </c>
      <c r="HO159" s="43"/>
      <c r="HP159" s="42"/>
      <c r="HU159" s="47">
        <v>0</v>
      </c>
      <c r="HV159" s="43"/>
      <c r="IA159" s="47">
        <v>0</v>
      </c>
      <c r="IB159" s="43"/>
      <c r="IC159" s="42"/>
      <c r="IG159" s="47">
        <v>0</v>
      </c>
      <c r="IH159" s="43"/>
      <c r="IM159" s="47">
        <v>0</v>
      </c>
      <c r="IN159" s="43"/>
      <c r="IO159" s="42"/>
      <c r="IQ159" s="47">
        <v>0</v>
      </c>
      <c r="IR159" s="43"/>
      <c r="IS159" s="42"/>
      <c r="IW159" s="47">
        <v>0</v>
      </c>
      <c r="IX159" s="43"/>
      <c r="IY159" s="42"/>
      <c r="JA159" s="47">
        <v>0</v>
      </c>
      <c r="JB159" s="43"/>
      <c r="JC159" s="42"/>
      <c r="JG159" s="47">
        <v>0</v>
      </c>
      <c r="JH159" s="43"/>
      <c r="JO159" s="47">
        <v>0</v>
      </c>
      <c r="JP159" s="43"/>
      <c r="JQ159" s="42"/>
      <c r="JU159" s="47">
        <v>0</v>
      </c>
      <c r="JV159" s="43"/>
      <c r="KA159" s="47">
        <v>0</v>
      </c>
      <c r="KB159" s="45"/>
      <c r="KG159" s="47">
        <v>0</v>
      </c>
      <c r="KH159" s="45"/>
      <c r="KI159">
        <v>105</v>
      </c>
      <c r="KJ159">
        <v>100</v>
      </c>
      <c r="KK159">
        <v>80</v>
      </c>
      <c r="KL159">
        <v>80</v>
      </c>
      <c r="KM159" s="47">
        <v>5</v>
      </c>
      <c r="KN159" s="45"/>
      <c r="KQ159">
        <v>663</v>
      </c>
      <c r="KR159">
        <v>650</v>
      </c>
      <c r="KS159" s="47">
        <v>13</v>
      </c>
      <c r="KT159" s="43"/>
      <c r="KU159">
        <v>290</v>
      </c>
      <c r="KV159">
        <v>280</v>
      </c>
      <c r="KW159" s="47">
        <v>10</v>
      </c>
      <c r="KX159" s="45"/>
      <c r="KY159">
        <v>62</v>
      </c>
      <c r="KZ159">
        <v>60</v>
      </c>
      <c r="LA159">
        <v>49</v>
      </c>
      <c r="LB159">
        <v>50</v>
      </c>
      <c r="LC159" s="47">
        <v>1</v>
      </c>
      <c r="LD159" s="43"/>
      <c r="LE159" s="40">
        <v>155</v>
      </c>
      <c r="LF159" s="44">
        <v>150</v>
      </c>
      <c r="LG159" s="47">
        <v>5</v>
      </c>
      <c r="LH159" s="45"/>
      <c r="LK159">
        <v>501</v>
      </c>
      <c r="LL159">
        <v>480</v>
      </c>
      <c r="LM159" s="47">
        <v>21</v>
      </c>
      <c r="LN159" s="45"/>
      <c r="LO159">
        <v>107</v>
      </c>
      <c r="LP159">
        <v>100</v>
      </c>
      <c r="LS159" s="47">
        <v>7</v>
      </c>
      <c r="LT159" s="45"/>
      <c r="LU159">
        <v>209</v>
      </c>
      <c r="LV159">
        <v>200</v>
      </c>
      <c r="LW159">
        <v>314</v>
      </c>
      <c r="LX159">
        <v>300</v>
      </c>
      <c r="LY159" s="47">
        <v>23</v>
      </c>
      <c r="LZ159" s="45"/>
      <c r="MA159">
        <v>50</v>
      </c>
      <c r="MB159" s="41">
        <v>48</v>
      </c>
      <c r="MC159">
        <v>118</v>
      </c>
      <c r="MD159" s="44">
        <v>109</v>
      </c>
      <c r="ME159" s="47">
        <v>11</v>
      </c>
      <c r="MF159" s="45"/>
      <c r="MG159" s="46"/>
      <c r="MM159" s="47">
        <v>0</v>
      </c>
      <c r="MN159" s="45"/>
      <c r="MT159" s="45"/>
      <c r="MZ159" s="45"/>
      <c r="NA159" s="46"/>
      <c r="ND159" s="45"/>
      <c r="NE159" s="46"/>
      <c r="NK159" s="45"/>
      <c r="NL159" s="46"/>
      <c r="NQ159" s="45"/>
      <c r="NR159" s="46"/>
      <c r="NU159" s="45"/>
      <c r="NV159" s="46"/>
      <c r="OA159" s="45"/>
      <c r="OB159" s="46"/>
      <c r="OE159" s="45"/>
      <c r="OF159" s="46"/>
      <c r="OK159" s="45"/>
      <c r="OM159" s="43"/>
      <c r="OQ159" s="45"/>
      <c r="OR159" s="46"/>
      <c r="OW159" s="45"/>
      <c r="OX159" s="46"/>
      <c r="PC159" s="45"/>
      <c r="PD159" s="46"/>
      <c r="PI159" s="45"/>
      <c r="PJ159" s="46"/>
      <c r="PO159" s="45"/>
      <c r="PP159" s="46"/>
      <c r="PU159" s="45"/>
      <c r="PV159" s="46"/>
      <c r="PY159" s="45"/>
      <c r="PZ159" s="46"/>
      <c r="QC159" s="45"/>
      <c r="QD159" s="46"/>
      <c r="QI159" s="45"/>
      <c r="QJ159" s="46"/>
      <c r="QM159" s="45"/>
      <c r="QN159" s="46"/>
      <c r="QS159" s="45"/>
      <c r="QT159" s="46"/>
      <c r="QW159" s="45"/>
      <c r="QX159" s="46"/>
      <c r="RC159" s="45"/>
      <c r="RD159" s="42"/>
      <c r="RE159" s="44"/>
      <c r="RG159" s="44"/>
      <c r="RI159" s="45"/>
      <c r="RJ159" s="42"/>
      <c r="RO159" s="43"/>
      <c r="RP159" s="42"/>
      <c r="RS159" s="43"/>
      <c r="RT159" s="42"/>
      <c r="RY159" s="43"/>
      <c r="RZ159" s="42"/>
      <c r="SE159" s="43"/>
      <c r="SF159" s="42"/>
      <c r="SK159" s="43"/>
      <c r="SL159" s="42"/>
      <c r="SO159" s="43"/>
      <c r="SP159" s="42"/>
      <c r="SU159" s="43"/>
    </row>
    <row r="160" spans="1:515" x14ac:dyDescent="0.25">
      <c r="A160" s="47" t="s">
        <v>467</v>
      </c>
      <c r="B160" s="41">
        <v>0.25</v>
      </c>
      <c r="E160">
        <v>67</v>
      </c>
      <c r="F160">
        <v>80</v>
      </c>
      <c r="G160">
        <v>83</v>
      </c>
      <c r="J160" s="40">
        <v>48</v>
      </c>
      <c r="K160" s="52">
        <v>50</v>
      </c>
      <c r="L160" s="52">
        <v>40</v>
      </c>
      <c r="M160" s="52">
        <v>40</v>
      </c>
      <c r="N160" s="51">
        <f t="shared" si="15"/>
        <v>-2</v>
      </c>
      <c r="O160" s="43"/>
      <c r="P160" s="40">
        <v>24</v>
      </c>
      <c r="Q160" s="52">
        <v>26</v>
      </c>
      <c r="R160" s="52">
        <v>16</v>
      </c>
      <c r="S160" s="52">
        <v>22</v>
      </c>
      <c r="T160" s="51">
        <f t="shared" si="16"/>
        <v>-8</v>
      </c>
      <c r="U160" s="43"/>
      <c r="V160" s="42"/>
      <c r="W160" s="51"/>
      <c r="X160" s="52">
        <v>24</v>
      </c>
      <c r="Y160" s="52">
        <v>25</v>
      </c>
      <c r="Z160" s="51">
        <f t="shared" si="17"/>
        <v>-1</v>
      </c>
      <c r="AA160" s="43"/>
      <c r="AB160" s="42"/>
      <c r="AC160" s="51"/>
      <c r="AD160" s="52">
        <v>88</v>
      </c>
      <c r="AE160" s="56">
        <v>90</v>
      </c>
      <c r="AF160" s="51">
        <v>-2</v>
      </c>
      <c r="AG160" s="43"/>
      <c r="AH160" s="51"/>
      <c r="AL160" s="47">
        <v>0</v>
      </c>
      <c r="AM160" s="43"/>
      <c r="AN160" s="40">
        <v>16</v>
      </c>
      <c r="AO160">
        <v>24</v>
      </c>
      <c r="AP160">
        <v>24</v>
      </c>
      <c r="AQ160">
        <v>24</v>
      </c>
      <c r="AR160" s="50">
        <v>-8</v>
      </c>
      <c r="AS160" s="43">
        <v>2</v>
      </c>
      <c r="AV160">
        <v>32</v>
      </c>
      <c r="AW160">
        <v>32</v>
      </c>
      <c r="AX160" s="47">
        <v>0</v>
      </c>
      <c r="AY160" s="43"/>
      <c r="BB160">
        <v>64</v>
      </c>
      <c r="BC160">
        <v>67</v>
      </c>
      <c r="BD160" s="47">
        <v>-3</v>
      </c>
      <c r="BE160" s="43"/>
      <c r="BF160" s="42"/>
      <c r="BH160">
        <v>16</v>
      </c>
      <c r="BI160">
        <v>21</v>
      </c>
      <c r="BJ160" s="47">
        <v>-5</v>
      </c>
      <c r="BK160" s="43"/>
      <c r="BL160" s="42"/>
      <c r="BP160" s="47">
        <v>0</v>
      </c>
      <c r="BQ160" s="43"/>
      <c r="BV160" s="47">
        <v>0</v>
      </c>
      <c r="BW160" s="43"/>
      <c r="BX160" s="40">
        <v>16</v>
      </c>
      <c r="BY160" s="47">
        <v>16</v>
      </c>
      <c r="CB160" s="47">
        <v>0</v>
      </c>
      <c r="CC160" s="43"/>
      <c r="CF160">
        <v>64</v>
      </c>
      <c r="CH160" s="47">
        <v>64</v>
      </c>
      <c r="CI160" s="43"/>
      <c r="CN160" s="47">
        <v>0</v>
      </c>
      <c r="CO160" s="43"/>
      <c r="CP160" s="42"/>
      <c r="CT160" s="47">
        <v>0</v>
      </c>
      <c r="CU160" s="43"/>
      <c r="CV160" s="42"/>
      <c r="CZ160" s="47">
        <v>0</v>
      </c>
      <c r="DA160" s="43"/>
      <c r="DH160" s="43"/>
      <c r="DL160" s="43"/>
      <c r="DM160" s="42"/>
      <c r="DR160" s="43"/>
      <c r="DX160" s="43"/>
      <c r="ED160" s="43"/>
      <c r="EE160" s="42"/>
      <c r="EJ160" s="43"/>
      <c r="EP160" s="43"/>
      <c r="EQ160" s="42"/>
      <c r="EV160" s="43"/>
      <c r="EW160" s="42"/>
      <c r="FD160" s="43"/>
      <c r="FE160" s="42"/>
      <c r="FJ160" s="43"/>
      <c r="FR160" s="43"/>
      <c r="FS160" s="42"/>
      <c r="FX160" s="43"/>
      <c r="FY160" s="42"/>
      <c r="GD160" s="43"/>
      <c r="GE160" s="42"/>
      <c r="GJ160" s="43"/>
      <c r="GR160" s="43"/>
      <c r="GY160" s="43"/>
      <c r="GZ160" s="42"/>
      <c r="HD160" s="43"/>
      <c r="HE160" s="42"/>
      <c r="HI160" s="43"/>
      <c r="HO160" s="43"/>
      <c r="HP160" s="42"/>
      <c r="HV160" s="43"/>
      <c r="IB160" s="43"/>
      <c r="IC160" s="42"/>
      <c r="IH160" s="43"/>
      <c r="IN160" s="43"/>
      <c r="IO160" s="42"/>
      <c r="IR160" s="43"/>
      <c r="IS160" s="42"/>
      <c r="IX160" s="43"/>
      <c r="IY160" s="42"/>
      <c r="JB160" s="43"/>
      <c r="JC160" s="42"/>
      <c r="JH160" s="43"/>
      <c r="JP160" s="43"/>
      <c r="JQ160" s="42"/>
      <c r="JV160" s="43"/>
      <c r="KB160" s="45"/>
      <c r="KH160" s="45"/>
      <c r="KN160" s="45"/>
      <c r="KT160" s="43"/>
      <c r="KX160" s="45"/>
      <c r="LD160" s="43"/>
      <c r="LE160" s="40"/>
      <c r="LF160" s="44"/>
      <c r="LH160" s="45"/>
      <c r="LN160" s="45"/>
      <c r="LT160" s="45"/>
      <c r="LZ160" s="45"/>
      <c r="MB160" s="41"/>
      <c r="MD160" s="44"/>
      <c r="MF160" s="45"/>
      <c r="MG160" s="46"/>
      <c r="MN160" s="45"/>
      <c r="MT160" s="45"/>
      <c r="MZ160" s="45"/>
      <c r="NA160" s="46"/>
      <c r="ND160" s="45"/>
      <c r="NE160" s="46"/>
      <c r="NK160" s="45"/>
      <c r="NL160" s="46"/>
      <c r="NQ160" s="45"/>
      <c r="NR160" s="46"/>
      <c r="NU160" s="45"/>
      <c r="NV160" s="46"/>
      <c r="OA160" s="45"/>
      <c r="OB160" s="46"/>
      <c r="OE160" s="45"/>
      <c r="OF160" s="46"/>
      <c r="OK160" s="45"/>
      <c r="OM160" s="43"/>
      <c r="OQ160" s="45"/>
      <c r="OR160" s="46"/>
      <c r="OW160" s="45"/>
      <c r="OX160" s="46"/>
      <c r="PC160" s="45"/>
      <c r="PD160" s="46"/>
      <c r="PI160" s="45"/>
      <c r="PJ160" s="46"/>
      <c r="PO160" s="45"/>
      <c r="PP160" s="46"/>
      <c r="PU160" s="45"/>
      <c r="PV160" s="46"/>
      <c r="PY160" s="45"/>
      <c r="PZ160" s="46"/>
      <c r="QC160" s="45"/>
      <c r="QD160" s="46"/>
      <c r="QI160" s="45"/>
      <c r="QJ160" s="46"/>
      <c r="QM160" s="45"/>
      <c r="QN160" s="46"/>
      <c r="QS160" s="45"/>
      <c r="QT160" s="46"/>
      <c r="QW160" s="45"/>
      <c r="QX160" s="46"/>
      <c r="RC160" s="45"/>
      <c r="RD160" s="42"/>
      <c r="RE160" s="44"/>
      <c r="RG160" s="44"/>
      <c r="RI160" s="45"/>
      <c r="RJ160" s="42"/>
      <c r="RO160" s="43"/>
      <c r="RP160" s="42"/>
      <c r="RS160" s="43"/>
      <c r="RT160" s="42"/>
      <c r="RY160" s="43"/>
      <c r="RZ160" s="42"/>
      <c r="SE160" s="43"/>
      <c r="SF160" s="42"/>
      <c r="SK160" s="43"/>
      <c r="SL160" s="42"/>
      <c r="SO160" s="43"/>
      <c r="SP160" s="42"/>
      <c r="SU160" s="43"/>
    </row>
    <row r="161" spans="1:515" x14ac:dyDescent="0.25">
      <c r="A161" s="47" t="s">
        <v>468</v>
      </c>
      <c r="B161" s="41">
        <v>1</v>
      </c>
      <c r="J161" s="42"/>
      <c r="K161" s="51"/>
      <c r="L161" s="51"/>
      <c r="M161" s="51"/>
      <c r="N161" s="51">
        <f t="shared" si="15"/>
        <v>0</v>
      </c>
      <c r="O161" s="43"/>
      <c r="P161" s="40">
        <v>55</v>
      </c>
      <c r="Q161" s="52">
        <v>54</v>
      </c>
      <c r="R161" s="52">
        <v>47</v>
      </c>
      <c r="S161" s="52">
        <v>47</v>
      </c>
      <c r="T161" s="51">
        <f t="shared" si="16"/>
        <v>1</v>
      </c>
      <c r="U161" s="43"/>
      <c r="V161" s="42"/>
      <c r="W161" s="51"/>
      <c r="X161" s="51"/>
      <c r="Y161" s="51"/>
      <c r="Z161" s="51">
        <f t="shared" si="17"/>
        <v>0</v>
      </c>
      <c r="AA161" s="43"/>
      <c r="AB161" s="42"/>
      <c r="AC161" s="51"/>
      <c r="AD161" s="52">
        <v>50</v>
      </c>
      <c r="AE161" s="56">
        <v>49</v>
      </c>
      <c r="AF161" s="51">
        <v>1</v>
      </c>
      <c r="AG161" s="43"/>
      <c r="AH161" s="51"/>
      <c r="AJ161">
        <v>12</v>
      </c>
      <c r="AK161">
        <v>13</v>
      </c>
      <c r="AL161" s="47">
        <v>-1</v>
      </c>
      <c r="AM161" s="43"/>
      <c r="AN161" s="42"/>
      <c r="AR161" s="47">
        <v>0</v>
      </c>
      <c r="AS161" s="43"/>
      <c r="AT161">
        <v>24</v>
      </c>
      <c r="AU161">
        <v>25</v>
      </c>
      <c r="AX161" s="47">
        <v>-1</v>
      </c>
      <c r="AY161" s="43"/>
      <c r="BB161">
        <v>28</v>
      </c>
      <c r="BC161">
        <v>27</v>
      </c>
      <c r="BD161" s="47">
        <v>1</v>
      </c>
      <c r="BE161" s="43"/>
      <c r="BF161" s="40">
        <v>28</v>
      </c>
      <c r="BG161">
        <v>25</v>
      </c>
      <c r="BH161">
        <v>34</v>
      </c>
      <c r="BI161">
        <v>31</v>
      </c>
      <c r="BJ161" s="47">
        <v>6</v>
      </c>
      <c r="BK161" s="43"/>
      <c r="BL161" s="42"/>
      <c r="BP161" s="47">
        <v>0</v>
      </c>
      <c r="BQ161" s="43"/>
      <c r="BT161">
        <v>31</v>
      </c>
      <c r="BU161">
        <v>29</v>
      </c>
      <c r="BV161" s="47">
        <v>2</v>
      </c>
      <c r="BW161" s="43"/>
      <c r="BX161" s="40">
        <v>13</v>
      </c>
      <c r="BY161">
        <v>10</v>
      </c>
      <c r="BZ161">
        <v>12</v>
      </c>
      <c r="CA161">
        <v>12</v>
      </c>
      <c r="CB161" s="47">
        <v>3</v>
      </c>
      <c r="CC161" s="43"/>
      <c r="CH161" s="47">
        <v>0</v>
      </c>
      <c r="CI161" s="43"/>
      <c r="CJ161">
        <v>28</v>
      </c>
      <c r="CK161">
        <v>26</v>
      </c>
      <c r="CN161" s="47">
        <v>2</v>
      </c>
      <c r="CO161" s="43"/>
      <c r="CP161" s="42"/>
      <c r="CR161">
        <v>50</v>
      </c>
      <c r="CS161">
        <v>46</v>
      </c>
      <c r="CT161" s="47">
        <v>4</v>
      </c>
      <c r="CU161" s="43"/>
      <c r="CV161" s="42"/>
      <c r="CZ161" s="47">
        <v>0</v>
      </c>
      <c r="DA161" s="43"/>
      <c r="DE161">
        <v>35</v>
      </c>
      <c r="DF161">
        <v>31</v>
      </c>
      <c r="DG161" s="47">
        <v>4</v>
      </c>
      <c r="DH161" s="43"/>
      <c r="DK161" s="47">
        <v>0</v>
      </c>
      <c r="DL161" s="43"/>
      <c r="DM161" s="40">
        <v>60</v>
      </c>
      <c r="DN161">
        <v>55</v>
      </c>
      <c r="DO161">
        <v>15</v>
      </c>
      <c r="DP161">
        <v>14</v>
      </c>
      <c r="DQ161" s="47">
        <v>6</v>
      </c>
      <c r="DR161" s="43"/>
      <c r="DU161">
        <v>6</v>
      </c>
      <c r="DV161">
        <v>6</v>
      </c>
      <c r="DW161" s="47">
        <v>0</v>
      </c>
      <c r="DX161" s="43"/>
      <c r="EC161" s="47">
        <v>0</v>
      </c>
      <c r="ED161" s="43"/>
      <c r="EE161" s="42"/>
      <c r="EG161">
        <v>22</v>
      </c>
      <c r="EH161">
        <v>20</v>
      </c>
      <c r="EI161" s="47">
        <v>2</v>
      </c>
      <c r="EJ161" s="43"/>
      <c r="EM161">
        <v>102</v>
      </c>
      <c r="EN161">
        <v>99</v>
      </c>
      <c r="EO161" s="47">
        <v>3</v>
      </c>
      <c r="EP161" s="43"/>
      <c r="EQ161" s="42"/>
      <c r="ES161">
        <v>15</v>
      </c>
      <c r="ET161">
        <v>18</v>
      </c>
      <c r="EU161" s="47">
        <v>-3</v>
      </c>
      <c r="EV161" s="43"/>
      <c r="EW161" s="42"/>
      <c r="FA161">
        <v>13</v>
      </c>
      <c r="FB161">
        <v>12</v>
      </c>
      <c r="FC161" s="47">
        <v>1</v>
      </c>
      <c r="FD161" s="43"/>
      <c r="FE161" s="42"/>
      <c r="FI161" s="47">
        <v>0</v>
      </c>
      <c r="FJ161" s="43"/>
      <c r="FM161">
        <v>116</v>
      </c>
      <c r="FN161">
        <v>110</v>
      </c>
      <c r="FQ161" s="47">
        <v>6</v>
      </c>
      <c r="FR161" s="43"/>
      <c r="FS161" s="42"/>
      <c r="FU161">
        <v>44</v>
      </c>
      <c r="FV161">
        <v>40</v>
      </c>
      <c r="FW161" s="47">
        <v>4</v>
      </c>
      <c r="FX161" s="43"/>
      <c r="FY161" s="42"/>
      <c r="GA161">
        <v>22</v>
      </c>
      <c r="GB161">
        <v>21</v>
      </c>
      <c r="GC161" s="47">
        <v>1</v>
      </c>
      <c r="GD161" s="43"/>
      <c r="GE161" s="42"/>
      <c r="GG161">
        <v>25</v>
      </c>
      <c r="GH161">
        <v>24</v>
      </c>
      <c r="GI161" s="47">
        <v>1</v>
      </c>
      <c r="GJ161" s="43"/>
      <c r="GM161">
        <v>31</v>
      </c>
      <c r="GN161">
        <v>30</v>
      </c>
      <c r="GO161">
        <v>52</v>
      </c>
      <c r="GP161">
        <v>51</v>
      </c>
      <c r="GQ161" s="47">
        <v>2</v>
      </c>
      <c r="GR161" s="43"/>
      <c r="GX161" s="47">
        <v>0</v>
      </c>
      <c r="GY161" s="43"/>
      <c r="GZ161" s="40">
        <v>31</v>
      </c>
      <c r="HB161" s="44">
        <v>28.4756</v>
      </c>
      <c r="HC161" s="47">
        <v>2.5244</v>
      </c>
      <c r="HD161" s="43"/>
      <c r="HE161" s="40">
        <v>68</v>
      </c>
      <c r="HG161">
        <v>65</v>
      </c>
      <c r="HH161" s="47">
        <v>3</v>
      </c>
      <c r="HI161" s="43"/>
      <c r="HJ161">
        <v>19</v>
      </c>
      <c r="HM161">
        <v>18</v>
      </c>
      <c r="HN161" s="47">
        <v>1</v>
      </c>
      <c r="HO161" s="43"/>
      <c r="HP161" s="42"/>
      <c r="HU161" s="47">
        <v>0</v>
      </c>
      <c r="HV161" s="43"/>
      <c r="IA161" s="47">
        <v>0</v>
      </c>
      <c r="IB161" s="43"/>
      <c r="IC161" s="42"/>
      <c r="IE161">
        <v>83</v>
      </c>
      <c r="IF161">
        <v>80</v>
      </c>
      <c r="IG161" s="47">
        <v>3</v>
      </c>
      <c r="IH161" s="43"/>
      <c r="IK161">
        <v>74</v>
      </c>
      <c r="IL161">
        <v>70</v>
      </c>
      <c r="IM161" s="47">
        <v>4</v>
      </c>
      <c r="IN161" s="43"/>
      <c r="IO161" s="42"/>
      <c r="IQ161" s="47">
        <v>0</v>
      </c>
      <c r="IR161" s="43"/>
      <c r="IS161" s="42"/>
      <c r="IU161">
        <v>43</v>
      </c>
      <c r="IV161">
        <v>42</v>
      </c>
      <c r="IW161" s="47">
        <v>1</v>
      </c>
      <c r="IX161" s="43"/>
      <c r="IY161" s="42"/>
      <c r="JA161" s="47">
        <v>0</v>
      </c>
      <c r="JB161" s="43"/>
      <c r="JC161" s="40">
        <v>25</v>
      </c>
      <c r="JD161">
        <v>22</v>
      </c>
      <c r="JG161" s="47">
        <v>3</v>
      </c>
      <c r="JH161" s="43"/>
      <c r="JM161">
        <v>71</v>
      </c>
      <c r="JN161">
        <v>65</v>
      </c>
      <c r="JO161" s="47">
        <v>6</v>
      </c>
      <c r="JP161" s="43"/>
      <c r="JQ161" s="42"/>
      <c r="JS161">
        <v>55</v>
      </c>
      <c r="JT161">
        <v>50</v>
      </c>
      <c r="JU161" s="47">
        <v>5</v>
      </c>
      <c r="JV161" s="43"/>
      <c r="JY161">
        <v>77</v>
      </c>
      <c r="JZ161">
        <v>70</v>
      </c>
      <c r="KA161" s="47">
        <v>7</v>
      </c>
      <c r="KB161" s="45"/>
      <c r="KE161" s="44">
        <v>97</v>
      </c>
      <c r="KF161" s="44">
        <v>90</v>
      </c>
      <c r="KG161" s="47">
        <v>7</v>
      </c>
      <c r="KH161" s="45"/>
      <c r="KM161" s="47">
        <v>0</v>
      </c>
      <c r="KN161" s="43"/>
      <c r="KT161" s="43"/>
      <c r="KX161" s="45"/>
      <c r="LD161" s="43"/>
      <c r="LE161" s="40"/>
      <c r="LH161" s="45"/>
      <c r="LN161" s="45"/>
      <c r="LT161" s="45"/>
      <c r="LZ161" s="45"/>
      <c r="MB161" s="41"/>
      <c r="MF161" s="45"/>
      <c r="MG161" s="46"/>
      <c r="MN161" s="45"/>
      <c r="MT161" s="45"/>
      <c r="MZ161" s="45"/>
      <c r="NA161" s="46"/>
      <c r="ND161" s="45"/>
      <c r="NE161" s="46"/>
      <c r="NK161" s="45"/>
      <c r="NL161" s="46"/>
      <c r="NQ161" s="45"/>
      <c r="NR161" s="46"/>
      <c r="NU161" s="45"/>
      <c r="NV161" s="46"/>
      <c r="OA161" s="45"/>
      <c r="OB161" s="46"/>
      <c r="OE161" s="45"/>
      <c r="OF161" s="46"/>
      <c r="OK161" s="45"/>
      <c r="OM161" s="43"/>
      <c r="OQ161" s="45"/>
      <c r="OR161" s="46"/>
      <c r="OW161" s="45"/>
      <c r="OX161" s="46"/>
      <c r="PC161" s="45"/>
      <c r="PD161" s="46"/>
      <c r="PI161" s="45"/>
      <c r="PJ161" s="46"/>
      <c r="PO161" s="45"/>
      <c r="PP161" s="46"/>
      <c r="PS161" s="44"/>
      <c r="PU161" s="45"/>
      <c r="PV161" s="46"/>
      <c r="PY161" s="45"/>
      <c r="PZ161" s="46"/>
      <c r="QC161" s="45"/>
      <c r="QD161" s="46"/>
      <c r="QI161" s="45"/>
      <c r="QJ161" s="46"/>
      <c r="QM161" s="45"/>
      <c r="QN161" s="46"/>
      <c r="QS161" s="45"/>
      <c r="QT161" s="46"/>
      <c r="QW161" s="45"/>
      <c r="QX161" s="46"/>
      <c r="RC161" s="45"/>
      <c r="RD161" s="42"/>
      <c r="RE161" s="44"/>
      <c r="RG161" s="44"/>
      <c r="RI161" s="45"/>
      <c r="RJ161" s="42"/>
      <c r="RO161" s="43"/>
      <c r="RP161" s="42"/>
      <c r="RS161" s="43"/>
      <c r="RT161" s="42"/>
      <c r="RY161" s="43"/>
      <c r="RZ161" s="42"/>
      <c r="SE161" s="43"/>
      <c r="SF161" s="42"/>
      <c r="SK161" s="43"/>
      <c r="SL161" s="42"/>
      <c r="SO161" s="43"/>
      <c r="SP161" s="42"/>
      <c r="SU161" s="43"/>
    </row>
    <row r="162" spans="1:515" x14ac:dyDescent="0.25">
      <c r="A162" s="47" t="s">
        <v>469</v>
      </c>
      <c r="B162" s="41">
        <v>0.41</v>
      </c>
      <c r="J162" s="40">
        <v>1100</v>
      </c>
      <c r="K162" s="52">
        <v>1102</v>
      </c>
      <c r="L162" s="52">
        <v>890</v>
      </c>
      <c r="M162" s="52">
        <v>898</v>
      </c>
      <c r="N162" s="51">
        <f t="shared" si="15"/>
        <v>-10</v>
      </c>
      <c r="O162" s="43"/>
      <c r="P162" s="40">
        <v>130</v>
      </c>
      <c r="Q162" s="52">
        <v>133</v>
      </c>
      <c r="R162" s="52">
        <v>110</v>
      </c>
      <c r="S162" s="52">
        <v>114</v>
      </c>
      <c r="T162" s="51">
        <f t="shared" si="16"/>
        <v>-7</v>
      </c>
      <c r="U162" s="43"/>
      <c r="V162" s="40">
        <v>460</v>
      </c>
      <c r="W162" s="52">
        <v>467</v>
      </c>
      <c r="X162" s="52">
        <v>230</v>
      </c>
      <c r="Y162" s="52">
        <v>233</v>
      </c>
      <c r="Z162" s="51">
        <f t="shared" si="17"/>
        <v>-10</v>
      </c>
      <c r="AA162" s="43"/>
      <c r="AB162" s="42"/>
      <c r="AC162" s="51"/>
      <c r="AD162" s="51"/>
      <c r="AE162" s="51"/>
      <c r="AF162" s="51">
        <v>0</v>
      </c>
      <c r="AG162" s="43"/>
      <c r="AH162" s="51"/>
      <c r="AJ162">
        <v>1000</v>
      </c>
      <c r="AK162">
        <v>1000</v>
      </c>
      <c r="AL162" s="47">
        <v>0</v>
      </c>
      <c r="AM162" s="43"/>
      <c r="AN162" s="42"/>
      <c r="AP162">
        <v>2700</v>
      </c>
      <c r="AQ162">
        <v>2700</v>
      </c>
      <c r="AR162" s="47">
        <v>0</v>
      </c>
      <c r="AS162" s="43"/>
      <c r="AT162">
        <v>550</v>
      </c>
      <c r="AU162">
        <v>550</v>
      </c>
      <c r="AV162">
        <v>540</v>
      </c>
      <c r="AW162">
        <v>544</v>
      </c>
      <c r="AX162" s="47">
        <v>-4</v>
      </c>
      <c r="AY162" s="43"/>
      <c r="AZ162">
        <v>370</v>
      </c>
      <c r="BA162">
        <v>370</v>
      </c>
      <c r="BB162">
        <v>400</v>
      </c>
      <c r="BC162">
        <v>398</v>
      </c>
      <c r="BD162" s="47">
        <v>2</v>
      </c>
      <c r="BE162" s="43"/>
      <c r="BF162" s="40">
        <v>750</v>
      </c>
      <c r="BG162">
        <v>750</v>
      </c>
      <c r="BH162">
        <v>780</v>
      </c>
      <c r="BI162">
        <v>780</v>
      </c>
      <c r="BJ162" s="47">
        <v>0</v>
      </c>
      <c r="BK162" s="43"/>
      <c r="BL162" s="42"/>
      <c r="BP162" s="47">
        <v>0</v>
      </c>
      <c r="BQ162" s="43"/>
      <c r="BR162">
        <v>1000</v>
      </c>
      <c r="BS162">
        <v>1000</v>
      </c>
      <c r="BT162">
        <v>1200</v>
      </c>
      <c r="BU162">
        <v>1200</v>
      </c>
      <c r="BV162" s="47">
        <v>0</v>
      </c>
      <c r="BW162" s="43"/>
      <c r="BX162" s="40">
        <v>130</v>
      </c>
      <c r="BY162">
        <v>130</v>
      </c>
      <c r="BZ162">
        <v>50</v>
      </c>
      <c r="CA162">
        <v>51</v>
      </c>
      <c r="CB162" s="47">
        <v>-1</v>
      </c>
      <c r="CC162" s="43"/>
      <c r="CD162">
        <v>150</v>
      </c>
      <c r="CE162">
        <v>150</v>
      </c>
      <c r="CF162">
        <v>150</v>
      </c>
      <c r="CG162">
        <v>150</v>
      </c>
      <c r="CH162" s="47">
        <v>0</v>
      </c>
      <c r="CI162" s="43"/>
      <c r="CJ162">
        <v>650</v>
      </c>
      <c r="CK162">
        <v>650</v>
      </c>
      <c r="CL162">
        <v>1850</v>
      </c>
      <c r="CM162">
        <v>1850</v>
      </c>
      <c r="CN162" s="47">
        <v>0</v>
      </c>
      <c r="CO162" s="43"/>
      <c r="CP162" s="40">
        <v>250</v>
      </c>
      <c r="CQ162">
        <v>250</v>
      </c>
      <c r="CR162">
        <v>310</v>
      </c>
      <c r="CS162">
        <v>309</v>
      </c>
      <c r="CT162" s="47">
        <v>1</v>
      </c>
      <c r="CU162" s="43"/>
      <c r="CV162" s="40">
        <v>700</v>
      </c>
      <c r="CW162">
        <v>700</v>
      </c>
      <c r="CX162">
        <v>560</v>
      </c>
      <c r="CY162">
        <v>567</v>
      </c>
      <c r="CZ162" s="47">
        <v>-7</v>
      </c>
      <c r="DA162" s="43"/>
      <c r="DB162">
        <v>650</v>
      </c>
      <c r="DC162">
        <v>650</v>
      </c>
      <c r="DE162">
        <v>410</v>
      </c>
      <c r="DF162">
        <v>408</v>
      </c>
      <c r="DG162" s="47">
        <v>2</v>
      </c>
      <c r="DH162" s="43"/>
      <c r="DI162">
        <v>700</v>
      </c>
      <c r="DJ162">
        <v>700</v>
      </c>
      <c r="DK162" s="47">
        <v>0</v>
      </c>
      <c r="DL162" s="43"/>
      <c r="DM162" s="40">
        <v>860</v>
      </c>
      <c r="DN162">
        <v>863</v>
      </c>
      <c r="DQ162" s="47">
        <v>-3</v>
      </c>
      <c r="DR162" s="43"/>
      <c r="DS162">
        <v>640</v>
      </c>
      <c r="DT162">
        <v>640</v>
      </c>
      <c r="DU162">
        <v>710</v>
      </c>
      <c r="DV162">
        <v>713</v>
      </c>
      <c r="DW162" s="47">
        <v>-3</v>
      </c>
      <c r="DX162" s="43"/>
      <c r="EC162" s="47">
        <v>0</v>
      </c>
      <c r="ED162" s="43"/>
      <c r="EE162" s="40">
        <v>680</v>
      </c>
      <c r="EF162">
        <v>690</v>
      </c>
      <c r="EG162">
        <v>1330</v>
      </c>
      <c r="EH162">
        <v>1329</v>
      </c>
      <c r="EI162" s="47">
        <v>-9</v>
      </c>
      <c r="EJ162" s="43"/>
      <c r="EO162" s="47">
        <v>0</v>
      </c>
      <c r="EP162" s="43"/>
      <c r="EQ162" s="40">
        <v>490</v>
      </c>
      <c r="ER162">
        <v>490</v>
      </c>
      <c r="ES162">
        <v>530</v>
      </c>
      <c r="ET162">
        <v>533</v>
      </c>
      <c r="EU162" s="47">
        <v>-3</v>
      </c>
      <c r="EV162" s="43"/>
      <c r="EW162" s="42"/>
      <c r="EY162">
        <v>400</v>
      </c>
      <c r="EZ162">
        <v>400</v>
      </c>
      <c r="FA162">
        <v>350</v>
      </c>
      <c r="FB162">
        <v>350</v>
      </c>
      <c r="FC162" s="47">
        <v>0</v>
      </c>
      <c r="FD162" s="43"/>
      <c r="FE162" s="40">
        <v>700</v>
      </c>
      <c r="FF162">
        <v>700</v>
      </c>
      <c r="FG162">
        <v>730</v>
      </c>
      <c r="FH162">
        <v>730</v>
      </c>
      <c r="FI162" s="47">
        <v>0</v>
      </c>
      <c r="FJ162" s="43"/>
      <c r="FK162">
        <v>300</v>
      </c>
      <c r="FL162">
        <v>300</v>
      </c>
      <c r="FM162">
        <v>480</v>
      </c>
      <c r="FN162">
        <v>480</v>
      </c>
      <c r="FO162">
        <v>600</v>
      </c>
      <c r="FP162">
        <v>600</v>
      </c>
      <c r="FQ162" s="47">
        <v>0</v>
      </c>
      <c r="FR162" s="43"/>
      <c r="FS162" s="40">
        <v>100</v>
      </c>
      <c r="FT162">
        <v>100</v>
      </c>
      <c r="FU162">
        <v>470</v>
      </c>
      <c r="FV162">
        <v>470</v>
      </c>
      <c r="FW162" s="47">
        <v>0</v>
      </c>
      <c r="FX162" s="43"/>
      <c r="FY162" s="40">
        <v>400</v>
      </c>
      <c r="FZ162">
        <v>400</v>
      </c>
      <c r="GA162">
        <v>420</v>
      </c>
      <c r="GB162">
        <v>420</v>
      </c>
      <c r="GC162" s="47">
        <v>0</v>
      </c>
      <c r="GD162" s="43"/>
      <c r="GE162" s="40">
        <v>500</v>
      </c>
      <c r="GF162">
        <v>500</v>
      </c>
      <c r="GG162">
        <v>330</v>
      </c>
      <c r="GH162">
        <v>331</v>
      </c>
      <c r="GI162" s="47">
        <v>-1</v>
      </c>
      <c r="GJ162" s="43"/>
      <c r="GK162">
        <v>200</v>
      </c>
      <c r="GL162">
        <v>200</v>
      </c>
      <c r="GM162">
        <v>260</v>
      </c>
      <c r="GN162">
        <v>260</v>
      </c>
      <c r="GO162">
        <v>420</v>
      </c>
      <c r="GP162">
        <v>420</v>
      </c>
      <c r="GQ162" s="47">
        <v>0</v>
      </c>
      <c r="GR162" s="43"/>
      <c r="GU162">
        <v>1200</v>
      </c>
      <c r="GW162">
        <v>1200</v>
      </c>
      <c r="GX162" s="47">
        <v>0</v>
      </c>
      <c r="GY162" s="43"/>
      <c r="GZ162" s="42"/>
      <c r="HC162" s="47">
        <v>0</v>
      </c>
      <c r="HD162" s="43"/>
      <c r="HE162" s="40">
        <v>1400</v>
      </c>
      <c r="HG162">
        <v>1398</v>
      </c>
      <c r="HH162" s="47">
        <v>2</v>
      </c>
      <c r="HI162" s="43"/>
      <c r="HN162" s="47">
        <v>0</v>
      </c>
      <c r="HO162" s="43"/>
      <c r="HP162" s="40">
        <v>330</v>
      </c>
      <c r="HR162">
        <v>330</v>
      </c>
      <c r="HS162">
        <v>370</v>
      </c>
      <c r="HT162">
        <v>370</v>
      </c>
      <c r="HU162" s="47">
        <v>0</v>
      </c>
      <c r="HV162" s="43"/>
      <c r="HY162">
        <v>230</v>
      </c>
      <c r="HZ162">
        <v>230</v>
      </c>
      <c r="IA162" s="47">
        <v>0</v>
      </c>
      <c r="IB162" s="43"/>
      <c r="IC162" s="40">
        <v>600</v>
      </c>
      <c r="ID162">
        <v>600</v>
      </c>
      <c r="IE162">
        <v>600</v>
      </c>
      <c r="IF162">
        <v>600</v>
      </c>
      <c r="IG162" s="47">
        <v>0</v>
      </c>
      <c r="IH162" s="43"/>
      <c r="II162">
        <v>400</v>
      </c>
      <c r="IJ162">
        <v>400</v>
      </c>
      <c r="IK162">
        <v>450</v>
      </c>
      <c r="IL162">
        <v>450</v>
      </c>
      <c r="IM162" s="47">
        <v>0</v>
      </c>
      <c r="IN162" s="43"/>
      <c r="IO162" s="42"/>
      <c r="IQ162" s="47">
        <v>0</v>
      </c>
      <c r="IR162" s="43"/>
      <c r="IS162" s="40">
        <v>600</v>
      </c>
      <c r="IT162">
        <v>600</v>
      </c>
      <c r="IU162">
        <v>600</v>
      </c>
      <c r="IV162">
        <v>600</v>
      </c>
      <c r="IW162" s="47">
        <v>0</v>
      </c>
      <c r="IX162" s="43"/>
      <c r="IY162" s="42"/>
      <c r="JA162" s="47">
        <v>0</v>
      </c>
      <c r="JB162" s="43"/>
      <c r="JC162" s="40">
        <v>500</v>
      </c>
      <c r="JD162">
        <v>500</v>
      </c>
      <c r="JE162">
        <v>490</v>
      </c>
      <c r="JF162">
        <v>490</v>
      </c>
      <c r="JG162" s="47">
        <v>0</v>
      </c>
      <c r="JH162" s="43"/>
      <c r="JI162">
        <v>400</v>
      </c>
      <c r="JJ162">
        <v>400</v>
      </c>
      <c r="JK162">
        <v>500</v>
      </c>
      <c r="JL162">
        <v>500</v>
      </c>
      <c r="JO162" s="47">
        <v>0</v>
      </c>
      <c r="JP162" s="43"/>
      <c r="JQ162" s="40">
        <v>150</v>
      </c>
      <c r="JR162">
        <v>150</v>
      </c>
      <c r="JS162">
        <v>200</v>
      </c>
      <c r="JT162">
        <v>200</v>
      </c>
      <c r="JU162" s="47">
        <v>0</v>
      </c>
      <c r="JV162" s="43"/>
      <c r="JW162">
        <v>300</v>
      </c>
      <c r="JX162">
        <v>300</v>
      </c>
      <c r="JY162">
        <v>400</v>
      </c>
      <c r="JZ162">
        <v>400</v>
      </c>
      <c r="KA162" s="47">
        <v>0</v>
      </c>
      <c r="KB162" s="45"/>
      <c r="KC162">
        <v>300</v>
      </c>
      <c r="KD162" s="44">
        <v>300</v>
      </c>
      <c r="KE162" s="44">
        <v>300</v>
      </c>
      <c r="KF162" s="44">
        <v>300</v>
      </c>
      <c r="KG162" s="47">
        <v>0</v>
      </c>
      <c r="KH162" s="45"/>
      <c r="KM162" s="47">
        <v>0</v>
      </c>
      <c r="KN162" s="43"/>
      <c r="KT162" s="43"/>
      <c r="KX162" s="45"/>
      <c r="LD162" s="43"/>
      <c r="LE162" s="40"/>
      <c r="LH162" s="45"/>
      <c r="LN162" s="45"/>
      <c r="LT162" s="45"/>
      <c r="LZ162" s="45"/>
      <c r="MB162" s="41"/>
      <c r="MF162" s="45"/>
      <c r="MG162" s="46"/>
      <c r="MN162" s="45"/>
      <c r="MT162" s="45"/>
      <c r="MZ162" s="45"/>
      <c r="NA162" s="46"/>
      <c r="ND162" s="45"/>
      <c r="NE162" s="46"/>
      <c r="NK162" s="45"/>
      <c r="NL162" s="46"/>
      <c r="NQ162" s="45"/>
      <c r="NR162" s="46"/>
      <c r="NU162" s="45"/>
      <c r="NV162" s="46"/>
      <c r="OA162" s="45"/>
      <c r="OB162" s="46"/>
      <c r="OE162" s="45"/>
      <c r="OF162" s="46"/>
      <c r="OK162" s="45"/>
      <c r="OM162" s="43"/>
      <c r="OQ162" s="45"/>
      <c r="OR162" s="46"/>
      <c r="OW162" s="45"/>
      <c r="OX162" s="46"/>
      <c r="PC162" s="45"/>
      <c r="PD162" s="46"/>
      <c r="PI162" s="45"/>
      <c r="PJ162" s="46"/>
      <c r="PO162" s="45"/>
      <c r="PP162" s="46"/>
      <c r="PS162" s="44"/>
      <c r="PU162" s="45"/>
      <c r="PV162" s="46"/>
      <c r="PY162" s="45"/>
      <c r="PZ162" s="46"/>
      <c r="QC162" s="45"/>
      <c r="QD162" s="46"/>
      <c r="QI162" s="45"/>
      <c r="QJ162" s="46"/>
      <c r="QM162" s="45"/>
      <c r="QN162" s="46"/>
      <c r="QS162" s="45"/>
      <c r="QT162" s="46"/>
      <c r="QW162" s="45"/>
      <c r="QX162" s="46"/>
      <c r="RC162" s="45"/>
      <c r="RD162" s="42"/>
      <c r="RE162" s="44"/>
      <c r="RG162" s="44"/>
      <c r="RI162" s="45"/>
      <c r="RJ162" s="42"/>
      <c r="RO162" s="43"/>
      <c r="RP162" s="42"/>
      <c r="RS162" s="43"/>
      <c r="RT162" s="42"/>
      <c r="RY162" s="43"/>
      <c r="RZ162" s="42"/>
      <c r="SE162" s="43"/>
      <c r="SF162" s="42"/>
      <c r="SK162" s="43"/>
      <c r="SL162" s="42"/>
      <c r="SO162" s="43"/>
      <c r="SP162" s="42"/>
      <c r="SU162" s="43"/>
    </row>
    <row r="163" spans="1:515" x14ac:dyDescent="0.25">
      <c r="A163" s="47" t="s">
        <v>470</v>
      </c>
      <c r="B163" s="41">
        <v>1</v>
      </c>
      <c r="E163">
        <v>150</v>
      </c>
      <c r="J163" s="40">
        <v>218</v>
      </c>
      <c r="K163" s="52">
        <v>212</v>
      </c>
      <c r="L163" s="52">
        <v>173</v>
      </c>
      <c r="M163" s="52">
        <v>173</v>
      </c>
      <c r="N163" s="51">
        <f t="shared" si="15"/>
        <v>6</v>
      </c>
      <c r="O163" s="43"/>
      <c r="P163" s="40">
        <v>373</v>
      </c>
      <c r="Q163" s="52">
        <v>364</v>
      </c>
      <c r="R163" s="52">
        <v>322</v>
      </c>
      <c r="S163" s="52">
        <v>312</v>
      </c>
      <c r="T163" s="51">
        <f t="shared" si="16"/>
        <v>19</v>
      </c>
      <c r="U163" s="43"/>
      <c r="V163" s="42"/>
      <c r="W163" s="51"/>
      <c r="X163" s="51"/>
      <c r="Y163" s="51"/>
      <c r="Z163" s="51">
        <f t="shared" si="17"/>
        <v>0</v>
      </c>
      <c r="AA163" s="43"/>
      <c r="AB163" s="40">
        <v>162</v>
      </c>
      <c r="AC163" s="56">
        <v>156.08695652173921</v>
      </c>
      <c r="AD163" s="52">
        <v>204</v>
      </c>
      <c r="AE163" s="56">
        <v>202.91304347826079</v>
      </c>
      <c r="AF163" s="51">
        <v>7</v>
      </c>
      <c r="AG163" s="43"/>
      <c r="AH163" s="52">
        <v>264</v>
      </c>
      <c r="AI163">
        <v>254</v>
      </c>
      <c r="AJ163">
        <v>211</v>
      </c>
      <c r="AK163">
        <v>204</v>
      </c>
      <c r="AL163" s="47">
        <v>17</v>
      </c>
      <c r="AM163" s="43"/>
      <c r="AN163" s="40">
        <v>227</v>
      </c>
      <c r="AO163">
        <v>221</v>
      </c>
      <c r="AR163" s="47">
        <v>6</v>
      </c>
      <c r="AS163" s="43"/>
      <c r="AT163">
        <v>359</v>
      </c>
      <c r="AU163">
        <v>350</v>
      </c>
      <c r="AV163">
        <v>244</v>
      </c>
      <c r="AW163">
        <v>245</v>
      </c>
      <c r="AX163" s="47">
        <v>8</v>
      </c>
      <c r="AY163" s="43"/>
      <c r="AZ163">
        <v>173</v>
      </c>
      <c r="BA163">
        <v>170</v>
      </c>
      <c r="BB163">
        <v>181</v>
      </c>
      <c r="BC163">
        <v>177</v>
      </c>
      <c r="BD163" s="47">
        <v>7</v>
      </c>
      <c r="BE163" s="43"/>
      <c r="BF163" s="40">
        <v>122</v>
      </c>
      <c r="BG163">
        <v>120</v>
      </c>
      <c r="BH163">
        <v>147</v>
      </c>
      <c r="BI163">
        <v>147</v>
      </c>
      <c r="BJ163" s="47">
        <v>2</v>
      </c>
      <c r="BK163" s="43"/>
      <c r="BL163" s="40">
        <v>204</v>
      </c>
      <c r="BM163">
        <v>200</v>
      </c>
      <c r="BN163">
        <v>188</v>
      </c>
      <c r="BO163">
        <v>179</v>
      </c>
      <c r="BP163" s="47">
        <v>13</v>
      </c>
      <c r="BQ163" s="43"/>
      <c r="BV163" s="47">
        <v>0</v>
      </c>
      <c r="BW163" s="43"/>
      <c r="BX163" s="40">
        <v>258</v>
      </c>
      <c r="BY163">
        <v>250</v>
      </c>
      <c r="BZ163">
        <v>291</v>
      </c>
      <c r="CA163">
        <v>282</v>
      </c>
      <c r="CB163" s="47">
        <v>17</v>
      </c>
      <c r="CC163" s="43"/>
      <c r="CD163">
        <v>80</v>
      </c>
      <c r="CE163">
        <v>80</v>
      </c>
      <c r="CH163" s="47">
        <v>0</v>
      </c>
      <c r="CI163" s="43"/>
      <c r="CJ163">
        <v>295</v>
      </c>
      <c r="CK163">
        <v>290</v>
      </c>
      <c r="CL163">
        <v>315</v>
      </c>
      <c r="CM163">
        <v>304</v>
      </c>
      <c r="CN163" s="47">
        <v>16</v>
      </c>
      <c r="CO163" s="43"/>
      <c r="CP163" s="42"/>
      <c r="CT163" s="47">
        <v>0</v>
      </c>
      <c r="CU163" s="43"/>
      <c r="CV163" s="42"/>
      <c r="CW163">
        <v>400</v>
      </c>
      <c r="CX163">
        <v>393</v>
      </c>
      <c r="CY163">
        <v>384</v>
      </c>
      <c r="CZ163" s="50">
        <v>-391</v>
      </c>
      <c r="DA163" s="43">
        <v>391</v>
      </c>
      <c r="DB163">
        <v>106</v>
      </c>
      <c r="DC163">
        <v>100</v>
      </c>
      <c r="DE163">
        <v>19</v>
      </c>
      <c r="DF163">
        <v>21</v>
      </c>
      <c r="DG163" s="47">
        <v>4</v>
      </c>
      <c r="DH163" s="43"/>
      <c r="DI163">
        <v>209</v>
      </c>
      <c r="DJ163">
        <v>200</v>
      </c>
      <c r="DK163" s="47">
        <v>9</v>
      </c>
      <c r="DL163" s="43"/>
      <c r="DM163" s="40">
        <v>373</v>
      </c>
      <c r="DN163">
        <v>358</v>
      </c>
      <c r="DO163">
        <v>361</v>
      </c>
      <c r="DP163">
        <v>350</v>
      </c>
      <c r="DQ163" s="47">
        <v>26</v>
      </c>
      <c r="DR163" s="43"/>
      <c r="DS163">
        <v>75</v>
      </c>
      <c r="DT163">
        <v>70</v>
      </c>
      <c r="DU163">
        <v>105</v>
      </c>
      <c r="DV163">
        <v>102</v>
      </c>
      <c r="DW163" s="47">
        <v>8</v>
      </c>
      <c r="DX163" s="43"/>
      <c r="DY163">
        <v>206</v>
      </c>
      <c r="DZ163">
        <v>200</v>
      </c>
      <c r="EA163">
        <v>346</v>
      </c>
      <c r="EB163">
        <v>338</v>
      </c>
      <c r="EC163" s="47">
        <v>14</v>
      </c>
      <c r="ED163" s="43"/>
      <c r="EE163" s="42"/>
      <c r="EG163">
        <v>169</v>
      </c>
      <c r="EH163">
        <v>162</v>
      </c>
      <c r="EI163" s="47">
        <v>7</v>
      </c>
      <c r="EJ163" s="43"/>
      <c r="EK163">
        <v>107</v>
      </c>
      <c r="EL163">
        <v>100</v>
      </c>
      <c r="EM163">
        <v>99</v>
      </c>
      <c r="EN163">
        <v>99</v>
      </c>
      <c r="EO163" s="47">
        <v>7</v>
      </c>
      <c r="EP163" s="43"/>
      <c r="EQ163" s="40">
        <v>175</v>
      </c>
      <c r="ER163">
        <v>170</v>
      </c>
      <c r="ES163">
        <v>131</v>
      </c>
      <c r="ET163">
        <v>129</v>
      </c>
      <c r="EU163" s="47">
        <v>7</v>
      </c>
      <c r="EV163" s="43"/>
      <c r="EW163" s="42"/>
      <c r="EY163">
        <v>258</v>
      </c>
      <c r="EZ163">
        <v>250</v>
      </c>
      <c r="FA163">
        <v>179</v>
      </c>
      <c r="FB163">
        <v>176</v>
      </c>
      <c r="FC163" s="47">
        <v>11</v>
      </c>
      <c r="FD163" s="43"/>
      <c r="FE163" s="42"/>
      <c r="FG163">
        <v>321</v>
      </c>
      <c r="FH163">
        <v>310</v>
      </c>
      <c r="FI163" s="47">
        <v>11</v>
      </c>
      <c r="FJ163" s="43"/>
      <c r="FM163">
        <v>237</v>
      </c>
      <c r="FN163">
        <v>230</v>
      </c>
      <c r="FO163">
        <v>209</v>
      </c>
      <c r="FP163">
        <v>200</v>
      </c>
      <c r="FQ163" s="47">
        <v>16</v>
      </c>
      <c r="FR163" s="43"/>
      <c r="FS163" s="42"/>
      <c r="FU163">
        <v>122</v>
      </c>
      <c r="FV163">
        <v>120</v>
      </c>
      <c r="FW163" s="47">
        <v>2</v>
      </c>
      <c r="FX163" s="43"/>
      <c r="FY163" s="40">
        <v>203</v>
      </c>
      <c r="FZ163">
        <v>200</v>
      </c>
      <c r="GA163">
        <v>267</v>
      </c>
      <c r="GB163">
        <v>260</v>
      </c>
      <c r="GC163" s="47">
        <v>10</v>
      </c>
      <c r="GD163" s="43"/>
      <c r="GE163" s="40">
        <v>299</v>
      </c>
      <c r="GF163">
        <v>290</v>
      </c>
      <c r="GG163">
        <v>302</v>
      </c>
      <c r="GH163">
        <v>290</v>
      </c>
      <c r="GI163" s="47">
        <v>21</v>
      </c>
      <c r="GJ163" s="43"/>
      <c r="GO163">
        <v>50</v>
      </c>
      <c r="GP163">
        <v>50</v>
      </c>
      <c r="GQ163" s="47">
        <v>0</v>
      </c>
      <c r="GR163" s="43"/>
      <c r="GS163">
        <v>413</v>
      </c>
      <c r="GT163">
        <v>400</v>
      </c>
      <c r="GU163">
        <v>388</v>
      </c>
      <c r="GW163">
        <v>380</v>
      </c>
      <c r="GX163" s="47">
        <v>21</v>
      </c>
      <c r="GY163" s="43"/>
      <c r="GZ163" s="40">
        <v>213</v>
      </c>
      <c r="HB163" s="44">
        <v>210.85460000000009</v>
      </c>
      <c r="HC163" s="47">
        <v>2.1453999999999098</v>
      </c>
      <c r="HD163" s="43"/>
      <c r="HE163" s="40">
        <v>49</v>
      </c>
      <c r="HG163">
        <v>48</v>
      </c>
      <c r="HH163" s="47">
        <v>1</v>
      </c>
      <c r="HI163" s="43"/>
      <c r="HN163" s="47">
        <v>0</v>
      </c>
      <c r="HO163" s="43"/>
      <c r="HP163" s="40">
        <v>106</v>
      </c>
      <c r="HR163">
        <v>100</v>
      </c>
      <c r="HS163">
        <v>137</v>
      </c>
      <c r="HT163">
        <v>130</v>
      </c>
      <c r="HU163" s="47">
        <v>13</v>
      </c>
      <c r="HV163" s="43"/>
      <c r="HW163">
        <v>264</v>
      </c>
      <c r="HX163">
        <v>250</v>
      </c>
      <c r="HY163">
        <v>262</v>
      </c>
      <c r="HZ163">
        <v>260</v>
      </c>
      <c r="IA163" s="47">
        <v>16</v>
      </c>
      <c r="IB163" s="43"/>
      <c r="IC163" s="42"/>
      <c r="IE163">
        <v>324</v>
      </c>
      <c r="IF163">
        <v>320</v>
      </c>
      <c r="IG163" s="47">
        <v>4</v>
      </c>
      <c r="IH163" s="43"/>
      <c r="II163">
        <v>314</v>
      </c>
      <c r="IJ163">
        <v>300</v>
      </c>
      <c r="IK163">
        <v>311</v>
      </c>
      <c r="IL163">
        <v>300</v>
      </c>
      <c r="IM163" s="47">
        <v>25</v>
      </c>
      <c r="IN163" s="43"/>
      <c r="IO163" s="40">
        <v>119</v>
      </c>
      <c r="IP163" s="44">
        <v>115.0806</v>
      </c>
      <c r="IQ163" s="47">
        <v>3.919399999999996</v>
      </c>
      <c r="IR163" s="43"/>
      <c r="IS163" s="40">
        <v>204</v>
      </c>
      <c r="IT163">
        <v>200</v>
      </c>
      <c r="IU163">
        <v>361</v>
      </c>
      <c r="IV163">
        <v>350</v>
      </c>
      <c r="IW163" s="47">
        <v>15</v>
      </c>
      <c r="IX163" s="43"/>
      <c r="IY163" s="42"/>
      <c r="JA163" s="47">
        <v>0</v>
      </c>
      <c r="JB163" s="43"/>
      <c r="JC163" s="42"/>
      <c r="JG163" s="47">
        <v>0</v>
      </c>
      <c r="JH163" s="43"/>
      <c r="JI163">
        <v>625</v>
      </c>
      <c r="JJ163">
        <v>600</v>
      </c>
      <c r="JK163">
        <v>513</v>
      </c>
      <c r="JL163">
        <v>500</v>
      </c>
      <c r="JO163" s="47">
        <v>38</v>
      </c>
      <c r="JP163" s="43"/>
      <c r="JQ163" s="42"/>
      <c r="JU163" s="47">
        <v>0</v>
      </c>
      <c r="JV163" s="43"/>
      <c r="JW163">
        <v>206</v>
      </c>
      <c r="JX163">
        <v>200</v>
      </c>
      <c r="JY163">
        <v>361</v>
      </c>
      <c r="JZ163">
        <v>350</v>
      </c>
      <c r="KA163" s="47">
        <v>17</v>
      </c>
      <c r="KB163" s="45"/>
      <c r="KC163">
        <v>360</v>
      </c>
      <c r="KD163" s="44">
        <v>450</v>
      </c>
      <c r="KE163" s="44">
        <v>358</v>
      </c>
      <c r="KF163" s="44">
        <v>350</v>
      </c>
      <c r="KG163" s="50">
        <v>-82</v>
      </c>
      <c r="KH163" s="45">
        <v>82</v>
      </c>
      <c r="KM163" s="47">
        <v>0</v>
      </c>
      <c r="KN163" s="43"/>
      <c r="KT163" s="43"/>
      <c r="KX163" s="45"/>
      <c r="LD163" s="43"/>
      <c r="LE163" s="40"/>
      <c r="LH163" s="45"/>
      <c r="LN163" s="45"/>
      <c r="LT163" s="45"/>
      <c r="LZ163" s="45"/>
      <c r="MB163" s="41"/>
      <c r="MF163" s="45"/>
      <c r="MG163" s="46"/>
      <c r="MN163" s="45"/>
      <c r="MT163" s="45"/>
      <c r="MZ163" s="45"/>
      <c r="NA163" s="46"/>
      <c r="ND163" s="45"/>
      <c r="NE163" s="46"/>
      <c r="NK163" s="45"/>
      <c r="NL163" s="46"/>
      <c r="NQ163" s="45"/>
      <c r="NR163" s="46"/>
      <c r="NU163" s="45"/>
      <c r="NV163" s="46"/>
      <c r="OA163" s="45"/>
      <c r="OB163" s="46"/>
      <c r="OE163" s="45"/>
      <c r="OF163" s="46"/>
      <c r="OK163" s="45"/>
      <c r="OM163" s="43"/>
      <c r="OQ163" s="45"/>
      <c r="OR163" s="46"/>
      <c r="OW163" s="45"/>
      <c r="OX163" s="46"/>
      <c r="PC163" s="45"/>
      <c r="PD163" s="46"/>
      <c r="PI163" s="45"/>
      <c r="PJ163" s="46"/>
      <c r="PO163" s="45"/>
      <c r="PP163" s="46"/>
      <c r="PS163" s="44"/>
      <c r="PU163" s="45"/>
      <c r="PV163" s="46"/>
      <c r="PY163" s="45"/>
      <c r="PZ163" s="46"/>
      <c r="QC163" s="45"/>
      <c r="QD163" s="46"/>
      <c r="QI163" s="45"/>
      <c r="QJ163" s="46"/>
      <c r="QM163" s="45"/>
      <c r="QN163" s="46"/>
      <c r="QS163" s="45"/>
      <c r="QT163" s="46"/>
      <c r="QW163" s="45"/>
      <c r="QX163" s="46"/>
      <c r="RC163" s="45"/>
      <c r="RD163" s="42"/>
      <c r="RE163" s="44"/>
      <c r="RG163" s="44"/>
      <c r="RI163" s="45"/>
      <c r="RJ163" s="42"/>
      <c r="RO163" s="43"/>
      <c r="RP163" s="42"/>
      <c r="RS163" s="43"/>
      <c r="RT163" s="42"/>
      <c r="RY163" s="43"/>
      <c r="RZ163" s="42"/>
      <c r="SE163" s="43"/>
      <c r="SF163" s="42"/>
      <c r="SK163" s="43"/>
      <c r="SL163" s="42"/>
      <c r="SO163" s="43"/>
      <c r="SP163" s="42"/>
      <c r="SU163" s="43"/>
    </row>
    <row r="164" spans="1:515" x14ac:dyDescent="0.25">
      <c r="A164" s="47" t="s">
        <v>471</v>
      </c>
      <c r="B164" s="41">
        <v>0.35</v>
      </c>
      <c r="E164">
        <v>14</v>
      </c>
      <c r="J164" s="42"/>
      <c r="K164" s="51"/>
      <c r="L164" s="51"/>
      <c r="M164" s="51"/>
      <c r="N164" s="51">
        <f t="shared" si="15"/>
        <v>0</v>
      </c>
      <c r="O164" s="43"/>
      <c r="P164" s="40">
        <v>128</v>
      </c>
      <c r="Q164" s="52">
        <v>134</v>
      </c>
      <c r="R164" s="52">
        <v>112</v>
      </c>
      <c r="S164" s="52">
        <v>115</v>
      </c>
      <c r="T164" s="51">
        <f t="shared" si="16"/>
        <v>-9</v>
      </c>
      <c r="U164" s="43"/>
      <c r="V164" s="42"/>
      <c r="W164" s="51"/>
      <c r="X164" s="51"/>
      <c r="Y164" s="51"/>
      <c r="Z164" s="51">
        <f t="shared" si="17"/>
        <v>0</v>
      </c>
      <c r="AA164" s="43"/>
      <c r="AB164" s="40">
        <v>104</v>
      </c>
      <c r="AC164" s="56">
        <v>105.2173913043478</v>
      </c>
      <c r="AD164" s="52">
        <v>136</v>
      </c>
      <c r="AE164" s="56">
        <v>136.78260869565219</v>
      </c>
      <c r="AF164" s="51">
        <v>-2</v>
      </c>
      <c r="AG164" s="43"/>
      <c r="AH164" s="52">
        <v>64</v>
      </c>
      <c r="AI164">
        <v>64</v>
      </c>
      <c r="AJ164">
        <v>48</v>
      </c>
      <c r="AK164">
        <v>51</v>
      </c>
      <c r="AL164" s="47">
        <v>-3</v>
      </c>
      <c r="AM164" s="43"/>
      <c r="AN164" s="42"/>
      <c r="AR164" s="47">
        <v>0</v>
      </c>
      <c r="AS164" s="43"/>
      <c r="AT164">
        <v>168</v>
      </c>
      <c r="AU164">
        <v>170</v>
      </c>
      <c r="AV164">
        <v>176</v>
      </c>
      <c r="AW164">
        <v>177</v>
      </c>
      <c r="AX164" s="47">
        <v>-3</v>
      </c>
      <c r="AY164" s="43"/>
      <c r="BD164" s="47">
        <v>0</v>
      </c>
      <c r="BE164" s="43"/>
      <c r="BF164" s="40">
        <v>72</v>
      </c>
      <c r="BG164">
        <v>73</v>
      </c>
      <c r="BJ164" s="47">
        <v>-1</v>
      </c>
      <c r="BK164" s="43"/>
      <c r="BL164" s="40">
        <v>96</v>
      </c>
      <c r="BM164">
        <v>100</v>
      </c>
      <c r="BN164">
        <v>40</v>
      </c>
      <c r="BO164">
        <v>38</v>
      </c>
      <c r="BP164" s="47">
        <v>-2</v>
      </c>
      <c r="BQ164" s="43"/>
      <c r="BV164" s="47">
        <v>0</v>
      </c>
      <c r="BW164" s="43"/>
      <c r="BX164" s="42"/>
      <c r="CB164" s="47">
        <v>0</v>
      </c>
      <c r="CC164" s="43"/>
      <c r="CD164">
        <v>280</v>
      </c>
      <c r="CE164">
        <v>280</v>
      </c>
      <c r="CF164">
        <v>320</v>
      </c>
      <c r="CG164">
        <v>324</v>
      </c>
      <c r="CH164" s="47">
        <v>-4</v>
      </c>
      <c r="CI164" s="43"/>
      <c r="CJ164">
        <v>48</v>
      </c>
      <c r="CK164">
        <v>50</v>
      </c>
      <c r="CL164">
        <v>56</v>
      </c>
      <c r="CM164">
        <v>61</v>
      </c>
      <c r="CN164" s="47">
        <v>-7</v>
      </c>
      <c r="CO164" s="43"/>
      <c r="CP164" s="42"/>
      <c r="CR164">
        <v>80</v>
      </c>
      <c r="CS164">
        <v>78</v>
      </c>
      <c r="CT164" s="47">
        <v>2</v>
      </c>
      <c r="CU164" s="43"/>
      <c r="CV164" s="40">
        <v>120</v>
      </c>
      <c r="CW164">
        <v>120</v>
      </c>
      <c r="CX164">
        <v>112</v>
      </c>
      <c r="CY164">
        <v>113</v>
      </c>
      <c r="CZ164" s="47">
        <v>-1</v>
      </c>
      <c r="DA164" s="43"/>
      <c r="DG164" s="47">
        <v>0</v>
      </c>
      <c r="DH164" s="43"/>
      <c r="DK164" s="47">
        <v>0</v>
      </c>
      <c r="DL164" s="43"/>
      <c r="DM164" s="40">
        <v>240</v>
      </c>
      <c r="DN164">
        <v>242</v>
      </c>
      <c r="DO164">
        <v>320</v>
      </c>
      <c r="DP164">
        <v>324</v>
      </c>
      <c r="DQ164" s="47">
        <v>-6</v>
      </c>
      <c r="DR164" s="43"/>
      <c r="DW164" s="47">
        <v>0</v>
      </c>
      <c r="DX164" s="43"/>
      <c r="EA164">
        <v>104</v>
      </c>
      <c r="EB164">
        <v>104</v>
      </c>
      <c r="EC164" s="47">
        <v>0</v>
      </c>
      <c r="ED164" s="43"/>
      <c r="EE164" s="42"/>
      <c r="EG164">
        <v>264</v>
      </c>
      <c r="EH164">
        <v>268</v>
      </c>
      <c r="EI164" s="47">
        <v>-4</v>
      </c>
      <c r="EJ164" s="43"/>
      <c r="EO164" s="47">
        <v>0</v>
      </c>
      <c r="EP164" s="43"/>
      <c r="EQ164" s="42"/>
      <c r="ES164">
        <v>96</v>
      </c>
      <c r="ET164">
        <v>98</v>
      </c>
      <c r="EU164" s="47">
        <v>-2</v>
      </c>
      <c r="EV164" s="43"/>
      <c r="EW164" s="42"/>
      <c r="FA164">
        <v>208</v>
      </c>
      <c r="FB164">
        <v>210</v>
      </c>
      <c r="FC164" s="47">
        <v>-2</v>
      </c>
      <c r="FD164" s="43"/>
      <c r="FE164" s="42"/>
      <c r="FI164" s="47">
        <v>0</v>
      </c>
      <c r="FJ164" s="43"/>
      <c r="FQ164" s="47">
        <v>0</v>
      </c>
      <c r="FR164" s="43"/>
      <c r="FS164" s="42"/>
      <c r="FU164">
        <v>288</v>
      </c>
      <c r="FV164">
        <v>287</v>
      </c>
      <c r="FW164" s="47">
        <v>1</v>
      </c>
      <c r="FX164" s="43"/>
      <c r="FY164" s="42"/>
      <c r="GA164">
        <v>312</v>
      </c>
      <c r="GB164">
        <v>310</v>
      </c>
      <c r="GC164" s="47">
        <v>2</v>
      </c>
      <c r="GD164" s="43"/>
      <c r="GE164" s="40">
        <v>24</v>
      </c>
      <c r="GF164">
        <v>24</v>
      </c>
      <c r="GI164" s="47">
        <v>0</v>
      </c>
      <c r="GJ164" s="43"/>
      <c r="GM164">
        <v>40</v>
      </c>
      <c r="GN164">
        <v>40</v>
      </c>
      <c r="GO164">
        <v>48</v>
      </c>
      <c r="GP164">
        <v>50</v>
      </c>
      <c r="GQ164" s="47">
        <v>-2</v>
      </c>
      <c r="GR164" s="43"/>
      <c r="GX164" s="47">
        <v>0</v>
      </c>
      <c r="GY164" s="43"/>
      <c r="GZ164" s="40">
        <v>56</v>
      </c>
      <c r="HB164" s="44">
        <v>60.399999999999977</v>
      </c>
      <c r="HC164" s="47">
        <v>-4.3999999999999773</v>
      </c>
      <c r="HD164" s="43"/>
      <c r="HE164" s="40">
        <v>520</v>
      </c>
      <c r="HG164">
        <v>521</v>
      </c>
      <c r="HH164" s="47">
        <v>-1</v>
      </c>
      <c r="HI164" s="43"/>
      <c r="HN164" s="47">
        <v>0</v>
      </c>
      <c r="HO164" s="43"/>
      <c r="HP164" s="42"/>
      <c r="HS164">
        <v>72</v>
      </c>
      <c r="HT164">
        <v>70</v>
      </c>
      <c r="HU164" s="47">
        <v>2</v>
      </c>
      <c r="HV164" s="43"/>
      <c r="HW164">
        <v>152</v>
      </c>
      <c r="HX164">
        <v>150</v>
      </c>
      <c r="HY164">
        <v>176</v>
      </c>
      <c r="HZ164">
        <v>180</v>
      </c>
      <c r="IA164" s="47">
        <v>-2</v>
      </c>
      <c r="IB164" s="43"/>
      <c r="IC164" s="42"/>
      <c r="IE164">
        <v>176</v>
      </c>
      <c r="IF164">
        <v>180</v>
      </c>
      <c r="IG164" s="47">
        <v>-4</v>
      </c>
      <c r="IH164" s="43"/>
      <c r="IK164">
        <v>160</v>
      </c>
      <c r="IL164">
        <v>160</v>
      </c>
      <c r="IM164" s="47">
        <v>0</v>
      </c>
      <c r="IN164" s="43"/>
      <c r="IO164" s="40">
        <v>192</v>
      </c>
      <c r="IP164" s="44">
        <v>190</v>
      </c>
      <c r="IQ164" s="47">
        <v>2</v>
      </c>
      <c r="IR164" s="43"/>
      <c r="IS164" s="42"/>
      <c r="IU164">
        <v>152</v>
      </c>
      <c r="IV164">
        <v>150</v>
      </c>
      <c r="IW164" s="47">
        <v>2</v>
      </c>
      <c r="IX164" s="43"/>
      <c r="IY164" s="40">
        <v>272</v>
      </c>
      <c r="IZ164">
        <v>270</v>
      </c>
      <c r="JA164" s="47">
        <v>2</v>
      </c>
      <c r="JB164" s="43"/>
      <c r="JC164" s="42"/>
      <c r="JG164" s="47">
        <v>0</v>
      </c>
      <c r="JH164" s="43"/>
      <c r="JK164">
        <v>600</v>
      </c>
      <c r="JL164">
        <v>600</v>
      </c>
      <c r="JO164" s="47">
        <v>0</v>
      </c>
      <c r="JP164" s="43"/>
      <c r="JQ164" s="42"/>
      <c r="JU164" s="47">
        <v>0</v>
      </c>
      <c r="JV164" s="43"/>
      <c r="JY164">
        <v>152</v>
      </c>
      <c r="JZ164">
        <v>150</v>
      </c>
      <c r="KA164" s="47">
        <v>2</v>
      </c>
      <c r="KB164" s="45"/>
      <c r="KC164" s="44">
        <v>96</v>
      </c>
      <c r="KD164" s="44">
        <v>100</v>
      </c>
      <c r="KG164" s="47">
        <v>-4</v>
      </c>
      <c r="KH164" s="45"/>
      <c r="KM164" s="47">
        <v>0</v>
      </c>
      <c r="KN164" s="43"/>
      <c r="KT164" s="43"/>
      <c r="KX164" s="45"/>
      <c r="LD164" s="43"/>
      <c r="LE164" s="40"/>
      <c r="LH164" s="45"/>
      <c r="LN164" s="45"/>
      <c r="LT164" s="45"/>
      <c r="LZ164" s="45"/>
      <c r="MB164" s="41"/>
      <c r="MF164" s="45"/>
      <c r="MG164" s="46"/>
      <c r="MN164" s="45"/>
      <c r="MT164" s="45"/>
      <c r="MZ164" s="45"/>
      <c r="NA164" s="46"/>
      <c r="ND164" s="45"/>
      <c r="NE164" s="46"/>
      <c r="NK164" s="45"/>
      <c r="NL164" s="46"/>
      <c r="NQ164" s="45"/>
      <c r="NR164" s="46"/>
      <c r="NU164" s="45"/>
      <c r="NV164" s="46"/>
      <c r="OA164" s="45"/>
      <c r="OB164" s="46"/>
      <c r="OE164" s="45"/>
      <c r="OF164" s="46"/>
      <c r="OK164" s="45"/>
      <c r="OM164" s="43"/>
      <c r="OQ164" s="45"/>
      <c r="OR164" s="46"/>
      <c r="OW164" s="45"/>
      <c r="OX164" s="46"/>
      <c r="PC164" s="45"/>
      <c r="PD164" s="46"/>
      <c r="PI164" s="45"/>
      <c r="PJ164" s="46"/>
      <c r="PO164" s="45"/>
      <c r="PP164" s="46"/>
      <c r="PS164" s="44"/>
      <c r="PU164" s="45"/>
      <c r="PV164" s="46"/>
      <c r="PY164" s="45"/>
      <c r="PZ164" s="46"/>
      <c r="QC164" s="45"/>
      <c r="QD164" s="46"/>
      <c r="QI164" s="45"/>
      <c r="QJ164" s="46"/>
      <c r="QM164" s="45"/>
      <c r="QN164" s="46"/>
      <c r="QS164" s="45"/>
      <c r="QT164" s="46"/>
      <c r="QW164" s="45"/>
      <c r="QX164" s="46"/>
      <c r="RC164" s="45"/>
      <c r="RD164" s="42"/>
      <c r="RE164" s="44"/>
      <c r="RG164" s="44"/>
      <c r="RI164" s="45"/>
      <c r="RJ164" s="42"/>
      <c r="RO164" s="43"/>
      <c r="RP164" s="42"/>
      <c r="RS164" s="43"/>
      <c r="RT164" s="42"/>
      <c r="RY164" s="43"/>
      <c r="RZ164" s="42"/>
      <c r="SE164" s="43"/>
      <c r="SF164" s="42"/>
      <c r="SK164" s="43"/>
      <c r="SL164" s="42"/>
      <c r="SO164" s="43"/>
      <c r="SP164" s="42"/>
      <c r="SU164" s="43"/>
    </row>
    <row r="165" spans="1:515" x14ac:dyDescent="0.25">
      <c r="A165" s="47" t="s">
        <v>472</v>
      </c>
      <c r="B165" s="41">
        <v>1</v>
      </c>
      <c r="J165" s="42"/>
      <c r="K165" s="51"/>
      <c r="L165" s="52">
        <v>6</v>
      </c>
      <c r="M165" s="52">
        <v>6</v>
      </c>
      <c r="N165" s="51">
        <f t="shared" si="15"/>
        <v>0</v>
      </c>
      <c r="O165" s="43"/>
      <c r="P165" s="46"/>
      <c r="Q165" s="51"/>
      <c r="R165" s="51"/>
      <c r="S165" s="51"/>
      <c r="T165" s="51">
        <f t="shared" si="16"/>
        <v>0</v>
      </c>
      <c r="U165" s="43"/>
      <c r="V165" s="42"/>
      <c r="W165" s="51"/>
      <c r="X165" s="51"/>
      <c r="Y165" s="51"/>
      <c r="Z165" s="51">
        <f t="shared" si="17"/>
        <v>0</v>
      </c>
      <c r="AA165" s="43"/>
      <c r="AB165" s="42"/>
      <c r="AC165" s="51"/>
      <c r="AD165" s="52">
        <v>6</v>
      </c>
      <c r="AE165" s="56">
        <v>8</v>
      </c>
      <c r="AF165" s="51">
        <v>-2</v>
      </c>
      <c r="AG165" s="43"/>
      <c r="AH165" s="51"/>
      <c r="AL165" s="47">
        <v>0</v>
      </c>
      <c r="AM165" s="43"/>
      <c r="AN165" s="42"/>
      <c r="AP165">
        <v>12</v>
      </c>
      <c r="AQ165">
        <v>15</v>
      </c>
      <c r="AR165" s="47">
        <v>-3</v>
      </c>
      <c r="AS165" s="43"/>
      <c r="AX165" s="47">
        <v>0</v>
      </c>
      <c r="AY165" s="43"/>
      <c r="BB165">
        <v>19</v>
      </c>
      <c r="BC165">
        <v>16</v>
      </c>
      <c r="BD165" s="47">
        <v>3</v>
      </c>
      <c r="BE165" s="43"/>
      <c r="BF165" s="42"/>
      <c r="BJ165" s="47">
        <v>0</v>
      </c>
      <c r="BK165" s="43"/>
      <c r="BL165" s="42"/>
      <c r="BP165" s="47">
        <v>0</v>
      </c>
      <c r="BQ165" s="43"/>
      <c r="BT165">
        <v>6</v>
      </c>
      <c r="BU165">
        <v>5</v>
      </c>
      <c r="BV165" s="47">
        <v>1</v>
      </c>
      <c r="BW165" s="43"/>
      <c r="BX165" s="42"/>
      <c r="CB165" s="47">
        <v>0</v>
      </c>
      <c r="CC165" s="43"/>
      <c r="CH165" s="47">
        <v>0</v>
      </c>
      <c r="CI165" s="43"/>
      <c r="CN165" s="47">
        <v>0</v>
      </c>
      <c r="CO165" s="43"/>
      <c r="CP165" s="42"/>
      <c r="CR165">
        <v>25</v>
      </c>
      <c r="CS165">
        <v>26</v>
      </c>
      <c r="CT165" s="47">
        <v>-1</v>
      </c>
      <c r="CU165" s="43"/>
      <c r="CV165" s="42"/>
      <c r="CZ165" s="47">
        <v>0</v>
      </c>
      <c r="DA165" s="43"/>
      <c r="DE165">
        <v>12</v>
      </c>
      <c r="DF165">
        <v>15</v>
      </c>
      <c r="DG165" s="47">
        <v>-3</v>
      </c>
      <c r="DH165" s="43"/>
      <c r="DK165" s="47">
        <v>0</v>
      </c>
      <c r="DL165" s="43"/>
      <c r="DM165" s="40">
        <v>6</v>
      </c>
      <c r="DN165">
        <v>9</v>
      </c>
      <c r="DQ165" s="47">
        <v>-3</v>
      </c>
      <c r="DR165" s="43"/>
      <c r="DW165" s="47">
        <v>0</v>
      </c>
      <c r="DX165" s="43"/>
      <c r="EA165">
        <v>6</v>
      </c>
      <c r="EB165">
        <v>6</v>
      </c>
      <c r="EC165" s="47">
        <v>0</v>
      </c>
      <c r="ED165" s="43"/>
      <c r="EE165" s="42"/>
      <c r="EI165" s="47">
        <v>0</v>
      </c>
      <c r="EJ165" s="43"/>
      <c r="EM165">
        <v>25</v>
      </c>
      <c r="EN165">
        <v>22</v>
      </c>
      <c r="EO165" s="47">
        <v>3</v>
      </c>
      <c r="EP165" s="43"/>
      <c r="EQ165" s="42"/>
      <c r="EU165" s="47">
        <v>0</v>
      </c>
      <c r="EV165" s="43"/>
      <c r="EW165" s="42"/>
      <c r="FC165" s="47">
        <v>0</v>
      </c>
      <c r="FD165" s="43"/>
      <c r="FE165" s="42"/>
      <c r="FI165" s="47">
        <v>0</v>
      </c>
      <c r="FJ165" s="43"/>
      <c r="FQ165" s="47">
        <v>0</v>
      </c>
      <c r="FR165" s="43"/>
      <c r="FS165" s="42"/>
      <c r="FU165">
        <v>43</v>
      </c>
      <c r="FV165">
        <v>40</v>
      </c>
      <c r="FW165" s="47">
        <v>3</v>
      </c>
      <c r="FX165" s="43"/>
      <c r="FY165" s="42"/>
      <c r="GC165" s="47">
        <v>0</v>
      </c>
      <c r="GD165" s="43"/>
      <c r="GE165" s="40">
        <v>43</v>
      </c>
      <c r="GF165">
        <v>40</v>
      </c>
      <c r="GG165">
        <v>31</v>
      </c>
      <c r="GH165">
        <v>30</v>
      </c>
      <c r="GI165" s="47">
        <v>4</v>
      </c>
      <c r="GJ165" s="43"/>
      <c r="GO165">
        <v>6</v>
      </c>
      <c r="GP165">
        <v>8</v>
      </c>
      <c r="GQ165" s="47">
        <v>-2</v>
      </c>
      <c r="GR165" s="43"/>
      <c r="GX165" s="47">
        <v>0</v>
      </c>
      <c r="GY165" s="43"/>
      <c r="GZ165" s="42"/>
      <c r="HC165" s="47">
        <v>0</v>
      </c>
      <c r="HD165" s="43"/>
      <c r="HE165" s="42"/>
      <c r="HH165" s="47">
        <v>0</v>
      </c>
      <c r="HI165" s="43"/>
      <c r="HN165" s="47">
        <v>0</v>
      </c>
      <c r="HO165" s="43"/>
      <c r="HP165" s="40">
        <v>138</v>
      </c>
      <c r="HR165">
        <v>130</v>
      </c>
      <c r="HS165">
        <v>143</v>
      </c>
      <c r="HT165">
        <v>140</v>
      </c>
      <c r="HU165" s="47">
        <v>11</v>
      </c>
      <c r="HV165" s="43"/>
      <c r="HY165">
        <v>50</v>
      </c>
      <c r="HZ165">
        <v>50</v>
      </c>
      <c r="IA165" s="47">
        <v>0</v>
      </c>
      <c r="IB165" s="43"/>
      <c r="IC165" s="42"/>
      <c r="IE165">
        <v>216</v>
      </c>
      <c r="IF165">
        <v>210</v>
      </c>
      <c r="IG165" s="47">
        <v>6</v>
      </c>
      <c r="IH165" s="43"/>
      <c r="II165">
        <v>108</v>
      </c>
      <c r="IJ165">
        <v>100</v>
      </c>
      <c r="IK165">
        <v>124</v>
      </c>
      <c r="IL165">
        <v>120</v>
      </c>
      <c r="IM165" s="47">
        <v>12</v>
      </c>
      <c r="IN165" s="43"/>
      <c r="IO165" s="42"/>
      <c r="IQ165" s="47">
        <v>0</v>
      </c>
      <c r="IR165" s="43"/>
      <c r="IS165" s="42"/>
      <c r="IU165">
        <v>167</v>
      </c>
      <c r="IV165">
        <v>160</v>
      </c>
      <c r="IW165" s="47">
        <v>7</v>
      </c>
      <c r="IX165" s="43"/>
      <c r="IY165" s="42"/>
      <c r="JA165" s="47">
        <v>0</v>
      </c>
      <c r="JB165" s="43"/>
      <c r="JC165" s="40">
        <v>80</v>
      </c>
      <c r="JD165">
        <v>80</v>
      </c>
      <c r="JE165">
        <v>50</v>
      </c>
      <c r="JF165">
        <v>50</v>
      </c>
      <c r="JG165" s="47">
        <v>0</v>
      </c>
      <c r="JH165" s="43"/>
      <c r="JI165">
        <v>106</v>
      </c>
      <c r="JJ165">
        <v>100</v>
      </c>
      <c r="JM165">
        <v>175</v>
      </c>
      <c r="JN165">
        <v>170</v>
      </c>
      <c r="JO165" s="47">
        <v>11</v>
      </c>
      <c r="JP165" s="43"/>
      <c r="JQ165" s="42"/>
      <c r="JU165" s="47">
        <v>0</v>
      </c>
      <c r="JV165" s="43"/>
      <c r="JW165">
        <v>156</v>
      </c>
      <c r="JX165">
        <v>150</v>
      </c>
      <c r="JY165">
        <v>208</v>
      </c>
      <c r="JZ165">
        <v>200</v>
      </c>
      <c r="KA165" s="47">
        <v>14</v>
      </c>
      <c r="KB165" s="45"/>
      <c r="KC165" s="44">
        <v>13</v>
      </c>
      <c r="KD165" s="44">
        <v>12</v>
      </c>
      <c r="KG165" s="47">
        <v>1</v>
      </c>
      <c r="KH165" s="45"/>
      <c r="KM165" s="47">
        <v>0</v>
      </c>
      <c r="KN165" s="43"/>
      <c r="KT165" s="43"/>
      <c r="KX165" s="45"/>
      <c r="LD165" s="43"/>
      <c r="LE165" s="40"/>
      <c r="LH165" s="45"/>
      <c r="LN165" s="45"/>
      <c r="LT165" s="45"/>
      <c r="LZ165" s="45"/>
      <c r="MB165" s="41"/>
      <c r="MF165" s="45"/>
      <c r="MG165" s="46"/>
      <c r="MN165" s="45"/>
      <c r="MT165" s="45"/>
      <c r="MZ165" s="45"/>
      <c r="NA165" s="46"/>
      <c r="ND165" s="45"/>
      <c r="NE165" s="46"/>
      <c r="NK165" s="45"/>
      <c r="NL165" s="46"/>
      <c r="NQ165" s="45"/>
      <c r="NR165" s="46"/>
      <c r="NU165" s="45"/>
      <c r="NV165" s="46"/>
      <c r="OA165" s="45"/>
      <c r="OB165" s="46"/>
      <c r="OE165" s="45"/>
      <c r="OF165" s="46"/>
      <c r="OK165" s="45"/>
      <c r="OM165" s="43"/>
      <c r="OQ165" s="45"/>
      <c r="OR165" s="46"/>
      <c r="OW165" s="45"/>
      <c r="OX165" s="46"/>
      <c r="PC165" s="45"/>
      <c r="PD165" s="46"/>
      <c r="PI165" s="45"/>
      <c r="PJ165" s="46"/>
      <c r="PO165" s="45"/>
      <c r="PP165" s="46"/>
      <c r="PS165" s="44"/>
      <c r="PU165" s="45"/>
      <c r="PV165" s="46"/>
      <c r="PY165" s="45"/>
      <c r="PZ165" s="46"/>
      <c r="QC165" s="45"/>
      <c r="QD165" s="46"/>
      <c r="QI165" s="45"/>
      <c r="QJ165" s="46"/>
      <c r="QM165" s="45"/>
      <c r="QN165" s="46"/>
      <c r="QS165" s="45"/>
      <c r="QT165" s="46"/>
      <c r="QW165" s="45"/>
      <c r="QX165" s="46"/>
      <c r="RC165" s="45"/>
      <c r="RD165" s="42"/>
      <c r="RE165" s="44"/>
      <c r="RG165" s="44"/>
      <c r="RI165" s="45"/>
      <c r="RJ165" s="42"/>
      <c r="RO165" s="43"/>
      <c r="RP165" s="42"/>
      <c r="RS165" s="43"/>
      <c r="RT165" s="42"/>
      <c r="RY165" s="43"/>
      <c r="RZ165" s="42"/>
      <c r="SE165" s="43"/>
      <c r="SF165" s="42"/>
      <c r="SK165" s="43"/>
      <c r="SL165" s="42"/>
      <c r="SO165" s="43"/>
      <c r="SP165" s="42"/>
      <c r="SU165" s="43"/>
    </row>
    <row r="166" spans="1:515" x14ac:dyDescent="0.25">
      <c r="A166" s="47" t="s">
        <v>473</v>
      </c>
      <c r="B166" s="41">
        <v>0.4</v>
      </c>
      <c r="J166" s="42"/>
      <c r="K166" s="51"/>
      <c r="L166" s="51"/>
      <c r="M166" s="51"/>
      <c r="N166" s="51">
        <f t="shared" si="15"/>
        <v>0</v>
      </c>
      <c r="O166" s="43"/>
      <c r="P166" s="46"/>
      <c r="Q166" s="51"/>
      <c r="R166" s="51"/>
      <c r="S166" s="51"/>
      <c r="T166" s="51">
        <f t="shared" si="16"/>
        <v>0</v>
      </c>
      <c r="U166" s="43"/>
      <c r="V166" s="42"/>
      <c r="W166" s="51"/>
      <c r="X166" s="51"/>
      <c r="Y166" s="51"/>
      <c r="Z166" s="51">
        <f t="shared" si="17"/>
        <v>0</v>
      </c>
      <c r="AA166" s="43"/>
      <c r="AB166" s="42"/>
      <c r="AC166" s="51"/>
      <c r="AD166" s="51"/>
      <c r="AE166" s="51"/>
      <c r="AF166" s="51">
        <v>0</v>
      </c>
      <c r="AG166" s="43"/>
      <c r="AH166" s="51"/>
      <c r="AL166" s="47">
        <v>0</v>
      </c>
      <c r="AM166" s="43"/>
      <c r="AN166" s="42"/>
      <c r="AR166" s="47">
        <v>0</v>
      </c>
      <c r="AS166" s="43"/>
      <c r="AU166">
        <v>277</v>
      </c>
      <c r="AW166">
        <v>4</v>
      </c>
      <c r="AX166" s="47">
        <v>1</v>
      </c>
      <c r="AY166" s="43"/>
      <c r="BA166">
        <v>350</v>
      </c>
      <c r="BC166">
        <v>389</v>
      </c>
      <c r="BD166" s="47">
        <v>-1</v>
      </c>
      <c r="BE166" s="43"/>
      <c r="BF166" s="40">
        <v>80</v>
      </c>
      <c r="BG166">
        <v>82</v>
      </c>
      <c r="BJ166" s="47">
        <v>-2</v>
      </c>
      <c r="BK166" s="43"/>
      <c r="BL166" s="40">
        <v>300</v>
      </c>
      <c r="BM166">
        <v>300</v>
      </c>
      <c r="BN166">
        <v>270</v>
      </c>
      <c r="BO166">
        <v>273</v>
      </c>
      <c r="BP166" s="47">
        <v>-3</v>
      </c>
      <c r="BQ166" s="43"/>
      <c r="BR166">
        <v>200</v>
      </c>
      <c r="BS166">
        <v>200</v>
      </c>
      <c r="BT166">
        <v>250</v>
      </c>
      <c r="BU166">
        <v>256</v>
      </c>
      <c r="BV166" s="47">
        <v>-6</v>
      </c>
      <c r="BW166" s="43"/>
      <c r="BX166" s="40">
        <v>230</v>
      </c>
      <c r="BY166">
        <v>230</v>
      </c>
      <c r="BZ166">
        <v>110</v>
      </c>
      <c r="CA166">
        <v>115</v>
      </c>
      <c r="CB166" s="47">
        <v>-5</v>
      </c>
      <c r="CC166" s="43"/>
      <c r="CD166">
        <v>330</v>
      </c>
      <c r="CE166">
        <v>330</v>
      </c>
      <c r="CF166">
        <v>340</v>
      </c>
      <c r="CG166">
        <v>342</v>
      </c>
      <c r="CH166" s="47">
        <v>-2</v>
      </c>
      <c r="CI166" s="43"/>
      <c r="CJ166">
        <v>200</v>
      </c>
      <c r="CK166">
        <v>200</v>
      </c>
      <c r="CL166">
        <v>210</v>
      </c>
      <c r="CM166">
        <v>212</v>
      </c>
      <c r="CN166" s="47">
        <v>-2</v>
      </c>
      <c r="CO166" s="43"/>
      <c r="CP166" s="42"/>
      <c r="CT166" s="47">
        <v>0</v>
      </c>
      <c r="CU166" s="43"/>
      <c r="CV166" s="40">
        <v>380</v>
      </c>
      <c r="CW166">
        <v>380</v>
      </c>
      <c r="CX166">
        <v>400</v>
      </c>
      <c r="CY166">
        <v>401</v>
      </c>
      <c r="CZ166" s="47">
        <v>-1</v>
      </c>
      <c r="DA166" s="43"/>
      <c r="DG166" s="47">
        <v>0</v>
      </c>
      <c r="DH166" s="43"/>
      <c r="DI166">
        <v>200</v>
      </c>
      <c r="DJ166">
        <v>200</v>
      </c>
      <c r="DK166" s="47">
        <v>0</v>
      </c>
      <c r="DL166" s="43"/>
      <c r="DM166" s="40">
        <v>420</v>
      </c>
      <c r="DN166">
        <v>424</v>
      </c>
      <c r="DQ166" s="47">
        <v>-4</v>
      </c>
      <c r="DR166" s="43"/>
      <c r="DS166">
        <v>100</v>
      </c>
      <c r="DT166">
        <v>100</v>
      </c>
      <c r="DU166">
        <v>170</v>
      </c>
      <c r="DV166">
        <v>168</v>
      </c>
      <c r="DW166" s="47">
        <v>2</v>
      </c>
      <c r="DX166" s="43"/>
      <c r="EC166" s="47">
        <v>0</v>
      </c>
      <c r="ED166" s="43"/>
      <c r="EE166" s="42"/>
      <c r="EG166">
        <v>150</v>
      </c>
      <c r="EH166">
        <v>150</v>
      </c>
      <c r="EI166" s="47">
        <v>0</v>
      </c>
      <c r="EJ166" s="43"/>
      <c r="EM166">
        <v>20</v>
      </c>
      <c r="EN166">
        <v>23</v>
      </c>
      <c r="EO166" s="47">
        <v>-3</v>
      </c>
      <c r="EP166" s="43"/>
      <c r="EQ166" s="42"/>
      <c r="EU166" s="47">
        <v>0</v>
      </c>
      <c r="EV166" s="43"/>
      <c r="EW166" s="42"/>
      <c r="EZ166">
        <v>1000</v>
      </c>
      <c r="FB166">
        <v>796</v>
      </c>
      <c r="FC166" s="50">
        <v>-1796</v>
      </c>
      <c r="FD166" s="43">
        <v>718.40000000000009</v>
      </c>
      <c r="FE166" s="42"/>
      <c r="FG166">
        <v>90</v>
      </c>
      <c r="FH166">
        <v>90</v>
      </c>
      <c r="FI166" s="47">
        <v>0</v>
      </c>
      <c r="FJ166" s="43"/>
      <c r="FK166">
        <v>100</v>
      </c>
      <c r="FL166">
        <v>100</v>
      </c>
      <c r="FM166">
        <v>150</v>
      </c>
      <c r="FN166">
        <v>150</v>
      </c>
      <c r="FO166">
        <v>100</v>
      </c>
      <c r="FP166">
        <v>100</v>
      </c>
      <c r="FQ166" s="47">
        <v>0</v>
      </c>
      <c r="FR166" s="43"/>
      <c r="FS166" s="40">
        <v>300</v>
      </c>
      <c r="FT166">
        <v>300</v>
      </c>
      <c r="FU166">
        <v>720</v>
      </c>
      <c r="FV166">
        <v>720</v>
      </c>
      <c r="FW166" s="47">
        <v>0</v>
      </c>
      <c r="FX166" s="43"/>
      <c r="FY166" s="42"/>
      <c r="GA166">
        <v>280</v>
      </c>
      <c r="GB166">
        <v>280</v>
      </c>
      <c r="GC166" s="47">
        <v>0</v>
      </c>
      <c r="GD166" s="43"/>
      <c r="GE166" s="42"/>
      <c r="GF166">
        <v>200</v>
      </c>
      <c r="GG166">
        <v>140</v>
      </c>
      <c r="GH166">
        <v>140</v>
      </c>
      <c r="GI166" s="50">
        <v>-200</v>
      </c>
      <c r="GJ166" s="43">
        <v>80</v>
      </c>
      <c r="GK166">
        <v>200</v>
      </c>
      <c r="GL166">
        <v>200</v>
      </c>
      <c r="GM166">
        <v>300</v>
      </c>
      <c r="GN166">
        <v>300</v>
      </c>
      <c r="GO166">
        <v>400</v>
      </c>
      <c r="GP166">
        <v>400</v>
      </c>
      <c r="GQ166" s="47">
        <v>0</v>
      </c>
      <c r="GR166" s="43"/>
      <c r="GS166">
        <v>280</v>
      </c>
      <c r="GT166">
        <v>280</v>
      </c>
      <c r="GU166">
        <v>240</v>
      </c>
      <c r="GW166">
        <v>240</v>
      </c>
      <c r="GX166" s="47">
        <v>0</v>
      </c>
      <c r="GY166" s="43"/>
      <c r="GZ166" s="40">
        <v>310</v>
      </c>
      <c r="HB166" s="44">
        <v>310</v>
      </c>
      <c r="HC166" s="47">
        <v>0</v>
      </c>
      <c r="HD166" s="43"/>
      <c r="HE166" s="40">
        <v>300</v>
      </c>
      <c r="HG166">
        <v>299</v>
      </c>
      <c r="HH166" s="47">
        <v>1</v>
      </c>
      <c r="HI166" s="43"/>
      <c r="HN166" s="47">
        <v>0</v>
      </c>
      <c r="HO166" s="43"/>
      <c r="HP166" s="40">
        <v>250</v>
      </c>
      <c r="HR166">
        <v>250</v>
      </c>
      <c r="HS166">
        <v>310</v>
      </c>
      <c r="HT166">
        <v>310</v>
      </c>
      <c r="HU166" s="47">
        <v>0</v>
      </c>
      <c r="HV166" s="43"/>
      <c r="HW166">
        <v>110</v>
      </c>
      <c r="HX166">
        <v>110</v>
      </c>
      <c r="HY166">
        <v>120</v>
      </c>
      <c r="HZ166">
        <v>120</v>
      </c>
      <c r="IA166" s="47">
        <v>0</v>
      </c>
      <c r="IB166" s="43"/>
      <c r="IC166" s="42"/>
      <c r="IE166">
        <v>900</v>
      </c>
      <c r="IF166">
        <v>900</v>
      </c>
      <c r="IG166" s="47">
        <v>0</v>
      </c>
      <c r="IH166" s="43"/>
      <c r="II166">
        <v>300</v>
      </c>
      <c r="IJ166">
        <v>300</v>
      </c>
      <c r="IK166">
        <v>310</v>
      </c>
      <c r="IL166">
        <v>310</v>
      </c>
      <c r="IM166" s="47">
        <v>0</v>
      </c>
      <c r="IN166" s="43"/>
      <c r="IO166" s="42"/>
      <c r="IQ166" s="47">
        <v>0</v>
      </c>
      <c r="IR166" s="43"/>
      <c r="IS166" s="40">
        <v>300</v>
      </c>
      <c r="IT166">
        <v>300</v>
      </c>
      <c r="IU166">
        <v>420</v>
      </c>
      <c r="IV166">
        <v>420</v>
      </c>
      <c r="IW166" s="47">
        <v>0</v>
      </c>
      <c r="IX166" s="43"/>
      <c r="IY166" s="40">
        <v>470</v>
      </c>
      <c r="IZ166">
        <v>470</v>
      </c>
      <c r="JA166" s="47">
        <v>0</v>
      </c>
      <c r="JB166" s="43"/>
      <c r="JC166" s="40">
        <v>400</v>
      </c>
      <c r="JD166">
        <v>400</v>
      </c>
      <c r="JE166">
        <v>370</v>
      </c>
      <c r="JF166">
        <v>370</v>
      </c>
      <c r="JG166" s="47">
        <v>0</v>
      </c>
      <c r="JH166" s="43"/>
      <c r="JK166">
        <v>320</v>
      </c>
      <c r="JL166">
        <v>320</v>
      </c>
      <c r="JO166" s="47">
        <v>0</v>
      </c>
      <c r="JP166" s="43"/>
      <c r="JQ166" s="40">
        <v>200</v>
      </c>
      <c r="JR166">
        <v>200</v>
      </c>
      <c r="JS166">
        <v>200</v>
      </c>
      <c r="JT166">
        <v>200</v>
      </c>
      <c r="JU166" s="47">
        <v>0</v>
      </c>
      <c r="JV166" s="43"/>
      <c r="JW166">
        <v>300</v>
      </c>
      <c r="JX166">
        <v>300</v>
      </c>
      <c r="JY166">
        <v>400</v>
      </c>
      <c r="JZ166">
        <v>400</v>
      </c>
      <c r="KA166" s="47">
        <v>0</v>
      </c>
      <c r="KB166" s="45"/>
      <c r="KC166">
        <v>350</v>
      </c>
      <c r="KD166" s="44">
        <v>350</v>
      </c>
      <c r="KE166" s="44">
        <v>330</v>
      </c>
      <c r="KF166" s="44">
        <v>330</v>
      </c>
      <c r="KG166" s="47">
        <v>0</v>
      </c>
      <c r="KH166" s="45"/>
      <c r="KM166" s="47">
        <v>0</v>
      </c>
      <c r="KN166" s="43"/>
      <c r="KT166" s="43"/>
      <c r="KX166" s="45"/>
      <c r="LD166" s="43"/>
      <c r="LE166" s="40"/>
      <c r="LH166" s="45"/>
      <c r="LN166" s="45"/>
      <c r="LT166" s="45"/>
      <c r="LZ166" s="45"/>
      <c r="MB166" s="41"/>
      <c r="MF166" s="45"/>
      <c r="MG166" s="46"/>
      <c r="MN166" s="45"/>
      <c r="MT166" s="45"/>
      <c r="MZ166" s="45"/>
      <c r="NA166" s="46"/>
      <c r="ND166" s="45"/>
      <c r="NE166" s="46"/>
      <c r="NK166" s="45"/>
      <c r="NL166" s="46"/>
      <c r="NQ166" s="45"/>
      <c r="NR166" s="46"/>
      <c r="NU166" s="45"/>
      <c r="NV166" s="46"/>
      <c r="OA166" s="45"/>
      <c r="OB166" s="46"/>
      <c r="OE166" s="45"/>
      <c r="OF166" s="46"/>
      <c r="OK166" s="45"/>
      <c r="OM166" s="43"/>
      <c r="OQ166" s="45"/>
      <c r="OR166" s="46"/>
      <c r="OW166" s="45"/>
      <c r="OX166" s="46"/>
      <c r="PC166" s="45"/>
      <c r="PD166" s="46"/>
      <c r="PI166" s="45"/>
      <c r="PJ166" s="46"/>
      <c r="PO166" s="45"/>
      <c r="PP166" s="46"/>
      <c r="PS166" s="44"/>
      <c r="PU166" s="45"/>
      <c r="PV166" s="46"/>
      <c r="PY166" s="45"/>
      <c r="PZ166" s="46"/>
      <c r="QC166" s="45"/>
      <c r="QD166" s="46"/>
      <c r="QI166" s="45"/>
      <c r="QJ166" s="46"/>
      <c r="QM166" s="45"/>
      <c r="QN166" s="46"/>
      <c r="QS166" s="45"/>
      <c r="QT166" s="46"/>
      <c r="QW166" s="45"/>
      <c r="QX166" s="46"/>
      <c r="RC166" s="45"/>
      <c r="RD166" s="42"/>
      <c r="RE166" s="44"/>
      <c r="RG166" s="44"/>
      <c r="RI166" s="45"/>
      <c r="RJ166" s="42"/>
      <c r="RO166" s="43"/>
      <c r="RP166" s="42"/>
      <c r="RS166" s="43"/>
      <c r="RT166" s="42"/>
      <c r="RY166" s="43"/>
      <c r="RZ166" s="42"/>
      <c r="SE166" s="43"/>
      <c r="SF166" s="42"/>
      <c r="SK166" s="43"/>
      <c r="SL166" s="42"/>
      <c r="SO166" s="43"/>
      <c r="SP166" s="42"/>
      <c r="SU166" s="43"/>
    </row>
    <row r="167" spans="1:515" x14ac:dyDescent="0.25">
      <c r="A167" s="47" t="s">
        <v>474</v>
      </c>
      <c r="B167" s="41">
        <v>0.41</v>
      </c>
      <c r="E167">
        <v>256</v>
      </c>
      <c r="F167">
        <v>310</v>
      </c>
      <c r="G167">
        <v>314</v>
      </c>
      <c r="J167" s="40">
        <v>330</v>
      </c>
      <c r="K167" s="52">
        <v>344</v>
      </c>
      <c r="L167" s="52">
        <v>280</v>
      </c>
      <c r="M167" s="52">
        <v>281</v>
      </c>
      <c r="N167" s="51">
        <f t="shared" si="15"/>
        <v>-15</v>
      </c>
      <c r="O167" s="43"/>
      <c r="P167" s="40">
        <v>390</v>
      </c>
      <c r="Q167" s="52">
        <v>391</v>
      </c>
      <c r="R167" s="52">
        <v>330</v>
      </c>
      <c r="S167" s="52">
        <v>336</v>
      </c>
      <c r="T167" s="51">
        <f t="shared" si="16"/>
        <v>-7</v>
      </c>
      <c r="U167" s="43"/>
      <c r="V167" s="40">
        <v>260</v>
      </c>
      <c r="W167" s="52">
        <v>263</v>
      </c>
      <c r="X167" s="52">
        <v>130</v>
      </c>
      <c r="Y167" s="52">
        <v>131</v>
      </c>
      <c r="Z167" s="51">
        <f t="shared" si="17"/>
        <v>-4</v>
      </c>
      <c r="AA167" s="43"/>
      <c r="AB167" s="40">
        <v>290</v>
      </c>
      <c r="AC167" s="56">
        <v>290.86956521739131</v>
      </c>
      <c r="AD167" s="52">
        <v>370</v>
      </c>
      <c r="AE167" s="56">
        <v>378.13043478260869</v>
      </c>
      <c r="AF167" s="51">
        <v>-9</v>
      </c>
      <c r="AG167" s="43"/>
      <c r="AH167" s="52">
        <v>250</v>
      </c>
      <c r="AI167">
        <v>252</v>
      </c>
      <c r="AJ167">
        <v>200</v>
      </c>
      <c r="AK167">
        <v>201</v>
      </c>
      <c r="AL167" s="47">
        <v>-3</v>
      </c>
      <c r="AM167" s="43"/>
      <c r="AN167" s="42"/>
      <c r="AR167" s="47">
        <v>0</v>
      </c>
      <c r="AS167" s="43"/>
      <c r="AT167">
        <v>500</v>
      </c>
      <c r="AU167">
        <v>500</v>
      </c>
      <c r="AV167">
        <v>360</v>
      </c>
      <c r="AW167">
        <v>367</v>
      </c>
      <c r="AX167" s="47">
        <v>-7</v>
      </c>
      <c r="AY167" s="43"/>
      <c r="AZ167">
        <v>630</v>
      </c>
      <c r="BA167">
        <v>630</v>
      </c>
      <c r="BB167">
        <v>660</v>
      </c>
      <c r="BC167">
        <v>659</v>
      </c>
      <c r="BD167" s="47">
        <v>1</v>
      </c>
      <c r="BE167" s="43"/>
      <c r="BF167" s="40">
        <v>200</v>
      </c>
      <c r="BG167">
        <v>200</v>
      </c>
      <c r="BH167">
        <v>210</v>
      </c>
      <c r="BI167">
        <v>211</v>
      </c>
      <c r="BJ167" s="47">
        <v>-1</v>
      </c>
      <c r="BK167" s="43"/>
      <c r="BL167" s="40">
        <v>300</v>
      </c>
      <c r="BM167">
        <v>300</v>
      </c>
      <c r="BN167">
        <v>150</v>
      </c>
      <c r="BO167">
        <v>157</v>
      </c>
      <c r="BP167" s="47">
        <v>-7</v>
      </c>
      <c r="BQ167" s="43"/>
      <c r="BR167">
        <v>300</v>
      </c>
      <c r="BS167">
        <v>300</v>
      </c>
      <c r="BT167">
        <v>230</v>
      </c>
      <c r="BU167">
        <v>234</v>
      </c>
      <c r="BV167" s="47">
        <v>-4</v>
      </c>
      <c r="BW167" s="43"/>
      <c r="BX167" s="40">
        <v>320</v>
      </c>
      <c r="BY167">
        <v>320</v>
      </c>
      <c r="BZ167">
        <v>200</v>
      </c>
      <c r="CA167">
        <v>205</v>
      </c>
      <c r="CB167" s="47">
        <v>-5</v>
      </c>
      <c r="CC167" s="43"/>
      <c r="CD167">
        <v>370</v>
      </c>
      <c r="CE167">
        <v>370</v>
      </c>
      <c r="CF167">
        <v>390</v>
      </c>
      <c r="CG167">
        <v>395</v>
      </c>
      <c r="CH167" s="47">
        <v>-5</v>
      </c>
      <c r="CI167" s="43"/>
      <c r="CJ167">
        <v>210</v>
      </c>
      <c r="CK167">
        <v>210</v>
      </c>
      <c r="CL167">
        <v>220</v>
      </c>
      <c r="CM167">
        <v>223</v>
      </c>
      <c r="CN167" s="47">
        <v>-3</v>
      </c>
      <c r="CO167" s="43"/>
      <c r="CP167" s="40">
        <v>400</v>
      </c>
      <c r="CQ167">
        <v>400</v>
      </c>
      <c r="CR167">
        <v>520</v>
      </c>
      <c r="CS167">
        <v>526</v>
      </c>
      <c r="CT167" s="47">
        <v>-6</v>
      </c>
      <c r="CU167" s="43"/>
      <c r="CV167" s="42"/>
      <c r="CZ167" s="47">
        <v>0</v>
      </c>
      <c r="DA167" s="43"/>
      <c r="DB167">
        <v>650</v>
      </c>
      <c r="DC167">
        <v>650</v>
      </c>
      <c r="DE167">
        <v>740</v>
      </c>
      <c r="DF167">
        <v>747</v>
      </c>
      <c r="DG167" s="47">
        <v>-7</v>
      </c>
      <c r="DH167" s="43"/>
      <c r="DI167">
        <v>200</v>
      </c>
      <c r="DJ167">
        <v>200</v>
      </c>
      <c r="DK167" s="47">
        <v>0</v>
      </c>
      <c r="DL167" s="43"/>
      <c r="DM167" s="40">
        <v>460</v>
      </c>
      <c r="DN167">
        <v>463</v>
      </c>
      <c r="DQ167" s="47">
        <v>-3</v>
      </c>
      <c r="DR167" s="43"/>
      <c r="DS167">
        <v>250</v>
      </c>
      <c r="DT167">
        <v>250</v>
      </c>
      <c r="DU167">
        <v>360</v>
      </c>
      <c r="DV167">
        <v>364</v>
      </c>
      <c r="DW167" s="47">
        <v>-4</v>
      </c>
      <c r="DX167" s="43"/>
      <c r="DY167">
        <v>300</v>
      </c>
      <c r="DZ167">
        <v>300</v>
      </c>
      <c r="EA167">
        <v>140</v>
      </c>
      <c r="EB167">
        <v>147</v>
      </c>
      <c r="EC167" s="47">
        <v>-7</v>
      </c>
      <c r="ED167" s="43"/>
      <c r="EE167" s="42"/>
      <c r="EG167">
        <v>920</v>
      </c>
      <c r="EH167">
        <v>925</v>
      </c>
      <c r="EI167" s="47">
        <v>-5</v>
      </c>
      <c r="EJ167" s="43"/>
      <c r="EK167">
        <v>140</v>
      </c>
      <c r="EL167">
        <v>140</v>
      </c>
      <c r="EM167">
        <v>100</v>
      </c>
      <c r="EN167">
        <v>104</v>
      </c>
      <c r="EO167" s="47">
        <v>-4</v>
      </c>
      <c r="EP167" s="43"/>
      <c r="EQ167" s="42"/>
      <c r="EU167" s="47">
        <v>0</v>
      </c>
      <c r="EV167" s="43"/>
      <c r="EW167" s="42"/>
      <c r="EY167">
        <v>600</v>
      </c>
      <c r="EZ167">
        <v>600</v>
      </c>
      <c r="FA167">
        <v>500</v>
      </c>
      <c r="FB167">
        <v>504</v>
      </c>
      <c r="FC167" s="47">
        <v>-4</v>
      </c>
      <c r="FD167" s="43"/>
      <c r="FE167" s="40">
        <v>180</v>
      </c>
      <c r="FF167">
        <v>180</v>
      </c>
      <c r="FG167">
        <v>100</v>
      </c>
      <c r="FH167">
        <v>100</v>
      </c>
      <c r="FI167" s="47">
        <v>0</v>
      </c>
      <c r="FJ167" s="43"/>
      <c r="FK167">
        <v>200</v>
      </c>
      <c r="FL167">
        <v>200</v>
      </c>
      <c r="FM167">
        <v>230</v>
      </c>
      <c r="FN167">
        <v>230</v>
      </c>
      <c r="FO167">
        <v>300</v>
      </c>
      <c r="FP167">
        <v>300</v>
      </c>
      <c r="FQ167" s="47">
        <v>0</v>
      </c>
      <c r="FR167" s="43"/>
      <c r="FS167" s="42"/>
      <c r="FU167">
        <v>400</v>
      </c>
      <c r="FV167">
        <v>400</v>
      </c>
      <c r="FW167" s="47">
        <v>0</v>
      </c>
      <c r="FX167" s="43"/>
      <c r="FY167" s="42"/>
      <c r="GC167" s="47">
        <v>0</v>
      </c>
      <c r="GD167" s="43"/>
      <c r="GE167" s="40">
        <v>350</v>
      </c>
      <c r="GF167">
        <v>350</v>
      </c>
      <c r="GG167">
        <v>400</v>
      </c>
      <c r="GH167">
        <v>400</v>
      </c>
      <c r="GI167" s="47">
        <v>0</v>
      </c>
      <c r="GJ167" s="43"/>
      <c r="GM167">
        <v>50</v>
      </c>
      <c r="GN167">
        <v>50</v>
      </c>
      <c r="GO167">
        <v>50</v>
      </c>
      <c r="GP167">
        <v>50</v>
      </c>
      <c r="GQ167" s="47">
        <v>0</v>
      </c>
      <c r="GR167" s="43"/>
      <c r="GU167">
        <v>650</v>
      </c>
      <c r="GW167">
        <v>650</v>
      </c>
      <c r="GX167" s="47">
        <v>0</v>
      </c>
      <c r="GY167" s="43"/>
      <c r="GZ167" s="42"/>
      <c r="HC167" s="47">
        <v>0</v>
      </c>
      <c r="HD167" s="43"/>
      <c r="HE167" s="42"/>
      <c r="HH167" s="47">
        <v>0</v>
      </c>
      <c r="HI167" s="43"/>
      <c r="HJ167">
        <v>1600</v>
      </c>
      <c r="HM167">
        <v>1600</v>
      </c>
      <c r="HN167" s="47">
        <v>0</v>
      </c>
      <c r="HO167" s="43"/>
      <c r="HP167" s="42"/>
      <c r="HU167" s="47">
        <v>0</v>
      </c>
      <c r="HV167" s="43"/>
      <c r="HW167">
        <v>410</v>
      </c>
      <c r="HX167">
        <v>410</v>
      </c>
      <c r="HY167">
        <v>410</v>
      </c>
      <c r="HZ167">
        <v>410</v>
      </c>
      <c r="IA167" s="47">
        <v>0</v>
      </c>
      <c r="IB167" s="43"/>
      <c r="IC167" s="42"/>
      <c r="IE167">
        <v>610</v>
      </c>
      <c r="IF167">
        <v>780</v>
      </c>
      <c r="IG167" s="50">
        <v>-170</v>
      </c>
      <c r="IH167" s="43">
        <v>69.7</v>
      </c>
      <c r="II167">
        <v>260</v>
      </c>
      <c r="IJ167">
        <v>260</v>
      </c>
      <c r="IK167">
        <v>320</v>
      </c>
      <c r="IL167">
        <v>320</v>
      </c>
      <c r="IM167" s="47">
        <v>0</v>
      </c>
      <c r="IN167" s="43"/>
      <c r="IO167" s="42"/>
      <c r="IQ167" s="47">
        <v>0</v>
      </c>
      <c r="IR167" s="43"/>
      <c r="IS167" s="40">
        <v>400</v>
      </c>
      <c r="IT167">
        <v>400</v>
      </c>
      <c r="IU167">
        <v>420</v>
      </c>
      <c r="IV167">
        <v>420</v>
      </c>
      <c r="IW167" s="47">
        <v>0</v>
      </c>
      <c r="IX167" s="43"/>
      <c r="IY167" s="40">
        <v>520</v>
      </c>
      <c r="IZ167">
        <v>520</v>
      </c>
      <c r="JA167" s="47">
        <v>0</v>
      </c>
      <c r="JB167" s="43"/>
      <c r="JC167" s="40">
        <v>200</v>
      </c>
      <c r="JD167">
        <v>200</v>
      </c>
      <c r="JE167">
        <v>200</v>
      </c>
      <c r="JF167">
        <v>200</v>
      </c>
      <c r="JG167" s="47">
        <v>0</v>
      </c>
      <c r="JH167" s="43"/>
      <c r="JI167">
        <v>400</v>
      </c>
      <c r="JJ167">
        <v>400</v>
      </c>
      <c r="JK167">
        <v>650</v>
      </c>
      <c r="JL167">
        <v>650</v>
      </c>
      <c r="JO167" s="47">
        <v>0</v>
      </c>
      <c r="JP167" s="43"/>
      <c r="JQ167" s="40">
        <v>200</v>
      </c>
      <c r="JR167">
        <v>200</v>
      </c>
      <c r="JS167">
        <v>200</v>
      </c>
      <c r="JT167">
        <v>200</v>
      </c>
      <c r="JU167" s="47">
        <v>0</v>
      </c>
      <c r="JV167" s="43"/>
      <c r="JW167">
        <v>150</v>
      </c>
      <c r="JX167">
        <v>150</v>
      </c>
      <c r="JY167">
        <v>250</v>
      </c>
      <c r="JZ167">
        <v>250</v>
      </c>
      <c r="KA167" s="47">
        <v>0</v>
      </c>
      <c r="KB167" s="45"/>
      <c r="KC167">
        <v>300</v>
      </c>
      <c r="KD167" s="44">
        <v>300</v>
      </c>
      <c r="KE167" s="44">
        <v>250</v>
      </c>
      <c r="KF167" s="44">
        <v>250</v>
      </c>
      <c r="KG167" s="47">
        <v>0</v>
      </c>
      <c r="KH167" s="45"/>
      <c r="KM167" s="47">
        <v>0</v>
      </c>
      <c r="KN167" s="43"/>
      <c r="KT167" s="43"/>
      <c r="KX167" s="45"/>
      <c r="LD167" s="43"/>
      <c r="LE167" s="40"/>
      <c r="LH167" s="45"/>
      <c r="LN167" s="45"/>
      <c r="LT167" s="45"/>
      <c r="LZ167" s="45"/>
      <c r="MB167" s="41"/>
      <c r="MF167" s="45"/>
      <c r="MG167" s="46"/>
      <c r="MN167" s="45"/>
      <c r="MT167" s="45"/>
      <c r="MZ167" s="45"/>
      <c r="NA167" s="46"/>
      <c r="ND167" s="45"/>
      <c r="NE167" s="46"/>
      <c r="NK167" s="45"/>
      <c r="NL167" s="46"/>
      <c r="NQ167" s="45"/>
      <c r="NR167" s="46"/>
      <c r="NU167" s="45"/>
      <c r="NV167" s="46"/>
      <c r="OA167" s="45"/>
      <c r="OB167" s="46"/>
      <c r="OE167" s="45"/>
      <c r="OF167" s="46"/>
      <c r="OK167" s="45"/>
      <c r="OM167" s="43"/>
      <c r="OQ167" s="45"/>
      <c r="OR167" s="46"/>
      <c r="OW167" s="45"/>
      <c r="OX167" s="46"/>
      <c r="PC167" s="45"/>
      <c r="PD167" s="46"/>
      <c r="PI167" s="45"/>
      <c r="PJ167" s="46"/>
      <c r="PO167" s="45"/>
      <c r="PP167" s="46"/>
      <c r="PS167" s="44"/>
      <c r="PU167" s="45"/>
      <c r="PV167" s="46"/>
      <c r="PY167" s="45"/>
      <c r="PZ167" s="46"/>
      <c r="QC167" s="45"/>
      <c r="QD167" s="46"/>
      <c r="QI167" s="45"/>
      <c r="QJ167" s="46"/>
      <c r="QM167" s="45"/>
      <c r="QN167" s="46"/>
      <c r="QS167" s="45"/>
      <c r="QT167" s="46"/>
      <c r="QW167" s="45"/>
      <c r="QX167" s="46"/>
      <c r="RC167" s="45"/>
      <c r="RD167" s="42"/>
      <c r="RE167" s="44"/>
      <c r="RG167" s="44"/>
      <c r="RI167" s="45"/>
      <c r="RJ167" s="42"/>
      <c r="RO167" s="43"/>
      <c r="RP167" s="42"/>
      <c r="RS167" s="43"/>
      <c r="RT167" s="42"/>
      <c r="RY167" s="43"/>
      <c r="RZ167" s="42"/>
      <c r="SE167" s="43"/>
      <c r="SF167" s="42"/>
      <c r="SK167" s="43"/>
      <c r="SL167" s="42"/>
      <c r="SO167" s="43"/>
      <c r="SP167" s="42"/>
      <c r="SU167" s="43"/>
    </row>
    <row r="168" spans="1:515" x14ac:dyDescent="0.25">
      <c r="A168" s="47" t="s">
        <v>475</v>
      </c>
      <c r="B168" s="41">
        <v>1</v>
      </c>
      <c r="J168" s="40">
        <v>162</v>
      </c>
      <c r="K168" s="52">
        <v>158</v>
      </c>
      <c r="L168" s="52">
        <v>132</v>
      </c>
      <c r="M168" s="52">
        <v>129</v>
      </c>
      <c r="N168" s="51">
        <f t="shared" si="15"/>
        <v>7</v>
      </c>
      <c r="O168" s="43"/>
      <c r="P168" s="40">
        <v>198</v>
      </c>
      <c r="Q168" s="52">
        <v>192</v>
      </c>
      <c r="R168" s="52">
        <v>168</v>
      </c>
      <c r="S168" s="52">
        <v>164</v>
      </c>
      <c r="T168" s="51">
        <f t="shared" si="16"/>
        <v>10</v>
      </c>
      <c r="U168" s="43"/>
      <c r="V168" s="42"/>
      <c r="W168" s="51"/>
      <c r="X168" s="51"/>
      <c r="Y168" s="51"/>
      <c r="Z168" s="51">
        <f t="shared" si="17"/>
        <v>0</v>
      </c>
      <c r="AA168" s="43"/>
      <c r="AB168" s="40">
        <v>81</v>
      </c>
      <c r="AC168" s="56">
        <v>81.304347826086968</v>
      </c>
      <c r="AD168" s="52">
        <v>106</v>
      </c>
      <c r="AE168" s="56">
        <v>105.695652173913</v>
      </c>
      <c r="AF168" s="51">
        <v>0</v>
      </c>
      <c r="AG168" s="43"/>
      <c r="AH168" s="52">
        <v>178</v>
      </c>
      <c r="AI168">
        <v>178</v>
      </c>
      <c r="AJ168">
        <v>143</v>
      </c>
      <c r="AK168">
        <v>142</v>
      </c>
      <c r="AL168" s="47">
        <v>1</v>
      </c>
      <c r="AM168" s="43"/>
      <c r="AN168" s="42"/>
      <c r="AR168" s="47">
        <v>0</v>
      </c>
      <c r="AS168" s="43"/>
      <c r="AT168">
        <v>163</v>
      </c>
      <c r="AU168">
        <v>160</v>
      </c>
      <c r="AV168">
        <v>172</v>
      </c>
      <c r="AW168">
        <v>172</v>
      </c>
      <c r="AX168" s="47">
        <v>3</v>
      </c>
      <c r="AY168" s="43"/>
      <c r="AZ168">
        <v>83</v>
      </c>
      <c r="BA168">
        <v>80</v>
      </c>
      <c r="BB168">
        <v>99</v>
      </c>
      <c r="BC168">
        <v>99</v>
      </c>
      <c r="BD168" s="47">
        <v>3</v>
      </c>
      <c r="BE168" s="43"/>
      <c r="BF168" s="40">
        <v>105</v>
      </c>
      <c r="BG168">
        <v>100</v>
      </c>
      <c r="BH168">
        <v>113</v>
      </c>
      <c r="BI168">
        <v>106</v>
      </c>
      <c r="BJ168" s="47">
        <v>12</v>
      </c>
      <c r="BK168" s="43"/>
      <c r="BL168" s="40">
        <v>75</v>
      </c>
      <c r="BM168">
        <v>70</v>
      </c>
      <c r="BN168">
        <v>86</v>
      </c>
      <c r="BO168">
        <v>82</v>
      </c>
      <c r="BP168" s="47">
        <v>9</v>
      </c>
      <c r="BQ168" s="43"/>
      <c r="BV168" s="47">
        <v>0</v>
      </c>
      <c r="BW168" s="43"/>
      <c r="BX168" s="40">
        <v>124</v>
      </c>
      <c r="BY168">
        <v>120</v>
      </c>
      <c r="BZ168">
        <v>174</v>
      </c>
      <c r="CA168">
        <v>170</v>
      </c>
      <c r="CB168" s="47">
        <v>8</v>
      </c>
      <c r="CC168" s="43"/>
      <c r="CD168">
        <v>137</v>
      </c>
      <c r="CE168">
        <v>130</v>
      </c>
      <c r="CF168">
        <v>146</v>
      </c>
      <c r="CG168">
        <v>145</v>
      </c>
      <c r="CH168" s="47">
        <v>8</v>
      </c>
      <c r="CI168" s="43"/>
      <c r="CJ168">
        <v>49</v>
      </c>
      <c r="CK168">
        <v>50</v>
      </c>
      <c r="CL168">
        <v>63</v>
      </c>
      <c r="CM168">
        <v>63</v>
      </c>
      <c r="CN168" s="47">
        <v>-1</v>
      </c>
      <c r="CO168" s="43"/>
      <c r="CP168" s="40">
        <v>50</v>
      </c>
      <c r="CQ168">
        <v>50</v>
      </c>
      <c r="CR168">
        <v>106</v>
      </c>
      <c r="CS168">
        <v>103</v>
      </c>
      <c r="CT168" s="47">
        <v>3</v>
      </c>
      <c r="CU168" s="43"/>
      <c r="CV168" s="40">
        <v>136</v>
      </c>
      <c r="CW168">
        <v>130</v>
      </c>
      <c r="CX168">
        <v>126</v>
      </c>
      <c r="CY168">
        <v>121</v>
      </c>
      <c r="CZ168" s="47">
        <v>11</v>
      </c>
      <c r="DA168" s="43"/>
      <c r="DB168">
        <v>126</v>
      </c>
      <c r="DC168">
        <v>120</v>
      </c>
      <c r="DD168">
        <v>63</v>
      </c>
      <c r="DF168">
        <v>106</v>
      </c>
      <c r="DG168" s="50">
        <v>-37</v>
      </c>
      <c r="DH168" s="43">
        <v>37</v>
      </c>
      <c r="DK168" s="47">
        <v>0</v>
      </c>
      <c r="DL168" s="43"/>
      <c r="DM168" s="40">
        <v>136</v>
      </c>
      <c r="DN168">
        <v>134</v>
      </c>
      <c r="DO168">
        <v>282</v>
      </c>
      <c r="DP168">
        <v>273</v>
      </c>
      <c r="DQ168" s="47">
        <v>11</v>
      </c>
      <c r="DR168" s="43"/>
      <c r="DS168">
        <v>158</v>
      </c>
      <c r="DT168">
        <v>150</v>
      </c>
      <c r="DU168">
        <v>239</v>
      </c>
      <c r="DV168">
        <v>231</v>
      </c>
      <c r="DW168" s="47">
        <v>16</v>
      </c>
      <c r="DX168" s="43"/>
      <c r="EA168">
        <v>118</v>
      </c>
      <c r="EB168">
        <v>117</v>
      </c>
      <c r="EC168" s="47">
        <v>1</v>
      </c>
      <c r="ED168" s="43"/>
      <c r="EE168" s="42"/>
      <c r="EI168" s="47">
        <v>0</v>
      </c>
      <c r="EJ168" s="43"/>
      <c r="EK168">
        <v>51</v>
      </c>
      <c r="EL168">
        <v>50</v>
      </c>
      <c r="EO168" s="47">
        <v>1</v>
      </c>
      <c r="EP168" s="43"/>
      <c r="EQ168" s="40">
        <v>151</v>
      </c>
      <c r="ER168">
        <v>150</v>
      </c>
      <c r="ES168">
        <v>107</v>
      </c>
      <c r="ET168">
        <v>103</v>
      </c>
      <c r="EU168" s="47">
        <v>5</v>
      </c>
      <c r="EV168" s="43"/>
      <c r="EW168" s="42"/>
      <c r="EY168">
        <v>205</v>
      </c>
      <c r="EZ168">
        <v>200</v>
      </c>
      <c r="FA168">
        <v>144</v>
      </c>
      <c r="FB168">
        <v>138</v>
      </c>
      <c r="FC168" s="47">
        <v>11</v>
      </c>
      <c r="FD168" s="43"/>
      <c r="FE168" s="40">
        <v>144</v>
      </c>
      <c r="FF168">
        <v>140</v>
      </c>
      <c r="FG168">
        <v>144</v>
      </c>
      <c r="FH168">
        <v>140</v>
      </c>
      <c r="FI168" s="47">
        <v>8</v>
      </c>
      <c r="FJ168" s="43"/>
      <c r="FM168">
        <v>50</v>
      </c>
      <c r="FN168">
        <v>50</v>
      </c>
      <c r="FO168">
        <v>106</v>
      </c>
      <c r="FP168">
        <v>100</v>
      </c>
      <c r="FQ168" s="47">
        <v>6</v>
      </c>
      <c r="FR168" s="43"/>
      <c r="FS168" s="42"/>
      <c r="FW168" s="47">
        <v>0</v>
      </c>
      <c r="FX168" s="43"/>
      <c r="FY168" s="40">
        <v>314</v>
      </c>
      <c r="FZ168">
        <v>300</v>
      </c>
      <c r="GA168">
        <v>483</v>
      </c>
      <c r="GB168">
        <v>470</v>
      </c>
      <c r="GC168" s="47">
        <v>27</v>
      </c>
      <c r="GD168" s="43"/>
      <c r="GE168" s="40">
        <v>125</v>
      </c>
      <c r="GF168">
        <v>120</v>
      </c>
      <c r="GG168">
        <v>81</v>
      </c>
      <c r="GH168">
        <v>80</v>
      </c>
      <c r="GI168" s="47">
        <v>6</v>
      </c>
      <c r="GJ168" s="43"/>
      <c r="GQ168" s="47">
        <v>0</v>
      </c>
      <c r="GR168" s="43"/>
      <c r="GS168">
        <v>297</v>
      </c>
      <c r="GT168">
        <v>290</v>
      </c>
      <c r="GU168">
        <v>168</v>
      </c>
      <c r="GW168">
        <v>160</v>
      </c>
      <c r="GX168" s="47">
        <v>15</v>
      </c>
      <c r="GY168" s="43"/>
      <c r="GZ168" s="42"/>
      <c r="HC168" s="47">
        <v>0</v>
      </c>
      <c r="HD168" s="43"/>
      <c r="HE168" s="40">
        <v>158</v>
      </c>
      <c r="HG168">
        <v>150</v>
      </c>
      <c r="HH168" s="47">
        <v>8</v>
      </c>
      <c r="HI168" s="43"/>
      <c r="HJ168">
        <v>113</v>
      </c>
      <c r="HM168">
        <v>110</v>
      </c>
      <c r="HN168" s="47">
        <v>3</v>
      </c>
      <c r="HO168" s="43"/>
      <c r="HP168" s="42"/>
      <c r="HU168" s="47">
        <v>0</v>
      </c>
      <c r="HV168" s="43"/>
      <c r="HY168">
        <v>49</v>
      </c>
      <c r="HZ168">
        <v>50</v>
      </c>
      <c r="IA168" s="47">
        <v>-1</v>
      </c>
      <c r="IB168" s="43"/>
      <c r="IC168" s="42"/>
      <c r="IE168">
        <v>284</v>
      </c>
      <c r="IF168">
        <v>270</v>
      </c>
      <c r="IG168" s="47">
        <v>14</v>
      </c>
      <c r="IH168" s="43"/>
      <c r="IK168">
        <v>108</v>
      </c>
      <c r="IL168">
        <v>100</v>
      </c>
      <c r="IM168" s="47">
        <v>8</v>
      </c>
      <c r="IN168" s="43"/>
      <c r="IO168" s="42"/>
      <c r="IQ168" s="47">
        <v>0</v>
      </c>
      <c r="IR168" s="43"/>
      <c r="IS168" s="40">
        <v>107</v>
      </c>
      <c r="IT168">
        <v>100</v>
      </c>
      <c r="IU168">
        <v>200</v>
      </c>
      <c r="IV168">
        <v>190</v>
      </c>
      <c r="IW168" s="47">
        <v>17</v>
      </c>
      <c r="IX168" s="43"/>
      <c r="IY168" s="42"/>
      <c r="JA168" s="47">
        <v>0</v>
      </c>
      <c r="JB168" s="43"/>
      <c r="JC168" s="40">
        <v>106</v>
      </c>
      <c r="JD168">
        <v>100</v>
      </c>
      <c r="JE168">
        <v>50</v>
      </c>
      <c r="JF168">
        <v>50</v>
      </c>
      <c r="JG168" s="47">
        <v>6</v>
      </c>
      <c r="JH168" s="43"/>
      <c r="JM168">
        <v>157</v>
      </c>
      <c r="JN168">
        <v>150</v>
      </c>
      <c r="JO168" s="47">
        <v>7</v>
      </c>
      <c r="JP168" s="43"/>
      <c r="JQ168" s="40">
        <v>107</v>
      </c>
      <c r="JR168">
        <v>100</v>
      </c>
      <c r="JS168">
        <v>106</v>
      </c>
      <c r="JT168">
        <v>100</v>
      </c>
      <c r="JU168" s="47">
        <v>13</v>
      </c>
      <c r="JV168" s="43"/>
      <c r="JY168">
        <v>158</v>
      </c>
      <c r="JZ168">
        <v>150</v>
      </c>
      <c r="KA168" s="47">
        <v>8</v>
      </c>
      <c r="KB168" s="45"/>
      <c r="KC168">
        <v>108</v>
      </c>
      <c r="KD168" s="44">
        <v>100</v>
      </c>
      <c r="KE168" s="44">
        <v>74</v>
      </c>
      <c r="KF168" s="44">
        <v>70</v>
      </c>
      <c r="KG168" s="47">
        <v>12</v>
      </c>
      <c r="KH168" s="45"/>
      <c r="KM168" s="47">
        <v>0</v>
      </c>
      <c r="KN168" s="43"/>
      <c r="KT168" s="43"/>
      <c r="KX168" s="45"/>
      <c r="LD168" s="43"/>
      <c r="LE168" s="40"/>
      <c r="LH168" s="45"/>
      <c r="LN168" s="45"/>
      <c r="LT168" s="45"/>
      <c r="LZ168" s="45"/>
      <c r="MB168" s="41"/>
      <c r="MF168" s="45"/>
      <c r="MG168" s="46"/>
      <c r="MN168" s="45"/>
      <c r="MT168" s="45"/>
      <c r="MZ168" s="45"/>
      <c r="NA168" s="46"/>
      <c r="ND168" s="45"/>
      <c r="NE168" s="46"/>
      <c r="NK168" s="45"/>
      <c r="NL168" s="46"/>
      <c r="NQ168" s="45"/>
      <c r="NR168" s="46"/>
      <c r="NU168" s="45"/>
      <c r="NV168" s="46"/>
      <c r="OA168" s="45"/>
      <c r="OB168" s="46"/>
      <c r="OE168" s="45"/>
      <c r="OF168" s="46"/>
      <c r="OK168" s="45"/>
      <c r="OM168" s="43"/>
      <c r="OQ168" s="45"/>
      <c r="OR168" s="46"/>
      <c r="OW168" s="45"/>
      <c r="OX168" s="46"/>
      <c r="PC168" s="45"/>
      <c r="PD168" s="46"/>
      <c r="PI168" s="45"/>
      <c r="PJ168" s="46"/>
      <c r="PO168" s="45"/>
      <c r="PP168" s="46"/>
      <c r="PS168" s="44"/>
      <c r="PU168" s="45"/>
      <c r="PV168" s="46"/>
      <c r="PY168" s="45"/>
      <c r="PZ168" s="46"/>
      <c r="QC168" s="45"/>
      <c r="QD168" s="46"/>
      <c r="QI168" s="45"/>
      <c r="QJ168" s="46"/>
      <c r="QM168" s="45"/>
      <c r="QN168" s="46"/>
      <c r="QS168" s="45"/>
      <c r="QT168" s="46"/>
      <c r="QW168" s="45"/>
      <c r="QX168" s="46"/>
      <c r="RC168" s="45"/>
      <c r="RD168" s="42"/>
      <c r="RE168" s="44"/>
      <c r="RG168" s="44"/>
      <c r="RI168" s="45"/>
      <c r="RJ168" s="42"/>
      <c r="RO168" s="43"/>
      <c r="RP168" s="42"/>
      <c r="RS168" s="43"/>
      <c r="RT168" s="42"/>
      <c r="RY168" s="43"/>
      <c r="RZ168" s="42"/>
      <c r="SE168" s="43"/>
      <c r="SF168" s="42"/>
      <c r="SK168" s="43"/>
      <c r="SL168" s="42"/>
      <c r="SO168" s="43"/>
      <c r="SP168" s="42"/>
      <c r="SU168" s="43"/>
    </row>
    <row r="169" spans="1:515" x14ac:dyDescent="0.25">
      <c r="A169" s="47" t="s">
        <v>476</v>
      </c>
      <c r="B169" s="41">
        <v>0.3</v>
      </c>
      <c r="E169">
        <v>76</v>
      </c>
      <c r="F169">
        <v>90</v>
      </c>
      <c r="G169">
        <v>92</v>
      </c>
      <c r="J169" s="40">
        <v>162</v>
      </c>
      <c r="K169" s="52">
        <v>164</v>
      </c>
      <c r="L169" s="52">
        <v>132</v>
      </c>
      <c r="M169" s="52">
        <v>133</v>
      </c>
      <c r="N169" s="51">
        <f t="shared" si="15"/>
        <v>-3</v>
      </c>
      <c r="O169" s="43"/>
      <c r="P169" s="40">
        <v>60</v>
      </c>
      <c r="Q169" s="52">
        <v>61</v>
      </c>
      <c r="R169" s="52">
        <v>48</v>
      </c>
      <c r="S169" s="52">
        <v>53</v>
      </c>
      <c r="T169" s="51">
        <f t="shared" si="16"/>
        <v>-6</v>
      </c>
      <c r="U169" s="43"/>
      <c r="V169" s="42"/>
      <c r="W169" s="51"/>
      <c r="X169" s="51"/>
      <c r="Y169" s="51"/>
      <c r="Z169" s="51">
        <f t="shared" si="17"/>
        <v>0</v>
      </c>
      <c r="AA169" s="43"/>
      <c r="AB169" s="40">
        <v>126</v>
      </c>
      <c r="AC169" s="56">
        <v>126.5217391304348</v>
      </c>
      <c r="AD169" s="52">
        <v>162</v>
      </c>
      <c r="AE169" s="56">
        <v>164.47826086956519</v>
      </c>
      <c r="AF169" s="51">
        <v>-3</v>
      </c>
      <c r="AG169" s="43"/>
      <c r="AH169" s="51"/>
      <c r="AL169" s="47">
        <v>0</v>
      </c>
      <c r="AM169" s="43"/>
      <c r="AN169" s="42"/>
      <c r="AR169" s="47">
        <v>0</v>
      </c>
      <c r="AS169" s="43"/>
      <c r="AT169">
        <v>78</v>
      </c>
      <c r="AU169">
        <v>80</v>
      </c>
      <c r="AX169" s="47">
        <v>-2</v>
      </c>
      <c r="AY169" s="43"/>
      <c r="AZ169">
        <v>138</v>
      </c>
      <c r="BA169">
        <v>140</v>
      </c>
      <c r="BB169">
        <v>186</v>
      </c>
      <c r="BC169">
        <v>185</v>
      </c>
      <c r="BD169" s="47">
        <v>-1</v>
      </c>
      <c r="BE169" s="43"/>
      <c r="BF169" s="40">
        <v>60</v>
      </c>
      <c r="BG169">
        <v>60</v>
      </c>
      <c r="BH169">
        <v>78</v>
      </c>
      <c r="BI169">
        <v>76</v>
      </c>
      <c r="BJ169" s="47">
        <v>2</v>
      </c>
      <c r="BK169" s="43"/>
      <c r="BL169" s="40">
        <v>30</v>
      </c>
      <c r="BM169">
        <v>28</v>
      </c>
      <c r="BP169" s="47">
        <v>2</v>
      </c>
      <c r="BQ169" s="43"/>
      <c r="BR169">
        <v>96</v>
      </c>
      <c r="BS169">
        <v>95</v>
      </c>
      <c r="BV169" s="47">
        <v>1</v>
      </c>
      <c r="BW169" s="43"/>
      <c r="BX169" s="40">
        <v>120</v>
      </c>
      <c r="BY169">
        <v>120</v>
      </c>
      <c r="BZ169">
        <v>174</v>
      </c>
      <c r="CA169">
        <v>175</v>
      </c>
      <c r="CB169" s="47">
        <v>-1</v>
      </c>
      <c r="CC169" s="43"/>
      <c r="CH169" s="47">
        <v>0</v>
      </c>
      <c r="CI169" s="43"/>
      <c r="CJ169">
        <v>12</v>
      </c>
      <c r="CK169">
        <v>10</v>
      </c>
      <c r="CN169" s="47">
        <v>2</v>
      </c>
      <c r="CO169" s="43"/>
      <c r="CP169" s="40">
        <v>102</v>
      </c>
      <c r="CQ169">
        <v>100</v>
      </c>
      <c r="CR169">
        <v>228</v>
      </c>
      <c r="CS169">
        <v>229</v>
      </c>
      <c r="CT169" s="47">
        <v>1</v>
      </c>
      <c r="CU169" s="43"/>
      <c r="CV169" s="40">
        <v>30</v>
      </c>
      <c r="CW169">
        <v>32</v>
      </c>
      <c r="CX169">
        <v>72</v>
      </c>
      <c r="CY169">
        <v>70</v>
      </c>
      <c r="CZ169" s="47">
        <v>0</v>
      </c>
      <c r="DA169" s="43"/>
      <c r="DE169">
        <v>108</v>
      </c>
      <c r="DF169">
        <v>108</v>
      </c>
      <c r="DG169" s="47">
        <v>0</v>
      </c>
      <c r="DH169" s="43"/>
      <c r="DK169" s="47">
        <v>0</v>
      </c>
      <c r="DL169" s="43"/>
      <c r="DM169" s="40">
        <v>156</v>
      </c>
      <c r="DN169">
        <v>158</v>
      </c>
      <c r="DQ169" s="47">
        <v>-2</v>
      </c>
      <c r="DR169" s="43"/>
      <c r="DU169">
        <v>24</v>
      </c>
      <c r="DV169">
        <v>24</v>
      </c>
      <c r="DW169" s="47">
        <v>0</v>
      </c>
      <c r="DX169" s="43"/>
      <c r="EA169">
        <v>282</v>
      </c>
      <c r="EB169">
        <v>285</v>
      </c>
      <c r="EC169" s="47">
        <v>-3</v>
      </c>
      <c r="ED169" s="43"/>
      <c r="EE169" s="42"/>
      <c r="EG169">
        <v>222</v>
      </c>
      <c r="EH169">
        <v>224</v>
      </c>
      <c r="EI169" s="47">
        <v>-2</v>
      </c>
      <c r="EJ169" s="43"/>
      <c r="EO169" s="47">
        <v>0</v>
      </c>
      <c r="EP169" s="43"/>
      <c r="EQ169" s="40">
        <v>102</v>
      </c>
      <c r="ER169">
        <v>100</v>
      </c>
      <c r="ES169">
        <v>168</v>
      </c>
      <c r="ET169">
        <v>166</v>
      </c>
      <c r="EU169" s="47">
        <v>4</v>
      </c>
      <c r="EV169" s="43"/>
      <c r="EW169" s="42"/>
      <c r="FA169">
        <v>210</v>
      </c>
      <c r="FB169">
        <v>210</v>
      </c>
      <c r="FC169" s="47">
        <v>0</v>
      </c>
      <c r="FD169" s="43"/>
      <c r="FE169" s="40">
        <v>78</v>
      </c>
      <c r="FF169">
        <v>80</v>
      </c>
      <c r="FG169">
        <v>102</v>
      </c>
      <c r="FH169">
        <v>100</v>
      </c>
      <c r="FI169" s="47">
        <v>0</v>
      </c>
      <c r="FJ169" s="43"/>
      <c r="FM169">
        <v>72</v>
      </c>
      <c r="FN169">
        <v>70</v>
      </c>
      <c r="FQ169" s="47">
        <v>2</v>
      </c>
      <c r="FR169" s="43"/>
      <c r="FS169" s="42"/>
      <c r="FU169">
        <v>192</v>
      </c>
      <c r="FV169">
        <v>190</v>
      </c>
      <c r="FW169" s="47">
        <v>2</v>
      </c>
      <c r="FX169" s="43"/>
      <c r="FY169" s="40">
        <v>102</v>
      </c>
      <c r="FZ169">
        <v>100</v>
      </c>
      <c r="GA169">
        <v>222</v>
      </c>
      <c r="GB169">
        <v>220</v>
      </c>
      <c r="GC169" s="47">
        <v>4</v>
      </c>
      <c r="GD169" s="43"/>
      <c r="GE169" s="42"/>
      <c r="GI169" s="47">
        <v>0</v>
      </c>
      <c r="GJ169" s="43"/>
      <c r="GQ169" s="47">
        <v>0</v>
      </c>
      <c r="GR169" s="43"/>
      <c r="GS169">
        <v>402</v>
      </c>
      <c r="GT169">
        <v>400</v>
      </c>
      <c r="GU169">
        <v>300</v>
      </c>
      <c r="GW169">
        <v>300</v>
      </c>
      <c r="GX169" s="47">
        <v>2</v>
      </c>
      <c r="GY169" s="43"/>
      <c r="GZ169" s="42"/>
      <c r="HC169" s="47">
        <v>0</v>
      </c>
      <c r="HD169" s="43"/>
      <c r="HE169" s="40">
        <v>600</v>
      </c>
      <c r="HG169">
        <v>600</v>
      </c>
      <c r="HH169" s="47">
        <v>0</v>
      </c>
      <c r="HI169" s="43"/>
      <c r="HJ169">
        <v>288</v>
      </c>
      <c r="HM169">
        <v>290</v>
      </c>
      <c r="HN169" s="47">
        <v>-2</v>
      </c>
      <c r="HO169" s="43"/>
      <c r="HP169" s="42"/>
      <c r="HU169" s="47">
        <v>0</v>
      </c>
      <c r="HV169" s="43"/>
      <c r="HY169">
        <v>180</v>
      </c>
      <c r="HZ169">
        <v>180</v>
      </c>
      <c r="IA169" s="47">
        <v>0</v>
      </c>
      <c r="IB169" s="43"/>
      <c r="IC169" s="42"/>
      <c r="IE169">
        <v>192</v>
      </c>
      <c r="IF169">
        <v>190</v>
      </c>
      <c r="IG169" s="47">
        <v>2</v>
      </c>
      <c r="IH169" s="43"/>
      <c r="IK169">
        <v>30</v>
      </c>
      <c r="IL169">
        <v>30</v>
      </c>
      <c r="IM169" s="47">
        <v>0</v>
      </c>
      <c r="IN169" s="43"/>
      <c r="IO169" s="40">
        <v>72</v>
      </c>
      <c r="IP169" s="44">
        <v>75</v>
      </c>
      <c r="IQ169" s="47">
        <v>-3</v>
      </c>
      <c r="IR169" s="43"/>
      <c r="IS169" s="40">
        <v>102</v>
      </c>
      <c r="IT169">
        <v>100</v>
      </c>
      <c r="IU169">
        <v>132</v>
      </c>
      <c r="IV169">
        <v>130</v>
      </c>
      <c r="IW169" s="47">
        <v>4</v>
      </c>
      <c r="IX169" s="43"/>
      <c r="IY169" s="40">
        <v>120</v>
      </c>
      <c r="IZ169" s="47">
        <v>120</v>
      </c>
      <c r="JA169" s="47">
        <v>0</v>
      </c>
      <c r="JB169" s="43"/>
      <c r="JC169" s="42"/>
      <c r="JE169">
        <v>132</v>
      </c>
      <c r="JF169">
        <v>130</v>
      </c>
      <c r="JG169" s="47">
        <v>2</v>
      </c>
      <c r="JH169" s="43"/>
      <c r="JM169">
        <v>132</v>
      </c>
      <c r="JN169">
        <v>130</v>
      </c>
      <c r="JO169" s="47">
        <v>2</v>
      </c>
      <c r="JP169" s="43"/>
      <c r="JQ169" s="42"/>
      <c r="JV169" s="43"/>
      <c r="KB169" s="45"/>
      <c r="KH169" s="45"/>
      <c r="KN169" s="43"/>
      <c r="KT169" s="43"/>
      <c r="KX169" s="45"/>
      <c r="LD169" s="43"/>
      <c r="LE169" s="40"/>
      <c r="LH169" s="45"/>
      <c r="LN169" s="45"/>
      <c r="LT169" s="45"/>
      <c r="LZ169" s="45"/>
      <c r="MB169" s="41"/>
      <c r="MF169" s="45"/>
      <c r="MG169" s="46"/>
      <c r="MN169" s="45"/>
      <c r="MT169" s="45"/>
      <c r="MZ169" s="45"/>
      <c r="NA169" s="46"/>
      <c r="ND169" s="45"/>
      <c r="NE169" s="46"/>
      <c r="NK169" s="45"/>
      <c r="NL169" s="46"/>
      <c r="NQ169" s="45"/>
      <c r="NR169" s="46"/>
      <c r="NU169" s="45"/>
      <c r="NV169" s="46"/>
      <c r="OA169" s="45"/>
      <c r="OB169" s="46"/>
      <c r="OE169" s="45"/>
      <c r="OF169" s="46"/>
      <c r="OK169" s="45"/>
      <c r="OM169" s="43"/>
      <c r="OQ169" s="45"/>
      <c r="OR169" s="46"/>
      <c r="OW169" s="45"/>
      <c r="OX169" s="46"/>
      <c r="PC169" s="45"/>
      <c r="PD169" s="46"/>
      <c r="PG169" s="44"/>
      <c r="PI169" s="45"/>
      <c r="PJ169" s="46"/>
      <c r="PO169" s="45"/>
      <c r="PP169" s="46"/>
      <c r="PS169" s="44"/>
      <c r="PU169" s="45"/>
      <c r="PV169" s="46"/>
      <c r="PY169" s="45"/>
      <c r="PZ169" s="46"/>
      <c r="QC169" s="45"/>
      <c r="QD169" s="46"/>
      <c r="QI169" s="45"/>
      <c r="QJ169" s="46"/>
      <c r="QM169" s="45"/>
      <c r="QN169" s="46"/>
      <c r="QS169" s="45"/>
      <c r="QT169" s="46"/>
      <c r="QW169" s="45"/>
      <c r="QX169" s="46"/>
      <c r="RC169" s="45"/>
      <c r="RD169" s="42"/>
      <c r="RE169" s="44"/>
      <c r="RG169" s="44"/>
      <c r="RI169" s="45"/>
      <c r="RJ169" s="42"/>
      <c r="RO169" s="43"/>
      <c r="RP169" s="42"/>
      <c r="RS169" s="43"/>
      <c r="RT169" s="42"/>
      <c r="RY169" s="43"/>
      <c r="RZ169" s="42"/>
      <c r="SE169" s="43"/>
      <c r="SF169" s="42"/>
      <c r="SK169" s="43"/>
      <c r="SL169" s="42"/>
      <c r="SO169" s="43"/>
      <c r="SP169" s="42"/>
      <c r="SU169" s="43"/>
    </row>
    <row r="170" spans="1:515" x14ac:dyDescent="0.25">
      <c r="A170" s="47" t="s">
        <v>477</v>
      </c>
      <c r="B170" s="41">
        <v>0.14000000000000001</v>
      </c>
      <c r="J170" s="42"/>
      <c r="K170" s="51"/>
      <c r="L170" s="52">
        <v>20</v>
      </c>
      <c r="M170" s="52">
        <v>20</v>
      </c>
      <c r="N170" s="51">
        <f t="shared" si="15"/>
        <v>0</v>
      </c>
      <c r="O170" s="43"/>
      <c r="P170" s="40">
        <v>40</v>
      </c>
      <c r="Q170" s="52">
        <v>48</v>
      </c>
      <c r="R170" s="52">
        <v>40</v>
      </c>
      <c r="S170" s="52">
        <v>41</v>
      </c>
      <c r="T170" s="51">
        <f t="shared" si="16"/>
        <v>-9</v>
      </c>
      <c r="U170" s="43"/>
      <c r="V170" s="42"/>
      <c r="W170" s="51"/>
      <c r="X170" s="52">
        <v>10</v>
      </c>
      <c r="Y170" s="52">
        <v>9</v>
      </c>
      <c r="Z170" s="51">
        <f t="shared" si="17"/>
        <v>1</v>
      </c>
      <c r="AA170" s="43"/>
      <c r="AB170" s="42"/>
      <c r="AC170" s="51"/>
      <c r="AD170" s="52">
        <v>30</v>
      </c>
      <c r="AE170" s="56">
        <v>31</v>
      </c>
      <c r="AF170" s="51">
        <v>-1</v>
      </c>
      <c r="AG170" s="43"/>
      <c r="AH170" s="51"/>
      <c r="AJ170">
        <v>70</v>
      </c>
      <c r="AK170">
        <v>70</v>
      </c>
      <c r="AL170" s="47">
        <v>0</v>
      </c>
      <c r="AM170" s="43"/>
      <c r="AN170" s="42"/>
      <c r="AP170">
        <v>10</v>
      </c>
      <c r="AQ170">
        <v>17</v>
      </c>
      <c r="AR170" s="47">
        <v>-7</v>
      </c>
      <c r="AS170" s="43"/>
      <c r="AX170" s="47">
        <v>0</v>
      </c>
      <c r="AY170" s="43"/>
      <c r="BB170">
        <v>70</v>
      </c>
      <c r="BC170">
        <v>69</v>
      </c>
      <c r="BD170" s="47">
        <v>1</v>
      </c>
      <c r="BE170" s="43"/>
      <c r="BF170" s="42"/>
      <c r="BJ170" s="47">
        <v>0</v>
      </c>
      <c r="BK170" s="43"/>
      <c r="BL170" s="40">
        <v>40</v>
      </c>
      <c r="BM170">
        <v>40</v>
      </c>
      <c r="BN170">
        <v>50</v>
      </c>
      <c r="BO170">
        <v>53</v>
      </c>
      <c r="BP170" s="47">
        <v>-3</v>
      </c>
      <c r="BQ170" s="43"/>
      <c r="BR170">
        <v>10</v>
      </c>
      <c r="BS170">
        <v>14</v>
      </c>
      <c r="BV170" s="47">
        <v>-4</v>
      </c>
      <c r="BW170" s="43"/>
      <c r="BX170" s="40">
        <v>20</v>
      </c>
      <c r="BY170">
        <v>20</v>
      </c>
      <c r="BZ170">
        <v>40</v>
      </c>
      <c r="CA170">
        <v>39</v>
      </c>
      <c r="CB170" s="47">
        <v>1</v>
      </c>
      <c r="CC170" s="43"/>
      <c r="CH170" s="47">
        <v>0</v>
      </c>
      <c r="CI170" s="43"/>
      <c r="CN170" s="47">
        <v>0</v>
      </c>
      <c r="CO170" s="43"/>
      <c r="CP170" s="42"/>
      <c r="CR170">
        <v>70</v>
      </c>
      <c r="CS170">
        <v>68</v>
      </c>
      <c r="CT170" s="47">
        <v>2</v>
      </c>
      <c r="CU170" s="43"/>
      <c r="CV170" s="42"/>
      <c r="CZ170" s="47">
        <v>0</v>
      </c>
      <c r="DA170" s="43"/>
      <c r="DE170">
        <v>20</v>
      </c>
      <c r="DF170">
        <v>26</v>
      </c>
      <c r="DG170" s="47">
        <v>-6</v>
      </c>
      <c r="DH170" s="43"/>
      <c r="DK170" s="47">
        <v>0</v>
      </c>
      <c r="DL170" s="43"/>
      <c r="DM170" s="42"/>
      <c r="DO170">
        <v>40</v>
      </c>
      <c r="DP170">
        <v>38</v>
      </c>
      <c r="DQ170" s="47">
        <v>2</v>
      </c>
      <c r="DR170" s="43"/>
      <c r="DW170" s="47">
        <v>0</v>
      </c>
      <c r="DX170" s="43"/>
      <c r="EC170" s="47">
        <v>0</v>
      </c>
      <c r="ED170" s="43"/>
      <c r="EE170" s="42"/>
      <c r="EG170" s="47">
        <v>50</v>
      </c>
      <c r="EH170">
        <v>50</v>
      </c>
      <c r="EI170" s="47">
        <v>0</v>
      </c>
      <c r="EJ170" s="43"/>
      <c r="EO170" s="47">
        <v>0</v>
      </c>
      <c r="EP170" s="43"/>
      <c r="EQ170" s="42"/>
      <c r="EU170" s="47">
        <v>0</v>
      </c>
      <c r="EV170" s="43"/>
      <c r="EW170" s="42"/>
      <c r="FC170" s="47">
        <v>0</v>
      </c>
      <c r="FD170" s="43"/>
      <c r="FE170" s="42"/>
      <c r="FI170" s="47">
        <v>0</v>
      </c>
      <c r="FJ170" s="43"/>
      <c r="FR170" s="43"/>
      <c r="FS170" s="42"/>
      <c r="FX170" s="43"/>
      <c r="FY170" s="40"/>
      <c r="GD170" s="43"/>
      <c r="GE170" s="42"/>
      <c r="GJ170" s="43"/>
      <c r="GR170" s="43"/>
      <c r="GY170" s="43"/>
      <c r="GZ170" s="42"/>
      <c r="HD170" s="43"/>
      <c r="HE170" s="40"/>
      <c r="HI170" s="43"/>
      <c r="HO170" s="43"/>
      <c r="HP170" s="42"/>
      <c r="HV170" s="43"/>
      <c r="IB170" s="43"/>
      <c r="IC170" s="42"/>
      <c r="IH170" s="43"/>
      <c r="IN170" s="43"/>
      <c r="IO170" s="40"/>
      <c r="IR170" s="43"/>
      <c r="IS170" s="40"/>
      <c r="IX170" s="43"/>
      <c r="IY170" s="40"/>
      <c r="JB170" s="43"/>
      <c r="JC170" s="42"/>
      <c r="JH170" s="43"/>
      <c r="JP170" s="43"/>
      <c r="JQ170" s="42"/>
      <c r="JV170" s="43"/>
      <c r="KB170" s="45"/>
      <c r="KH170" s="45"/>
      <c r="KN170" s="43"/>
      <c r="KT170" s="43"/>
      <c r="KX170" s="45"/>
      <c r="LD170" s="43"/>
      <c r="LE170" s="40"/>
      <c r="LH170" s="45"/>
      <c r="LN170" s="45"/>
      <c r="LS170" s="44"/>
      <c r="LT170" s="45"/>
      <c r="LU170" s="44"/>
      <c r="LW170" s="44"/>
      <c r="LX170" s="44"/>
      <c r="LY170" s="44"/>
      <c r="LZ170" s="45"/>
      <c r="MA170" s="44"/>
      <c r="MB170" s="41"/>
      <c r="MF170" s="45"/>
      <c r="MG170" s="46"/>
      <c r="MN170" s="45"/>
      <c r="MT170" s="45"/>
      <c r="MZ170" s="45"/>
      <c r="NA170" s="46"/>
      <c r="ND170" s="45"/>
      <c r="NE170" s="46"/>
      <c r="NK170" s="45"/>
      <c r="NL170" s="46"/>
      <c r="NQ170" s="45"/>
      <c r="NR170" s="46"/>
      <c r="NU170" s="45"/>
      <c r="NV170" s="46"/>
      <c r="OA170" s="45"/>
      <c r="OB170" s="46"/>
      <c r="OE170" s="45"/>
      <c r="OF170" s="46"/>
      <c r="OK170" s="45"/>
      <c r="OM170" s="43"/>
      <c r="OQ170" s="45"/>
      <c r="OR170" s="46"/>
      <c r="OW170" s="45"/>
      <c r="OX170" s="46"/>
      <c r="PC170" s="45"/>
      <c r="PD170" s="46"/>
      <c r="PG170" s="44"/>
      <c r="PI170" s="45"/>
      <c r="PJ170" s="46"/>
      <c r="PO170" s="45"/>
      <c r="PP170" s="46"/>
      <c r="PS170" s="44"/>
      <c r="PU170" s="45"/>
      <c r="PV170" s="46"/>
      <c r="PY170" s="45"/>
      <c r="PZ170" s="46"/>
      <c r="QC170" s="45"/>
      <c r="QD170" s="46"/>
      <c r="QI170" s="45"/>
      <c r="QJ170" s="46"/>
      <c r="QM170" s="45"/>
      <c r="QN170" s="46"/>
      <c r="QS170" s="45"/>
      <c r="QT170" s="46"/>
      <c r="QW170" s="45"/>
      <c r="QX170" s="46"/>
      <c r="RC170" s="45"/>
      <c r="RD170" s="42"/>
      <c r="RE170" s="44"/>
      <c r="RG170" s="44"/>
      <c r="RI170" s="45"/>
      <c r="RJ170" s="42"/>
      <c r="RO170" s="43"/>
      <c r="RP170" s="42"/>
      <c r="RS170" s="43"/>
      <c r="RT170" s="42"/>
      <c r="RY170" s="43"/>
      <c r="RZ170" s="42"/>
      <c r="SE170" s="43"/>
      <c r="SF170" s="42"/>
      <c r="SK170" s="43"/>
      <c r="SL170" s="42"/>
      <c r="SO170" s="43"/>
      <c r="SP170" s="42"/>
      <c r="SU170" s="43"/>
    </row>
    <row r="171" spans="1:515" x14ac:dyDescent="0.25">
      <c r="A171" s="47" t="s">
        <v>478</v>
      </c>
      <c r="B171" s="41">
        <v>0.18</v>
      </c>
      <c r="E171">
        <v>143</v>
      </c>
      <c r="F171">
        <v>170</v>
      </c>
      <c r="G171">
        <v>174</v>
      </c>
      <c r="J171" s="40">
        <v>240</v>
      </c>
      <c r="K171" s="52">
        <v>246</v>
      </c>
      <c r="L171" s="52">
        <v>200</v>
      </c>
      <c r="M171" s="52">
        <v>200</v>
      </c>
      <c r="N171" s="51">
        <f t="shared" si="15"/>
        <v>-6</v>
      </c>
      <c r="O171" s="43"/>
      <c r="P171" s="40">
        <v>90</v>
      </c>
      <c r="Q171" s="52">
        <v>95</v>
      </c>
      <c r="R171" s="52">
        <v>80</v>
      </c>
      <c r="S171" s="52">
        <v>81</v>
      </c>
      <c r="T171" s="51">
        <f t="shared" si="16"/>
        <v>-6</v>
      </c>
      <c r="U171" s="43"/>
      <c r="V171" s="40">
        <v>150</v>
      </c>
      <c r="W171" s="52">
        <v>159</v>
      </c>
      <c r="X171" s="52">
        <v>70</v>
      </c>
      <c r="Y171" s="52">
        <v>79</v>
      </c>
      <c r="Z171" s="51">
        <f t="shared" si="17"/>
        <v>-18</v>
      </c>
      <c r="AA171" s="43"/>
      <c r="AB171" s="40">
        <v>60</v>
      </c>
      <c r="AC171" s="56">
        <v>66.956521739130437</v>
      </c>
      <c r="AD171" s="52">
        <v>80</v>
      </c>
      <c r="AE171" s="56">
        <v>87.043478260869563</v>
      </c>
      <c r="AF171" s="51">
        <v>-14</v>
      </c>
      <c r="AG171" s="43"/>
      <c r="AH171" s="52">
        <v>90</v>
      </c>
      <c r="AI171">
        <v>98</v>
      </c>
      <c r="AJ171">
        <v>70</v>
      </c>
      <c r="AK171">
        <v>78</v>
      </c>
      <c r="AL171" s="47">
        <v>-16</v>
      </c>
      <c r="AM171" s="43"/>
      <c r="AN171" s="42"/>
      <c r="AR171" s="47">
        <v>0</v>
      </c>
      <c r="AS171" s="43"/>
      <c r="AT171">
        <v>150</v>
      </c>
      <c r="AU171">
        <v>150</v>
      </c>
      <c r="AV171">
        <v>80</v>
      </c>
      <c r="AW171">
        <v>86</v>
      </c>
      <c r="AX171" s="47">
        <v>-6</v>
      </c>
      <c r="AY171" s="43"/>
      <c r="AZ171">
        <v>130</v>
      </c>
      <c r="BA171">
        <v>130</v>
      </c>
      <c r="BB171">
        <v>160</v>
      </c>
      <c r="BC171">
        <v>159</v>
      </c>
      <c r="BD171" s="47">
        <v>1</v>
      </c>
      <c r="BE171" s="43"/>
      <c r="BF171" s="40">
        <v>120</v>
      </c>
      <c r="BG171">
        <v>120</v>
      </c>
      <c r="BH171">
        <v>150</v>
      </c>
      <c r="BI171">
        <v>154</v>
      </c>
      <c r="BJ171" s="47">
        <v>-4</v>
      </c>
      <c r="BK171" s="43"/>
      <c r="BL171" s="42"/>
      <c r="BP171" s="47">
        <v>0</v>
      </c>
      <c r="BQ171" s="43"/>
      <c r="BR171">
        <v>150</v>
      </c>
      <c r="BS171">
        <v>150</v>
      </c>
      <c r="BT171">
        <v>100</v>
      </c>
      <c r="BU171">
        <v>98</v>
      </c>
      <c r="BV171" s="47">
        <v>2</v>
      </c>
      <c r="BW171" s="43"/>
      <c r="BX171" s="42"/>
      <c r="CB171" s="47">
        <v>0</v>
      </c>
      <c r="CC171" s="43"/>
      <c r="CD171">
        <v>340</v>
      </c>
      <c r="CE171">
        <v>340</v>
      </c>
      <c r="CF171">
        <v>390</v>
      </c>
      <c r="CG171">
        <v>392</v>
      </c>
      <c r="CH171" s="47">
        <v>-2</v>
      </c>
      <c r="CI171" s="43"/>
      <c r="CJ171">
        <v>70</v>
      </c>
      <c r="CK171">
        <v>70</v>
      </c>
      <c r="CL171">
        <v>80</v>
      </c>
      <c r="CM171">
        <v>82</v>
      </c>
      <c r="CN171" s="47">
        <v>-2</v>
      </c>
      <c r="CO171" s="43"/>
      <c r="CP171" s="40">
        <v>80</v>
      </c>
      <c r="CQ171">
        <v>80</v>
      </c>
      <c r="CR171">
        <v>110</v>
      </c>
      <c r="CS171">
        <v>115</v>
      </c>
      <c r="CT171" s="47">
        <v>-5</v>
      </c>
      <c r="CU171" s="43"/>
      <c r="CV171" s="40">
        <v>240</v>
      </c>
      <c r="CW171">
        <v>240</v>
      </c>
      <c r="CX171">
        <v>230</v>
      </c>
      <c r="CY171">
        <v>230</v>
      </c>
      <c r="CZ171" s="47">
        <v>0</v>
      </c>
      <c r="DA171" s="43"/>
      <c r="DB171">
        <v>100</v>
      </c>
      <c r="DC171">
        <v>100</v>
      </c>
      <c r="DE171">
        <v>90</v>
      </c>
      <c r="DF171">
        <v>88</v>
      </c>
      <c r="DG171" s="47">
        <v>2</v>
      </c>
      <c r="DH171" s="43"/>
      <c r="DK171" s="47">
        <v>0</v>
      </c>
      <c r="DL171" s="43"/>
      <c r="DM171" s="40">
        <v>70</v>
      </c>
      <c r="DN171">
        <v>72</v>
      </c>
      <c r="DO171">
        <v>80</v>
      </c>
      <c r="DP171">
        <v>86</v>
      </c>
      <c r="DQ171" s="47">
        <v>-8</v>
      </c>
      <c r="DR171" s="43"/>
      <c r="DU171">
        <v>40</v>
      </c>
      <c r="DV171">
        <v>42</v>
      </c>
      <c r="DW171" s="47">
        <v>-2</v>
      </c>
      <c r="DX171" s="43"/>
      <c r="DY171">
        <v>180</v>
      </c>
      <c r="DZ171">
        <v>180</v>
      </c>
      <c r="EA171">
        <v>130</v>
      </c>
      <c r="EB171">
        <v>134</v>
      </c>
      <c r="EC171" s="47">
        <v>-4</v>
      </c>
      <c r="ED171" s="43"/>
      <c r="EE171" s="42"/>
      <c r="EG171">
        <v>620</v>
      </c>
      <c r="EH171">
        <v>624</v>
      </c>
      <c r="EI171" s="47">
        <v>-4</v>
      </c>
      <c r="EJ171" s="43"/>
      <c r="EO171" s="47">
        <v>0</v>
      </c>
      <c r="EP171" s="43"/>
      <c r="EQ171" s="42"/>
      <c r="EU171" s="47">
        <v>0</v>
      </c>
      <c r="EV171" s="43"/>
      <c r="EW171" s="42"/>
      <c r="EY171">
        <v>300</v>
      </c>
      <c r="EZ171">
        <v>300</v>
      </c>
      <c r="FA171">
        <v>250</v>
      </c>
      <c r="FB171">
        <v>249</v>
      </c>
      <c r="FC171" s="47">
        <v>1</v>
      </c>
      <c r="FD171" s="43"/>
      <c r="FE171" s="40">
        <v>100</v>
      </c>
      <c r="FF171">
        <v>100</v>
      </c>
      <c r="FG171">
        <v>160</v>
      </c>
      <c r="FH171">
        <v>160</v>
      </c>
      <c r="FI171" s="47">
        <v>0</v>
      </c>
      <c r="FJ171" s="43"/>
      <c r="FK171">
        <v>100</v>
      </c>
      <c r="FL171">
        <v>100</v>
      </c>
      <c r="FM171">
        <v>220</v>
      </c>
      <c r="FN171">
        <v>220</v>
      </c>
      <c r="FO171">
        <v>100</v>
      </c>
      <c r="FP171">
        <v>100</v>
      </c>
      <c r="FQ171" s="47">
        <v>0</v>
      </c>
      <c r="FR171" s="43"/>
      <c r="FS171" s="42"/>
      <c r="FW171" s="47">
        <v>0</v>
      </c>
      <c r="FX171" s="43"/>
      <c r="FY171" s="40">
        <v>400</v>
      </c>
      <c r="FZ171">
        <v>400</v>
      </c>
      <c r="GA171">
        <v>410</v>
      </c>
      <c r="GB171">
        <v>410</v>
      </c>
      <c r="GC171" s="47">
        <v>0</v>
      </c>
      <c r="GD171" s="43"/>
      <c r="GE171" s="40">
        <v>230</v>
      </c>
      <c r="GF171">
        <v>230</v>
      </c>
      <c r="GG171">
        <v>200</v>
      </c>
      <c r="GH171">
        <v>200</v>
      </c>
      <c r="GI171" s="47">
        <v>0</v>
      </c>
      <c r="GJ171" s="43"/>
      <c r="GO171">
        <v>500</v>
      </c>
      <c r="GP171">
        <v>500</v>
      </c>
      <c r="GQ171" s="47">
        <v>0</v>
      </c>
      <c r="GR171" s="43"/>
      <c r="GU171">
        <v>300</v>
      </c>
      <c r="GW171">
        <v>300</v>
      </c>
      <c r="GX171" s="47">
        <v>0</v>
      </c>
      <c r="GY171" s="43"/>
      <c r="GZ171" s="42"/>
      <c r="HC171" s="47">
        <v>0</v>
      </c>
      <c r="HD171" s="43"/>
      <c r="HE171" s="40">
        <v>110</v>
      </c>
      <c r="HG171">
        <v>111</v>
      </c>
      <c r="HH171" s="47">
        <v>-1</v>
      </c>
      <c r="HI171" s="43"/>
      <c r="HJ171">
        <v>480</v>
      </c>
      <c r="HM171">
        <v>490</v>
      </c>
      <c r="HN171" s="47">
        <v>-10</v>
      </c>
      <c r="HO171" s="43"/>
      <c r="HP171" s="42"/>
      <c r="HU171" s="47">
        <v>0</v>
      </c>
      <c r="HV171" s="43"/>
      <c r="HW171">
        <v>160</v>
      </c>
      <c r="HX171">
        <v>160</v>
      </c>
      <c r="HY171">
        <v>190</v>
      </c>
      <c r="HZ171">
        <v>190</v>
      </c>
      <c r="IA171" s="47">
        <v>0</v>
      </c>
      <c r="IB171" s="43"/>
      <c r="IC171" s="42"/>
      <c r="IE171">
        <v>480</v>
      </c>
      <c r="IF171">
        <v>480</v>
      </c>
      <c r="IG171" s="47">
        <v>0</v>
      </c>
      <c r="IH171" s="43"/>
      <c r="IK171">
        <v>330</v>
      </c>
      <c r="IL171">
        <v>330</v>
      </c>
      <c r="IM171" s="47">
        <v>0</v>
      </c>
      <c r="IN171" s="43"/>
      <c r="IO171" s="40">
        <v>160</v>
      </c>
      <c r="IP171" s="44">
        <v>160</v>
      </c>
      <c r="IQ171" s="47">
        <v>0</v>
      </c>
      <c r="IR171" s="43"/>
      <c r="IS171" s="42"/>
      <c r="IU171">
        <v>120</v>
      </c>
      <c r="IV171">
        <v>120</v>
      </c>
      <c r="IW171" s="47">
        <v>0</v>
      </c>
      <c r="IX171" s="43"/>
      <c r="IY171" s="42"/>
      <c r="JA171" s="47">
        <v>0</v>
      </c>
      <c r="JB171" s="43"/>
      <c r="JC171" s="42"/>
      <c r="JG171" s="47">
        <v>0</v>
      </c>
      <c r="JH171" s="43"/>
      <c r="JO171" s="47">
        <v>0</v>
      </c>
      <c r="JP171" s="43"/>
      <c r="JQ171" s="42"/>
      <c r="JS171">
        <v>600</v>
      </c>
      <c r="JT171">
        <v>600</v>
      </c>
      <c r="JU171" s="47">
        <v>0</v>
      </c>
      <c r="JV171" s="43"/>
      <c r="JY171">
        <v>3000</v>
      </c>
      <c r="JZ171">
        <v>1300</v>
      </c>
      <c r="KA171" s="47">
        <v>1700</v>
      </c>
      <c r="KB171" s="45"/>
      <c r="KG171" s="47">
        <v>0</v>
      </c>
      <c r="KH171" s="45"/>
      <c r="KI171">
        <v>350</v>
      </c>
      <c r="KJ171" s="47">
        <v>350</v>
      </c>
      <c r="KK171">
        <v>100</v>
      </c>
      <c r="KL171" s="47">
        <v>100</v>
      </c>
      <c r="KM171" s="47">
        <v>0</v>
      </c>
      <c r="KN171" s="45"/>
      <c r="KO171">
        <v>220</v>
      </c>
      <c r="KP171" s="44">
        <v>220</v>
      </c>
      <c r="KQ171">
        <v>200</v>
      </c>
      <c r="KR171">
        <v>200</v>
      </c>
      <c r="KS171" s="47">
        <v>0</v>
      </c>
      <c r="KT171" s="43"/>
      <c r="KX171" s="45"/>
      <c r="LD171" s="43"/>
      <c r="LE171" s="40"/>
      <c r="LH171" s="45"/>
      <c r="LN171" s="45"/>
      <c r="LT171" s="45"/>
      <c r="LZ171" s="45"/>
      <c r="MB171" s="41"/>
      <c r="MF171" s="45"/>
      <c r="MG171" s="46"/>
      <c r="MN171" s="45"/>
      <c r="MT171" s="45"/>
      <c r="MZ171" s="45"/>
      <c r="NA171" s="46"/>
      <c r="ND171" s="45"/>
      <c r="NE171" s="46"/>
      <c r="NK171" s="45"/>
      <c r="NL171" s="46"/>
      <c r="NQ171" s="45"/>
      <c r="NR171" s="46"/>
      <c r="NU171" s="45"/>
      <c r="NV171" s="46"/>
      <c r="OA171" s="45"/>
      <c r="OB171" s="46"/>
      <c r="OE171" s="45"/>
      <c r="OF171" s="46"/>
      <c r="OK171" s="45"/>
      <c r="OM171" s="43"/>
      <c r="OQ171" s="45"/>
      <c r="OR171" s="46"/>
      <c r="OW171" s="45"/>
      <c r="OX171" s="46"/>
      <c r="PC171" s="45"/>
      <c r="PD171" s="46"/>
      <c r="PI171" s="45"/>
      <c r="PJ171" s="46"/>
      <c r="PO171" s="45"/>
      <c r="PP171" s="46"/>
      <c r="PU171" s="45"/>
      <c r="PV171" s="46"/>
      <c r="PY171" s="45"/>
      <c r="PZ171" s="46"/>
      <c r="QB171" s="44"/>
      <c r="QC171" s="45"/>
      <c r="QD171" s="46"/>
      <c r="QI171" s="45"/>
      <c r="QJ171" s="46"/>
      <c r="QM171" s="45"/>
      <c r="QN171" s="46"/>
      <c r="QS171" s="45"/>
      <c r="QT171" s="46"/>
      <c r="QW171" s="45"/>
      <c r="QX171" s="46"/>
      <c r="RC171" s="45"/>
      <c r="RD171" s="42"/>
      <c r="RE171" s="44"/>
      <c r="RG171" s="44"/>
      <c r="RI171" s="45"/>
      <c r="RJ171" s="42"/>
      <c r="RO171" s="43"/>
      <c r="RP171" s="42"/>
      <c r="RS171" s="43"/>
      <c r="RT171" s="42"/>
      <c r="RY171" s="43"/>
      <c r="RZ171" s="42"/>
      <c r="SE171" s="43"/>
      <c r="SF171" s="42"/>
      <c r="SK171" s="43"/>
      <c r="SL171" s="42"/>
      <c r="SO171" s="43"/>
      <c r="SP171" s="42"/>
      <c r="SU171" s="43"/>
    </row>
    <row r="172" spans="1:515" x14ac:dyDescent="0.25">
      <c r="A172" s="47" t="s">
        <v>479</v>
      </c>
      <c r="B172" s="41">
        <v>1</v>
      </c>
      <c r="J172" s="42"/>
      <c r="K172" s="51"/>
      <c r="L172" s="51"/>
      <c r="M172" s="51"/>
      <c r="N172" s="51">
        <f t="shared" si="15"/>
        <v>0</v>
      </c>
      <c r="O172" s="43"/>
      <c r="P172" s="46"/>
      <c r="Q172" s="51"/>
      <c r="R172" s="51"/>
      <c r="S172" s="51"/>
      <c r="T172" s="51">
        <f t="shared" si="16"/>
        <v>0</v>
      </c>
      <c r="U172" s="43"/>
      <c r="V172" s="42"/>
      <c r="W172" s="51"/>
      <c r="X172" s="51"/>
      <c r="Y172" s="51"/>
      <c r="Z172" s="51">
        <f t="shared" si="17"/>
        <v>0</v>
      </c>
      <c r="AA172" s="43"/>
      <c r="AB172" s="42"/>
      <c r="AC172" s="51"/>
      <c r="AD172" s="51"/>
      <c r="AE172" s="51"/>
      <c r="AF172" s="51">
        <v>0</v>
      </c>
      <c r="AG172" s="43"/>
      <c r="AH172" s="51"/>
      <c r="AL172" s="47">
        <v>0</v>
      </c>
      <c r="AM172" s="43"/>
      <c r="AN172" s="42"/>
      <c r="AR172" s="47">
        <v>0</v>
      </c>
      <c r="AS172" s="43"/>
      <c r="AX172" s="47">
        <v>0</v>
      </c>
      <c r="AY172" s="43"/>
      <c r="BD172" s="47">
        <v>0</v>
      </c>
      <c r="BE172" s="43"/>
      <c r="BF172" s="42"/>
      <c r="BJ172" s="47">
        <v>0</v>
      </c>
      <c r="BK172" s="43"/>
      <c r="BL172" s="42"/>
      <c r="BP172" s="47">
        <v>0</v>
      </c>
      <c r="BQ172" s="43"/>
      <c r="BV172" s="47">
        <v>0</v>
      </c>
      <c r="BW172" s="43"/>
      <c r="BX172" s="42"/>
      <c r="CB172" s="47">
        <v>0</v>
      </c>
      <c r="CC172" s="43"/>
      <c r="CH172" s="47">
        <v>0</v>
      </c>
      <c r="CI172" s="43"/>
      <c r="CN172" s="47">
        <v>0</v>
      </c>
      <c r="CO172" s="43"/>
      <c r="CP172" s="42"/>
      <c r="CT172" s="47">
        <v>0</v>
      </c>
      <c r="CU172" s="43"/>
      <c r="CV172" s="42"/>
      <c r="CZ172" s="47">
        <v>0</v>
      </c>
      <c r="DA172" s="43"/>
      <c r="DG172" s="47">
        <v>0</v>
      </c>
      <c r="DH172" s="43"/>
      <c r="DK172" s="47">
        <v>0</v>
      </c>
      <c r="DL172" s="43"/>
      <c r="DM172" s="42"/>
      <c r="DQ172" s="47">
        <v>0</v>
      </c>
      <c r="DR172" s="43"/>
      <c r="DW172" s="47">
        <v>0</v>
      </c>
      <c r="DX172" s="43"/>
      <c r="EC172" s="47">
        <v>0</v>
      </c>
      <c r="ED172" s="43"/>
      <c r="EE172" s="42"/>
      <c r="EI172" s="47">
        <v>0</v>
      </c>
      <c r="EJ172" s="43"/>
      <c r="EO172" s="47">
        <v>0</v>
      </c>
      <c r="EP172" s="43"/>
      <c r="EQ172" s="42"/>
      <c r="EU172" s="47">
        <v>0</v>
      </c>
      <c r="EV172" s="43"/>
      <c r="EW172" s="42"/>
      <c r="FB172">
        <v>8</v>
      </c>
      <c r="FC172" s="50">
        <v>-8</v>
      </c>
      <c r="FD172" s="43">
        <v>8</v>
      </c>
      <c r="FE172" s="42"/>
      <c r="FG172">
        <v>33</v>
      </c>
      <c r="FH172">
        <v>30</v>
      </c>
      <c r="FI172" s="47">
        <v>3</v>
      </c>
      <c r="FJ172" s="43"/>
      <c r="FQ172" s="47">
        <v>0</v>
      </c>
      <c r="FR172" s="43"/>
      <c r="FS172" s="42"/>
      <c r="FW172" s="47">
        <v>0</v>
      </c>
      <c r="FX172" s="43"/>
      <c r="FY172" s="42"/>
      <c r="GC172" s="47">
        <v>0</v>
      </c>
      <c r="GD172" s="43"/>
      <c r="GE172" s="42"/>
      <c r="GI172" s="47">
        <v>0</v>
      </c>
      <c r="GJ172" s="43"/>
      <c r="GO172">
        <v>33</v>
      </c>
      <c r="GP172">
        <v>30</v>
      </c>
      <c r="GQ172" s="47">
        <v>3</v>
      </c>
      <c r="GR172" s="43"/>
      <c r="GW172">
        <v>28</v>
      </c>
      <c r="GX172" s="50">
        <v>-28</v>
      </c>
      <c r="GY172" s="43">
        <v>28</v>
      </c>
      <c r="GZ172" s="42"/>
      <c r="HC172" s="47">
        <v>0</v>
      </c>
      <c r="HD172" s="43"/>
      <c r="HE172" s="40">
        <v>81</v>
      </c>
      <c r="HG172">
        <v>79</v>
      </c>
      <c r="HH172" s="47">
        <v>2</v>
      </c>
      <c r="HI172" s="43"/>
      <c r="HJ172">
        <v>56</v>
      </c>
      <c r="HM172">
        <v>56</v>
      </c>
      <c r="HN172" s="47">
        <v>0</v>
      </c>
      <c r="HO172" s="43"/>
      <c r="HP172" s="40">
        <v>20</v>
      </c>
      <c r="HR172">
        <v>20</v>
      </c>
      <c r="HS172">
        <v>20</v>
      </c>
      <c r="HT172">
        <v>20</v>
      </c>
      <c r="HU172" s="47">
        <v>0</v>
      </c>
      <c r="HV172" s="43"/>
      <c r="HY172">
        <v>64</v>
      </c>
      <c r="HZ172">
        <v>64</v>
      </c>
      <c r="IA172" s="47">
        <v>0</v>
      </c>
      <c r="IB172" s="43"/>
      <c r="IC172" s="42"/>
      <c r="IG172" s="47">
        <v>0</v>
      </c>
      <c r="IH172" s="43"/>
      <c r="IM172" s="47">
        <v>0</v>
      </c>
      <c r="IN172" s="43"/>
      <c r="IO172" s="42"/>
      <c r="IQ172" s="47">
        <v>0</v>
      </c>
      <c r="IR172" s="43"/>
      <c r="IS172" s="42"/>
      <c r="IW172" s="47">
        <v>0</v>
      </c>
      <c r="IX172" s="43"/>
      <c r="IY172" s="42"/>
      <c r="JA172" s="47">
        <v>0</v>
      </c>
      <c r="JB172" s="43"/>
      <c r="JC172" s="42"/>
      <c r="JE172">
        <v>40</v>
      </c>
      <c r="JF172">
        <v>40</v>
      </c>
      <c r="JG172" s="47">
        <v>0</v>
      </c>
      <c r="JH172" s="43"/>
      <c r="JM172">
        <v>102</v>
      </c>
      <c r="JN172" s="47">
        <v>100</v>
      </c>
      <c r="JO172" s="47">
        <v>2</v>
      </c>
      <c r="JP172" s="43"/>
      <c r="JQ172" s="40">
        <v>20</v>
      </c>
      <c r="JR172" s="47">
        <v>20</v>
      </c>
      <c r="JS172" s="47">
        <v>33</v>
      </c>
      <c r="JT172" s="47">
        <v>30</v>
      </c>
      <c r="JU172" s="47">
        <v>3</v>
      </c>
      <c r="JV172" s="43"/>
      <c r="JZ172" s="48">
        <v>50</v>
      </c>
      <c r="KA172" s="47">
        <v>-2</v>
      </c>
      <c r="KB172" s="45"/>
      <c r="KG172" s="47">
        <v>0</v>
      </c>
      <c r="KH172" s="45"/>
      <c r="KN172" s="45"/>
      <c r="KT172" s="43"/>
      <c r="KX172" s="45"/>
      <c r="LD172" s="43"/>
      <c r="LE172" s="40"/>
      <c r="LH172" s="45"/>
      <c r="LN172" s="45"/>
      <c r="LT172" s="45"/>
      <c r="LZ172" s="45"/>
      <c r="MB172" s="41"/>
      <c r="MF172" s="45"/>
      <c r="MG172" s="46"/>
      <c r="MN172" s="45"/>
      <c r="MT172" s="45"/>
      <c r="MZ172" s="45"/>
      <c r="NA172" s="46"/>
      <c r="ND172" s="45"/>
      <c r="NE172" s="46"/>
      <c r="NK172" s="45"/>
      <c r="NL172" s="46"/>
      <c r="NQ172" s="45"/>
      <c r="NR172" s="46"/>
      <c r="NU172" s="45"/>
      <c r="NV172" s="46"/>
      <c r="OA172" s="45"/>
      <c r="OB172" s="46"/>
      <c r="OE172" s="45"/>
      <c r="OF172" s="46"/>
      <c r="OK172" s="45"/>
      <c r="OM172" s="43"/>
      <c r="OQ172" s="45"/>
      <c r="OR172" s="46"/>
      <c r="OW172" s="45"/>
      <c r="OX172" s="46"/>
      <c r="PC172" s="45"/>
      <c r="PD172" s="46"/>
      <c r="PI172" s="45"/>
      <c r="PJ172" s="46"/>
      <c r="PO172" s="45"/>
      <c r="PP172" s="46"/>
      <c r="PR172" s="44"/>
      <c r="PU172" s="45"/>
      <c r="PV172" s="46"/>
      <c r="PY172" s="45"/>
      <c r="PZ172" s="46"/>
      <c r="QB172" s="44"/>
      <c r="QC172" s="45"/>
      <c r="QD172" s="46"/>
      <c r="QI172" s="45"/>
      <c r="QJ172" s="46"/>
      <c r="QM172" s="45"/>
      <c r="QN172" s="46"/>
      <c r="QS172" s="45"/>
      <c r="QT172" s="46"/>
      <c r="QW172" s="45"/>
      <c r="QX172" s="46"/>
      <c r="RC172" s="45"/>
      <c r="RD172" s="42"/>
      <c r="RE172" s="44"/>
      <c r="RG172" s="44"/>
      <c r="RI172" s="45"/>
      <c r="RJ172" s="42"/>
      <c r="RO172" s="43"/>
      <c r="RP172" s="42"/>
      <c r="RS172" s="43"/>
      <c r="RT172" s="42"/>
      <c r="RY172" s="43"/>
      <c r="RZ172" s="42"/>
      <c r="SE172" s="43"/>
      <c r="SF172" s="42"/>
      <c r="SK172" s="43"/>
      <c r="SL172" s="42"/>
      <c r="SO172" s="43"/>
      <c r="SP172" s="42"/>
      <c r="SU172" s="43"/>
    </row>
    <row r="173" spans="1:515" x14ac:dyDescent="0.25">
      <c r="A173" s="47" t="s">
        <v>480</v>
      </c>
      <c r="B173" s="41">
        <v>0.4</v>
      </c>
      <c r="J173" s="42"/>
      <c r="K173" s="51"/>
      <c r="L173" s="51"/>
      <c r="M173" s="51"/>
      <c r="N173" s="51">
        <f t="shared" si="15"/>
        <v>0</v>
      </c>
      <c r="O173" s="43"/>
      <c r="P173" s="46"/>
      <c r="Q173" s="51"/>
      <c r="R173" s="51"/>
      <c r="S173" s="51"/>
      <c r="T173" s="51">
        <f t="shared" si="16"/>
        <v>0</v>
      </c>
      <c r="U173" s="43"/>
      <c r="V173" s="42"/>
      <c r="W173" s="51"/>
      <c r="X173" s="51"/>
      <c r="Y173" s="51"/>
      <c r="Z173" s="51">
        <f t="shared" si="17"/>
        <v>0</v>
      </c>
      <c r="AA173" s="43"/>
      <c r="AB173" s="42"/>
      <c r="AC173" s="51"/>
      <c r="AD173" s="51"/>
      <c r="AE173" s="51"/>
      <c r="AF173" s="51">
        <v>0</v>
      </c>
      <c r="AG173" s="43"/>
      <c r="AH173" s="51"/>
      <c r="AL173" s="47">
        <v>0</v>
      </c>
      <c r="AM173" s="43"/>
      <c r="AN173" s="42"/>
      <c r="AR173" s="47">
        <v>0</v>
      </c>
      <c r="AS173" s="43"/>
      <c r="AX173" s="47">
        <v>0</v>
      </c>
      <c r="AY173" s="43"/>
      <c r="BC173">
        <v>32</v>
      </c>
      <c r="BD173" s="50">
        <v>-32</v>
      </c>
      <c r="BE173" s="43">
        <v>12.8</v>
      </c>
      <c r="BF173" s="42"/>
      <c r="BI173">
        <v>32</v>
      </c>
      <c r="BJ173" s="50">
        <v>-32</v>
      </c>
      <c r="BK173" s="43">
        <v>12.8</v>
      </c>
      <c r="BL173" s="42"/>
      <c r="BM173">
        <v>24</v>
      </c>
      <c r="BO173">
        <v>24</v>
      </c>
      <c r="BP173" s="50">
        <v>-48</v>
      </c>
      <c r="BQ173" s="43">
        <v>19.2</v>
      </c>
      <c r="BU173">
        <v>93</v>
      </c>
      <c r="BV173" s="50">
        <v>-93</v>
      </c>
      <c r="BW173" s="43">
        <v>37.200000000000003</v>
      </c>
      <c r="BX173" s="42"/>
      <c r="BY173">
        <v>30</v>
      </c>
      <c r="CA173">
        <v>51</v>
      </c>
      <c r="CB173" s="50">
        <v>-81</v>
      </c>
      <c r="CC173" s="43">
        <v>32.4</v>
      </c>
      <c r="CH173" s="47">
        <v>0</v>
      </c>
      <c r="CI173" s="43"/>
      <c r="CN173" s="47">
        <v>0</v>
      </c>
      <c r="CO173" s="43"/>
      <c r="CP173" s="42"/>
      <c r="CR173">
        <v>112</v>
      </c>
      <c r="CS173">
        <v>115</v>
      </c>
      <c r="CT173" s="47">
        <v>-3</v>
      </c>
      <c r="CU173" s="43"/>
      <c r="CV173" s="42"/>
      <c r="CZ173" s="47">
        <v>0</v>
      </c>
      <c r="DA173" s="43"/>
      <c r="DE173">
        <v>72</v>
      </c>
      <c r="DF173">
        <v>70</v>
      </c>
      <c r="DG173" s="47">
        <v>2</v>
      </c>
      <c r="DH173" s="43"/>
      <c r="DK173" s="47">
        <v>0</v>
      </c>
      <c r="DL173" s="43"/>
      <c r="DM173" s="42"/>
      <c r="DO173">
        <v>16</v>
      </c>
      <c r="DP173">
        <v>19</v>
      </c>
      <c r="DQ173" s="47">
        <v>-3</v>
      </c>
      <c r="DR173" s="43"/>
      <c r="DW173" s="47">
        <v>0</v>
      </c>
      <c r="DX173" s="43"/>
      <c r="EA173">
        <v>48</v>
      </c>
      <c r="EB173">
        <v>51</v>
      </c>
      <c r="EC173" s="47">
        <v>-3</v>
      </c>
      <c r="ED173" s="43"/>
      <c r="EE173" s="42"/>
      <c r="EG173">
        <v>32</v>
      </c>
      <c r="EH173">
        <v>32</v>
      </c>
      <c r="EI173" s="47">
        <v>0</v>
      </c>
      <c r="EJ173" s="43"/>
      <c r="EO173" s="47">
        <v>0</v>
      </c>
      <c r="EP173" s="43"/>
      <c r="EQ173" s="42"/>
      <c r="ES173">
        <v>48</v>
      </c>
      <c r="ET173">
        <v>50</v>
      </c>
      <c r="EU173" s="47">
        <v>-2</v>
      </c>
      <c r="EV173" s="43"/>
      <c r="EW173" s="42"/>
      <c r="FA173">
        <v>56</v>
      </c>
      <c r="FB173">
        <v>56</v>
      </c>
      <c r="FC173" s="47">
        <v>0</v>
      </c>
      <c r="FD173" s="43"/>
      <c r="FE173" s="42"/>
      <c r="FI173" s="47">
        <v>0</v>
      </c>
      <c r="FJ173" s="43"/>
      <c r="FM173">
        <v>136</v>
      </c>
      <c r="FN173">
        <v>150</v>
      </c>
      <c r="FQ173" s="50">
        <v>-14</v>
      </c>
      <c r="FR173" s="43">
        <v>5.6000000000000014</v>
      </c>
      <c r="FS173" s="42"/>
      <c r="FU173">
        <v>16</v>
      </c>
      <c r="FV173">
        <v>16</v>
      </c>
      <c r="FW173" s="47">
        <v>0</v>
      </c>
      <c r="FX173" s="43"/>
      <c r="FY173" s="42"/>
      <c r="GA173">
        <v>64</v>
      </c>
      <c r="GB173">
        <v>64</v>
      </c>
      <c r="GC173" s="47">
        <v>0</v>
      </c>
      <c r="GD173" s="43"/>
      <c r="GE173" s="42"/>
      <c r="GI173" s="47">
        <v>0</v>
      </c>
      <c r="GJ173" s="43"/>
      <c r="GM173">
        <v>80</v>
      </c>
      <c r="GN173">
        <v>80</v>
      </c>
      <c r="GO173">
        <v>88</v>
      </c>
      <c r="GP173">
        <v>90</v>
      </c>
      <c r="GQ173" s="47">
        <v>-2</v>
      </c>
      <c r="GR173" s="43"/>
      <c r="GU173">
        <v>56</v>
      </c>
      <c r="GW173">
        <v>60</v>
      </c>
      <c r="GX173" s="47">
        <v>-4</v>
      </c>
      <c r="GY173" s="43"/>
      <c r="GZ173" s="42"/>
      <c r="HC173" s="47">
        <v>0</v>
      </c>
      <c r="HD173" s="43"/>
      <c r="HE173" s="40">
        <v>184</v>
      </c>
      <c r="HG173">
        <v>187</v>
      </c>
      <c r="HH173" s="47">
        <v>-3</v>
      </c>
      <c r="HI173" s="43"/>
      <c r="HN173" s="47">
        <v>0</v>
      </c>
      <c r="HO173" s="43"/>
      <c r="HP173" s="42"/>
      <c r="HU173" s="47">
        <v>0</v>
      </c>
      <c r="HV173" s="43"/>
      <c r="HY173">
        <v>136</v>
      </c>
      <c r="HZ173">
        <v>140</v>
      </c>
      <c r="IA173" s="47">
        <v>-4</v>
      </c>
      <c r="IB173" s="43"/>
      <c r="IC173" s="42"/>
      <c r="IE173">
        <v>48</v>
      </c>
      <c r="IF173">
        <v>48</v>
      </c>
      <c r="IG173" s="47">
        <v>0</v>
      </c>
      <c r="IH173" s="43"/>
      <c r="IK173">
        <v>40</v>
      </c>
      <c r="IL173">
        <v>40</v>
      </c>
      <c r="IM173" s="47">
        <v>0</v>
      </c>
      <c r="IN173" s="43"/>
      <c r="IO173" s="40">
        <v>48</v>
      </c>
      <c r="IP173" s="44">
        <v>52</v>
      </c>
      <c r="IQ173" s="47">
        <v>-4</v>
      </c>
      <c r="IR173" s="43"/>
      <c r="IS173" s="42"/>
      <c r="IU173">
        <v>88</v>
      </c>
      <c r="IV173">
        <v>93</v>
      </c>
      <c r="IW173" s="47">
        <v>-5</v>
      </c>
      <c r="IX173" s="43"/>
      <c r="IY173" s="42"/>
      <c r="JA173" s="47">
        <v>0</v>
      </c>
      <c r="JB173" s="43"/>
      <c r="JC173" s="42"/>
      <c r="JE173">
        <v>40</v>
      </c>
      <c r="JF173">
        <v>40</v>
      </c>
      <c r="JG173" s="47">
        <v>0</v>
      </c>
      <c r="JH173" s="43"/>
      <c r="JM173">
        <v>72</v>
      </c>
      <c r="JN173" s="47">
        <v>70</v>
      </c>
      <c r="JO173" s="47">
        <v>2</v>
      </c>
      <c r="JP173" s="43"/>
      <c r="JQ173" s="42">
        <v>24</v>
      </c>
      <c r="JR173">
        <v>24</v>
      </c>
      <c r="JU173" s="47">
        <v>0</v>
      </c>
      <c r="JV173" s="43"/>
      <c r="JZ173" s="48">
        <v>30</v>
      </c>
      <c r="KA173" s="47">
        <v>2</v>
      </c>
      <c r="KB173" s="45"/>
      <c r="KG173" s="47">
        <v>0</v>
      </c>
      <c r="KH173" s="45"/>
      <c r="KN173" s="45"/>
      <c r="KT173" s="43"/>
      <c r="KX173" s="45"/>
      <c r="LD173" s="43"/>
      <c r="LE173" s="40"/>
      <c r="LH173" s="45"/>
      <c r="LN173" s="45"/>
      <c r="LT173" s="45"/>
      <c r="LZ173" s="45"/>
      <c r="MB173" s="41"/>
      <c r="MF173" s="45"/>
      <c r="MG173" s="46"/>
      <c r="MN173" s="45"/>
      <c r="MT173" s="45"/>
      <c r="MZ173" s="45"/>
      <c r="NA173" s="46"/>
      <c r="ND173" s="45"/>
      <c r="NE173" s="46"/>
      <c r="NK173" s="45"/>
      <c r="NL173" s="46"/>
      <c r="NQ173" s="45"/>
      <c r="NR173" s="46"/>
      <c r="NU173" s="45"/>
      <c r="NV173" s="46"/>
      <c r="OA173" s="45"/>
      <c r="OB173" s="46"/>
      <c r="OE173" s="45"/>
      <c r="OF173" s="46"/>
      <c r="OK173" s="45"/>
      <c r="OM173" s="43"/>
      <c r="OQ173" s="45"/>
      <c r="OR173" s="46"/>
      <c r="OW173" s="45"/>
      <c r="OX173" s="46"/>
      <c r="PC173" s="45"/>
      <c r="PD173" s="46"/>
      <c r="PI173" s="45"/>
      <c r="PJ173" s="46"/>
      <c r="PO173" s="45"/>
      <c r="PP173" s="46"/>
      <c r="PR173" s="44"/>
      <c r="PU173" s="45"/>
      <c r="PV173" s="46"/>
      <c r="PY173" s="45"/>
      <c r="PZ173" s="46"/>
      <c r="QB173" s="44"/>
      <c r="QC173" s="45"/>
      <c r="QD173" s="46"/>
      <c r="QI173" s="45"/>
      <c r="QJ173" s="46"/>
      <c r="QM173" s="45"/>
      <c r="QN173" s="46"/>
      <c r="QS173" s="45"/>
      <c r="QT173" s="46"/>
      <c r="QW173" s="45"/>
      <c r="QX173" s="46"/>
      <c r="RC173" s="45"/>
      <c r="RD173" s="42"/>
      <c r="RE173" s="44"/>
      <c r="RG173" s="44"/>
      <c r="RI173" s="45"/>
      <c r="RJ173" s="42"/>
      <c r="RO173" s="43"/>
      <c r="RP173" s="42"/>
      <c r="RS173" s="43"/>
      <c r="RT173" s="42"/>
      <c r="RY173" s="43"/>
      <c r="RZ173" s="42"/>
      <c r="SE173" s="43"/>
      <c r="SF173" s="42"/>
      <c r="SK173" s="43"/>
      <c r="SL173" s="42"/>
      <c r="SO173" s="43"/>
      <c r="SP173" s="42"/>
      <c r="SU173" s="43"/>
    </row>
    <row r="174" spans="1:515" x14ac:dyDescent="0.25">
      <c r="A174" s="47" t="s">
        <v>481</v>
      </c>
      <c r="B174" s="41">
        <v>1</v>
      </c>
      <c r="E174">
        <v>12</v>
      </c>
      <c r="J174" s="42"/>
      <c r="K174" s="51"/>
      <c r="L174" s="52">
        <v>5</v>
      </c>
      <c r="M174" s="52">
        <v>8</v>
      </c>
      <c r="N174" s="51">
        <f t="shared" si="15"/>
        <v>-3</v>
      </c>
      <c r="O174" s="43"/>
      <c r="P174" s="46"/>
      <c r="Q174" s="51"/>
      <c r="R174" s="51"/>
      <c r="S174" s="52">
        <v>30</v>
      </c>
      <c r="T174" s="57">
        <f t="shared" si="16"/>
        <v>-30</v>
      </c>
      <c r="U174" s="43">
        <f>-1*T174*B174</f>
        <v>30</v>
      </c>
      <c r="V174" s="42"/>
      <c r="W174" s="51"/>
      <c r="X174" s="51"/>
      <c r="Y174" s="51"/>
      <c r="Z174" s="51">
        <f t="shared" si="17"/>
        <v>0</v>
      </c>
      <c r="AA174" s="43"/>
      <c r="AB174" s="42"/>
      <c r="AC174" s="51"/>
      <c r="AD174" s="52">
        <v>10</v>
      </c>
      <c r="AE174" s="56">
        <v>4</v>
      </c>
      <c r="AF174" s="51">
        <v>6</v>
      </c>
      <c r="AG174" s="43"/>
      <c r="AH174" s="52">
        <v>10</v>
      </c>
      <c r="AI174">
        <v>10</v>
      </c>
      <c r="AJ174">
        <v>10</v>
      </c>
      <c r="AK174">
        <v>14</v>
      </c>
      <c r="AL174" s="47">
        <v>-4</v>
      </c>
      <c r="AM174" s="43"/>
      <c r="AN174" s="42"/>
      <c r="AR174" s="47">
        <v>0</v>
      </c>
      <c r="AS174" s="43"/>
      <c r="AT174">
        <v>10</v>
      </c>
      <c r="AU174">
        <v>10</v>
      </c>
      <c r="AV174">
        <v>10</v>
      </c>
      <c r="AW174">
        <v>10</v>
      </c>
      <c r="AX174" s="47">
        <v>0</v>
      </c>
      <c r="AY174" s="43"/>
      <c r="BD174" s="47">
        <v>0</v>
      </c>
      <c r="BE174" s="43"/>
      <c r="BF174" s="42"/>
      <c r="BH174">
        <v>10</v>
      </c>
      <c r="BI174">
        <v>8</v>
      </c>
      <c r="BJ174" s="47">
        <v>2</v>
      </c>
      <c r="BK174" s="43"/>
      <c r="BL174" s="42"/>
      <c r="BP174" s="47">
        <v>0</v>
      </c>
      <c r="BQ174" s="43"/>
      <c r="BV174" s="47">
        <v>0</v>
      </c>
      <c r="BW174" s="43"/>
      <c r="BX174" s="42"/>
      <c r="BZ174">
        <v>10</v>
      </c>
      <c r="CA174">
        <v>8</v>
      </c>
      <c r="CB174" s="47">
        <v>2</v>
      </c>
      <c r="CC174" s="43"/>
      <c r="CH174" s="47">
        <v>0</v>
      </c>
      <c r="CI174" s="43"/>
      <c r="CL174">
        <v>5</v>
      </c>
      <c r="CM174">
        <v>4</v>
      </c>
      <c r="CN174" s="47">
        <v>1</v>
      </c>
      <c r="CO174" s="43"/>
      <c r="CP174" s="42"/>
      <c r="CR174">
        <v>5</v>
      </c>
      <c r="CS174">
        <v>7</v>
      </c>
      <c r="CT174" s="47">
        <v>-2</v>
      </c>
      <c r="CU174" s="43"/>
      <c r="CV174" s="42"/>
      <c r="CX174">
        <v>5</v>
      </c>
      <c r="CY174">
        <v>5</v>
      </c>
      <c r="CZ174" s="47">
        <v>0</v>
      </c>
      <c r="DA174" s="43"/>
      <c r="DG174" s="47">
        <v>0</v>
      </c>
      <c r="DH174" s="43"/>
      <c r="DK174" s="47">
        <v>0</v>
      </c>
      <c r="DL174" s="43"/>
      <c r="DM174" s="42"/>
      <c r="DO174">
        <v>10</v>
      </c>
      <c r="DP174">
        <v>8</v>
      </c>
      <c r="DQ174" s="47">
        <v>2</v>
      </c>
      <c r="DR174" s="43"/>
      <c r="DV174">
        <v>8</v>
      </c>
      <c r="DW174" s="50">
        <v>-8</v>
      </c>
      <c r="DX174" s="43">
        <v>8</v>
      </c>
      <c r="EC174" s="47">
        <v>0</v>
      </c>
      <c r="ED174" s="43"/>
      <c r="EE174" s="42"/>
      <c r="EI174" s="47">
        <v>0</v>
      </c>
      <c r="EJ174" s="43"/>
      <c r="EO174" s="47">
        <v>0</v>
      </c>
      <c r="EP174" s="43"/>
      <c r="EQ174" s="42"/>
      <c r="EU174" s="47">
        <v>0</v>
      </c>
      <c r="EV174" s="43"/>
      <c r="EW174" s="42"/>
      <c r="FA174">
        <v>10</v>
      </c>
      <c r="FB174">
        <v>11</v>
      </c>
      <c r="FC174" s="47">
        <v>-1</v>
      </c>
      <c r="FD174" s="43"/>
      <c r="FE174" s="42"/>
      <c r="FG174">
        <v>10</v>
      </c>
      <c r="FH174">
        <v>8</v>
      </c>
      <c r="FI174" s="47">
        <v>2</v>
      </c>
      <c r="FJ174" s="43"/>
      <c r="FM174">
        <v>10</v>
      </c>
      <c r="FN174" s="47">
        <v>8</v>
      </c>
      <c r="FQ174" s="47">
        <v>2</v>
      </c>
      <c r="FR174" s="43"/>
      <c r="FS174" s="42"/>
      <c r="FW174" s="47">
        <v>0</v>
      </c>
      <c r="FX174" s="43"/>
      <c r="FY174" s="42"/>
      <c r="GC174" s="47">
        <v>0</v>
      </c>
      <c r="GD174" s="43"/>
      <c r="GE174" s="42"/>
      <c r="GI174" s="47">
        <v>0</v>
      </c>
      <c r="GJ174" s="43"/>
      <c r="GQ174" s="47">
        <v>0</v>
      </c>
      <c r="GR174" s="43"/>
      <c r="GX174" s="47">
        <v>0</v>
      </c>
      <c r="GY174" s="43"/>
      <c r="GZ174" s="42"/>
      <c r="HC174" s="47">
        <v>0</v>
      </c>
      <c r="HD174" s="43"/>
      <c r="HE174" s="42"/>
      <c r="HH174" s="47">
        <v>0</v>
      </c>
      <c r="HI174" s="43"/>
      <c r="HN174" s="47">
        <v>0</v>
      </c>
      <c r="HO174" s="43"/>
      <c r="HP174" s="42"/>
      <c r="HU174" s="47">
        <v>0</v>
      </c>
      <c r="HV174" s="43"/>
      <c r="IA174" s="47">
        <v>0</v>
      </c>
      <c r="IB174" s="43"/>
      <c r="IC174" s="42"/>
      <c r="IE174">
        <v>30</v>
      </c>
      <c r="IF174">
        <v>30</v>
      </c>
      <c r="IG174" s="47">
        <v>0</v>
      </c>
      <c r="IH174" s="43"/>
      <c r="IK174" s="44">
        <v>10</v>
      </c>
      <c r="IL174">
        <v>10</v>
      </c>
      <c r="IM174" s="47">
        <v>0</v>
      </c>
      <c r="IN174" s="43"/>
      <c r="IO174" s="42"/>
      <c r="IQ174" s="47">
        <v>0</v>
      </c>
      <c r="IR174" s="43"/>
      <c r="IS174" s="42"/>
      <c r="IW174" s="47">
        <v>0</v>
      </c>
      <c r="IX174" s="43"/>
      <c r="IY174" s="42"/>
      <c r="JA174" s="47">
        <v>0</v>
      </c>
      <c r="JB174" s="43"/>
      <c r="JC174" s="42"/>
      <c r="JG174" s="47">
        <v>0</v>
      </c>
      <c r="JH174" s="43"/>
      <c r="JP174" s="43"/>
      <c r="JQ174" s="42"/>
      <c r="JV174" s="43"/>
      <c r="KB174" s="45"/>
      <c r="KH174" s="45"/>
      <c r="KN174" s="45"/>
      <c r="KT174" s="43"/>
      <c r="KX174" s="45"/>
      <c r="LD174" s="43"/>
      <c r="LE174" s="40"/>
      <c r="LH174" s="45"/>
      <c r="LN174" s="45"/>
      <c r="LT174" s="45"/>
      <c r="LZ174" s="45"/>
      <c r="MB174" s="41"/>
      <c r="MF174" s="45"/>
      <c r="MG174" s="46"/>
      <c r="MN174" s="45"/>
      <c r="MT174" s="45"/>
      <c r="MZ174" s="45"/>
      <c r="NA174" s="46"/>
      <c r="ND174" s="45"/>
      <c r="NE174" s="46"/>
      <c r="NK174" s="45"/>
      <c r="NL174" s="46"/>
      <c r="NQ174" s="45"/>
      <c r="NR174" s="46"/>
      <c r="NU174" s="45"/>
      <c r="NV174" s="46"/>
      <c r="OA174" s="45"/>
      <c r="OB174" s="46"/>
      <c r="OE174" s="45"/>
      <c r="OF174" s="46"/>
      <c r="OK174" s="45"/>
      <c r="OM174" s="43"/>
      <c r="OQ174" s="45"/>
      <c r="OR174" s="46"/>
      <c r="OU174" s="44"/>
      <c r="OW174" s="45"/>
      <c r="OX174" s="46"/>
      <c r="PC174" s="45"/>
      <c r="PD174" s="46"/>
      <c r="PI174" s="45"/>
      <c r="PJ174" s="46"/>
      <c r="PO174" s="45"/>
      <c r="PP174" s="46"/>
      <c r="PR174" s="44"/>
      <c r="PU174" s="45"/>
      <c r="PV174" s="46"/>
      <c r="PY174" s="45"/>
      <c r="PZ174" s="46"/>
      <c r="QB174" s="44"/>
      <c r="QC174" s="45"/>
      <c r="QD174" s="46"/>
      <c r="QI174" s="45"/>
      <c r="QJ174" s="46"/>
      <c r="QM174" s="45"/>
      <c r="QN174" s="46"/>
      <c r="QS174" s="45"/>
      <c r="QT174" s="46"/>
      <c r="QW174" s="45"/>
      <c r="QX174" s="46"/>
      <c r="RC174" s="45"/>
      <c r="RD174" s="42"/>
      <c r="RE174" s="44"/>
      <c r="RG174" s="44"/>
      <c r="RI174" s="45"/>
      <c r="RJ174" s="42"/>
      <c r="RO174" s="43"/>
      <c r="RP174" s="42"/>
      <c r="RS174" s="43"/>
      <c r="RT174" s="42"/>
      <c r="RY174" s="43"/>
      <c r="RZ174" s="42"/>
      <c r="SE174" s="43"/>
      <c r="SF174" s="42"/>
      <c r="SK174" s="43"/>
      <c r="SL174" s="42"/>
      <c r="SO174" s="43"/>
      <c r="SP174" s="42"/>
      <c r="SU174" s="43"/>
    </row>
    <row r="175" spans="1:515" x14ac:dyDescent="0.25">
      <c r="A175" s="47" t="s">
        <v>482</v>
      </c>
      <c r="B175" s="41">
        <v>1</v>
      </c>
      <c r="J175" s="42"/>
      <c r="K175" s="51"/>
      <c r="L175" s="51"/>
      <c r="M175" s="51"/>
      <c r="N175" s="51">
        <f t="shared" si="15"/>
        <v>0</v>
      </c>
      <c r="O175" s="43"/>
      <c r="P175" s="46"/>
      <c r="Q175" s="51"/>
      <c r="R175" s="51"/>
      <c r="S175" s="51"/>
      <c r="T175" s="51">
        <f t="shared" si="16"/>
        <v>0</v>
      </c>
      <c r="U175" s="43"/>
      <c r="V175" s="42"/>
      <c r="W175" s="51"/>
      <c r="X175" s="51"/>
      <c r="Y175" s="51"/>
      <c r="Z175" s="51">
        <f t="shared" si="17"/>
        <v>0</v>
      </c>
      <c r="AA175" s="43"/>
      <c r="AB175" s="42"/>
      <c r="AC175" s="51"/>
      <c r="AD175" s="51"/>
      <c r="AE175" s="51"/>
      <c r="AF175" s="51">
        <v>0</v>
      </c>
      <c r="AG175" s="43"/>
      <c r="AH175" s="51"/>
      <c r="AL175" s="47">
        <v>0</v>
      </c>
      <c r="AM175" s="43"/>
      <c r="AN175" s="42"/>
      <c r="AR175" s="47">
        <v>0</v>
      </c>
      <c r="AS175" s="43"/>
      <c r="AX175" s="47">
        <v>0</v>
      </c>
      <c r="AY175" s="43"/>
      <c r="BD175" s="47">
        <v>0</v>
      </c>
      <c r="BE175" s="43"/>
      <c r="BF175" s="42"/>
      <c r="BJ175" s="47">
        <v>0</v>
      </c>
      <c r="BK175" s="43"/>
      <c r="BL175" s="42"/>
      <c r="BP175" s="47">
        <v>0</v>
      </c>
      <c r="BQ175" s="43"/>
      <c r="BV175" s="47">
        <v>0</v>
      </c>
      <c r="BW175" s="43"/>
      <c r="BX175" s="42"/>
      <c r="CB175" s="47">
        <v>0</v>
      </c>
      <c r="CC175" s="43"/>
      <c r="CH175" s="47">
        <v>0</v>
      </c>
      <c r="CI175" s="43"/>
      <c r="CN175" s="47">
        <v>0</v>
      </c>
      <c r="CO175" s="43"/>
      <c r="CP175" s="42"/>
      <c r="CT175" s="47">
        <v>0</v>
      </c>
      <c r="CU175" s="43"/>
      <c r="CV175" s="42"/>
      <c r="CZ175" s="47">
        <v>0</v>
      </c>
      <c r="DA175" s="43"/>
      <c r="DG175" s="47">
        <v>0</v>
      </c>
      <c r="DH175" s="43"/>
      <c r="DK175" s="47">
        <v>0</v>
      </c>
      <c r="DL175" s="43"/>
      <c r="DM175" s="42"/>
      <c r="DQ175" s="47">
        <v>0</v>
      </c>
      <c r="DR175" s="43"/>
      <c r="DW175" s="47">
        <v>0</v>
      </c>
      <c r="DX175" s="43"/>
      <c r="EC175" s="47">
        <v>0</v>
      </c>
      <c r="ED175" s="43"/>
      <c r="EE175" s="42"/>
      <c r="EI175" s="47">
        <v>0</v>
      </c>
      <c r="EJ175" s="43"/>
      <c r="EO175" s="47">
        <v>0</v>
      </c>
      <c r="EP175" s="43"/>
      <c r="EQ175" s="42"/>
      <c r="EU175" s="47">
        <v>0</v>
      </c>
      <c r="EV175" s="43"/>
      <c r="EW175" s="42"/>
      <c r="FC175" s="47">
        <v>0</v>
      </c>
      <c r="FD175" s="43"/>
      <c r="FE175" s="42"/>
      <c r="FI175" s="47">
        <v>0</v>
      </c>
      <c r="FJ175" s="43"/>
      <c r="FQ175" s="47">
        <v>0</v>
      </c>
      <c r="FR175" s="43"/>
      <c r="FS175" s="42"/>
      <c r="FW175" s="47">
        <v>0</v>
      </c>
      <c r="FX175" s="43"/>
      <c r="FY175" s="42"/>
      <c r="GC175" s="47">
        <v>0</v>
      </c>
      <c r="GD175" s="43"/>
      <c r="GE175" s="42"/>
      <c r="GI175" s="47">
        <v>0</v>
      </c>
      <c r="GJ175" s="43"/>
      <c r="GQ175" s="47">
        <v>0</v>
      </c>
      <c r="GR175" s="43"/>
      <c r="GX175" s="47">
        <v>0</v>
      </c>
      <c r="GY175" s="43"/>
      <c r="GZ175" s="42"/>
      <c r="HC175" s="47">
        <v>0</v>
      </c>
      <c r="HD175" s="43"/>
      <c r="HE175" s="42"/>
      <c r="HH175" s="47">
        <v>0</v>
      </c>
      <c r="HI175" s="43"/>
      <c r="HN175" s="47">
        <v>0</v>
      </c>
      <c r="HO175" s="43"/>
      <c r="HP175" s="42"/>
      <c r="HU175" s="47">
        <v>0</v>
      </c>
      <c r="HV175" s="43"/>
      <c r="IA175" s="47">
        <v>0</v>
      </c>
      <c r="IB175" s="43"/>
      <c r="IC175" s="42"/>
      <c r="IE175">
        <v>26</v>
      </c>
      <c r="IF175" s="47">
        <v>24</v>
      </c>
      <c r="IG175" s="47">
        <v>2</v>
      </c>
      <c r="IH175" s="43"/>
      <c r="IM175" s="47">
        <v>0</v>
      </c>
      <c r="IN175" s="43"/>
      <c r="IO175" s="40">
        <v>10</v>
      </c>
      <c r="IP175" s="44">
        <v>10</v>
      </c>
      <c r="IQ175" s="47">
        <v>0</v>
      </c>
      <c r="IR175" s="43"/>
      <c r="IS175" s="42"/>
      <c r="IU175">
        <v>5</v>
      </c>
      <c r="IV175">
        <v>5</v>
      </c>
      <c r="IW175" s="47">
        <v>0</v>
      </c>
      <c r="IX175" s="43"/>
      <c r="IY175" s="42"/>
      <c r="JA175" s="47">
        <v>0</v>
      </c>
      <c r="JB175" s="43"/>
      <c r="JC175" s="42"/>
      <c r="JG175" s="47">
        <v>0</v>
      </c>
      <c r="JH175" s="43"/>
      <c r="JP175" s="43"/>
      <c r="JQ175" s="42"/>
      <c r="JV175" s="43"/>
      <c r="JZ175" s="48"/>
      <c r="KB175" s="45"/>
      <c r="KH175" s="45"/>
      <c r="KN175" s="45"/>
      <c r="KT175" s="43"/>
      <c r="KX175" s="45"/>
      <c r="LD175" s="43"/>
      <c r="LE175" s="40"/>
      <c r="LH175" s="45"/>
      <c r="LN175" s="45"/>
      <c r="LT175" s="45"/>
      <c r="LZ175" s="45"/>
      <c r="MB175" s="41"/>
      <c r="MF175" s="45"/>
      <c r="MG175" s="46"/>
      <c r="MN175" s="45"/>
      <c r="MT175" s="45"/>
      <c r="MZ175" s="45"/>
      <c r="NA175" s="46"/>
      <c r="ND175" s="45"/>
      <c r="NE175" s="46"/>
      <c r="NK175" s="45"/>
      <c r="NL175" s="46"/>
      <c r="NQ175" s="45"/>
      <c r="NR175" s="46"/>
      <c r="NU175" s="45"/>
      <c r="NV175" s="46"/>
      <c r="OA175" s="45"/>
      <c r="OB175" s="46"/>
      <c r="OE175" s="45"/>
      <c r="OF175" s="46"/>
      <c r="OK175" s="45"/>
      <c r="OM175" s="43"/>
      <c r="OQ175" s="45"/>
      <c r="OR175" s="46"/>
      <c r="OW175" s="45"/>
      <c r="OX175" s="46"/>
      <c r="PC175" s="45"/>
      <c r="PD175" s="46"/>
      <c r="PI175" s="45"/>
      <c r="PJ175" s="46"/>
      <c r="PO175" s="45"/>
      <c r="PP175" s="46"/>
      <c r="PR175" s="44"/>
      <c r="PU175" s="45"/>
      <c r="PV175" s="46"/>
      <c r="PY175" s="45"/>
      <c r="PZ175" s="46"/>
      <c r="QB175" s="44"/>
      <c r="QC175" s="45"/>
      <c r="QD175" s="46"/>
      <c r="QI175" s="45"/>
      <c r="QJ175" s="46"/>
      <c r="QM175" s="45"/>
      <c r="QN175" s="46"/>
      <c r="QS175" s="45"/>
      <c r="QT175" s="46"/>
      <c r="QW175" s="45"/>
      <c r="QX175" s="46"/>
      <c r="RC175" s="45"/>
      <c r="RD175" s="42"/>
      <c r="RE175" s="44"/>
      <c r="RG175" s="44"/>
      <c r="RI175" s="45"/>
      <c r="RJ175" s="42"/>
      <c r="RO175" s="43"/>
      <c r="RP175" s="42"/>
      <c r="RS175" s="43"/>
      <c r="RT175" s="42"/>
      <c r="RY175" s="43"/>
      <c r="RZ175" s="42"/>
      <c r="SE175" s="43"/>
      <c r="SF175" s="42"/>
      <c r="SK175" s="43"/>
      <c r="SL175" s="42"/>
      <c r="SO175" s="43"/>
      <c r="SP175" s="42"/>
      <c r="SU175" s="43"/>
    </row>
    <row r="176" spans="1:515" x14ac:dyDescent="0.25">
      <c r="A176" s="47" t="s">
        <v>483</v>
      </c>
      <c r="B176" s="41">
        <v>0.84</v>
      </c>
      <c r="J176" s="42"/>
      <c r="K176" s="51"/>
      <c r="L176" s="51"/>
      <c r="M176" s="51"/>
      <c r="N176" s="51">
        <f t="shared" si="15"/>
        <v>0</v>
      </c>
      <c r="O176" s="43"/>
      <c r="P176" s="46"/>
      <c r="Q176" s="51"/>
      <c r="R176" s="51"/>
      <c r="S176" s="51"/>
      <c r="T176" s="51">
        <f t="shared" si="16"/>
        <v>0</v>
      </c>
      <c r="U176" s="43"/>
      <c r="V176" s="42"/>
      <c r="W176" s="51"/>
      <c r="X176" s="51"/>
      <c r="Y176" s="51"/>
      <c r="Z176" s="51">
        <f t="shared" si="17"/>
        <v>0</v>
      </c>
      <c r="AA176" s="43"/>
      <c r="AB176" s="42"/>
      <c r="AC176" s="51"/>
      <c r="AD176" s="51"/>
      <c r="AE176" s="51"/>
      <c r="AF176" s="51">
        <v>0</v>
      </c>
      <c r="AG176" s="43"/>
      <c r="AH176" s="51"/>
      <c r="AL176" s="47">
        <v>0</v>
      </c>
      <c r="AM176" s="43"/>
      <c r="AN176" s="42"/>
      <c r="AR176" s="47">
        <v>0</v>
      </c>
      <c r="AS176" s="43"/>
      <c r="AX176" s="47">
        <v>0</v>
      </c>
      <c r="AY176" s="43"/>
      <c r="BD176" s="47">
        <v>0</v>
      </c>
      <c r="BE176" s="43"/>
      <c r="BF176" s="42"/>
      <c r="BJ176" s="47">
        <v>0</v>
      </c>
      <c r="BK176" s="43"/>
      <c r="BL176" s="42"/>
      <c r="BP176" s="47">
        <v>0</v>
      </c>
      <c r="BQ176" s="43"/>
      <c r="BV176" s="47">
        <v>0</v>
      </c>
      <c r="BW176" s="43"/>
      <c r="BX176" s="42"/>
      <c r="CB176" s="47">
        <v>0</v>
      </c>
      <c r="CC176" s="43"/>
      <c r="CH176" s="47">
        <v>0</v>
      </c>
      <c r="CI176" s="43"/>
      <c r="CN176" s="47">
        <v>0</v>
      </c>
      <c r="CO176" s="43"/>
      <c r="CP176" s="42"/>
      <c r="CT176" s="47">
        <v>0</v>
      </c>
      <c r="CU176" s="43"/>
      <c r="CV176" s="42"/>
      <c r="CZ176" s="47">
        <v>0</v>
      </c>
      <c r="DA176" s="43"/>
      <c r="DG176" s="47">
        <v>0</v>
      </c>
      <c r="DH176" s="43"/>
      <c r="DK176" s="47">
        <v>0</v>
      </c>
      <c r="DL176" s="43"/>
      <c r="DM176" s="42"/>
      <c r="DQ176" s="47">
        <v>0</v>
      </c>
      <c r="DR176" s="43"/>
      <c r="DW176" s="47">
        <v>0</v>
      </c>
      <c r="DX176" s="43"/>
      <c r="EC176" s="47">
        <v>0</v>
      </c>
      <c r="ED176" s="43"/>
      <c r="EE176" s="42"/>
      <c r="EI176" s="47">
        <v>0</v>
      </c>
      <c r="EJ176" s="43"/>
      <c r="EO176" s="47">
        <v>0</v>
      </c>
      <c r="EP176" s="43"/>
      <c r="EQ176" s="42"/>
      <c r="EU176" s="47">
        <v>0</v>
      </c>
      <c r="EV176" s="43"/>
      <c r="EW176" s="42"/>
      <c r="FC176" s="47">
        <v>0</v>
      </c>
      <c r="FD176" s="43"/>
      <c r="FE176" s="42"/>
      <c r="FI176" s="47">
        <v>0</v>
      </c>
      <c r="FJ176" s="43"/>
      <c r="FQ176" s="47">
        <v>0</v>
      </c>
      <c r="FR176" s="43"/>
      <c r="FS176" s="42"/>
      <c r="FW176" s="47">
        <v>0</v>
      </c>
      <c r="FX176" s="43"/>
      <c r="FY176" s="42"/>
      <c r="GC176" s="47">
        <v>0</v>
      </c>
      <c r="GD176" s="43"/>
      <c r="GE176" s="42"/>
      <c r="GI176" s="47">
        <v>0</v>
      </c>
      <c r="GJ176" s="43"/>
      <c r="GQ176" s="47">
        <v>0</v>
      </c>
      <c r="GR176" s="43"/>
      <c r="GX176" s="47">
        <v>0</v>
      </c>
      <c r="GY176" s="43"/>
      <c r="GZ176" s="42"/>
      <c r="HC176" s="47">
        <v>0</v>
      </c>
      <c r="HD176" s="43"/>
      <c r="HE176" s="42"/>
      <c r="HH176" s="47">
        <v>0</v>
      </c>
      <c r="HI176" s="43"/>
      <c r="HN176" s="47">
        <v>0</v>
      </c>
      <c r="HO176" s="43"/>
      <c r="HP176" s="42"/>
      <c r="HU176" s="47">
        <v>0</v>
      </c>
      <c r="HV176" s="43"/>
      <c r="HZ176">
        <v>12</v>
      </c>
      <c r="IA176" s="50">
        <v>-12</v>
      </c>
      <c r="IB176" s="43">
        <v>10.08</v>
      </c>
      <c r="IC176" s="42"/>
      <c r="IG176" s="47">
        <v>0</v>
      </c>
      <c r="IH176" s="43"/>
      <c r="IM176" s="47">
        <v>0</v>
      </c>
      <c r="IN176" s="43"/>
      <c r="IO176" s="42"/>
      <c r="IQ176" s="47">
        <v>0</v>
      </c>
      <c r="IR176" s="43"/>
      <c r="IS176" s="42"/>
      <c r="IW176" s="47">
        <v>0</v>
      </c>
      <c r="IX176" s="43"/>
      <c r="IY176" s="46">
        <v>18</v>
      </c>
      <c r="IZ176" s="47">
        <v>20</v>
      </c>
      <c r="JA176" s="47">
        <v>-2</v>
      </c>
      <c r="JB176" s="43"/>
      <c r="JC176" s="42"/>
      <c r="JG176" s="47">
        <v>0</v>
      </c>
      <c r="JH176" s="43"/>
      <c r="JO176" s="47">
        <v>0</v>
      </c>
      <c r="JP176" s="45"/>
      <c r="JQ176" s="42"/>
      <c r="JV176" s="43"/>
      <c r="KB176" s="45"/>
      <c r="KH176" s="45"/>
      <c r="KN176" s="45"/>
      <c r="KT176" s="43"/>
      <c r="KX176" s="45"/>
      <c r="LD176" s="43"/>
      <c r="LE176" s="40"/>
      <c r="LH176" s="45"/>
      <c r="LN176" s="45"/>
      <c r="LT176" s="45"/>
      <c r="LZ176" s="45"/>
      <c r="MB176" s="41"/>
      <c r="MF176" s="45"/>
      <c r="MG176" s="46"/>
      <c r="MN176" s="45"/>
      <c r="MT176" s="45"/>
      <c r="MZ176" s="45"/>
      <c r="NA176" s="46"/>
      <c r="ND176" s="45"/>
      <c r="NE176" s="46"/>
      <c r="NK176" s="45"/>
      <c r="NL176" s="46"/>
      <c r="NQ176" s="45"/>
      <c r="NR176" s="46"/>
      <c r="NU176" s="45"/>
      <c r="NV176" s="46"/>
      <c r="OA176" s="45"/>
      <c r="OB176" s="46"/>
      <c r="OE176" s="45"/>
      <c r="OF176" s="46"/>
      <c r="OK176" s="45"/>
      <c r="OM176" s="43"/>
      <c r="OQ176" s="45"/>
      <c r="OR176" s="46"/>
      <c r="OW176" s="45"/>
      <c r="OX176" s="46"/>
      <c r="PC176" s="45"/>
      <c r="PD176" s="46"/>
      <c r="PI176" s="45"/>
      <c r="PJ176" s="46"/>
      <c r="PO176" s="45"/>
      <c r="PP176" s="46"/>
      <c r="PR176" s="44"/>
      <c r="PU176" s="45"/>
      <c r="PV176" s="46"/>
      <c r="PY176" s="45"/>
      <c r="PZ176" s="46"/>
      <c r="QB176" s="44"/>
      <c r="QC176" s="45"/>
      <c r="QD176" s="46"/>
      <c r="QI176" s="45"/>
      <c r="QJ176" s="46"/>
      <c r="QM176" s="45"/>
      <c r="QN176" s="46"/>
      <c r="QS176" s="45"/>
      <c r="QT176" s="46"/>
      <c r="QW176" s="45"/>
      <c r="QX176" s="46"/>
      <c r="RC176" s="45"/>
      <c r="RD176" s="42"/>
      <c r="RE176" s="44"/>
      <c r="RG176" s="44"/>
      <c r="RI176" s="45"/>
      <c r="RJ176" s="42"/>
      <c r="RO176" s="43"/>
      <c r="RP176" s="42"/>
      <c r="RS176" s="43"/>
      <c r="RT176" s="42"/>
      <c r="RY176" s="43"/>
      <c r="RZ176" s="42"/>
      <c r="SE176" s="43"/>
      <c r="SF176" s="42"/>
      <c r="SK176" s="43"/>
      <c r="SL176" s="42"/>
      <c r="SO176" s="43"/>
      <c r="SP176" s="42"/>
      <c r="SU176" s="43"/>
    </row>
    <row r="177" spans="1:515" x14ac:dyDescent="0.25">
      <c r="A177" s="47" t="s">
        <v>484</v>
      </c>
      <c r="B177" s="41">
        <v>0.84</v>
      </c>
      <c r="J177" s="42"/>
      <c r="K177" s="51"/>
      <c r="L177" s="51"/>
      <c r="M177" s="51"/>
      <c r="N177" s="51">
        <f t="shared" si="15"/>
        <v>0</v>
      </c>
      <c r="O177" s="43"/>
      <c r="P177" s="46"/>
      <c r="Q177" s="51"/>
      <c r="R177" s="51"/>
      <c r="S177" s="51"/>
      <c r="T177" s="51">
        <f t="shared" si="16"/>
        <v>0</v>
      </c>
      <c r="U177" s="43"/>
      <c r="V177" s="42"/>
      <c r="W177" s="51"/>
      <c r="X177" s="51"/>
      <c r="Y177" s="51"/>
      <c r="Z177" s="51">
        <f t="shared" si="17"/>
        <v>0</v>
      </c>
      <c r="AA177" s="43"/>
      <c r="AB177" s="42"/>
      <c r="AC177" s="51"/>
      <c r="AD177" s="51"/>
      <c r="AE177" s="51"/>
      <c r="AF177" s="51">
        <v>0</v>
      </c>
      <c r="AG177" s="43"/>
      <c r="AH177" s="51"/>
      <c r="AL177" s="47">
        <v>0</v>
      </c>
      <c r="AM177" s="43"/>
      <c r="AN177" s="42"/>
      <c r="AR177" s="47">
        <v>0</v>
      </c>
      <c r="AS177" s="43"/>
      <c r="AX177" s="47">
        <v>0</v>
      </c>
      <c r="AY177" s="43"/>
      <c r="BD177" s="47">
        <v>0</v>
      </c>
      <c r="BE177" s="43"/>
      <c r="BF177" s="42"/>
      <c r="BJ177" s="47">
        <v>0</v>
      </c>
      <c r="BK177" s="43"/>
      <c r="BL177" s="42"/>
      <c r="BP177" s="47">
        <v>0</v>
      </c>
      <c r="BQ177" s="43"/>
      <c r="BV177" s="47">
        <v>0</v>
      </c>
      <c r="BW177" s="43"/>
      <c r="BX177" s="42"/>
      <c r="CB177" s="47">
        <v>0</v>
      </c>
      <c r="CC177" s="43"/>
      <c r="CH177" s="47">
        <v>0</v>
      </c>
      <c r="CI177" s="43"/>
      <c r="CN177" s="47">
        <v>0</v>
      </c>
      <c r="CO177" s="43"/>
      <c r="CP177" s="42"/>
      <c r="CT177" s="47">
        <v>0</v>
      </c>
      <c r="CU177" s="43"/>
      <c r="CV177" s="42"/>
      <c r="CZ177" s="47">
        <v>0</v>
      </c>
      <c r="DA177" s="43"/>
      <c r="DG177" s="47">
        <v>0</v>
      </c>
      <c r="DH177" s="43"/>
      <c r="DK177" s="47">
        <v>0</v>
      </c>
      <c r="DL177" s="43"/>
      <c r="DM177" s="42"/>
      <c r="DQ177" s="47">
        <v>0</v>
      </c>
      <c r="DR177" s="43"/>
      <c r="DW177" s="47">
        <v>0</v>
      </c>
      <c r="DX177" s="43"/>
      <c r="EC177" s="47">
        <v>0</v>
      </c>
      <c r="ED177" s="43"/>
      <c r="EE177" s="42"/>
      <c r="EI177" s="47">
        <v>0</v>
      </c>
      <c r="EJ177" s="43"/>
      <c r="EO177" s="47">
        <v>0</v>
      </c>
      <c r="EP177" s="43"/>
      <c r="EQ177" s="42"/>
      <c r="EU177" s="47">
        <v>0</v>
      </c>
      <c r="EV177" s="43"/>
      <c r="EW177" s="42"/>
      <c r="FC177" s="47">
        <v>0</v>
      </c>
      <c r="FD177" s="43"/>
      <c r="FE177" s="42"/>
      <c r="FI177" s="47">
        <v>0</v>
      </c>
      <c r="FJ177" s="43"/>
      <c r="FQ177" s="47">
        <v>0</v>
      </c>
      <c r="FR177" s="43"/>
      <c r="FS177" s="42"/>
      <c r="FW177" s="47">
        <v>0</v>
      </c>
      <c r="FX177" s="43"/>
      <c r="FY177" s="42"/>
      <c r="GC177" s="47">
        <v>0</v>
      </c>
      <c r="GD177" s="43"/>
      <c r="GE177" s="42"/>
      <c r="GI177" s="47">
        <v>0</v>
      </c>
      <c r="GJ177" s="43"/>
      <c r="GQ177" s="47">
        <v>0</v>
      </c>
      <c r="GR177" s="43"/>
      <c r="GX177" s="47">
        <v>0</v>
      </c>
      <c r="GY177" s="43"/>
      <c r="GZ177" s="42"/>
      <c r="HC177" s="47">
        <v>0</v>
      </c>
      <c r="HD177" s="43"/>
      <c r="HE177" s="42"/>
      <c r="HH177" s="47">
        <v>0</v>
      </c>
      <c r="HI177" s="43"/>
      <c r="HN177" s="47">
        <v>0</v>
      </c>
      <c r="HO177" s="43"/>
      <c r="HP177" s="42"/>
      <c r="HU177" s="47">
        <v>0</v>
      </c>
      <c r="HV177" s="43"/>
      <c r="IA177" s="47">
        <v>0</v>
      </c>
      <c r="IB177" s="43"/>
      <c r="IC177" s="42"/>
      <c r="IF177">
        <v>24</v>
      </c>
      <c r="IG177" s="50">
        <v>-24</v>
      </c>
      <c r="IH177" s="43">
        <v>20.16</v>
      </c>
      <c r="IM177" s="47">
        <v>0</v>
      </c>
      <c r="IN177" s="43"/>
      <c r="IO177" s="42"/>
      <c r="IP177" s="44">
        <v>24</v>
      </c>
      <c r="IQ177" s="50">
        <v>-24</v>
      </c>
      <c r="IR177" s="43">
        <v>20.16</v>
      </c>
      <c r="IS177" s="42"/>
      <c r="IW177" s="47">
        <v>0</v>
      </c>
      <c r="IX177" s="43"/>
      <c r="IY177" s="42"/>
      <c r="IZ177" s="47">
        <v>6</v>
      </c>
      <c r="JA177" s="50">
        <v>-6</v>
      </c>
      <c r="JB177" s="43">
        <v>5.04</v>
      </c>
      <c r="JC177" s="42"/>
      <c r="JG177" s="47">
        <v>0</v>
      </c>
      <c r="JH177" s="43"/>
      <c r="JO177" s="47">
        <v>0</v>
      </c>
      <c r="JP177" s="45"/>
      <c r="JQ177" s="42"/>
      <c r="JV177" s="43"/>
      <c r="KB177" s="45"/>
      <c r="KH177" s="45"/>
      <c r="KN177" s="45"/>
      <c r="KT177" s="43"/>
      <c r="KX177" s="45"/>
      <c r="LD177" s="43"/>
      <c r="LE177" s="40"/>
      <c r="LH177" s="45"/>
      <c r="LN177" s="45"/>
      <c r="LT177" s="45"/>
      <c r="LZ177" s="45"/>
      <c r="MB177" s="41"/>
      <c r="MF177" s="45"/>
      <c r="MG177" s="46"/>
      <c r="MN177" s="45"/>
      <c r="MT177" s="45"/>
      <c r="MZ177" s="45"/>
      <c r="NA177" s="46"/>
      <c r="ND177" s="45"/>
      <c r="NE177" s="46"/>
      <c r="NK177" s="45"/>
      <c r="NL177" s="46"/>
      <c r="NQ177" s="45"/>
      <c r="NR177" s="46"/>
      <c r="NU177" s="45"/>
      <c r="NV177" s="46"/>
      <c r="OA177" s="45"/>
      <c r="OB177" s="46"/>
      <c r="OE177" s="45"/>
      <c r="OF177" s="46"/>
      <c r="OK177" s="45"/>
      <c r="OM177" s="43"/>
      <c r="OQ177" s="45"/>
      <c r="OR177" s="46"/>
      <c r="OW177" s="45"/>
      <c r="OX177" s="46"/>
      <c r="PC177" s="45"/>
      <c r="PD177" s="46"/>
      <c r="PI177" s="45"/>
      <c r="PJ177" s="46"/>
      <c r="PO177" s="45"/>
      <c r="PP177" s="46"/>
      <c r="PR177" s="44"/>
      <c r="PU177" s="45"/>
      <c r="PV177" s="46"/>
      <c r="PY177" s="45"/>
      <c r="PZ177" s="46"/>
      <c r="QB177" s="44"/>
      <c r="QC177" s="45"/>
      <c r="QD177" s="46"/>
      <c r="QI177" s="45"/>
      <c r="QJ177" s="46"/>
      <c r="QM177" s="45"/>
      <c r="QN177" s="46"/>
      <c r="QS177" s="45"/>
      <c r="QT177" s="46"/>
      <c r="QW177" s="45"/>
      <c r="QX177" s="46"/>
      <c r="RC177" s="45"/>
      <c r="RD177" s="42"/>
      <c r="RE177" s="44"/>
      <c r="RG177" s="44"/>
      <c r="RI177" s="45"/>
      <c r="RJ177" s="42"/>
      <c r="RO177" s="43"/>
      <c r="RP177" s="42"/>
      <c r="RS177" s="43"/>
      <c r="RT177" s="42"/>
      <c r="RY177" s="43"/>
      <c r="RZ177" s="42"/>
      <c r="SE177" s="43"/>
      <c r="SF177" s="42"/>
      <c r="SK177" s="43"/>
      <c r="SL177" s="42"/>
      <c r="SO177" s="43"/>
      <c r="SP177" s="42"/>
      <c r="SU177" s="43"/>
    </row>
    <row r="178" spans="1:515" x14ac:dyDescent="0.25">
      <c r="A178" s="47" t="s">
        <v>485</v>
      </c>
      <c r="B178" s="41">
        <v>0.33</v>
      </c>
      <c r="J178" s="42"/>
      <c r="K178" s="51"/>
      <c r="L178" s="51"/>
      <c r="M178" s="51"/>
      <c r="N178" s="51">
        <f t="shared" si="15"/>
        <v>0</v>
      </c>
      <c r="O178" s="43"/>
      <c r="P178" s="46"/>
      <c r="Q178" s="51"/>
      <c r="R178" s="51"/>
      <c r="S178" s="51"/>
      <c r="T178" s="51">
        <f t="shared" si="16"/>
        <v>0</v>
      </c>
      <c r="U178" s="43"/>
      <c r="V178" s="42"/>
      <c r="W178" s="51"/>
      <c r="X178" s="51"/>
      <c r="Y178" s="51"/>
      <c r="Z178" s="51">
        <f t="shared" si="17"/>
        <v>0</v>
      </c>
      <c r="AA178" s="43"/>
      <c r="AB178" s="42"/>
      <c r="AC178" s="51"/>
      <c r="AD178" s="51"/>
      <c r="AE178" s="51"/>
      <c r="AF178" s="51">
        <v>0</v>
      </c>
      <c r="AG178" s="43"/>
      <c r="AH178" s="51"/>
      <c r="AL178" s="47">
        <v>0</v>
      </c>
      <c r="AM178" s="43"/>
      <c r="AN178" s="42"/>
      <c r="AR178" s="47">
        <v>0</v>
      </c>
      <c r="AS178" s="43"/>
      <c r="AX178" s="47">
        <v>0</v>
      </c>
      <c r="AY178" s="43"/>
      <c r="BD178" s="47">
        <v>0</v>
      </c>
      <c r="BE178" s="43"/>
      <c r="BF178" s="42"/>
      <c r="BJ178" s="47">
        <v>0</v>
      </c>
      <c r="BK178" s="43"/>
      <c r="BL178" s="42"/>
      <c r="BP178" s="47">
        <v>0</v>
      </c>
      <c r="BQ178" s="43"/>
      <c r="BV178" s="47">
        <v>0</v>
      </c>
      <c r="BW178" s="43"/>
      <c r="BX178" s="42"/>
      <c r="CB178" s="47">
        <v>0</v>
      </c>
      <c r="CC178" s="43"/>
      <c r="CH178" s="47">
        <v>0</v>
      </c>
      <c r="CI178" s="43"/>
      <c r="CN178" s="47">
        <v>0</v>
      </c>
      <c r="CO178" s="43"/>
      <c r="CP178" s="42"/>
      <c r="CT178" s="47">
        <v>0</v>
      </c>
      <c r="CU178" s="43"/>
      <c r="CV178" s="42"/>
      <c r="CZ178" s="47">
        <v>0</v>
      </c>
      <c r="DA178" s="43"/>
      <c r="DG178" s="47">
        <v>0</v>
      </c>
      <c r="DH178" s="43"/>
      <c r="DK178" s="47">
        <v>0</v>
      </c>
      <c r="DL178" s="43"/>
      <c r="DM178" s="42"/>
      <c r="DQ178" s="47">
        <v>0</v>
      </c>
      <c r="DR178" s="43"/>
      <c r="DW178" s="47">
        <v>0</v>
      </c>
      <c r="DX178" s="43"/>
      <c r="EC178" s="47">
        <v>0</v>
      </c>
      <c r="ED178" s="43"/>
      <c r="EE178" s="42"/>
      <c r="EI178" s="47">
        <v>0</v>
      </c>
      <c r="EJ178" s="43"/>
      <c r="EO178" s="47">
        <v>0</v>
      </c>
      <c r="EP178" s="43"/>
      <c r="EQ178" s="42"/>
      <c r="EU178" s="47">
        <v>0</v>
      </c>
      <c r="EV178" s="43"/>
      <c r="EW178" s="42"/>
      <c r="FA178">
        <v>56</v>
      </c>
      <c r="FB178">
        <v>60</v>
      </c>
      <c r="FC178" s="47">
        <v>-4</v>
      </c>
      <c r="FD178" s="43"/>
      <c r="FE178" s="42"/>
      <c r="FI178" s="47">
        <v>0</v>
      </c>
      <c r="FJ178" s="43"/>
      <c r="FM178">
        <v>32</v>
      </c>
      <c r="FN178">
        <v>32</v>
      </c>
      <c r="FQ178" s="47">
        <v>0</v>
      </c>
      <c r="FR178" s="43"/>
      <c r="FS178" s="42"/>
      <c r="FU178">
        <v>8</v>
      </c>
      <c r="FV178">
        <v>9</v>
      </c>
      <c r="FW178" s="47">
        <v>-1</v>
      </c>
      <c r="FX178" s="43"/>
      <c r="FY178" s="42"/>
      <c r="GC178" s="47">
        <v>0</v>
      </c>
      <c r="GD178" s="43"/>
      <c r="GE178" s="42"/>
      <c r="GF178">
        <v>24</v>
      </c>
      <c r="GG178">
        <v>32</v>
      </c>
      <c r="GH178">
        <v>32</v>
      </c>
      <c r="GI178" s="50">
        <v>-24</v>
      </c>
      <c r="GJ178" s="43">
        <v>7.92</v>
      </c>
      <c r="GO178">
        <v>8</v>
      </c>
      <c r="GP178">
        <v>9</v>
      </c>
      <c r="GQ178" s="47">
        <v>-1</v>
      </c>
      <c r="GR178" s="43"/>
      <c r="GU178">
        <v>32</v>
      </c>
      <c r="GW178">
        <v>30</v>
      </c>
      <c r="GX178" s="47">
        <v>2</v>
      </c>
      <c r="GY178" s="43"/>
      <c r="GZ178" s="40">
        <v>16</v>
      </c>
      <c r="HB178" s="44">
        <v>16</v>
      </c>
      <c r="HC178" s="47">
        <v>0</v>
      </c>
      <c r="HD178" s="43"/>
      <c r="HE178" s="42"/>
      <c r="HH178" s="47">
        <v>0</v>
      </c>
      <c r="HI178" s="43"/>
      <c r="HN178" s="47">
        <v>0</v>
      </c>
      <c r="HO178" s="43"/>
      <c r="HP178" s="42"/>
      <c r="HS178">
        <v>8</v>
      </c>
      <c r="HT178">
        <v>11</v>
      </c>
      <c r="HU178" s="47">
        <v>-3</v>
      </c>
      <c r="HV178" s="43"/>
      <c r="HY178">
        <v>8</v>
      </c>
      <c r="HZ178">
        <v>24</v>
      </c>
      <c r="IA178" s="50">
        <v>-16</v>
      </c>
      <c r="IB178" s="43">
        <v>5.28</v>
      </c>
      <c r="IC178" s="42"/>
      <c r="IG178" s="47">
        <v>0</v>
      </c>
      <c r="IH178" s="43"/>
      <c r="IM178" s="47">
        <v>0</v>
      </c>
      <c r="IN178" s="43"/>
      <c r="IO178" s="40">
        <v>16</v>
      </c>
      <c r="IP178" s="44">
        <v>16</v>
      </c>
      <c r="IQ178" s="47">
        <v>0</v>
      </c>
      <c r="IR178" s="43"/>
      <c r="IS178" s="42"/>
      <c r="IW178" s="47">
        <v>0</v>
      </c>
      <c r="IX178" s="43"/>
      <c r="IY178" s="40">
        <v>24</v>
      </c>
      <c r="IZ178" s="47">
        <v>24</v>
      </c>
      <c r="JA178" s="47">
        <v>0</v>
      </c>
      <c r="JB178" s="43"/>
      <c r="JC178" s="42"/>
      <c r="JG178" s="47">
        <v>0</v>
      </c>
      <c r="JH178" s="43"/>
      <c r="JO178" s="47">
        <v>0</v>
      </c>
      <c r="JP178" s="45"/>
      <c r="JQ178" s="42"/>
      <c r="JV178" s="43"/>
      <c r="KB178" s="45"/>
      <c r="KH178" s="45"/>
      <c r="KN178" s="45"/>
      <c r="KT178" s="43"/>
      <c r="KX178" s="45"/>
      <c r="LD178" s="43"/>
      <c r="LE178" s="40"/>
      <c r="LH178" s="45"/>
      <c r="LN178" s="45"/>
      <c r="LT178" s="45"/>
      <c r="LZ178" s="45"/>
      <c r="MB178" s="41"/>
      <c r="MF178" s="45"/>
      <c r="MG178" s="46"/>
      <c r="MN178" s="45"/>
      <c r="MT178" s="45"/>
      <c r="MZ178" s="45"/>
      <c r="NA178" s="46"/>
      <c r="ND178" s="45"/>
      <c r="NE178" s="46"/>
      <c r="NK178" s="45"/>
      <c r="NL178" s="46"/>
      <c r="NQ178" s="45"/>
      <c r="NR178" s="46"/>
      <c r="NU178" s="45"/>
      <c r="NV178" s="46"/>
      <c r="OA178" s="45"/>
      <c r="OB178" s="46"/>
      <c r="OE178" s="45"/>
      <c r="OF178" s="46"/>
      <c r="OK178" s="45"/>
      <c r="OM178" s="43"/>
      <c r="OQ178" s="45"/>
      <c r="OR178" s="46"/>
      <c r="OW178" s="45"/>
      <c r="OX178" s="46"/>
      <c r="PC178" s="45"/>
      <c r="PD178" s="46"/>
      <c r="PI178" s="45"/>
      <c r="PJ178" s="46"/>
      <c r="PO178" s="45"/>
      <c r="PP178" s="46"/>
      <c r="PR178" s="44"/>
      <c r="PU178" s="45"/>
      <c r="PV178" s="46"/>
      <c r="PY178" s="45"/>
      <c r="PZ178" s="46"/>
      <c r="QB178" s="44"/>
      <c r="QC178" s="45"/>
      <c r="QD178" s="46"/>
      <c r="QI178" s="45"/>
      <c r="QJ178" s="46"/>
      <c r="QM178" s="45"/>
      <c r="QN178" s="46"/>
      <c r="QS178" s="45"/>
      <c r="QT178" s="46"/>
      <c r="QW178" s="45"/>
      <c r="QX178" s="46"/>
      <c r="RC178" s="45"/>
      <c r="RD178" s="42"/>
      <c r="RE178" s="44"/>
      <c r="RG178" s="44"/>
      <c r="RI178" s="45"/>
      <c r="RJ178" s="42"/>
      <c r="RO178" s="43"/>
      <c r="RP178" s="42"/>
      <c r="RS178" s="43"/>
      <c r="RT178" s="42"/>
      <c r="RY178" s="43"/>
      <c r="RZ178" s="42"/>
      <c r="SE178" s="43"/>
      <c r="SF178" s="42"/>
      <c r="SK178" s="43"/>
      <c r="SL178" s="42"/>
      <c r="SO178" s="43"/>
      <c r="SP178" s="42"/>
      <c r="SU178" s="43"/>
    </row>
    <row r="179" spans="1:515" x14ac:dyDescent="0.25">
      <c r="A179" s="47" t="s">
        <v>486</v>
      </c>
      <c r="B179" s="41">
        <v>1</v>
      </c>
      <c r="J179" s="42"/>
      <c r="K179" s="51"/>
      <c r="L179" s="51"/>
      <c r="M179" s="51"/>
      <c r="N179" s="51">
        <f t="shared" si="15"/>
        <v>0</v>
      </c>
      <c r="O179" s="43"/>
      <c r="P179" s="46"/>
      <c r="Q179" s="51"/>
      <c r="R179" s="51"/>
      <c r="S179" s="51"/>
      <c r="T179" s="51">
        <f t="shared" si="16"/>
        <v>0</v>
      </c>
      <c r="U179" s="43"/>
      <c r="V179" s="42"/>
      <c r="W179" s="51"/>
      <c r="X179" s="51"/>
      <c r="Y179" s="51"/>
      <c r="Z179" s="51">
        <f t="shared" si="17"/>
        <v>0</v>
      </c>
      <c r="AA179" s="43"/>
      <c r="AB179" s="42"/>
      <c r="AC179" s="51"/>
      <c r="AD179" s="51"/>
      <c r="AE179" s="51"/>
      <c r="AF179" s="51">
        <v>0</v>
      </c>
      <c r="AG179" s="43"/>
      <c r="AH179" s="51"/>
      <c r="AL179" s="47">
        <v>0</v>
      </c>
      <c r="AM179" s="43"/>
      <c r="AN179" s="42"/>
      <c r="AR179" s="47">
        <v>0</v>
      </c>
      <c r="AS179" s="43"/>
      <c r="AX179" s="47">
        <v>0</v>
      </c>
      <c r="AY179" s="43"/>
      <c r="BD179" s="47">
        <v>0</v>
      </c>
      <c r="BE179" s="43"/>
      <c r="BF179" s="42"/>
      <c r="BJ179" s="47">
        <v>0</v>
      </c>
      <c r="BK179" s="43"/>
      <c r="BL179" s="42"/>
      <c r="BP179" s="47">
        <v>0</v>
      </c>
      <c r="BQ179" s="43"/>
      <c r="BV179" s="47">
        <v>0</v>
      </c>
      <c r="BW179" s="43"/>
      <c r="BX179" s="42"/>
      <c r="CB179" s="47">
        <v>0</v>
      </c>
      <c r="CC179" s="43"/>
      <c r="CH179" s="47">
        <v>0</v>
      </c>
      <c r="CI179" s="43"/>
      <c r="CN179" s="47">
        <v>0</v>
      </c>
      <c r="CO179" s="43"/>
      <c r="CP179" s="42"/>
      <c r="CT179" s="47">
        <v>0</v>
      </c>
      <c r="CU179" s="43"/>
      <c r="CV179" s="42"/>
      <c r="CZ179" s="47">
        <v>0</v>
      </c>
      <c r="DA179" s="43"/>
      <c r="DG179" s="47">
        <v>0</v>
      </c>
      <c r="DH179" s="43"/>
      <c r="DK179" s="47">
        <v>0</v>
      </c>
      <c r="DL179" s="43"/>
      <c r="DM179" s="42"/>
      <c r="DQ179" s="47">
        <v>0</v>
      </c>
      <c r="DR179" s="43"/>
      <c r="DW179" s="47">
        <v>0</v>
      </c>
      <c r="DX179" s="43"/>
      <c r="EC179" s="47">
        <v>0</v>
      </c>
      <c r="ED179" s="43"/>
      <c r="EE179" s="42"/>
      <c r="EI179" s="47">
        <v>0</v>
      </c>
      <c r="EJ179" s="43"/>
      <c r="EO179" s="47">
        <v>0</v>
      </c>
      <c r="EP179" s="43"/>
      <c r="EQ179" s="42"/>
      <c r="EU179" s="47">
        <v>0</v>
      </c>
      <c r="EV179" s="43"/>
      <c r="EW179" s="42"/>
      <c r="FC179" s="47">
        <v>0</v>
      </c>
      <c r="FD179" s="43"/>
      <c r="FE179" s="42"/>
      <c r="FI179" s="47">
        <v>0</v>
      </c>
      <c r="FJ179" s="43"/>
      <c r="FQ179" s="47">
        <v>0</v>
      </c>
      <c r="FR179" s="43"/>
      <c r="FS179" s="42"/>
      <c r="FW179" s="47">
        <v>0</v>
      </c>
      <c r="FX179" s="43"/>
      <c r="FY179" s="42"/>
      <c r="GC179" s="47">
        <v>0</v>
      </c>
      <c r="GD179" s="43"/>
      <c r="GE179" s="42"/>
      <c r="GI179" s="47">
        <v>0</v>
      </c>
      <c r="GJ179" s="43"/>
      <c r="GQ179" s="47">
        <v>0</v>
      </c>
      <c r="GR179" s="43"/>
      <c r="GU179">
        <v>41</v>
      </c>
      <c r="GW179">
        <v>40</v>
      </c>
      <c r="GX179" s="47">
        <v>1</v>
      </c>
      <c r="GY179" s="43"/>
      <c r="GZ179" s="42"/>
      <c r="HC179" s="47">
        <v>0</v>
      </c>
      <c r="HD179" s="43"/>
      <c r="HE179" s="42"/>
      <c r="HH179" s="47">
        <v>0</v>
      </c>
      <c r="HI179" s="43"/>
      <c r="HN179" s="47">
        <v>0</v>
      </c>
      <c r="HO179" s="43"/>
      <c r="HP179" s="42"/>
      <c r="HU179" s="47">
        <v>0</v>
      </c>
      <c r="HV179" s="43"/>
      <c r="HY179">
        <v>5</v>
      </c>
      <c r="HZ179" s="47">
        <v>4</v>
      </c>
      <c r="IA179" s="47">
        <v>1</v>
      </c>
      <c r="IB179" s="43"/>
      <c r="IC179" s="42"/>
      <c r="IG179" s="47">
        <v>0</v>
      </c>
      <c r="IH179" s="43"/>
      <c r="IM179" s="47">
        <v>0</v>
      </c>
      <c r="IN179" s="43"/>
      <c r="IO179" s="46">
        <v>5</v>
      </c>
      <c r="IP179" s="44">
        <v>4</v>
      </c>
      <c r="IQ179" s="47">
        <v>1</v>
      </c>
      <c r="IR179" s="43"/>
      <c r="IS179" s="42"/>
      <c r="IV179" s="47">
        <v>4</v>
      </c>
      <c r="IW179" s="50">
        <v>-4</v>
      </c>
      <c r="IX179" s="43">
        <v>4</v>
      </c>
      <c r="IY179" s="42"/>
      <c r="JA179" s="47">
        <v>0</v>
      </c>
      <c r="JB179" s="43"/>
      <c r="JC179" s="42"/>
      <c r="JG179" s="47">
        <v>0</v>
      </c>
      <c r="JH179" s="43"/>
      <c r="JP179" s="45"/>
      <c r="JQ179" s="42"/>
      <c r="JV179" s="43"/>
      <c r="KB179" s="45"/>
      <c r="KH179" s="45"/>
      <c r="KN179" s="45"/>
      <c r="KT179" s="43"/>
      <c r="KX179" s="45"/>
      <c r="LD179" s="43"/>
      <c r="LE179" s="40"/>
      <c r="LH179" s="45"/>
      <c r="LN179" s="45"/>
      <c r="LT179" s="45"/>
      <c r="LZ179" s="45"/>
      <c r="MB179" s="41"/>
      <c r="MF179" s="45"/>
      <c r="MG179" s="46"/>
      <c r="MN179" s="45"/>
      <c r="MT179" s="45"/>
      <c r="MZ179" s="45"/>
      <c r="NA179" s="46"/>
      <c r="ND179" s="45"/>
      <c r="NE179" s="46"/>
      <c r="NK179" s="45"/>
      <c r="NL179" s="46"/>
      <c r="NQ179" s="45"/>
      <c r="NR179" s="46"/>
      <c r="NU179" s="45"/>
      <c r="NV179" s="46"/>
      <c r="OA179" s="45"/>
      <c r="OB179" s="46"/>
      <c r="OE179" s="45"/>
      <c r="OF179" s="46"/>
      <c r="OK179" s="45"/>
      <c r="OM179" s="43"/>
      <c r="OQ179" s="45"/>
      <c r="OR179" s="46"/>
      <c r="OV179" s="44"/>
      <c r="OW179" s="45"/>
      <c r="OX179" s="46"/>
      <c r="PC179" s="45"/>
      <c r="PD179" s="46"/>
      <c r="PI179" s="45"/>
      <c r="PJ179" s="46"/>
      <c r="PO179" s="45"/>
      <c r="PP179" s="46"/>
      <c r="PR179" s="44"/>
      <c r="PU179" s="45"/>
      <c r="PV179" s="46"/>
      <c r="PY179" s="45"/>
      <c r="PZ179" s="46"/>
      <c r="QB179" s="44"/>
      <c r="QC179" s="45"/>
      <c r="QD179" s="46"/>
      <c r="QI179" s="45"/>
      <c r="QJ179" s="46"/>
      <c r="QM179" s="45"/>
      <c r="QN179" s="46"/>
      <c r="QS179" s="45"/>
      <c r="QT179" s="46"/>
      <c r="QW179" s="45"/>
      <c r="QX179" s="46"/>
      <c r="RC179" s="45"/>
      <c r="RD179" s="42"/>
      <c r="RE179" s="44"/>
      <c r="RG179" s="44"/>
      <c r="RI179" s="45"/>
      <c r="RJ179" s="42"/>
      <c r="RO179" s="43"/>
      <c r="RP179" s="42"/>
      <c r="RS179" s="43"/>
      <c r="RT179" s="42"/>
      <c r="RY179" s="43"/>
      <c r="RZ179" s="42"/>
      <c r="SE179" s="43"/>
      <c r="SF179" s="42"/>
      <c r="SK179" s="43"/>
      <c r="SL179" s="42"/>
      <c r="SO179" s="43"/>
      <c r="SP179" s="42"/>
      <c r="SU179" s="43"/>
    </row>
    <row r="180" spans="1:515" x14ac:dyDescent="0.25">
      <c r="A180" s="47" t="s">
        <v>487</v>
      </c>
      <c r="B180" s="41">
        <v>0.22</v>
      </c>
      <c r="F180">
        <v>56</v>
      </c>
      <c r="G180">
        <v>60</v>
      </c>
      <c r="J180" s="42"/>
      <c r="K180" s="51"/>
      <c r="L180" s="52">
        <v>40</v>
      </c>
      <c r="M180" s="52">
        <v>40</v>
      </c>
      <c r="N180" s="51">
        <f t="shared" si="15"/>
        <v>0</v>
      </c>
      <c r="O180" s="43"/>
      <c r="P180" s="46"/>
      <c r="Q180" s="51"/>
      <c r="R180" s="51"/>
      <c r="S180" s="52">
        <v>32</v>
      </c>
      <c r="T180" s="57">
        <f t="shared" si="16"/>
        <v>-32</v>
      </c>
      <c r="U180" s="43">
        <f>-1*T180*B180</f>
        <v>7.04</v>
      </c>
      <c r="V180" s="42"/>
      <c r="W180" s="51"/>
      <c r="X180" s="51"/>
      <c r="Y180" s="52">
        <v>8</v>
      </c>
      <c r="Z180" s="51">
        <f t="shared" si="17"/>
        <v>-8</v>
      </c>
      <c r="AA180" s="43"/>
      <c r="AB180" s="42"/>
      <c r="AC180" s="51"/>
      <c r="AD180" s="51"/>
      <c r="AE180" s="56">
        <v>16</v>
      </c>
      <c r="AF180" s="57">
        <v>-16</v>
      </c>
      <c r="AG180" s="43">
        <v>3.52</v>
      </c>
      <c r="AH180" s="51"/>
      <c r="AK180">
        <v>18</v>
      </c>
      <c r="AL180" s="50">
        <v>-18</v>
      </c>
      <c r="AM180" s="43">
        <v>3.96</v>
      </c>
      <c r="AN180" s="42"/>
      <c r="AR180" s="47">
        <v>0</v>
      </c>
      <c r="AS180" s="43"/>
      <c r="AV180">
        <v>16</v>
      </c>
      <c r="AW180">
        <v>17</v>
      </c>
      <c r="AX180" s="47">
        <v>-1</v>
      </c>
      <c r="AY180" s="43"/>
      <c r="BD180" s="47">
        <v>0</v>
      </c>
      <c r="BE180" s="43"/>
      <c r="BF180" s="42"/>
      <c r="BH180">
        <v>16</v>
      </c>
      <c r="BI180">
        <v>16</v>
      </c>
      <c r="BJ180" s="47">
        <v>0</v>
      </c>
      <c r="BK180" s="43"/>
      <c r="BL180" s="42"/>
      <c r="BO180">
        <v>11</v>
      </c>
      <c r="BP180" s="50">
        <v>-11</v>
      </c>
      <c r="BQ180" s="43">
        <v>2.42</v>
      </c>
      <c r="BV180" s="47">
        <v>0</v>
      </c>
      <c r="BW180" s="43"/>
      <c r="BX180" s="42"/>
      <c r="CA180">
        <v>16</v>
      </c>
      <c r="CB180" s="50">
        <v>-16</v>
      </c>
      <c r="CC180" s="43">
        <v>3.52</v>
      </c>
      <c r="CH180" s="47">
        <v>0</v>
      </c>
      <c r="CI180" s="43"/>
      <c r="CN180" s="47">
        <v>0</v>
      </c>
      <c r="CO180" s="43"/>
      <c r="CP180" s="42"/>
      <c r="CR180">
        <v>8</v>
      </c>
      <c r="CS180">
        <v>11</v>
      </c>
      <c r="CT180" s="47">
        <v>-3</v>
      </c>
      <c r="CU180" s="43"/>
      <c r="CV180" s="42"/>
      <c r="CZ180" s="47">
        <v>0</v>
      </c>
      <c r="DA180" s="43"/>
      <c r="DG180" s="47">
        <v>0</v>
      </c>
      <c r="DH180" s="43"/>
      <c r="DK180" s="47">
        <v>0</v>
      </c>
      <c r="DL180" s="43"/>
      <c r="DM180" s="42"/>
      <c r="DN180">
        <v>8</v>
      </c>
      <c r="DO180">
        <v>16</v>
      </c>
      <c r="DP180">
        <v>20</v>
      </c>
      <c r="DQ180" s="50">
        <v>-12</v>
      </c>
      <c r="DR180" s="43">
        <v>2.64</v>
      </c>
      <c r="DW180" s="47">
        <v>0</v>
      </c>
      <c r="DX180" s="43"/>
      <c r="EB180">
        <v>71</v>
      </c>
      <c r="EC180" s="50">
        <v>-71</v>
      </c>
      <c r="ED180" s="43">
        <v>15.62</v>
      </c>
      <c r="EE180" s="42"/>
      <c r="EI180" s="47">
        <v>0</v>
      </c>
      <c r="EJ180" s="43"/>
      <c r="EO180" s="47">
        <v>0</v>
      </c>
      <c r="EP180" s="43"/>
      <c r="EQ180" s="42"/>
      <c r="EU180" s="47">
        <v>0</v>
      </c>
      <c r="EV180" s="43"/>
      <c r="EW180" s="42"/>
      <c r="FC180" s="47">
        <v>0</v>
      </c>
      <c r="FD180" s="43"/>
      <c r="FE180" s="42"/>
      <c r="FI180" s="47">
        <v>0</v>
      </c>
      <c r="FJ180" s="43"/>
      <c r="FQ180" s="47">
        <v>0</v>
      </c>
      <c r="FR180" s="43"/>
      <c r="FS180" s="42"/>
      <c r="FW180" s="47">
        <v>0</v>
      </c>
      <c r="FX180" s="43"/>
      <c r="FY180" s="42"/>
      <c r="GC180" s="47">
        <v>0</v>
      </c>
      <c r="GD180" s="43"/>
      <c r="GE180" s="42"/>
      <c r="GI180" s="47">
        <v>0</v>
      </c>
      <c r="GJ180" s="43"/>
      <c r="GQ180" s="47">
        <v>0</v>
      </c>
      <c r="GR180" s="43"/>
      <c r="GS180">
        <v>56</v>
      </c>
      <c r="GT180" s="47">
        <v>60</v>
      </c>
      <c r="GX180" s="47">
        <v>-4</v>
      </c>
      <c r="GY180" s="43"/>
      <c r="GZ180" s="42">
        <v>128</v>
      </c>
      <c r="HC180" s="47">
        <v>128</v>
      </c>
      <c r="HD180" s="43"/>
      <c r="HE180" s="42"/>
      <c r="HH180" s="47">
        <v>0</v>
      </c>
      <c r="HI180" s="43"/>
      <c r="HO180" s="43"/>
      <c r="HP180" s="42"/>
      <c r="HV180" s="43"/>
      <c r="IB180" s="43"/>
      <c r="IC180" s="42"/>
      <c r="IH180" s="43"/>
      <c r="IN180" s="43"/>
      <c r="IO180" s="46"/>
      <c r="IR180" s="43"/>
      <c r="IS180" s="42"/>
      <c r="IX180" s="43"/>
      <c r="IY180" s="42"/>
      <c r="JB180" s="43"/>
      <c r="JC180" s="42"/>
      <c r="JH180" s="43"/>
      <c r="JP180" s="45"/>
      <c r="JQ180" s="42"/>
      <c r="JV180" s="43"/>
      <c r="KB180" s="45"/>
      <c r="KH180" s="45"/>
      <c r="KN180" s="45"/>
      <c r="KT180" s="43"/>
      <c r="KX180" s="45"/>
      <c r="LD180" s="43"/>
      <c r="LE180" s="40"/>
      <c r="LH180" s="45"/>
      <c r="LN180" s="45"/>
      <c r="LT180" s="45"/>
      <c r="LZ180" s="45"/>
      <c r="MB180" s="41"/>
      <c r="MF180" s="45"/>
      <c r="MG180" s="46"/>
      <c r="MN180" s="45"/>
      <c r="MT180" s="45"/>
      <c r="MZ180" s="45"/>
      <c r="NA180" s="46"/>
      <c r="ND180" s="45"/>
      <c r="NE180" s="46"/>
      <c r="NK180" s="45"/>
      <c r="NL180" s="46"/>
      <c r="NN180" s="44"/>
      <c r="NP180" s="44"/>
      <c r="NQ180" s="45"/>
      <c r="NR180" s="46"/>
      <c r="NU180" s="45"/>
      <c r="NV180" s="46"/>
      <c r="OA180" s="45"/>
      <c r="OB180" s="46"/>
      <c r="OE180" s="45"/>
      <c r="OF180" s="46"/>
      <c r="OK180" s="45"/>
      <c r="OM180" s="43"/>
      <c r="OQ180" s="45"/>
      <c r="OR180" s="46"/>
      <c r="OV180" s="44"/>
      <c r="OW180" s="45"/>
      <c r="OX180" s="46"/>
      <c r="PC180" s="45"/>
      <c r="PD180" s="46"/>
      <c r="PI180" s="45"/>
      <c r="PJ180" s="46"/>
      <c r="PO180" s="45"/>
      <c r="PP180" s="46"/>
      <c r="PR180" s="44"/>
      <c r="PU180" s="45"/>
      <c r="PV180" s="46"/>
      <c r="PY180" s="45"/>
      <c r="PZ180" s="46"/>
      <c r="QB180" s="44"/>
      <c r="QC180" s="45"/>
      <c r="QD180" s="46"/>
      <c r="QI180" s="45"/>
      <c r="QJ180" s="46"/>
      <c r="QM180" s="45"/>
      <c r="QN180" s="46"/>
      <c r="QS180" s="45"/>
      <c r="QT180" s="46"/>
      <c r="QW180" s="45"/>
      <c r="QX180" s="46"/>
      <c r="RC180" s="45"/>
      <c r="RD180" s="42"/>
      <c r="RE180" s="44"/>
      <c r="RG180" s="44"/>
      <c r="RI180" s="45"/>
      <c r="RJ180" s="42"/>
      <c r="RO180" s="43"/>
      <c r="RP180" s="42"/>
      <c r="RS180" s="43"/>
      <c r="RT180" s="42"/>
      <c r="RY180" s="43"/>
      <c r="RZ180" s="42"/>
      <c r="SE180" s="43"/>
      <c r="SF180" s="42"/>
      <c r="SK180" s="43"/>
      <c r="SL180" s="42"/>
      <c r="SO180" s="43"/>
      <c r="SP180" s="42"/>
      <c r="SU180" s="43"/>
    </row>
    <row r="181" spans="1:515" x14ac:dyDescent="0.25">
      <c r="A181" s="47" t="s">
        <v>488</v>
      </c>
      <c r="B181" s="41">
        <v>0.84</v>
      </c>
      <c r="J181" s="42"/>
      <c r="K181" s="51"/>
      <c r="L181" s="51"/>
      <c r="M181" s="51"/>
      <c r="N181" s="51">
        <f t="shared" si="15"/>
        <v>0</v>
      </c>
      <c r="O181" s="43"/>
      <c r="P181" s="46"/>
      <c r="Q181" s="51"/>
      <c r="R181" s="51"/>
      <c r="S181" s="51"/>
      <c r="T181" s="51">
        <f t="shared" si="16"/>
        <v>0</v>
      </c>
      <c r="U181" s="43"/>
      <c r="V181" s="42"/>
      <c r="W181" s="51"/>
      <c r="X181" s="51"/>
      <c r="Y181" s="51"/>
      <c r="Z181" s="51">
        <f t="shared" si="17"/>
        <v>0</v>
      </c>
      <c r="AA181" s="43"/>
      <c r="AB181" s="42"/>
      <c r="AC181" s="51"/>
      <c r="AD181" s="51"/>
      <c r="AE181" s="51"/>
      <c r="AF181" s="51">
        <v>0</v>
      </c>
      <c r="AG181" s="43"/>
      <c r="AH181" s="51"/>
      <c r="AL181" s="47">
        <v>0</v>
      </c>
      <c r="AM181" s="43"/>
      <c r="AN181" s="42"/>
      <c r="AR181" s="47">
        <v>0</v>
      </c>
      <c r="AS181" s="43"/>
      <c r="AX181" s="47">
        <v>0</v>
      </c>
      <c r="AY181" s="43"/>
      <c r="BD181" s="47">
        <v>0</v>
      </c>
      <c r="BE181" s="43"/>
      <c r="BF181" s="42"/>
      <c r="BJ181" s="47">
        <v>0</v>
      </c>
      <c r="BK181" s="43"/>
      <c r="BL181" s="42"/>
      <c r="BP181" s="47">
        <v>0</v>
      </c>
      <c r="BQ181" s="43"/>
      <c r="BV181" s="47">
        <v>0</v>
      </c>
      <c r="BW181" s="43"/>
      <c r="BX181" s="42"/>
      <c r="CB181" s="47">
        <v>0</v>
      </c>
      <c r="CC181" s="43"/>
      <c r="CH181" s="47">
        <v>0</v>
      </c>
      <c r="CI181" s="43"/>
      <c r="CN181" s="47">
        <v>0</v>
      </c>
      <c r="CO181" s="43"/>
      <c r="CP181" s="42"/>
      <c r="CT181" s="47">
        <v>0</v>
      </c>
      <c r="CU181" s="43"/>
      <c r="CV181" s="42"/>
      <c r="CZ181" s="47">
        <v>0</v>
      </c>
      <c r="DA181" s="43"/>
      <c r="DG181" s="47">
        <v>0</v>
      </c>
      <c r="DH181" s="43"/>
      <c r="DK181" s="47">
        <v>0</v>
      </c>
      <c r="DL181" s="43"/>
      <c r="DM181" s="42"/>
      <c r="DQ181" s="47">
        <v>0</v>
      </c>
      <c r="DR181" s="43"/>
      <c r="DW181" s="47">
        <v>0</v>
      </c>
      <c r="DX181" s="43"/>
      <c r="EC181" s="47">
        <v>0</v>
      </c>
      <c r="ED181" s="43"/>
      <c r="EE181" s="42"/>
      <c r="EI181" s="47">
        <v>0</v>
      </c>
      <c r="EJ181" s="43"/>
      <c r="EO181" s="47">
        <v>0</v>
      </c>
      <c r="EP181" s="43"/>
      <c r="EQ181" s="42"/>
      <c r="EU181" s="47">
        <v>0</v>
      </c>
      <c r="EV181" s="43"/>
      <c r="EW181" s="42"/>
      <c r="FC181" s="47">
        <v>0</v>
      </c>
      <c r="FD181" s="43"/>
      <c r="FE181" s="42"/>
      <c r="FG181">
        <v>6</v>
      </c>
      <c r="FH181">
        <v>8</v>
      </c>
      <c r="FI181" s="47">
        <v>-2</v>
      </c>
      <c r="FJ181" s="43"/>
      <c r="FM181">
        <v>6</v>
      </c>
      <c r="FN181">
        <v>8</v>
      </c>
      <c r="FQ181" s="47">
        <v>-2</v>
      </c>
      <c r="FR181" s="43"/>
      <c r="FS181" s="42"/>
      <c r="FW181" s="47">
        <v>0</v>
      </c>
      <c r="FX181" s="43"/>
      <c r="FY181" s="42"/>
      <c r="GC181" s="47">
        <v>0</v>
      </c>
      <c r="GD181" s="43"/>
      <c r="GE181" s="42"/>
      <c r="GI181" s="47">
        <v>0</v>
      </c>
      <c r="GJ181" s="43"/>
      <c r="GQ181" s="47">
        <v>0</v>
      </c>
      <c r="GR181" s="43"/>
      <c r="GX181" s="47">
        <v>0</v>
      </c>
      <c r="GY181" s="43"/>
      <c r="GZ181" s="42"/>
      <c r="HC181" s="47">
        <v>0</v>
      </c>
      <c r="HD181" s="43"/>
      <c r="HE181" s="40">
        <v>6</v>
      </c>
      <c r="HG181">
        <v>4</v>
      </c>
      <c r="HH181" s="47">
        <v>2</v>
      </c>
      <c r="HI181" s="43"/>
      <c r="HN181" s="47">
        <v>0</v>
      </c>
      <c r="HO181" s="43"/>
      <c r="HP181" s="42"/>
      <c r="HU181" s="47">
        <v>0</v>
      </c>
      <c r="HV181" s="43"/>
      <c r="HY181">
        <v>6</v>
      </c>
      <c r="HZ181">
        <v>8</v>
      </c>
      <c r="IA181" s="47">
        <v>-2</v>
      </c>
      <c r="IB181" s="43"/>
      <c r="IC181" s="42"/>
      <c r="IG181" s="47">
        <v>0</v>
      </c>
      <c r="IH181" s="43"/>
      <c r="IM181" s="47">
        <v>0</v>
      </c>
      <c r="IN181" s="43"/>
      <c r="IO181" s="40">
        <v>12</v>
      </c>
      <c r="IP181" s="44">
        <v>10</v>
      </c>
      <c r="IQ181" s="47">
        <v>2</v>
      </c>
      <c r="IR181" s="43"/>
      <c r="IS181" s="42"/>
      <c r="IU181" s="44">
        <v>12</v>
      </c>
      <c r="IV181" s="47">
        <v>10</v>
      </c>
      <c r="IW181" s="47">
        <v>2</v>
      </c>
      <c r="IX181" s="43"/>
      <c r="IY181" s="42"/>
      <c r="JA181" s="47">
        <v>0</v>
      </c>
      <c r="JB181" s="43"/>
      <c r="JC181" s="42"/>
      <c r="JG181" s="47">
        <v>0</v>
      </c>
      <c r="JH181" s="43"/>
      <c r="JP181" s="45"/>
      <c r="JQ181" s="42"/>
      <c r="JV181" s="43"/>
      <c r="KB181" s="45"/>
      <c r="KH181" s="45"/>
      <c r="KN181" s="45"/>
      <c r="KT181" s="43"/>
      <c r="KX181" s="45"/>
      <c r="LD181" s="43"/>
      <c r="LE181" s="40"/>
      <c r="LH181" s="45"/>
      <c r="LN181" s="45"/>
      <c r="LT181" s="45"/>
      <c r="LZ181" s="45"/>
      <c r="MB181" s="41"/>
      <c r="MF181" s="45"/>
      <c r="MG181" s="46"/>
      <c r="MN181" s="45"/>
      <c r="MT181" s="45"/>
      <c r="MZ181" s="45"/>
      <c r="NA181" s="46"/>
      <c r="ND181" s="45"/>
      <c r="NE181" s="46"/>
      <c r="NK181" s="45"/>
      <c r="NL181" s="46"/>
      <c r="NQ181" s="45"/>
      <c r="NR181" s="46"/>
      <c r="NU181" s="45"/>
      <c r="NV181" s="46"/>
      <c r="OA181" s="45"/>
      <c r="OB181" s="46"/>
      <c r="OE181" s="45"/>
      <c r="OF181" s="46"/>
      <c r="OK181" s="45"/>
      <c r="OM181" s="43"/>
      <c r="OQ181" s="45"/>
      <c r="OR181" s="46"/>
      <c r="OV181" s="44"/>
      <c r="OW181" s="45"/>
      <c r="OX181" s="46"/>
      <c r="PC181" s="45"/>
      <c r="PD181" s="46"/>
      <c r="PI181" s="45"/>
      <c r="PJ181" s="46"/>
      <c r="PO181" s="45"/>
      <c r="PP181" s="46"/>
      <c r="PR181" s="44"/>
      <c r="PU181" s="45"/>
      <c r="PV181" s="46"/>
      <c r="PY181" s="45"/>
      <c r="PZ181" s="46"/>
      <c r="QB181" s="44"/>
      <c r="QC181" s="45"/>
      <c r="QD181" s="46"/>
      <c r="QI181" s="45"/>
      <c r="QJ181" s="46"/>
      <c r="QM181" s="45"/>
      <c r="QN181" s="46"/>
      <c r="QS181" s="45"/>
      <c r="QT181" s="46"/>
      <c r="QW181" s="45"/>
      <c r="QX181" s="46"/>
      <c r="RC181" s="45"/>
      <c r="RD181" s="42"/>
      <c r="RE181" s="44"/>
      <c r="RG181" s="44"/>
      <c r="RI181" s="45"/>
      <c r="RJ181" s="42"/>
      <c r="RO181" s="43"/>
      <c r="RP181" s="42"/>
      <c r="RS181" s="43"/>
      <c r="RT181" s="42"/>
      <c r="RY181" s="43"/>
      <c r="RZ181" s="42"/>
      <c r="SE181" s="43"/>
      <c r="SF181" s="42"/>
      <c r="SK181" s="43"/>
      <c r="SL181" s="42"/>
      <c r="SO181" s="43"/>
      <c r="SP181" s="42"/>
      <c r="SU181" s="43"/>
    </row>
    <row r="182" spans="1:515" x14ac:dyDescent="0.25">
      <c r="A182" s="47" t="s">
        <v>489</v>
      </c>
      <c r="B182" s="41">
        <v>1</v>
      </c>
      <c r="J182" s="42"/>
      <c r="K182" s="51"/>
      <c r="L182" s="51"/>
      <c r="M182" s="51"/>
      <c r="N182" s="51">
        <f t="shared" si="15"/>
        <v>0</v>
      </c>
      <c r="O182" s="43"/>
      <c r="P182" s="46"/>
      <c r="Q182" s="51"/>
      <c r="R182" s="51"/>
      <c r="S182" s="51"/>
      <c r="T182" s="51">
        <f t="shared" si="16"/>
        <v>0</v>
      </c>
      <c r="U182" s="43"/>
      <c r="V182" s="42"/>
      <c r="W182" s="51"/>
      <c r="X182" s="51"/>
      <c r="Y182" s="51"/>
      <c r="Z182" s="51">
        <f t="shared" si="17"/>
        <v>0</v>
      </c>
      <c r="AA182" s="43"/>
      <c r="AB182" s="42"/>
      <c r="AC182" s="51"/>
      <c r="AD182" s="51"/>
      <c r="AE182" s="51"/>
      <c r="AF182" s="51">
        <v>0</v>
      </c>
      <c r="AG182" s="43"/>
      <c r="AH182" s="51"/>
      <c r="AL182" s="47">
        <v>0</v>
      </c>
      <c r="AM182" s="43"/>
      <c r="AN182" s="42"/>
      <c r="AR182" s="47">
        <v>0</v>
      </c>
      <c r="AS182" s="43"/>
      <c r="AX182" s="47">
        <v>0</v>
      </c>
      <c r="AY182" s="43"/>
      <c r="BD182" s="47">
        <v>0</v>
      </c>
      <c r="BE182" s="43"/>
      <c r="BF182" s="42"/>
      <c r="BJ182" s="47">
        <v>0</v>
      </c>
      <c r="BK182" s="43"/>
      <c r="BL182" s="42"/>
      <c r="BP182" s="47">
        <v>0</v>
      </c>
      <c r="BQ182" s="43"/>
      <c r="BV182" s="47">
        <v>0</v>
      </c>
      <c r="BW182" s="43"/>
      <c r="BX182" s="42"/>
      <c r="CB182" s="47">
        <v>0</v>
      </c>
      <c r="CC182" s="43"/>
      <c r="CH182" s="47">
        <v>0</v>
      </c>
      <c r="CI182" s="43"/>
      <c r="CN182" s="47">
        <v>0</v>
      </c>
      <c r="CO182" s="43"/>
      <c r="CP182" s="42"/>
      <c r="CT182" s="47">
        <v>0</v>
      </c>
      <c r="CU182" s="43"/>
      <c r="CV182" s="42"/>
      <c r="CZ182" s="47">
        <v>0</v>
      </c>
      <c r="DA182" s="43"/>
      <c r="DG182" s="47">
        <v>0</v>
      </c>
      <c r="DH182" s="43"/>
      <c r="DK182" s="47">
        <v>0</v>
      </c>
      <c r="DL182" s="43"/>
      <c r="DM182" s="42"/>
      <c r="DQ182" s="47">
        <v>0</v>
      </c>
      <c r="DR182" s="43"/>
      <c r="DW182" s="47">
        <v>0</v>
      </c>
      <c r="DX182" s="43"/>
      <c r="EC182" s="47">
        <v>0</v>
      </c>
      <c r="ED182" s="43"/>
      <c r="EE182" s="42"/>
      <c r="EI182" s="47">
        <v>0</v>
      </c>
      <c r="EJ182" s="43"/>
      <c r="EO182" s="47">
        <v>0</v>
      </c>
      <c r="EP182" s="43"/>
      <c r="EQ182" s="42"/>
      <c r="EU182" s="47">
        <v>0</v>
      </c>
      <c r="EV182" s="43"/>
      <c r="EW182" s="42"/>
      <c r="FC182" s="47">
        <v>0</v>
      </c>
      <c r="FD182" s="43"/>
      <c r="FE182" s="42"/>
      <c r="FI182" s="47">
        <v>0</v>
      </c>
      <c r="FJ182" s="43"/>
      <c r="FQ182" s="47">
        <v>0</v>
      </c>
      <c r="FR182" s="43"/>
      <c r="FS182" s="42"/>
      <c r="FW182" s="47">
        <v>0</v>
      </c>
      <c r="FX182" s="43"/>
      <c r="FY182" s="42"/>
      <c r="GC182" s="47">
        <v>0</v>
      </c>
      <c r="GD182" s="43"/>
      <c r="GE182" s="42">
        <v>12</v>
      </c>
      <c r="GF182" s="47">
        <v>10</v>
      </c>
      <c r="GI182" s="47">
        <v>2</v>
      </c>
      <c r="GJ182" s="43"/>
      <c r="GQ182" s="47">
        <v>0</v>
      </c>
      <c r="GR182" s="43"/>
      <c r="GX182" s="47">
        <v>0</v>
      </c>
      <c r="GY182" s="43"/>
      <c r="GZ182" s="42"/>
      <c r="HC182" s="47">
        <v>0</v>
      </c>
      <c r="HD182" s="43"/>
      <c r="HE182" s="42"/>
      <c r="HH182" s="47">
        <v>0</v>
      </c>
      <c r="HI182" s="43"/>
      <c r="HO182" s="43"/>
      <c r="HP182" s="42"/>
      <c r="HV182" s="43"/>
      <c r="IB182" s="43"/>
      <c r="IC182" s="42"/>
      <c r="IH182" s="43"/>
      <c r="IN182" s="43"/>
      <c r="IO182" s="40"/>
      <c r="IR182" s="43"/>
      <c r="IS182" s="42"/>
      <c r="IX182" s="43"/>
      <c r="IY182" s="42"/>
      <c r="JB182" s="43"/>
      <c r="JC182" s="42"/>
      <c r="JH182" s="43"/>
      <c r="JP182" s="45"/>
      <c r="JQ182" s="42"/>
      <c r="JV182" s="43"/>
      <c r="KB182" s="45"/>
      <c r="KH182" s="45"/>
      <c r="KN182" s="45"/>
      <c r="KT182" s="43"/>
      <c r="KX182" s="45"/>
      <c r="LD182" s="43"/>
      <c r="LE182" s="40"/>
      <c r="LH182" s="45"/>
      <c r="LN182" s="45"/>
      <c r="LT182" s="45"/>
      <c r="LZ182" s="45"/>
      <c r="MB182" s="41"/>
      <c r="MF182" s="45"/>
      <c r="MG182" s="46"/>
      <c r="MN182" s="45"/>
      <c r="MT182" s="45"/>
      <c r="MZ182" s="45"/>
      <c r="NA182" s="46"/>
      <c r="ND182" s="45"/>
      <c r="NE182" s="46"/>
      <c r="NK182" s="45"/>
      <c r="NL182" s="46"/>
      <c r="NM182" s="44"/>
      <c r="NQ182" s="45"/>
      <c r="NR182" s="46"/>
      <c r="NU182" s="45"/>
      <c r="NV182" s="46"/>
      <c r="OA182" s="45"/>
      <c r="OB182" s="46"/>
      <c r="OE182" s="45"/>
      <c r="OF182" s="46"/>
      <c r="OK182" s="45"/>
      <c r="OM182" s="43"/>
      <c r="OQ182" s="45"/>
      <c r="OR182" s="46"/>
      <c r="OV182" s="44"/>
      <c r="OW182" s="45"/>
      <c r="OX182" s="46"/>
      <c r="PC182" s="45"/>
      <c r="PD182" s="46"/>
      <c r="PI182" s="45"/>
      <c r="PJ182" s="46"/>
      <c r="PO182" s="45"/>
      <c r="PP182" s="46"/>
      <c r="PR182" s="44"/>
      <c r="PU182" s="45"/>
      <c r="PV182" s="46"/>
      <c r="PY182" s="45"/>
      <c r="PZ182" s="46"/>
      <c r="QB182" s="44"/>
      <c r="QC182" s="45"/>
      <c r="QD182" s="46"/>
      <c r="QI182" s="45"/>
      <c r="QJ182" s="46"/>
      <c r="QM182" s="45"/>
      <c r="QN182" s="46"/>
      <c r="QS182" s="45"/>
      <c r="QT182" s="46"/>
      <c r="QW182" s="45"/>
      <c r="QX182" s="46"/>
      <c r="RC182" s="45"/>
      <c r="RD182" s="42"/>
      <c r="RE182" s="44"/>
      <c r="RG182" s="44"/>
      <c r="RI182" s="45"/>
      <c r="RJ182" s="42"/>
      <c r="RO182" s="43"/>
      <c r="RP182" s="42"/>
      <c r="RS182" s="43"/>
      <c r="RT182" s="42"/>
      <c r="RY182" s="43"/>
      <c r="RZ182" s="42"/>
      <c r="SE182" s="43"/>
      <c r="SF182" s="42"/>
      <c r="SK182" s="43"/>
      <c r="SL182" s="42"/>
      <c r="SO182" s="43"/>
      <c r="SP182" s="42"/>
      <c r="SU182" s="43"/>
    </row>
    <row r="183" spans="1:515" x14ac:dyDescent="0.25">
      <c r="A183" s="47" t="s">
        <v>490</v>
      </c>
      <c r="B183" s="41">
        <v>0.35</v>
      </c>
      <c r="E183">
        <v>275</v>
      </c>
      <c r="F183">
        <v>336</v>
      </c>
      <c r="G183">
        <v>336</v>
      </c>
      <c r="J183" s="40">
        <v>384</v>
      </c>
      <c r="K183" s="52">
        <v>387</v>
      </c>
      <c r="L183" s="52">
        <v>312</v>
      </c>
      <c r="M183" s="52">
        <v>316</v>
      </c>
      <c r="N183" s="51">
        <f t="shared" si="15"/>
        <v>-7</v>
      </c>
      <c r="O183" s="43"/>
      <c r="P183" s="40">
        <v>232</v>
      </c>
      <c r="Q183" s="52">
        <v>237</v>
      </c>
      <c r="R183" s="52">
        <v>200</v>
      </c>
      <c r="S183" s="52">
        <v>203</v>
      </c>
      <c r="T183" s="51">
        <f t="shared" si="16"/>
        <v>-8</v>
      </c>
      <c r="U183" s="43"/>
      <c r="V183" s="40">
        <v>256</v>
      </c>
      <c r="W183" s="52">
        <v>343</v>
      </c>
      <c r="X183" s="52">
        <v>168</v>
      </c>
      <c r="Y183" s="52">
        <v>171</v>
      </c>
      <c r="Z183" s="57">
        <f t="shared" si="17"/>
        <v>-90</v>
      </c>
      <c r="AA183" s="43">
        <f>-1*Z183*B183</f>
        <v>31.499999999999996</v>
      </c>
      <c r="AB183" s="40">
        <v>176</v>
      </c>
      <c r="AC183" s="56">
        <v>176.66666666666671</v>
      </c>
      <c r="AD183" s="52">
        <v>192</v>
      </c>
      <c r="AE183" s="56">
        <v>194.33333333333329</v>
      </c>
      <c r="AF183" s="51">
        <v>-3</v>
      </c>
      <c r="AG183" s="43"/>
      <c r="AH183" s="51"/>
      <c r="AJ183">
        <v>72</v>
      </c>
      <c r="AK183">
        <v>75</v>
      </c>
      <c r="AL183" s="47">
        <v>-3</v>
      </c>
      <c r="AM183" s="43"/>
      <c r="AN183" s="42"/>
      <c r="AR183" s="47">
        <v>0</v>
      </c>
      <c r="AS183" s="43"/>
      <c r="AT183">
        <v>296</v>
      </c>
      <c r="AU183">
        <v>300</v>
      </c>
      <c r="AV183">
        <v>288</v>
      </c>
      <c r="AW183">
        <v>290</v>
      </c>
      <c r="AX183" s="47">
        <v>-6</v>
      </c>
      <c r="AY183" s="43"/>
      <c r="AZ183">
        <v>400</v>
      </c>
      <c r="BA183">
        <v>400</v>
      </c>
      <c r="BB183">
        <v>480</v>
      </c>
      <c r="BC183">
        <v>481</v>
      </c>
      <c r="BD183" s="47">
        <v>-1</v>
      </c>
      <c r="BE183" s="43"/>
      <c r="BF183" s="42"/>
      <c r="BJ183" s="47">
        <v>0</v>
      </c>
      <c r="BK183" s="43"/>
      <c r="BL183" s="42"/>
      <c r="BN183">
        <v>296</v>
      </c>
      <c r="BO183">
        <v>300</v>
      </c>
      <c r="BP183" s="47">
        <v>-4</v>
      </c>
      <c r="BQ183" s="43"/>
      <c r="BT183">
        <v>1600</v>
      </c>
      <c r="BU183">
        <v>1600</v>
      </c>
      <c r="BV183" s="47">
        <v>0</v>
      </c>
      <c r="BW183" s="43"/>
      <c r="BX183" s="40">
        <v>688</v>
      </c>
      <c r="BY183">
        <v>90</v>
      </c>
      <c r="BZ183">
        <v>48</v>
      </c>
      <c r="CA183">
        <v>48</v>
      </c>
      <c r="CB183" s="47">
        <v>598</v>
      </c>
      <c r="CC183" s="43"/>
      <c r="CD183">
        <v>168</v>
      </c>
      <c r="CE183">
        <v>170</v>
      </c>
      <c r="CF183">
        <v>176</v>
      </c>
      <c r="CG183">
        <v>175</v>
      </c>
      <c r="CH183" s="47">
        <v>-1</v>
      </c>
      <c r="CI183" s="43"/>
      <c r="CN183" s="47">
        <v>0</v>
      </c>
      <c r="CO183" s="43"/>
      <c r="CP183" s="40">
        <v>496</v>
      </c>
      <c r="CQ183">
        <v>500</v>
      </c>
      <c r="CR183">
        <v>568</v>
      </c>
      <c r="CS183">
        <v>570</v>
      </c>
      <c r="CT183" s="47">
        <v>-6</v>
      </c>
      <c r="CU183" s="43"/>
      <c r="CV183" s="42"/>
      <c r="CZ183" s="47">
        <v>0</v>
      </c>
      <c r="DA183" s="43"/>
      <c r="DG183" s="47">
        <v>0</v>
      </c>
      <c r="DH183" s="43"/>
      <c r="DK183" s="47">
        <v>0</v>
      </c>
      <c r="DL183" s="43"/>
      <c r="DM183" s="40">
        <v>1200</v>
      </c>
      <c r="DN183">
        <v>1200</v>
      </c>
      <c r="DO183">
        <v>1000</v>
      </c>
      <c r="DP183">
        <v>1000</v>
      </c>
      <c r="DQ183" s="47">
        <v>0</v>
      </c>
      <c r="DR183" s="43"/>
      <c r="DW183" s="47">
        <v>0</v>
      </c>
      <c r="DX183" s="43"/>
      <c r="DY183">
        <v>248</v>
      </c>
      <c r="DZ183">
        <v>250</v>
      </c>
      <c r="EA183">
        <v>304</v>
      </c>
      <c r="EB183">
        <v>309</v>
      </c>
      <c r="EC183" s="47">
        <v>-7</v>
      </c>
      <c r="ED183" s="43"/>
      <c r="EE183" s="42"/>
      <c r="EG183">
        <v>696</v>
      </c>
      <c r="EH183">
        <v>700</v>
      </c>
      <c r="EI183" s="47">
        <v>-4</v>
      </c>
      <c r="EJ183" s="43"/>
      <c r="EO183" s="47">
        <v>0</v>
      </c>
      <c r="EP183" s="43"/>
      <c r="EQ183" s="42"/>
      <c r="EU183" s="47">
        <v>0</v>
      </c>
      <c r="EV183" s="43"/>
      <c r="EW183" s="42"/>
      <c r="FA183">
        <v>496</v>
      </c>
      <c r="FB183">
        <v>500</v>
      </c>
      <c r="FC183" s="47">
        <v>-4</v>
      </c>
      <c r="FD183" s="43"/>
      <c r="FE183" s="42"/>
      <c r="FG183">
        <v>1856</v>
      </c>
      <c r="FH183">
        <v>1860</v>
      </c>
      <c r="FI183" s="47">
        <v>-4</v>
      </c>
      <c r="FJ183" s="43"/>
      <c r="FQ183" s="47">
        <v>0</v>
      </c>
      <c r="FR183" s="43"/>
      <c r="FS183" s="42"/>
      <c r="FW183" s="47">
        <v>0</v>
      </c>
      <c r="FX183" s="43"/>
      <c r="FY183" s="40">
        <v>88</v>
      </c>
      <c r="FZ183">
        <v>90</v>
      </c>
      <c r="GA183">
        <v>152</v>
      </c>
      <c r="GB183">
        <v>150</v>
      </c>
      <c r="GC183" s="47">
        <v>0</v>
      </c>
      <c r="GD183" s="43"/>
      <c r="GE183" s="40">
        <v>600</v>
      </c>
      <c r="GF183">
        <v>600</v>
      </c>
      <c r="GG183">
        <v>496</v>
      </c>
      <c r="GH183">
        <v>500</v>
      </c>
      <c r="GI183" s="47">
        <v>-4</v>
      </c>
      <c r="GJ183" s="43"/>
      <c r="GO183">
        <v>448</v>
      </c>
      <c r="GP183">
        <v>450</v>
      </c>
      <c r="GQ183" s="47">
        <v>-2</v>
      </c>
      <c r="GR183" s="43"/>
      <c r="GU183">
        <v>320</v>
      </c>
      <c r="GW183">
        <v>320</v>
      </c>
      <c r="GX183" s="47">
        <v>0</v>
      </c>
      <c r="GY183" s="43"/>
      <c r="GZ183" s="42"/>
      <c r="HC183" s="47">
        <v>0</v>
      </c>
      <c r="HD183" s="43"/>
      <c r="HE183" s="40">
        <v>352</v>
      </c>
      <c r="HG183">
        <v>353</v>
      </c>
      <c r="HH183" s="47">
        <v>-1</v>
      </c>
      <c r="HI183" s="43"/>
      <c r="HJ183">
        <v>480</v>
      </c>
      <c r="HM183">
        <v>480</v>
      </c>
      <c r="HN183" s="47">
        <v>0</v>
      </c>
      <c r="HO183" s="43"/>
      <c r="HP183" s="40">
        <v>40</v>
      </c>
      <c r="HR183">
        <v>40</v>
      </c>
      <c r="HS183">
        <v>80</v>
      </c>
      <c r="HT183">
        <v>80</v>
      </c>
      <c r="HU183" s="47">
        <v>0</v>
      </c>
      <c r="HV183" s="43"/>
      <c r="HW183">
        <v>152</v>
      </c>
      <c r="HX183">
        <v>150</v>
      </c>
      <c r="HY183">
        <v>152</v>
      </c>
      <c r="HZ183">
        <v>150</v>
      </c>
      <c r="IA183" s="47">
        <v>4</v>
      </c>
      <c r="IB183" s="43"/>
      <c r="IC183" s="42"/>
      <c r="IE183">
        <v>176</v>
      </c>
      <c r="IF183">
        <v>180</v>
      </c>
      <c r="IG183" s="47">
        <v>-4</v>
      </c>
      <c r="IH183" s="43"/>
      <c r="IK183">
        <v>496</v>
      </c>
      <c r="IL183">
        <v>500</v>
      </c>
      <c r="IM183" s="47">
        <v>-4</v>
      </c>
      <c r="IN183" s="43"/>
      <c r="IO183" s="40">
        <v>200</v>
      </c>
      <c r="IP183" s="44">
        <v>200</v>
      </c>
      <c r="IQ183" s="47">
        <v>0</v>
      </c>
      <c r="IR183" s="43"/>
      <c r="IS183" s="42"/>
      <c r="IU183">
        <v>2000</v>
      </c>
      <c r="IV183">
        <v>2000</v>
      </c>
      <c r="IW183" s="47">
        <v>0</v>
      </c>
      <c r="IX183" s="43"/>
      <c r="IY183" s="40">
        <v>96</v>
      </c>
      <c r="IZ183" s="47">
        <v>100</v>
      </c>
      <c r="JA183" s="47">
        <v>-4</v>
      </c>
      <c r="JB183" s="43"/>
      <c r="JC183" s="40">
        <v>176</v>
      </c>
      <c r="JD183" s="47">
        <v>180</v>
      </c>
      <c r="JE183">
        <v>96</v>
      </c>
      <c r="JF183">
        <v>100</v>
      </c>
      <c r="JG183" s="47">
        <v>-8</v>
      </c>
      <c r="JH183" s="43"/>
      <c r="JO183" s="47">
        <v>0</v>
      </c>
      <c r="JP183" s="43"/>
      <c r="JQ183" s="42"/>
      <c r="JV183" s="43"/>
      <c r="KB183" s="45"/>
      <c r="KH183" s="45"/>
      <c r="KN183" s="45"/>
      <c r="KT183" s="43"/>
      <c r="KX183" s="45"/>
      <c r="LD183" s="43"/>
      <c r="LE183" s="40"/>
      <c r="LH183" s="45"/>
      <c r="LN183" s="45"/>
      <c r="LT183" s="45"/>
      <c r="LZ183" s="45"/>
      <c r="MB183" s="41"/>
      <c r="MF183" s="45"/>
      <c r="MG183" s="46"/>
      <c r="MN183" s="45"/>
      <c r="MT183" s="45"/>
      <c r="MZ183" s="45"/>
      <c r="NA183" s="46"/>
      <c r="ND183" s="45"/>
      <c r="NE183" s="46"/>
      <c r="NK183" s="45"/>
      <c r="NL183" s="46"/>
      <c r="NQ183" s="45"/>
      <c r="NR183" s="46"/>
      <c r="NU183" s="45"/>
      <c r="NV183" s="46"/>
      <c r="OA183" s="45"/>
      <c r="OB183" s="46"/>
      <c r="OE183" s="45"/>
      <c r="OF183" s="46"/>
      <c r="OK183" s="45"/>
      <c r="OM183" s="43"/>
      <c r="OQ183" s="45"/>
      <c r="OR183" s="46"/>
      <c r="OW183" s="45"/>
      <c r="OX183" s="46"/>
      <c r="PC183" s="45"/>
      <c r="PD183" s="46"/>
      <c r="PE183" s="44"/>
      <c r="PI183" s="45"/>
      <c r="PJ183" s="46"/>
      <c r="PO183" s="45"/>
      <c r="PP183" s="46"/>
      <c r="PR183" s="44"/>
      <c r="PU183" s="45"/>
      <c r="PV183" s="46"/>
      <c r="PY183" s="45"/>
      <c r="PZ183" s="46"/>
      <c r="QB183" s="44"/>
      <c r="QC183" s="45"/>
      <c r="QD183" s="46"/>
      <c r="QI183" s="45"/>
      <c r="QJ183" s="46"/>
      <c r="QM183" s="45"/>
      <c r="QN183" s="46"/>
      <c r="QS183" s="45"/>
      <c r="QT183" s="46"/>
      <c r="QW183" s="45"/>
      <c r="QX183" s="46"/>
      <c r="RC183" s="45"/>
      <c r="RD183" s="42"/>
      <c r="RE183" s="44"/>
      <c r="RG183" s="44"/>
      <c r="RI183" s="45"/>
      <c r="RJ183" s="42"/>
      <c r="RO183" s="43"/>
      <c r="RP183" s="42"/>
      <c r="RS183" s="43"/>
      <c r="RT183" s="42"/>
      <c r="RY183" s="43"/>
      <c r="RZ183" s="42"/>
      <c r="SE183" s="43"/>
      <c r="SF183" s="42"/>
      <c r="SK183" s="43"/>
      <c r="SL183" s="42"/>
      <c r="SO183" s="43"/>
      <c r="SP183" s="42"/>
      <c r="SU183" s="43"/>
    </row>
    <row r="184" spans="1:515" x14ac:dyDescent="0.25">
      <c r="A184" s="47" t="s">
        <v>491</v>
      </c>
      <c r="B184" s="41">
        <v>1</v>
      </c>
      <c r="E184">
        <v>50</v>
      </c>
      <c r="J184" s="42"/>
      <c r="K184" s="51"/>
      <c r="L184" s="52">
        <v>45</v>
      </c>
      <c r="M184" s="52">
        <v>40</v>
      </c>
      <c r="N184" s="51">
        <f t="shared" si="15"/>
        <v>5</v>
      </c>
      <c r="O184" s="43"/>
      <c r="P184" s="40">
        <v>44</v>
      </c>
      <c r="Q184" s="52">
        <v>40</v>
      </c>
      <c r="R184" s="52">
        <v>32</v>
      </c>
      <c r="S184" s="52">
        <v>34</v>
      </c>
      <c r="T184" s="51">
        <f t="shared" si="16"/>
        <v>2</v>
      </c>
      <c r="U184" s="43"/>
      <c r="V184" s="42"/>
      <c r="W184" s="51"/>
      <c r="X184" s="51"/>
      <c r="Y184" s="51"/>
      <c r="Z184" s="51">
        <f t="shared" si="17"/>
        <v>0</v>
      </c>
      <c r="AA184" s="43"/>
      <c r="AB184" s="42"/>
      <c r="AC184" s="51"/>
      <c r="AD184" s="51"/>
      <c r="AE184" s="51"/>
      <c r="AF184" s="51">
        <v>0</v>
      </c>
      <c r="AG184" s="43"/>
      <c r="AH184" s="52">
        <v>34</v>
      </c>
      <c r="AI184">
        <v>30</v>
      </c>
      <c r="AL184" s="47">
        <v>4</v>
      </c>
      <c r="AM184" s="43"/>
      <c r="AN184" s="42"/>
      <c r="AP184">
        <v>56</v>
      </c>
      <c r="AQ184">
        <v>53</v>
      </c>
      <c r="AR184" s="47">
        <v>3</v>
      </c>
      <c r="AS184" s="43"/>
      <c r="AV184">
        <v>11</v>
      </c>
      <c r="AW184">
        <v>4</v>
      </c>
      <c r="AX184" s="47">
        <v>7</v>
      </c>
      <c r="AY184" s="43"/>
      <c r="BB184">
        <v>32</v>
      </c>
      <c r="BC184">
        <v>30</v>
      </c>
      <c r="BD184" s="47">
        <v>2</v>
      </c>
      <c r="BE184" s="43"/>
      <c r="BF184" s="42"/>
      <c r="BJ184" s="47">
        <v>0</v>
      </c>
      <c r="BK184" s="43"/>
      <c r="BL184" s="42"/>
      <c r="BN184">
        <v>17</v>
      </c>
      <c r="BO184" s="47">
        <v>14</v>
      </c>
      <c r="BP184" s="47">
        <v>3</v>
      </c>
      <c r="BQ184" s="43"/>
      <c r="BV184" s="47">
        <v>0</v>
      </c>
      <c r="BW184" s="43"/>
      <c r="BX184" s="40">
        <v>11</v>
      </c>
      <c r="BY184">
        <v>10</v>
      </c>
      <c r="CB184" s="47">
        <v>1</v>
      </c>
      <c r="CC184" s="43"/>
      <c r="CH184" s="47">
        <v>0</v>
      </c>
      <c r="CI184" s="43"/>
      <c r="CN184" s="47">
        <v>0</v>
      </c>
      <c r="CO184" s="43"/>
      <c r="CP184" s="42"/>
      <c r="CT184" s="47">
        <v>0</v>
      </c>
      <c r="CU184" s="43"/>
      <c r="CV184" s="42"/>
      <c r="CZ184" s="47">
        <v>0</v>
      </c>
      <c r="DA184" s="43"/>
      <c r="DH184" s="43"/>
      <c r="DL184" s="43"/>
      <c r="DM184" s="40"/>
      <c r="DR184" s="43"/>
      <c r="DX184" s="43"/>
      <c r="ED184" s="43"/>
      <c r="EE184" s="42"/>
      <c r="EJ184" s="43"/>
      <c r="EP184" s="43"/>
      <c r="EQ184" s="42"/>
      <c r="EV184" s="43"/>
      <c r="EW184" s="42"/>
      <c r="FD184" s="43"/>
      <c r="FE184" s="42"/>
      <c r="FJ184" s="43"/>
      <c r="FR184" s="43"/>
      <c r="FS184" s="42"/>
      <c r="FX184" s="43"/>
      <c r="FY184" s="40"/>
      <c r="GD184" s="43"/>
      <c r="GE184" s="40"/>
      <c r="GJ184" s="43"/>
      <c r="GR184" s="43"/>
      <c r="GY184" s="43"/>
      <c r="GZ184" s="42"/>
      <c r="HD184" s="43"/>
      <c r="HE184" s="40"/>
      <c r="HI184" s="43"/>
      <c r="HO184" s="43"/>
      <c r="HP184" s="40"/>
      <c r="HV184" s="43"/>
      <c r="IB184" s="43"/>
      <c r="IC184" s="42"/>
      <c r="IH184" s="43"/>
      <c r="IN184" s="43"/>
      <c r="IO184" s="40"/>
      <c r="IR184" s="43"/>
      <c r="IS184" s="42"/>
      <c r="IX184" s="43"/>
      <c r="IY184" s="40"/>
      <c r="JB184" s="43"/>
      <c r="JC184" s="40"/>
      <c r="JH184" s="43"/>
      <c r="JP184" s="43"/>
      <c r="JQ184" s="42"/>
      <c r="JV184" s="43"/>
      <c r="KB184" s="45"/>
      <c r="KH184" s="45"/>
      <c r="KI184" s="44"/>
      <c r="KJ184" s="44"/>
      <c r="KL184" s="44"/>
      <c r="KN184" s="45"/>
      <c r="KT184" s="43"/>
      <c r="KX184" s="45"/>
      <c r="LD184" s="43"/>
      <c r="LE184" s="40"/>
      <c r="LH184" s="45"/>
      <c r="LN184" s="45"/>
      <c r="LT184" s="45"/>
      <c r="LZ184" s="45"/>
      <c r="MB184" s="41"/>
      <c r="MF184" s="45"/>
      <c r="MG184" s="46"/>
      <c r="MN184" s="45"/>
      <c r="MT184" s="45"/>
      <c r="MZ184" s="45"/>
      <c r="NA184" s="46"/>
      <c r="ND184" s="45"/>
      <c r="NE184" s="46"/>
      <c r="NK184" s="45"/>
      <c r="NL184" s="46"/>
      <c r="NQ184" s="45"/>
      <c r="NR184" s="46"/>
      <c r="NU184" s="45"/>
      <c r="NV184" s="46"/>
      <c r="OA184" s="45"/>
      <c r="OB184" s="46"/>
      <c r="OE184" s="45"/>
      <c r="OF184" s="46"/>
      <c r="OK184" s="45"/>
      <c r="OM184" s="43"/>
      <c r="OQ184" s="45"/>
      <c r="OR184" s="46"/>
      <c r="OW184" s="45"/>
      <c r="OX184" s="46"/>
      <c r="PC184" s="45"/>
      <c r="PD184" s="46"/>
      <c r="PE184" s="44"/>
      <c r="PI184" s="45"/>
      <c r="PJ184" s="46"/>
      <c r="PO184" s="45"/>
      <c r="PP184" s="46"/>
      <c r="PR184" s="44"/>
      <c r="PU184" s="45"/>
      <c r="PV184" s="46"/>
      <c r="PY184" s="45"/>
      <c r="PZ184" s="46"/>
      <c r="QB184" s="44"/>
      <c r="QC184" s="45"/>
      <c r="QD184" s="46"/>
      <c r="QI184" s="45"/>
      <c r="QJ184" s="46"/>
      <c r="QM184" s="45"/>
      <c r="QN184" s="46"/>
      <c r="QS184" s="45"/>
      <c r="QT184" s="46"/>
      <c r="QW184" s="45"/>
      <c r="QX184" s="46"/>
      <c r="RC184" s="45"/>
      <c r="RD184" s="42"/>
      <c r="RE184" s="44"/>
      <c r="RG184" s="44"/>
      <c r="RI184" s="45"/>
      <c r="RJ184" s="42"/>
      <c r="RO184" s="43"/>
      <c r="RP184" s="42"/>
      <c r="RS184" s="43"/>
      <c r="RT184" s="42"/>
      <c r="RY184" s="43"/>
      <c r="RZ184" s="42"/>
      <c r="SE184" s="43"/>
      <c r="SF184" s="42"/>
      <c r="SK184" s="43"/>
      <c r="SL184" s="42"/>
      <c r="SO184" s="43"/>
      <c r="SP184" s="42"/>
      <c r="SU184" s="43"/>
    </row>
    <row r="185" spans="1:515" x14ac:dyDescent="0.25">
      <c r="A185" s="47" t="s">
        <v>492</v>
      </c>
      <c r="B185" s="41">
        <v>1</v>
      </c>
      <c r="E185">
        <v>108</v>
      </c>
      <c r="F185">
        <v>130</v>
      </c>
      <c r="G185">
        <v>132</v>
      </c>
      <c r="J185" s="40">
        <v>163</v>
      </c>
      <c r="K185" s="52">
        <v>279</v>
      </c>
      <c r="L185" s="52">
        <v>226</v>
      </c>
      <c r="M185" s="52">
        <v>227</v>
      </c>
      <c r="N185" s="57">
        <f t="shared" si="15"/>
        <v>-117</v>
      </c>
      <c r="O185" s="43">
        <f>-1*N185*B185</f>
        <v>117</v>
      </c>
      <c r="P185" s="40">
        <v>191</v>
      </c>
      <c r="Q185" s="52">
        <v>194</v>
      </c>
      <c r="R185" s="52">
        <v>162</v>
      </c>
      <c r="S185" s="52">
        <v>166</v>
      </c>
      <c r="T185" s="51">
        <f t="shared" si="16"/>
        <v>-7</v>
      </c>
      <c r="U185" s="43"/>
      <c r="V185" s="42"/>
      <c r="W185" s="51"/>
      <c r="X185" s="51"/>
      <c r="Y185" s="51"/>
      <c r="Z185" s="51">
        <f t="shared" si="17"/>
        <v>0</v>
      </c>
      <c r="AA185" s="43"/>
      <c r="AB185" s="40">
        <v>275</v>
      </c>
      <c r="AC185" s="56">
        <v>272.17391304347831</v>
      </c>
      <c r="AD185" s="52">
        <v>359</v>
      </c>
      <c r="AE185" s="56">
        <v>353.82608695652169</v>
      </c>
      <c r="AF185" s="51">
        <v>8</v>
      </c>
      <c r="AG185" s="43"/>
      <c r="AH185" s="52">
        <v>136</v>
      </c>
      <c r="AI185">
        <v>135</v>
      </c>
      <c r="AJ185">
        <v>107</v>
      </c>
      <c r="AK185">
        <v>108</v>
      </c>
      <c r="AL185" s="47">
        <v>0</v>
      </c>
      <c r="AM185" s="43"/>
      <c r="AN185" s="40">
        <v>197</v>
      </c>
      <c r="AO185">
        <v>200</v>
      </c>
      <c r="AP185">
        <v>208</v>
      </c>
      <c r="AQ185">
        <v>209</v>
      </c>
      <c r="AR185" s="47">
        <v>-4</v>
      </c>
      <c r="AS185" s="43"/>
      <c r="AT185">
        <v>213</v>
      </c>
      <c r="AU185">
        <v>214</v>
      </c>
      <c r="AV185">
        <v>6</v>
      </c>
      <c r="AW185">
        <v>3</v>
      </c>
      <c r="AX185" s="47">
        <v>2</v>
      </c>
      <c r="AY185" s="43"/>
      <c r="AZ185">
        <v>201</v>
      </c>
      <c r="BA185">
        <v>200</v>
      </c>
      <c r="BB185">
        <v>224</v>
      </c>
      <c r="BC185">
        <v>223</v>
      </c>
      <c r="BD185" s="47">
        <v>2</v>
      </c>
      <c r="BE185" s="43"/>
      <c r="BF185" s="40">
        <v>118</v>
      </c>
      <c r="BG185">
        <v>120</v>
      </c>
      <c r="BH185">
        <v>137</v>
      </c>
      <c r="BI185">
        <v>141</v>
      </c>
      <c r="BJ185" s="47">
        <v>-6</v>
      </c>
      <c r="BK185" s="43"/>
      <c r="BL185" s="40">
        <v>218</v>
      </c>
      <c r="BM185">
        <v>220</v>
      </c>
      <c r="BN185">
        <v>203</v>
      </c>
      <c r="BO185">
        <v>200</v>
      </c>
      <c r="BP185" s="47">
        <v>1</v>
      </c>
      <c r="BQ185" s="43"/>
      <c r="BR185">
        <v>41</v>
      </c>
      <c r="BS185">
        <v>38</v>
      </c>
      <c r="BV185" s="47">
        <v>3</v>
      </c>
      <c r="BW185" s="43"/>
      <c r="BX185" s="40">
        <v>217</v>
      </c>
      <c r="BY185">
        <v>220</v>
      </c>
      <c r="BZ185">
        <v>277</v>
      </c>
      <c r="CA185">
        <v>277</v>
      </c>
      <c r="CB185" s="47">
        <v>-3</v>
      </c>
      <c r="CC185" s="43"/>
      <c r="CD185">
        <v>90</v>
      </c>
      <c r="CE185">
        <v>89</v>
      </c>
      <c r="CF185">
        <v>100</v>
      </c>
      <c r="CG185">
        <v>100</v>
      </c>
      <c r="CH185" s="47">
        <v>1</v>
      </c>
      <c r="CI185" s="43"/>
      <c r="CJ185">
        <v>180</v>
      </c>
      <c r="CK185">
        <v>180</v>
      </c>
      <c r="CL185">
        <v>178</v>
      </c>
      <c r="CM185">
        <v>179</v>
      </c>
      <c r="CN185" s="47">
        <v>-1</v>
      </c>
      <c r="CO185" s="43"/>
      <c r="CP185" s="42"/>
      <c r="CR185">
        <v>51</v>
      </c>
      <c r="CS185">
        <v>51</v>
      </c>
      <c r="CT185" s="47">
        <v>0</v>
      </c>
      <c r="CU185" s="43"/>
      <c r="CV185" s="40">
        <v>257</v>
      </c>
      <c r="CW185">
        <v>260</v>
      </c>
      <c r="CX185">
        <v>247</v>
      </c>
      <c r="CY185">
        <v>245</v>
      </c>
      <c r="CZ185" s="47">
        <v>-1</v>
      </c>
      <c r="DA185" s="43"/>
      <c r="DE185">
        <v>96</v>
      </c>
      <c r="DF185">
        <v>95</v>
      </c>
      <c r="DG185" s="47">
        <v>1</v>
      </c>
      <c r="DH185" s="43"/>
      <c r="DI185">
        <v>203</v>
      </c>
      <c r="DJ185">
        <v>200</v>
      </c>
      <c r="DK185" s="47">
        <v>3</v>
      </c>
      <c r="DL185" s="43"/>
      <c r="DM185" s="40">
        <v>294</v>
      </c>
      <c r="DN185">
        <v>289</v>
      </c>
      <c r="DO185">
        <v>302</v>
      </c>
      <c r="DP185">
        <v>305</v>
      </c>
      <c r="DQ185" s="47">
        <v>2</v>
      </c>
      <c r="DR185" s="43"/>
      <c r="DS185">
        <v>117</v>
      </c>
      <c r="DT185">
        <v>120</v>
      </c>
      <c r="DU185">
        <v>180</v>
      </c>
      <c r="DV185">
        <v>177</v>
      </c>
      <c r="DW185" s="47">
        <v>0</v>
      </c>
      <c r="DX185" s="43"/>
      <c r="EA185">
        <v>180</v>
      </c>
      <c r="EB185">
        <v>179</v>
      </c>
      <c r="EC185" s="47">
        <v>1</v>
      </c>
      <c r="ED185" s="43"/>
      <c r="EE185" s="42"/>
      <c r="EG185">
        <v>163</v>
      </c>
      <c r="EH185">
        <v>164</v>
      </c>
      <c r="EI185" s="47">
        <v>-1</v>
      </c>
      <c r="EJ185" s="43"/>
      <c r="EK185">
        <v>90</v>
      </c>
      <c r="EL185">
        <v>87</v>
      </c>
      <c r="EO185" s="47">
        <v>3</v>
      </c>
      <c r="EP185" s="43"/>
      <c r="EQ185" s="42"/>
      <c r="EU185" s="47">
        <v>0</v>
      </c>
      <c r="EV185" s="43"/>
      <c r="EW185" s="40">
        <v>154</v>
      </c>
      <c r="EX185">
        <v>150</v>
      </c>
      <c r="EY185">
        <v>282</v>
      </c>
      <c r="EZ185">
        <v>280</v>
      </c>
      <c r="FA185">
        <v>204</v>
      </c>
      <c r="FB185">
        <v>200</v>
      </c>
      <c r="FC185" s="47">
        <v>10</v>
      </c>
      <c r="FD185" s="43"/>
      <c r="FE185" s="40">
        <v>90</v>
      </c>
      <c r="FF185">
        <v>90</v>
      </c>
      <c r="FG185">
        <v>102</v>
      </c>
      <c r="FH185">
        <v>100</v>
      </c>
      <c r="FI185" s="47">
        <v>2</v>
      </c>
      <c r="FJ185" s="43"/>
      <c r="FK185">
        <v>102</v>
      </c>
      <c r="FL185">
        <v>100</v>
      </c>
      <c r="FM185">
        <v>274</v>
      </c>
      <c r="FN185">
        <v>270</v>
      </c>
      <c r="FO185">
        <v>101</v>
      </c>
      <c r="FP185">
        <v>100</v>
      </c>
      <c r="FQ185" s="47">
        <v>7</v>
      </c>
      <c r="FR185" s="43"/>
      <c r="FS185" s="42"/>
      <c r="FW185" s="47">
        <v>0</v>
      </c>
      <c r="FX185" s="43"/>
      <c r="FY185" s="42"/>
      <c r="GA185">
        <v>345</v>
      </c>
      <c r="GB185">
        <v>340</v>
      </c>
      <c r="GC185" s="47">
        <v>5</v>
      </c>
      <c r="GD185" s="43"/>
      <c r="GE185" s="42"/>
      <c r="GI185" s="47">
        <v>0</v>
      </c>
      <c r="GJ185" s="43"/>
      <c r="GK185">
        <v>102</v>
      </c>
      <c r="GL185">
        <v>100</v>
      </c>
      <c r="GM185">
        <v>102</v>
      </c>
      <c r="GN185">
        <v>100</v>
      </c>
      <c r="GO185">
        <v>214</v>
      </c>
      <c r="GP185">
        <v>210</v>
      </c>
      <c r="GQ185" s="47">
        <v>8</v>
      </c>
      <c r="GR185" s="43"/>
      <c r="GS185">
        <v>101</v>
      </c>
      <c r="GT185">
        <v>100</v>
      </c>
      <c r="GU185">
        <v>118</v>
      </c>
      <c r="GW185">
        <v>120</v>
      </c>
      <c r="GX185" s="47">
        <v>-1</v>
      </c>
      <c r="GY185" s="43"/>
      <c r="GZ185" s="42"/>
      <c r="HC185" s="47">
        <v>0</v>
      </c>
      <c r="HD185" s="43"/>
      <c r="HE185" s="40">
        <v>169</v>
      </c>
      <c r="HG185">
        <v>168</v>
      </c>
      <c r="HH185" s="47">
        <v>1</v>
      </c>
      <c r="HI185" s="43"/>
      <c r="HJ185">
        <v>119</v>
      </c>
      <c r="HM185">
        <v>120</v>
      </c>
      <c r="HN185" s="47">
        <v>-1</v>
      </c>
      <c r="HO185" s="43"/>
      <c r="HP185" s="40">
        <v>130</v>
      </c>
      <c r="HR185">
        <v>130</v>
      </c>
      <c r="HS185">
        <v>130</v>
      </c>
      <c r="HT185">
        <v>130</v>
      </c>
      <c r="HU185" s="47">
        <v>0</v>
      </c>
      <c r="HV185" s="43"/>
      <c r="HY185">
        <v>50</v>
      </c>
      <c r="HZ185">
        <v>50</v>
      </c>
      <c r="IA185" s="47">
        <v>0</v>
      </c>
      <c r="IB185" s="43"/>
      <c r="IC185" s="42"/>
      <c r="IE185">
        <v>282</v>
      </c>
      <c r="IF185">
        <v>280</v>
      </c>
      <c r="IG185" s="47">
        <v>2</v>
      </c>
      <c r="IH185" s="43"/>
      <c r="II185">
        <v>73</v>
      </c>
      <c r="IJ185">
        <v>70</v>
      </c>
      <c r="IK185">
        <v>79</v>
      </c>
      <c r="IL185">
        <v>80</v>
      </c>
      <c r="IM185" s="47">
        <v>2</v>
      </c>
      <c r="IN185" s="43"/>
      <c r="IO185" s="42"/>
      <c r="IQ185" s="47">
        <v>0</v>
      </c>
      <c r="IR185" s="43"/>
      <c r="IS185" s="42"/>
      <c r="IU185">
        <v>101</v>
      </c>
      <c r="IV185">
        <v>100</v>
      </c>
      <c r="IW185" s="47">
        <v>1</v>
      </c>
      <c r="IX185" s="43"/>
      <c r="IY185" s="40">
        <v>23</v>
      </c>
      <c r="IZ185" s="47">
        <v>20</v>
      </c>
      <c r="JA185" s="47">
        <v>3</v>
      </c>
      <c r="JB185" s="43"/>
      <c r="JC185" s="40">
        <v>151</v>
      </c>
      <c r="JD185" s="47">
        <v>150</v>
      </c>
      <c r="JE185">
        <v>97</v>
      </c>
      <c r="JF185">
        <v>100</v>
      </c>
      <c r="JG185" s="47">
        <v>-2</v>
      </c>
      <c r="JH185" s="43"/>
      <c r="JO185" s="47">
        <v>0</v>
      </c>
      <c r="JP185" s="43"/>
      <c r="JQ185" s="42"/>
      <c r="JV185" s="43"/>
      <c r="KB185" s="45"/>
      <c r="KH185" s="45"/>
      <c r="KN185" s="45"/>
      <c r="KT185" s="43"/>
      <c r="KX185" s="45"/>
      <c r="LD185" s="43"/>
      <c r="LE185" s="40"/>
      <c r="LH185" s="45"/>
      <c r="LN185" s="45"/>
      <c r="LT185" s="45"/>
      <c r="LZ185" s="45"/>
      <c r="MB185" s="41"/>
      <c r="MF185" s="45"/>
      <c r="MG185" s="46"/>
      <c r="MN185" s="45"/>
      <c r="MT185" s="45"/>
      <c r="MZ185" s="45"/>
      <c r="NA185" s="46"/>
      <c r="ND185" s="45"/>
      <c r="NE185" s="46"/>
      <c r="NK185" s="45"/>
      <c r="NL185" s="46"/>
      <c r="NQ185" s="45"/>
      <c r="NR185" s="46"/>
      <c r="NU185" s="45"/>
      <c r="NV185" s="46"/>
      <c r="OA185" s="45"/>
      <c r="OB185" s="46"/>
      <c r="OE185" s="45"/>
      <c r="OF185" s="46"/>
      <c r="OK185" s="45"/>
      <c r="OM185" s="43"/>
      <c r="OQ185" s="45"/>
      <c r="OR185" s="46"/>
      <c r="OW185" s="45"/>
      <c r="OX185" s="46"/>
      <c r="PC185" s="45"/>
      <c r="PD185" s="46"/>
      <c r="PE185" s="44"/>
      <c r="PI185" s="45"/>
      <c r="PJ185" s="46"/>
      <c r="PO185" s="45"/>
      <c r="PP185" s="46"/>
      <c r="PR185" s="44"/>
      <c r="PU185" s="45"/>
      <c r="PV185" s="46"/>
      <c r="PY185" s="45"/>
      <c r="PZ185" s="46"/>
      <c r="QB185" s="44"/>
      <c r="QC185" s="45"/>
      <c r="QD185" s="46"/>
      <c r="QI185" s="45"/>
      <c r="QJ185" s="46"/>
      <c r="QM185" s="45"/>
      <c r="QN185" s="46"/>
      <c r="QS185" s="45"/>
      <c r="QT185" s="46"/>
      <c r="QW185" s="45"/>
      <c r="QX185" s="46"/>
      <c r="RC185" s="45"/>
      <c r="RD185" s="42"/>
      <c r="RE185" s="44"/>
      <c r="RG185" s="44"/>
      <c r="RI185" s="45"/>
      <c r="RJ185" s="42"/>
      <c r="RO185" s="43"/>
      <c r="RP185" s="42"/>
      <c r="RS185" s="43"/>
      <c r="RT185" s="42"/>
      <c r="RY185" s="43"/>
      <c r="RZ185" s="42"/>
      <c r="SE185" s="43"/>
      <c r="SF185" s="42"/>
      <c r="SK185" s="43"/>
      <c r="SL185" s="42"/>
      <c r="SO185" s="43"/>
      <c r="SP185" s="42"/>
      <c r="SU185" s="43"/>
    </row>
    <row r="186" spans="1:515" x14ac:dyDescent="0.25">
      <c r="A186" s="47" t="s">
        <v>493</v>
      </c>
      <c r="B186" s="41">
        <v>0.35</v>
      </c>
      <c r="E186">
        <v>544</v>
      </c>
      <c r="F186">
        <v>496</v>
      </c>
      <c r="G186">
        <v>500</v>
      </c>
      <c r="J186" s="42"/>
      <c r="K186" s="51"/>
      <c r="L186" s="52">
        <v>600</v>
      </c>
      <c r="M186" s="52">
        <v>600</v>
      </c>
      <c r="N186" s="51">
        <f t="shared" si="15"/>
        <v>0</v>
      </c>
      <c r="O186" s="43"/>
      <c r="P186" s="46"/>
      <c r="Q186" s="51"/>
      <c r="R186" s="51"/>
      <c r="S186" s="51"/>
      <c r="T186" s="51">
        <f t="shared" si="16"/>
        <v>0</v>
      </c>
      <c r="U186" s="43"/>
      <c r="V186" s="42"/>
      <c r="W186" s="51"/>
      <c r="X186" s="52">
        <v>2496</v>
      </c>
      <c r="Y186" s="52">
        <v>2500</v>
      </c>
      <c r="Z186" s="51">
        <f t="shared" si="17"/>
        <v>-4</v>
      </c>
      <c r="AA186" s="43"/>
      <c r="AB186" s="40">
        <v>320</v>
      </c>
      <c r="AC186" s="56">
        <v>325.23809523809518</v>
      </c>
      <c r="AD186" s="52">
        <v>352</v>
      </c>
      <c r="AE186" s="56">
        <v>357.76190476190482</v>
      </c>
      <c r="AF186" s="51">
        <v>-11</v>
      </c>
      <c r="AG186" s="43"/>
      <c r="AH186" s="52">
        <v>232</v>
      </c>
      <c r="AI186">
        <v>232</v>
      </c>
      <c r="AJ186">
        <v>184</v>
      </c>
      <c r="AK186">
        <v>185</v>
      </c>
      <c r="AL186" s="47">
        <v>-1</v>
      </c>
      <c r="AM186" s="43"/>
      <c r="AN186" s="40">
        <v>296</v>
      </c>
      <c r="AO186">
        <v>300</v>
      </c>
      <c r="AP186">
        <v>384</v>
      </c>
      <c r="AQ186">
        <v>389</v>
      </c>
      <c r="AR186" s="47">
        <v>-9</v>
      </c>
      <c r="AS186" s="43"/>
      <c r="AT186">
        <v>544</v>
      </c>
      <c r="AU186">
        <v>550</v>
      </c>
      <c r="AV186">
        <v>448</v>
      </c>
      <c r="AW186">
        <v>448</v>
      </c>
      <c r="AX186" s="47">
        <v>-6</v>
      </c>
      <c r="AY186" s="43"/>
      <c r="AZ186">
        <v>456</v>
      </c>
      <c r="BA186">
        <v>460</v>
      </c>
      <c r="BB186">
        <v>520</v>
      </c>
      <c r="BC186">
        <v>522</v>
      </c>
      <c r="BD186" s="47">
        <v>-6</v>
      </c>
      <c r="BE186" s="43"/>
      <c r="BF186" s="40">
        <v>216</v>
      </c>
      <c r="BG186">
        <v>220</v>
      </c>
      <c r="BH186">
        <v>192</v>
      </c>
      <c r="BI186">
        <v>191</v>
      </c>
      <c r="BJ186" s="47">
        <v>-3</v>
      </c>
      <c r="BK186" s="43"/>
      <c r="BL186" s="42"/>
      <c r="BP186" s="47">
        <v>0</v>
      </c>
      <c r="BQ186" s="43"/>
      <c r="BR186">
        <v>600</v>
      </c>
      <c r="BS186">
        <v>600</v>
      </c>
      <c r="BT186">
        <v>776</v>
      </c>
      <c r="BU186">
        <v>776</v>
      </c>
      <c r="BV186" s="47">
        <v>0</v>
      </c>
      <c r="BW186" s="43"/>
      <c r="BX186" s="40">
        <v>152</v>
      </c>
      <c r="BY186">
        <v>150</v>
      </c>
      <c r="BZ186">
        <v>64</v>
      </c>
      <c r="CA186">
        <v>64</v>
      </c>
      <c r="CB186" s="47">
        <v>2</v>
      </c>
      <c r="CC186" s="43"/>
      <c r="CD186">
        <v>848</v>
      </c>
      <c r="CE186">
        <v>850</v>
      </c>
      <c r="CF186">
        <v>904</v>
      </c>
      <c r="CG186">
        <v>902</v>
      </c>
      <c r="CH186" s="47">
        <v>0</v>
      </c>
      <c r="CI186" s="43"/>
      <c r="CJ186">
        <v>120</v>
      </c>
      <c r="CK186">
        <v>120</v>
      </c>
      <c r="CL186">
        <v>128</v>
      </c>
      <c r="CM186">
        <v>129</v>
      </c>
      <c r="CN186" s="47">
        <v>-1</v>
      </c>
      <c r="CO186" s="43"/>
      <c r="CP186" s="40">
        <v>120</v>
      </c>
      <c r="CQ186">
        <v>120</v>
      </c>
      <c r="CR186">
        <v>160</v>
      </c>
      <c r="CS186">
        <v>162</v>
      </c>
      <c r="CT186" s="47">
        <v>-2</v>
      </c>
      <c r="CU186" s="43"/>
      <c r="CV186" s="40">
        <v>400</v>
      </c>
      <c r="CW186">
        <v>400</v>
      </c>
      <c r="CX186">
        <v>312</v>
      </c>
      <c r="CY186">
        <v>310</v>
      </c>
      <c r="CZ186" s="47">
        <v>2</v>
      </c>
      <c r="DA186" s="43"/>
      <c r="DB186">
        <v>480</v>
      </c>
      <c r="DC186">
        <v>480</v>
      </c>
      <c r="DE186">
        <v>480</v>
      </c>
      <c r="DF186">
        <v>485</v>
      </c>
      <c r="DG186" s="47">
        <v>-5</v>
      </c>
      <c r="DH186" s="43"/>
      <c r="DI186">
        <v>400</v>
      </c>
      <c r="DJ186">
        <v>400</v>
      </c>
      <c r="DK186" s="47">
        <v>0</v>
      </c>
      <c r="DL186" s="43"/>
      <c r="DM186" s="40">
        <v>528</v>
      </c>
      <c r="DN186">
        <v>530</v>
      </c>
      <c r="DO186">
        <v>904</v>
      </c>
      <c r="DP186">
        <v>906</v>
      </c>
      <c r="DQ186" s="47">
        <v>-4</v>
      </c>
      <c r="DR186" s="43"/>
      <c r="DS186">
        <v>152</v>
      </c>
      <c r="DT186">
        <v>150</v>
      </c>
      <c r="DU186">
        <v>240</v>
      </c>
      <c r="DV186">
        <v>244</v>
      </c>
      <c r="DW186" s="47">
        <v>-2</v>
      </c>
      <c r="DX186" s="43"/>
      <c r="DY186">
        <v>344</v>
      </c>
      <c r="DZ186">
        <v>343</v>
      </c>
      <c r="EC186" s="47">
        <v>1</v>
      </c>
      <c r="ED186" s="43"/>
      <c r="EE186" s="40">
        <v>288</v>
      </c>
      <c r="EF186">
        <v>290</v>
      </c>
      <c r="EG186">
        <v>784</v>
      </c>
      <c r="EH186">
        <v>784</v>
      </c>
      <c r="EI186" s="47">
        <v>-2</v>
      </c>
      <c r="EJ186" s="43"/>
      <c r="EO186" s="47">
        <v>0</v>
      </c>
      <c r="EP186" s="43"/>
      <c r="EQ186" s="42"/>
      <c r="ES186">
        <v>376</v>
      </c>
      <c r="ET186">
        <v>381</v>
      </c>
      <c r="EU186" s="47">
        <v>-5</v>
      </c>
      <c r="EV186" s="43"/>
      <c r="EW186" s="42"/>
      <c r="EY186">
        <v>696</v>
      </c>
      <c r="EZ186">
        <v>700</v>
      </c>
      <c r="FA186">
        <v>560</v>
      </c>
      <c r="FB186">
        <v>561</v>
      </c>
      <c r="FC186" s="47">
        <v>-5</v>
      </c>
      <c r="FD186" s="43"/>
      <c r="FE186" s="40">
        <v>320</v>
      </c>
      <c r="FF186">
        <v>320</v>
      </c>
      <c r="FG186">
        <v>360</v>
      </c>
      <c r="FH186">
        <v>360</v>
      </c>
      <c r="FI186" s="47">
        <v>0</v>
      </c>
      <c r="FJ186" s="43"/>
      <c r="FK186">
        <v>96</v>
      </c>
      <c r="FL186">
        <v>100</v>
      </c>
      <c r="FM186">
        <v>248</v>
      </c>
      <c r="FN186">
        <v>250</v>
      </c>
      <c r="FO186">
        <v>96</v>
      </c>
      <c r="FP186">
        <v>100</v>
      </c>
      <c r="FQ186" s="47">
        <v>-10</v>
      </c>
      <c r="FR186" s="43"/>
      <c r="FS186" s="40">
        <v>112</v>
      </c>
      <c r="FT186">
        <v>110</v>
      </c>
      <c r="FU186">
        <v>792</v>
      </c>
      <c r="FV186">
        <v>790</v>
      </c>
      <c r="FW186" s="47">
        <v>4</v>
      </c>
      <c r="FX186" s="43"/>
      <c r="FY186" s="42"/>
      <c r="GA186">
        <v>232</v>
      </c>
      <c r="GB186">
        <v>230</v>
      </c>
      <c r="GC186" s="47">
        <v>2</v>
      </c>
      <c r="GD186" s="43"/>
      <c r="GE186" s="40">
        <v>296</v>
      </c>
      <c r="GF186">
        <v>300</v>
      </c>
      <c r="GG186">
        <v>208</v>
      </c>
      <c r="GH186">
        <v>210</v>
      </c>
      <c r="GI186" s="47">
        <v>-6</v>
      </c>
      <c r="GJ186" s="43"/>
      <c r="GK186">
        <v>160</v>
      </c>
      <c r="GL186">
        <v>160</v>
      </c>
      <c r="GM186">
        <v>400</v>
      </c>
      <c r="GN186">
        <v>400</v>
      </c>
      <c r="GO186">
        <v>640</v>
      </c>
      <c r="GP186">
        <v>640</v>
      </c>
      <c r="GQ186" s="47">
        <v>0</v>
      </c>
      <c r="GR186" s="43"/>
      <c r="GU186">
        <v>400</v>
      </c>
      <c r="GW186">
        <v>400</v>
      </c>
      <c r="GX186" s="47">
        <v>0</v>
      </c>
      <c r="GY186" s="43"/>
      <c r="GZ186" s="40">
        <v>560</v>
      </c>
      <c r="HB186" s="44">
        <v>557.9</v>
      </c>
      <c r="HC186" s="47">
        <v>2.1000000000000232</v>
      </c>
      <c r="HD186" s="43"/>
      <c r="HE186" s="40">
        <v>160</v>
      </c>
      <c r="HG186">
        <v>159</v>
      </c>
      <c r="HH186" s="47">
        <v>1</v>
      </c>
      <c r="HI186" s="43"/>
      <c r="HJ186">
        <v>368</v>
      </c>
      <c r="HM186">
        <v>370</v>
      </c>
      <c r="HN186" s="47">
        <v>-2</v>
      </c>
      <c r="HO186" s="43"/>
      <c r="HP186" s="40">
        <v>448</v>
      </c>
      <c r="HR186">
        <v>450</v>
      </c>
      <c r="HS186">
        <v>456</v>
      </c>
      <c r="HT186">
        <v>460</v>
      </c>
      <c r="HU186" s="47">
        <v>-6</v>
      </c>
      <c r="HV186" s="43"/>
      <c r="HW186">
        <v>112</v>
      </c>
      <c r="HX186">
        <v>110</v>
      </c>
      <c r="HY186">
        <v>112</v>
      </c>
      <c r="HZ186">
        <v>110</v>
      </c>
      <c r="IA186" s="47">
        <v>4</v>
      </c>
      <c r="IB186" s="43"/>
      <c r="IC186" s="40">
        <v>352</v>
      </c>
      <c r="ID186">
        <v>350</v>
      </c>
      <c r="IE186">
        <v>432</v>
      </c>
      <c r="IF186">
        <v>430</v>
      </c>
      <c r="IG186" s="47">
        <v>4</v>
      </c>
      <c r="IH186" s="43"/>
      <c r="II186">
        <v>248</v>
      </c>
      <c r="IJ186">
        <v>250</v>
      </c>
      <c r="IK186">
        <v>248</v>
      </c>
      <c r="IL186">
        <v>250</v>
      </c>
      <c r="IM186" s="47">
        <v>-4</v>
      </c>
      <c r="IN186" s="43"/>
      <c r="IO186" s="40">
        <v>296</v>
      </c>
      <c r="IP186" s="44">
        <v>300</v>
      </c>
      <c r="IQ186" s="47">
        <v>-4</v>
      </c>
      <c r="IR186" s="43"/>
      <c r="IS186" s="40">
        <v>200</v>
      </c>
      <c r="IT186">
        <v>200</v>
      </c>
      <c r="IU186">
        <v>200</v>
      </c>
      <c r="IV186">
        <v>200</v>
      </c>
      <c r="IW186" s="47">
        <v>0</v>
      </c>
      <c r="IX186" s="43"/>
      <c r="IY186" s="40">
        <v>96</v>
      </c>
      <c r="IZ186" s="47">
        <v>100</v>
      </c>
      <c r="JA186" s="47">
        <v>-4</v>
      </c>
      <c r="JB186" s="43"/>
      <c r="JC186" s="40">
        <v>152</v>
      </c>
      <c r="JD186" s="47">
        <v>150</v>
      </c>
      <c r="JE186">
        <v>152</v>
      </c>
      <c r="JF186">
        <v>150</v>
      </c>
      <c r="JG186" s="47">
        <v>4</v>
      </c>
      <c r="JH186" s="43"/>
      <c r="JO186" s="47">
        <v>0</v>
      </c>
      <c r="JP186" s="43"/>
      <c r="JQ186" s="42"/>
      <c r="JV186" s="43"/>
      <c r="KB186" s="45"/>
      <c r="KH186" s="45"/>
      <c r="KN186" s="45"/>
      <c r="KT186" s="43"/>
      <c r="KX186" s="45"/>
      <c r="LD186" s="43"/>
      <c r="LE186" s="40"/>
      <c r="LH186" s="45"/>
      <c r="LN186" s="45"/>
      <c r="LT186" s="45"/>
      <c r="LZ186" s="45"/>
      <c r="MB186" s="41"/>
      <c r="MF186" s="45"/>
      <c r="MG186" s="46"/>
      <c r="MN186" s="45"/>
      <c r="MT186" s="45"/>
      <c r="MZ186" s="45"/>
      <c r="NA186" s="46"/>
      <c r="ND186" s="45"/>
      <c r="NE186" s="46"/>
      <c r="NK186" s="45"/>
      <c r="NL186" s="46"/>
      <c r="NQ186" s="45"/>
      <c r="NR186" s="46"/>
      <c r="NU186" s="45"/>
      <c r="NV186" s="46"/>
      <c r="OA186" s="45"/>
      <c r="OB186" s="46"/>
      <c r="OE186" s="45"/>
      <c r="OF186" s="46"/>
      <c r="OK186" s="45"/>
      <c r="OM186" s="43"/>
      <c r="OQ186" s="45"/>
      <c r="OR186" s="46"/>
      <c r="OW186" s="45"/>
      <c r="OX186" s="46"/>
      <c r="PC186" s="45"/>
      <c r="PD186" s="46"/>
      <c r="PE186" s="44"/>
      <c r="PI186" s="45"/>
      <c r="PJ186" s="46"/>
      <c r="PO186" s="45"/>
      <c r="PP186" s="46"/>
      <c r="PR186" s="44"/>
      <c r="PU186" s="45"/>
      <c r="PV186" s="46"/>
      <c r="PY186" s="45"/>
      <c r="PZ186" s="46"/>
      <c r="QB186" s="44"/>
      <c r="QC186" s="45"/>
      <c r="QD186" s="46"/>
      <c r="QI186" s="45"/>
      <c r="QJ186" s="46"/>
      <c r="QM186" s="45"/>
      <c r="QN186" s="46"/>
      <c r="QS186" s="45"/>
      <c r="QT186" s="46"/>
      <c r="QW186" s="45"/>
      <c r="QX186" s="46"/>
      <c r="RC186" s="45"/>
      <c r="RD186" s="42"/>
      <c r="RE186" s="44"/>
      <c r="RG186" s="44"/>
      <c r="RI186" s="45"/>
      <c r="RJ186" s="42"/>
      <c r="RO186" s="43"/>
      <c r="RP186" s="42"/>
      <c r="RS186" s="43"/>
      <c r="RT186" s="42"/>
      <c r="RY186" s="43"/>
      <c r="RZ186" s="42"/>
      <c r="SE186" s="43"/>
      <c r="SF186" s="42"/>
      <c r="SK186" s="43"/>
      <c r="SL186" s="42"/>
      <c r="SO186" s="43"/>
      <c r="SP186" s="42"/>
      <c r="SU186" s="43"/>
    </row>
    <row r="187" spans="1:515" x14ac:dyDescent="0.25">
      <c r="A187" s="47" t="s">
        <v>494</v>
      </c>
      <c r="B187" s="41">
        <v>0.28000000000000003</v>
      </c>
      <c r="J187" s="42"/>
      <c r="K187" s="51"/>
      <c r="L187" s="51"/>
      <c r="M187" s="51"/>
      <c r="N187" s="51">
        <f t="shared" si="15"/>
        <v>0</v>
      </c>
      <c r="O187" s="43"/>
      <c r="P187" s="46"/>
      <c r="Q187" s="51"/>
      <c r="R187" s="51"/>
      <c r="S187" s="51"/>
      <c r="T187" s="51">
        <f t="shared" si="16"/>
        <v>0</v>
      </c>
      <c r="U187" s="43"/>
      <c r="V187" s="42"/>
      <c r="W187" s="51"/>
      <c r="X187" s="51"/>
      <c r="Y187" s="51"/>
      <c r="Z187" s="51">
        <f t="shared" si="17"/>
        <v>0</v>
      </c>
      <c r="AA187" s="43"/>
      <c r="AB187" s="42"/>
      <c r="AC187" s="51"/>
      <c r="AD187" s="51"/>
      <c r="AE187" s="51"/>
      <c r="AF187" s="51">
        <v>0</v>
      </c>
      <c r="AG187" s="43"/>
      <c r="AH187" s="51"/>
      <c r="AL187" s="47">
        <v>0</v>
      </c>
      <c r="AM187" s="43"/>
      <c r="AN187" s="42"/>
      <c r="AR187" s="47">
        <v>0</v>
      </c>
      <c r="AS187" s="43"/>
      <c r="AX187" s="47">
        <v>0</v>
      </c>
      <c r="AY187" s="43"/>
      <c r="BD187" s="47">
        <v>0</v>
      </c>
      <c r="BE187" s="43"/>
      <c r="BF187" s="42"/>
      <c r="BJ187" s="47">
        <v>0</v>
      </c>
      <c r="BK187" s="43"/>
      <c r="BL187" s="42"/>
      <c r="BP187" s="47">
        <v>0</v>
      </c>
      <c r="BQ187" s="43"/>
      <c r="BV187" s="47">
        <v>0</v>
      </c>
      <c r="BW187" s="43"/>
      <c r="BX187" s="42"/>
      <c r="CB187" s="47">
        <v>0</v>
      </c>
      <c r="CC187" s="43"/>
      <c r="CH187" s="47">
        <v>0</v>
      </c>
      <c r="CI187" s="43"/>
      <c r="CN187" s="47">
        <v>0</v>
      </c>
      <c r="CO187" s="43"/>
      <c r="CP187" s="42"/>
      <c r="CT187" s="47">
        <v>0</v>
      </c>
      <c r="CU187" s="43"/>
      <c r="CV187" s="42"/>
      <c r="CZ187" s="47">
        <v>0</v>
      </c>
      <c r="DA187" s="43"/>
      <c r="DG187" s="47">
        <v>0</v>
      </c>
      <c r="DH187" s="43"/>
      <c r="DK187" s="47">
        <v>0</v>
      </c>
      <c r="DL187" s="43"/>
      <c r="DM187" s="42"/>
      <c r="DQ187" s="47">
        <v>0</v>
      </c>
      <c r="DR187" s="43"/>
      <c r="DW187" s="47">
        <v>0</v>
      </c>
      <c r="DX187" s="43"/>
      <c r="EC187" s="47">
        <v>0</v>
      </c>
      <c r="ED187" s="43"/>
      <c r="EE187" s="42"/>
      <c r="EI187" s="47">
        <v>0</v>
      </c>
      <c r="EJ187" s="43"/>
      <c r="EO187" s="47">
        <v>0</v>
      </c>
      <c r="EP187" s="43"/>
      <c r="EQ187" s="42"/>
      <c r="EU187" s="47">
        <v>0</v>
      </c>
      <c r="EV187" s="43"/>
      <c r="EW187" s="42"/>
      <c r="FC187" s="47">
        <v>0</v>
      </c>
      <c r="FD187" s="43"/>
      <c r="FE187" s="42"/>
      <c r="FI187" s="47">
        <v>0</v>
      </c>
      <c r="FJ187" s="43"/>
      <c r="FQ187" s="47">
        <v>0</v>
      </c>
      <c r="FR187" s="43"/>
      <c r="FS187" s="42"/>
      <c r="FW187" s="47">
        <v>0</v>
      </c>
      <c r="FX187" s="43"/>
      <c r="FY187" s="42"/>
      <c r="GC187" s="47">
        <v>0</v>
      </c>
      <c r="GD187" s="43"/>
      <c r="GE187" s="42"/>
      <c r="GI187" s="47">
        <v>0</v>
      </c>
      <c r="GJ187" s="43"/>
      <c r="GQ187" s="47">
        <v>0</v>
      </c>
      <c r="GR187" s="43"/>
      <c r="GX187" s="47">
        <v>0</v>
      </c>
      <c r="GY187" s="43"/>
      <c r="GZ187" s="42"/>
      <c r="HC187" s="47">
        <v>0</v>
      </c>
      <c r="HD187" s="43"/>
      <c r="HE187" s="42"/>
      <c r="HH187" s="47">
        <v>0</v>
      </c>
      <c r="HI187" s="43"/>
      <c r="HN187" s="47">
        <v>0</v>
      </c>
      <c r="HO187" s="43"/>
      <c r="HP187" s="42"/>
      <c r="HT187">
        <v>160</v>
      </c>
      <c r="HU187" s="47">
        <v>0</v>
      </c>
      <c r="HV187" s="43"/>
      <c r="HZ187" s="48">
        <v>64</v>
      </c>
      <c r="IA187" s="47">
        <v>0</v>
      </c>
      <c r="IB187" s="43"/>
      <c r="IC187" s="42"/>
      <c r="IG187" s="47">
        <v>0</v>
      </c>
      <c r="IH187" s="43"/>
      <c r="II187">
        <v>80</v>
      </c>
      <c r="IJ187">
        <v>80</v>
      </c>
      <c r="IK187">
        <v>80</v>
      </c>
      <c r="IL187">
        <v>80</v>
      </c>
      <c r="IM187" s="47">
        <v>0</v>
      </c>
      <c r="IN187" s="43"/>
      <c r="IO187" s="42"/>
      <c r="IQ187" s="47">
        <v>0</v>
      </c>
      <c r="IR187" s="43"/>
      <c r="IS187" s="42"/>
      <c r="IU187">
        <v>120</v>
      </c>
      <c r="IV187" s="47">
        <v>120</v>
      </c>
      <c r="IW187" s="47">
        <v>0</v>
      </c>
      <c r="IX187" s="43"/>
      <c r="IY187" s="40">
        <v>48</v>
      </c>
      <c r="IZ187" s="47">
        <v>50</v>
      </c>
      <c r="JA187" s="47">
        <v>-2</v>
      </c>
      <c r="JB187" s="43"/>
      <c r="JC187" s="42"/>
      <c r="JG187" s="47">
        <v>0</v>
      </c>
      <c r="JH187" s="43"/>
      <c r="JO187" s="47">
        <v>0</v>
      </c>
      <c r="JP187" s="43"/>
      <c r="JQ187" s="42"/>
      <c r="JV187" s="43"/>
      <c r="KB187" s="45"/>
      <c r="KH187" s="45"/>
      <c r="KN187" s="45"/>
      <c r="KT187" s="43"/>
      <c r="KX187" s="45"/>
      <c r="LD187" s="43"/>
      <c r="LE187" s="40"/>
      <c r="LH187" s="45"/>
      <c r="LN187" s="45"/>
      <c r="LT187" s="45"/>
      <c r="LZ187" s="45"/>
      <c r="MB187" s="41"/>
      <c r="MF187" s="45"/>
      <c r="MG187" s="46"/>
      <c r="MN187" s="45"/>
      <c r="MT187" s="45"/>
      <c r="MZ187" s="45"/>
      <c r="NA187" s="46"/>
      <c r="ND187" s="45"/>
      <c r="NE187" s="46"/>
      <c r="NK187" s="45"/>
      <c r="NL187" s="46"/>
      <c r="NQ187" s="45"/>
      <c r="NR187" s="46"/>
      <c r="NU187" s="45"/>
      <c r="NV187" s="46"/>
      <c r="OA187" s="45"/>
      <c r="OB187" s="46"/>
      <c r="OE187" s="45"/>
      <c r="OF187" s="46"/>
      <c r="OK187" s="45"/>
      <c r="OM187" s="43"/>
      <c r="OQ187" s="45"/>
      <c r="OR187" s="46"/>
      <c r="OW187" s="45"/>
      <c r="OX187" s="46"/>
      <c r="PC187" s="45"/>
      <c r="PD187" s="46"/>
      <c r="PE187" s="44"/>
      <c r="PI187" s="45"/>
      <c r="PJ187" s="46"/>
      <c r="PO187" s="45"/>
      <c r="PP187" s="46"/>
      <c r="PR187" s="44"/>
      <c r="PU187" s="45"/>
      <c r="PV187" s="46"/>
      <c r="PY187" s="45"/>
      <c r="PZ187" s="46"/>
      <c r="QB187" s="44"/>
      <c r="QC187" s="45"/>
      <c r="QD187" s="46"/>
      <c r="QI187" s="45"/>
      <c r="QJ187" s="46"/>
      <c r="QM187" s="45"/>
      <c r="QN187" s="46"/>
      <c r="QS187" s="45"/>
      <c r="QT187" s="46"/>
      <c r="QW187" s="45"/>
      <c r="QX187" s="46"/>
      <c r="RC187" s="45"/>
      <c r="RD187" s="42"/>
      <c r="RE187" s="44"/>
      <c r="RG187" s="44"/>
      <c r="RI187" s="45"/>
      <c r="RJ187" s="42"/>
      <c r="RO187" s="43"/>
      <c r="RP187" s="42"/>
      <c r="RS187" s="43"/>
      <c r="RT187" s="42"/>
      <c r="RY187" s="43"/>
      <c r="RZ187" s="42"/>
      <c r="SE187" s="43"/>
      <c r="SF187" s="42"/>
      <c r="SK187" s="43"/>
      <c r="SL187" s="42"/>
      <c r="SO187" s="43"/>
      <c r="SP187" s="42"/>
      <c r="SU187" s="43"/>
    </row>
    <row r="188" spans="1:515" x14ac:dyDescent="0.25">
      <c r="A188" s="47" t="s">
        <v>495</v>
      </c>
      <c r="B188" s="41">
        <v>0.3</v>
      </c>
      <c r="E188">
        <v>20</v>
      </c>
      <c r="J188" s="42"/>
      <c r="K188" s="51"/>
      <c r="L188" s="52">
        <v>12</v>
      </c>
      <c r="M188" s="52">
        <v>14</v>
      </c>
      <c r="N188" s="51">
        <f t="shared" si="15"/>
        <v>-2</v>
      </c>
      <c r="O188" s="43"/>
      <c r="P188" s="46"/>
      <c r="Q188" s="51"/>
      <c r="R188" s="52">
        <v>18</v>
      </c>
      <c r="S188" s="52">
        <v>21</v>
      </c>
      <c r="T188" s="51">
        <f t="shared" si="16"/>
        <v>-3</v>
      </c>
      <c r="U188" s="43"/>
      <c r="V188" s="42"/>
      <c r="W188" s="51"/>
      <c r="X188" s="52">
        <v>6</v>
      </c>
      <c r="Y188" s="52">
        <v>10</v>
      </c>
      <c r="Z188" s="51">
        <f t="shared" si="17"/>
        <v>-4</v>
      </c>
      <c r="AA188" s="43"/>
      <c r="AB188" s="42"/>
      <c r="AC188" s="51"/>
      <c r="AD188" s="52">
        <v>6</v>
      </c>
      <c r="AE188" s="56">
        <v>10</v>
      </c>
      <c r="AF188" s="51">
        <v>-4</v>
      </c>
      <c r="AG188" s="43"/>
      <c r="AH188" s="51"/>
      <c r="AL188" s="47">
        <v>0</v>
      </c>
      <c r="AM188" s="43"/>
      <c r="AN188" s="42"/>
      <c r="AP188">
        <v>18</v>
      </c>
      <c r="AQ188">
        <v>19</v>
      </c>
      <c r="AR188" s="47">
        <v>-1</v>
      </c>
      <c r="AS188" s="43"/>
      <c r="AX188" s="47">
        <v>0</v>
      </c>
      <c r="AY188" s="43"/>
      <c r="BB188">
        <v>6</v>
      </c>
      <c r="BC188">
        <v>7</v>
      </c>
      <c r="BD188" s="47">
        <v>-1</v>
      </c>
      <c r="BE188" s="43"/>
      <c r="BF188" s="42"/>
      <c r="BH188">
        <v>18</v>
      </c>
      <c r="BI188">
        <v>18</v>
      </c>
      <c r="BJ188" s="47">
        <v>0</v>
      </c>
      <c r="BK188" s="43"/>
      <c r="BL188" s="42"/>
      <c r="BP188" s="47">
        <v>0</v>
      </c>
      <c r="BQ188" s="43"/>
      <c r="BT188">
        <v>6</v>
      </c>
      <c r="BU188">
        <v>6</v>
      </c>
      <c r="BV188" s="47">
        <v>0</v>
      </c>
      <c r="BW188" s="43"/>
      <c r="BX188" s="42"/>
      <c r="BZ188">
        <v>12</v>
      </c>
      <c r="CA188">
        <v>10</v>
      </c>
      <c r="CB188" s="47">
        <v>2</v>
      </c>
      <c r="CC188" s="43"/>
      <c r="CH188" s="47">
        <v>0</v>
      </c>
      <c r="CI188" s="43"/>
      <c r="CL188">
        <v>6</v>
      </c>
      <c r="CM188">
        <v>4</v>
      </c>
      <c r="CN188" s="47">
        <v>2</v>
      </c>
      <c r="CO188" s="43"/>
      <c r="CP188" s="42"/>
      <c r="CR188">
        <v>6</v>
      </c>
      <c r="CS188">
        <v>9</v>
      </c>
      <c r="CT188" s="47">
        <v>-3</v>
      </c>
      <c r="CU188" s="43"/>
      <c r="CV188" s="42"/>
      <c r="CX188">
        <v>6</v>
      </c>
      <c r="CY188">
        <v>8</v>
      </c>
      <c r="CZ188" s="47">
        <v>-2</v>
      </c>
      <c r="DA188" s="43"/>
      <c r="DE188">
        <v>6</v>
      </c>
      <c r="DF188">
        <v>8</v>
      </c>
      <c r="DG188" s="47">
        <v>-2</v>
      </c>
      <c r="DH188" s="43"/>
      <c r="DK188" s="47">
        <v>0</v>
      </c>
      <c r="DL188" s="43"/>
      <c r="DM188" s="42"/>
      <c r="DN188">
        <v>7</v>
      </c>
      <c r="DQ188" s="50">
        <v>-7</v>
      </c>
      <c r="DR188" s="43">
        <v>2.1</v>
      </c>
      <c r="DU188">
        <v>6</v>
      </c>
      <c r="DV188">
        <v>8</v>
      </c>
      <c r="DW188" s="47">
        <v>-2</v>
      </c>
      <c r="DX188" s="43"/>
      <c r="EC188" s="47">
        <v>0</v>
      </c>
      <c r="ED188" s="43"/>
      <c r="EE188" s="42"/>
      <c r="EH188">
        <v>24</v>
      </c>
      <c r="EI188" s="50">
        <v>-24</v>
      </c>
      <c r="EJ188" s="43">
        <v>7.1999999999999993</v>
      </c>
      <c r="EM188">
        <v>6</v>
      </c>
      <c r="EN188">
        <v>8</v>
      </c>
      <c r="EO188" s="47">
        <v>-2</v>
      </c>
      <c r="EP188" s="43"/>
      <c r="EQ188" s="42"/>
      <c r="EU188" s="47">
        <v>0</v>
      </c>
      <c r="EV188" s="43"/>
      <c r="EW188" s="42"/>
      <c r="FB188">
        <v>16</v>
      </c>
      <c r="FC188" s="50">
        <v>-16</v>
      </c>
      <c r="FD188" s="43">
        <v>4.8</v>
      </c>
      <c r="FE188" s="42"/>
      <c r="FI188" s="47">
        <v>0</v>
      </c>
      <c r="FJ188" s="43"/>
      <c r="FQ188" s="47">
        <v>0</v>
      </c>
      <c r="FR188" s="43"/>
      <c r="FS188" s="42"/>
      <c r="FW188" s="47">
        <v>0</v>
      </c>
      <c r="FX188" s="43"/>
      <c r="FY188" s="42"/>
      <c r="GC188" s="47">
        <v>0</v>
      </c>
      <c r="GD188" s="43"/>
      <c r="GE188" s="40">
        <v>24</v>
      </c>
      <c r="GF188">
        <v>24</v>
      </c>
      <c r="GG188">
        <v>30</v>
      </c>
      <c r="GH188">
        <v>32</v>
      </c>
      <c r="GI188" s="47">
        <v>-2</v>
      </c>
      <c r="GJ188" s="43"/>
      <c r="GQ188" s="47">
        <v>0</v>
      </c>
      <c r="GR188" s="43"/>
      <c r="GX188" s="47">
        <v>0</v>
      </c>
      <c r="GY188" s="43"/>
      <c r="GZ188" s="40">
        <v>60</v>
      </c>
      <c r="HB188" s="44">
        <v>58.8</v>
      </c>
      <c r="HC188" s="47">
        <v>1.2000000000000031</v>
      </c>
      <c r="HD188" s="43"/>
      <c r="HE188" s="42"/>
      <c r="HH188" s="47">
        <v>0</v>
      </c>
      <c r="HI188" s="43"/>
      <c r="HN188" s="47">
        <v>0</v>
      </c>
      <c r="HO188" s="43"/>
      <c r="HP188" s="42">
        <v>42</v>
      </c>
      <c r="HR188" s="47">
        <v>42</v>
      </c>
      <c r="HU188" s="47">
        <v>0</v>
      </c>
      <c r="HV188" s="43"/>
      <c r="IA188" s="47">
        <v>0</v>
      </c>
      <c r="IB188" s="43"/>
      <c r="IC188" s="42"/>
      <c r="IH188" s="43"/>
      <c r="IN188" s="43"/>
      <c r="IO188" s="42"/>
      <c r="IR188" s="43"/>
      <c r="IS188" s="42"/>
      <c r="IX188" s="43"/>
      <c r="IY188" s="40"/>
      <c r="JB188" s="43"/>
      <c r="JC188" s="42"/>
      <c r="JH188" s="43"/>
      <c r="JP188" s="43"/>
      <c r="JQ188" s="42"/>
      <c r="JV188" s="43"/>
      <c r="KB188" s="45"/>
      <c r="KH188" s="45"/>
      <c r="KN188" s="45"/>
      <c r="KT188" s="43"/>
      <c r="KX188" s="45"/>
      <c r="LD188" s="43"/>
      <c r="LE188" s="40"/>
      <c r="LH188" s="45"/>
      <c r="LN188" s="45"/>
      <c r="LT188" s="45"/>
      <c r="LZ188" s="45"/>
      <c r="MB188" s="41"/>
      <c r="MF188" s="45"/>
      <c r="MG188" s="46"/>
      <c r="MN188" s="45"/>
      <c r="MT188" s="45"/>
      <c r="MZ188" s="45"/>
      <c r="NA188" s="46"/>
      <c r="ND188" s="45"/>
      <c r="NE188" s="46"/>
      <c r="NK188" s="45"/>
      <c r="NL188" s="46"/>
      <c r="NQ188" s="45"/>
      <c r="NR188" s="46"/>
      <c r="NU188" s="45"/>
      <c r="NV188" s="46"/>
      <c r="OA188" s="45"/>
      <c r="OB188" s="46"/>
      <c r="OE188" s="45"/>
      <c r="OF188" s="46"/>
      <c r="OK188" s="45"/>
      <c r="OM188" s="43"/>
      <c r="OQ188" s="45"/>
      <c r="OR188" s="46"/>
      <c r="OW188" s="45"/>
      <c r="OX188" s="46"/>
      <c r="PC188" s="45"/>
      <c r="PD188" s="46"/>
      <c r="PE188" s="44"/>
      <c r="PI188" s="45"/>
      <c r="PJ188" s="46"/>
      <c r="PO188" s="45"/>
      <c r="PP188" s="46"/>
      <c r="PR188" s="44"/>
      <c r="PU188" s="45"/>
      <c r="PV188" s="46"/>
      <c r="PY188" s="45"/>
      <c r="PZ188" s="46"/>
      <c r="QB188" s="44"/>
      <c r="QC188" s="45"/>
      <c r="QD188" s="46"/>
      <c r="QI188" s="45"/>
      <c r="QJ188" s="46"/>
      <c r="QM188" s="45"/>
      <c r="QN188" s="46"/>
      <c r="QS188" s="45"/>
      <c r="QT188" s="46"/>
      <c r="QW188" s="45"/>
      <c r="QX188" s="46"/>
      <c r="RC188" s="45"/>
      <c r="RD188" s="42"/>
      <c r="RE188" s="44"/>
      <c r="RG188" s="44"/>
      <c r="RI188" s="45"/>
      <c r="RJ188" s="42"/>
      <c r="RO188" s="43"/>
      <c r="RP188" s="42"/>
      <c r="RS188" s="43"/>
      <c r="RT188" s="42"/>
      <c r="RY188" s="43"/>
      <c r="RZ188" s="42"/>
      <c r="SE188" s="43"/>
      <c r="SF188" s="42"/>
      <c r="SK188" s="43"/>
      <c r="SL188" s="42"/>
      <c r="SO188" s="43"/>
      <c r="SP188" s="42"/>
      <c r="SU188" s="43"/>
    </row>
    <row r="189" spans="1:515" x14ac:dyDescent="0.25">
      <c r="A189" s="47" t="s">
        <v>496</v>
      </c>
      <c r="B189" s="41">
        <v>0.18</v>
      </c>
      <c r="J189" s="42"/>
      <c r="K189" s="51"/>
      <c r="L189" s="51"/>
      <c r="M189" s="51"/>
      <c r="N189" s="51">
        <f t="shared" si="15"/>
        <v>0</v>
      </c>
      <c r="O189" s="43"/>
      <c r="P189" s="46"/>
      <c r="Q189" s="51"/>
      <c r="R189" s="51"/>
      <c r="S189" s="51"/>
      <c r="T189" s="51">
        <f t="shared" si="16"/>
        <v>0</v>
      </c>
      <c r="U189" s="43"/>
      <c r="V189" s="42"/>
      <c r="W189" s="51"/>
      <c r="X189" s="51"/>
      <c r="Y189" s="51"/>
      <c r="Z189" s="51">
        <f t="shared" si="17"/>
        <v>0</v>
      </c>
      <c r="AA189" s="43"/>
      <c r="AB189" s="42"/>
      <c r="AC189" s="51"/>
      <c r="AD189" s="51"/>
      <c r="AE189" s="51"/>
      <c r="AF189" s="51">
        <v>0</v>
      </c>
      <c r="AG189" s="43"/>
      <c r="AH189" s="51"/>
      <c r="AL189" s="47">
        <v>0</v>
      </c>
      <c r="AM189" s="43"/>
      <c r="AN189" s="42"/>
      <c r="AR189" s="47">
        <v>0</v>
      </c>
      <c r="AS189" s="43"/>
      <c r="AX189" s="47">
        <v>0</v>
      </c>
      <c r="AY189" s="43"/>
      <c r="BD189" s="47">
        <v>0</v>
      </c>
      <c r="BE189" s="43"/>
      <c r="BF189" s="42"/>
      <c r="BJ189" s="47">
        <v>0</v>
      </c>
      <c r="BK189" s="43"/>
      <c r="BL189" s="42"/>
      <c r="BP189" s="47">
        <v>0</v>
      </c>
      <c r="BQ189" s="43"/>
      <c r="BV189" s="47">
        <v>0</v>
      </c>
      <c r="BW189" s="43"/>
      <c r="BX189" s="42"/>
      <c r="CB189" s="47">
        <v>0</v>
      </c>
      <c r="CC189" s="43"/>
      <c r="CG189">
        <v>20</v>
      </c>
      <c r="CH189" s="50">
        <v>-20</v>
      </c>
      <c r="CI189" s="43">
        <v>3.6</v>
      </c>
      <c r="CK189">
        <v>20</v>
      </c>
      <c r="CN189" s="50">
        <v>-20</v>
      </c>
      <c r="CO189" s="43">
        <v>3.6</v>
      </c>
      <c r="CP189" s="42"/>
      <c r="CS189">
        <v>20</v>
      </c>
      <c r="CT189" s="50">
        <v>-20</v>
      </c>
      <c r="CU189" s="43">
        <v>3.6</v>
      </c>
      <c r="CV189" s="42"/>
      <c r="CZ189" s="47">
        <v>0</v>
      </c>
      <c r="DA189" s="43"/>
      <c r="DF189">
        <v>20</v>
      </c>
      <c r="DG189" s="50">
        <v>-20</v>
      </c>
      <c r="DH189" s="43">
        <v>3.6</v>
      </c>
      <c r="DK189" s="47">
        <v>0</v>
      </c>
      <c r="DL189" s="43"/>
      <c r="DM189" s="42"/>
      <c r="DP189">
        <v>20</v>
      </c>
      <c r="DQ189" s="50">
        <v>-20</v>
      </c>
      <c r="DR189" s="43">
        <v>3.6</v>
      </c>
      <c r="DW189" s="47">
        <v>0</v>
      </c>
      <c r="DX189" s="43"/>
      <c r="EB189">
        <v>20</v>
      </c>
      <c r="EC189" s="50">
        <v>-20</v>
      </c>
      <c r="ED189" s="43">
        <v>3.6</v>
      </c>
      <c r="EE189" s="42"/>
      <c r="EI189" s="47">
        <v>0</v>
      </c>
      <c r="EJ189" s="43"/>
      <c r="EL189">
        <v>20</v>
      </c>
      <c r="EO189" s="50">
        <v>-20</v>
      </c>
      <c r="EP189" s="43">
        <v>3.6</v>
      </c>
      <c r="EQ189" s="42"/>
      <c r="ET189">
        <v>20</v>
      </c>
      <c r="EU189" s="50">
        <v>-20</v>
      </c>
      <c r="EV189" s="43">
        <v>3.6</v>
      </c>
      <c r="EW189" s="42"/>
      <c r="FC189" s="47">
        <v>0</v>
      </c>
      <c r="FD189" s="43"/>
      <c r="FE189" s="42"/>
      <c r="FH189">
        <v>40</v>
      </c>
      <c r="FI189" s="50">
        <v>-40</v>
      </c>
      <c r="FJ189" s="43">
        <v>7.1999999999999993</v>
      </c>
      <c r="FQ189" s="47">
        <v>0</v>
      </c>
      <c r="FR189" s="43"/>
      <c r="FS189" s="42"/>
      <c r="FW189" s="47">
        <v>0</v>
      </c>
      <c r="FX189" s="43"/>
      <c r="FY189" s="42"/>
      <c r="GB189">
        <v>19</v>
      </c>
      <c r="GC189" s="50">
        <v>-19</v>
      </c>
      <c r="GD189" s="43">
        <v>3.42</v>
      </c>
      <c r="GE189" s="42"/>
      <c r="GF189" s="47">
        <v>50</v>
      </c>
      <c r="GH189" s="47">
        <v>50</v>
      </c>
      <c r="GI189" s="50">
        <v>-100</v>
      </c>
      <c r="GJ189" s="43">
        <v>18</v>
      </c>
      <c r="GQ189" s="47">
        <v>0</v>
      </c>
      <c r="GR189" s="43"/>
      <c r="GT189" s="47">
        <v>60</v>
      </c>
      <c r="GX189" s="50">
        <v>-60</v>
      </c>
      <c r="GY189" s="43">
        <v>10.8</v>
      </c>
      <c r="GZ189" s="40">
        <v>128</v>
      </c>
      <c r="HC189" s="47">
        <v>128</v>
      </c>
      <c r="HD189" s="43"/>
      <c r="HE189" s="42"/>
      <c r="HH189" s="47">
        <v>0</v>
      </c>
      <c r="HI189" s="43"/>
      <c r="HO189" s="43"/>
      <c r="HP189" s="42"/>
      <c r="HV189" s="43"/>
      <c r="IB189" s="43"/>
      <c r="IC189" s="42"/>
      <c r="IH189" s="43"/>
      <c r="IN189" s="43"/>
      <c r="IO189" s="42"/>
      <c r="IR189" s="43"/>
      <c r="IS189" s="42"/>
      <c r="IX189" s="43"/>
      <c r="IY189" s="40"/>
      <c r="JB189" s="43"/>
      <c r="JC189" s="42"/>
      <c r="JH189" s="43"/>
      <c r="JP189" s="43"/>
      <c r="JQ189" s="42"/>
      <c r="JV189" s="43"/>
      <c r="KB189" s="45"/>
      <c r="KH189" s="45"/>
      <c r="KN189" s="45"/>
      <c r="KT189" s="43"/>
      <c r="KX189" s="45"/>
      <c r="LD189" s="43"/>
      <c r="LE189" s="40"/>
      <c r="LH189" s="45"/>
      <c r="LN189" s="45"/>
      <c r="LT189" s="45"/>
      <c r="LZ189" s="45"/>
      <c r="MB189" s="41"/>
      <c r="MF189" s="45"/>
      <c r="MG189" s="46"/>
      <c r="MN189" s="45"/>
      <c r="MT189" s="45"/>
      <c r="MZ189" s="45"/>
      <c r="NA189" s="46"/>
      <c r="ND189" s="45"/>
      <c r="NE189" s="46"/>
      <c r="NK189" s="45"/>
      <c r="NL189" s="46"/>
      <c r="NQ189" s="45"/>
      <c r="NR189" s="46"/>
      <c r="NU189" s="45"/>
      <c r="NV189" s="46"/>
      <c r="OA189" s="45"/>
      <c r="OB189" s="46"/>
      <c r="OE189" s="45"/>
      <c r="OF189" s="46"/>
      <c r="OK189" s="45"/>
      <c r="OM189" s="43"/>
      <c r="OQ189" s="45"/>
      <c r="OR189" s="46"/>
      <c r="OW189" s="45"/>
      <c r="OX189" s="46"/>
      <c r="PC189" s="45"/>
      <c r="PD189" s="46"/>
      <c r="PE189" s="44"/>
      <c r="PI189" s="45"/>
      <c r="PJ189" s="46"/>
      <c r="PO189" s="45"/>
      <c r="PP189" s="46"/>
      <c r="PR189" s="44"/>
      <c r="PU189" s="45"/>
      <c r="PV189" s="46"/>
      <c r="PY189" s="45"/>
      <c r="PZ189" s="46"/>
      <c r="QB189" s="44"/>
      <c r="QC189" s="45"/>
      <c r="QD189" s="46"/>
      <c r="QI189" s="45"/>
      <c r="QJ189" s="46"/>
      <c r="QM189" s="45"/>
      <c r="QN189" s="46"/>
      <c r="QS189" s="45"/>
      <c r="QT189" s="46"/>
      <c r="QW189" s="45"/>
      <c r="QX189" s="46"/>
      <c r="RC189" s="45"/>
      <c r="RD189" s="42"/>
      <c r="RE189" s="44"/>
      <c r="RG189" s="44"/>
      <c r="RI189" s="45"/>
      <c r="RJ189" s="42"/>
      <c r="RO189" s="43"/>
      <c r="RP189" s="42"/>
      <c r="RS189" s="43"/>
      <c r="RT189" s="42"/>
      <c r="RY189" s="43"/>
      <c r="RZ189" s="42"/>
      <c r="SE189" s="43"/>
      <c r="SF189" s="42"/>
      <c r="SK189" s="43"/>
      <c r="SL189" s="42"/>
      <c r="SO189" s="43"/>
      <c r="SP189" s="42"/>
      <c r="SU189" s="43"/>
    </row>
    <row r="190" spans="1:515" x14ac:dyDescent="0.25">
      <c r="A190" s="47" t="s">
        <v>497</v>
      </c>
      <c r="B190" s="41">
        <v>0.18</v>
      </c>
      <c r="J190" s="42"/>
      <c r="K190" s="51"/>
      <c r="L190" s="51"/>
      <c r="M190" s="51"/>
      <c r="N190" s="51">
        <f t="shared" si="15"/>
        <v>0</v>
      </c>
      <c r="O190" s="43"/>
      <c r="P190" s="46"/>
      <c r="Q190" s="51"/>
      <c r="R190" s="51"/>
      <c r="S190" s="51"/>
      <c r="T190" s="51">
        <f t="shared" si="16"/>
        <v>0</v>
      </c>
      <c r="U190" s="43"/>
      <c r="V190" s="42"/>
      <c r="W190" s="51"/>
      <c r="X190" s="51"/>
      <c r="Y190" s="51"/>
      <c r="Z190" s="51">
        <f t="shared" si="17"/>
        <v>0</v>
      </c>
      <c r="AA190" s="43"/>
      <c r="AB190" s="42"/>
      <c r="AC190" s="51"/>
      <c r="AD190" s="51"/>
      <c r="AE190" s="51"/>
      <c r="AF190" s="51">
        <v>0</v>
      </c>
      <c r="AG190" s="43"/>
      <c r="AH190" s="51"/>
      <c r="AL190" s="47">
        <v>0</v>
      </c>
      <c r="AM190" s="43"/>
      <c r="AN190" s="42"/>
      <c r="AR190" s="47">
        <v>0</v>
      </c>
      <c r="AS190" s="43"/>
      <c r="AX190" s="47">
        <v>0</v>
      </c>
      <c r="AY190" s="43"/>
      <c r="BC190">
        <v>20</v>
      </c>
      <c r="BD190" s="50">
        <v>-20</v>
      </c>
      <c r="BE190" s="43">
        <v>3.6</v>
      </c>
      <c r="BF190" s="42"/>
      <c r="BI190">
        <v>20</v>
      </c>
      <c r="BJ190" s="50">
        <v>-20</v>
      </c>
      <c r="BK190" s="43">
        <v>3.6</v>
      </c>
      <c r="BL190" s="42"/>
      <c r="BM190">
        <v>20</v>
      </c>
      <c r="BP190" s="50">
        <v>-20</v>
      </c>
      <c r="BQ190" s="43">
        <v>3.6</v>
      </c>
      <c r="BV190" s="47">
        <v>0</v>
      </c>
      <c r="BW190" s="43"/>
      <c r="BX190" s="42"/>
      <c r="BY190">
        <v>20</v>
      </c>
      <c r="CB190" s="50">
        <v>-20</v>
      </c>
      <c r="CC190" s="43">
        <v>3.6</v>
      </c>
      <c r="CG190">
        <v>20</v>
      </c>
      <c r="CH190" s="50">
        <v>-20</v>
      </c>
      <c r="CI190" s="43">
        <v>3.6</v>
      </c>
      <c r="CK190">
        <v>20</v>
      </c>
      <c r="CN190" s="50">
        <v>-20</v>
      </c>
      <c r="CO190" s="43">
        <v>3.6</v>
      </c>
      <c r="CP190" s="42"/>
      <c r="CS190">
        <v>20</v>
      </c>
      <c r="CT190" s="50">
        <v>-20</v>
      </c>
      <c r="CU190" s="43">
        <v>3.6</v>
      </c>
      <c r="CV190" s="42"/>
      <c r="CZ190" s="47">
        <v>0</v>
      </c>
      <c r="DA190" s="43"/>
      <c r="DF190">
        <v>20</v>
      </c>
      <c r="DG190" s="50">
        <v>-20</v>
      </c>
      <c r="DH190" s="43">
        <v>3.6</v>
      </c>
      <c r="DK190" s="47">
        <v>0</v>
      </c>
      <c r="DL190" s="43"/>
      <c r="DM190" s="42"/>
      <c r="DP190">
        <v>20</v>
      </c>
      <c r="DQ190" s="50">
        <v>-20</v>
      </c>
      <c r="DR190" s="43">
        <v>3.6</v>
      </c>
      <c r="DW190" s="47">
        <v>0</v>
      </c>
      <c r="DX190" s="43"/>
      <c r="EB190">
        <v>20</v>
      </c>
      <c r="EC190" s="50">
        <v>-20</v>
      </c>
      <c r="ED190" s="43">
        <v>3.6</v>
      </c>
      <c r="EE190" s="42"/>
      <c r="EI190" s="47">
        <v>0</v>
      </c>
      <c r="EJ190" s="43"/>
      <c r="EL190">
        <v>20</v>
      </c>
      <c r="EO190" s="50">
        <v>-20</v>
      </c>
      <c r="EP190" s="43">
        <v>3.6</v>
      </c>
      <c r="EQ190" s="42"/>
      <c r="ET190">
        <v>20</v>
      </c>
      <c r="EU190" s="50">
        <v>-20</v>
      </c>
      <c r="EV190" s="43">
        <v>3.6</v>
      </c>
      <c r="EW190" s="42"/>
      <c r="FC190" s="47">
        <v>0</v>
      </c>
      <c r="FD190" s="43"/>
      <c r="FE190" s="42"/>
      <c r="FH190">
        <v>40</v>
      </c>
      <c r="FI190" s="50">
        <v>-40</v>
      </c>
      <c r="FJ190" s="43">
        <v>7.1999999999999993</v>
      </c>
      <c r="FQ190" s="47">
        <v>0</v>
      </c>
      <c r="FR190" s="43"/>
      <c r="FS190" s="42"/>
      <c r="FW190" s="47">
        <v>0</v>
      </c>
      <c r="FX190" s="43"/>
      <c r="FY190" s="42"/>
      <c r="GB190">
        <v>170</v>
      </c>
      <c r="GC190" s="50">
        <v>-170</v>
      </c>
      <c r="GD190" s="43">
        <v>30.6</v>
      </c>
      <c r="GE190" s="42"/>
      <c r="GF190" s="47">
        <v>40</v>
      </c>
      <c r="GH190" s="47">
        <v>40</v>
      </c>
      <c r="GI190" s="50">
        <v>-80</v>
      </c>
      <c r="GJ190" s="43">
        <v>14.4</v>
      </c>
      <c r="GQ190" s="47">
        <v>0</v>
      </c>
      <c r="GR190" s="43"/>
      <c r="GS190">
        <v>56</v>
      </c>
      <c r="GT190" s="47">
        <v>60</v>
      </c>
      <c r="GX190" s="47">
        <v>-4</v>
      </c>
      <c r="GY190" s="43"/>
      <c r="GZ190" s="40">
        <v>128</v>
      </c>
      <c r="HC190" s="47">
        <v>128</v>
      </c>
      <c r="HD190" s="43"/>
      <c r="HE190" s="42"/>
      <c r="HH190" s="47">
        <v>0</v>
      </c>
      <c r="HI190" s="43"/>
      <c r="HO190" s="43"/>
      <c r="HP190" s="42"/>
      <c r="HV190" s="43"/>
      <c r="IB190" s="43"/>
      <c r="IC190" s="42"/>
      <c r="IH190" s="43"/>
      <c r="IN190" s="43"/>
      <c r="IO190" s="42"/>
      <c r="IR190" s="43"/>
      <c r="IS190" s="42"/>
      <c r="IX190" s="43"/>
      <c r="IY190" s="40"/>
      <c r="JB190" s="43"/>
      <c r="JC190" s="42"/>
      <c r="JH190" s="43"/>
      <c r="JP190" s="43"/>
      <c r="JQ190" s="42"/>
      <c r="JV190" s="43"/>
      <c r="KB190" s="45"/>
      <c r="KH190" s="45"/>
      <c r="KN190" s="45"/>
      <c r="KT190" s="43"/>
      <c r="KX190" s="45"/>
      <c r="LD190" s="43"/>
      <c r="LE190" s="40"/>
      <c r="LH190" s="45"/>
      <c r="LN190" s="45"/>
      <c r="LT190" s="45"/>
      <c r="LZ190" s="45"/>
      <c r="MB190" s="41"/>
      <c r="MF190" s="45"/>
      <c r="MG190" s="46"/>
      <c r="MN190" s="45"/>
      <c r="MT190" s="45"/>
      <c r="MZ190" s="45"/>
      <c r="NA190" s="46"/>
      <c r="ND190" s="45"/>
      <c r="NE190" s="46"/>
      <c r="NK190" s="45"/>
      <c r="NL190" s="46"/>
      <c r="NQ190" s="45"/>
      <c r="NR190" s="46"/>
      <c r="NU190" s="45"/>
      <c r="NV190" s="46"/>
      <c r="OA190" s="45"/>
      <c r="OB190" s="46"/>
      <c r="OE190" s="45"/>
      <c r="OF190" s="46"/>
      <c r="OK190" s="45"/>
      <c r="OM190" s="43"/>
      <c r="OQ190" s="45"/>
      <c r="OR190" s="46"/>
      <c r="OW190" s="45"/>
      <c r="OX190" s="46"/>
      <c r="PC190" s="45"/>
      <c r="PD190" s="46"/>
      <c r="PE190" s="44"/>
      <c r="PI190" s="45"/>
      <c r="PJ190" s="46"/>
      <c r="PO190" s="45"/>
      <c r="PP190" s="46"/>
      <c r="PR190" s="44"/>
      <c r="PU190" s="45"/>
      <c r="PV190" s="46"/>
      <c r="PY190" s="45"/>
      <c r="PZ190" s="46"/>
      <c r="QB190" s="44"/>
      <c r="QC190" s="45"/>
      <c r="QD190" s="46"/>
      <c r="QI190" s="45"/>
      <c r="QJ190" s="46"/>
      <c r="QM190" s="45"/>
      <c r="QN190" s="46"/>
      <c r="QS190" s="45"/>
      <c r="QT190" s="46"/>
      <c r="QW190" s="45"/>
      <c r="QX190" s="46"/>
      <c r="RC190" s="45"/>
      <c r="RD190" s="42"/>
      <c r="RE190" s="44"/>
      <c r="RG190" s="44"/>
      <c r="RI190" s="45"/>
      <c r="RJ190" s="42"/>
      <c r="RO190" s="43"/>
      <c r="RP190" s="42"/>
      <c r="RS190" s="43"/>
      <c r="RT190" s="42"/>
      <c r="RY190" s="43"/>
      <c r="RZ190" s="42"/>
      <c r="SE190" s="43"/>
      <c r="SF190" s="42"/>
      <c r="SK190" s="43"/>
      <c r="SL190" s="42"/>
      <c r="SO190" s="43"/>
      <c r="SP190" s="42"/>
      <c r="SU190" s="43"/>
    </row>
    <row r="191" spans="1:515" x14ac:dyDescent="0.25">
      <c r="A191" s="47" t="s">
        <v>498</v>
      </c>
      <c r="B191" s="41">
        <v>0.18</v>
      </c>
      <c r="J191" s="42"/>
      <c r="K191" s="51"/>
      <c r="L191" s="51"/>
      <c r="M191" s="51"/>
      <c r="N191" s="51">
        <f t="shared" si="15"/>
        <v>0</v>
      </c>
      <c r="O191" s="43"/>
      <c r="P191" s="46"/>
      <c r="Q191" s="51"/>
      <c r="R191" s="51"/>
      <c r="S191" s="51"/>
      <c r="T191" s="51">
        <f t="shared" si="16"/>
        <v>0</v>
      </c>
      <c r="U191" s="43"/>
      <c r="V191" s="42"/>
      <c r="W191" s="51"/>
      <c r="X191" s="51"/>
      <c r="Y191" s="51"/>
      <c r="Z191" s="51">
        <f t="shared" si="17"/>
        <v>0</v>
      </c>
      <c r="AA191" s="43"/>
      <c r="AB191" s="42"/>
      <c r="AC191" s="51"/>
      <c r="AD191" s="51"/>
      <c r="AE191" s="51"/>
      <c r="AF191" s="51">
        <v>0</v>
      </c>
      <c r="AG191" s="43"/>
      <c r="AH191" s="51"/>
      <c r="AL191" s="47">
        <v>0</v>
      </c>
      <c r="AM191" s="43"/>
      <c r="AN191" s="42"/>
      <c r="AR191" s="47">
        <v>0</v>
      </c>
      <c r="AS191" s="43"/>
      <c r="AX191" s="47">
        <v>0</v>
      </c>
      <c r="AY191" s="43"/>
      <c r="BD191" s="47">
        <v>0</v>
      </c>
      <c r="BE191" s="43"/>
      <c r="BF191" s="42"/>
      <c r="BJ191" s="47">
        <v>0</v>
      </c>
      <c r="BK191" s="43"/>
      <c r="BL191" s="42"/>
      <c r="BP191" s="47">
        <v>0</v>
      </c>
      <c r="BQ191" s="43"/>
      <c r="BV191" s="47">
        <v>0</v>
      </c>
      <c r="BW191" s="43"/>
      <c r="BX191" s="42"/>
      <c r="CB191" s="47">
        <v>0</v>
      </c>
      <c r="CC191" s="43"/>
      <c r="CF191">
        <v>16</v>
      </c>
      <c r="CG191">
        <v>20</v>
      </c>
      <c r="CH191" s="47">
        <v>-4</v>
      </c>
      <c r="CI191" s="43"/>
      <c r="CJ191">
        <v>16</v>
      </c>
      <c r="CK191">
        <v>20</v>
      </c>
      <c r="CN191" s="47">
        <v>-4</v>
      </c>
      <c r="CO191" s="43"/>
      <c r="CP191" s="42"/>
      <c r="CS191">
        <v>20</v>
      </c>
      <c r="CT191" s="50">
        <v>-20</v>
      </c>
      <c r="CU191" s="43">
        <v>3.6</v>
      </c>
      <c r="CV191" s="42"/>
      <c r="CZ191" s="47">
        <v>0</v>
      </c>
      <c r="DA191" s="43"/>
      <c r="DF191">
        <v>20</v>
      </c>
      <c r="DG191" s="50">
        <v>-20</v>
      </c>
      <c r="DH191" s="43">
        <v>3.6</v>
      </c>
      <c r="DK191" s="47">
        <v>0</v>
      </c>
      <c r="DL191" s="43"/>
      <c r="DM191" s="42"/>
      <c r="DP191">
        <v>20</v>
      </c>
      <c r="DQ191" s="50">
        <v>-20</v>
      </c>
      <c r="DR191" s="43">
        <v>3.6</v>
      </c>
      <c r="DW191" s="47">
        <v>0</v>
      </c>
      <c r="DX191" s="43"/>
      <c r="EA191">
        <v>16</v>
      </c>
      <c r="EB191">
        <v>20</v>
      </c>
      <c r="EC191" s="47">
        <v>-4</v>
      </c>
      <c r="ED191" s="43"/>
      <c r="EE191" s="42"/>
      <c r="EI191" s="47">
        <v>0</v>
      </c>
      <c r="EJ191" s="43"/>
      <c r="EL191">
        <v>20</v>
      </c>
      <c r="EO191" s="50">
        <v>-20</v>
      </c>
      <c r="EP191" s="43">
        <v>3.6</v>
      </c>
      <c r="EQ191" s="42"/>
      <c r="ET191">
        <v>20</v>
      </c>
      <c r="EU191" s="50">
        <v>-20</v>
      </c>
      <c r="EV191" s="43">
        <v>3.6</v>
      </c>
      <c r="EW191" s="42"/>
      <c r="FC191" s="47">
        <v>0</v>
      </c>
      <c r="FD191" s="43"/>
      <c r="FE191" s="42"/>
      <c r="FH191">
        <v>40</v>
      </c>
      <c r="FI191" s="50">
        <v>-40</v>
      </c>
      <c r="FJ191" s="43">
        <v>7.1999999999999993</v>
      </c>
      <c r="FQ191" s="47">
        <v>0</v>
      </c>
      <c r="FR191" s="43"/>
      <c r="FS191" s="42"/>
      <c r="FV191">
        <v>43</v>
      </c>
      <c r="FW191" s="50">
        <v>-43</v>
      </c>
      <c r="FX191" s="43">
        <v>7.7399999999999993</v>
      </c>
      <c r="FY191" s="42"/>
      <c r="GB191">
        <v>17</v>
      </c>
      <c r="GC191" s="50">
        <v>-17</v>
      </c>
      <c r="GD191" s="43">
        <v>3.06</v>
      </c>
      <c r="GE191" s="42"/>
      <c r="GF191" s="47">
        <v>20</v>
      </c>
      <c r="GH191" s="47">
        <v>20</v>
      </c>
      <c r="GI191" s="50">
        <v>-40</v>
      </c>
      <c r="GJ191" s="43">
        <v>7.1999999999999993</v>
      </c>
      <c r="GQ191" s="47">
        <v>0</v>
      </c>
      <c r="GR191" s="43"/>
      <c r="GT191" s="47">
        <v>60</v>
      </c>
      <c r="GX191" s="50">
        <v>-60</v>
      </c>
      <c r="GY191" s="43">
        <v>10.8</v>
      </c>
      <c r="GZ191" s="40">
        <v>128</v>
      </c>
      <c r="HC191" s="47">
        <v>128</v>
      </c>
      <c r="HD191" s="43"/>
      <c r="HE191" s="42"/>
      <c r="HH191" s="47">
        <v>0</v>
      </c>
      <c r="HI191" s="43"/>
      <c r="HO191" s="43"/>
      <c r="HP191" s="42"/>
      <c r="HV191" s="43"/>
      <c r="IB191" s="43"/>
      <c r="IC191" s="42"/>
      <c r="IH191" s="43"/>
      <c r="IN191" s="43"/>
      <c r="IO191" s="42"/>
      <c r="IR191" s="43"/>
      <c r="IS191" s="42"/>
      <c r="IX191" s="43"/>
      <c r="IY191" s="40"/>
      <c r="JB191" s="43"/>
      <c r="JC191" s="42"/>
      <c r="JH191" s="43"/>
      <c r="JP191" s="43"/>
      <c r="JQ191" s="42"/>
      <c r="JV191" s="43"/>
      <c r="KB191" s="45"/>
      <c r="KH191" s="45"/>
      <c r="KN191" s="45"/>
      <c r="KT191" s="43"/>
      <c r="KX191" s="45"/>
      <c r="LD191" s="43"/>
      <c r="LE191" s="40"/>
      <c r="LH191" s="45"/>
      <c r="LN191" s="45"/>
      <c r="LT191" s="45"/>
      <c r="LZ191" s="45"/>
      <c r="MB191" s="41"/>
      <c r="MF191" s="45"/>
      <c r="MG191" s="46"/>
      <c r="MN191" s="45"/>
      <c r="MT191" s="45"/>
      <c r="MZ191" s="45"/>
      <c r="NA191" s="46"/>
      <c r="ND191" s="45"/>
      <c r="NE191" s="46"/>
      <c r="NK191" s="45"/>
      <c r="NL191" s="46"/>
      <c r="NQ191" s="45"/>
      <c r="NR191" s="46"/>
      <c r="NU191" s="45"/>
      <c r="NV191" s="46"/>
      <c r="OA191" s="45"/>
      <c r="OB191" s="46"/>
      <c r="OE191" s="45"/>
      <c r="OF191" s="46"/>
      <c r="OK191" s="45"/>
      <c r="OM191" s="43"/>
      <c r="OQ191" s="45"/>
      <c r="OR191" s="46"/>
      <c r="OW191" s="45"/>
      <c r="OX191" s="46"/>
      <c r="PC191" s="45"/>
      <c r="PD191" s="46"/>
      <c r="PE191" s="44"/>
      <c r="PI191" s="45"/>
      <c r="PJ191" s="46"/>
      <c r="PO191" s="45"/>
      <c r="PP191" s="46"/>
      <c r="PR191" s="44"/>
      <c r="PU191" s="45"/>
      <c r="PV191" s="46"/>
      <c r="PY191" s="45"/>
      <c r="PZ191" s="46"/>
      <c r="QB191" s="44"/>
      <c r="QC191" s="45"/>
      <c r="QD191" s="46"/>
      <c r="QI191" s="45"/>
      <c r="QJ191" s="46"/>
      <c r="QM191" s="45"/>
      <c r="QN191" s="46"/>
      <c r="QS191" s="45"/>
      <c r="QT191" s="46"/>
      <c r="QW191" s="45"/>
      <c r="QX191" s="46"/>
      <c r="RC191" s="45"/>
      <c r="RD191" s="42"/>
      <c r="RE191" s="44"/>
      <c r="RG191" s="44"/>
      <c r="RI191" s="45"/>
      <c r="RJ191" s="42"/>
      <c r="RO191" s="43"/>
      <c r="RP191" s="42"/>
      <c r="RS191" s="43"/>
      <c r="RT191" s="42"/>
      <c r="RY191" s="43"/>
      <c r="RZ191" s="42"/>
      <c r="SE191" s="43"/>
      <c r="SF191" s="42"/>
      <c r="SK191" s="43"/>
      <c r="SL191" s="42"/>
      <c r="SO191" s="43"/>
      <c r="SP191" s="42"/>
      <c r="SU191" s="43"/>
    </row>
    <row r="192" spans="1:515" x14ac:dyDescent="0.25">
      <c r="A192" s="47" t="s">
        <v>499</v>
      </c>
      <c r="B192" s="41">
        <v>0.18</v>
      </c>
      <c r="J192" s="42"/>
      <c r="K192" s="51"/>
      <c r="L192" s="51"/>
      <c r="M192" s="51"/>
      <c r="N192" s="51">
        <f t="shared" si="15"/>
        <v>0</v>
      </c>
      <c r="O192" s="43"/>
      <c r="P192" s="46"/>
      <c r="Q192" s="51"/>
      <c r="R192" s="51"/>
      <c r="S192" s="51"/>
      <c r="T192" s="51">
        <f t="shared" si="16"/>
        <v>0</v>
      </c>
      <c r="U192" s="43"/>
      <c r="V192" s="42"/>
      <c r="W192" s="51"/>
      <c r="X192" s="51"/>
      <c r="Y192" s="51"/>
      <c r="Z192" s="51">
        <f t="shared" si="17"/>
        <v>0</v>
      </c>
      <c r="AA192" s="43"/>
      <c r="AB192" s="42"/>
      <c r="AC192" s="51"/>
      <c r="AD192" s="51"/>
      <c r="AE192" s="51"/>
      <c r="AF192" s="51">
        <v>0</v>
      </c>
      <c r="AG192" s="43"/>
      <c r="AH192" s="51"/>
      <c r="AL192" s="47">
        <v>0</v>
      </c>
      <c r="AM192" s="43"/>
      <c r="AN192" s="42"/>
      <c r="AR192" s="47">
        <v>0</v>
      </c>
      <c r="AS192" s="43"/>
      <c r="AX192" s="47">
        <v>0</v>
      </c>
      <c r="AY192" s="43"/>
      <c r="BD192" s="47">
        <v>0</v>
      </c>
      <c r="BE192" s="43"/>
      <c r="BF192" s="42"/>
      <c r="BJ192" s="47">
        <v>0</v>
      </c>
      <c r="BK192" s="43"/>
      <c r="BL192" s="42"/>
      <c r="BP192" s="47">
        <v>0</v>
      </c>
      <c r="BQ192" s="43"/>
      <c r="BV192" s="47">
        <v>0</v>
      </c>
      <c r="BW192" s="43"/>
      <c r="BX192" s="42"/>
      <c r="CB192" s="47">
        <v>0</v>
      </c>
      <c r="CC192" s="43"/>
      <c r="CG192">
        <v>20</v>
      </c>
      <c r="CH192" s="50">
        <v>-20</v>
      </c>
      <c r="CI192" s="43">
        <v>3.6</v>
      </c>
      <c r="CK192">
        <v>20</v>
      </c>
      <c r="CN192" s="50">
        <v>-20</v>
      </c>
      <c r="CO192" s="43">
        <v>3.6</v>
      </c>
      <c r="CP192" s="42"/>
      <c r="CS192">
        <v>20</v>
      </c>
      <c r="CT192" s="50">
        <v>-20</v>
      </c>
      <c r="CU192" s="43">
        <v>3.6</v>
      </c>
      <c r="CV192" s="42"/>
      <c r="CZ192" s="47">
        <v>0</v>
      </c>
      <c r="DA192" s="43"/>
      <c r="DF192">
        <v>20</v>
      </c>
      <c r="DG192" s="50">
        <v>-20</v>
      </c>
      <c r="DH192" s="43">
        <v>3.6</v>
      </c>
      <c r="DK192" s="47">
        <v>0</v>
      </c>
      <c r="DL192" s="43"/>
      <c r="DM192" s="42"/>
      <c r="DP192">
        <v>20</v>
      </c>
      <c r="DQ192" s="50">
        <v>-20</v>
      </c>
      <c r="DR192" s="43">
        <v>3.6</v>
      </c>
      <c r="DW192" s="47">
        <v>0</v>
      </c>
      <c r="DX192" s="43"/>
      <c r="EB192">
        <v>20</v>
      </c>
      <c r="EC192" s="50">
        <v>-20</v>
      </c>
      <c r="ED192" s="43">
        <v>3.6</v>
      </c>
      <c r="EE192" s="42"/>
      <c r="EI192" s="47">
        <v>0</v>
      </c>
      <c r="EJ192" s="43"/>
      <c r="EL192">
        <v>20</v>
      </c>
      <c r="EO192" s="50">
        <v>-20</v>
      </c>
      <c r="EP192" s="43">
        <v>3.6</v>
      </c>
      <c r="EQ192" s="42"/>
      <c r="ET192">
        <v>20</v>
      </c>
      <c r="EU192" s="50">
        <v>-20</v>
      </c>
      <c r="EV192" s="43">
        <v>3.6</v>
      </c>
      <c r="EW192" s="42"/>
      <c r="FC192" s="47">
        <v>0</v>
      </c>
      <c r="FD192" s="43"/>
      <c r="FE192" s="42"/>
      <c r="FH192">
        <v>40</v>
      </c>
      <c r="FI192" s="50">
        <v>-40</v>
      </c>
      <c r="FJ192" s="43">
        <v>7.1999999999999993</v>
      </c>
      <c r="FQ192" s="47">
        <v>0</v>
      </c>
      <c r="FR192" s="43"/>
      <c r="FS192" s="42"/>
      <c r="FV192">
        <v>40</v>
      </c>
      <c r="FW192" s="50">
        <v>-40</v>
      </c>
      <c r="FX192" s="43">
        <v>7.1999999999999993</v>
      </c>
      <c r="FY192" s="42"/>
      <c r="GC192" s="47">
        <v>0</v>
      </c>
      <c r="GD192" s="43"/>
      <c r="GE192" s="42"/>
      <c r="GF192">
        <v>30</v>
      </c>
      <c r="GI192" s="50">
        <v>-30</v>
      </c>
      <c r="GJ192" s="43">
        <v>5.3999999999999986</v>
      </c>
      <c r="GQ192" s="47">
        <v>0</v>
      </c>
      <c r="GR192" s="43"/>
      <c r="GT192" s="47">
        <v>60</v>
      </c>
      <c r="GX192" s="50">
        <v>-60</v>
      </c>
      <c r="GY192" s="43">
        <v>10.8</v>
      </c>
      <c r="GZ192" s="42"/>
      <c r="HC192" s="47">
        <v>0</v>
      </c>
      <c r="HD192" s="43"/>
      <c r="HE192" s="42"/>
      <c r="HH192" s="47">
        <v>0</v>
      </c>
      <c r="HI192" s="43"/>
      <c r="HO192" s="43"/>
      <c r="HP192" s="42"/>
      <c r="HV192" s="43"/>
      <c r="IB192" s="43"/>
      <c r="IC192" s="42"/>
      <c r="IH192" s="43"/>
      <c r="IN192" s="43"/>
      <c r="IO192" s="42"/>
      <c r="IR192" s="43"/>
      <c r="IS192" s="42"/>
      <c r="IX192" s="43"/>
      <c r="IY192" s="40"/>
      <c r="JB192" s="43"/>
      <c r="JC192" s="42"/>
      <c r="JH192" s="43"/>
      <c r="JP192" s="43"/>
      <c r="JQ192" s="42"/>
      <c r="JV192" s="43"/>
      <c r="KB192" s="45"/>
      <c r="KH192" s="45"/>
      <c r="KN192" s="45"/>
      <c r="KT192" s="43"/>
      <c r="KX192" s="45"/>
      <c r="LD192" s="43"/>
      <c r="LE192" s="40"/>
      <c r="LH192" s="45"/>
      <c r="LN192" s="45"/>
      <c r="LT192" s="45"/>
      <c r="LZ192" s="45"/>
      <c r="MB192" s="41"/>
      <c r="MF192" s="45"/>
      <c r="MG192" s="46"/>
      <c r="MN192" s="45"/>
      <c r="MT192" s="45"/>
      <c r="MZ192" s="45"/>
      <c r="NA192" s="46"/>
      <c r="ND192" s="45"/>
      <c r="NE192" s="46"/>
      <c r="NK192" s="45"/>
      <c r="NL192" s="46"/>
      <c r="NQ192" s="45"/>
      <c r="NR192" s="46"/>
      <c r="NU192" s="45"/>
      <c r="NV192" s="46"/>
      <c r="OA192" s="45"/>
      <c r="OB192" s="46"/>
      <c r="OE192" s="45"/>
      <c r="OF192" s="46"/>
      <c r="OK192" s="45"/>
      <c r="OM192" s="43"/>
      <c r="OQ192" s="45"/>
      <c r="OR192" s="46"/>
      <c r="OW192" s="45"/>
      <c r="OX192" s="46"/>
      <c r="PC192" s="45"/>
      <c r="PD192" s="46"/>
      <c r="PE192" s="44"/>
      <c r="PI192" s="45"/>
      <c r="PJ192" s="46"/>
      <c r="PO192" s="45"/>
      <c r="PP192" s="46"/>
      <c r="PR192" s="44"/>
      <c r="PU192" s="45"/>
      <c r="PV192" s="46"/>
      <c r="PY192" s="45"/>
      <c r="PZ192" s="46"/>
      <c r="QB192" s="44"/>
      <c r="QC192" s="45"/>
      <c r="QD192" s="46"/>
      <c r="QI192" s="45"/>
      <c r="QJ192" s="46"/>
      <c r="QM192" s="45"/>
      <c r="QN192" s="46"/>
      <c r="QS192" s="45"/>
      <c r="QT192" s="46"/>
      <c r="QW192" s="45"/>
      <c r="QX192" s="46"/>
      <c r="RC192" s="45"/>
      <c r="RD192" s="42"/>
      <c r="RE192" s="44"/>
      <c r="RG192" s="44"/>
      <c r="RI192" s="45"/>
      <c r="RJ192" s="42"/>
      <c r="RO192" s="43"/>
      <c r="RP192" s="42"/>
      <c r="RS192" s="43"/>
      <c r="RT192" s="42"/>
      <c r="RY192" s="43"/>
      <c r="RZ192" s="42"/>
      <c r="SE192" s="43"/>
      <c r="SF192" s="42"/>
      <c r="SK192" s="43"/>
      <c r="SL192" s="42"/>
      <c r="SO192" s="43"/>
      <c r="SP192" s="42"/>
      <c r="SU192" s="43"/>
    </row>
    <row r="193" spans="1:515" x14ac:dyDescent="0.25">
      <c r="A193" s="47" t="s">
        <v>500</v>
      </c>
      <c r="B193" s="41">
        <v>0.18</v>
      </c>
      <c r="J193" s="42"/>
      <c r="K193" s="51"/>
      <c r="L193" s="51"/>
      <c r="M193" s="51"/>
      <c r="N193" s="51">
        <f t="shared" si="15"/>
        <v>0</v>
      </c>
      <c r="O193" s="43"/>
      <c r="P193" s="46"/>
      <c r="Q193" s="51"/>
      <c r="R193" s="51"/>
      <c r="S193" s="51"/>
      <c r="T193" s="51">
        <f t="shared" si="16"/>
        <v>0</v>
      </c>
      <c r="U193" s="43"/>
      <c r="V193" s="42"/>
      <c r="W193" s="51"/>
      <c r="X193" s="51"/>
      <c r="Y193" s="51"/>
      <c r="Z193" s="51">
        <f t="shared" si="17"/>
        <v>0</v>
      </c>
      <c r="AA193" s="43"/>
      <c r="AB193" s="42"/>
      <c r="AC193" s="51"/>
      <c r="AD193" s="51"/>
      <c r="AE193" s="51"/>
      <c r="AF193" s="51">
        <v>0</v>
      </c>
      <c r="AG193" s="43"/>
      <c r="AH193" s="51"/>
      <c r="AL193" s="47">
        <v>0</v>
      </c>
      <c r="AM193" s="43"/>
      <c r="AN193" s="42"/>
      <c r="AR193" s="47">
        <v>0</v>
      </c>
      <c r="AS193" s="43"/>
      <c r="AX193" s="47">
        <v>0</v>
      </c>
      <c r="AY193" s="43"/>
      <c r="BD193" s="47">
        <v>0</v>
      </c>
      <c r="BE193" s="43"/>
      <c r="BF193" s="42"/>
      <c r="BJ193" s="47">
        <v>0</v>
      </c>
      <c r="BK193" s="43"/>
      <c r="BL193" s="42"/>
      <c r="BP193" s="47">
        <v>0</v>
      </c>
      <c r="BQ193" s="43"/>
      <c r="BV193" s="47">
        <v>0</v>
      </c>
      <c r="BW193" s="43"/>
      <c r="BX193" s="42"/>
      <c r="CB193" s="47">
        <v>0</v>
      </c>
      <c r="CC193" s="43"/>
      <c r="CG193">
        <v>20</v>
      </c>
      <c r="CH193" s="50">
        <v>-20</v>
      </c>
      <c r="CI193" s="43">
        <v>3.6</v>
      </c>
      <c r="CK193">
        <v>20</v>
      </c>
      <c r="CN193" s="50">
        <v>-20</v>
      </c>
      <c r="CO193" s="43">
        <v>3.6</v>
      </c>
      <c r="CP193" s="42"/>
      <c r="CS193">
        <v>20</v>
      </c>
      <c r="CT193" s="50">
        <v>-20</v>
      </c>
      <c r="CU193" s="43">
        <v>3.6</v>
      </c>
      <c r="CV193" s="42"/>
      <c r="CZ193" s="47">
        <v>0</v>
      </c>
      <c r="DA193" s="43"/>
      <c r="DF193">
        <v>20</v>
      </c>
      <c r="DG193" s="50">
        <v>-20</v>
      </c>
      <c r="DH193" s="43">
        <v>3.6</v>
      </c>
      <c r="DK193" s="47">
        <v>0</v>
      </c>
      <c r="DL193" s="43"/>
      <c r="DM193" s="42"/>
      <c r="DP193">
        <v>20</v>
      </c>
      <c r="DQ193" s="50">
        <v>-20</v>
      </c>
      <c r="DR193" s="43">
        <v>3.6</v>
      </c>
      <c r="DV193">
        <v>16</v>
      </c>
      <c r="DW193" s="50">
        <v>-16</v>
      </c>
      <c r="DX193" s="43">
        <v>2.88</v>
      </c>
      <c r="EC193" s="47">
        <v>0</v>
      </c>
      <c r="ED193" s="43"/>
      <c r="EE193" s="42"/>
      <c r="EI193" s="47">
        <v>0</v>
      </c>
      <c r="EJ193" s="43"/>
      <c r="EK193">
        <v>16</v>
      </c>
      <c r="EL193">
        <v>20</v>
      </c>
      <c r="EO193" s="47">
        <v>-4</v>
      </c>
      <c r="EP193" s="43"/>
      <c r="EQ193" s="42"/>
      <c r="ET193">
        <v>10</v>
      </c>
      <c r="EU193" s="50">
        <v>-10</v>
      </c>
      <c r="EV193" s="43">
        <v>1.8</v>
      </c>
      <c r="EW193" s="42"/>
      <c r="FB193">
        <v>20</v>
      </c>
      <c r="FC193" s="50">
        <v>-20</v>
      </c>
      <c r="FD193" s="43">
        <v>3.6</v>
      </c>
      <c r="FE193" s="42"/>
      <c r="FH193">
        <v>50</v>
      </c>
      <c r="FI193" s="50">
        <v>-50</v>
      </c>
      <c r="FJ193" s="43">
        <v>9</v>
      </c>
      <c r="FQ193" s="47">
        <v>0</v>
      </c>
      <c r="FR193" s="43"/>
      <c r="FS193" s="42"/>
      <c r="FW193" s="47">
        <v>0</v>
      </c>
      <c r="FX193" s="43"/>
      <c r="FY193" s="42"/>
      <c r="GC193" s="47">
        <v>0</v>
      </c>
      <c r="GD193" s="43"/>
      <c r="GE193" s="42">
        <v>48</v>
      </c>
      <c r="GF193" s="47">
        <v>50</v>
      </c>
      <c r="GI193" s="47">
        <v>-2</v>
      </c>
      <c r="GJ193" s="43"/>
      <c r="GQ193" s="47">
        <v>0</v>
      </c>
      <c r="GR193" s="43"/>
      <c r="GX193" s="47">
        <v>0</v>
      </c>
      <c r="GY193" s="43"/>
      <c r="GZ193" s="42"/>
      <c r="HC193" s="47">
        <v>0</v>
      </c>
      <c r="HD193" s="43"/>
      <c r="HE193" s="42"/>
      <c r="HH193" s="47">
        <v>0</v>
      </c>
      <c r="HI193" s="43"/>
      <c r="HO193" s="43"/>
      <c r="HP193" s="42"/>
      <c r="HV193" s="43"/>
      <c r="IB193" s="43"/>
      <c r="IC193" s="42"/>
      <c r="IH193" s="43"/>
      <c r="IN193" s="43"/>
      <c r="IO193" s="42"/>
      <c r="IR193" s="43"/>
      <c r="IS193" s="42"/>
      <c r="IX193" s="43"/>
      <c r="IY193" s="40"/>
      <c r="JB193" s="43"/>
      <c r="JC193" s="42"/>
      <c r="JH193" s="43"/>
      <c r="JP193" s="43"/>
      <c r="JQ193" s="42"/>
      <c r="JV193" s="43"/>
      <c r="KB193" s="45"/>
      <c r="KH193" s="45"/>
      <c r="KN193" s="45"/>
      <c r="KT193" s="43"/>
      <c r="KX193" s="45"/>
      <c r="LD193" s="43"/>
      <c r="LE193" s="40"/>
      <c r="LH193" s="45"/>
      <c r="LN193" s="45"/>
      <c r="LT193" s="45"/>
      <c r="LZ193" s="45"/>
      <c r="MB193" s="41"/>
      <c r="MF193" s="45"/>
      <c r="MG193" s="46"/>
      <c r="MN193" s="45"/>
      <c r="MT193" s="45"/>
      <c r="MZ193" s="45"/>
      <c r="NA193" s="46"/>
      <c r="ND193" s="45"/>
      <c r="NE193" s="46"/>
      <c r="NK193" s="45"/>
      <c r="NL193" s="46"/>
      <c r="NM193" s="44"/>
      <c r="NQ193" s="45"/>
      <c r="NR193" s="46"/>
      <c r="NU193" s="45"/>
      <c r="NV193" s="46"/>
      <c r="OA193" s="45"/>
      <c r="OB193" s="46"/>
      <c r="OE193" s="45"/>
      <c r="OF193" s="46"/>
      <c r="OK193" s="45"/>
      <c r="OM193" s="43"/>
      <c r="OQ193" s="45"/>
      <c r="OR193" s="46"/>
      <c r="OW193" s="45"/>
      <c r="OX193" s="46"/>
      <c r="PC193" s="45"/>
      <c r="PD193" s="46"/>
      <c r="PE193" s="44"/>
      <c r="PI193" s="45"/>
      <c r="PJ193" s="46"/>
      <c r="PO193" s="45"/>
      <c r="PP193" s="46"/>
      <c r="PR193" s="44"/>
      <c r="PU193" s="45"/>
      <c r="PV193" s="46"/>
      <c r="PY193" s="45"/>
      <c r="PZ193" s="46"/>
      <c r="QB193" s="44"/>
      <c r="QC193" s="45"/>
      <c r="QD193" s="46"/>
      <c r="QI193" s="45"/>
      <c r="QJ193" s="46"/>
      <c r="QM193" s="45"/>
      <c r="QN193" s="46"/>
      <c r="QS193" s="45"/>
      <c r="QT193" s="46"/>
      <c r="QW193" s="45"/>
      <c r="QX193" s="46"/>
      <c r="RC193" s="45"/>
      <c r="RD193" s="42"/>
      <c r="RE193" s="44"/>
      <c r="RG193" s="44"/>
      <c r="RI193" s="45"/>
      <c r="RJ193" s="42"/>
      <c r="RO193" s="43"/>
      <c r="RP193" s="42"/>
      <c r="RS193" s="43"/>
      <c r="RT193" s="42"/>
      <c r="RY193" s="43"/>
      <c r="RZ193" s="42"/>
      <c r="SE193" s="43"/>
      <c r="SF193" s="42"/>
      <c r="SK193" s="43"/>
      <c r="SL193" s="42"/>
      <c r="SO193" s="43"/>
      <c r="SP193" s="42"/>
      <c r="SU193" s="43"/>
    </row>
    <row r="194" spans="1:515" x14ac:dyDescent="0.25">
      <c r="A194" s="47" t="s">
        <v>501</v>
      </c>
      <c r="B194" s="41">
        <v>0.3</v>
      </c>
      <c r="E194">
        <v>29</v>
      </c>
      <c r="F194">
        <v>32</v>
      </c>
      <c r="G194">
        <v>35</v>
      </c>
      <c r="J194" s="42"/>
      <c r="K194" s="51"/>
      <c r="L194" s="52">
        <v>8</v>
      </c>
      <c r="M194" s="52">
        <v>15</v>
      </c>
      <c r="N194" s="51">
        <f t="shared" si="15"/>
        <v>-7</v>
      </c>
      <c r="O194" s="43"/>
      <c r="P194" s="46"/>
      <c r="Q194" s="51"/>
      <c r="R194" s="52">
        <v>16</v>
      </c>
      <c r="S194" s="52">
        <v>22</v>
      </c>
      <c r="T194" s="51">
        <f t="shared" si="16"/>
        <v>-6</v>
      </c>
      <c r="U194" s="43"/>
      <c r="V194" s="40">
        <v>24</v>
      </c>
      <c r="W194" s="52">
        <v>24</v>
      </c>
      <c r="X194" s="52">
        <v>40</v>
      </c>
      <c r="Y194" s="52">
        <v>44</v>
      </c>
      <c r="Z194" s="51">
        <f t="shared" si="17"/>
        <v>-4</v>
      </c>
      <c r="AA194" s="43"/>
      <c r="AB194" s="42"/>
      <c r="AC194" s="51"/>
      <c r="AD194" s="52">
        <v>24</v>
      </c>
      <c r="AE194" s="56">
        <v>30</v>
      </c>
      <c r="AF194" s="51">
        <v>-6</v>
      </c>
      <c r="AG194" s="43"/>
      <c r="AH194" s="51"/>
      <c r="AL194" s="47">
        <v>0</v>
      </c>
      <c r="AM194" s="43"/>
      <c r="AN194" s="42"/>
      <c r="AP194">
        <v>64</v>
      </c>
      <c r="AQ194">
        <v>70</v>
      </c>
      <c r="AR194" s="47">
        <v>-6</v>
      </c>
      <c r="AS194" s="43"/>
      <c r="AV194">
        <v>24</v>
      </c>
      <c r="AW194">
        <v>30</v>
      </c>
      <c r="AX194" s="47">
        <v>-6</v>
      </c>
      <c r="AY194" s="43"/>
      <c r="BD194" s="47">
        <v>0</v>
      </c>
      <c r="BE194" s="43"/>
      <c r="BF194" s="42"/>
      <c r="BH194">
        <v>32</v>
      </c>
      <c r="BI194">
        <v>32</v>
      </c>
      <c r="BJ194" s="47">
        <v>0</v>
      </c>
      <c r="BK194" s="43"/>
      <c r="BL194" s="42"/>
      <c r="BN194">
        <v>24</v>
      </c>
      <c r="BO194">
        <v>25</v>
      </c>
      <c r="BP194" s="47">
        <v>-1</v>
      </c>
      <c r="BQ194" s="43"/>
      <c r="BT194">
        <v>32</v>
      </c>
      <c r="BU194">
        <v>32</v>
      </c>
      <c r="BV194" s="47">
        <v>0</v>
      </c>
      <c r="BW194" s="43"/>
      <c r="BX194" s="42"/>
      <c r="BZ194">
        <v>24</v>
      </c>
      <c r="CA194">
        <v>24</v>
      </c>
      <c r="CB194" s="47">
        <v>0</v>
      </c>
      <c r="CC194" s="43"/>
      <c r="CF194">
        <v>8</v>
      </c>
      <c r="CG194">
        <v>7</v>
      </c>
      <c r="CH194" s="47">
        <v>1</v>
      </c>
      <c r="CI194" s="43"/>
      <c r="CL194">
        <v>8</v>
      </c>
      <c r="CM194">
        <v>13</v>
      </c>
      <c r="CN194" s="47">
        <v>-5</v>
      </c>
      <c r="CO194" s="43"/>
      <c r="CP194" s="42"/>
      <c r="CR194">
        <v>8</v>
      </c>
      <c r="CS194">
        <v>8</v>
      </c>
      <c r="CT194" s="47">
        <v>0</v>
      </c>
      <c r="CU194" s="43"/>
      <c r="CV194" s="42"/>
      <c r="CZ194" s="47">
        <v>0</v>
      </c>
      <c r="DA194" s="43"/>
      <c r="DG194" s="47">
        <v>0</v>
      </c>
      <c r="DH194" s="43"/>
      <c r="DK194" s="47">
        <v>0</v>
      </c>
      <c r="DL194" s="43"/>
      <c r="DM194" s="40">
        <v>16</v>
      </c>
      <c r="DN194">
        <v>18</v>
      </c>
      <c r="DO194">
        <v>8</v>
      </c>
      <c r="DP194">
        <v>6</v>
      </c>
      <c r="DQ194" s="47">
        <v>0</v>
      </c>
      <c r="DR194" s="43"/>
      <c r="DU194">
        <v>8</v>
      </c>
      <c r="DV194">
        <v>8</v>
      </c>
      <c r="DW194" s="47">
        <v>0</v>
      </c>
      <c r="DX194" s="43"/>
      <c r="EC194" s="47">
        <v>0</v>
      </c>
      <c r="ED194" s="43"/>
      <c r="EE194" s="42"/>
      <c r="EG194" s="47">
        <v>40</v>
      </c>
      <c r="EH194" s="47">
        <v>40</v>
      </c>
      <c r="EI194" s="47">
        <v>0</v>
      </c>
      <c r="EJ194" s="43"/>
      <c r="EO194" s="47">
        <v>0</v>
      </c>
      <c r="EP194" s="43"/>
      <c r="EQ194" s="42"/>
      <c r="EU194" s="47">
        <v>0</v>
      </c>
      <c r="EV194" s="43"/>
      <c r="EW194" s="42"/>
      <c r="FC194" s="47">
        <v>0</v>
      </c>
      <c r="FD194" s="43"/>
      <c r="FE194" s="42"/>
      <c r="FI194" s="47">
        <v>0</v>
      </c>
      <c r="FJ194" s="43"/>
      <c r="FR194" s="43"/>
      <c r="FS194" s="42"/>
      <c r="FX194" s="43"/>
      <c r="FY194" s="42"/>
      <c r="GD194" s="43"/>
      <c r="GE194" s="42"/>
      <c r="GJ194" s="43"/>
      <c r="GR194" s="43"/>
      <c r="GY194" s="43"/>
      <c r="GZ194" s="42"/>
      <c r="HD194" s="43"/>
      <c r="HE194" s="42"/>
      <c r="HI194" s="43"/>
      <c r="HO194" s="43"/>
      <c r="HP194" s="42"/>
      <c r="HV194" s="43"/>
      <c r="IB194" s="43"/>
      <c r="IC194" s="42"/>
      <c r="IH194" s="43"/>
      <c r="IN194" s="43"/>
      <c r="IO194" s="42"/>
      <c r="IR194" s="43"/>
      <c r="IS194" s="42"/>
      <c r="IX194" s="43"/>
      <c r="IY194" s="40"/>
      <c r="JB194" s="43"/>
      <c r="JC194" s="42"/>
      <c r="JH194" s="43"/>
      <c r="JP194" s="43"/>
      <c r="JQ194" s="42"/>
      <c r="JV194" s="43"/>
      <c r="KB194" s="45"/>
      <c r="KH194" s="45"/>
      <c r="KN194" s="45"/>
      <c r="KT194" s="43"/>
      <c r="KX194" s="45"/>
      <c r="LD194" s="43"/>
      <c r="LE194" s="40"/>
      <c r="LH194" s="45"/>
      <c r="LN194" s="45"/>
      <c r="LT194" s="45"/>
      <c r="LZ194" s="45"/>
      <c r="MB194" s="41"/>
      <c r="MF194" s="45"/>
      <c r="MG194" s="46"/>
      <c r="MN194" s="45"/>
      <c r="MT194" s="45"/>
      <c r="MZ194" s="45"/>
      <c r="NA194" s="46"/>
      <c r="ND194" s="45"/>
      <c r="NE194" s="46"/>
      <c r="NK194" s="45"/>
      <c r="NL194" s="46"/>
      <c r="NM194" s="44"/>
      <c r="NQ194" s="45"/>
      <c r="NR194" s="46"/>
      <c r="NU194" s="45"/>
      <c r="NV194" s="46"/>
      <c r="OA194" s="45"/>
      <c r="OB194" s="46"/>
      <c r="OE194" s="45"/>
      <c r="OF194" s="46"/>
      <c r="OK194" s="45"/>
      <c r="OM194" s="43"/>
      <c r="OQ194" s="45"/>
      <c r="OR194" s="46"/>
      <c r="OW194" s="45"/>
      <c r="OX194" s="46"/>
      <c r="PC194" s="45"/>
      <c r="PD194" s="46"/>
      <c r="PE194" s="44"/>
      <c r="PI194" s="45"/>
      <c r="PJ194" s="46"/>
      <c r="PO194" s="45"/>
      <c r="PP194" s="46"/>
      <c r="PR194" s="44"/>
      <c r="PU194" s="45"/>
      <c r="PV194" s="46"/>
      <c r="PY194" s="45"/>
      <c r="PZ194" s="46"/>
      <c r="QB194" s="44"/>
      <c r="QC194" s="45"/>
      <c r="QD194" s="46"/>
      <c r="QI194" s="45"/>
      <c r="QJ194" s="46"/>
      <c r="QM194" s="45"/>
      <c r="QN194" s="46"/>
      <c r="QS194" s="45"/>
      <c r="QT194" s="46"/>
      <c r="QW194" s="45"/>
      <c r="QX194" s="46"/>
      <c r="RC194" s="45"/>
      <c r="RD194" s="42"/>
      <c r="RE194" s="44"/>
      <c r="RG194" s="44"/>
      <c r="RI194" s="45"/>
      <c r="RJ194" s="42"/>
      <c r="RO194" s="43"/>
      <c r="RP194" s="42"/>
      <c r="RS194" s="43"/>
      <c r="RT194" s="42"/>
      <c r="RY194" s="43"/>
      <c r="RZ194" s="42"/>
      <c r="SE194" s="43"/>
      <c r="SF194" s="42"/>
      <c r="SK194" s="43"/>
      <c r="SL194" s="42"/>
      <c r="SO194" s="43"/>
      <c r="SP194" s="42"/>
      <c r="SU194" s="43"/>
    </row>
    <row r="195" spans="1:515" x14ac:dyDescent="0.25">
      <c r="A195" s="47" t="s">
        <v>502</v>
      </c>
      <c r="B195" s="41">
        <v>0.28000000000000003</v>
      </c>
      <c r="E195">
        <v>40</v>
      </c>
      <c r="J195" s="40">
        <v>56</v>
      </c>
      <c r="K195" s="52">
        <v>61</v>
      </c>
      <c r="L195" s="52">
        <v>48</v>
      </c>
      <c r="M195" s="52">
        <v>50</v>
      </c>
      <c r="N195" s="51">
        <f t="shared" si="15"/>
        <v>-7</v>
      </c>
      <c r="O195" s="43"/>
      <c r="P195" s="40">
        <v>104</v>
      </c>
      <c r="Q195" s="52">
        <v>106</v>
      </c>
      <c r="R195" s="52">
        <v>88</v>
      </c>
      <c r="S195" s="52">
        <v>90</v>
      </c>
      <c r="T195" s="51">
        <f t="shared" si="16"/>
        <v>-4</v>
      </c>
      <c r="U195" s="43"/>
      <c r="V195" s="40">
        <v>48</v>
      </c>
      <c r="W195" s="52">
        <v>52</v>
      </c>
      <c r="X195" s="52">
        <v>24</v>
      </c>
      <c r="Y195" s="52">
        <v>26</v>
      </c>
      <c r="Z195" s="51">
        <f t="shared" si="17"/>
        <v>-6</v>
      </c>
      <c r="AA195" s="43"/>
      <c r="AB195" s="42"/>
      <c r="AC195" s="51"/>
      <c r="AD195" s="52">
        <v>152</v>
      </c>
      <c r="AE195" s="56">
        <v>157</v>
      </c>
      <c r="AF195" s="51">
        <v>-5</v>
      </c>
      <c r="AG195" s="43"/>
      <c r="AH195" s="52">
        <v>56</v>
      </c>
      <c r="AI195">
        <v>62</v>
      </c>
      <c r="AJ195">
        <v>48</v>
      </c>
      <c r="AK195">
        <v>50</v>
      </c>
      <c r="AL195" s="47">
        <v>-8</v>
      </c>
      <c r="AM195" s="43"/>
      <c r="AN195" s="42"/>
      <c r="AR195" s="47">
        <v>0</v>
      </c>
      <c r="AS195" s="43"/>
      <c r="AV195">
        <v>48</v>
      </c>
      <c r="AW195">
        <v>53</v>
      </c>
      <c r="AX195" s="47">
        <v>-5</v>
      </c>
      <c r="AY195" s="43"/>
      <c r="AZ195">
        <v>120</v>
      </c>
      <c r="BA195">
        <v>120</v>
      </c>
      <c r="BB195">
        <v>160</v>
      </c>
      <c r="BC195">
        <v>159</v>
      </c>
      <c r="BD195" s="47">
        <v>1</v>
      </c>
      <c r="BE195" s="43"/>
      <c r="BF195" s="42"/>
      <c r="BJ195" s="47">
        <v>0</v>
      </c>
      <c r="BK195" s="43"/>
      <c r="BL195" s="42"/>
      <c r="BP195" s="47">
        <v>0</v>
      </c>
      <c r="BQ195" s="43"/>
      <c r="BR195">
        <v>96</v>
      </c>
      <c r="BS195">
        <v>100</v>
      </c>
      <c r="BT195">
        <v>136</v>
      </c>
      <c r="BU195">
        <v>136</v>
      </c>
      <c r="BV195" s="47">
        <v>-4</v>
      </c>
      <c r="BW195" s="43"/>
      <c r="BX195" s="40">
        <v>96</v>
      </c>
      <c r="BY195">
        <v>100</v>
      </c>
      <c r="BZ195">
        <v>120</v>
      </c>
      <c r="CA195">
        <v>123</v>
      </c>
      <c r="CB195" s="47">
        <v>-7</v>
      </c>
      <c r="CC195" s="43"/>
      <c r="CD195">
        <v>80</v>
      </c>
      <c r="CE195">
        <v>80</v>
      </c>
      <c r="CF195">
        <v>80</v>
      </c>
      <c r="CG195">
        <v>81</v>
      </c>
      <c r="CH195" s="47">
        <v>-1</v>
      </c>
      <c r="CI195" s="43"/>
      <c r="CN195" s="47">
        <v>0</v>
      </c>
      <c r="CO195" s="43"/>
      <c r="CP195" s="40">
        <v>152</v>
      </c>
      <c r="CQ195">
        <v>150</v>
      </c>
      <c r="CR195">
        <v>120</v>
      </c>
      <c r="CS195">
        <v>118</v>
      </c>
      <c r="CT195" s="47">
        <v>4</v>
      </c>
      <c r="CU195" s="43"/>
      <c r="CV195" s="42"/>
      <c r="CZ195" s="47">
        <v>0</v>
      </c>
      <c r="DA195" s="43"/>
      <c r="DB195">
        <v>96</v>
      </c>
      <c r="DC195">
        <v>100</v>
      </c>
      <c r="DE195">
        <v>104</v>
      </c>
      <c r="DF195">
        <v>107</v>
      </c>
      <c r="DG195" s="47">
        <v>-7</v>
      </c>
      <c r="DH195" s="43"/>
      <c r="DK195" s="47">
        <v>0</v>
      </c>
      <c r="DL195" s="43"/>
      <c r="DM195" s="40">
        <v>80</v>
      </c>
      <c r="DN195">
        <v>80</v>
      </c>
      <c r="DO195">
        <v>216</v>
      </c>
      <c r="DP195">
        <v>221</v>
      </c>
      <c r="DQ195" s="47">
        <v>-5</v>
      </c>
      <c r="DR195" s="43"/>
      <c r="DW195" s="47">
        <v>0</v>
      </c>
      <c r="DX195" s="43"/>
      <c r="DY195">
        <v>48</v>
      </c>
      <c r="DZ195">
        <v>50</v>
      </c>
      <c r="EA195">
        <v>184</v>
      </c>
      <c r="EB195">
        <v>185</v>
      </c>
      <c r="EC195" s="47">
        <v>-3</v>
      </c>
      <c r="ED195" s="43"/>
      <c r="EE195" s="42"/>
      <c r="EG195">
        <v>96</v>
      </c>
      <c r="EH195">
        <v>100</v>
      </c>
      <c r="EI195" s="47">
        <v>-4</v>
      </c>
      <c r="EJ195" s="43"/>
      <c r="EO195" s="47">
        <v>0</v>
      </c>
      <c r="EP195" s="43"/>
      <c r="EQ195" s="42"/>
      <c r="EU195" s="47">
        <v>0</v>
      </c>
      <c r="EV195" s="43"/>
      <c r="EW195" s="42"/>
      <c r="EY195">
        <v>200</v>
      </c>
      <c r="EZ195">
        <v>200</v>
      </c>
      <c r="FA195">
        <v>96</v>
      </c>
      <c r="FB195">
        <v>100</v>
      </c>
      <c r="FC195" s="47">
        <v>-4</v>
      </c>
      <c r="FD195" s="43"/>
      <c r="FE195" s="42"/>
      <c r="FI195" s="47">
        <v>0</v>
      </c>
      <c r="FJ195" s="43"/>
      <c r="FM195">
        <v>96</v>
      </c>
      <c r="FN195">
        <v>100</v>
      </c>
      <c r="FO195">
        <v>96</v>
      </c>
      <c r="FP195">
        <v>100</v>
      </c>
      <c r="FQ195" s="47">
        <v>-8</v>
      </c>
      <c r="FR195" s="43"/>
      <c r="FS195" s="42"/>
      <c r="FU195">
        <v>96</v>
      </c>
      <c r="FV195">
        <v>100</v>
      </c>
      <c r="FW195" s="47">
        <v>-4</v>
      </c>
      <c r="FX195" s="43"/>
      <c r="FY195" s="42"/>
      <c r="GC195" s="47">
        <v>0</v>
      </c>
      <c r="GD195" s="43"/>
      <c r="GE195" s="40">
        <v>80</v>
      </c>
      <c r="GF195">
        <v>80</v>
      </c>
      <c r="GG195">
        <v>88</v>
      </c>
      <c r="GH195">
        <v>90</v>
      </c>
      <c r="GI195" s="47">
        <v>-2</v>
      </c>
      <c r="GJ195" s="43"/>
      <c r="GQ195" s="47">
        <v>0</v>
      </c>
      <c r="GR195" s="43"/>
      <c r="GU195">
        <v>64</v>
      </c>
      <c r="GW195">
        <v>64</v>
      </c>
      <c r="GX195" s="47">
        <v>0</v>
      </c>
      <c r="GY195" s="43"/>
      <c r="GZ195" s="42"/>
      <c r="HC195" s="47">
        <v>0</v>
      </c>
      <c r="HD195" s="43"/>
      <c r="HE195" s="42"/>
      <c r="HH195" s="47">
        <v>0</v>
      </c>
      <c r="HI195" s="43"/>
      <c r="HN195" s="47">
        <v>0</v>
      </c>
      <c r="HO195" s="43"/>
      <c r="HP195" s="42"/>
      <c r="HS195">
        <v>160</v>
      </c>
      <c r="HU195" s="47">
        <v>0</v>
      </c>
      <c r="HV195" s="43"/>
      <c r="HY195" s="37">
        <v>64</v>
      </c>
      <c r="IA195" s="47">
        <v>0</v>
      </c>
      <c r="IB195" s="43"/>
      <c r="IC195" s="42"/>
      <c r="IH195" s="43"/>
      <c r="IN195" s="43"/>
      <c r="IO195" s="42"/>
      <c r="IR195" s="43"/>
      <c r="IS195" s="42"/>
      <c r="IX195" s="43"/>
      <c r="IY195" s="40"/>
      <c r="JB195" s="43"/>
      <c r="JC195" s="42"/>
      <c r="JH195" s="43"/>
      <c r="JP195" s="43"/>
      <c r="JQ195" s="42"/>
      <c r="JV195" s="43"/>
      <c r="KB195" s="45"/>
      <c r="KH195" s="45"/>
      <c r="KN195" s="45"/>
      <c r="KT195" s="43"/>
      <c r="KX195" s="45"/>
      <c r="LD195" s="43"/>
      <c r="LE195" s="40"/>
      <c r="LH195" s="45"/>
      <c r="LN195" s="45"/>
      <c r="LT195" s="45"/>
      <c r="LZ195" s="45"/>
      <c r="MB195" s="41"/>
      <c r="MF195" s="45"/>
      <c r="MG195" s="46"/>
      <c r="MN195" s="45"/>
      <c r="MT195" s="45"/>
      <c r="MZ195" s="45"/>
      <c r="NA195" s="46"/>
      <c r="ND195" s="45"/>
      <c r="NE195" s="46"/>
      <c r="NK195" s="45"/>
      <c r="NL195" s="46"/>
      <c r="NQ195" s="45"/>
      <c r="NR195" s="46"/>
      <c r="NU195" s="45"/>
      <c r="NV195" s="46"/>
      <c r="OA195" s="45"/>
      <c r="OB195" s="46"/>
      <c r="OC195" s="44"/>
      <c r="OE195" s="45"/>
      <c r="OF195" s="46"/>
      <c r="OK195" s="45"/>
      <c r="OM195" s="43"/>
      <c r="OQ195" s="45"/>
      <c r="OR195" s="46"/>
      <c r="OW195" s="45"/>
      <c r="OX195" s="46"/>
      <c r="PC195" s="45"/>
      <c r="PD195" s="46"/>
      <c r="PE195" s="44"/>
      <c r="PI195" s="45"/>
      <c r="PJ195" s="46"/>
      <c r="PO195" s="45"/>
      <c r="PP195" s="46"/>
      <c r="PR195" s="44"/>
      <c r="PU195" s="45"/>
      <c r="PV195" s="46"/>
      <c r="PY195" s="45"/>
      <c r="PZ195" s="46"/>
      <c r="QB195" s="44"/>
      <c r="QC195" s="45"/>
      <c r="QD195" s="46"/>
      <c r="QI195" s="45"/>
      <c r="QJ195" s="46"/>
      <c r="QM195" s="45"/>
      <c r="QN195" s="46"/>
      <c r="QS195" s="45"/>
      <c r="QT195" s="46"/>
      <c r="QW195" s="45"/>
      <c r="QX195" s="46"/>
      <c r="RC195" s="45"/>
      <c r="RD195" s="42"/>
      <c r="RE195" s="44"/>
      <c r="RG195" s="44"/>
      <c r="RI195" s="45"/>
      <c r="RJ195" s="42"/>
      <c r="RO195" s="43"/>
      <c r="RP195" s="42"/>
      <c r="RS195" s="43"/>
      <c r="RT195" s="42"/>
      <c r="RY195" s="43"/>
      <c r="RZ195" s="42"/>
      <c r="SE195" s="43"/>
      <c r="SF195" s="42"/>
      <c r="SK195" s="43"/>
      <c r="SL195" s="42"/>
      <c r="SO195" s="43"/>
      <c r="SP195" s="42"/>
      <c r="SU195" s="43"/>
    </row>
    <row r="196" spans="1:515" x14ac:dyDescent="0.25">
      <c r="A196" s="47" t="s">
        <v>503</v>
      </c>
      <c r="B196" s="41">
        <v>0.28000000000000003</v>
      </c>
      <c r="E196">
        <v>50</v>
      </c>
      <c r="J196" s="40">
        <v>216</v>
      </c>
      <c r="K196" s="52">
        <v>220</v>
      </c>
      <c r="L196" s="52">
        <v>176</v>
      </c>
      <c r="M196" s="52">
        <v>180</v>
      </c>
      <c r="N196" s="51">
        <f t="shared" ref="N196:N208" si="18">J196+L196-K196-M196</f>
        <v>-8</v>
      </c>
      <c r="O196" s="43"/>
      <c r="P196" s="40">
        <v>312</v>
      </c>
      <c r="Q196" s="52">
        <v>314</v>
      </c>
      <c r="R196" s="52">
        <v>264</v>
      </c>
      <c r="S196" s="52">
        <v>269</v>
      </c>
      <c r="T196" s="51">
        <f t="shared" ref="T196:T208" si="19">P196+R196-Q196-S196</f>
        <v>-7</v>
      </c>
      <c r="U196" s="43"/>
      <c r="V196" s="42"/>
      <c r="W196" s="52">
        <v>129</v>
      </c>
      <c r="X196" s="52">
        <v>64</v>
      </c>
      <c r="Y196" s="52">
        <v>65</v>
      </c>
      <c r="Z196" s="57">
        <f t="shared" ref="Z196:Z208" si="20">V196+X196-W196-Y196</f>
        <v>-130</v>
      </c>
      <c r="AA196" s="43">
        <f>-1*Z196*B196</f>
        <v>36.400000000000006</v>
      </c>
      <c r="AB196" s="40">
        <v>96</v>
      </c>
      <c r="AC196" s="56">
        <v>100</v>
      </c>
      <c r="AD196" s="52">
        <v>104</v>
      </c>
      <c r="AE196" s="56">
        <v>110</v>
      </c>
      <c r="AF196" s="51">
        <v>-10</v>
      </c>
      <c r="AG196" s="43"/>
      <c r="AH196" s="51"/>
      <c r="AJ196">
        <v>80</v>
      </c>
      <c r="AK196">
        <v>84</v>
      </c>
      <c r="AL196" s="47">
        <v>-4</v>
      </c>
      <c r="AM196" s="43"/>
      <c r="AN196" s="42"/>
      <c r="AR196" s="47">
        <v>0</v>
      </c>
      <c r="AS196" s="43"/>
      <c r="AT196">
        <v>368</v>
      </c>
      <c r="AU196">
        <v>370</v>
      </c>
      <c r="AV196">
        <v>408</v>
      </c>
      <c r="AW196">
        <v>408</v>
      </c>
      <c r="AX196" s="47">
        <v>-2</v>
      </c>
      <c r="AY196" s="43"/>
      <c r="AZ196">
        <v>56</v>
      </c>
      <c r="BA196">
        <v>60</v>
      </c>
      <c r="BB196">
        <v>96</v>
      </c>
      <c r="BC196">
        <v>100</v>
      </c>
      <c r="BD196" s="47">
        <v>-8</v>
      </c>
      <c r="BE196" s="43"/>
      <c r="BF196" s="40">
        <v>200</v>
      </c>
      <c r="BG196">
        <v>200</v>
      </c>
      <c r="BH196">
        <v>248</v>
      </c>
      <c r="BI196">
        <v>251</v>
      </c>
      <c r="BJ196" s="47">
        <v>-3</v>
      </c>
      <c r="BK196" s="43"/>
      <c r="BL196" s="40">
        <v>24</v>
      </c>
      <c r="BM196">
        <v>24</v>
      </c>
      <c r="BP196" s="47">
        <v>0</v>
      </c>
      <c r="BQ196" s="43"/>
      <c r="BR196">
        <v>96</v>
      </c>
      <c r="BS196">
        <v>100</v>
      </c>
      <c r="BT196">
        <v>136</v>
      </c>
      <c r="BU196">
        <v>139</v>
      </c>
      <c r="BV196" s="47">
        <v>-7</v>
      </c>
      <c r="BW196" s="43"/>
      <c r="BX196" s="40">
        <v>96</v>
      </c>
      <c r="BY196">
        <v>100</v>
      </c>
      <c r="BZ196">
        <v>128</v>
      </c>
      <c r="CA196">
        <v>129</v>
      </c>
      <c r="CB196" s="47">
        <v>-5</v>
      </c>
      <c r="CC196" s="43"/>
      <c r="CD196">
        <v>200</v>
      </c>
      <c r="CE196">
        <v>200</v>
      </c>
      <c r="CF196">
        <v>208</v>
      </c>
      <c r="CG196">
        <v>212</v>
      </c>
      <c r="CH196" s="47">
        <v>-4</v>
      </c>
      <c r="CI196" s="43"/>
      <c r="CJ196">
        <v>40</v>
      </c>
      <c r="CK196">
        <v>39</v>
      </c>
      <c r="CN196" s="47">
        <v>1</v>
      </c>
      <c r="CO196" s="43"/>
      <c r="CP196" s="42"/>
      <c r="CT196" s="47">
        <v>0</v>
      </c>
      <c r="CU196" s="43"/>
      <c r="CV196" s="40">
        <v>248</v>
      </c>
      <c r="CW196">
        <v>250</v>
      </c>
      <c r="CX196">
        <v>288</v>
      </c>
      <c r="CY196">
        <v>290</v>
      </c>
      <c r="CZ196" s="47">
        <v>-4</v>
      </c>
      <c r="DA196" s="43"/>
      <c r="DB196">
        <v>96</v>
      </c>
      <c r="DC196">
        <v>100</v>
      </c>
      <c r="DE196">
        <v>200</v>
      </c>
      <c r="DF196">
        <v>199</v>
      </c>
      <c r="DG196" s="47">
        <v>-3</v>
      </c>
      <c r="DH196" s="43"/>
      <c r="DI196">
        <v>96</v>
      </c>
      <c r="DJ196">
        <v>100</v>
      </c>
      <c r="DK196" s="47">
        <v>-4</v>
      </c>
      <c r="DL196" s="43"/>
      <c r="DM196" s="40">
        <v>224</v>
      </c>
      <c r="DN196">
        <v>222</v>
      </c>
      <c r="DO196">
        <v>152</v>
      </c>
      <c r="DP196">
        <v>152</v>
      </c>
      <c r="DQ196" s="47">
        <v>2</v>
      </c>
      <c r="DR196" s="43"/>
      <c r="DS196">
        <v>72</v>
      </c>
      <c r="DT196">
        <v>70</v>
      </c>
      <c r="DU196">
        <v>120</v>
      </c>
      <c r="DV196">
        <v>118</v>
      </c>
      <c r="DW196" s="47">
        <v>4</v>
      </c>
      <c r="DX196" s="43"/>
      <c r="DY196">
        <v>48</v>
      </c>
      <c r="DZ196">
        <v>50</v>
      </c>
      <c r="EA196">
        <v>152</v>
      </c>
      <c r="EB196">
        <v>151</v>
      </c>
      <c r="EC196" s="47">
        <v>-1</v>
      </c>
      <c r="ED196" s="43"/>
      <c r="EE196" s="42"/>
      <c r="EG196">
        <v>208</v>
      </c>
      <c r="EH196">
        <v>207</v>
      </c>
      <c r="EI196" s="47">
        <v>1</v>
      </c>
      <c r="EJ196" s="43"/>
      <c r="EO196" s="47">
        <v>0</v>
      </c>
      <c r="EP196" s="43"/>
      <c r="EQ196" s="42"/>
      <c r="ES196">
        <v>192</v>
      </c>
      <c r="ET196">
        <v>191</v>
      </c>
      <c r="EU196" s="47">
        <v>1</v>
      </c>
      <c r="EV196" s="43"/>
      <c r="EW196" s="42"/>
      <c r="EY196">
        <v>200</v>
      </c>
      <c r="EZ196">
        <v>200</v>
      </c>
      <c r="FA196">
        <v>176</v>
      </c>
      <c r="FB196">
        <v>180</v>
      </c>
      <c r="FC196" s="47">
        <v>-4</v>
      </c>
      <c r="FD196" s="43"/>
      <c r="FE196" s="42"/>
      <c r="FI196" s="47">
        <v>0</v>
      </c>
      <c r="FJ196" s="43"/>
      <c r="FK196">
        <v>96</v>
      </c>
      <c r="FL196">
        <v>100</v>
      </c>
      <c r="FM196">
        <v>216</v>
      </c>
      <c r="FN196">
        <v>220</v>
      </c>
      <c r="FO196">
        <v>96</v>
      </c>
      <c r="FP196">
        <v>100</v>
      </c>
      <c r="FQ196" s="47">
        <v>-12</v>
      </c>
      <c r="FR196" s="43"/>
      <c r="FS196" s="42"/>
      <c r="FU196">
        <v>88</v>
      </c>
      <c r="FV196">
        <v>90</v>
      </c>
      <c r="FW196" s="47">
        <v>-2</v>
      </c>
      <c r="FX196" s="43"/>
      <c r="FY196" s="42"/>
      <c r="GA196">
        <v>120</v>
      </c>
      <c r="GB196">
        <v>120</v>
      </c>
      <c r="GC196" s="47">
        <v>0</v>
      </c>
      <c r="GD196" s="43"/>
      <c r="GE196" s="42"/>
      <c r="GI196" s="47">
        <v>0</v>
      </c>
      <c r="GJ196" s="43"/>
      <c r="GQ196" s="47">
        <v>0</v>
      </c>
      <c r="GR196" s="43"/>
      <c r="GU196">
        <v>32</v>
      </c>
      <c r="GW196">
        <v>32</v>
      </c>
      <c r="GX196" s="47">
        <v>0</v>
      </c>
      <c r="GY196" s="43"/>
      <c r="GZ196" s="40">
        <v>24</v>
      </c>
      <c r="HB196" s="44">
        <v>22.599999999999991</v>
      </c>
      <c r="HC196" s="47">
        <v>1.400000000000009</v>
      </c>
      <c r="HD196" s="43"/>
      <c r="HE196" s="40">
        <v>288</v>
      </c>
      <c r="HH196" s="47">
        <v>0</v>
      </c>
      <c r="HI196" s="43"/>
      <c r="HJ196">
        <v>232</v>
      </c>
      <c r="HN196" s="47">
        <v>0</v>
      </c>
      <c r="HO196" s="43"/>
      <c r="HP196" s="42"/>
      <c r="HS196">
        <v>80</v>
      </c>
      <c r="HU196" s="47">
        <v>0</v>
      </c>
      <c r="HV196" s="43"/>
      <c r="IB196" s="43"/>
      <c r="IC196" s="42"/>
      <c r="IH196" s="43"/>
      <c r="IN196" s="43"/>
      <c r="IO196" s="42"/>
      <c r="IR196" s="43"/>
      <c r="IS196" s="42"/>
      <c r="IX196" s="43"/>
      <c r="IY196" s="40"/>
      <c r="JB196" s="43"/>
      <c r="JC196" s="42"/>
      <c r="JH196" s="43"/>
      <c r="JP196" s="43"/>
      <c r="JQ196" s="42"/>
      <c r="JV196" s="43"/>
      <c r="KB196" s="45"/>
      <c r="KH196" s="45"/>
      <c r="KN196" s="45"/>
      <c r="KT196" s="43"/>
      <c r="KX196" s="45"/>
      <c r="LD196" s="43"/>
      <c r="LE196" s="40"/>
      <c r="LH196" s="45"/>
      <c r="LN196" s="45"/>
      <c r="LT196" s="45"/>
      <c r="LZ196" s="45"/>
      <c r="MB196" s="41"/>
      <c r="MF196" s="45"/>
      <c r="MG196" s="46"/>
      <c r="MN196" s="45"/>
      <c r="MT196" s="45"/>
      <c r="MZ196" s="45"/>
      <c r="NA196" s="46"/>
      <c r="ND196" s="45"/>
      <c r="NE196" s="46"/>
      <c r="NK196" s="45"/>
      <c r="NL196" s="46"/>
      <c r="NQ196" s="45"/>
      <c r="NR196" s="46"/>
      <c r="NU196" s="45"/>
      <c r="NV196" s="46"/>
      <c r="NZ196" s="44"/>
      <c r="OA196" s="45"/>
      <c r="OB196" s="46"/>
      <c r="OC196" s="44"/>
      <c r="OE196" s="45"/>
      <c r="OF196" s="46"/>
      <c r="OK196" s="45"/>
      <c r="OM196" s="43"/>
      <c r="OQ196" s="45"/>
      <c r="OR196" s="46"/>
      <c r="OW196" s="45"/>
      <c r="OX196" s="46"/>
      <c r="PC196" s="45"/>
      <c r="PD196" s="46"/>
      <c r="PE196" s="44"/>
      <c r="PI196" s="45"/>
      <c r="PJ196" s="46"/>
      <c r="PO196" s="45"/>
      <c r="PP196" s="46"/>
      <c r="PR196" s="44"/>
      <c r="PU196" s="45"/>
      <c r="PV196" s="46"/>
      <c r="PY196" s="45"/>
      <c r="PZ196" s="46"/>
      <c r="QB196" s="44"/>
      <c r="QC196" s="45"/>
      <c r="QD196" s="46"/>
      <c r="QI196" s="45"/>
      <c r="QJ196" s="46"/>
      <c r="QM196" s="45"/>
      <c r="QN196" s="46"/>
      <c r="QS196" s="45"/>
      <c r="QT196" s="46"/>
      <c r="QW196" s="45"/>
      <c r="QX196" s="46"/>
      <c r="RC196" s="45"/>
      <c r="RD196" s="42"/>
      <c r="RE196" s="44"/>
      <c r="RG196" s="44"/>
      <c r="RI196" s="45"/>
      <c r="RJ196" s="42"/>
      <c r="RO196" s="43"/>
      <c r="RP196" s="42"/>
      <c r="RS196" s="43"/>
      <c r="RT196" s="42"/>
      <c r="RY196" s="43"/>
      <c r="RZ196" s="42"/>
      <c r="SE196" s="43"/>
      <c r="SF196" s="42"/>
      <c r="SK196" s="43"/>
      <c r="SL196" s="42"/>
      <c r="SO196" s="43"/>
      <c r="SP196" s="42"/>
      <c r="SU196" s="43"/>
    </row>
    <row r="197" spans="1:515" x14ac:dyDescent="0.25">
      <c r="A197" s="47" t="s">
        <v>504</v>
      </c>
      <c r="B197" s="41">
        <v>0.28000000000000003</v>
      </c>
      <c r="E197">
        <v>50</v>
      </c>
      <c r="J197" s="40">
        <v>184</v>
      </c>
      <c r="K197" s="52">
        <v>186</v>
      </c>
      <c r="L197" s="52">
        <v>144</v>
      </c>
      <c r="M197" s="52">
        <v>151</v>
      </c>
      <c r="N197" s="51">
        <f t="shared" si="18"/>
        <v>-9</v>
      </c>
      <c r="O197" s="43"/>
      <c r="P197" s="40">
        <v>56</v>
      </c>
      <c r="Q197" s="52">
        <v>58</v>
      </c>
      <c r="R197" s="52">
        <v>48</v>
      </c>
      <c r="S197" s="52">
        <v>49</v>
      </c>
      <c r="T197" s="51">
        <f t="shared" si="19"/>
        <v>-3</v>
      </c>
      <c r="U197" s="43"/>
      <c r="V197" s="40">
        <v>176</v>
      </c>
      <c r="W197" s="52">
        <v>177</v>
      </c>
      <c r="X197" s="52">
        <v>88</v>
      </c>
      <c r="Y197" s="52">
        <v>89</v>
      </c>
      <c r="Z197" s="51">
        <f t="shared" si="20"/>
        <v>-2</v>
      </c>
      <c r="AA197" s="43"/>
      <c r="AB197" s="42"/>
      <c r="AC197" s="51"/>
      <c r="AD197" s="52">
        <v>80</v>
      </c>
      <c r="AE197" s="56">
        <v>86</v>
      </c>
      <c r="AF197" s="51">
        <v>-6</v>
      </c>
      <c r="AG197" s="43"/>
      <c r="AH197" s="52">
        <v>72</v>
      </c>
      <c r="AI197">
        <v>77</v>
      </c>
      <c r="AJ197">
        <v>56</v>
      </c>
      <c r="AK197">
        <v>62</v>
      </c>
      <c r="AL197" s="47">
        <v>-11</v>
      </c>
      <c r="AM197" s="43"/>
      <c r="AN197" s="42"/>
      <c r="AR197" s="47">
        <v>0</v>
      </c>
      <c r="AS197" s="43"/>
      <c r="AT197">
        <v>104</v>
      </c>
      <c r="AU197">
        <v>110</v>
      </c>
      <c r="AV197">
        <v>128</v>
      </c>
      <c r="AW197">
        <v>128</v>
      </c>
      <c r="AX197" s="47">
        <v>-6</v>
      </c>
      <c r="AY197" s="43"/>
      <c r="AZ197">
        <v>96</v>
      </c>
      <c r="BA197">
        <v>100</v>
      </c>
      <c r="BB197">
        <v>128</v>
      </c>
      <c r="BC197">
        <v>132</v>
      </c>
      <c r="BD197" s="47">
        <v>-8</v>
      </c>
      <c r="BE197" s="43"/>
      <c r="BF197" s="42"/>
      <c r="BH197">
        <v>16</v>
      </c>
      <c r="BI197">
        <v>15</v>
      </c>
      <c r="BJ197" s="47">
        <v>1</v>
      </c>
      <c r="BK197" s="43"/>
      <c r="BL197" s="42"/>
      <c r="BP197" s="47">
        <v>0</v>
      </c>
      <c r="BQ197" s="43"/>
      <c r="BR197">
        <v>152</v>
      </c>
      <c r="BS197">
        <v>150</v>
      </c>
      <c r="BT197">
        <v>208</v>
      </c>
      <c r="BU197">
        <v>213</v>
      </c>
      <c r="BV197" s="47">
        <v>-3</v>
      </c>
      <c r="BW197" s="43"/>
      <c r="BX197" s="40">
        <v>16</v>
      </c>
      <c r="BY197">
        <v>16</v>
      </c>
      <c r="CB197" s="47">
        <v>0</v>
      </c>
      <c r="CC197" s="43"/>
      <c r="CD197">
        <v>136</v>
      </c>
      <c r="CE197">
        <v>140</v>
      </c>
      <c r="CF197">
        <v>136</v>
      </c>
      <c r="CG197">
        <v>140</v>
      </c>
      <c r="CH197" s="47">
        <v>-8</v>
      </c>
      <c r="CI197" s="43"/>
      <c r="CJ197">
        <v>32</v>
      </c>
      <c r="CK197">
        <v>30</v>
      </c>
      <c r="CL197">
        <v>40</v>
      </c>
      <c r="CM197">
        <v>41</v>
      </c>
      <c r="CN197" s="47">
        <v>1</v>
      </c>
      <c r="CO197" s="43"/>
      <c r="CP197" s="42"/>
      <c r="CR197">
        <v>24</v>
      </c>
      <c r="CS197">
        <v>29</v>
      </c>
      <c r="CT197" s="47">
        <v>-5</v>
      </c>
      <c r="CU197" s="43"/>
      <c r="CV197" s="40">
        <v>48</v>
      </c>
      <c r="CW197">
        <v>48</v>
      </c>
      <c r="CX197">
        <v>80</v>
      </c>
      <c r="CY197">
        <v>78</v>
      </c>
      <c r="CZ197" s="47">
        <v>2</v>
      </c>
      <c r="DA197" s="43"/>
      <c r="DB197">
        <v>96</v>
      </c>
      <c r="DC197">
        <v>100</v>
      </c>
      <c r="DE197">
        <v>144</v>
      </c>
      <c r="DF197">
        <v>144</v>
      </c>
      <c r="DG197" s="47">
        <v>-4</v>
      </c>
      <c r="DH197" s="43"/>
      <c r="DK197" s="47">
        <v>0</v>
      </c>
      <c r="DL197" s="43"/>
      <c r="DM197" s="42"/>
      <c r="DO197">
        <v>288</v>
      </c>
      <c r="DP197">
        <v>289</v>
      </c>
      <c r="DQ197" s="47">
        <v>-1</v>
      </c>
      <c r="DR197" s="43"/>
      <c r="DW197" s="47">
        <v>0</v>
      </c>
      <c r="DX197" s="43"/>
      <c r="EA197">
        <v>72</v>
      </c>
      <c r="EB197">
        <v>75</v>
      </c>
      <c r="EC197" s="47">
        <v>-3</v>
      </c>
      <c r="ED197" s="43"/>
      <c r="EE197" s="42"/>
      <c r="EG197">
        <v>240</v>
      </c>
      <c r="EH197">
        <v>241</v>
      </c>
      <c r="EI197" s="47">
        <v>-1</v>
      </c>
      <c r="EJ197" s="43"/>
      <c r="EO197" s="47">
        <v>0</v>
      </c>
      <c r="EP197" s="43"/>
      <c r="EQ197" s="42"/>
      <c r="ES197">
        <v>40</v>
      </c>
      <c r="ET197">
        <v>38</v>
      </c>
      <c r="EU197" s="47">
        <v>2</v>
      </c>
      <c r="EV197" s="43"/>
      <c r="EW197" s="42"/>
      <c r="EY197">
        <v>96</v>
      </c>
      <c r="EZ197">
        <v>100</v>
      </c>
      <c r="FA197">
        <v>136</v>
      </c>
      <c r="FB197">
        <v>140</v>
      </c>
      <c r="FC197" s="47">
        <v>-8</v>
      </c>
      <c r="FD197" s="43"/>
      <c r="FE197" s="42"/>
      <c r="FI197" s="47">
        <v>0</v>
      </c>
      <c r="FJ197" s="43"/>
      <c r="FM197">
        <v>152</v>
      </c>
      <c r="FN197">
        <v>150</v>
      </c>
      <c r="FO197">
        <v>96</v>
      </c>
      <c r="FP197">
        <v>100</v>
      </c>
      <c r="FQ197" s="47">
        <v>-2</v>
      </c>
      <c r="FR197" s="43"/>
      <c r="FS197" s="42"/>
      <c r="FW197" s="47">
        <v>0</v>
      </c>
      <c r="FX197" s="43"/>
      <c r="FY197" s="42"/>
      <c r="GC197" s="47">
        <v>0</v>
      </c>
      <c r="GD197" s="43"/>
      <c r="GE197" s="40">
        <v>120</v>
      </c>
      <c r="GF197">
        <v>120</v>
      </c>
      <c r="GG197">
        <v>120</v>
      </c>
      <c r="GH197">
        <v>120</v>
      </c>
      <c r="GI197" s="47">
        <v>0</v>
      </c>
      <c r="GJ197" s="43"/>
      <c r="GQ197" s="47">
        <v>0</v>
      </c>
      <c r="GR197" s="43"/>
      <c r="GU197">
        <v>112</v>
      </c>
      <c r="GW197">
        <v>112</v>
      </c>
      <c r="GX197" s="47">
        <v>0</v>
      </c>
      <c r="GY197" s="43"/>
      <c r="GZ197" s="42"/>
      <c r="HC197" s="47">
        <v>0</v>
      </c>
      <c r="HD197" s="43"/>
      <c r="HE197" s="42"/>
      <c r="HH197" s="47">
        <v>0</v>
      </c>
      <c r="HI197" s="43"/>
      <c r="HN197" s="47">
        <v>0</v>
      </c>
      <c r="HO197" s="43"/>
      <c r="HP197" s="42"/>
      <c r="HU197" s="47">
        <v>0</v>
      </c>
      <c r="HV197" s="43"/>
      <c r="HW197" s="48">
        <v>128</v>
      </c>
      <c r="HY197" s="37">
        <v>128</v>
      </c>
      <c r="IA197" s="47">
        <v>0</v>
      </c>
      <c r="IB197" s="43"/>
      <c r="IC197" s="42"/>
      <c r="IH197" s="43"/>
      <c r="IN197" s="43"/>
      <c r="IO197" s="42"/>
      <c r="IR197" s="43"/>
      <c r="IS197" s="42"/>
      <c r="IX197" s="43"/>
      <c r="IY197" s="40"/>
      <c r="JB197" s="43"/>
      <c r="JC197" s="42"/>
      <c r="JH197" s="43"/>
      <c r="JP197" s="43"/>
      <c r="JQ197" s="42"/>
      <c r="JV197" s="43"/>
      <c r="KB197" s="45"/>
      <c r="KH197" s="45"/>
      <c r="KN197" s="45"/>
      <c r="KT197" s="43"/>
      <c r="KX197" s="45"/>
      <c r="LD197" s="43"/>
      <c r="LE197" s="40"/>
      <c r="LH197" s="45"/>
      <c r="LN197" s="45"/>
      <c r="LT197" s="45"/>
      <c r="LZ197" s="45"/>
      <c r="MB197" s="41"/>
      <c r="MF197" s="45"/>
      <c r="MG197" s="46"/>
      <c r="MN197" s="45"/>
      <c r="MT197" s="45"/>
      <c r="MZ197" s="45"/>
      <c r="NA197" s="46"/>
      <c r="ND197" s="45"/>
      <c r="NE197" s="46"/>
      <c r="NK197" s="45"/>
      <c r="NL197" s="46"/>
      <c r="NQ197" s="45"/>
      <c r="NR197" s="46"/>
      <c r="NU197" s="45"/>
      <c r="NV197" s="46"/>
      <c r="OA197" s="45"/>
      <c r="OB197" s="46"/>
      <c r="OC197" s="44"/>
      <c r="OE197" s="45"/>
      <c r="OF197" s="46"/>
      <c r="OK197" s="45"/>
      <c r="OM197" s="43"/>
      <c r="OQ197" s="45"/>
      <c r="OR197" s="46"/>
      <c r="OW197" s="45"/>
      <c r="OX197" s="46"/>
      <c r="PC197" s="45"/>
      <c r="PD197" s="46"/>
      <c r="PE197" s="44"/>
      <c r="PI197" s="45"/>
      <c r="PJ197" s="46"/>
      <c r="PO197" s="45"/>
      <c r="PP197" s="46"/>
      <c r="PR197" s="44"/>
      <c r="PU197" s="45"/>
      <c r="PV197" s="46"/>
      <c r="PY197" s="45"/>
      <c r="PZ197" s="46"/>
      <c r="QB197" s="44"/>
      <c r="QC197" s="45"/>
      <c r="QD197" s="46"/>
      <c r="QI197" s="45"/>
      <c r="QJ197" s="46"/>
      <c r="QM197" s="45"/>
      <c r="QN197" s="46"/>
      <c r="QS197" s="45"/>
      <c r="QT197" s="46"/>
      <c r="QW197" s="45"/>
      <c r="QX197" s="46"/>
      <c r="RC197" s="45"/>
      <c r="RD197" s="42"/>
      <c r="RE197" s="44"/>
      <c r="RG197" s="44"/>
      <c r="RI197" s="45"/>
      <c r="RJ197" s="42"/>
      <c r="RO197" s="43"/>
      <c r="RP197" s="42"/>
      <c r="RS197" s="43"/>
      <c r="RT197" s="42"/>
      <c r="RY197" s="43"/>
      <c r="RZ197" s="42"/>
      <c r="SE197" s="43"/>
      <c r="SF197" s="42"/>
      <c r="SK197" s="43"/>
      <c r="SL197" s="42"/>
      <c r="SO197" s="43"/>
      <c r="SP197" s="42"/>
      <c r="SU197" s="43"/>
    </row>
    <row r="198" spans="1:515" x14ac:dyDescent="0.25">
      <c r="A198" s="47" t="s">
        <v>505</v>
      </c>
      <c r="B198" s="41">
        <v>0.28000000000000003</v>
      </c>
      <c r="E198">
        <v>72</v>
      </c>
      <c r="J198" s="40">
        <v>120</v>
      </c>
      <c r="K198" s="52">
        <v>121</v>
      </c>
      <c r="L198" s="52">
        <v>96</v>
      </c>
      <c r="M198" s="52">
        <v>98</v>
      </c>
      <c r="N198" s="51">
        <f t="shared" si="18"/>
        <v>-3</v>
      </c>
      <c r="O198" s="43"/>
      <c r="P198" s="40">
        <v>104</v>
      </c>
      <c r="Q198" s="52">
        <v>104</v>
      </c>
      <c r="R198" s="52">
        <v>88</v>
      </c>
      <c r="S198" s="52">
        <v>90</v>
      </c>
      <c r="T198" s="51">
        <f t="shared" si="19"/>
        <v>-2</v>
      </c>
      <c r="U198" s="43"/>
      <c r="V198" s="40">
        <v>56</v>
      </c>
      <c r="W198" s="52">
        <v>63</v>
      </c>
      <c r="X198" s="52">
        <v>32</v>
      </c>
      <c r="Y198" s="52">
        <v>32</v>
      </c>
      <c r="Z198" s="51">
        <f t="shared" si="20"/>
        <v>-7</v>
      </c>
      <c r="AA198" s="43"/>
      <c r="AB198" s="42"/>
      <c r="AC198" s="51"/>
      <c r="AD198" s="52">
        <v>111</v>
      </c>
      <c r="AE198" s="56">
        <v>101</v>
      </c>
      <c r="AF198" s="51">
        <v>10</v>
      </c>
      <c r="AG198" s="43"/>
      <c r="AH198" s="52">
        <v>80</v>
      </c>
      <c r="AI198">
        <v>83</v>
      </c>
      <c r="AJ198">
        <v>64</v>
      </c>
      <c r="AK198">
        <v>67</v>
      </c>
      <c r="AL198" s="47">
        <v>-6</v>
      </c>
      <c r="AM198" s="43"/>
      <c r="AN198" s="42"/>
      <c r="AR198" s="47">
        <v>0</v>
      </c>
      <c r="AS198" s="43"/>
      <c r="AT198">
        <v>104</v>
      </c>
      <c r="AU198">
        <v>110</v>
      </c>
      <c r="AV198">
        <v>104</v>
      </c>
      <c r="AW198">
        <v>111</v>
      </c>
      <c r="AX198" s="47">
        <v>-13</v>
      </c>
      <c r="AY198" s="43"/>
      <c r="AZ198">
        <v>56</v>
      </c>
      <c r="BA198">
        <v>60</v>
      </c>
      <c r="BB198">
        <v>80</v>
      </c>
      <c r="BC198">
        <v>83</v>
      </c>
      <c r="BD198" s="47">
        <v>-7</v>
      </c>
      <c r="BE198" s="43"/>
      <c r="BF198" s="40">
        <v>16</v>
      </c>
      <c r="BG198">
        <v>20</v>
      </c>
      <c r="BH198">
        <v>24</v>
      </c>
      <c r="BI198">
        <v>23</v>
      </c>
      <c r="BJ198" s="47">
        <v>-3</v>
      </c>
      <c r="BK198" s="43"/>
      <c r="BL198" s="40">
        <v>56</v>
      </c>
      <c r="BM198">
        <v>54</v>
      </c>
      <c r="BP198" s="47">
        <v>2</v>
      </c>
      <c r="BQ198" s="43"/>
      <c r="BR198">
        <v>40</v>
      </c>
      <c r="BS198">
        <v>40</v>
      </c>
      <c r="BT198">
        <v>32</v>
      </c>
      <c r="BU198">
        <v>35</v>
      </c>
      <c r="BV198" s="47">
        <v>-3</v>
      </c>
      <c r="BW198" s="43"/>
      <c r="BX198" s="42"/>
      <c r="CB198" s="47">
        <v>0</v>
      </c>
      <c r="CC198" s="43"/>
      <c r="CD198">
        <v>152</v>
      </c>
      <c r="CE198">
        <v>150</v>
      </c>
      <c r="CF198">
        <v>184</v>
      </c>
      <c r="CG198">
        <v>188</v>
      </c>
      <c r="CH198" s="47">
        <v>-2</v>
      </c>
      <c r="CI198" s="43"/>
      <c r="CN198" s="47">
        <v>0</v>
      </c>
      <c r="CO198" s="43"/>
      <c r="CP198" s="42"/>
      <c r="CR198">
        <v>32</v>
      </c>
      <c r="CS198">
        <v>33</v>
      </c>
      <c r="CT198" s="47">
        <v>-1</v>
      </c>
      <c r="CU198" s="43"/>
      <c r="CV198" s="42"/>
      <c r="CX198">
        <v>48</v>
      </c>
      <c r="CY198">
        <v>53</v>
      </c>
      <c r="CZ198" s="47">
        <v>-5</v>
      </c>
      <c r="DA198" s="43"/>
      <c r="DB198">
        <v>96</v>
      </c>
      <c r="DC198">
        <v>100</v>
      </c>
      <c r="DE198">
        <v>200</v>
      </c>
      <c r="DF198">
        <v>203</v>
      </c>
      <c r="DG198" s="47">
        <v>-7</v>
      </c>
      <c r="DH198" s="43"/>
      <c r="DK198" s="47">
        <v>0</v>
      </c>
      <c r="DL198" s="43"/>
      <c r="DM198" s="42"/>
      <c r="DQ198" s="47">
        <v>0</v>
      </c>
      <c r="DR198" s="43"/>
      <c r="DS198">
        <v>120</v>
      </c>
      <c r="DT198">
        <v>120</v>
      </c>
      <c r="DU198">
        <v>232</v>
      </c>
      <c r="DV198">
        <v>230</v>
      </c>
      <c r="DW198" s="47">
        <v>2</v>
      </c>
      <c r="DX198" s="43"/>
      <c r="EA198">
        <v>96</v>
      </c>
      <c r="EB198">
        <v>101</v>
      </c>
      <c r="EC198" s="47">
        <v>-5</v>
      </c>
      <c r="ED198" s="43"/>
      <c r="EE198" s="42"/>
      <c r="EI198" s="47">
        <v>0</v>
      </c>
      <c r="EJ198" s="43"/>
      <c r="EK198">
        <v>96</v>
      </c>
      <c r="EL198">
        <v>100</v>
      </c>
      <c r="EM198">
        <v>128</v>
      </c>
      <c r="EN198">
        <v>131</v>
      </c>
      <c r="EO198" s="47">
        <v>-7</v>
      </c>
      <c r="EP198" s="43"/>
      <c r="EQ198" s="42"/>
      <c r="ES198">
        <v>248</v>
      </c>
      <c r="ET198">
        <v>247</v>
      </c>
      <c r="EU198" s="47">
        <v>1</v>
      </c>
      <c r="EV198" s="43"/>
      <c r="EW198" s="42"/>
      <c r="FA198">
        <v>96</v>
      </c>
      <c r="FB198">
        <v>100</v>
      </c>
      <c r="FC198" s="47">
        <v>-4</v>
      </c>
      <c r="FD198" s="43"/>
      <c r="FE198" s="42"/>
      <c r="FG198">
        <v>248</v>
      </c>
      <c r="FH198">
        <v>250</v>
      </c>
      <c r="FI198" s="47">
        <v>-2</v>
      </c>
      <c r="FJ198" s="43"/>
      <c r="FM198">
        <v>88</v>
      </c>
      <c r="FN198">
        <v>90</v>
      </c>
      <c r="FQ198" s="47">
        <v>-2</v>
      </c>
      <c r="FR198" s="43"/>
      <c r="FS198" s="42"/>
      <c r="FU198">
        <v>72</v>
      </c>
      <c r="FV198">
        <v>70</v>
      </c>
      <c r="FW198" s="47">
        <v>2</v>
      </c>
      <c r="FX198" s="43"/>
      <c r="FY198" s="42"/>
      <c r="GA198">
        <v>72</v>
      </c>
      <c r="GB198">
        <v>70</v>
      </c>
      <c r="GC198" s="47">
        <v>2</v>
      </c>
      <c r="GD198" s="43"/>
      <c r="GE198" s="40">
        <v>32</v>
      </c>
      <c r="GF198">
        <v>32</v>
      </c>
      <c r="GG198">
        <v>32</v>
      </c>
      <c r="GH198">
        <v>32</v>
      </c>
      <c r="GI198" s="47">
        <v>0</v>
      </c>
      <c r="GJ198" s="43"/>
      <c r="GQ198" s="47">
        <v>0</v>
      </c>
      <c r="GR198" s="43"/>
      <c r="GU198">
        <v>144</v>
      </c>
      <c r="GW198">
        <v>149</v>
      </c>
      <c r="GX198" s="47">
        <v>-5</v>
      </c>
      <c r="GY198" s="43"/>
      <c r="GZ198" s="40">
        <v>16</v>
      </c>
      <c r="HB198" s="44">
        <v>18.199999999999989</v>
      </c>
      <c r="HC198" s="47">
        <v>-2.1999999999999891</v>
      </c>
      <c r="HD198" s="43"/>
      <c r="HE198" s="42"/>
      <c r="HH198" s="47">
        <v>0</v>
      </c>
      <c r="HI198" s="43"/>
      <c r="HJ198">
        <v>96</v>
      </c>
      <c r="HM198">
        <v>96</v>
      </c>
      <c r="HN198" s="47">
        <v>0</v>
      </c>
      <c r="HO198" s="43"/>
      <c r="HP198" s="42"/>
      <c r="HS198">
        <v>32</v>
      </c>
      <c r="HU198" s="47">
        <v>0</v>
      </c>
      <c r="HV198" s="43"/>
      <c r="HW198" s="48">
        <v>80</v>
      </c>
      <c r="HY198" s="37">
        <v>88</v>
      </c>
      <c r="IA198" s="47">
        <v>0</v>
      </c>
      <c r="IB198" s="43"/>
      <c r="IC198" s="42"/>
      <c r="IH198" s="43"/>
      <c r="IN198" s="43"/>
      <c r="IO198" s="42"/>
      <c r="IR198" s="43"/>
      <c r="IS198" s="42"/>
      <c r="IX198" s="43"/>
      <c r="IY198" s="40"/>
      <c r="JB198" s="43"/>
      <c r="JC198" s="42"/>
      <c r="JH198" s="43"/>
      <c r="JP198" s="43"/>
      <c r="JQ198" s="42"/>
      <c r="JV198" s="43"/>
      <c r="KB198" s="45"/>
      <c r="KH198" s="45"/>
      <c r="KN198" s="45"/>
      <c r="KT198" s="43"/>
      <c r="KX198" s="45"/>
      <c r="LD198" s="43"/>
      <c r="LE198" s="40"/>
      <c r="LH198" s="45"/>
      <c r="LN198" s="45"/>
      <c r="LT198" s="45"/>
      <c r="LZ198" s="45"/>
      <c r="MB198" s="41"/>
      <c r="MF198" s="45"/>
      <c r="MG198" s="46"/>
      <c r="MN198" s="45"/>
      <c r="MT198" s="45"/>
      <c r="MZ198" s="45"/>
      <c r="NA198" s="46"/>
      <c r="ND198" s="45"/>
      <c r="NE198" s="46"/>
      <c r="NK198" s="45"/>
      <c r="NL198" s="46"/>
      <c r="NQ198" s="45"/>
      <c r="NR198" s="46"/>
      <c r="NU198" s="45"/>
      <c r="NV198" s="46"/>
      <c r="OA198" s="45"/>
      <c r="OB198" s="46"/>
      <c r="OC198" s="44"/>
      <c r="OE198" s="45"/>
      <c r="OF198" s="46"/>
      <c r="OK198" s="45"/>
      <c r="OM198" s="43"/>
      <c r="OQ198" s="45"/>
      <c r="OR198" s="46"/>
      <c r="OW198" s="45"/>
      <c r="OX198" s="46"/>
      <c r="PC198" s="45"/>
      <c r="PD198" s="46"/>
      <c r="PE198" s="44"/>
      <c r="PI198" s="45"/>
      <c r="PJ198" s="46"/>
      <c r="PO198" s="45"/>
      <c r="PP198" s="46"/>
      <c r="PR198" s="44"/>
      <c r="PU198" s="45"/>
      <c r="PV198" s="46"/>
      <c r="PY198" s="45"/>
      <c r="PZ198" s="46"/>
      <c r="QB198" s="44"/>
      <c r="QC198" s="45"/>
      <c r="QD198" s="46"/>
      <c r="QI198" s="45"/>
      <c r="QJ198" s="46"/>
      <c r="QM198" s="45"/>
      <c r="QN198" s="46"/>
      <c r="QS198" s="45"/>
      <c r="QT198" s="46"/>
      <c r="QW198" s="45"/>
      <c r="QX198" s="46"/>
      <c r="RC198" s="45"/>
      <c r="RD198" s="42"/>
      <c r="RE198" s="44"/>
      <c r="RG198" s="44"/>
      <c r="RI198" s="45"/>
      <c r="RJ198" s="42"/>
      <c r="RO198" s="43"/>
      <c r="RP198" s="42"/>
      <c r="RS198" s="43"/>
      <c r="RT198" s="42"/>
      <c r="RY198" s="43"/>
      <c r="RZ198" s="42"/>
      <c r="SE198" s="43"/>
      <c r="SF198" s="42"/>
      <c r="SK198" s="43"/>
      <c r="SL198" s="42"/>
      <c r="SO198" s="43"/>
      <c r="SP198" s="42"/>
      <c r="SU198" s="43"/>
    </row>
    <row r="199" spans="1:515" x14ac:dyDescent="0.25">
      <c r="A199" s="47" t="s">
        <v>506</v>
      </c>
      <c r="B199" s="41">
        <v>0.4</v>
      </c>
      <c r="E199">
        <v>282</v>
      </c>
      <c r="F199">
        <v>72</v>
      </c>
      <c r="G199">
        <v>345</v>
      </c>
      <c r="J199" s="40">
        <v>252</v>
      </c>
      <c r="K199" s="52">
        <v>252</v>
      </c>
      <c r="L199" s="52">
        <v>204</v>
      </c>
      <c r="M199" s="52">
        <v>206</v>
      </c>
      <c r="N199" s="51">
        <f t="shared" si="18"/>
        <v>-2</v>
      </c>
      <c r="O199" s="43"/>
      <c r="P199" s="40">
        <v>168</v>
      </c>
      <c r="Q199" s="52">
        <v>171</v>
      </c>
      <c r="R199" s="52">
        <v>144</v>
      </c>
      <c r="S199" s="52">
        <v>147</v>
      </c>
      <c r="T199" s="51">
        <f t="shared" si="19"/>
        <v>-6</v>
      </c>
      <c r="U199" s="43"/>
      <c r="V199" s="40">
        <v>210</v>
      </c>
      <c r="W199" s="52">
        <v>214</v>
      </c>
      <c r="X199" s="52">
        <v>102</v>
      </c>
      <c r="Y199" s="52">
        <v>107</v>
      </c>
      <c r="Z199" s="51">
        <f t="shared" si="20"/>
        <v>-9</v>
      </c>
      <c r="AA199" s="43"/>
      <c r="AB199" s="40">
        <v>342</v>
      </c>
      <c r="AC199" s="56">
        <v>342.38095238095241</v>
      </c>
      <c r="AD199" s="52">
        <v>372</v>
      </c>
      <c r="AE199" s="56">
        <v>376.61904761904759</v>
      </c>
      <c r="AF199" s="51">
        <v>-5</v>
      </c>
      <c r="AG199" s="43"/>
      <c r="AH199" s="52">
        <v>102</v>
      </c>
      <c r="AI199">
        <v>102</v>
      </c>
      <c r="AJ199">
        <v>78</v>
      </c>
      <c r="AK199">
        <v>81</v>
      </c>
      <c r="AL199" s="47">
        <v>-3</v>
      </c>
      <c r="AM199" s="43"/>
      <c r="AN199" s="42"/>
      <c r="AR199" s="47">
        <v>0</v>
      </c>
      <c r="AS199" s="43"/>
      <c r="AT199">
        <v>276</v>
      </c>
      <c r="AV199">
        <v>6</v>
      </c>
      <c r="AX199" s="47">
        <v>0</v>
      </c>
      <c r="AY199" s="43"/>
      <c r="AZ199">
        <v>348</v>
      </c>
      <c r="BB199">
        <v>390</v>
      </c>
      <c r="BD199" s="47">
        <v>0</v>
      </c>
      <c r="BE199" s="43"/>
      <c r="BF199" s="42"/>
      <c r="BJ199" s="47">
        <v>0</v>
      </c>
      <c r="BK199" s="43"/>
      <c r="BL199" s="42"/>
      <c r="BP199" s="47">
        <v>0</v>
      </c>
      <c r="BQ199" s="43"/>
      <c r="BW199" s="43"/>
      <c r="BX199" s="42"/>
      <c r="CC199" s="43"/>
      <c r="CI199" s="43"/>
      <c r="CO199" s="43"/>
      <c r="CP199" s="42"/>
      <c r="CU199" s="43"/>
      <c r="CV199" s="42"/>
      <c r="DA199" s="43"/>
      <c r="DH199" s="43"/>
      <c r="DL199" s="43"/>
      <c r="DM199" s="42"/>
      <c r="DR199" s="43"/>
      <c r="DX199" s="43"/>
      <c r="ED199" s="43"/>
      <c r="EE199" s="42"/>
      <c r="EJ199" s="43"/>
      <c r="EP199" s="43"/>
      <c r="EQ199" s="42"/>
      <c r="EV199" s="43"/>
      <c r="EW199" s="42"/>
      <c r="FD199" s="43"/>
      <c r="FE199" s="42"/>
      <c r="FJ199" s="43"/>
      <c r="FR199" s="43"/>
      <c r="FS199" s="42"/>
      <c r="FV199" s="47"/>
      <c r="FX199" s="43"/>
      <c r="FY199" s="42"/>
      <c r="GD199" s="43"/>
      <c r="GE199" s="40"/>
      <c r="GJ199" s="43"/>
      <c r="GR199" s="43"/>
      <c r="GY199" s="43"/>
      <c r="GZ199" s="40"/>
      <c r="HD199" s="43"/>
      <c r="HE199" s="42"/>
      <c r="HH199" s="47"/>
      <c r="HI199" s="43"/>
      <c r="HO199" s="43"/>
      <c r="HP199" s="42"/>
      <c r="HV199" s="43"/>
      <c r="IB199" s="43"/>
      <c r="IC199" s="42"/>
      <c r="IH199" s="43"/>
      <c r="IN199" s="43"/>
      <c r="IO199" s="42"/>
      <c r="IR199" s="43"/>
      <c r="IS199" s="42"/>
      <c r="IX199" s="43"/>
      <c r="IY199" s="40"/>
      <c r="JB199" s="43"/>
      <c r="JC199" s="42"/>
      <c r="JH199" s="43"/>
      <c r="JI199" s="44"/>
      <c r="JK199" s="44"/>
      <c r="JP199" s="43"/>
      <c r="JQ199" s="42"/>
      <c r="JV199" s="43"/>
      <c r="KB199" s="45"/>
      <c r="KH199" s="45"/>
      <c r="KN199" s="45"/>
      <c r="KT199" s="43"/>
      <c r="KX199" s="45"/>
      <c r="LD199" s="43"/>
      <c r="LE199" s="40"/>
      <c r="LH199" s="45"/>
      <c r="LN199" s="45"/>
      <c r="LT199" s="45"/>
      <c r="LZ199" s="45"/>
      <c r="MB199" s="41"/>
      <c r="MF199" s="45"/>
      <c r="MG199" s="46"/>
      <c r="MN199" s="45"/>
      <c r="MT199" s="45"/>
      <c r="MZ199" s="45"/>
      <c r="NA199" s="46"/>
      <c r="ND199" s="45"/>
      <c r="NE199" s="46"/>
      <c r="NK199" s="45"/>
      <c r="NL199" s="46"/>
      <c r="NQ199" s="45"/>
      <c r="NR199" s="46"/>
      <c r="NU199" s="45"/>
      <c r="NV199" s="46"/>
      <c r="OA199" s="45"/>
      <c r="OB199" s="46"/>
      <c r="OC199" s="44"/>
      <c r="OE199" s="45"/>
      <c r="OF199" s="46"/>
      <c r="OK199" s="45"/>
      <c r="OM199" s="43"/>
      <c r="OQ199" s="45"/>
      <c r="OR199" s="46"/>
      <c r="OW199" s="45"/>
      <c r="OX199" s="46"/>
      <c r="PC199" s="45"/>
      <c r="PD199" s="46"/>
      <c r="PE199" s="44"/>
      <c r="PI199" s="45"/>
      <c r="PJ199" s="46"/>
      <c r="PO199" s="45"/>
      <c r="PP199" s="46"/>
      <c r="PR199" s="44"/>
      <c r="PU199" s="45"/>
      <c r="PV199" s="46"/>
      <c r="PY199" s="45"/>
      <c r="PZ199" s="46"/>
      <c r="QB199" s="44"/>
      <c r="QC199" s="45"/>
      <c r="QD199" s="46"/>
      <c r="QI199" s="45"/>
      <c r="QJ199" s="46"/>
      <c r="QM199" s="45"/>
      <c r="QN199" s="46"/>
      <c r="QS199" s="45"/>
      <c r="QT199" s="46"/>
      <c r="QW199" s="45"/>
      <c r="QX199" s="46"/>
      <c r="RC199" s="45"/>
      <c r="RD199" s="42"/>
      <c r="RE199" s="44"/>
      <c r="RG199" s="44"/>
      <c r="RI199" s="45"/>
      <c r="RJ199" s="42"/>
      <c r="RO199" s="43"/>
      <c r="RP199" s="42"/>
      <c r="RS199" s="43"/>
      <c r="RT199" s="42"/>
      <c r="RY199" s="43"/>
      <c r="RZ199" s="42"/>
      <c r="SE199" s="43"/>
      <c r="SF199" s="42"/>
      <c r="SK199" s="43"/>
      <c r="SL199" s="42"/>
      <c r="SO199" s="43"/>
      <c r="SP199" s="42"/>
      <c r="SU199" s="43"/>
    </row>
    <row r="200" spans="1:515" x14ac:dyDescent="0.25">
      <c r="A200" s="47" t="s">
        <v>507</v>
      </c>
      <c r="B200" s="41">
        <v>0.33</v>
      </c>
      <c r="J200" s="42"/>
      <c r="K200" s="51"/>
      <c r="L200" s="51"/>
      <c r="M200" s="51"/>
      <c r="N200" s="51">
        <f t="shared" si="18"/>
        <v>0</v>
      </c>
      <c r="O200" s="43"/>
      <c r="P200" s="46"/>
      <c r="Q200" s="51"/>
      <c r="R200" s="51"/>
      <c r="S200" s="51"/>
      <c r="T200" s="51">
        <f t="shared" si="19"/>
        <v>0</v>
      </c>
      <c r="U200" s="43"/>
      <c r="V200" s="42"/>
      <c r="W200" s="51"/>
      <c r="X200" s="51"/>
      <c r="Y200" s="51"/>
      <c r="Z200" s="51">
        <f t="shared" si="20"/>
        <v>0</v>
      </c>
      <c r="AA200" s="43"/>
      <c r="AB200" s="42"/>
      <c r="AC200" s="51"/>
      <c r="AD200" s="51"/>
      <c r="AE200" s="51"/>
      <c r="AF200" s="51">
        <v>0</v>
      </c>
      <c r="AG200" s="43"/>
      <c r="AH200" s="51"/>
      <c r="AL200" s="47">
        <v>0</v>
      </c>
      <c r="AM200" s="43"/>
      <c r="AN200" s="42"/>
      <c r="AR200" s="47">
        <v>0</v>
      </c>
      <c r="AS200" s="43"/>
      <c r="AX200" s="47">
        <v>0</v>
      </c>
      <c r="AY200" s="43"/>
      <c r="BD200" s="47">
        <v>0</v>
      </c>
      <c r="BE200" s="43"/>
      <c r="BF200" s="42"/>
      <c r="BJ200" s="47">
        <v>0</v>
      </c>
      <c r="BK200" s="43"/>
      <c r="BL200" s="42"/>
      <c r="BP200" s="47">
        <v>0</v>
      </c>
      <c r="BQ200" s="43"/>
      <c r="BV200" s="47">
        <v>0</v>
      </c>
      <c r="BW200" s="43"/>
      <c r="BX200" s="42"/>
      <c r="CB200" s="47">
        <v>0</v>
      </c>
      <c r="CC200" s="43"/>
      <c r="CH200" s="47">
        <v>0</v>
      </c>
      <c r="CI200" s="43"/>
      <c r="CN200" s="47">
        <v>0</v>
      </c>
      <c r="CO200" s="43"/>
      <c r="CP200" s="42"/>
      <c r="CT200" s="47">
        <v>0</v>
      </c>
      <c r="CU200" s="43"/>
      <c r="CV200" s="42"/>
      <c r="CZ200" s="47">
        <v>0</v>
      </c>
      <c r="DA200" s="43"/>
      <c r="DG200" s="47">
        <v>0</v>
      </c>
      <c r="DH200" s="43"/>
      <c r="DK200" s="47">
        <v>0</v>
      </c>
      <c r="DL200" s="43"/>
      <c r="DM200" s="42"/>
      <c r="DQ200" s="47">
        <v>0</v>
      </c>
      <c r="DR200" s="43"/>
      <c r="DW200" s="47">
        <v>0</v>
      </c>
      <c r="DX200" s="43"/>
      <c r="EC200" s="47">
        <v>0</v>
      </c>
      <c r="ED200" s="43"/>
      <c r="EE200" s="42"/>
      <c r="EI200" s="47">
        <v>0</v>
      </c>
      <c r="EJ200" s="43"/>
      <c r="EO200" s="47">
        <v>0</v>
      </c>
      <c r="EP200" s="43"/>
      <c r="EQ200" s="42"/>
      <c r="EU200" s="47">
        <v>0</v>
      </c>
      <c r="EV200" s="43"/>
      <c r="EW200" s="42"/>
      <c r="EY200">
        <v>296</v>
      </c>
      <c r="EZ200">
        <v>300</v>
      </c>
      <c r="FA200">
        <v>176</v>
      </c>
      <c r="FB200">
        <v>180</v>
      </c>
      <c r="FC200" s="47">
        <v>-8</v>
      </c>
      <c r="FD200" s="43"/>
      <c r="FE200" s="42"/>
      <c r="FI200" s="47">
        <v>0</v>
      </c>
      <c r="FJ200" s="43"/>
      <c r="FK200">
        <v>96</v>
      </c>
      <c r="FL200">
        <v>100</v>
      </c>
      <c r="FM200">
        <v>128</v>
      </c>
      <c r="FN200">
        <v>130</v>
      </c>
      <c r="FO200">
        <v>96</v>
      </c>
      <c r="FP200">
        <v>100</v>
      </c>
      <c r="FQ200" s="47">
        <v>-10</v>
      </c>
      <c r="FR200" s="43"/>
      <c r="FS200" s="42"/>
      <c r="FW200" s="47">
        <v>0</v>
      </c>
      <c r="FX200" s="43"/>
      <c r="FY200" s="42"/>
      <c r="GA200">
        <v>216</v>
      </c>
      <c r="GB200">
        <v>220</v>
      </c>
      <c r="GC200" s="47">
        <v>-4</v>
      </c>
      <c r="GD200" s="43"/>
      <c r="GE200" s="42"/>
      <c r="GI200" s="47">
        <v>0</v>
      </c>
      <c r="GJ200" s="43"/>
      <c r="GQ200" s="47">
        <v>0</v>
      </c>
      <c r="GR200" s="43"/>
      <c r="GU200">
        <v>192</v>
      </c>
      <c r="GW200">
        <v>190</v>
      </c>
      <c r="GX200" s="47">
        <v>2</v>
      </c>
      <c r="GY200" s="43"/>
      <c r="GZ200" s="42"/>
      <c r="HC200" s="47">
        <v>0</v>
      </c>
      <c r="HD200" s="43"/>
      <c r="HE200" s="40">
        <v>288</v>
      </c>
      <c r="HH200" s="47">
        <v>0</v>
      </c>
      <c r="HI200" s="43"/>
      <c r="HO200" s="43"/>
      <c r="HP200" s="42"/>
      <c r="HV200" s="43"/>
      <c r="HW200" s="48"/>
      <c r="HY200" s="37"/>
      <c r="IB200" s="43"/>
      <c r="IC200" s="42"/>
      <c r="IH200" s="43"/>
      <c r="IN200" s="43"/>
      <c r="IO200" s="42"/>
      <c r="IR200" s="43"/>
      <c r="IS200" s="42"/>
      <c r="IX200" s="43"/>
      <c r="IY200" s="40"/>
      <c r="JB200" s="43"/>
      <c r="JC200" s="42"/>
      <c r="JH200" s="43"/>
      <c r="JP200" s="43"/>
      <c r="JQ200" s="42"/>
      <c r="JV200" s="43"/>
      <c r="KB200" s="45"/>
      <c r="KH200" s="45"/>
      <c r="KN200" s="45"/>
      <c r="KT200" s="43"/>
      <c r="KX200" s="45"/>
      <c r="LD200" s="43"/>
      <c r="LE200" s="40"/>
      <c r="LH200" s="45"/>
      <c r="LN200" s="45"/>
      <c r="LT200" s="45"/>
      <c r="LZ200" s="45"/>
      <c r="MB200" s="41"/>
      <c r="MF200" s="45"/>
      <c r="MG200" s="46"/>
      <c r="MN200" s="45"/>
      <c r="MT200" s="45"/>
      <c r="MZ200" s="45"/>
      <c r="NA200" s="46"/>
      <c r="ND200" s="45"/>
      <c r="NE200" s="46"/>
      <c r="NK200" s="45"/>
      <c r="NL200" s="46"/>
      <c r="NQ200" s="45"/>
      <c r="NR200" s="46"/>
      <c r="NU200" s="45"/>
      <c r="NV200" s="46"/>
      <c r="OA200" s="45"/>
      <c r="OB200" s="46"/>
      <c r="OC200" s="44"/>
      <c r="OE200" s="45"/>
      <c r="OF200" s="46"/>
      <c r="OK200" s="45"/>
      <c r="OM200" s="43"/>
      <c r="OQ200" s="45"/>
      <c r="OR200" s="46"/>
      <c r="OW200" s="45"/>
      <c r="OX200" s="46"/>
      <c r="PC200" s="45"/>
      <c r="PD200" s="46"/>
      <c r="PE200" s="44"/>
      <c r="PI200" s="45"/>
      <c r="PJ200" s="46"/>
      <c r="PO200" s="45"/>
      <c r="PP200" s="46"/>
      <c r="PR200" s="44"/>
      <c r="PU200" s="45"/>
      <c r="PV200" s="46"/>
      <c r="PY200" s="45"/>
      <c r="PZ200" s="46"/>
      <c r="QB200" s="44"/>
      <c r="QC200" s="45"/>
      <c r="QD200" s="46"/>
      <c r="QI200" s="45"/>
      <c r="QJ200" s="46"/>
      <c r="QM200" s="45"/>
      <c r="QN200" s="46"/>
      <c r="QS200" s="45"/>
      <c r="QT200" s="46"/>
      <c r="QW200" s="45"/>
      <c r="QX200" s="46"/>
      <c r="RC200" s="45"/>
      <c r="RD200" s="42"/>
      <c r="RE200" s="44"/>
      <c r="RG200" s="44"/>
      <c r="RI200" s="45"/>
      <c r="RJ200" s="42"/>
      <c r="RO200" s="43"/>
      <c r="RP200" s="42"/>
      <c r="RS200" s="43"/>
      <c r="RT200" s="42"/>
      <c r="RY200" s="43"/>
      <c r="RZ200" s="42"/>
      <c r="SE200" s="43"/>
      <c r="SF200" s="42"/>
      <c r="SK200" s="43"/>
      <c r="SL200" s="42"/>
      <c r="SO200" s="43"/>
      <c r="SP200" s="42"/>
      <c r="SU200" s="43"/>
    </row>
    <row r="201" spans="1:515" x14ac:dyDescent="0.25">
      <c r="A201" s="47" t="s">
        <v>508</v>
      </c>
      <c r="B201" s="41">
        <v>0.3</v>
      </c>
      <c r="J201" s="42"/>
      <c r="K201" s="51"/>
      <c r="L201" s="52">
        <v>14</v>
      </c>
      <c r="M201" s="52">
        <v>16</v>
      </c>
      <c r="N201" s="51">
        <f t="shared" si="18"/>
        <v>-2</v>
      </c>
      <c r="O201" s="43"/>
      <c r="P201" s="40">
        <v>21</v>
      </c>
      <c r="Q201" s="52">
        <v>26</v>
      </c>
      <c r="R201" s="52">
        <v>21</v>
      </c>
      <c r="S201" s="52">
        <v>23</v>
      </c>
      <c r="T201" s="51">
        <f t="shared" si="19"/>
        <v>-7</v>
      </c>
      <c r="U201" s="43"/>
      <c r="V201" s="40">
        <v>7</v>
      </c>
      <c r="W201" s="52">
        <v>7</v>
      </c>
      <c r="X201" s="51"/>
      <c r="Y201" s="51"/>
      <c r="Z201" s="51">
        <f t="shared" si="20"/>
        <v>0</v>
      </c>
      <c r="AA201" s="43"/>
      <c r="AB201" s="42"/>
      <c r="AC201" s="51"/>
      <c r="AD201" s="52">
        <v>7</v>
      </c>
      <c r="AE201" s="56">
        <v>12</v>
      </c>
      <c r="AF201" s="51">
        <v>-5</v>
      </c>
      <c r="AG201" s="43"/>
      <c r="AH201" s="51"/>
      <c r="AL201" s="47">
        <v>0</v>
      </c>
      <c r="AM201" s="43"/>
      <c r="AN201" s="42"/>
      <c r="AP201">
        <v>56</v>
      </c>
      <c r="AQ201">
        <v>61</v>
      </c>
      <c r="AR201" s="47">
        <v>-5</v>
      </c>
      <c r="AS201" s="43"/>
      <c r="AV201">
        <v>35</v>
      </c>
      <c r="AW201">
        <v>35</v>
      </c>
      <c r="AX201" s="47">
        <v>0</v>
      </c>
      <c r="AY201" s="43"/>
      <c r="BD201" s="47">
        <v>0</v>
      </c>
      <c r="BE201" s="43"/>
      <c r="BF201" s="42"/>
      <c r="BH201">
        <v>42</v>
      </c>
      <c r="BI201">
        <v>40</v>
      </c>
      <c r="BJ201" s="47">
        <v>2</v>
      </c>
      <c r="BK201" s="43"/>
      <c r="BL201" s="42"/>
      <c r="BM201">
        <v>7</v>
      </c>
      <c r="BP201" s="47">
        <v>-7</v>
      </c>
      <c r="BQ201" s="43"/>
      <c r="BT201">
        <v>35</v>
      </c>
      <c r="BU201">
        <v>34</v>
      </c>
      <c r="BV201" s="47">
        <v>1</v>
      </c>
      <c r="BW201" s="43"/>
      <c r="BX201" s="40">
        <v>7</v>
      </c>
      <c r="BY201">
        <v>7</v>
      </c>
      <c r="BZ201">
        <v>7</v>
      </c>
      <c r="CA201">
        <v>8</v>
      </c>
      <c r="CB201" s="47">
        <v>-1</v>
      </c>
      <c r="CC201" s="43"/>
      <c r="CF201">
        <v>7</v>
      </c>
      <c r="CG201">
        <v>11</v>
      </c>
      <c r="CH201" s="47">
        <v>-4</v>
      </c>
      <c r="CI201" s="43"/>
      <c r="CJ201">
        <v>42</v>
      </c>
      <c r="CK201">
        <v>42</v>
      </c>
      <c r="CL201">
        <v>49</v>
      </c>
      <c r="CM201">
        <v>47</v>
      </c>
      <c r="CN201" s="47">
        <v>2</v>
      </c>
      <c r="CO201" s="43"/>
      <c r="CP201" s="42"/>
      <c r="CR201">
        <v>7</v>
      </c>
      <c r="CS201">
        <v>9</v>
      </c>
      <c r="CT201" s="47">
        <v>-2</v>
      </c>
      <c r="CU201" s="43"/>
      <c r="CV201" s="42"/>
      <c r="CX201">
        <v>56</v>
      </c>
      <c r="CY201">
        <v>60</v>
      </c>
      <c r="CZ201" s="47">
        <v>-4</v>
      </c>
      <c r="DA201" s="43"/>
      <c r="DG201" s="47">
        <v>0</v>
      </c>
      <c r="DH201" s="43"/>
      <c r="DK201" s="47">
        <v>0</v>
      </c>
      <c r="DL201" s="43"/>
      <c r="DM201" s="42"/>
      <c r="DO201">
        <v>77</v>
      </c>
      <c r="DP201">
        <v>77</v>
      </c>
      <c r="DQ201" s="47">
        <v>0</v>
      </c>
      <c r="DR201" s="43"/>
      <c r="DU201">
        <v>56</v>
      </c>
      <c r="DV201">
        <v>60</v>
      </c>
      <c r="DW201" s="47">
        <v>-4</v>
      </c>
      <c r="DX201" s="43"/>
      <c r="EC201" s="47">
        <v>0</v>
      </c>
      <c r="ED201" s="43"/>
      <c r="EE201" s="42"/>
      <c r="EI201" s="47">
        <v>0</v>
      </c>
      <c r="EJ201" s="43"/>
      <c r="EO201" s="47">
        <v>0</v>
      </c>
      <c r="EP201" s="43"/>
      <c r="EQ201" s="42"/>
      <c r="EU201" s="47">
        <v>0</v>
      </c>
      <c r="EV201" s="43"/>
      <c r="EW201" s="42"/>
      <c r="FC201" s="47">
        <v>0</v>
      </c>
      <c r="FD201" s="43"/>
      <c r="FE201" s="42"/>
      <c r="FG201">
        <v>392</v>
      </c>
      <c r="FH201">
        <v>390</v>
      </c>
      <c r="FI201" s="47">
        <v>2</v>
      </c>
      <c r="FJ201" s="43"/>
      <c r="FQ201" s="47">
        <v>0</v>
      </c>
      <c r="FR201" s="43"/>
      <c r="FS201" s="42"/>
      <c r="FW201" s="47">
        <v>0</v>
      </c>
      <c r="FX201" s="43"/>
      <c r="FY201" s="42"/>
      <c r="GB201" s="47">
        <v>200</v>
      </c>
      <c r="GC201" s="50">
        <v>-200</v>
      </c>
      <c r="GD201" s="43">
        <v>60</v>
      </c>
      <c r="GE201" s="42">
        <v>497</v>
      </c>
      <c r="GF201" s="47">
        <v>500</v>
      </c>
      <c r="GI201" s="47">
        <v>-3</v>
      </c>
      <c r="GJ201" s="43"/>
      <c r="GQ201" s="47">
        <v>0</v>
      </c>
      <c r="GR201" s="43"/>
      <c r="GX201" s="47">
        <v>0</v>
      </c>
      <c r="GY201" s="43"/>
      <c r="GZ201" s="42"/>
      <c r="HC201" s="47">
        <v>0</v>
      </c>
      <c r="HD201" s="43"/>
      <c r="HE201" s="42"/>
      <c r="HH201" s="47">
        <v>0</v>
      </c>
      <c r="HI201" s="43"/>
      <c r="HO201" s="43"/>
      <c r="HP201" s="42"/>
      <c r="HV201" s="43"/>
      <c r="HW201" s="48"/>
      <c r="HY201" s="37"/>
      <c r="IB201" s="43"/>
      <c r="IC201" s="42"/>
      <c r="IH201" s="43"/>
      <c r="IN201" s="43"/>
      <c r="IO201" s="42"/>
      <c r="IR201" s="43"/>
      <c r="IS201" s="42"/>
      <c r="IX201" s="43"/>
      <c r="IY201" s="40"/>
      <c r="JB201" s="43"/>
      <c r="JC201" s="42"/>
      <c r="JH201" s="43"/>
      <c r="JP201" s="43"/>
      <c r="JQ201" s="42"/>
      <c r="JV201" s="43"/>
      <c r="KB201" s="45"/>
      <c r="KH201" s="45"/>
      <c r="KN201" s="45"/>
      <c r="KT201" s="43"/>
      <c r="KX201" s="45"/>
      <c r="LD201" s="43"/>
      <c r="LE201" s="40"/>
      <c r="LH201" s="45"/>
      <c r="LN201" s="45"/>
      <c r="LT201" s="45"/>
      <c r="LZ201" s="45"/>
      <c r="MB201" s="41"/>
      <c r="MF201" s="45"/>
      <c r="MG201" s="46"/>
      <c r="MN201" s="45"/>
      <c r="MT201" s="45"/>
      <c r="MZ201" s="45"/>
      <c r="NA201" s="46"/>
      <c r="ND201" s="45"/>
      <c r="NE201" s="46"/>
      <c r="NK201" s="45"/>
      <c r="NL201" s="46"/>
      <c r="NQ201" s="45"/>
      <c r="NR201" s="46"/>
      <c r="NU201" s="45"/>
      <c r="NV201" s="46"/>
      <c r="OA201" s="45"/>
      <c r="OB201" s="46"/>
      <c r="OC201" s="44"/>
      <c r="OE201" s="45"/>
      <c r="OF201" s="46"/>
      <c r="OK201" s="45"/>
      <c r="OM201" s="43"/>
      <c r="OQ201" s="45"/>
      <c r="OR201" s="46"/>
      <c r="OW201" s="45"/>
      <c r="OX201" s="46"/>
      <c r="PC201" s="45"/>
      <c r="PD201" s="46"/>
      <c r="PE201" s="44"/>
      <c r="PI201" s="45"/>
      <c r="PJ201" s="46"/>
      <c r="PO201" s="45"/>
      <c r="PP201" s="46"/>
      <c r="PR201" s="44"/>
      <c r="PU201" s="45"/>
      <c r="PV201" s="46"/>
      <c r="PY201" s="45"/>
      <c r="PZ201" s="46"/>
      <c r="QB201" s="44"/>
      <c r="QC201" s="45"/>
      <c r="QD201" s="46"/>
      <c r="QI201" s="45"/>
      <c r="QJ201" s="46"/>
      <c r="QM201" s="45"/>
      <c r="QN201" s="46"/>
      <c r="QS201" s="45"/>
      <c r="QT201" s="46"/>
      <c r="QW201" s="45"/>
      <c r="QX201" s="46"/>
      <c r="RC201" s="45"/>
      <c r="RD201" s="42"/>
      <c r="RE201" s="44"/>
      <c r="RG201" s="44"/>
      <c r="RI201" s="45"/>
      <c r="RJ201" s="42"/>
      <c r="RO201" s="43"/>
      <c r="RP201" s="42"/>
      <c r="RS201" s="43"/>
      <c r="RT201" s="42"/>
      <c r="RY201" s="43"/>
      <c r="RZ201" s="42"/>
      <c r="SE201" s="43"/>
      <c r="SF201" s="42"/>
      <c r="SK201" s="43"/>
      <c r="SL201" s="42"/>
      <c r="SO201" s="43"/>
      <c r="SP201" s="42"/>
      <c r="SU201" s="43"/>
    </row>
    <row r="202" spans="1:515" x14ac:dyDescent="0.25">
      <c r="A202" s="47" t="s">
        <v>509</v>
      </c>
      <c r="B202" s="41">
        <v>0.33</v>
      </c>
      <c r="E202">
        <v>20</v>
      </c>
      <c r="J202" s="40">
        <v>30</v>
      </c>
      <c r="K202" s="52">
        <v>31</v>
      </c>
      <c r="L202" s="52">
        <v>24</v>
      </c>
      <c r="M202" s="52">
        <v>25</v>
      </c>
      <c r="N202" s="51">
        <f t="shared" si="18"/>
        <v>-2</v>
      </c>
      <c r="O202" s="43"/>
      <c r="P202" s="46"/>
      <c r="Q202" s="51"/>
      <c r="R202" s="51"/>
      <c r="S202" s="51"/>
      <c r="T202" s="51">
        <f t="shared" si="19"/>
        <v>0</v>
      </c>
      <c r="U202" s="43"/>
      <c r="V202" s="40">
        <v>24</v>
      </c>
      <c r="W202" s="52">
        <v>24</v>
      </c>
      <c r="X202" s="52">
        <v>30</v>
      </c>
      <c r="Y202" s="52">
        <v>30</v>
      </c>
      <c r="Z202" s="51">
        <f t="shared" si="20"/>
        <v>0</v>
      </c>
      <c r="AA202" s="43"/>
      <c r="AB202" s="42"/>
      <c r="AC202" s="51"/>
      <c r="AD202" s="52">
        <v>12</v>
      </c>
      <c r="AE202" s="56">
        <v>15</v>
      </c>
      <c r="AF202" s="51">
        <v>-3</v>
      </c>
      <c r="AG202" s="43"/>
      <c r="AH202" s="51"/>
      <c r="AJ202">
        <v>12</v>
      </c>
      <c r="AK202">
        <v>17</v>
      </c>
      <c r="AL202" s="47">
        <v>-5</v>
      </c>
      <c r="AM202" s="43"/>
      <c r="AN202" s="42"/>
      <c r="AP202">
        <v>36</v>
      </c>
      <c r="AQ202">
        <v>39</v>
      </c>
      <c r="AR202" s="47">
        <v>-3</v>
      </c>
      <c r="AS202" s="43"/>
      <c r="AX202" s="47">
        <v>0</v>
      </c>
      <c r="AY202" s="43"/>
      <c r="BB202">
        <v>42</v>
      </c>
      <c r="BC202">
        <v>43</v>
      </c>
      <c r="BD202" s="47">
        <v>-1</v>
      </c>
      <c r="BE202" s="43"/>
      <c r="BF202" s="42"/>
      <c r="BH202">
        <v>6</v>
      </c>
      <c r="BI202">
        <v>6</v>
      </c>
      <c r="BJ202" s="47">
        <v>0</v>
      </c>
      <c r="BK202" s="43"/>
      <c r="BL202" s="42"/>
      <c r="BN202">
        <v>30</v>
      </c>
      <c r="BO202">
        <v>31</v>
      </c>
      <c r="BP202" s="47">
        <v>-1</v>
      </c>
      <c r="BQ202" s="43"/>
      <c r="BV202" s="47">
        <v>0</v>
      </c>
      <c r="BW202" s="43"/>
      <c r="BX202" s="42"/>
      <c r="BZ202">
        <v>18</v>
      </c>
      <c r="CA202">
        <v>19</v>
      </c>
      <c r="CB202" s="47">
        <v>-1</v>
      </c>
      <c r="CC202" s="43"/>
      <c r="CH202" s="47">
        <v>0</v>
      </c>
      <c r="CI202" s="43"/>
      <c r="CN202" s="47">
        <v>0</v>
      </c>
      <c r="CO202" s="43"/>
      <c r="CP202" s="42"/>
      <c r="CR202">
        <v>24</v>
      </c>
      <c r="CT202" s="47">
        <v>0</v>
      </c>
      <c r="CU202" s="43"/>
      <c r="CV202" s="42"/>
      <c r="CZ202" s="47">
        <v>0</v>
      </c>
      <c r="DA202" s="43"/>
      <c r="DE202">
        <v>6</v>
      </c>
      <c r="DG202" s="47">
        <v>0</v>
      </c>
      <c r="DH202" s="43"/>
      <c r="DK202" s="47">
        <v>0</v>
      </c>
      <c r="DL202" s="43"/>
      <c r="DM202" s="40">
        <v>24</v>
      </c>
      <c r="DQ202" s="47">
        <v>0</v>
      </c>
      <c r="DR202" s="43"/>
      <c r="DW202" s="47">
        <v>0</v>
      </c>
      <c r="DX202" s="43"/>
      <c r="EA202" s="38">
        <v>24</v>
      </c>
      <c r="EC202" s="47">
        <v>0</v>
      </c>
      <c r="ED202" s="43"/>
      <c r="EE202" s="42"/>
      <c r="EG202">
        <v>18</v>
      </c>
      <c r="EI202" s="47">
        <v>0</v>
      </c>
      <c r="EJ202" s="43"/>
      <c r="EM202">
        <v>18</v>
      </c>
      <c r="EO202" s="47">
        <v>0</v>
      </c>
      <c r="EP202" s="43"/>
      <c r="EQ202" s="42"/>
      <c r="EU202" s="47">
        <v>0</v>
      </c>
      <c r="EV202" s="43"/>
      <c r="EW202" s="42"/>
      <c r="FA202">
        <v>6</v>
      </c>
      <c r="FC202" s="47">
        <v>0</v>
      </c>
      <c r="FD202" s="43"/>
      <c r="FE202" s="42"/>
      <c r="FG202">
        <v>18</v>
      </c>
      <c r="FI202" s="47">
        <v>0</v>
      </c>
      <c r="FJ202" s="43"/>
      <c r="FQ202" s="47">
        <v>0</v>
      </c>
      <c r="FR202" s="43"/>
      <c r="FS202" s="42"/>
      <c r="FU202">
        <v>6</v>
      </c>
      <c r="FW202" s="47">
        <v>0</v>
      </c>
      <c r="FX202" s="43"/>
      <c r="FY202" s="42"/>
      <c r="GA202">
        <v>6</v>
      </c>
      <c r="GC202" s="47">
        <v>0</v>
      </c>
      <c r="GD202" s="43"/>
      <c r="GE202" s="42"/>
      <c r="GG202" s="47">
        <v>6</v>
      </c>
      <c r="GI202" s="47">
        <v>0</v>
      </c>
      <c r="GJ202" s="43"/>
      <c r="GR202" s="43"/>
      <c r="GY202" s="43"/>
      <c r="GZ202" s="42"/>
      <c r="HD202" s="43"/>
      <c r="HE202" s="42"/>
      <c r="HI202" s="43"/>
      <c r="HO202" s="43"/>
      <c r="HP202" s="42"/>
      <c r="HV202" s="43"/>
      <c r="HW202" s="48"/>
      <c r="HY202" s="37"/>
      <c r="IB202" s="43"/>
      <c r="IC202" s="42"/>
      <c r="IH202" s="43"/>
      <c r="IN202" s="43"/>
      <c r="IO202" s="42"/>
      <c r="IR202" s="43"/>
      <c r="IS202" s="42"/>
      <c r="IX202" s="43"/>
      <c r="IY202" s="40"/>
      <c r="JB202" s="43"/>
      <c r="JC202" s="42"/>
      <c r="JH202" s="43"/>
      <c r="JP202" s="43"/>
      <c r="JQ202" s="42"/>
      <c r="JV202" s="43"/>
      <c r="KB202" s="45"/>
      <c r="KH202" s="45"/>
      <c r="KN202" s="45"/>
      <c r="KT202" s="43"/>
      <c r="KX202" s="45"/>
      <c r="LD202" s="43"/>
      <c r="LE202" s="40"/>
      <c r="LH202" s="45"/>
      <c r="LN202" s="45"/>
      <c r="LT202" s="45"/>
      <c r="LZ202" s="45"/>
      <c r="MB202" s="41"/>
      <c r="MF202" s="45"/>
      <c r="MG202" s="46"/>
      <c r="MN202" s="45"/>
      <c r="MT202" s="45"/>
      <c r="MZ202" s="45"/>
      <c r="NA202" s="46"/>
      <c r="ND202" s="45"/>
      <c r="NE202" s="46"/>
      <c r="NK202" s="45"/>
      <c r="NL202" s="46"/>
      <c r="NQ202" s="45"/>
      <c r="NR202" s="46"/>
      <c r="NU202" s="45"/>
      <c r="NV202" s="46"/>
      <c r="OA202" s="45"/>
      <c r="OB202" s="46"/>
      <c r="OC202" s="44"/>
      <c r="OE202" s="45"/>
      <c r="OF202" s="46"/>
      <c r="OK202" s="45"/>
      <c r="OM202" s="43"/>
      <c r="OQ202" s="45"/>
      <c r="OR202" s="46"/>
      <c r="OW202" s="45"/>
      <c r="OX202" s="46"/>
      <c r="PC202" s="45"/>
      <c r="PD202" s="46"/>
      <c r="PE202" s="44"/>
      <c r="PI202" s="45"/>
      <c r="PJ202" s="46"/>
      <c r="PO202" s="45"/>
      <c r="PP202" s="46"/>
      <c r="PR202" s="44"/>
      <c r="PU202" s="45"/>
      <c r="PV202" s="46"/>
      <c r="PY202" s="45"/>
      <c r="PZ202" s="46"/>
      <c r="QB202" s="44"/>
      <c r="QC202" s="45"/>
      <c r="QD202" s="46"/>
      <c r="QI202" s="45"/>
      <c r="QJ202" s="46"/>
      <c r="QM202" s="45"/>
      <c r="QN202" s="46"/>
      <c r="QS202" s="45"/>
      <c r="QT202" s="46"/>
      <c r="QW202" s="45"/>
      <c r="QX202" s="46"/>
      <c r="RC202" s="45"/>
      <c r="RD202" s="42"/>
      <c r="RE202" s="44"/>
      <c r="RG202" s="44"/>
      <c r="RI202" s="45"/>
      <c r="RJ202" s="42"/>
      <c r="RO202" s="43"/>
      <c r="RP202" s="42"/>
      <c r="RS202" s="43"/>
      <c r="RT202" s="42"/>
      <c r="RY202" s="43"/>
      <c r="RZ202" s="42"/>
      <c r="SE202" s="43"/>
      <c r="SF202" s="42"/>
      <c r="SK202" s="43"/>
      <c r="SL202" s="42"/>
      <c r="SO202" s="43"/>
      <c r="SP202" s="42"/>
      <c r="SU202" s="43"/>
    </row>
    <row r="203" spans="1:515" x14ac:dyDescent="0.25">
      <c r="A203" s="47" t="s">
        <v>510</v>
      </c>
      <c r="B203" s="41">
        <v>1</v>
      </c>
      <c r="J203" s="42"/>
      <c r="K203" s="51"/>
      <c r="L203" s="52">
        <v>15</v>
      </c>
      <c r="M203" s="52">
        <v>15</v>
      </c>
      <c r="N203" s="51">
        <f t="shared" si="18"/>
        <v>0</v>
      </c>
      <c r="O203" s="43"/>
      <c r="P203" s="46"/>
      <c r="Q203" s="51"/>
      <c r="R203" s="52">
        <v>20</v>
      </c>
      <c r="S203" s="52">
        <v>21</v>
      </c>
      <c r="T203" s="51">
        <f t="shared" si="19"/>
        <v>-1</v>
      </c>
      <c r="U203" s="43"/>
      <c r="V203" s="42"/>
      <c r="W203" s="51"/>
      <c r="X203" s="51"/>
      <c r="Y203" s="51"/>
      <c r="Z203" s="51">
        <f t="shared" si="20"/>
        <v>0</v>
      </c>
      <c r="AA203" s="43"/>
      <c r="AB203" s="42"/>
      <c r="AC203" s="51"/>
      <c r="AD203" s="51"/>
      <c r="AE203" s="51"/>
      <c r="AF203" s="51">
        <v>0</v>
      </c>
      <c r="AG203" s="43"/>
      <c r="AH203" s="51"/>
      <c r="AJ203">
        <v>4</v>
      </c>
      <c r="AK203">
        <v>4</v>
      </c>
      <c r="AL203" s="47">
        <v>0</v>
      </c>
      <c r="AM203" s="43"/>
      <c r="AN203" s="42"/>
      <c r="AP203">
        <v>60</v>
      </c>
      <c r="AQ203">
        <v>60</v>
      </c>
      <c r="AR203" s="47">
        <v>0</v>
      </c>
      <c r="AS203" s="43"/>
      <c r="AX203" s="47">
        <v>0</v>
      </c>
      <c r="AY203" s="43"/>
      <c r="BB203">
        <v>50</v>
      </c>
      <c r="BD203" s="47">
        <v>50</v>
      </c>
      <c r="BE203" s="43"/>
      <c r="BF203" s="42"/>
      <c r="BJ203" s="47">
        <v>0</v>
      </c>
      <c r="BK203" s="43"/>
      <c r="BL203" s="42"/>
      <c r="BP203" s="47">
        <v>0</v>
      </c>
      <c r="BQ203" s="43"/>
      <c r="BW203" s="43"/>
      <c r="BX203" s="42"/>
      <c r="CC203" s="43"/>
      <c r="CI203" s="43"/>
      <c r="CO203" s="43"/>
      <c r="CP203" s="42"/>
      <c r="CU203" s="43"/>
      <c r="CV203" s="42"/>
      <c r="DA203" s="43"/>
      <c r="DH203" s="43"/>
      <c r="DL203" s="43"/>
      <c r="DM203" s="40"/>
      <c r="DR203" s="43"/>
      <c r="DX203" s="43"/>
      <c r="ED203" s="43"/>
      <c r="EE203" s="42"/>
      <c r="EJ203" s="43"/>
      <c r="EP203" s="43"/>
      <c r="EQ203" s="42"/>
      <c r="EV203" s="43"/>
      <c r="EW203" s="42"/>
      <c r="FD203" s="43"/>
      <c r="FE203" s="42"/>
      <c r="FJ203" s="43"/>
      <c r="FR203" s="43"/>
      <c r="FS203" s="42"/>
      <c r="FV203" s="47"/>
      <c r="FX203" s="43"/>
      <c r="FY203" s="42"/>
      <c r="GD203" s="43"/>
      <c r="GE203" s="42"/>
      <c r="GJ203" s="43"/>
      <c r="GR203" s="43"/>
      <c r="GY203" s="43"/>
      <c r="GZ203" s="42"/>
      <c r="HD203" s="43"/>
      <c r="HE203" s="42"/>
      <c r="HI203" s="43"/>
      <c r="HO203" s="43"/>
      <c r="HP203" s="42"/>
      <c r="HV203" s="43"/>
      <c r="IB203" s="43"/>
      <c r="IC203" s="42"/>
      <c r="IH203" s="43"/>
      <c r="IN203" s="43"/>
      <c r="IO203" s="42"/>
      <c r="IR203" s="43"/>
      <c r="IS203" s="42"/>
      <c r="IX203" s="43"/>
      <c r="IY203" s="40"/>
      <c r="JB203" s="43"/>
      <c r="JC203" s="42"/>
      <c r="JH203" s="43"/>
      <c r="JI203" s="44"/>
      <c r="JK203" s="44"/>
      <c r="JP203" s="43"/>
      <c r="JQ203" s="42"/>
      <c r="JV203" s="43"/>
      <c r="KB203" s="45"/>
      <c r="KH203" s="45"/>
      <c r="KN203" s="45"/>
      <c r="KT203" s="43"/>
      <c r="KX203" s="45"/>
      <c r="LD203" s="43"/>
      <c r="LE203" s="40"/>
      <c r="LH203" s="45"/>
      <c r="LN203" s="45"/>
      <c r="LT203" s="45"/>
      <c r="LZ203" s="45"/>
      <c r="MB203" s="41"/>
      <c r="MF203" s="45"/>
      <c r="MG203" s="46"/>
      <c r="MN203" s="45"/>
      <c r="MT203" s="45"/>
      <c r="MZ203" s="45"/>
      <c r="NA203" s="46"/>
      <c r="ND203" s="45"/>
      <c r="NE203" s="46"/>
      <c r="NK203" s="45"/>
      <c r="NL203" s="46"/>
      <c r="NQ203" s="45"/>
      <c r="NR203" s="46"/>
      <c r="NU203" s="45"/>
      <c r="NV203" s="46"/>
      <c r="OA203" s="45"/>
      <c r="OB203" s="46"/>
      <c r="OC203" s="44"/>
      <c r="OE203" s="45"/>
      <c r="OF203" s="46"/>
      <c r="OK203" s="45"/>
      <c r="OM203" s="43"/>
      <c r="OQ203" s="45"/>
      <c r="OR203" s="46"/>
      <c r="OW203" s="45"/>
      <c r="OX203" s="46"/>
      <c r="PC203" s="45"/>
      <c r="PD203" s="46"/>
      <c r="PE203" s="44"/>
      <c r="PI203" s="45"/>
      <c r="PJ203" s="46"/>
      <c r="PO203" s="45"/>
      <c r="PP203" s="46"/>
      <c r="PR203" s="44"/>
      <c r="PU203" s="45"/>
      <c r="PV203" s="46"/>
      <c r="PY203" s="45"/>
      <c r="PZ203" s="46"/>
      <c r="QB203" s="44"/>
      <c r="QC203" s="45"/>
      <c r="QD203" s="46"/>
      <c r="QI203" s="45"/>
      <c r="QJ203" s="46"/>
      <c r="QM203" s="45"/>
      <c r="QN203" s="46"/>
      <c r="QS203" s="45"/>
      <c r="QT203" s="46"/>
      <c r="QW203" s="45"/>
      <c r="QX203" s="46"/>
      <c r="RC203" s="45"/>
      <c r="RD203" s="42"/>
      <c r="RE203" s="44"/>
      <c r="RG203" s="44"/>
      <c r="RI203" s="45"/>
      <c r="RJ203" s="42"/>
      <c r="RO203" s="43"/>
      <c r="RP203" s="42"/>
      <c r="RS203" s="43"/>
      <c r="RT203" s="42"/>
      <c r="RY203" s="43"/>
      <c r="RZ203" s="42"/>
      <c r="SE203" s="43"/>
      <c r="SF203" s="42"/>
      <c r="SK203" s="43"/>
      <c r="SL203" s="42"/>
      <c r="SO203" s="43"/>
      <c r="SP203" s="42"/>
      <c r="SU203" s="43"/>
    </row>
    <row r="204" spans="1:515" x14ac:dyDescent="0.25">
      <c r="A204" s="47" t="s">
        <v>511</v>
      </c>
      <c r="B204" s="41">
        <v>0.28000000000000003</v>
      </c>
      <c r="E204">
        <v>32</v>
      </c>
      <c r="J204" s="42"/>
      <c r="K204" s="51"/>
      <c r="L204" s="52">
        <v>32</v>
      </c>
      <c r="M204" s="52">
        <v>32</v>
      </c>
      <c r="N204" s="51">
        <f t="shared" si="18"/>
        <v>0</v>
      </c>
      <c r="O204" s="43"/>
      <c r="P204" s="46"/>
      <c r="Q204" s="51"/>
      <c r="R204" s="51"/>
      <c r="S204" s="51"/>
      <c r="T204" s="51">
        <f t="shared" si="19"/>
        <v>0</v>
      </c>
      <c r="U204" s="43"/>
      <c r="V204" s="40">
        <v>8</v>
      </c>
      <c r="W204" s="52">
        <v>8</v>
      </c>
      <c r="X204" s="51"/>
      <c r="Y204" s="51"/>
      <c r="Z204" s="51">
        <f t="shared" si="20"/>
        <v>0</v>
      </c>
      <c r="AA204" s="43"/>
      <c r="AB204" s="42"/>
      <c r="AC204" s="51"/>
      <c r="AD204" s="51"/>
      <c r="AE204" s="51"/>
      <c r="AF204" s="51">
        <v>0</v>
      </c>
      <c r="AG204" s="43"/>
      <c r="AH204" s="51"/>
      <c r="AJ204">
        <v>24</v>
      </c>
      <c r="AK204">
        <v>30</v>
      </c>
      <c r="AL204" s="47">
        <v>-6</v>
      </c>
      <c r="AM204" s="43"/>
      <c r="AN204" s="42"/>
      <c r="AP204">
        <v>8</v>
      </c>
      <c r="AQ204">
        <v>12</v>
      </c>
      <c r="AR204" s="47">
        <v>-4</v>
      </c>
      <c r="AS204" s="43"/>
      <c r="AX204" s="47">
        <v>0</v>
      </c>
      <c r="AY204" s="43"/>
      <c r="AZ204">
        <v>8</v>
      </c>
      <c r="BA204">
        <v>8</v>
      </c>
      <c r="BD204" s="47">
        <v>0</v>
      </c>
      <c r="BE204" s="43"/>
      <c r="BF204" s="42"/>
      <c r="BH204">
        <v>8</v>
      </c>
      <c r="BI204">
        <v>7</v>
      </c>
      <c r="BJ204" s="47">
        <v>1</v>
      </c>
      <c r="BK204" s="43"/>
      <c r="BL204" s="42"/>
      <c r="BP204" s="47">
        <v>0</v>
      </c>
      <c r="BQ204" s="43"/>
      <c r="BV204" s="47">
        <v>0</v>
      </c>
      <c r="BW204" s="43"/>
      <c r="BX204" s="42">
        <v>16</v>
      </c>
      <c r="BY204" s="47">
        <v>20</v>
      </c>
      <c r="CB204" s="47">
        <v>-4</v>
      </c>
      <c r="CC204" s="43"/>
      <c r="CH204" s="47">
        <v>0</v>
      </c>
      <c r="CI204" s="43"/>
      <c r="CN204" s="47">
        <v>0</v>
      </c>
      <c r="CO204" s="43"/>
      <c r="CP204" s="42"/>
      <c r="CT204" s="47">
        <v>0</v>
      </c>
      <c r="CU204" s="43"/>
      <c r="CV204" s="42"/>
      <c r="CZ204" s="47">
        <v>0</v>
      </c>
      <c r="DA204" s="43"/>
      <c r="DH204" s="43"/>
      <c r="DL204" s="43"/>
      <c r="DM204" s="40"/>
      <c r="DR204" s="43"/>
      <c r="DX204" s="43"/>
      <c r="ED204" s="43"/>
      <c r="EE204" s="42"/>
      <c r="EJ204" s="43"/>
      <c r="EP204" s="43"/>
      <c r="EQ204" s="42"/>
      <c r="EV204" s="43"/>
      <c r="EW204" s="42"/>
      <c r="FD204" s="43"/>
      <c r="FE204" s="42"/>
      <c r="FJ204" s="43"/>
      <c r="FR204" s="43"/>
      <c r="FS204" s="42"/>
      <c r="FX204" s="43"/>
      <c r="FY204" s="42"/>
      <c r="GD204" s="43"/>
      <c r="GE204" s="42"/>
      <c r="GJ204" s="43"/>
      <c r="GR204" s="43"/>
      <c r="GY204" s="43"/>
      <c r="GZ204" s="42"/>
      <c r="HD204" s="43"/>
      <c r="HE204" s="42"/>
      <c r="HI204" s="43"/>
      <c r="HO204" s="43"/>
      <c r="HP204" s="42"/>
      <c r="HV204" s="43"/>
      <c r="IB204" s="43"/>
      <c r="IC204" s="42"/>
      <c r="IH204" s="43"/>
      <c r="IN204" s="43"/>
      <c r="IO204" s="42"/>
      <c r="IR204" s="43"/>
      <c r="IS204" s="42"/>
      <c r="IX204" s="43"/>
      <c r="IY204" s="40"/>
      <c r="JB204" s="43"/>
      <c r="JC204" s="42"/>
      <c r="JH204" s="43"/>
      <c r="JP204" s="43"/>
      <c r="JQ204" s="42"/>
      <c r="JV204" s="43"/>
      <c r="KB204" s="45"/>
      <c r="KH204" s="45"/>
      <c r="KI204" s="44"/>
      <c r="KJ204" s="44"/>
      <c r="KL204" s="44"/>
      <c r="KN204" s="45"/>
      <c r="KT204" s="43"/>
      <c r="KX204" s="45"/>
      <c r="LD204" s="43"/>
      <c r="LE204" s="40"/>
      <c r="LH204" s="45"/>
      <c r="LN204" s="45"/>
      <c r="LT204" s="45"/>
      <c r="LZ204" s="45"/>
      <c r="MB204" s="41"/>
      <c r="MF204" s="45"/>
      <c r="MG204" s="46"/>
      <c r="MN204" s="45"/>
      <c r="MT204" s="45"/>
      <c r="MZ204" s="45"/>
      <c r="NA204" s="46"/>
      <c r="ND204" s="45"/>
      <c r="NE204" s="46"/>
      <c r="NK204" s="45"/>
      <c r="NL204" s="46"/>
      <c r="NQ204" s="45"/>
      <c r="NR204" s="46"/>
      <c r="NU204" s="45"/>
      <c r="NV204" s="46"/>
      <c r="OA204" s="45"/>
      <c r="OB204" s="46"/>
      <c r="OC204" s="44"/>
      <c r="OE204" s="45"/>
      <c r="OF204" s="46"/>
      <c r="OK204" s="45"/>
      <c r="OM204" s="43"/>
      <c r="OQ204" s="45"/>
      <c r="OR204" s="46"/>
      <c r="OW204" s="45"/>
      <c r="OX204" s="46"/>
      <c r="PC204" s="45"/>
      <c r="PD204" s="46"/>
      <c r="PE204" s="44"/>
      <c r="PI204" s="45"/>
      <c r="PJ204" s="46"/>
      <c r="PO204" s="45"/>
      <c r="PP204" s="46"/>
      <c r="PR204" s="44"/>
      <c r="PU204" s="45"/>
      <c r="PV204" s="46"/>
      <c r="PY204" s="45"/>
      <c r="PZ204" s="46"/>
      <c r="QB204" s="44"/>
      <c r="QC204" s="45"/>
      <c r="QD204" s="46"/>
      <c r="QI204" s="45"/>
      <c r="QJ204" s="46"/>
      <c r="QM204" s="45"/>
      <c r="QN204" s="46"/>
      <c r="QS204" s="45"/>
      <c r="QT204" s="46"/>
      <c r="QW204" s="45"/>
      <c r="QX204" s="46"/>
      <c r="RC204" s="45"/>
      <c r="RD204" s="42"/>
      <c r="RE204" s="44"/>
      <c r="RG204" s="44"/>
      <c r="RI204" s="45"/>
      <c r="RJ204" s="42"/>
      <c r="RO204" s="43"/>
      <c r="RP204" s="42"/>
      <c r="RS204" s="43"/>
      <c r="RT204" s="42"/>
      <c r="RY204" s="43"/>
      <c r="RZ204" s="42"/>
      <c r="SE204" s="43"/>
      <c r="SF204" s="42"/>
      <c r="SK204" s="43"/>
      <c r="SL204" s="42"/>
      <c r="SO204" s="43"/>
      <c r="SP204" s="42"/>
      <c r="SU204" s="43"/>
    </row>
    <row r="205" spans="1:515" x14ac:dyDescent="0.25">
      <c r="A205" s="47" t="s">
        <v>512</v>
      </c>
      <c r="B205" s="41">
        <v>0.28000000000000003</v>
      </c>
      <c r="J205" s="40">
        <v>32</v>
      </c>
      <c r="K205" s="52">
        <v>33</v>
      </c>
      <c r="L205" s="52">
        <v>24</v>
      </c>
      <c r="M205" s="52">
        <v>27</v>
      </c>
      <c r="N205" s="51">
        <f t="shared" si="18"/>
        <v>-4</v>
      </c>
      <c r="O205" s="43"/>
      <c r="P205" s="46"/>
      <c r="Q205" s="51"/>
      <c r="R205" s="52">
        <v>8</v>
      </c>
      <c r="S205" s="52">
        <v>8</v>
      </c>
      <c r="T205" s="51">
        <f t="shared" si="19"/>
        <v>0</v>
      </c>
      <c r="U205" s="43"/>
      <c r="V205" s="42"/>
      <c r="W205" s="51"/>
      <c r="X205" s="52">
        <v>32</v>
      </c>
      <c r="Y205" s="52">
        <v>36</v>
      </c>
      <c r="Z205" s="51">
        <f t="shared" si="20"/>
        <v>-4</v>
      </c>
      <c r="AA205" s="43"/>
      <c r="AB205" s="42"/>
      <c r="AC205" s="51"/>
      <c r="AD205" s="51"/>
      <c r="AE205" s="51"/>
      <c r="AF205" s="51">
        <v>0</v>
      </c>
      <c r="AG205" s="43"/>
      <c r="AH205" s="51"/>
      <c r="AL205" s="47">
        <v>0</v>
      </c>
      <c r="AM205" s="43"/>
      <c r="AN205" s="42"/>
      <c r="AR205" s="47">
        <v>0</v>
      </c>
      <c r="AS205" s="43"/>
      <c r="AV205">
        <v>8</v>
      </c>
      <c r="AW205">
        <v>4</v>
      </c>
      <c r="AX205" s="47">
        <v>4</v>
      </c>
      <c r="AY205" s="43"/>
      <c r="BD205" s="47">
        <v>0</v>
      </c>
      <c r="BE205" s="43"/>
      <c r="BF205" s="42"/>
      <c r="BH205">
        <v>16</v>
      </c>
      <c r="BI205">
        <v>16</v>
      </c>
      <c r="BJ205" s="47">
        <v>0</v>
      </c>
      <c r="BK205" s="43"/>
      <c r="BL205" s="42"/>
      <c r="BP205" s="47">
        <v>0</v>
      </c>
      <c r="BQ205" s="43"/>
      <c r="BV205" s="47">
        <v>0</v>
      </c>
      <c r="BW205" s="43"/>
      <c r="BX205" s="42">
        <v>16</v>
      </c>
      <c r="BY205" s="47">
        <v>20</v>
      </c>
      <c r="CB205" s="47">
        <v>-4</v>
      </c>
      <c r="CC205" s="43"/>
      <c r="CH205" s="47">
        <v>0</v>
      </c>
      <c r="CI205" s="43"/>
      <c r="CN205" s="47">
        <v>0</v>
      </c>
      <c r="CO205" s="43"/>
      <c r="CP205" s="42"/>
      <c r="CT205" s="47">
        <v>0</v>
      </c>
      <c r="CU205" s="43"/>
      <c r="CV205" s="42"/>
      <c r="CZ205" s="47">
        <v>0</v>
      </c>
      <c r="DA205" s="43"/>
      <c r="DH205" s="43"/>
      <c r="DL205" s="43"/>
      <c r="DM205" s="40"/>
      <c r="DR205" s="43"/>
      <c r="DX205" s="43"/>
      <c r="ED205" s="43"/>
      <c r="EE205" s="42"/>
      <c r="EJ205" s="43"/>
      <c r="EP205" s="43"/>
      <c r="EQ205" s="42"/>
      <c r="EV205" s="43"/>
      <c r="EW205" s="42"/>
      <c r="FD205" s="43"/>
      <c r="FE205" s="42"/>
      <c r="FJ205" s="43"/>
      <c r="FR205" s="43"/>
      <c r="FS205" s="42"/>
      <c r="FX205" s="43"/>
      <c r="FY205" s="42"/>
      <c r="GD205" s="43"/>
      <c r="GE205" s="42"/>
      <c r="GJ205" s="43"/>
      <c r="GR205" s="43"/>
      <c r="GY205" s="43"/>
      <c r="GZ205" s="42"/>
      <c r="HD205" s="43"/>
      <c r="HE205" s="42"/>
      <c r="HI205" s="43"/>
      <c r="HO205" s="43"/>
      <c r="HP205" s="42"/>
      <c r="HV205" s="43"/>
      <c r="IB205" s="43"/>
      <c r="IC205" s="42"/>
      <c r="IH205" s="43"/>
      <c r="IN205" s="43"/>
      <c r="IO205" s="42"/>
      <c r="IR205" s="43"/>
      <c r="IS205" s="42"/>
      <c r="IX205" s="43"/>
      <c r="IY205" s="40"/>
      <c r="JB205" s="43"/>
      <c r="JC205" s="42"/>
      <c r="JH205" s="43"/>
      <c r="JP205" s="43"/>
      <c r="JQ205" s="42"/>
      <c r="JV205" s="43"/>
      <c r="KB205" s="45"/>
      <c r="KH205" s="45"/>
      <c r="KI205" s="44"/>
      <c r="KJ205" s="44"/>
      <c r="KL205" s="44"/>
      <c r="KN205" s="45"/>
      <c r="KT205" s="43"/>
      <c r="KX205" s="45"/>
      <c r="LD205" s="43"/>
      <c r="LE205" s="40"/>
      <c r="LH205" s="45"/>
      <c r="LN205" s="45"/>
      <c r="LT205" s="45"/>
      <c r="LZ205" s="45"/>
      <c r="MB205" s="41"/>
      <c r="MF205" s="45"/>
      <c r="MG205" s="46"/>
      <c r="MN205" s="45"/>
      <c r="MT205" s="45"/>
      <c r="MZ205" s="45"/>
      <c r="NA205" s="46"/>
      <c r="ND205" s="45"/>
      <c r="NE205" s="46"/>
      <c r="NK205" s="45"/>
      <c r="NL205" s="46"/>
      <c r="NQ205" s="45"/>
      <c r="NR205" s="46"/>
      <c r="NU205" s="45"/>
      <c r="NV205" s="46"/>
      <c r="OA205" s="45"/>
      <c r="OB205" s="46"/>
      <c r="OC205" s="44"/>
      <c r="OE205" s="45"/>
      <c r="OF205" s="46"/>
      <c r="OK205" s="45"/>
      <c r="OM205" s="43"/>
      <c r="OQ205" s="45"/>
      <c r="OR205" s="46"/>
      <c r="OW205" s="45"/>
      <c r="OX205" s="46"/>
      <c r="PC205" s="45"/>
      <c r="PD205" s="46"/>
      <c r="PE205" s="44"/>
      <c r="PI205" s="45"/>
      <c r="PJ205" s="46"/>
      <c r="PO205" s="45"/>
      <c r="PP205" s="46"/>
      <c r="PR205" s="44"/>
      <c r="PU205" s="45"/>
      <c r="PV205" s="46"/>
      <c r="PY205" s="45"/>
      <c r="PZ205" s="46"/>
      <c r="QB205" s="44"/>
      <c r="QC205" s="45"/>
      <c r="QD205" s="46"/>
      <c r="QI205" s="45"/>
      <c r="QJ205" s="46"/>
      <c r="QM205" s="45"/>
      <c r="QN205" s="46"/>
      <c r="QS205" s="45"/>
      <c r="QT205" s="46"/>
      <c r="QW205" s="45"/>
      <c r="QX205" s="46"/>
      <c r="RC205" s="45"/>
      <c r="RD205" s="42"/>
      <c r="RE205" s="44"/>
      <c r="RG205" s="44"/>
      <c r="RI205" s="45"/>
      <c r="RJ205" s="42"/>
      <c r="RO205" s="43"/>
      <c r="RP205" s="42"/>
      <c r="RS205" s="43"/>
      <c r="RT205" s="42"/>
      <c r="RY205" s="43"/>
      <c r="RZ205" s="42"/>
      <c r="SE205" s="43"/>
      <c r="SF205" s="42"/>
      <c r="SK205" s="43"/>
      <c r="SL205" s="42"/>
      <c r="SO205" s="43"/>
      <c r="SP205" s="42"/>
      <c r="SU205" s="43"/>
    </row>
    <row r="206" spans="1:515" x14ac:dyDescent="0.25">
      <c r="A206" s="47" t="s">
        <v>513</v>
      </c>
      <c r="B206" s="41">
        <v>0.4</v>
      </c>
      <c r="F206">
        <v>16</v>
      </c>
      <c r="G206">
        <v>18</v>
      </c>
      <c r="J206" s="42"/>
      <c r="K206" s="51"/>
      <c r="L206" s="52">
        <v>24</v>
      </c>
      <c r="M206" s="52">
        <v>24</v>
      </c>
      <c r="N206" s="51">
        <f t="shared" si="18"/>
        <v>0</v>
      </c>
      <c r="O206" s="43"/>
      <c r="P206" s="46"/>
      <c r="Q206" s="51"/>
      <c r="R206" s="52">
        <v>16</v>
      </c>
      <c r="S206" s="52">
        <v>19</v>
      </c>
      <c r="T206" s="51">
        <f t="shared" si="19"/>
        <v>-3</v>
      </c>
      <c r="U206" s="43"/>
      <c r="V206" s="42"/>
      <c r="W206" s="51"/>
      <c r="X206" s="51"/>
      <c r="Y206" s="51"/>
      <c r="Z206" s="51">
        <f t="shared" si="20"/>
        <v>0</v>
      </c>
      <c r="AA206" s="43"/>
      <c r="AB206" s="42"/>
      <c r="AC206" s="51"/>
      <c r="AD206" s="52">
        <v>8</v>
      </c>
      <c r="AE206" s="56">
        <v>8</v>
      </c>
      <c r="AF206" s="51">
        <v>0</v>
      </c>
      <c r="AG206" s="43"/>
      <c r="AH206" s="51"/>
      <c r="AK206">
        <v>12</v>
      </c>
      <c r="AL206" s="50">
        <v>-12</v>
      </c>
      <c r="AM206" s="43">
        <v>4.8000000000000007</v>
      </c>
      <c r="AN206" s="42"/>
      <c r="AR206" s="47">
        <v>0</v>
      </c>
      <c r="AS206" s="43"/>
      <c r="AV206">
        <v>8</v>
      </c>
      <c r="AW206">
        <v>8</v>
      </c>
      <c r="AX206" s="47">
        <v>0</v>
      </c>
      <c r="AY206" s="43"/>
      <c r="BB206">
        <v>16</v>
      </c>
      <c r="BD206" s="47">
        <v>0</v>
      </c>
      <c r="BE206" s="43"/>
      <c r="BF206" s="42"/>
      <c r="BH206">
        <v>16</v>
      </c>
      <c r="BJ206" s="47">
        <v>0</v>
      </c>
      <c r="BK206" s="43"/>
      <c r="BL206" s="40">
        <v>8</v>
      </c>
      <c r="BP206" s="47">
        <v>0</v>
      </c>
      <c r="BQ206" s="43"/>
      <c r="BW206" s="43"/>
      <c r="BX206" s="42"/>
      <c r="CC206" s="43"/>
      <c r="CI206" s="43"/>
      <c r="CO206" s="43"/>
      <c r="CP206" s="42"/>
      <c r="CU206" s="43"/>
      <c r="CV206" s="42"/>
      <c r="DA206" s="43"/>
      <c r="DH206" s="43"/>
      <c r="DL206" s="43"/>
      <c r="DM206" s="40"/>
      <c r="DR206" s="43"/>
      <c r="DX206" s="43"/>
      <c r="ED206" s="43"/>
      <c r="EE206" s="42"/>
      <c r="EJ206" s="43"/>
      <c r="EP206" s="43"/>
      <c r="EQ206" s="42"/>
      <c r="EV206" s="43"/>
      <c r="EW206" s="42"/>
      <c r="FD206" s="43"/>
      <c r="FE206" s="42"/>
      <c r="FJ206" s="43"/>
      <c r="FR206" s="43"/>
      <c r="FS206" s="42"/>
      <c r="FX206" s="43"/>
      <c r="FY206" s="42"/>
      <c r="GD206" s="43"/>
      <c r="GE206" s="42"/>
      <c r="GJ206" s="43"/>
      <c r="GR206" s="43"/>
      <c r="GY206" s="43"/>
      <c r="GZ206" s="42"/>
      <c r="HD206" s="43"/>
      <c r="HE206" s="42"/>
      <c r="HI206" s="43"/>
      <c r="HO206" s="43"/>
      <c r="HP206" s="42"/>
      <c r="HV206" s="43"/>
      <c r="IB206" s="43"/>
      <c r="IC206" s="42"/>
      <c r="IH206" s="43"/>
      <c r="IN206" s="43"/>
      <c r="IO206" s="42"/>
      <c r="IR206" s="43"/>
      <c r="IS206" s="42"/>
      <c r="IX206" s="43"/>
      <c r="IY206" s="40"/>
      <c r="JB206" s="43"/>
      <c r="JC206" s="42"/>
      <c r="JH206" s="43"/>
      <c r="JO206" s="44"/>
      <c r="JP206" s="43"/>
      <c r="JQ206" s="42"/>
      <c r="JV206" s="43"/>
      <c r="KB206" s="45"/>
      <c r="KH206" s="45"/>
      <c r="KI206" s="44"/>
      <c r="KJ206" s="44"/>
      <c r="KL206" s="44"/>
      <c r="KN206" s="45"/>
      <c r="KT206" s="43"/>
      <c r="KX206" s="45"/>
      <c r="LD206" s="43"/>
      <c r="LE206" s="40"/>
      <c r="LH206" s="45"/>
      <c r="LN206" s="45"/>
      <c r="LT206" s="45"/>
      <c r="LZ206" s="45"/>
      <c r="MB206" s="41"/>
      <c r="MF206" s="45"/>
      <c r="MG206" s="46"/>
      <c r="MN206" s="45"/>
      <c r="MT206" s="45"/>
      <c r="MZ206" s="45"/>
      <c r="NA206" s="46"/>
      <c r="ND206" s="45"/>
      <c r="NE206" s="46"/>
      <c r="NK206" s="45"/>
      <c r="NL206" s="46"/>
      <c r="NQ206" s="45"/>
      <c r="NR206" s="46"/>
      <c r="NU206" s="45"/>
      <c r="NV206" s="46"/>
      <c r="OA206" s="45"/>
      <c r="OB206" s="46"/>
      <c r="OC206" s="44"/>
      <c r="OE206" s="45"/>
      <c r="OF206" s="46"/>
      <c r="OK206" s="45"/>
      <c r="OM206" s="43"/>
      <c r="OQ206" s="45"/>
      <c r="OR206" s="46"/>
      <c r="OW206" s="45"/>
      <c r="OX206" s="46"/>
      <c r="PC206" s="45"/>
      <c r="PD206" s="46"/>
      <c r="PE206" s="44"/>
      <c r="PI206" s="45"/>
      <c r="PJ206" s="46"/>
      <c r="PO206" s="45"/>
      <c r="PP206" s="46"/>
      <c r="PR206" s="44"/>
      <c r="PU206" s="45"/>
      <c r="PV206" s="46"/>
      <c r="PY206" s="45"/>
      <c r="PZ206" s="46"/>
      <c r="QB206" s="44"/>
      <c r="QC206" s="45"/>
      <c r="QD206" s="46"/>
      <c r="QI206" s="45"/>
      <c r="QJ206" s="46"/>
      <c r="QM206" s="45"/>
      <c r="QN206" s="46"/>
      <c r="QS206" s="45"/>
      <c r="QT206" s="46"/>
      <c r="QW206" s="45"/>
      <c r="QX206" s="46"/>
      <c r="RC206" s="45"/>
      <c r="RD206" s="42"/>
      <c r="RE206" s="44"/>
      <c r="RG206" s="44"/>
      <c r="RI206" s="45"/>
      <c r="RJ206" s="42"/>
      <c r="RO206" s="43"/>
      <c r="RP206" s="42"/>
      <c r="RS206" s="43"/>
      <c r="RT206" s="42"/>
      <c r="RY206" s="43"/>
      <c r="RZ206" s="42"/>
      <c r="SE206" s="43"/>
      <c r="SF206" s="42"/>
      <c r="SK206" s="43"/>
      <c r="SL206" s="42"/>
      <c r="SO206" s="43"/>
      <c r="SP206" s="42"/>
      <c r="SU206" s="43"/>
    </row>
    <row r="207" spans="1:515" x14ac:dyDescent="0.25">
      <c r="A207" s="47" t="s">
        <v>514</v>
      </c>
      <c r="B207" s="41">
        <v>0.12</v>
      </c>
      <c r="F207">
        <v>136</v>
      </c>
      <c r="G207">
        <v>140</v>
      </c>
      <c r="J207" s="40">
        <v>128</v>
      </c>
      <c r="K207" s="52">
        <v>128</v>
      </c>
      <c r="L207" s="52">
        <v>104</v>
      </c>
      <c r="M207" s="52">
        <v>104</v>
      </c>
      <c r="N207" s="51">
        <f t="shared" si="18"/>
        <v>0</v>
      </c>
      <c r="O207" s="43"/>
      <c r="P207" s="40">
        <v>56</v>
      </c>
      <c r="Q207" s="52">
        <v>63</v>
      </c>
      <c r="R207" s="52">
        <v>48</v>
      </c>
      <c r="S207" s="52">
        <v>54</v>
      </c>
      <c r="T207" s="51">
        <f t="shared" si="19"/>
        <v>-13</v>
      </c>
      <c r="U207" s="43"/>
      <c r="V207" s="42"/>
      <c r="W207" s="51"/>
      <c r="X207" s="51"/>
      <c r="Y207" s="51"/>
      <c r="Z207" s="51">
        <f t="shared" si="20"/>
        <v>0</v>
      </c>
      <c r="AA207" s="43"/>
      <c r="AB207" s="46">
        <v>144</v>
      </c>
      <c r="AC207" s="51"/>
      <c r="AD207" s="51"/>
      <c r="AE207" s="56"/>
      <c r="AF207" s="51">
        <v>0</v>
      </c>
      <c r="AG207" s="43"/>
      <c r="AH207" s="51"/>
      <c r="AL207" s="50"/>
      <c r="AM207" s="43"/>
      <c r="AN207" s="42"/>
      <c r="AS207" s="43"/>
      <c r="AY207" s="43"/>
      <c r="BE207" s="43"/>
      <c r="BF207" s="42"/>
      <c r="BK207" s="43"/>
      <c r="BL207" s="40"/>
      <c r="BQ207" s="43"/>
      <c r="BW207" s="43"/>
      <c r="BX207" s="42"/>
      <c r="CC207" s="43"/>
      <c r="CI207" s="43"/>
      <c r="CO207" s="43"/>
      <c r="CP207" s="42"/>
      <c r="CU207" s="43"/>
      <c r="CV207" s="42"/>
      <c r="DA207" s="43"/>
      <c r="DH207" s="43"/>
      <c r="DL207" s="43"/>
      <c r="DM207" s="40"/>
      <c r="DR207" s="43"/>
      <c r="DX207" s="43"/>
      <c r="ED207" s="43"/>
      <c r="EE207" s="42"/>
      <c r="EJ207" s="43"/>
      <c r="EP207" s="43"/>
      <c r="EQ207" s="42"/>
      <c r="EV207" s="43"/>
      <c r="EW207" s="42"/>
      <c r="FD207" s="43"/>
      <c r="FE207" s="42"/>
      <c r="FJ207" s="43"/>
      <c r="FR207" s="43"/>
      <c r="FS207" s="42"/>
      <c r="FX207" s="43"/>
      <c r="FY207" s="42"/>
      <c r="GD207" s="43"/>
      <c r="GE207" s="42"/>
      <c r="GJ207" s="43"/>
      <c r="GR207" s="43"/>
      <c r="GY207" s="43"/>
      <c r="GZ207" s="42"/>
      <c r="HD207" s="43"/>
      <c r="HE207" s="42"/>
      <c r="HI207" s="43"/>
      <c r="HO207" s="43"/>
      <c r="HP207" s="42"/>
      <c r="HV207" s="43"/>
      <c r="IB207" s="43"/>
      <c r="IC207" s="42"/>
      <c r="IH207" s="43"/>
      <c r="IN207" s="43"/>
      <c r="IO207" s="42"/>
      <c r="IR207" s="43"/>
      <c r="IS207" s="42"/>
      <c r="IX207" s="43"/>
      <c r="IY207" s="40"/>
      <c r="JB207" s="43"/>
      <c r="JC207" s="42"/>
      <c r="JH207" s="43"/>
      <c r="JO207" s="44"/>
      <c r="JP207" s="43"/>
      <c r="JQ207" s="42"/>
      <c r="JV207" s="43"/>
      <c r="KB207" s="45"/>
      <c r="KH207" s="45"/>
      <c r="KI207" s="44"/>
      <c r="KJ207" s="44"/>
      <c r="KL207" s="44"/>
      <c r="KN207" s="45"/>
      <c r="KT207" s="43"/>
      <c r="KX207" s="45"/>
      <c r="LD207" s="43"/>
      <c r="LE207" s="40"/>
      <c r="LH207" s="45"/>
      <c r="LN207" s="45"/>
      <c r="LT207" s="45"/>
      <c r="LZ207" s="45"/>
      <c r="MB207" s="41"/>
      <c r="MF207" s="45"/>
      <c r="MG207" s="46"/>
      <c r="MN207" s="45"/>
      <c r="MT207" s="45"/>
      <c r="MZ207" s="45"/>
      <c r="NA207" s="46"/>
      <c r="ND207" s="45"/>
      <c r="NE207" s="46"/>
      <c r="NK207" s="45"/>
      <c r="NL207" s="46"/>
      <c r="NQ207" s="45"/>
      <c r="NR207" s="46"/>
      <c r="NU207" s="45"/>
      <c r="NV207" s="46"/>
      <c r="OA207" s="45"/>
      <c r="OB207" s="46"/>
      <c r="OC207" s="44"/>
      <c r="OE207" s="45"/>
      <c r="OF207" s="46"/>
      <c r="OK207" s="45"/>
      <c r="OM207" s="43"/>
      <c r="OQ207" s="45"/>
      <c r="OR207" s="46"/>
      <c r="OW207" s="45"/>
      <c r="OX207" s="46"/>
      <c r="PC207" s="45"/>
      <c r="PD207" s="46"/>
      <c r="PE207" s="44"/>
      <c r="PI207" s="45"/>
      <c r="PJ207" s="46"/>
      <c r="PO207" s="45"/>
      <c r="PP207" s="46"/>
      <c r="PR207" s="44"/>
      <c r="PU207" s="45"/>
      <c r="PV207" s="46"/>
      <c r="PY207" s="45"/>
      <c r="PZ207" s="46"/>
      <c r="QB207" s="44"/>
      <c r="QC207" s="45"/>
      <c r="QD207" s="46"/>
      <c r="QI207" s="45"/>
      <c r="QJ207" s="46"/>
      <c r="QM207" s="45"/>
      <c r="QN207" s="46"/>
      <c r="QS207" s="45"/>
      <c r="QT207" s="46"/>
      <c r="QW207" s="45"/>
      <c r="QX207" s="46"/>
      <c r="RC207" s="45"/>
      <c r="RD207" s="42"/>
      <c r="RE207" s="44"/>
      <c r="RG207" s="44"/>
      <c r="RI207" s="45"/>
      <c r="RJ207" s="42"/>
      <c r="RO207" s="43"/>
      <c r="RP207" s="42"/>
      <c r="RS207" s="43"/>
      <c r="RT207" s="42"/>
      <c r="RY207" s="43"/>
      <c r="RZ207" s="42"/>
      <c r="SE207" s="43"/>
      <c r="SF207" s="42"/>
      <c r="SK207" s="43"/>
      <c r="SL207" s="42"/>
      <c r="SO207" s="43"/>
      <c r="SP207" s="42"/>
      <c r="SU207" s="43"/>
    </row>
    <row r="208" spans="1:515" ht="15.75" customHeight="1" thickBot="1" x14ac:dyDescent="0.3">
      <c r="A208" s="47" t="s">
        <v>515</v>
      </c>
      <c r="B208" s="41">
        <v>0.18</v>
      </c>
      <c r="J208" s="14"/>
      <c r="K208" s="5"/>
      <c r="L208" s="5"/>
      <c r="M208" s="5"/>
      <c r="N208" s="5">
        <f t="shared" si="18"/>
        <v>0</v>
      </c>
      <c r="O208" s="6"/>
      <c r="P208" s="21"/>
      <c r="Q208" s="5"/>
      <c r="R208" s="5"/>
      <c r="S208" s="5"/>
      <c r="T208" s="5">
        <f t="shared" si="19"/>
        <v>0</v>
      </c>
      <c r="U208" s="6"/>
      <c r="V208" s="14"/>
      <c r="W208" s="5"/>
      <c r="X208" s="5"/>
      <c r="Y208" s="5"/>
      <c r="Z208" s="5">
        <f t="shared" si="20"/>
        <v>0</v>
      </c>
      <c r="AA208" s="6"/>
      <c r="AB208" s="14"/>
      <c r="AC208" s="5"/>
      <c r="AD208" s="5"/>
      <c r="AE208" s="5"/>
      <c r="AF208" s="5">
        <v>0</v>
      </c>
      <c r="AG208" s="6"/>
      <c r="AH208" s="5"/>
      <c r="AI208" s="5"/>
      <c r="AJ208" s="5"/>
      <c r="AK208" s="5"/>
      <c r="AL208" s="5">
        <v>0</v>
      </c>
      <c r="AM208" s="6"/>
      <c r="AN208" s="14"/>
      <c r="AO208" s="5"/>
      <c r="AP208" s="5"/>
      <c r="AQ208" s="5"/>
      <c r="AR208" s="5">
        <v>0</v>
      </c>
      <c r="AS208" s="6"/>
      <c r="AT208" s="5"/>
      <c r="AU208" s="5"/>
      <c r="AV208" s="5"/>
      <c r="AW208" s="5"/>
      <c r="AX208" s="5">
        <v>0</v>
      </c>
      <c r="AY208" s="6"/>
      <c r="AZ208" s="5"/>
      <c r="BA208" s="5"/>
      <c r="BB208" s="5"/>
      <c r="BC208" s="5"/>
      <c r="BD208" s="5">
        <v>0</v>
      </c>
      <c r="BE208" s="6"/>
      <c r="BF208" s="14"/>
      <c r="BG208" s="5"/>
      <c r="BH208" s="5"/>
      <c r="BI208" s="5"/>
      <c r="BJ208" s="5">
        <v>0</v>
      </c>
      <c r="BK208" s="6"/>
      <c r="BL208" s="14"/>
      <c r="BM208" s="5"/>
      <c r="BN208" s="5"/>
      <c r="BO208" s="5"/>
      <c r="BP208" s="5">
        <v>0</v>
      </c>
      <c r="BQ208" s="6"/>
      <c r="BR208" s="5"/>
      <c r="BS208" s="5"/>
      <c r="BT208" s="5"/>
      <c r="BU208" s="5"/>
      <c r="BV208" s="5">
        <v>0</v>
      </c>
      <c r="BW208" s="6"/>
      <c r="BX208" s="14"/>
      <c r="BY208" s="5"/>
      <c r="BZ208" s="5"/>
      <c r="CA208" s="5"/>
      <c r="CB208" s="5">
        <v>0</v>
      </c>
      <c r="CC208" s="6"/>
      <c r="CD208" s="5"/>
      <c r="CE208" s="5"/>
      <c r="CF208" s="5"/>
      <c r="CG208" s="5"/>
      <c r="CH208" s="5">
        <v>0</v>
      </c>
      <c r="CI208" s="6"/>
      <c r="CJ208" s="5"/>
      <c r="CK208" s="5"/>
      <c r="CL208" s="5"/>
      <c r="CM208" s="5"/>
      <c r="CN208" s="5">
        <v>0</v>
      </c>
      <c r="CO208" s="6"/>
      <c r="CP208" s="14"/>
      <c r="CQ208" s="5"/>
      <c r="CR208" s="5"/>
      <c r="CS208" s="5"/>
      <c r="CT208" s="5">
        <v>0</v>
      </c>
      <c r="CU208" s="6"/>
      <c r="CV208" s="14"/>
      <c r="CW208" s="5"/>
      <c r="CX208" s="5"/>
      <c r="CY208" s="5"/>
      <c r="CZ208" s="5">
        <v>0</v>
      </c>
      <c r="DA208" s="6"/>
      <c r="DB208" s="5"/>
      <c r="DC208" s="5"/>
      <c r="DD208" s="5"/>
      <c r="DE208" s="5"/>
      <c r="DF208" s="5"/>
      <c r="DG208" s="5">
        <v>0</v>
      </c>
      <c r="DH208" s="6"/>
      <c r="DI208" s="5"/>
      <c r="DJ208" s="5"/>
      <c r="DK208" s="5">
        <v>0</v>
      </c>
      <c r="DL208" s="6"/>
      <c r="DM208" s="14"/>
      <c r="DN208" s="5"/>
      <c r="DO208" s="5"/>
      <c r="DP208" s="5"/>
      <c r="DQ208" s="5">
        <v>0</v>
      </c>
      <c r="DR208" s="6"/>
      <c r="DS208" s="5"/>
      <c r="DT208" s="5"/>
      <c r="DU208" s="5"/>
      <c r="DV208" s="5"/>
      <c r="DW208" s="5">
        <v>0</v>
      </c>
      <c r="DX208" s="6"/>
      <c r="DY208" s="5"/>
      <c r="DZ208" s="5"/>
      <c r="EA208" s="5"/>
      <c r="EB208" s="5"/>
      <c r="EC208" s="5">
        <v>0</v>
      </c>
      <c r="ED208" s="6"/>
      <c r="EE208" s="14"/>
      <c r="EF208" s="5"/>
      <c r="EG208" s="5"/>
      <c r="EH208" s="5"/>
      <c r="EI208" s="5">
        <v>0</v>
      </c>
      <c r="EJ208" s="6"/>
      <c r="EK208" s="5"/>
      <c r="EL208" s="5"/>
      <c r="EM208" s="5"/>
      <c r="EN208" s="5"/>
      <c r="EO208" s="5">
        <v>0</v>
      </c>
      <c r="EP208" s="6"/>
      <c r="EQ208" s="14"/>
      <c r="ER208" s="5"/>
      <c r="ES208" s="5"/>
      <c r="ET208" s="5"/>
      <c r="EU208" s="5">
        <v>0</v>
      </c>
      <c r="EV208" s="6"/>
      <c r="EW208" s="14"/>
      <c r="EX208" s="5"/>
      <c r="EY208" s="5"/>
      <c r="EZ208" s="5"/>
      <c r="FA208" s="5"/>
      <c r="FB208" s="5"/>
      <c r="FC208" s="5">
        <v>0</v>
      </c>
      <c r="FD208" s="6"/>
      <c r="FE208" s="14"/>
      <c r="FF208" s="5"/>
      <c r="FG208" s="5"/>
      <c r="FH208" s="5"/>
      <c r="FI208" s="5">
        <v>0</v>
      </c>
      <c r="FJ208" s="6"/>
      <c r="FK208" s="5"/>
      <c r="FL208" s="5"/>
      <c r="FM208" s="5"/>
      <c r="FN208" s="5"/>
      <c r="FO208" s="5"/>
      <c r="FP208" s="5"/>
      <c r="FQ208" s="5">
        <v>0</v>
      </c>
      <c r="FR208" s="6"/>
      <c r="FS208" s="14"/>
      <c r="FT208" s="5"/>
      <c r="FU208" s="5"/>
      <c r="FV208" s="5"/>
      <c r="FW208" s="5">
        <v>0</v>
      </c>
      <c r="FX208" s="6"/>
      <c r="FY208" s="14"/>
      <c r="FZ208" s="5"/>
      <c r="GA208" s="5"/>
      <c r="GB208" s="5"/>
      <c r="GC208" s="5">
        <v>0</v>
      </c>
      <c r="GD208" s="6"/>
      <c r="GE208" s="14"/>
      <c r="GF208" s="5"/>
      <c r="GG208" s="5"/>
      <c r="GH208" s="5"/>
      <c r="GI208" s="5">
        <v>0</v>
      </c>
      <c r="GJ208" s="6"/>
      <c r="GK208" s="5"/>
      <c r="GL208" s="5"/>
      <c r="GM208" s="5"/>
      <c r="GN208" s="5"/>
      <c r="GO208" s="5"/>
      <c r="GP208" s="5"/>
      <c r="GQ208" s="5">
        <v>0</v>
      </c>
      <c r="GR208" s="6"/>
      <c r="GS208" s="5"/>
      <c r="GT208" s="5"/>
      <c r="GU208" s="5"/>
      <c r="GV208" s="5"/>
      <c r="GW208" s="5"/>
      <c r="GX208" s="5">
        <v>0</v>
      </c>
      <c r="GY208" s="6"/>
      <c r="GZ208" s="14"/>
      <c r="HA208" s="5"/>
      <c r="HB208" s="19"/>
      <c r="HC208" s="5">
        <v>0</v>
      </c>
      <c r="HD208" s="6"/>
      <c r="HE208" s="14"/>
      <c r="HF208" s="5"/>
      <c r="HG208" s="5"/>
      <c r="HH208" s="5">
        <v>0</v>
      </c>
      <c r="HI208" s="6"/>
      <c r="HJ208" s="5"/>
      <c r="HK208" s="5"/>
      <c r="HL208" s="5"/>
      <c r="HM208" s="5"/>
      <c r="HN208" s="5">
        <v>0</v>
      </c>
      <c r="HO208" s="6"/>
      <c r="HP208" s="14"/>
      <c r="HQ208" s="5"/>
      <c r="HR208" s="5"/>
      <c r="HS208" s="5"/>
      <c r="HT208" s="5"/>
      <c r="HU208" s="5">
        <v>0</v>
      </c>
      <c r="HV208" s="6"/>
      <c r="HW208" s="5"/>
      <c r="HX208" s="5"/>
      <c r="HY208" s="5"/>
      <c r="HZ208" s="5"/>
      <c r="IA208" s="5">
        <v>0</v>
      </c>
      <c r="IB208" s="6"/>
      <c r="IC208" s="14"/>
      <c r="ID208" s="5"/>
      <c r="IE208" s="5"/>
      <c r="IF208" s="5"/>
      <c r="IG208" s="5">
        <v>0</v>
      </c>
      <c r="IH208" s="6"/>
      <c r="II208" s="19"/>
      <c r="IJ208" s="5"/>
      <c r="IK208" s="5"/>
      <c r="IL208" s="5"/>
      <c r="IM208" s="5">
        <v>0</v>
      </c>
      <c r="IN208" s="6"/>
      <c r="IO208" s="14"/>
      <c r="IP208" s="5"/>
      <c r="IQ208" s="5">
        <v>0</v>
      </c>
      <c r="IR208" s="6"/>
      <c r="IS208" s="14"/>
      <c r="IT208" s="19"/>
      <c r="IU208" s="5"/>
      <c r="IV208" s="5"/>
      <c r="IW208" s="5">
        <v>0</v>
      </c>
      <c r="IX208" s="6"/>
      <c r="IY208" s="14"/>
      <c r="IZ208" s="5"/>
      <c r="JA208" s="5">
        <v>0</v>
      </c>
      <c r="JB208" s="6"/>
      <c r="JC208" s="14"/>
      <c r="JD208" s="19"/>
      <c r="JE208" s="5"/>
      <c r="JF208" s="19"/>
      <c r="JG208" s="5">
        <v>0</v>
      </c>
      <c r="JH208" s="6"/>
      <c r="JI208" s="5"/>
      <c r="JJ208" s="19"/>
      <c r="JK208" s="19"/>
      <c r="JL208" s="5"/>
      <c r="JM208" s="5"/>
      <c r="JN208" s="5"/>
      <c r="JO208" s="5">
        <v>0</v>
      </c>
      <c r="JP208" s="6"/>
      <c r="JQ208" s="14"/>
      <c r="JR208" s="19"/>
      <c r="JS208" s="5"/>
      <c r="JT208" s="19"/>
      <c r="JU208" s="5">
        <v>0</v>
      </c>
      <c r="JV208" s="6"/>
      <c r="JW208" s="5"/>
      <c r="JX208" s="5"/>
      <c r="JY208" s="5"/>
      <c r="JZ208" s="5"/>
      <c r="KA208" s="5">
        <v>0</v>
      </c>
      <c r="KB208" s="20"/>
      <c r="KC208" s="19"/>
      <c r="KD208" s="19"/>
      <c r="KE208" s="5"/>
      <c r="KF208" s="5"/>
      <c r="KG208" s="5">
        <v>0</v>
      </c>
      <c r="KH208" s="20"/>
      <c r="KI208" s="19"/>
      <c r="KJ208" s="5"/>
      <c r="KK208" s="5"/>
      <c r="KL208" s="19"/>
      <c r="KM208" s="5">
        <v>0</v>
      </c>
      <c r="KN208" s="20"/>
      <c r="KO208" s="19"/>
      <c r="KP208" s="5"/>
      <c r="KQ208" s="19"/>
      <c r="KR208" s="19"/>
      <c r="KS208" s="5">
        <v>0</v>
      </c>
      <c r="KT208" s="6"/>
      <c r="KU208" s="35">
        <v>30</v>
      </c>
      <c r="KV208" s="35">
        <v>30</v>
      </c>
      <c r="KW208" s="5">
        <v>0</v>
      </c>
      <c r="KX208" s="20"/>
      <c r="KY208" s="35">
        <v>350</v>
      </c>
      <c r="KZ208" s="35">
        <v>350</v>
      </c>
      <c r="LA208" s="35">
        <v>340</v>
      </c>
      <c r="LB208" s="35">
        <v>339</v>
      </c>
      <c r="LC208" s="5">
        <v>1</v>
      </c>
      <c r="LD208" s="6"/>
      <c r="LE208" s="34">
        <v>400</v>
      </c>
      <c r="LF208" s="19">
        <v>400</v>
      </c>
      <c r="LG208" s="5">
        <v>0</v>
      </c>
      <c r="LH208" s="20"/>
      <c r="LI208" s="19"/>
      <c r="LJ208" s="19"/>
      <c r="LK208" s="19"/>
      <c r="LL208" s="19"/>
      <c r="LM208" s="5">
        <v>0</v>
      </c>
      <c r="LN208" s="20"/>
      <c r="LO208" s="19"/>
      <c r="LP208" s="19"/>
      <c r="LQ208" s="35">
        <v>700</v>
      </c>
      <c r="LR208" s="35">
        <v>700</v>
      </c>
      <c r="LS208" s="5">
        <v>0</v>
      </c>
      <c r="LT208" s="20"/>
      <c r="LU208" s="35">
        <v>70</v>
      </c>
      <c r="LV208" s="35">
        <v>70</v>
      </c>
      <c r="LW208" s="19"/>
      <c r="LX208" s="5"/>
      <c r="LY208" s="5">
        <v>0</v>
      </c>
      <c r="LZ208" s="20"/>
      <c r="MA208" s="19"/>
      <c r="MB208" s="19"/>
      <c r="MC208" s="19"/>
      <c r="MD208" s="19"/>
      <c r="ME208" s="5">
        <v>0</v>
      </c>
      <c r="MF208" s="20"/>
      <c r="MG208" s="34">
        <v>250</v>
      </c>
      <c r="MH208" s="35">
        <v>250</v>
      </c>
      <c r="MI208" s="35">
        <v>400</v>
      </c>
      <c r="MJ208" s="35">
        <v>400</v>
      </c>
      <c r="MK208" s="35">
        <v>280</v>
      </c>
      <c r="ML208" s="35">
        <v>280</v>
      </c>
      <c r="MM208" s="5">
        <v>0</v>
      </c>
      <c r="MN208" s="20"/>
      <c r="MO208" s="19">
        <v>0</v>
      </c>
      <c r="MP208" s="19">
        <v>0</v>
      </c>
      <c r="MQ208" s="19">
        <v>0</v>
      </c>
      <c r="MR208" s="19">
        <v>0</v>
      </c>
      <c r="MS208" s="5">
        <v>0</v>
      </c>
      <c r="MT208" s="20"/>
      <c r="MU208" s="19">
        <v>0</v>
      </c>
      <c r="MV208" s="19">
        <v>0</v>
      </c>
      <c r="MW208" s="19">
        <v>0</v>
      </c>
      <c r="MX208" s="19">
        <v>0</v>
      </c>
      <c r="MY208" s="5">
        <v>0</v>
      </c>
      <c r="MZ208" s="20"/>
      <c r="NA208" s="21">
        <v>700</v>
      </c>
      <c r="NB208" s="19">
        <v>700</v>
      </c>
      <c r="NC208" s="5">
        <v>0</v>
      </c>
      <c r="ND208" s="20"/>
      <c r="NE208" s="21">
        <v>200</v>
      </c>
      <c r="NF208" s="19">
        <v>200</v>
      </c>
      <c r="NG208" s="19">
        <v>120</v>
      </c>
      <c r="NH208" s="19">
        <v>0</v>
      </c>
      <c r="NI208" s="19">
        <v>120</v>
      </c>
      <c r="NJ208" s="5">
        <v>0</v>
      </c>
      <c r="NK208" s="20"/>
      <c r="NL208" s="21">
        <v>80</v>
      </c>
      <c r="NM208" s="19">
        <v>80</v>
      </c>
      <c r="NN208" s="19">
        <v>70</v>
      </c>
      <c r="NO208" s="19">
        <v>70</v>
      </c>
      <c r="NP208" s="5">
        <v>0</v>
      </c>
      <c r="NQ208" s="20"/>
      <c r="NR208" s="21">
        <v>700</v>
      </c>
      <c r="NS208" s="19">
        <v>700</v>
      </c>
      <c r="NT208" s="5">
        <v>0</v>
      </c>
      <c r="NU208" s="20"/>
      <c r="NV208" s="21">
        <v>0</v>
      </c>
      <c r="NW208" s="19">
        <v>0</v>
      </c>
      <c r="NX208" s="19">
        <v>0</v>
      </c>
      <c r="NY208" s="22">
        <v>420</v>
      </c>
      <c r="NZ208" s="9">
        <v>-420</v>
      </c>
      <c r="OA208" s="20">
        <v>75.599999999999994</v>
      </c>
      <c r="OB208" s="21">
        <v>120</v>
      </c>
      <c r="OC208" s="19">
        <v>120</v>
      </c>
      <c r="OD208" s="5">
        <v>0</v>
      </c>
      <c r="OE208" s="20"/>
      <c r="OF208" s="21">
        <v>0</v>
      </c>
      <c r="OG208" s="19">
        <v>0</v>
      </c>
      <c r="OH208" s="19">
        <v>0</v>
      </c>
      <c r="OI208" s="22">
        <v>72</v>
      </c>
      <c r="OJ208" s="9">
        <v>-72</v>
      </c>
      <c r="OK208" s="20">
        <v>12.96</v>
      </c>
      <c r="OL208" s="19">
        <v>0</v>
      </c>
      <c r="OM208" s="6"/>
      <c r="ON208" s="19">
        <v>420</v>
      </c>
      <c r="OO208" s="19">
        <v>420</v>
      </c>
      <c r="OP208" s="5">
        <v>0</v>
      </c>
      <c r="OQ208" s="20"/>
      <c r="OR208" s="21">
        <v>0</v>
      </c>
      <c r="OS208" s="19">
        <v>0</v>
      </c>
      <c r="OT208" s="19">
        <v>30</v>
      </c>
      <c r="OU208" s="19">
        <v>30</v>
      </c>
      <c r="OV208" s="5">
        <v>0</v>
      </c>
      <c r="OW208" s="20"/>
      <c r="OX208" s="21">
        <v>0</v>
      </c>
      <c r="OY208" s="19">
        <v>0</v>
      </c>
      <c r="OZ208" s="19">
        <v>0</v>
      </c>
      <c r="PA208" s="19">
        <v>0</v>
      </c>
      <c r="PB208" s="5">
        <v>0</v>
      </c>
      <c r="PC208" s="20"/>
      <c r="PD208" s="21">
        <v>220</v>
      </c>
      <c r="PE208" s="19">
        <v>220</v>
      </c>
      <c r="PF208" s="19">
        <v>220</v>
      </c>
      <c r="PG208" s="19">
        <v>220</v>
      </c>
      <c r="PH208" s="5">
        <v>0</v>
      </c>
      <c r="PI208" s="20"/>
      <c r="PJ208" s="21">
        <v>0</v>
      </c>
      <c r="PK208" s="19">
        <v>0</v>
      </c>
      <c r="PL208" s="19">
        <v>0</v>
      </c>
      <c r="PM208" s="22">
        <v>100</v>
      </c>
      <c r="PN208" s="9">
        <v>-100</v>
      </c>
      <c r="PO208" s="20">
        <v>18</v>
      </c>
      <c r="PP208" s="21">
        <v>0</v>
      </c>
      <c r="PQ208" s="19">
        <v>0</v>
      </c>
      <c r="PR208" s="19">
        <v>150</v>
      </c>
      <c r="PS208" s="19">
        <v>150</v>
      </c>
      <c r="PT208" s="5">
        <v>0</v>
      </c>
      <c r="PU208" s="20"/>
      <c r="PV208" s="21">
        <v>150</v>
      </c>
      <c r="PW208" s="19">
        <v>150</v>
      </c>
      <c r="PX208" s="5">
        <v>0</v>
      </c>
      <c r="PY208" s="20"/>
      <c r="PZ208" s="21">
        <v>130</v>
      </c>
      <c r="QA208" s="19">
        <v>130</v>
      </c>
      <c r="QB208" s="5">
        <v>0</v>
      </c>
      <c r="QC208" s="20"/>
      <c r="QD208" s="21">
        <v>0</v>
      </c>
      <c r="QE208" s="19">
        <v>0</v>
      </c>
      <c r="QF208" s="19">
        <v>60</v>
      </c>
      <c r="QG208" s="19">
        <v>60</v>
      </c>
      <c r="QH208" s="5">
        <v>0</v>
      </c>
      <c r="QI208" s="20"/>
      <c r="QJ208" s="21">
        <v>120</v>
      </c>
      <c r="QK208" s="19">
        <v>120</v>
      </c>
      <c r="QL208" s="5">
        <v>0</v>
      </c>
      <c r="QM208" s="20"/>
      <c r="QN208" s="21">
        <v>0</v>
      </c>
      <c r="QO208" s="19">
        <v>0</v>
      </c>
      <c r="QP208" s="19">
        <v>40</v>
      </c>
      <c r="QQ208" s="19">
        <v>40</v>
      </c>
      <c r="QR208" s="5">
        <v>0</v>
      </c>
      <c r="QS208" s="20"/>
      <c r="QT208" s="21">
        <v>50</v>
      </c>
      <c r="QU208" s="19">
        <v>50</v>
      </c>
      <c r="QV208" s="5">
        <v>0</v>
      </c>
      <c r="QW208" s="20"/>
      <c r="QX208" s="21">
        <v>0</v>
      </c>
      <c r="QY208" s="19">
        <v>0</v>
      </c>
      <c r="QZ208" s="19">
        <v>0</v>
      </c>
      <c r="RA208" s="22">
        <v>50</v>
      </c>
      <c r="RB208" s="9">
        <v>-50</v>
      </c>
      <c r="RC208" s="20">
        <v>9</v>
      </c>
      <c r="RD208" s="14">
        <v>0</v>
      </c>
      <c r="RE208" s="19">
        <v>0</v>
      </c>
      <c r="RF208" s="19">
        <v>0</v>
      </c>
      <c r="RG208" s="19">
        <v>0</v>
      </c>
      <c r="RH208" s="5">
        <v>0</v>
      </c>
      <c r="RI208" s="20"/>
      <c r="RJ208" s="14">
        <v>0</v>
      </c>
      <c r="RK208" s="5">
        <v>0</v>
      </c>
      <c r="RL208" s="5">
        <v>0</v>
      </c>
      <c r="RM208" s="15">
        <v>100</v>
      </c>
      <c r="RN208" s="9">
        <v>-100</v>
      </c>
      <c r="RO208" s="6">
        <v>18</v>
      </c>
      <c r="RP208" s="14">
        <v>0</v>
      </c>
      <c r="RQ208" s="5">
        <v>80</v>
      </c>
      <c r="RR208" s="9">
        <v>-80</v>
      </c>
      <c r="RS208" s="6">
        <v>14.4</v>
      </c>
      <c r="RT208" s="14">
        <v>0</v>
      </c>
      <c r="RU208" s="5">
        <v>0</v>
      </c>
      <c r="RV208" s="5">
        <v>0</v>
      </c>
      <c r="RW208" s="5">
        <v>0</v>
      </c>
      <c r="RX208" s="5">
        <v>0</v>
      </c>
      <c r="RY208" s="6"/>
      <c r="RZ208" s="14">
        <v>0</v>
      </c>
      <c r="SA208" s="5">
        <v>0</v>
      </c>
      <c r="SB208" s="5">
        <v>0</v>
      </c>
      <c r="SC208" s="5">
        <v>0</v>
      </c>
      <c r="SD208" s="5">
        <v>0</v>
      </c>
      <c r="SE208" s="6"/>
      <c r="SF208" s="14">
        <v>0</v>
      </c>
      <c r="SG208" s="5">
        <v>0</v>
      </c>
      <c r="SH208" s="5">
        <v>0</v>
      </c>
      <c r="SI208" s="5">
        <v>0</v>
      </c>
      <c r="SJ208" s="5">
        <v>0</v>
      </c>
      <c r="SK208" s="6"/>
      <c r="SL208" s="14">
        <v>0</v>
      </c>
      <c r="SM208" s="5">
        <v>0</v>
      </c>
      <c r="SN208" s="5">
        <v>0</v>
      </c>
      <c r="SO208" s="6"/>
      <c r="SP208" s="14">
        <v>0</v>
      </c>
      <c r="SQ208" s="5">
        <v>0</v>
      </c>
      <c r="SR208" s="5">
        <v>0</v>
      </c>
      <c r="SS208" s="5">
        <v>0</v>
      </c>
      <c r="ST208" s="5">
        <v>0</v>
      </c>
      <c r="SU208" s="6"/>
    </row>
  </sheetData>
  <autoFilter ref="A1:JS208" xr:uid="{00000000-0009-0000-0000-000000000000}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Донецк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2025-12-30T11:00:27Z</dcterms:modified>
</cp:coreProperties>
</file>