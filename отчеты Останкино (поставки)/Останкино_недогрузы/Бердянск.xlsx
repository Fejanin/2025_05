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B312A58F-8F58-4016-8C91-FA9428606AB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Бердянск!$A$1:$JQ$198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S24" i="1" s="1"/>
  <c r="R25" i="1"/>
  <c r="S25" i="1" s="1"/>
  <c r="R26" i="1"/>
  <c r="R27" i="1"/>
  <c r="R28" i="1"/>
  <c r="S28" i="1" s="1"/>
  <c r="R29" i="1"/>
  <c r="S29" i="1" s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S45" i="1" s="1"/>
  <c r="R46" i="1"/>
  <c r="S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S63" i="1" s="1"/>
  <c r="R64" i="1"/>
  <c r="R65" i="1"/>
  <c r="R66" i="1"/>
  <c r="R67" i="1"/>
  <c r="R68" i="1"/>
  <c r="R69" i="1"/>
  <c r="S69" i="1" s="1"/>
  <c r="R70" i="1"/>
  <c r="R71" i="1"/>
  <c r="R72" i="1"/>
  <c r="R73" i="1"/>
  <c r="S73" i="1" s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S110" i="1" s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S131" i="1" s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S157" i="1" s="1"/>
  <c r="R158" i="1"/>
  <c r="R159" i="1"/>
  <c r="R160" i="1"/>
  <c r="R161" i="1"/>
  <c r="R162" i="1"/>
  <c r="R163" i="1"/>
  <c r="R164" i="1"/>
  <c r="R165" i="1"/>
  <c r="R166" i="1"/>
  <c r="R167" i="1"/>
  <c r="R168" i="1"/>
  <c r="S168" i="1" s="1"/>
  <c r="R169" i="1"/>
  <c r="R170" i="1"/>
  <c r="R171" i="1"/>
  <c r="R172" i="1"/>
  <c r="R173" i="1"/>
  <c r="R174" i="1"/>
  <c r="R175" i="1"/>
  <c r="R176" i="1"/>
  <c r="R177" i="1"/>
  <c r="R178" i="1"/>
  <c r="S178" i="1" s="1"/>
  <c r="R179" i="1"/>
  <c r="R180" i="1"/>
  <c r="R181" i="1"/>
  <c r="R182" i="1"/>
  <c r="R183" i="1"/>
  <c r="R184" i="1"/>
  <c r="S184" i="1" s="1"/>
  <c r="R185" i="1"/>
  <c r="R186" i="1"/>
  <c r="R187" i="1"/>
  <c r="R188" i="1"/>
  <c r="R189" i="1"/>
  <c r="R190" i="1"/>
  <c r="R191" i="1"/>
  <c r="S191" i="1" s="1"/>
  <c r="R192" i="1"/>
  <c r="S192" i="1" s="1"/>
  <c r="R193" i="1"/>
  <c r="R194" i="1"/>
  <c r="R195" i="1"/>
  <c r="R196" i="1"/>
  <c r="R197" i="1"/>
  <c r="S197" i="1" s="1"/>
  <c r="R198" i="1"/>
  <c r="R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W29" i="1" s="1"/>
  <c r="V30" i="1"/>
  <c r="W30" i="1" s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W67" i="1" s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W80" i="1" s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W108" i="1" s="1"/>
  <c r="V109" i="1"/>
  <c r="V110" i="1"/>
  <c r="W110" i="1" s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W131" i="1" s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W174" i="1" s="1"/>
  <c r="V175" i="1"/>
  <c r="V176" i="1"/>
  <c r="V177" i="1"/>
  <c r="V178" i="1"/>
  <c r="V179" i="1"/>
  <c r="V180" i="1"/>
  <c r="V181" i="1"/>
  <c r="V182" i="1"/>
  <c r="V183" i="1"/>
  <c r="V184" i="1"/>
  <c r="W184" i="1" s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C28" i="1" s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C110" i="1" s="1"/>
  <c r="AB111" i="1"/>
  <c r="AB112" i="1"/>
  <c r="AB113" i="1"/>
  <c r="AB114" i="1"/>
  <c r="AB115" i="1"/>
  <c r="AB116" i="1"/>
  <c r="AB117" i="1"/>
  <c r="AB118" i="1"/>
  <c r="AB119" i="1"/>
  <c r="AC119" i="1" s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C131" i="1" s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C168" i="1" s="1"/>
  <c r="AB169" i="1"/>
  <c r="AB170" i="1"/>
  <c r="AB171" i="1"/>
  <c r="AB172" i="1"/>
  <c r="AB173" i="1"/>
  <c r="AB174" i="1"/>
  <c r="AC174" i="1" s="1"/>
  <c r="AB175" i="1"/>
  <c r="AB176" i="1"/>
  <c r="AB177" i="1"/>
  <c r="AB178" i="1"/>
  <c r="AB179" i="1"/>
  <c r="AB180" i="1"/>
  <c r="AB181" i="1"/>
  <c r="AB182" i="1"/>
  <c r="AB183" i="1"/>
  <c r="AB184" i="1"/>
  <c r="AC184" i="1" s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3" i="1"/>
  <c r="QZ2" i="1" l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W2" i="1"/>
  <c r="V2" i="1"/>
  <c r="U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X2" i="1"/>
  <c r="T2" i="1"/>
  <c r="N2" i="1"/>
  <c r="P2" i="1"/>
  <c r="J2" i="1"/>
</calcChain>
</file>

<file path=xl/sharedStrings.xml><?xml version="1.0" encoding="utf-8"?>
<sst xmlns="http://schemas.openxmlformats.org/spreadsheetml/2006/main" count="664" uniqueCount="483">
  <si>
    <t>Номенклатура</t>
  </si>
  <si>
    <t>кооф</t>
  </si>
  <si>
    <t>05,11,пр</t>
  </si>
  <si>
    <t>30,10(2),пр</t>
  </si>
  <si>
    <t>30,10,пр</t>
  </si>
  <si>
    <t>22,10,пр</t>
  </si>
  <si>
    <t>21,10,пр</t>
  </si>
  <si>
    <t>разн.шт.</t>
  </si>
  <si>
    <t>недогруз вес</t>
  </si>
  <si>
    <t>10,11,</t>
  </si>
  <si>
    <t>08,11,</t>
  </si>
  <si>
    <t>03,11,</t>
  </si>
  <si>
    <t>01,11,</t>
  </si>
  <si>
    <t>27,10,</t>
  </si>
  <si>
    <t>25,10,</t>
  </si>
  <si>
    <t>18,10,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</si>
  <si>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</si>
  <si>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</si>
  <si>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</si>
  <si>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</si>
  <si>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</si>
  <si>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</si>
  <si>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</si>
  <si>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</si>
  <si>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</si>
  <si>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</si>
  <si>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</si>
  <si>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</si>
  <si>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</si>
  <si>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</si>
  <si>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</si>
  <si>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</si>
  <si>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</si>
  <si>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</si>
  <si>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</si>
  <si>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</si>
  <si>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</si>
  <si>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</si>
  <si>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</si>
  <si>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</si>
  <si>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</si>
  <si>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</si>
  <si>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</si>
  <si>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</si>
  <si>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</si>
  <si>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</si>
  <si>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</si>
  <si>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</si>
  <si>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</si>
  <si>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</si>
  <si>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</si>
  <si>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</si>
  <si>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</si>
  <si>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</si>
  <si>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</si>
  <si>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</si>
  <si>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</si>
  <si>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</si>
  <si>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</si>
  <si>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</si>
  <si>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</si>
  <si>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</si>
  <si>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</si>
  <si>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</si>
  <si>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</si>
  <si>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</si>
  <si>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</si>
  <si>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</si>
  <si>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</si>
  <si>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</si>
  <si>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</si>
  <si>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</si>
  <si>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</si>
  <si>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</si>
  <si>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</si>
  <si>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</si>
  <si>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</si>
  <si>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</si>
  <si>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</si>
  <si>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</si>
  <si>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</si>
  <si>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</si>
  <si>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</si>
  <si>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</si>
  <si>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</si>
  <si>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</si>
  <si>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</si>
  <si>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</si>
  <si>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</si>
  <si>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</si>
  <si>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</si>
  <si>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</si>
  <si>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</si>
  <si>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</si>
  <si>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</si>
  <si>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</si>
  <si>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</si>
  <si>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</si>
  <si>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</si>
  <si>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</si>
  <si>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</si>
  <si>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</si>
  <si>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</si>
  <si>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</si>
  <si>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</si>
  <si>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</si>
  <si>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</si>
  <si>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</si>
  <si>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</si>
  <si>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</si>
  <si>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</si>
  <si>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</si>
  <si>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</si>
  <si>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</si>
  <si>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</si>
  <si>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</si>
  <si>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</si>
  <si>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</si>
  <si>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</si>
  <si>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</si>
  <si>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</si>
  <si>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</si>
  <si>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</si>
  <si>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</si>
  <si>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</si>
  <si>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</si>
  <si>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</si>
  <si>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</si>
  <si>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</si>
  <si>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</si>
  <si>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</si>
  <si>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</si>
  <si>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</si>
  <si>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</si>
  <si>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</si>
  <si>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</si>
  <si>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</si>
  <si>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</si>
  <si>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</si>
  <si>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</si>
  <si>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</si>
  <si>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</si>
  <si>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</si>
  <si>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</si>
  <si>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</si>
  <si>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</si>
  <si>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</si>
  <si>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</si>
  <si>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</si>
  <si>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</si>
  <si>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</si>
  <si>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</si>
  <si>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</si>
  <si>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</si>
  <si>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</si>
  <si>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</si>
  <si>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</si>
  <si>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</si>
  <si>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</si>
  <si>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</si>
  <si>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</si>
  <si>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</si>
  <si>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</si>
  <si>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</si>
  <si>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</si>
  <si>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</si>
  <si>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</si>
  <si>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</si>
  <si>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</si>
  <si>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</si>
  <si>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</si>
  <si>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</si>
  <si>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</si>
  <si>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</si>
  <si>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</si>
  <si>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</si>
  <si>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</si>
  <si>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</si>
  <si>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</si>
  <si>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</si>
  <si>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</si>
  <si>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</si>
  <si>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</si>
  <si>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</si>
  <si>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</si>
  <si>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</si>
  <si>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30,11,</t>
  </si>
  <si>
    <t>29,11,пр</t>
  </si>
  <si>
    <t>25,11,(2)</t>
  </si>
  <si>
    <t>02,12,пр</t>
  </si>
  <si>
    <t>25,11,(1)</t>
  </si>
  <si>
    <t>27,11,пр</t>
  </si>
  <si>
    <t>23,11,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</si>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</sst>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0" fontId="0" fillId="0" borderId="5" xfId="0" applyBorder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9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5" x14ac:dyDescent="0.25"/>
  <cols>
    <col min="1" max="1" width="62.5703125" style="47" bestFit="1" customWidth="1"/>
    <col min="2" max="2" width="6.85546875" style="38" customWidth="1"/>
    <col min="3" max="84" width="10.7109375" style="44" customWidth="1"/>
    <col min="85" max="85" width="10.7109375" style="47" customWidth="1"/>
    <col min="86" max="91" width="10.7109375" style="44" customWidth="1"/>
    <col min="92" max="92" width="10.7109375" style="47" customWidth="1"/>
    <col min="93" max="93" width="10.7109375" style="44" customWidth="1"/>
    <col min="94" max="94" width="10.7109375" style="47" customWidth="1"/>
    <col min="95" max="96" width="10.7109375" style="44" customWidth="1"/>
    <col min="97" max="97" width="10.7109375" style="47" customWidth="1"/>
    <col min="98" max="99" width="10.7109375" style="44" customWidth="1"/>
    <col min="100" max="102" width="10.7109375" style="47" customWidth="1"/>
    <col min="103" max="106" width="10.7109375" style="44" customWidth="1"/>
    <col min="107" max="108" width="10.7109375" style="47" customWidth="1"/>
    <col min="109" max="109" width="10.7109375" style="44" customWidth="1"/>
    <col min="110" max="114" width="10.7109375" style="47" customWidth="1"/>
    <col min="115" max="115" width="10.7109375" style="44" customWidth="1"/>
    <col min="116" max="117" width="10.7109375" style="47" customWidth="1"/>
    <col min="118" max="118" width="10.7109375" style="44" customWidth="1"/>
    <col min="119" max="119" width="10.7109375" style="47" customWidth="1"/>
    <col min="120" max="120" width="10.7109375" style="44" customWidth="1"/>
    <col min="121" max="125" width="10.7109375" style="47" customWidth="1"/>
    <col min="126" max="126" width="10.7109375" style="44" customWidth="1"/>
    <col min="127" max="131" width="10.7109375" style="47" customWidth="1"/>
    <col min="132" max="132" width="10.7109375" style="44" customWidth="1"/>
    <col min="133" max="135" width="10.7109375" style="47" customWidth="1"/>
    <col min="136" max="136" width="10.7109375" style="44" customWidth="1"/>
    <col min="137" max="141" width="10.7109375" style="47" customWidth="1"/>
    <col min="142" max="142" width="10.7109375" style="44" customWidth="1"/>
    <col min="143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5" width="10.7109375" style="47" customWidth="1"/>
    <col min="196" max="196" width="10.7109375" style="44" customWidth="1"/>
    <col min="197" max="201" width="10.7109375" style="47" customWidth="1"/>
    <col min="202" max="202" width="10.7109375" style="44" customWidth="1"/>
    <col min="203" max="207" width="10.7109375" style="47" customWidth="1"/>
    <col min="208" max="208" width="10.7109375" style="44" customWidth="1"/>
    <col min="209" max="213" width="10.7109375" style="47" customWidth="1"/>
    <col min="214" max="214" width="10.7109375" style="44" customWidth="1"/>
    <col min="215" max="219" width="10.7109375" style="47" customWidth="1"/>
    <col min="220" max="220" width="10.7109375" style="44" customWidth="1"/>
    <col min="221" max="225" width="10.7109375" style="47" customWidth="1"/>
    <col min="226" max="226" width="10.7109375" style="44" customWidth="1"/>
    <col min="227" max="231" width="10.7109375" style="47" customWidth="1"/>
    <col min="232" max="232" width="10.7109375" style="44" customWidth="1"/>
    <col min="233" max="237" width="10.7109375" style="47" customWidth="1"/>
    <col min="238" max="238" width="10.7109375" style="44" customWidth="1"/>
    <col min="239" max="243" width="10.7109375" style="47" customWidth="1"/>
    <col min="244" max="244" width="10.7109375" style="44" customWidth="1"/>
    <col min="245" max="249" width="10.7109375" style="47" customWidth="1"/>
    <col min="250" max="250" width="10.7109375" style="44" customWidth="1"/>
    <col min="251" max="253" width="10.7109375" style="47" customWidth="1"/>
    <col min="254" max="254" width="10.7109375" style="44" customWidth="1"/>
    <col min="255" max="257" width="10.7109375" style="47" customWidth="1"/>
    <col min="258" max="258" width="10.7109375" style="44" customWidth="1"/>
    <col min="259" max="261" width="10.7109375" style="47" customWidth="1"/>
    <col min="262" max="262" width="10.7109375" style="44" customWidth="1"/>
    <col min="263" max="267" width="10.7109375" style="47" customWidth="1"/>
    <col min="268" max="268" width="10.7109375" style="44" customWidth="1"/>
    <col min="269" max="271" width="10.7109375" style="47" customWidth="1"/>
    <col min="272" max="272" width="10.7109375" style="44" customWidth="1"/>
    <col min="273" max="275" width="10.7109375" style="47" customWidth="1"/>
    <col min="276" max="276" width="10.7109375" style="44" customWidth="1"/>
    <col min="277" max="277" width="10.7109375" style="47" customWidth="1"/>
    <col min="278" max="397" width="9.140625" style="47" customWidth="1"/>
    <col min="398" max="16384" width="9.140625" style="47"/>
  </cols>
  <sheetData>
    <row r="1" spans="1:468" x14ac:dyDescent="0.25">
      <c r="A1" s="47" t="s">
        <v>0</v>
      </c>
      <c r="B1" s="38" t="s">
        <v>1</v>
      </c>
      <c r="C1" s="1" t="s">
        <v>7</v>
      </c>
      <c r="D1" s="1" t="s">
        <v>8</v>
      </c>
      <c r="E1" s="4" t="s">
        <v>9</v>
      </c>
      <c r="F1" s="4" t="s">
        <v>10</v>
      </c>
      <c r="G1" s="1" t="s">
        <v>7</v>
      </c>
      <c r="H1" s="1" t="s">
        <v>8</v>
      </c>
      <c r="I1" s="4" t="s">
        <v>11</v>
      </c>
      <c r="J1" s="18" t="s">
        <v>2</v>
      </c>
      <c r="K1" s="4" t="s">
        <v>12</v>
      </c>
      <c r="L1" s="1" t="s">
        <v>7</v>
      </c>
      <c r="M1" s="1" t="s">
        <v>8</v>
      </c>
      <c r="N1" s="17" t="s">
        <v>4</v>
      </c>
      <c r="O1" s="4" t="s">
        <v>13</v>
      </c>
      <c r="P1" s="18" t="s">
        <v>3</v>
      </c>
      <c r="Q1" s="4" t="s">
        <v>14</v>
      </c>
      <c r="R1" s="1" t="s">
        <v>7</v>
      </c>
      <c r="S1" s="29" t="s">
        <v>8</v>
      </c>
      <c r="T1" s="17" t="s">
        <v>5</v>
      </c>
      <c r="U1" s="4" t="s">
        <v>15</v>
      </c>
      <c r="V1" s="1" t="s">
        <v>7</v>
      </c>
      <c r="W1" s="29" t="s">
        <v>8</v>
      </c>
      <c r="X1" s="17" t="s">
        <v>6</v>
      </c>
      <c r="Y1" s="4" t="s">
        <v>16</v>
      </c>
      <c r="Z1" s="18" t="s">
        <v>17</v>
      </c>
      <c r="AA1" s="4" t="s">
        <v>18</v>
      </c>
      <c r="AB1" s="1" t="s">
        <v>7</v>
      </c>
      <c r="AC1" s="29" t="s">
        <v>8</v>
      </c>
      <c r="AD1" s="18" t="s">
        <v>19</v>
      </c>
      <c r="AE1" s="4" t="s">
        <v>20</v>
      </c>
      <c r="AF1" s="18" t="s">
        <v>21</v>
      </c>
      <c r="AG1" s="4" t="s">
        <v>22</v>
      </c>
      <c r="AH1" s="1" t="s">
        <v>7</v>
      </c>
      <c r="AI1" s="29" t="s">
        <v>8</v>
      </c>
      <c r="AJ1" s="18" t="s">
        <v>23</v>
      </c>
      <c r="AK1" s="4" t="s">
        <v>24</v>
      </c>
      <c r="AL1" s="18" t="s">
        <v>25</v>
      </c>
      <c r="AM1" s="4" t="s">
        <v>26</v>
      </c>
      <c r="AN1" s="1" t="s">
        <v>7</v>
      </c>
      <c r="AO1" s="29" t="s">
        <v>8</v>
      </c>
      <c r="AP1" s="18" t="s">
        <v>27</v>
      </c>
      <c r="AQ1" s="4" t="s">
        <v>28</v>
      </c>
      <c r="AR1" s="18" t="s">
        <v>29</v>
      </c>
      <c r="AS1" s="4" t="s">
        <v>30</v>
      </c>
      <c r="AT1" s="1" t="s">
        <v>7</v>
      </c>
      <c r="AU1" s="29" t="s">
        <v>8</v>
      </c>
      <c r="AV1" s="17" t="s">
        <v>31</v>
      </c>
      <c r="AW1" s="4" t="s">
        <v>32</v>
      </c>
      <c r="AX1" s="1" t="s">
        <v>7</v>
      </c>
      <c r="AY1" s="29" t="s">
        <v>8</v>
      </c>
      <c r="AZ1" s="17" t="s">
        <v>33</v>
      </c>
      <c r="BA1" s="4" t="s">
        <v>34</v>
      </c>
      <c r="BB1" s="1" t="s">
        <v>7</v>
      </c>
      <c r="BC1" s="29" t="s">
        <v>8</v>
      </c>
      <c r="BD1" s="18" t="s">
        <v>35</v>
      </c>
      <c r="BE1" s="4" t="s">
        <v>36</v>
      </c>
      <c r="BF1" s="18" t="s">
        <v>37</v>
      </c>
      <c r="BG1" s="4" t="s">
        <v>38</v>
      </c>
      <c r="BH1" s="1" t="s">
        <v>7</v>
      </c>
      <c r="BI1" s="29" t="s">
        <v>8</v>
      </c>
      <c r="BJ1" s="18" t="s">
        <v>39</v>
      </c>
      <c r="BK1" s="4" t="s">
        <v>40</v>
      </c>
      <c r="BL1" s="1" t="s">
        <v>7</v>
      </c>
      <c r="BM1" s="29" t="s">
        <v>8</v>
      </c>
      <c r="BN1" s="17" t="s">
        <v>41</v>
      </c>
      <c r="BO1" s="4" t="s">
        <v>42</v>
      </c>
      <c r="BP1" s="18" t="s">
        <v>43</v>
      </c>
      <c r="BQ1" s="4" t="s">
        <v>44</v>
      </c>
      <c r="BR1" s="1" t="s">
        <v>7</v>
      </c>
      <c r="BS1" s="29" t="s">
        <v>8</v>
      </c>
      <c r="BT1" s="18" t="s">
        <v>45</v>
      </c>
      <c r="BU1" s="4" t="s">
        <v>46</v>
      </c>
      <c r="BV1" s="1" t="s">
        <v>7</v>
      </c>
      <c r="BW1" s="29" t="s">
        <v>8</v>
      </c>
      <c r="BX1" s="17" t="s">
        <v>47</v>
      </c>
      <c r="BY1" s="4" t="s">
        <v>48</v>
      </c>
      <c r="BZ1" s="1" t="s">
        <v>7</v>
      </c>
      <c r="CA1" s="29" t="s">
        <v>8</v>
      </c>
      <c r="CB1" s="17" t="s">
        <v>49</v>
      </c>
      <c r="CC1" s="4" t="s">
        <v>50</v>
      </c>
      <c r="CD1" s="18" t="s">
        <v>51</v>
      </c>
      <c r="CE1" s="4" t="s">
        <v>52</v>
      </c>
      <c r="CF1" s="18" t="s">
        <v>53</v>
      </c>
      <c r="CG1" s="4" t="s">
        <v>54</v>
      </c>
      <c r="CH1" s="1" t="s">
        <v>7</v>
      </c>
      <c r="CI1" s="29" t="s">
        <v>8</v>
      </c>
      <c r="CJ1" s="18" t="s">
        <v>55</v>
      </c>
      <c r="CK1" s="4" t="s">
        <v>56</v>
      </c>
      <c r="CL1" s="18" t="s">
        <v>57</v>
      </c>
      <c r="CM1" s="4" t="s">
        <v>58</v>
      </c>
      <c r="CN1" s="1" t="s">
        <v>7</v>
      </c>
      <c r="CO1" s="29" t="s">
        <v>8</v>
      </c>
      <c r="CP1" s="17" t="s">
        <v>59</v>
      </c>
      <c r="CQ1" s="4" t="s">
        <v>60</v>
      </c>
      <c r="CR1" s="18" t="s">
        <v>61</v>
      </c>
      <c r="CS1" s="4" t="s">
        <v>62</v>
      </c>
      <c r="CT1" s="1" t="s">
        <v>7</v>
      </c>
      <c r="CU1" s="29" t="s">
        <v>8</v>
      </c>
      <c r="CV1" s="17" t="s">
        <v>63</v>
      </c>
      <c r="CW1" s="4" t="s">
        <v>64</v>
      </c>
      <c r="CX1" s="18" t="s">
        <v>65</v>
      </c>
      <c r="CY1" s="4" t="s">
        <v>66</v>
      </c>
      <c r="CZ1" s="1" t="s">
        <v>7</v>
      </c>
      <c r="DA1" s="29" t="s">
        <v>8</v>
      </c>
      <c r="DB1" s="17" t="s">
        <v>67</v>
      </c>
      <c r="DC1" s="4" t="s">
        <v>68</v>
      </c>
      <c r="DD1" s="18" t="s">
        <v>69</v>
      </c>
      <c r="DE1" s="4" t="s">
        <v>70</v>
      </c>
      <c r="DF1" s="1" t="s">
        <v>7</v>
      </c>
      <c r="DG1" s="29" t="s">
        <v>8</v>
      </c>
      <c r="DH1" s="18" t="s">
        <v>71</v>
      </c>
      <c r="DI1" s="4" t="s">
        <v>72</v>
      </c>
      <c r="DJ1" s="18" t="s">
        <v>73</v>
      </c>
      <c r="DK1" s="4" t="s">
        <v>74</v>
      </c>
      <c r="DL1" s="18" t="s">
        <v>75</v>
      </c>
      <c r="DM1" s="4" t="s">
        <v>76</v>
      </c>
      <c r="DN1" s="1" t="s">
        <v>7</v>
      </c>
      <c r="DO1" s="29" t="s">
        <v>8</v>
      </c>
      <c r="DP1" s="17" t="s">
        <v>77</v>
      </c>
      <c r="DQ1" s="4" t="s">
        <v>78</v>
      </c>
      <c r="DR1" s="1" t="s">
        <v>7</v>
      </c>
      <c r="DS1" s="29" t="s">
        <v>8</v>
      </c>
      <c r="DT1" s="17" t="s">
        <v>79</v>
      </c>
      <c r="DU1" s="4" t="s">
        <v>80</v>
      </c>
      <c r="DV1" s="18" t="s">
        <v>81</v>
      </c>
      <c r="DW1" s="4" t="s">
        <v>82</v>
      </c>
      <c r="DX1" s="1" t="s">
        <v>7</v>
      </c>
      <c r="DY1" s="29" t="s">
        <v>8</v>
      </c>
      <c r="DZ1" s="17" t="s">
        <v>83</v>
      </c>
      <c r="EA1" s="4" t="s">
        <v>84</v>
      </c>
      <c r="EB1" s="1" t="s">
        <v>7</v>
      </c>
      <c r="EC1" s="29" t="s">
        <v>8</v>
      </c>
      <c r="ED1" s="18" t="s">
        <v>85</v>
      </c>
      <c r="EE1" s="4" t="s">
        <v>86</v>
      </c>
      <c r="EF1" s="18" t="s">
        <v>87</v>
      </c>
      <c r="EG1" s="18" t="s">
        <v>88</v>
      </c>
      <c r="EH1" s="4" t="s">
        <v>89</v>
      </c>
      <c r="EI1" s="18" t="s">
        <v>90</v>
      </c>
      <c r="EJ1" s="4" t="s">
        <v>91</v>
      </c>
      <c r="EK1" s="1" t="s">
        <v>7</v>
      </c>
      <c r="EL1" s="29" t="s">
        <v>8</v>
      </c>
      <c r="EM1" s="18" t="s">
        <v>92</v>
      </c>
      <c r="EN1" s="18" t="s">
        <v>93</v>
      </c>
      <c r="EO1" s="4" t="s">
        <v>94</v>
      </c>
      <c r="EP1" s="18" t="s">
        <v>95</v>
      </c>
      <c r="EQ1" s="18" t="s">
        <v>96</v>
      </c>
      <c r="ER1" s="4" t="s">
        <v>97</v>
      </c>
      <c r="ES1" s="1" t="s">
        <v>7</v>
      </c>
      <c r="ET1" s="29" t="s">
        <v>8</v>
      </c>
      <c r="EU1" s="17" t="s">
        <v>98</v>
      </c>
      <c r="EV1" s="4" t="s">
        <v>99</v>
      </c>
      <c r="EW1" s="18" t="s">
        <v>100</v>
      </c>
      <c r="EX1" s="4" t="s">
        <v>101</v>
      </c>
      <c r="EY1" s="1" t="s">
        <v>7</v>
      </c>
      <c r="EZ1" s="29" t="s">
        <v>8</v>
      </c>
      <c r="FA1" s="17" t="s">
        <v>102</v>
      </c>
      <c r="FB1" s="18" t="s">
        <v>103</v>
      </c>
      <c r="FC1" s="4" t="s">
        <v>104</v>
      </c>
      <c r="FD1" s="1" t="s">
        <v>7</v>
      </c>
      <c r="FE1" s="29" t="s">
        <v>8</v>
      </c>
      <c r="FF1" s="18" t="s">
        <v>105</v>
      </c>
      <c r="FG1" s="4" t="s">
        <v>106</v>
      </c>
      <c r="FH1" s="1" t="s">
        <v>7</v>
      </c>
      <c r="FI1" s="29" t="s">
        <v>8</v>
      </c>
      <c r="FJ1" s="17" t="s">
        <v>107</v>
      </c>
      <c r="FK1" s="4" t="s">
        <v>108</v>
      </c>
      <c r="FL1" s="18" t="s">
        <v>109</v>
      </c>
      <c r="FM1" s="18" t="s">
        <v>110</v>
      </c>
      <c r="FN1" s="4" t="s">
        <v>111</v>
      </c>
      <c r="FO1" s="18" t="s">
        <v>112</v>
      </c>
      <c r="FP1" s="4" t="s">
        <v>113</v>
      </c>
      <c r="FQ1" s="1" t="s">
        <v>7</v>
      </c>
      <c r="FR1" s="29" t="s">
        <v>8</v>
      </c>
      <c r="FS1" s="18" t="s">
        <v>114</v>
      </c>
      <c r="FT1" s="4" t="s">
        <v>115</v>
      </c>
      <c r="FU1" s="18" t="s">
        <v>116</v>
      </c>
      <c r="FV1" s="4" t="s">
        <v>117</v>
      </c>
      <c r="FW1" s="1" t="s">
        <v>7</v>
      </c>
      <c r="FX1" s="29" t="s">
        <v>8</v>
      </c>
      <c r="FY1" s="17" t="s">
        <v>118</v>
      </c>
      <c r="FZ1" s="4" t="s">
        <v>119</v>
      </c>
      <c r="GA1" s="18" t="s">
        <v>120</v>
      </c>
      <c r="GB1" s="4" t="s">
        <v>121</v>
      </c>
      <c r="GC1" s="1" t="s">
        <v>7</v>
      </c>
      <c r="GD1" s="29" t="s">
        <v>8</v>
      </c>
      <c r="GE1" s="18" t="s">
        <v>122</v>
      </c>
      <c r="GF1" s="4" t="s">
        <v>123</v>
      </c>
      <c r="GG1" s="18" t="s">
        <v>124</v>
      </c>
      <c r="GH1" s="4" t="s">
        <v>125</v>
      </c>
      <c r="GI1" s="1" t="s">
        <v>7</v>
      </c>
      <c r="GJ1" s="29" t="s">
        <v>8</v>
      </c>
      <c r="GK1" s="18" t="s">
        <v>126</v>
      </c>
      <c r="GL1" s="4" t="s">
        <v>127</v>
      </c>
      <c r="GM1" s="1" t="s">
        <v>7</v>
      </c>
      <c r="GN1" s="29" t="s">
        <v>8</v>
      </c>
      <c r="GO1" s="17" t="s">
        <v>128</v>
      </c>
      <c r="GP1" s="4" t="s">
        <v>129</v>
      </c>
      <c r="GQ1" s="1" t="s">
        <v>7</v>
      </c>
      <c r="GR1" s="29" t="s">
        <v>8</v>
      </c>
      <c r="GS1" s="18" t="s">
        <v>130</v>
      </c>
      <c r="GT1" s="4" t="s">
        <v>131</v>
      </c>
      <c r="GU1" s="18" t="s">
        <v>132</v>
      </c>
      <c r="GV1" s="18" t="s">
        <v>133</v>
      </c>
      <c r="GW1" s="4" t="s">
        <v>134</v>
      </c>
      <c r="GX1" s="1" t="s">
        <v>7</v>
      </c>
      <c r="GY1" s="29" t="s">
        <v>8</v>
      </c>
      <c r="GZ1" s="18" t="s">
        <v>135</v>
      </c>
      <c r="HA1" s="4" t="s">
        <v>136</v>
      </c>
      <c r="HB1" s="18" t="s">
        <v>137</v>
      </c>
      <c r="HC1" s="4" t="s">
        <v>138</v>
      </c>
      <c r="HD1" s="1" t="s">
        <v>7</v>
      </c>
      <c r="HE1" s="29" t="s">
        <v>8</v>
      </c>
      <c r="HF1" s="17" t="s">
        <v>139</v>
      </c>
      <c r="HG1" s="4" t="s">
        <v>140</v>
      </c>
      <c r="HH1" s="18" t="s">
        <v>141</v>
      </c>
      <c r="HI1" s="4" t="s">
        <v>142</v>
      </c>
      <c r="HJ1" s="1" t="s">
        <v>7</v>
      </c>
      <c r="HK1" s="29" t="s">
        <v>8</v>
      </c>
      <c r="HL1" s="17" t="s">
        <v>143</v>
      </c>
      <c r="HM1" s="4" t="s">
        <v>144</v>
      </c>
      <c r="HN1" s="18" t="s">
        <v>145</v>
      </c>
      <c r="HO1" s="4" t="s">
        <v>146</v>
      </c>
      <c r="HP1" s="1" t="s">
        <v>7</v>
      </c>
      <c r="HQ1" s="29" t="s">
        <v>8</v>
      </c>
      <c r="HR1" s="18" t="s">
        <v>147</v>
      </c>
      <c r="HS1" s="4" t="s">
        <v>148</v>
      </c>
      <c r="HT1" s="18" t="s">
        <v>149</v>
      </c>
      <c r="HU1" s="4" t="s">
        <v>150</v>
      </c>
      <c r="HV1" s="1" t="s">
        <v>7</v>
      </c>
      <c r="HW1" s="29" t="s">
        <v>8</v>
      </c>
      <c r="HX1" s="18" t="s">
        <v>151</v>
      </c>
      <c r="HY1" s="4" t="s">
        <v>152</v>
      </c>
      <c r="HZ1" s="18" t="s">
        <v>153</v>
      </c>
      <c r="IA1" s="4" t="s">
        <v>154</v>
      </c>
      <c r="IB1" s="1" t="s">
        <v>7</v>
      </c>
      <c r="IC1" s="29" t="s">
        <v>8</v>
      </c>
      <c r="ID1" s="18" t="s">
        <v>155</v>
      </c>
      <c r="IE1" s="4" t="s">
        <v>156</v>
      </c>
      <c r="IF1" s="18" t="s">
        <v>157</v>
      </c>
      <c r="IG1" s="4" t="s">
        <v>158</v>
      </c>
      <c r="IH1" s="1" t="s">
        <v>7</v>
      </c>
      <c r="II1" s="29" t="s">
        <v>8</v>
      </c>
      <c r="IJ1" s="18" t="s">
        <v>159</v>
      </c>
      <c r="IK1" s="4" t="s">
        <v>160</v>
      </c>
      <c r="IL1" s="18" t="s">
        <v>161</v>
      </c>
      <c r="IM1" s="4" t="s">
        <v>162</v>
      </c>
      <c r="IN1" s="1" t="s">
        <v>7</v>
      </c>
      <c r="IO1" s="29" t="s">
        <v>8</v>
      </c>
      <c r="IP1" s="18" t="s">
        <v>163</v>
      </c>
      <c r="IQ1" s="4" t="s">
        <v>164</v>
      </c>
      <c r="IR1" s="1" t="s">
        <v>7</v>
      </c>
      <c r="IS1" s="29" t="s">
        <v>8</v>
      </c>
      <c r="IT1" s="18" t="s">
        <v>165</v>
      </c>
      <c r="IU1" s="4" t="s">
        <v>166</v>
      </c>
      <c r="IV1" s="18" t="s">
        <v>167</v>
      </c>
      <c r="IW1" s="4" t="s">
        <v>168</v>
      </c>
      <c r="IX1" s="1" t="s">
        <v>7</v>
      </c>
      <c r="IY1" s="29" t="s">
        <v>8</v>
      </c>
      <c r="IZ1" s="18" t="s">
        <v>169</v>
      </c>
      <c r="JA1" s="4" t="s">
        <v>170</v>
      </c>
      <c r="JB1" s="1" t="s">
        <v>7</v>
      </c>
      <c r="JC1" s="16" t="s">
        <v>8</v>
      </c>
      <c r="JD1" s="18" t="s">
        <v>171</v>
      </c>
      <c r="JE1" s="4" t="s">
        <v>172</v>
      </c>
      <c r="JF1" s="18" t="s">
        <v>173</v>
      </c>
      <c r="JG1" s="4" t="s">
        <v>174</v>
      </c>
      <c r="JH1" s="1" t="s">
        <v>7</v>
      </c>
      <c r="JI1" s="16" t="s">
        <v>8</v>
      </c>
      <c r="JJ1" s="18" t="s">
        <v>175</v>
      </c>
      <c r="JK1" s="4" t="s">
        <v>176</v>
      </c>
      <c r="JL1" s="18" t="s">
        <v>177</v>
      </c>
      <c r="JM1" s="4" t="s">
        <v>178</v>
      </c>
      <c r="JN1" s="1" t="s">
        <v>7</v>
      </c>
      <c r="JO1" s="16" t="s">
        <v>8</v>
      </c>
      <c r="JP1" s="18" t="s">
        <v>179</v>
      </c>
      <c r="JQ1" s="4" t="s">
        <v>180</v>
      </c>
      <c r="JR1" s="18" t="s">
        <v>181</v>
      </c>
      <c r="JS1" s="4" t="s">
        <v>182</v>
      </c>
      <c r="JT1" s="1" t="s">
        <v>7</v>
      </c>
      <c r="JU1" s="16" t="s">
        <v>8</v>
      </c>
      <c r="JV1" s="18" t="s">
        <v>183</v>
      </c>
      <c r="JW1" s="4" t="s">
        <v>184</v>
      </c>
      <c r="JX1" s="18" t="s">
        <v>185</v>
      </c>
      <c r="JY1" s="4" t="s">
        <v>186</v>
      </c>
      <c r="JZ1" s="1" t="s">
        <v>7</v>
      </c>
      <c r="KA1" s="16" t="s">
        <v>8</v>
      </c>
      <c r="KB1" s="17" t="s">
        <v>187</v>
      </c>
      <c r="KC1" s="4" t="s">
        <v>188</v>
      </c>
      <c r="KD1" s="18" t="s">
        <v>189</v>
      </c>
      <c r="KE1" s="18" t="s">
        <v>189</v>
      </c>
      <c r="KF1" s="4" t="s">
        <v>190</v>
      </c>
      <c r="KG1" s="18" t="s">
        <v>191</v>
      </c>
      <c r="KH1" s="4" t="s">
        <v>192</v>
      </c>
      <c r="KI1" s="1" t="s">
        <v>7</v>
      </c>
      <c r="KJ1" s="16" t="s">
        <v>8</v>
      </c>
      <c r="KK1" s="18" t="s">
        <v>193</v>
      </c>
      <c r="KL1" s="4" t="s">
        <v>194</v>
      </c>
      <c r="KM1" s="18" t="s">
        <v>195</v>
      </c>
      <c r="KN1" s="4" t="s">
        <v>196</v>
      </c>
      <c r="KO1" s="1" t="s">
        <v>7</v>
      </c>
      <c r="KP1" s="16" t="s">
        <v>8</v>
      </c>
      <c r="KQ1" s="18" t="s">
        <v>197</v>
      </c>
      <c r="KR1" s="4" t="s">
        <v>198</v>
      </c>
      <c r="KS1" s="18" t="s">
        <v>199</v>
      </c>
      <c r="KT1" s="4" t="s">
        <v>200</v>
      </c>
      <c r="KU1" s="1" t="s">
        <v>7</v>
      </c>
      <c r="KV1" s="16" t="s">
        <v>8</v>
      </c>
      <c r="KW1" s="17" t="s">
        <v>201</v>
      </c>
      <c r="KX1" s="4" t="s">
        <v>202</v>
      </c>
      <c r="KY1" s="1" t="s">
        <v>7</v>
      </c>
      <c r="KZ1" s="16" t="s">
        <v>8</v>
      </c>
      <c r="LA1" s="17" t="s">
        <v>203</v>
      </c>
      <c r="LB1" s="4" t="s">
        <v>204</v>
      </c>
      <c r="LC1" s="18" t="s">
        <v>205</v>
      </c>
      <c r="LD1" s="4" t="s">
        <v>206</v>
      </c>
      <c r="LE1" s="1" t="s">
        <v>7</v>
      </c>
      <c r="LF1" s="16" t="s">
        <v>8</v>
      </c>
      <c r="LG1" s="17" t="s">
        <v>207</v>
      </c>
      <c r="LH1" s="4" t="s">
        <v>208</v>
      </c>
      <c r="LI1" s="18" t="s">
        <v>209</v>
      </c>
      <c r="LJ1" s="4" t="s">
        <v>210</v>
      </c>
      <c r="LK1" s="1" t="s">
        <v>7</v>
      </c>
      <c r="LL1" s="16" t="s">
        <v>8</v>
      </c>
      <c r="LM1" s="17" t="s">
        <v>211</v>
      </c>
      <c r="LN1" s="4" t="s">
        <v>212</v>
      </c>
      <c r="LO1" s="1" t="s">
        <v>7</v>
      </c>
      <c r="LP1" s="16" t="s">
        <v>8</v>
      </c>
      <c r="LQ1" s="17" t="s">
        <v>211</v>
      </c>
      <c r="LR1" s="4" t="s">
        <v>213</v>
      </c>
      <c r="LS1" s="18" t="s">
        <v>214</v>
      </c>
      <c r="LT1" s="4" t="s">
        <v>215</v>
      </c>
      <c r="LU1" s="1" t="s">
        <v>7</v>
      </c>
      <c r="LV1" s="16" t="s">
        <v>8</v>
      </c>
      <c r="LW1" s="17" t="s">
        <v>216</v>
      </c>
      <c r="LX1" s="4" t="s">
        <v>217</v>
      </c>
      <c r="LY1" s="18" t="s">
        <v>218</v>
      </c>
      <c r="LZ1" s="4" t="s">
        <v>219</v>
      </c>
      <c r="MA1" s="1" t="s">
        <v>7</v>
      </c>
      <c r="MB1" s="16" t="s">
        <v>8</v>
      </c>
      <c r="MC1" s="17" t="s">
        <v>26</v>
      </c>
      <c r="MD1" s="4" t="s">
        <v>220</v>
      </c>
      <c r="ME1" s="18" t="s">
        <v>221</v>
      </c>
      <c r="MF1" s="4" t="s">
        <v>222</v>
      </c>
      <c r="MG1" s="1" t="s">
        <v>7</v>
      </c>
      <c r="MH1" s="16" t="s">
        <v>8</v>
      </c>
      <c r="MI1" s="17" t="s">
        <v>223</v>
      </c>
      <c r="MJ1" s="4" t="s">
        <v>224</v>
      </c>
      <c r="MK1" s="18" t="s">
        <v>225</v>
      </c>
      <c r="ML1" s="4" t="s">
        <v>226</v>
      </c>
      <c r="MM1" s="1" t="s">
        <v>7</v>
      </c>
      <c r="MN1" s="16" t="s">
        <v>8</v>
      </c>
      <c r="MO1" s="17" t="s">
        <v>227</v>
      </c>
      <c r="MP1" s="4" t="s">
        <v>228</v>
      </c>
      <c r="MQ1" s="18" t="s">
        <v>229</v>
      </c>
      <c r="MR1" s="4" t="s">
        <v>230</v>
      </c>
      <c r="MS1" s="1" t="s">
        <v>7</v>
      </c>
      <c r="MT1" s="16" t="s">
        <v>8</v>
      </c>
      <c r="MU1" s="17" t="s">
        <v>35</v>
      </c>
      <c r="MV1" s="4" t="s">
        <v>231</v>
      </c>
      <c r="MW1" s="18" t="s">
        <v>37</v>
      </c>
      <c r="MX1" s="4" t="s">
        <v>232</v>
      </c>
      <c r="MY1" s="1" t="s">
        <v>7</v>
      </c>
      <c r="MZ1" s="16" t="s">
        <v>8</v>
      </c>
      <c r="NA1" s="17" t="s">
        <v>233</v>
      </c>
      <c r="NB1" s="4" t="s">
        <v>234</v>
      </c>
      <c r="NC1" s="18" t="s">
        <v>39</v>
      </c>
      <c r="ND1" s="4" t="s">
        <v>235</v>
      </c>
      <c r="NE1" s="1" t="s">
        <v>7</v>
      </c>
      <c r="NF1" s="16" t="s">
        <v>8</v>
      </c>
      <c r="NG1" s="17" t="s">
        <v>236</v>
      </c>
      <c r="NH1" s="4" t="s">
        <v>237</v>
      </c>
      <c r="NI1" s="18" t="s">
        <v>238</v>
      </c>
      <c r="NJ1" s="4" t="s">
        <v>239</v>
      </c>
      <c r="NK1" s="1" t="s">
        <v>7</v>
      </c>
      <c r="NL1" s="16" t="s">
        <v>8</v>
      </c>
      <c r="NM1" s="17" t="s">
        <v>240</v>
      </c>
      <c r="NN1" s="4" t="s">
        <v>241</v>
      </c>
      <c r="NO1" s="18" t="s">
        <v>242</v>
      </c>
      <c r="NP1" s="4" t="s">
        <v>243</v>
      </c>
      <c r="NQ1" s="1" t="s">
        <v>7</v>
      </c>
      <c r="NR1" s="16" t="s">
        <v>8</v>
      </c>
      <c r="NS1" s="17" t="s">
        <v>244</v>
      </c>
      <c r="NT1" s="4" t="s">
        <v>245</v>
      </c>
      <c r="NU1" s="18" t="s">
        <v>246</v>
      </c>
      <c r="NV1" s="4" t="s">
        <v>247</v>
      </c>
      <c r="NW1" s="1" t="s">
        <v>7</v>
      </c>
      <c r="NX1" s="16" t="s">
        <v>8</v>
      </c>
      <c r="NY1" s="17" t="s">
        <v>248</v>
      </c>
      <c r="NZ1" s="4" t="s">
        <v>249</v>
      </c>
      <c r="OA1" s="18" t="s">
        <v>248</v>
      </c>
      <c r="OB1" s="4" t="s">
        <v>250</v>
      </c>
      <c r="OC1" s="1" t="s">
        <v>7</v>
      </c>
      <c r="OD1" s="16" t="s">
        <v>8</v>
      </c>
      <c r="OE1" s="17" t="s">
        <v>251</v>
      </c>
      <c r="OF1" s="4" t="s">
        <v>56</v>
      </c>
      <c r="OG1" s="18" t="s">
        <v>252</v>
      </c>
      <c r="OH1" s="4" t="s">
        <v>253</v>
      </c>
      <c r="OI1" s="1" t="s">
        <v>7</v>
      </c>
      <c r="OJ1" s="16" t="s">
        <v>8</v>
      </c>
      <c r="OK1" s="17" t="s">
        <v>254</v>
      </c>
      <c r="OL1" s="4" t="s">
        <v>60</v>
      </c>
      <c r="OM1" s="18" t="s">
        <v>61</v>
      </c>
      <c r="ON1" s="4" t="s">
        <v>255</v>
      </c>
      <c r="OO1" s="1" t="s">
        <v>7</v>
      </c>
      <c r="OP1" s="16" t="s">
        <v>8</v>
      </c>
      <c r="OQ1" s="17" t="s">
        <v>63</v>
      </c>
      <c r="OR1" s="4" t="s">
        <v>256</v>
      </c>
      <c r="OS1" s="18" t="s">
        <v>257</v>
      </c>
      <c r="OT1" s="4" t="s">
        <v>258</v>
      </c>
      <c r="OU1" s="1" t="s">
        <v>7</v>
      </c>
      <c r="OV1" s="16" t="s">
        <v>8</v>
      </c>
      <c r="OW1" s="17" t="s">
        <v>259</v>
      </c>
      <c r="OX1" s="4" t="s">
        <v>260</v>
      </c>
      <c r="OY1" s="18" t="s">
        <v>261</v>
      </c>
      <c r="OZ1" s="4" t="s">
        <v>262</v>
      </c>
      <c r="PA1" s="1" t="s">
        <v>7</v>
      </c>
      <c r="PB1" s="16" t="s">
        <v>8</v>
      </c>
      <c r="PC1" s="17" t="s">
        <v>75</v>
      </c>
      <c r="PD1" s="4" t="s">
        <v>263</v>
      </c>
      <c r="PE1" s="18" t="s">
        <v>75</v>
      </c>
      <c r="PF1" s="4" t="s">
        <v>264</v>
      </c>
      <c r="PG1" s="1" t="s">
        <v>7</v>
      </c>
      <c r="PH1" s="16" t="s">
        <v>8</v>
      </c>
      <c r="PI1" s="17" t="s">
        <v>73</v>
      </c>
      <c r="PJ1" s="4" t="s">
        <v>265</v>
      </c>
      <c r="PK1" s="18" t="s">
        <v>266</v>
      </c>
      <c r="PL1" s="4" t="s">
        <v>267</v>
      </c>
      <c r="PM1" s="1" t="s">
        <v>7</v>
      </c>
      <c r="PN1" s="16" t="s">
        <v>8</v>
      </c>
      <c r="PO1" s="17" t="s">
        <v>268</v>
      </c>
      <c r="PP1" s="4" t="s">
        <v>269</v>
      </c>
      <c r="PQ1" s="18" t="s">
        <v>270</v>
      </c>
      <c r="PR1" s="4" t="s">
        <v>271</v>
      </c>
      <c r="PS1" s="1" t="s">
        <v>7</v>
      </c>
      <c r="PT1" s="16" t="s">
        <v>8</v>
      </c>
      <c r="PU1" s="3" t="s">
        <v>272</v>
      </c>
      <c r="PV1" s="4" t="s">
        <v>273</v>
      </c>
      <c r="PW1" s="2" t="s">
        <v>274</v>
      </c>
      <c r="PX1" s="4" t="s">
        <v>275</v>
      </c>
      <c r="PY1" s="1" t="s">
        <v>7</v>
      </c>
      <c r="PZ1" s="15" t="s">
        <v>8</v>
      </c>
      <c r="QA1" s="3" t="s">
        <v>90</v>
      </c>
      <c r="QB1" s="4" t="s">
        <v>276</v>
      </c>
      <c r="QC1" s="1" t="s">
        <v>7</v>
      </c>
      <c r="QD1" s="15" t="s">
        <v>8</v>
      </c>
      <c r="QE1" s="3" t="s">
        <v>277</v>
      </c>
      <c r="QF1" s="4" t="s">
        <v>278</v>
      </c>
      <c r="QG1" s="1" t="s">
        <v>7</v>
      </c>
      <c r="QH1" s="15" t="s">
        <v>8</v>
      </c>
      <c r="QI1" s="3" t="s">
        <v>100</v>
      </c>
      <c r="QJ1" s="4" t="s">
        <v>279</v>
      </c>
      <c r="QK1" s="1" t="s">
        <v>7</v>
      </c>
      <c r="QL1" s="15" t="s">
        <v>8</v>
      </c>
      <c r="QM1" s="3" t="s">
        <v>280</v>
      </c>
      <c r="QN1" s="4" t="s">
        <v>281</v>
      </c>
      <c r="QO1" s="2" t="s">
        <v>282</v>
      </c>
      <c r="QP1" s="4" t="s">
        <v>283</v>
      </c>
      <c r="QQ1" s="1" t="s">
        <v>7</v>
      </c>
      <c r="QR1" s="15" t="s">
        <v>8</v>
      </c>
      <c r="QS1" s="3" t="s">
        <v>284</v>
      </c>
      <c r="QT1" s="4" t="s">
        <v>285</v>
      </c>
      <c r="QU1" s="1" t="s">
        <v>7</v>
      </c>
      <c r="QV1" s="15" t="s">
        <v>8</v>
      </c>
      <c r="QW1" s="3" t="s">
        <v>105</v>
      </c>
      <c r="QX1" s="4" t="s">
        <v>286</v>
      </c>
      <c r="QY1" s="1" t="s">
        <v>7</v>
      </c>
      <c r="QZ1" s="15" t="s">
        <v>8</v>
      </c>
    </row>
    <row r="2" spans="1:468" x14ac:dyDescent="0.25">
      <c r="C2" s="45">
        <f t="shared" ref="C2:BO2" si="0">SUM(C3:C198)</f>
        <v>0</v>
      </c>
      <c r="D2" s="45">
        <f t="shared" si="0"/>
        <v>0</v>
      </c>
      <c r="E2" s="45">
        <f t="shared" si="0"/>
        <v>3339</v>
      </c>
      <c r="F2" s="45">
        <f t="shared" si="0"/>
        <v>3145</v>
      </c>
      <c r="G2" s="45">
        <f t="shared" si="0"/>
        <v>0</v>
      </c>
      <c r="H2" s="45">
        <f t="shared" si="0"/>
        <v>0</v>
      </c>
      <c r="I2" s="45">
        <f t="shared" si="0"/>
        <v>7448</v>
      </c>
      <c r="J2" s="45">
        <f>SUM(J3:J198)</f>
        <v>8621</v>
      </c>
      <c r="K2" s="45">
        <f t="shared" si="0"/>
        <v>8837</v>
      </c>
      <c r="L2" s="45">
        <f t="shared" si="0"/>
        <v>0</v>
      </c>
      <c r="M2" s="45">
        <f t="shared" si="0"/>
        <v>0</v>
      </c>
      <c r="N2" s="50">
        <f>SUM(N3:N198)</f>
        <v>4393</v>
      </c>
      <c r="O2" s="51">
        <f t="shared" si="0"/>
        <v>4661</v>
      </c>
      <c r="P2" s="51">
        <f>SUM(P3:P198)</f>
        <v>4880</v>
      </c>
      <c r="Q2" s="51">
        <f t="shared" si="0"/>
        <v>6355</v>
      </c>
      <c r="R2" s="51">
        <f t="shared" si="0"/>
        <v>-1743</v>
      </c>
      <c r="S2" s="52">
        <f t="shared" si="0"/>
        <v>742.76</v>
      </c>
      <c r="T2" s="50">
        <f>SUM(T3:T198)</f>
        <v>6184</v>
      </c>
      <c r="U2" s="51">
        <f t="shared" si="0"/>
        <v>6592</v>
      </c>
      <c r="V2" s="51">
        <f t="shared" si="0"/>
        <v>-408</v>
      </c>
      <c r="W2" s="52">
        <f t="shared" si="0"/>
        <v>136.94999999999999</v>
      </c>
      <c r="X2" s="50">
        <f>SUM(X3:X198)</f>
        <v>5942</v>
      </c>
      <c r="Y2" s="51">
        <f t="shared" si="0"/>
        <v>6173</v>
      </c>
      <c r="Z2" s="51">
        <f t="shared" si="0"/>
        <v>6631</v>
      </c>
      <c r="AA2" s="51">
        <f t="shared" si="0"/>
        <v>6856</v>
      </c>
      <c r="AB2" s="51">
        <f t="shared" si="0"/>
        <v>-456</v>
      </c>
      <c r="AC2" s="52">
        <f t="shared" si="0"/>
        <v>140.47000000000003</v>
      </c>
      <c r="AD2" s="45">
        <f t="shared" si="0"/>
        <v>3035</v>
      </c>
      <c r="AE2" s="45">
        <f t="shared" si="0"/>
        <v>3046</v>
      </c>
      <c r="AF2" s="45">
        <f t="shared" si="0"/>
        <v>5063</v>
      </c>
      <c r="AG2" s="45">
        <f t="shared" si="0"/>
        <v>5255</v>
      </c>
      <c r="AH2" s="45">
        <f t="shared" si="0"/>
        <v>-203</v>
      </c>
      <c r="AI2" s="45">
        <f t="shared" si="0"/>
        <v>120.53999999999999</v>
      </c>
      <c r="AJ2" s="45">
        <f t="shared" si="0"/>
        <v>4312</v>
      </c>
      <c r="AK2" s="45">
        <f t="shared" si="0"/>
        <v>4429</v>
      </c>
      <c r="AL2" s="45">
        <f t="shared" si="0"/>
        <v>5752</v>
      </c>
      <c r="AM2" s="45">
        <f t="shared" si="0"/>
        <v>5648</v>
      </c>
      <c r="AN2" s="45">
        <f t="shared" si="0"/>
        <v>-13</v>
      </c>
      <c r="AO2" s="45">
        <f t="shared" si="0"/>
        <v>50.120000000000012</v>
      </c>
      <c r="AP2" s="45">
        <f t="shared" si="0"/>
        <v>5808</v>
      </c>
      <c r="AQ2" s="45">
        <f t="shared" si="0"/>
        <v>5925</v>
      </c>
      <c r="AR2" s="45">
        <f t="shared" si="0"/>
        <v>6035</v>
      </c>
      <c r="AS2" s="45">
        <f t="shared" si="0"/>
        <v>6173</v>
      </c>
      <c r="AT2" s="45">
        <f t="shared" si="0"/>
        <v>-255</v>
      </c>
      <c r="AU2" s="45">
        <f t="shared" si="0"/>
        <v>55.88000000000001</v>
      </c>
      <c r="AV2" s="45">
        <f t="shared" si="0"/>
        <v>6322</v>
      </c>
      <c r="AW2" s="45">
        <f t="shared" si="0"/>
        <v>6466</v>
      </c>
      <c r="AX2" s="45">
        <f t="shared" si="0"/>
        <v>-144</v>
      </c>
      <c r="AY2" s="45">
        <f t="shared" si="0"/>
        <v>30.400000000000006</v>
      </c>
      <c r="AZ2" s="45">
        <f t="shared" si="0"/>
        <v>8984</v>
      </c>
      <c r="BA2" s="45">
        <f t="shared" si="0"/>
        <v>9174</v>
      </c>
      <c r="BB2" s="45">
        <f t="shared" si="0"/>
        <v>-190</v>
      </c>
      <c r="BC2" s="45">
        <f t="shared" si="0"/>
        <v>102.41</v>
      </c>
      <c r="BD2" s="45">
        <f t="shared" si="0"/>
        <v>4982</v>
      </c>
      <c r="BE2" s="45">
        <f t="shared" si="0"/>
        <v>5123</v>
      </c>
      <c r="BF2" s="45">
        <f t="shared" si="0"/>
        <v>4951</v>
      </c>
      <c r="BG2" s="45">
        <f t="shared" si="0"/>
        <v>5568</v>
      </c>
      <c r="BH2" s="45">
        <f t="shared" si="0"/>
        <v>-758</v>
      </c>
      <c r="BI2" s="45">
        <f t="shared" si="0"/>
        <v>303.2000000000001</v>
      </c>
      <c r="BJ2" s="45">
        <f t="shared" si="0"/>
        <v>12412</v>
      </c>
      <c r="BK2" s="45">
        <f t="shared" si="0"/>
        <v>12970</v>
      </c>
      <c r="BL2" s="45">
        <f t="shared" si="0"/>
        <v>-558</v>
      </c>
      <c r="BM2" s="45">
        <f t="shared" si="0"/>
        <v>149.04000000000002</v>
      </c>
      <c r="BN2" s="45">
        <f t="shared" si="0"/>
        <v>4781</v>
      </c>
      <c r="BO2" s="45">
        <f t="shared" si="0"/>
        <v>5138</v>
      </c>
      <c r="BP2" s="45">
        <f t="shared" ref="BP2:EA2" si="1">SUM(BP3:BP198)</f>
        <v>13887</v>
      </c>
      <c r="BQ2" s="45">
        <f t="shared" si="1"/>
        <v>14465</v>
      </c>
      <c r="BR2" s="45">
        <f t="shared" si="1"/>
        <v>-935</v>
      </c>
      <c r="BS2" s="45">
        <f t="shared" si="1"/>
        <v>237.7</v>
      </c>
      <c r="BT2" s="45">
        <f t="shared" si="1"/>
        <v>6981</v>
      </c>
      <c r="BU2" s="45">
        <f t="shared" si="1"/>
        <v>7100</v>
      </c>
      <c r="BV2" s="45">
        <f t="shared" si="1"/>
        <v>-119</v>
      </c>
      <c r="BW2" s="45">
        <f t="shared" si="1"/>
        <v>20.2</v>
      </c>
      <c r="BX2" s="45">
        <f t="shared" si="1"/>
        <v>3396</v>
      </c>
      <c r="BY2" s="45">
        <f t="shared" si="1"/>
        <v>4128</v>
      </c>
      <c r="BZ2" s="45">
        <f t="shared" si="1"/>
        <v>-732</v>
      </c>
      <c r="CA2" s="45">
        <f t="shared" si="1"/>
        <v>268.13</v>
      </c>
      <c r="CB2" s="45">
        <f t="shared" si="1"/>
        <v>3864</v>
      </c>
      <c r="CC2" s="45">
        <f t="shared" si="1"/>
        <v>4120</v>
      </c>
      <c r="CD2" s="45">
        <f t="shared" si="1"/>
        <v>11215</v>
      </c>
      <c r="CE2" s="45">
        <f t="shared" si="1"/>
        <v>12650</v>
      </c>
      <c r="CF2" s="45">
        <f t="shared" si="1"/>
        <v>12590</v>
      </c>
      <c r="CG2" s="45">
        <f t="shared" si="1"/>
        <v>11488</v>
      </c>
      <c r="CH2" s="45">
        <f t="shared" si="1"/>
        <v>-589</v>
      </c>
      <c r="CI2" s="45">
        <f t="shared" si="1"/>
        <v>159.30000000000001</v>
      </c>
      <c r="CJ2" s="45">
        <f t="shared" si="1"/>
        <v>6785</v>
      </c>
      <c r="CK2" s="45">
        <f t="shared" si="1"/>
        <v>7098</v>
      </c>
      <c r="CL2" s="45">
        <f t="shared" si="1"/>
        <v>11084</v>
      </c>
      <c r="CM2" s="45">
        <f t="shared" si="1"/>
        <v>11075</v>
      </c>
      <c r="CN2" s="45">
        <f t="shared" si="1"/>
        <v>-304</v>
      </c>
      <c r="CO2" s="45">
        <f t="shared" si="1"/>
        <v>58.41</v>
      </c>
      <c r="CP2" s="45">
        <f t="shared" si="1"/>
        <v>2375</v>
      </c>
      <c r="CQ2" s="45">
        <f t="shared" si="1"/>
        <v>2408</v>
      </c>
      <c r="CR2" s="45">
        <f t="shared" si="1"/>
        <v>5376</v>
      </c>
      <c r="CS2" s="45">
        <f t="shared" si="1"/>
        <v>5678</v>
      </c>
      <c r="CT2" s="45">
        <f t="shared" si="1"/>
        <v>-335</v>
      </c>
      <c r="CU2" s="45">
        <f t="shared" si="1"/>
        <v>98.499999999999972</v>
      </c>
      <c r="CV2" s="45">
        <f t="shared" si="1"/>
        <v>998</v>
      </c>
      <c r="CW2" s="45">
        <f t="shared" si="1"/>
        <v>991</v>
      </c>
      <c r="CX2" s="45">
        <f t="shared" si="1"/>
        <v>8672</v>
      </c>
      <c r="CY2" s="45">
        <f t="shared" si="1"/>
        <v>9564</v>
      </c>
      <c r="CZ2" s="45">
        <f t="shared" si="1"/>
        <v>-885</v>
      </c>
      <c r="DA2" s="45">
        <f t="shared" si="1"/>
        <v>399.2</v>
      </c>
      <c r="DB2" s="45">
        <f t="shared" si="1"/>
        <v>4466</v>
      </c>
      <c r="DC2" s="45">
        <f t="shared" si="1"/>
        <v>4500</v>
      </c>
      <c r="DD2" s="45">
        <f t="shared" si="1"/>
        <v>7330</v>
      </c>
      <c r="DE2" s="45">
        <f t="shared" si="1"/>
        <v>7546</v>
      </c>
      <c r="DF2" s="45">
        <f t="shared" si="1"/>
        <v>-250</v>
      </c>
      <c r="DG2" s="45">
        <f t="shared" si="1"/>
        <v>76.58</v>
      </c>
      <c r="DH2" s="45">
        <f t="shared" si="1"/>
        <v>5300</v>
      </c>
      <c r="DI2" s="45">
        <f t="shared" si="1"/>
        <v>5330</v>
      </c>
      <c r="DJ2" s="45">
        <f t="shared" si="1"/>
        <v>9999</v>
      </c>
      <c r="DK2" s="45">
        <f t="shared" si="1"/>
        <v>10080</v>
      </c>
      <c r="DL2" s="45">
        <f t="shared" si="1"/>
        <v>7109</v>
      </c>
      <c r="DM2" s="45">
        <f t="shared" si="1"/>
        <v>7130</v>
      </c>
      <c r="DN2" s="45">
        <f t="shared" si="1"/>
        <v>-132</v>
      </c>
      <c r="DO2" s="45">
        <f t="shared" si="1"/>
        <v>20.96</v>
      </c>
      <c r="DP2" s="45">
        <f t="shared" si="1"/>
        <v>7440</v>
      </c>
      <c r="DQ2" s="45">
        <f t="shared" si="1"/>
        <v>7457</v>
      </c>
      <c r="DR2" s="45">
        <f t="shared" si="1"/>
        <v>-17</v>
      </c>
      <c r="DS2" s="45">
        <f t="shared" si="1"/>
        <v>9.1999999999999993</v>
      </c>
      <c r="DT2" s="45">
        <f t="shared" si="1"/>
        <v>3957</v>
      </c>
      <c r="DU2" s="45">
        <f t="shared" si="1"/>
        <v>4060</v>
      </c>
      <c r="DV2" s="45">
        <f t="shared" si="1"/>
        <v>7429</v>
      </c>
      <c r="DW2" s="45">
        <f t="shared" si="1"/>
        <v>7721</v>
      </c>
      <c r="DX2" s="45">
        <f t="shared" si="1"/>
        <v>-395</v>
      </c>
      <c r="DY2" s="45">
        <f t="shared" si="1"/>
        <v>72.5</v>
      </c>
      <c r="DZ2" s="45">
        <f t="shared" si="1"/>
        <v>5667</v>
      </c>
      <c r="EA2" s="45">
        <f t="shared" si="1"/>
        <v>5865</v>
      </c>
      <c r="EB2" s="45">
        <f t="shared" ref="EB2:GM2" si="2">SUM(EB3:EB198)</f>
        <v>-198</v>
      </c>
      <c r="EC2" s="45">
        <f t="shared" si="2"/>
        <v>127.6</v>
      </c>
      <c r="ED2" s="45">
        <f t="shared" si="2"/>
        <v>5138</v>
      </c>
      <c r="EE2" s="45">
        <f t="shared" si="2"/>
        <v>5146</v>
      </c>
      <c r="EF2" s="45">
        <f t="shared" si="2"/>
        <v>264</v>
      </c>
      <c r="EG2" s="45">
        <f t="shared" si="2"/>
        <v>5693</v>
      </c>
      <c r="EH2" s="45">
        <f t="shared" si="2"/>
        <v>5936</v>
      </c>
      <c r="EI2" s="45">
        <f t="shared" si="2"/>
        <v>8301</v>
      </c>
      <c r="EJ2" s="45">
        <f t="shared" si="2"/>
        <v>8535</v>
      </c>
      <c r="EK2" s="45">
        <f t="shared" si="2"/>
        <v>-221</v>
      </c>
      <c r="EL2" s="45">
        <f t="shared" si="2"/>
        <v>48.680000000000007</v>
      </c>
      <c r="EM2" s="45">
        <f t="shared" si="2"/>
        <v>49</v>
      </c>
      <c r="EN2" s="45">
        <f t="shared" si="2"/>
        <v>2448</v>
      </c>
      <c r="EO2" s="45">
        <f t="shared" si="2"/>
        <v>2501</v>
      </c>
      <c r="EP2" s="45">
        <f t="shared" si="2"/>
        <v>56</v>
      </c>
      <c r="EQ2" s="45">
        <f t="shared" si="2"/>
        <v>4138</v>
      </c>
      <c r="ER2" s="45">
        <f t="shared" si="2"/>
        <v>4237</v>
      </c>
      <c r="ES2" s="45">
        <f t="shared" si="2"/>
        <v>-47</v>
      </c>
      <c r="ET2" s="45">
        <f t="shared" si="2"/>
        <v>47.900000000000006</v>
      </c>
      <c r="EU2" s="45">
        <f t="shared" si="2"/>
        <v>3445</v>
      </c>
      <c r="EV2" s="45">
        <f t="shared" si="2"/>
        <v>3472</v>
      </c>
      <c r="EW2" s="45">
        <f t="shared" si="2"/>
        <v>8373</v>
      </c>
      <c r="EX2" s="45">
        <f t="shared" si="2"/>
        <v>8368</v>
      </c>
      <c r="EY2" s="45">
        <f t="shared" si="2"/>
        <v>-22</v>
      </c>
      <c r="EZ2" s="45">
        <f t="shared" si="2"/>
        <v>82.4</v>
      </c>
      <c r="FA2" s="45">
        <f t="shared" si="2"/>
        <v>20</v>
      </c>
      <c r="FB2" s="45">
        <f t="shared" si="2"/>
        <v>4518</v>
      </c>
      <c r="FC2" s="45">
        <f t="shared" si="2"/>
        <v>4573</v>
      </c>
      <c r="FD2" s="45">
        <f t="shared" si="2"/>
        <v>-35</v>
      </c>
      <c r="FE2" s="45">
        <f t="shared" si="2"/>
        <v>8.7100000000000009</v>
      </c>
      <c r="FF2" s="45">
        <f t="shared" si="2"/>
        <v>3075</v>
      </c>
      <c r="FG2" s="45">
        <f t="shared" si="2"/>
        <v>3212</v>
      </c>
      <c r="FH2" s="45">
        <f t="shared" si="2"/>
        <v>-137</v>
      </c>
      <c r="FI2" s="45">
        <f t="shared" si="2"/>
        <v>38.400000000000006</v>
      </c>
      <c r="FJ2" s="45">
        <f t="shared" si="2"/>
        <v>4623</v>
      </c>
      <c r="FK2" s="45">
        <f t="shared" si="2"/>
        <v>5268</v>
      </c>
      <c r="FL2" s="45">
        <f t="shared" si="2"/>
        <v>1929</v>
      </c>
      <c r="FM2" s="45">
        <f t="shared" si="2"/>
        <v>36</v>
      </c>
      <c r="FN2" s="45">
        <f t="shared" si="2"/>
        <v>1840</v>
      </c>
      <c r="FO2" s="45">
        <f t="shared" si="2"/>
        <v>7519</v>
      </c>
      <c r="FP2" s="45">
        <f t="shared" si="2"/>
        <v>7483</v>
      </c>
      <c r="FQ2" s="45">
        <f t="shared" si="2"/>
        <v>-484</v>
      </c>
      <c r="FR2" s="45">
        <f t="shared" si="2"/>
        <v>517.6</v>
      </c>
      <c r="FS2" s="45">
        <f t="shared" si="2"/>
        <v>3445</v>
      </c>
      <c r="FT2" s="45">
        <f t="shared" si="2"/>
        <v>3457</v>
      </c>
      <c r="FU2" s="45">
        <f t="shared" si="2"/>
        <v>4086</v>
      </c>
      <c r="FV2" s="45">
        <f t="shared" si="2"/>
        <v>4177</v>
      </c>
      <c r="FW2" s="45">
        <f t="shared" si="2"/>
        <v>-103</v>
      </c>
      <c r="FX2" s="45">
        <f t="shared" si="2"/>
        <v>28.12</v>
      </c>
      <c r="FY2" s="45">
        <f t="shared" si="2"/>
        <v>2268</v>
      </c>
      <c r="FZ2" s="45">
        <f t="shared" si="2"/>
        <v>2260</v>
      </c>
      <c r="GA2" s="45">
        <f t="shared" si="2"/>
        <v>5094</v>
      </c>
      <c r="GB2" s="45">
        <f t="shared" si="2"/>
        <v>5263</v>
      </c>
      <c r="GC2" s="45">
        <f t="shared" si="2"/>
        <v>-161</v>
      </c>
      <c r="GD2" s="45">
        <f t="shared" si="2"/>
        <v>157.66</v>
      </c>
      <c r="GE2" s="45">
        <f t="shared" si="2"/>
        <v>4015</v>
      </c>
      <c r="GF2" s="45">
        <f t="shared" si="2"/>
        <v>4020</v>
      </c>
      <c r="GG2" s="45">
        <f t="shared" si="2"/>
        <v>6173</v>
      </c>
      <c r="GH2" s="45">
        <f t="shared" si="2"/>
        <v>6173</v>
      </c>
      <c r="GI2" s="45">
        <f t="shared" si="2"/>
        <v>-5</v>
      </c>
      <c r="GJ2" s="45">
        <f t="shared" si="2"/>
        <v>0</v>
      </c>
      <c r="GK2" s="45">
        <f t="shared" si="2"/>
        <v>4922</v>
      </c>
      <c r="GL2" s="45">
        <f t="shared" si="2"/>
        <v>4933.5662000000002</v>
      </c>
      <c r="GM2" s="45">
        <f t="shared" si="2"/>
        <v>-11.566199999999995</v>
      </c>
      <c r="GN2" s="45">
        <f t="shared" ref="GN2:IY2" si="3">SUM(GN3:GN198)</f>
        <v>8.09</v>
      </c>
      <c r="GO2" s="45">
        <f t="shared" si="3"/>
        <v>7159</v>
      </c>
      <c r="GP2" s="45">
        <f t="shared" si="3"/>
        <v>7192</v>
      </c>
      <c r="GQ2" s="45">
        <f t="shared" si="3"/>
        <v>-33</v>
      </c>
      <c r="GR2" s="45">
        <f t="shared" si="3"/>
        <v>0</v>
      </c>
      <c r="GS2" s="45">
        <f t="shared" si="3"/>
        <v>4116</v>
      </c>
      <c r="GT2" s="45">
        <f t="shared" si="3"/>
        <v>4128</v>
      </c>
      <c r="GU2" s="45">
        <f t="shared" si="3"/>
        <v>96</v>
      </c>
      <c r="GV2" s="45">
        <f t="shared" si="3"/>
        <v>7065</v>
      </c>
      <c r="GW2" s="45">
        <f t="shared" si="3"/>
        <v>7071</v>
      </c>
      <c r="GX2" s="45">
        <f t="shared" si="3"/>
        <v>78</v>
      </c>
      <c r="GY2" s="45">
        <f t="shared" si="3"/>
        <v>0</v>
      </c>
      <c r="GZ2" s="45">
        <f t="shared" si="3"/>
        <v>1960</v>
      </c>
      <c r="HA2" s="45">
        <f t="shared" si="3"/>
        <v>1976</v>
      </c>
      <c r="HB2" s="45">
        <f t="shared" si="3"/>
        <v>3111</v>
      </c>
      <c r="HC2" s="45">
        <f t="shared" si="3"/>
        <v>3130</v>
      </c>
      <c r="HD2" s="45">
        <f t="shared" si="3"/>
        <v>-35</v>
      </c>
      <c r="HE2" s="45">
        <f t="shared" si="3"/>
        <v>0</v>
      </c>
      <c r="HF2" s="45">
        <f t="shared" si="3"/>
        <v>2239</v>
      </c>
      <c r="HG2" s="45">
        <f t="shared" si="3"/>
        <v>2690</v>
      </c>
      <c r="HH2" s="45">
        <f t="shared" si="3"/>
        <v>8967</v>
      </c>
      <c r="HI2" s="45">
        <f t="shared" si="3"/>
        <v>9034</v>
      </c>
      <c r="HJ2" s="45">
        <f t="shared" si="3"/>
        <v>-518</v>
      </c>
      <c r="HK2" s="45">
        <f t="shared" si="3"/>
        <v>194.91</v>
      </c>
      <c r="HL2" s="45">
        <f t="shared" si="3"/>
        <v>5733</v>
      </c>
      <c r="HM2" s="45">
        <f t="shared" si="3"/>
        <v>6194</v>
      </c>
      <c r="HN2" s="45">
        <f t="shared" si="3"/>
        <v>6548</v>
      </c>
      <c r="HO2" s="45">
        <f t="shared" si="3"/>
        <v>6522</v>
      </c>
      <c r="HP2" s="45">
        <f t="shared" si="3"/>
        <v>-435</v>
      </c>
      <c r="HQ2" s="45">
        <f t="shared" si="3"/>
        <v>232</v>
      </c>
      <c r="HR2" s="45">
        <f t="shared" si="3"/>
        <v>3233</v>
      </c>
      <c r="HS2" s="45">
        <f t="shared" si="3"/>
        <v>3230</v>
      </c>
      <c r="HT2" s="45">
        <f t="shared" si="3"/>
        <v>7358</v>
      </c>
      <c r="HU2" s="45">
        <f t="shared" si="3"/>
        <v>7398</v>
      </c>
      <c r="HV2" s="45">
        <f t="shared" si="3"/>
        <v>-37</v>
      </c>
      <c r="HW2" s="45">
        <f t="shared" si="3"/>
        <v>13.2</v>
      </c>
      <c r="HX2" s="45">
        <f t="shared" si="3"/>
        <v>3250</v>
      </c>
      <c r="HY2" s="45">
        <f t="shared" si="3"/>
        <v>3226</v>
      </c>
      <c r="HZ2" s="45">
        <f t="shared" si="3"/>
        <v>5354</v>
      </c>
      <c r="IA2" s="45">
        <f t="shared" si="3"/>
        <v>5366</v>
      </c>
      <c r="IB2" s="45">
        <f t="shared" si="3"/>
        <v>12</v>
      </c>
      <c r="IC2" s="45">
        <f t="shared" si="3"/>
        <v>0</v>
      </c>
      <c r="ID2" s="45">
        <f t="shared" si="3"/>
        <v>9263</v>
      </c>
      <c r="IE2" s="45">
        <f t="shared" si="3"/>
        <v>10236</v>
      </c>
      <c r="IF2" s="45">
        <f t="shared" si="3"/>
        <v>8737</v>
      </c>
      <c r="IG2" s="45">
        <f t="shared" si="3"/>
        <v>8731</v>
      </c>
      <c r="IH2" s="45">
        <f t="shared" si="3"/>
        <v>-967</v>
      </c>
      <c r="II2" s="45">
        <f t="shared" si="3"/>
        <v>472.7</v>
      </c>
      <c r="IJ2" s="45">
        <f t="shared" si="3"/>
        <v>4673</v>
      </c>
      <c r="IK2" s="45">
        <f t="shared" si="3"/>
        <v>5197</v>
      </c>
      <c r="IL2" s="45">
        <f t="shared" si="3"/>
        <v>4824</v>
      </c>
      <c r="IM2" s="45">
        <f t="shared" si="3"/>
        <v>4880</v>
      </c>
      <c r="IN2" s="45">
        <f t="shared" si="3"/>
        <v>-580</v>
      </c>
      <c r="IO2" s="45">
        <f t="shared" si="3"/>
        <v>231.4</v>
      </c>
      <c r="IP2" s="45">
        <f t="shared" si="3"/>
        <v>7441</v>
      </c>
      <c r="IQ2" s="45">
        <f t="shared" si="3"/>
        <v>7591</v>
      </c>
      <c r="IR2" s="45">
        <f t="shared" si="3"/>
        <v>-150</v>
      </c>
      <c r="IS2" s="45">
        <f t="shared" si="3"/>
        <v>31.07</v>
      </c>
      <c r="IT2" s="45">
        <f t="shared" si="3"/>
        <v>8155</v>
      </c>
      <c r="IU2" s="45">
        <f t="shared" si="3"/>
        <v>8296</v>
      </c>
      <c r="IV2" s="45">
        <f t="shared" si="3"/>
        <v>7240</v>
      </c>
      <c r="IW2" s="45">
        <f t="shared" si="3"/>
        <v>7484</v>
      </c>
      <c r="IX2" s="45">
        <f t="shared" si="3"/>
        <v>-385</v>
      </c>
      <c r="IY2" s="45">
        <f t="shared" si="3"/>
        <v>143.15</v>
      </c>
      <c r="IZ2" s="45">
        <f t="shared" ref="IZ2:LK2" si="4">SUM(IZ3:IZ198)</f>
        <v>4513</v>
      </c>
      <c r="JA2" s="45">
        <f t="shared" si="4"/>
        <v>4508.4269999999997</v>
      </c>
      <c r="JB2" s="45">
        <f t="shared" si="4"/>
        <v>4.5730000000000004</v>
      </c>
      <c r="JC2" s="45">
        <f t="shared" si="4"/>
        <v>0</v>
      </c>
      <c r="JD2" s="45">
        <f t="shared" si="4"/>
        <v>1635</v>
      </c>
      <c r="JE2" s="45">
        <f t="shared" si="4"/>
        <v>1660</v>
      </c>
      <c r="JF2" s="45">
        <f t="shared" si="4"/>
        <v>10985</v>
      </c>
      <c r="JG2" s="45">
        <f t="shared" si="4"/>
        <v>11158</v>
      </c>
      <c r="JH2" s="45">
        <f t="shared" si="4"/>
        <v>-198</v>
      </c>
      <c r="JI2" s="45">
        <f t="shared" si="4"/>
        <v>61.64</v>
      </c>
      <c r="JJ2" s="45">
        <f t="shared" si="4"/>
        <v>8911</v>
      </c>
      <c r="JK2" s="45">
        <f t="shared" si="4"/>
        <v>9237</v>
      </c>
      <c r="JL2" s="45">
        <f t="shared" si="4"/>
        <v>9665</v>
      </c>
      <c r="JM2" s="45">
        <f t="shared" si="4"/>
        <v>9557</v>
      </c>
      <c r="JN2" s="45">
        <f t="shared" si="4"/>
        <v>-218</v>
      </c>
      <c r="JO2" s="45">
        <f t="shared" si="4"/>
        <v>192.01999999999998</v>
      </c>
      <c r="JP2" s="45">
        <f t="shared" si="4"/>
        <v>2650</v>
      </c>
      <c r="JQ2" s="45">
        <f t="shared" si="4"/>
        <v>2652</v>
      </c>
      <c r="JR2" s="45">
        <f t="shared" si="4"/>
        <v>4159</v>
      </c>
      <c r="JS2" s="45">
        <f t="shared" si="4"/>
        <v>4221</v>
      </c>
      <c r="JT2" s="45">
        <f t="shared" si="4"/>
        <v>-64</v>
      </c>
      <c r="JU2" s="45">
        <f t="shared" si="4"/>
        <v>29.019999999999996</v>
      </c>
      <c r="JV2" s="45">
        <f t="shared" si="4"/>
        <v>3578</v>
      </c>
      <c r="JW2" s="45">
        <f t="shared" si="4"/>
        <v>3624</v>
      </c>
      <c r="JX2" s="45">
        <f t="shared" si="4"/>
        <v>5884</v>
      </c>
      <c r="JY2" s="45">
        <f t="shared" si="4"/>
        <v>5972</v>
      </c>
      <c r="JZ2" s="45">
        <f t="shared" si="4"/>
        <v>-134</v>
      </c>
      <c r="KA2" s="45">
        <f t="shared" si="4"/>
        <v>52</v>
      </c>
      <c r="KB2" s="45">
        <f t="shared" si="4"/>
        <v>6070</v>
      </c>
      <c r="KC2" s="45">
        <f t="shared" si="4"/>
        <v>6280</v>
      </c>
      <c r="KD2" s="45">
        <f t="shared" si="4"/>
        <v>396</v>
      </c>
      <c r="KE2" s="45">
        <f t="shared" si="4"/>
        <v>10945</v>
      </c>
      <c r="KF2" s="45">
        <f t="shared" si="4"/>
        <v>10960</v>
      </c>
      <c r="KG2" s="45">
        <f t="shared" si="4"/>
        <v>9712</v>
      </c>
      <c r="KH2" s="45">
        <f t="shared" si="4"/>
        <v>10223</v>
      </c>
      <c r="KI2" s="45">
        <f t="shared" si="4"/>
        <v>-340</v>
      </c>
      <c r="KJ2" s="45">
        <f t="shared" si="4"/>
        <v>702.22000000000014</v>
      </c>
      <c r="KK2" s="45">
        <f t="shared" si="4"/>
        <v>1846.941</v>
      </c>
      <c r="KL2" s="45">
        <f t="shared" si="4"/>
        <v>1848</v>
      </c>
      <c r="KM2" s="45">
        <f t="shared" si="4"/>
        <v>3184.3310000000006</v>
      </c>
      <c r="KN2" s="45">
        <f t="shared" si="4"/>
        <v>3084</v>
      </c>
      <c r="KO2" s="45">
        <f t="shared" si="4"/>
        <v>99.27200000000002</v>
      </c>
      <c r="KP2" s="45">
        <f t="shared" si="4"/>
        <v>0.89999999999999991</v>
      </c>
      <c r="KQ2" s="45">
        <f t="shared" si="4"/>
        <v>6739.1570000000002</v>
      </c>
      <c r="KR2" s="45">
        <f t="shared" si="4"/>
        <v>6770</v>
      </c>
      <c r="KS2" s="45">
        <f t="shared" si="4"/>
        <v>11302.939000000002</v>
      </c>
      <c r="KT2" s="45">
        <f t="shared" si="4"/>
        <v>11849</v>
      </c>
      <c r="KU2" s="45">
        <f t="shared" si="4"/>
        <v>-576.90400000000011</v>
      </c>
      <c r="KV2" s="45">
        <f t="shared" si="4"/>
        <v>322.43099999999998</v>
      </c>
      <c r="KW2" s="45">
        <f t="shared" si="4"/>
        <v>6113.9310000000014</v>
      </c>
      <c r="KX2" s="45">
        <f t="shared" si="4"/>
        <v>6485</v>
      </c>
      <c r="KY2" s="45">
        <f t="shared" si="4"/>
        <v>-371.0689999999999</v>
      </c>
      <c r="KZ2" s="45">
        <f t="shared" si="4"/>
        <v>98.7</v>
      </c>
      <c r="LA2" s="45">
        <f t="shared" si="4"/>
        <v>8150.1380000000008</v>
      </c>
      <c r="LB2" s="45">
        <f t="shared" si="4"/>
        <v>8559</v>
      </c>
      <c r="LC2" s="45">
        <f t="shared" si="4"/>
        <v>7322.6440000000002</v>
      </c>
      <c r="LD2" s="45">
        <f t="shared" si="4"/>
        <v>7570</v>
      </c>
      <c r="LE2" s="45">
        <f t="shared" si="4"/>
        <v>-656.21800000000019</v>
      </c>
      <c r="LF2" s="45">
        <f t="shared" si="4"/>
        <v>228.08100000000002</v>
      </c>
      <c r="LG2" s="45">
        <f t="shared" si="4"/>
        <v>8122.2030000000004</v>
      </c>
      <c r="LH2" s="45">
        <f t="shared" si="4"/>
        <v>8153</v>
      </c>
      <c r="LI2" s="45">
        <f t="shared" si="4"/>
        <v>8954.7060000000019</v>
      </c>
      <c r="LJ2" s="45">
        <f t="shared" si="4"/>
        <v>8948</v>
      </c>
      <c r="LK2" s="45">
        <f t="shared" si="4"/>
        <v>-24.091000000000015</v>
      </c>
      <c r="LL2" s="45">
        <f t="shared" ref="LL2:NW2" si="5">SUM(LL3:LL198)</f>
        <v>29.324000000000002</v>
      </c>
      <c r="LM2" s="45">
        <f t="shared" si="5"/>
        <v>3431.2510000000002</v>
      </c>
      <c r="LN2" s="45">
        <f t="shared" si="5"/>
        <v>3456</v>
      </c>
      <c r="LO2" s="45">
        <f t="shared" si="5"/>
        <v>-24.749000000000002</v>
      </c>
      <c r="LP2" s="45">
        <f t="shared" si="5"/>
        <v>9.7120000000000033</v>
      </c>
      <c r="LQ2" s="45">
        <f t="shared" si="5"/>
        <v>804.803</v>
      </c>
      <c r="LR2" s="45">
        <f t="shared" si="5"/>
        <v>790</v>
      </c>
      <c r="LS2" s="45">
        <f t="shared" si="5"/>
        <v>3409.4950000000003</v>
      </c>
      <c r="LT2" s="45">
        <f t="shared" si="5"/>
        <v>3828</v>
      </c>
      <c r="LU2" s="45">
        <f t="shared" si="5"/>
        <v>-403.702</v>
      </c>
      <c r="LV2" s="45">
        <f t="shared" si="5"/>
        <v>84.62</v>
      </c>
      <c r="LW2" s="45">
        <f t="shared" si="5"/>
        <v>6664.7950000000001</v>
      </c>
      <c r="LX2" s="45">
        <f t="shared" si="5"/>
        <v>6876</v>
      </c>
      <c r="LY2" s="45">
        <f t="shared" si="5"/>
        <v>8852</v>
      </c>
      <c r="LZ2" s="45">
        <f t="shared" si="5"/>
        <v>8860</v>
      </c>
      <c r="MA2" s="45">
        <f t="shared" si="5"/>
        <v>-219.20500000000004</v>
      </c>
      <c r="MB2" s="45">
        <f t="shared" si="5"/>
        <v>82.138999999999982</v>
      </c>
      <c r="MC2" s="45">
        <f t="shared" si="5"/>
        <v>2095.42</v>
      </c>
      <c r="MD2" s="45">
        <f t="shared" si="5"/>
        <v>2130</v>
      </c>
      <c r="ME2" s="45">
        <f t="shared" si="5"/>
        <v>9619.2519999999986</v>
      </c>
      <c r="MF2" s="45">
        <f t="shared" si="5"/>
        <v>9950</v>
      </c>
      <c r="MG2" s="45">
        <f t="shared" si="5"/>
        <v>-365.32799999999992</v>
      </c>
      <c r="MH2" s="45">
        <f t="shared" si="5"/>
        <v>76.2</v>
      </c>
      <c r="MI2" s="45">
        <f t="shared" si="5"/>
        <v>9328.9650000000001</v>
      </c>
      <c r="MJ2" s="45">
        <f t="shared" si="5"/>
        <v>9360</v>
      </c>
      <c r="MK2" s="45">
        <f t="shared" si="5"/>
        <v>6608.1089999999986</v>
      </c>
      <c r="ML2" s="45">
        <f t="shared" si="5"/>
        <v>6673</v>
      </c>
      <c r="MM2" s="45">
        <f t="shared" si="5"/>
        <v>-95.926000000000201</v>
      </c>
      <c r="MN2" s="45">
        <f t="shared" si="5"/>
        <v>13.1</v>
      </c>
      <c r="MO2" s="45">
        <f t="shared" si="5"/>
        <v>3001.8530000000001</v>
      </c>
      <c r="MP2" s="45">
        <f t="shared" si="5"/>
        <v>3000</v>
      </c>
      <c r="MQ2" s="45">
        <f t="shared" si="5"/>
        <v>7550.1380000000008</v>
      </c>
      <c r="MR2" s="45">
        <f t="shared" si="5"/>
        <v>7654</v>
      </c>
      <c r="MS2" s="45">
        <f t="shared" si="5"/>
        <v>-102.00899999999994</v>
      </c>
      <c r="MT2" s="45">
        <f t="shared" si="5"/>
        <v>28.44</v>
      </c>
      <c r="MU2" s="45">
        <f t="shared" si="5"/>
        <v>5351.2219999999998</v>
      </c>
      <c r="MV2" s="45">
        <f t="shared" si="5"/>
        <v>4350</v>
      </c>
      <c r="MW2" s="45">
        <f t="shared" si="5"/>
        <v>10023.798000000001</v>
      </c>
      <c r="MX2" s="45">
        <f t="shared" si="5"/>
        <v>10110.556600000002</v>
      </c>
      <c r="MY2" s="45">
        <f t="shared" si="5"/>
        <v>914.46340000000032</v>
      </c>
      <c r="MZ2" s="45">
        <f t="shared" si="5"/>
        <v>808.16159999999957</v>
      </c>
      <c r="NA2" s="45">
        <f t="shared" si="5"/>
        <v>7491.1760000000004</v>
      </c>
      <c r="NB2" s="45">
        <f t="shared" si="5"/>
        <v>7520</v>
      </c>
      <c r="NC2" s="45">
        <f t="shared" si="5"/>
        <v>10964.904999999999</v>
      </c>
      <c r="ND2" s="45">
        <f t="shared" si="5"/>
        <v>10471</v>
      </c>
      <c r="NE2" s="45">
        <f t="shared" si="5"/>
        <v>465.08099999999996</v>
      </c>
      <c r="NF2" s="45">
        <f t="shared" si="5"/>
        <v>0</v>
      </c>
      <c r="NG2" s="45">
        <f t="shared" si="5"/>
        <v>4519.3009999999995</v>
      </c>
      <c r="NH2" s="45">
        <f t="shared" si="5"/>
        <v>4560</v>
      </c>
      <c r="NI2" s="45">
        <f t="shared" si="5"/>
        <v>11511.216000000002</v>
      </c>
      <c r="NJ2" s="45">
        <f t="shared" si="5"/>
        <v>11566</v>
      </c>
      <c r="NK2" s="45">
        <f t="shared" si="5"/>
        <v>-95.483000000000175</v>
      </c>
      <c r="NL2" s="45">
        <f t="shared" si="5"/>
        <v>10.56</v>
      </c>
      <c r="NM2" s="45">
        <f t="shared" si="5"/>
        <v>6400.6409999999996</v>
      </c>
      <c r="NN2" s="45">
        <f t="shared" si="5"/>
        <v>6390</v>
      </c>
      <c r="NO2" s="45">
        <f t="shared" si="5"/>
        <v>10589.591</v>
      </c>
      <c r="NP2" s="45">
        <f t="shared" si="5"/>
        <v>11297</v>
      </c>
      <c r="NQ2" s="45">
        <f t="shared" si="5"/>
        <v>-696.76800000000003</v>
      </c>
      <c r="NR2" s="45">
        <f t="shared" si="5"/>
        <v>658.96500000000003</v>
      </c>
      <c r="NS2" s="45">
        <f t="shared" si="5"/>
        <v>8913.5550000000021</v>
      </c>
      <c r="NT2" s="45">
        <f t="shared" si="5"/>
        <v>9501</v>
      </c>
      <c r="NU2" s="45">
        <f t="shared" si="5"/>
        <v>7602.023000000001</v>
      </c>
      <c r="NV2" s="45">
        <f t="shared" si="5"/>
        <v>7600</v>
      </c>
      <c r="NW2" s="45">
        <f t="shared" si="5"/>
        <v>-585.42200000000025</v>
      </c>
      <c r="NX2" s="45">
        <f t="shared" ref="NX2:QI2" si="6">SUM(NX3:NX198)</f>
        <v>260.10000000000002</v>
      </c>
      <c r="NY2" s="45">
        <f t="shared" si="6"/>
        <v>7712.3719999999994</v>
      </c>
      <c r="NZ2" s="45">
        <f t="shared" si="6"/>
        <v>7875</v>
      </c>
      <c r="OA2" s="45">
        <f t="shared" si="6"/>
        <v>14088.480000000001</v>
      </c>
      <c r="OB2" s="45">
        <f t="shared" si="6"/>
        <v>14400</v>
      </c>
      <c r="OC2" s="45">
        <f t="shared" si="6"/>
        <v>-474.14800000000002</v>
      </c>
      <c r="OD2" s="45">
        <f t="shared" si="6"/>
        <v>93</v>
      </c>
      <c r="OE2" s="45">
        <f t="shared" si="6"/>
        <v>10115.432000000001</v>
      </c>
      <c r="OF2" s="45">
        <f t="shared" si="6"/>
        <v>10198</v>
      </c>
      <c r="OG2" s="45">
        <f t="shared" si="6"/>
        <v>8441.5470000000023</v>
      </c>
      <c r="OH2" s="45">
        <f t="shared" si="6"/>
        <v>8469</v>
      </c>
      <c r="OI2" s="45">
        <f t="shared" si="6"/>
        <v>-110.021</v>
      </c>
      <c r="OJ2" s="45">
        <f t="shared" si="6"/>
        <v>55.799999999999947</v>
      </c>
      <c r="OK2" s="45">
        <f t="shared" si="6"/>
        <v>8341.5990000000002</v>
      </c>
      <c r="OL2" s="45">
        <f t="shared" si="6"/>
        <v>10110</v>
      </c>
      <c r="OM2" s="45">
        <f t="shared" si="6"/>
        <v>9533.3960000000006</v>
      </c>
      <c r="ON2" s="45">
        <f t="shared" si="6"/>
        <v>10226</v>
      </c>
      <c r="OO2" s="45">
        <f t="shared" si="6"/>
        <v>-2461.0049999999997</v>
      </c>
      <c r="OP2" s="45">
        <f t="shared" si="6"/>
        <v>969.38099999999997</v>
      </c>
      <c r="OQ2" s="45">
        <f t="shared" si="6"/>
        <v>8369.8870000000006</v>
      </c>
      <c r="OR2" s="45">
        <f t="shared" si="6"/>
        <v>9090</v>
      </c>
      <c r="OS2" s="45">
        <f t="shared" si="6"/>
        <v>7346.530999999999</v>
      </c>
      <c r="OT2" s="45">
        <f t="shared" si="6"/>
        <v>7801</v>
      </c>
      <c r="OU2" s="45">
        <f t="shared" si="6"/>
        <v>-1174.5819999999999</v>
      </c>
      <c r="OV2" s="45">
        <f t="shared" si="6"/>
        <v>566.55199999999991</v>
      </c>
      <c r="OW2" s="45">
        <f t="shared" si="6"/>
        <v>8381.3549999999996</v>
      </c>
      <c r="OX2" s="45">
        <f t="shared" si="6"/>
        <v>8380</v>
      </c>
      <c r="OY2" s="45">
        <f t="shared" si="6"/>
        <v>9703.0360000000019</v>
      </c>
      <c r="OZ2" s="45">
        <f t="shared" si="6"/>
        <v>10529</v>
      </c>
      <c r="PA2" s="45">
        <f t="shared" si="6"/>
        <v>-814.60900000000026</v>
      </c>
      <c r="PB2" s="45">
        <f t="shared" si="6"/>
        <v>647.15499999999997</v>
      </c>
      <c r="PC2" s="45">
        <f t="shared" si="6"/>
        <v>4409.4790000000003</v>
      </c>
      <c r="PD2" s="45">
        <f t="shared" si="6"/>
        <v>5360</v>
      </c>
      <c r="PE2" s="45">
        <f t="shared" si="6"/>
        <v>7500.3500000000013</v>
      </c>
      <c r="PF2" s="45">
        <f t="shared" si="6"/>
        <v>8778</v>
      </c>
      <c r="PG2" s="45">
        <f t="shared" si="6"/>
        <v>-2228.1709999999994</v>
      </c>
      <c r="PH2" s="45">
        <f t="shared" si="6"/>
        <v>1432.4720000000002</v>
      </c>
      <c r="PI2" s="45">
        <f t="shared" si="6"/>
        <v>3062.1099999999997</v>
      </c>
      <c r="PJ2" s="45">
        <f t="shared" si="6"/>
        <v>4100</v>
      </c>
      <c r="PK2" s="45">
        <f t="shared" si="6"/>
        <v>6130.3529999999992</v>
      </c>
      <c r="PL2" s="45">
        <f t="shared" si="6"/>
        <v>6614</v>
      </c>
      <c r="PM2" s="45">
        <f t="shared" si="6"/>
        <v>-1521.537</v>
      </c>
      <c r="PN2" s="45">
        <f t="shared" si="6"/>
        <v>917.57099999999991</v>
      </c>
      <c r="PO2" s="45">
        <f t="shared" si="6"/>
        <v>7037.8999999999987</v>
      </c>
      <c r="PP2" s="45">
        <f t="shared" si="6"/>
        <v>7544</v>
      </c>
      <c r="PQ2" s="45">
        <f t="shared" si="6"/>
        <v>6442.8029999999999</v>
      </c>
      <c r="PR2" s="45">
        <f t="shared" si="6"/>
        <v>6905</v>
      </c>
      <c r="PS2" s="45">
        <f t="shared" si="6"/>
        <v>-968.29699999999991</v>
      </c>
      <c r="PT2" s="45">
        <f t="shared" si="6"/>
        <v>605.22699999999998</v>
      </c>
      <c r="PU2" s="45">
        <f t="shared" si="6"/>
        <v>2098.116</v>
      </c>
      <c r="PV2" s="45">
        <f t="shared" si="6"/>
        <v>2200</v>
      </c>
      <c r="PW2" s="45">
        <f t="shared" si="6"/>
        <v>13038.934999999999</v>
      </c>
      <c r="PX2" s="45">
        <f t="shared" si="6"/>
        <v>13580</v>
      </c>
      <c r="PY2" s="45">
        <f t="shared" si="6"/>
        <v>-642.94899999999984</v>
      </c>
      <c r="PZ2" s="45">
        <f t="shared" si="6"/>
        <v>418.80900000000003</v>
      </c>
      <c r="QA2" s="45">
        <f t="shared" si="6"/>
        <v>14818.637000000001</v>
      </c>
      <c r="QB2" s="45">
        <f t="shared" si="6"/>
        <v>14962</v>
      </c>
      <c r="QC2" s="45">
        <f t="shared" si="6"/>
        <v>-143.36299999999983</v>
      </c>
      <c r="QD2" s="45">
        <f t="shared" si="6"/>
        <v>286.47399999999999</v>
      </c>
      <c r="QE2" s="45">
        <f t="shared" si="6"/>
        <v>11652.652</v>
      </c>
      <c r="QF2" s="45">
        <f t="shared" si="6"/>
        <v>12195</v>
      </c>
      <c r="QG2" s="45">
        <f t="shared" si="6"/>
        <v>-542.34799999999996</v>
      </c>
      <c r="QH2" s="45">
        <f t="shared" si="6"/>
        <v>263.46799999999996</v>
      </c>
      <c r="QI2" s="45">
        <f t="shared" si="6"/>
        <v>11490.519999999999</v>
      </c>
      <c r="QJ2" s="45">
        <f t="shared" ref="QJ2:QZ2" si="7">SUM(QJ3:QJ198)</f>
        <v>13237</v>
      </c>
      <c r="QK2" s="45">
        <f t="shared" si="7"/>
        <v>-1746.4799999999998</v>
      </c>
      <c r="QL2" s="45">
        <f t="shared" si="7"/>
        <v>1014.8800000000001</v>
      </c>
      <c r="QM2" s="45">
        <f t="shared" si="7"/>
        <v>5795.1379999999999</v>
      </c>
      <c r="QN2" s="45">
        <f t="shared" si="7"/>
        <v>5973</v>
      </c>
      <c r="QO2" s="45">
        <f t="shared" si="7"/>
        <v>6236.2560000000003</v>
      </c>
      <c r="QP2" s="45">
        <f t="shared" si="7"/>
        <v>7000</v>
      </c>
      <c r="QQ2" s="45">
        <f t="shared" si="7"/>
        <v>-941.60599999999988</v>
      </c>
      <c r="QR2" s="45">
        <f t="shared" si="7"/>
        <v>621.99899999999991</v>
      </c>
      <c r="QS2" s="45">
        <f t="shared" si="7"/>
        <v>2034.1570000000002</v>
      </c>
      <c r="QT2" s="45">
        <f t="shared" si="7"/>
        <v>2320</v>
      </c>
      <c r="QU2" s="45">
        <f t="shared" si="7"/>
        <v>-285.84299999999996</v>
      </c>
      <c r="QV2" s="45">
        <f t="shared" si="7"/>
        <v>280.94799999999998</v>
      </c>
      <c r="QW2" s="45">
        <f t="shared" si="7"/>
        <v>13958.685000000001</v>
      </c>
      <c r="QX2" s="45">
        <f t="shared" si="7"/>
        <v>14706</v>
      </c>
      <c r="QY2" s="45">
        <f t="shared" si="7"/>
        <v>-747.31500000000005</v>
      </c>
      <c r="QZ2" s="45">
        <f t="shared" si="7"/>
        <v>508.75500000000005</v>
      </c>
    </row>
    <row r="3" spans="1:468" x14ac:dyDescent="0.25">
      <c r="A3" s="47" t="s">
        <v>287</v>
      </c>
      <c r="B3" s="38">
        <v>1</v>
      </c>
      <c r="N3" s="39"/>
      <c r="O3" s="48"/>
      <c r="P3" s="48"/>
      <c r="Q3" s="48"/>
      <c r="R3" s="48">
        <f>N3+P3-O3-Q3</f>
        <v>0</v>
      </c>
      <c r="S3" s="40"/>
      <c r="T3" s="39"/>
      <c r="U3" s="48"/>
      <c r="V3" s="48">
        <f>T3-U3</f>
        <v>0</v>
      </c>
      <c r="W3" s="40"/>
      <c r="X3" s="39"/>
      <c r="Y3" s="48"/>
      <c r="Z3" s="48"/>
      <c r="AA3" s="48"/>
      <c r="AB3" s="48">
        <f>X3+Z3-Y3-AA3</f>
        <v>0</v>
      </c>
      <c r="AC3" s="40"/>
      <c r="AD3" s="48"/>
      <c r="AH3" s="44">
        <v>0</v>
      </c>
      <c r="AI3" s="40"/>
      <c r="AN3" s="44">
        <v>0</v>
      </c>
      <c r="AO3" s="40"/>
      <c r="AT3" s="44">
        <v>0</v>
      </c>
      <c r="AU3" s="40"/>
      <c r="AV3" s="39"/>
      <c r="AX3" s="44">
        <v>0</v>
      </c>
      <c r="AY3" s="40"/>
      <c r="AZ3" s="39"/>
      <c r="BB3" s="44">
        <v>0</v>
      </c>
      <c r="BC3" s="40"/>
      <c r="BH3" s="44">
        <v>0</v>
      </c>
      <c r="BI3" s="40"/>
      <c r="BL3" s="44">
        <v>0</v>
      </c>
      <c r="BM3" s="40"/>
      <c r="BN3" s="39"/>
      <c r="BR3" s="44">
        <v>0</v>
      </c>
      <c r="BS3" s="40"/>
      <c r="BV3" s="44">
        <v>0</v>
      </c>
      <c r="BW3" s="40"/>
      <c r="BX3" s="39"/>
      <c r="BZ3" s="44">
        <v>0</v>
      </c>
      <c r="CA3" s="40"/>
      <c r="CB3" s="39"/>
      <c r="CH3" s="44">
        <v>0</v>
      </c>
      <c r="CI3" s="40"/>
      <c r="CN3" s="44">
        <v>0</v>
      </c>
      <c r="CO3" s="40"/>
      <c r="CP3" s="39"/>
      <c r="CT3" s="44">
        <v>0</v>
      </c>
      <c r="CU3" s="40"/>
      <c r="CV3" s="39"/>
      <c r="CZ3" s="44">
        <v>0</v>
      </c>
      <c r="DA3" s="40"/>
      <c r="DB3" s="39"/>
      <c r="DF3" s="44">
        <v>0</v>
      </c>
      <c r="DG3" s="40"/>
      <c r="DN3" s="44">
        <v>0</v>
      </c>
      <c r="DO3" s="40"/>
      <c r="DP3" s="39"/>
      <c r="DR3" s="44">
        <v>0</v>
      </c>
      <c r="DS3" s="40"/>
      <c r="DT3" s="39"/>
      <c r="DX3" s="44">
        <v>0</v>
      </c>
      <c r="DY3" s="40"/>
      <c r="DZ3" s="39"/>
      <c r="EB3" s="44">
        <v>0</v>
      </c>
      <c r="EC3" s="40"/>
      <c r="EK3" s="44">
        <v>0</v>
      </c>
      <c r="EL3" s="40"/>
      <c r="ES3" s="44">
        <v>0</v>
      </c>
      <c r="ET3" s="40"/>
      <c r="EU3" s="39"/>
      <c r="EY3" s="44">
        <v>0</v>
      </c>
      <c r="EZ3" s="40"/>
      <c r="FA3" s="39"/>
      <c r="FD3" s="44">
        <v>0</v>
      </c>
      <c r="FE3" s="40"/>
      <c r="FH3" s="44">
        <v>0</v>
      </c>
      <c r="FI3" s="40"/>
      <c r="FJ3" s="39"/>
      <c r="FQ3" s="44">
        <v>0</v>
      </c>
      <c r="FR3" s="40"/>
      <c r="FW3" s="44">
        <v>0</v>
      </c>
      <c r="FX3" s="40"/>
      <c r="FY3" s="39"/>
      <c r="GC3" s="44">
        <v>0</v>
      </c>
      <c r="GD3" s="40"/>
      <c r="GI3" s="44">
        <v>0</v>
      </c>
      <c r="GJ3" s="40"/>
      <c r="GM3" s="44">
        <v>0</v>
      </c>
      <c r="GN3" s="40"/>
      <c r="GO3" s="39"/>
      <c r="GQ3" s="44">
        <v>0</v>
      </c>
      <c r="GR3" s="40"/>
      <c r="GX3" s="44">
        <v>0</v>
      </c>
      <c r="GY3" s="40"/>
      <c r="HD3" s="44">
        <v>0</v>
      </c>
      <c r="HE3" s="40"/>
      <c r="HF3" s="39"/>
      <c r="HJ3" s="44">
        <v>0</v>
      </c>
      <c r="HK3" s="40"/>
      <c r="HL3" s="39"/>
      <c r="HP3" s="44">
        <v>0</v>
      </c>
      <c r="HQ3" s="40"/>
      <c r="HV3" s="44">
        <v>0</v>
      </c>
      <c r="HW3" s="43"/>
      <c r="IB3" s="44">
        <v>0</v>
      </c>
      <c r="IC3" s="43"/>
      <c r="IH3" s="44">
        <v>0</v>
      </c>
      <c r="II3" s="43"/>
      <c r="IJ3" s="44">
        <v>61</v>
      </c>
      <c r="IK3" s="44">
        <v>60</v>
      </c>
      <c r="IN3" s="44">
        <v>1</v>
      </c>
      <c r="IO3" s="40"/>
      <c r="IS3" s="40"/>
      <c r="IY3" s="43"/>
      <c r="JC3" s="40"/>
      <c r="JI3" s="40"/>
      <c r="JO3" s="43"/>
      <c r="JU3" s="43"/>
      <c r="KA3" s="43"/>
      <c r="KB3" s="41"/>
      <c r="KJ3" s="43"/>
      <c r="KP3" s="43"/>
      <c r="KV3" s="43"/>
      <c r="KW3" s="42"/>
      <c r="KZ3" s="43"/>
      <c r="LA3" s="42"/>
      <c r="LF3" s="43"/>
      <c r="LG3" s="42"/>
      <c r="LL3" s="43"/>
      <c r="LM3" s="42"/>
      <c r="LP3" s="43"/>
      <c r="LQ3" s="42"/>
      <c r="LV3" s="43"/>
      <c r="LW3" s="42"/>
      <c r="MB3" s="43"/>
      <c r="MC3" s="42"/>
      <c r="MH3" s="43"/>
      <c r="MI3" s="42"/>
      <c r="MN3" s="43"/>
      <c r="MO3" s="42"/>
      <c r="MT3" s="43"/>
      <c r="MU3" s="42"/>
      <c r="MZ3" s="43"/>
      <c r="NA3" s="42"/>
      <c r="NF3" s="43"/>
      <c r="NG3" s="42"/>
      <c r="NL3" s="43"/>
      <c r="NM3" s="42"/>
      <c r="NR3" s="43"/>
      <c r="NS3" s="42"/>
      <c r="NX3" s="43"/>
      <c r="NY3" s="42"/>
      <c r="OD3" s="43"/>
      <c r="OE3" s="42"/>
      <c r="OJ3" s="43"/>
      <c r="OK3" s="42"/>
      <c r="OP3" s="43"/>
      <c r="OQ3" s="42"/>
      <c r="OV3" s="43"/>
      <c r="OW3" s="42"/>
      <c r="PB3" s="43"/>
      <c r="PC3" s="42"/>
      <c r="PH3" s="43"/>
      <c r="PI3" s="42"/>
      <c r="PN3" s="43"/>
      <c r="PO3" s="42"/>
      <c r="PS3" s="44"/>
      <c r="PT3" s="43"/>
      <c r="PU3" s="42"/>
      <c r="PY3" s="44"/>
      <c r="PZ3" s="43"/>
      <c r="QA3" s="42"/>
      <c r="QC3" s="44"/>
      <c r="QD3" s="43"/>
      <c r="QE3" s="42"/>
      <c r="QG3" s="44"/>
      <c r="QH3" s="43"/>
      <c r="QI3" s="42"/>
      <c r="QK3" s="44"/>
      <c r="QL3" s="43"/>
      <c r="QM3" s="42"/>
      <c r="QQ3" s="44"/>
      <c r="QR3" s="43"/>
      <c r="QS3" s="42"/>
      <c r="QU3" s="44"/>
      <c r="QV3" s="43"/>
      <c r="QW3" s="42"/>
      <c r="QY3" s="44"/>
      <c r="QZ3" s="43"/>
    </row>
    <row r="4" spans="1:468" x14ac:dyDescent="0.25">
      <c r="A4" s="47" t="s">
        <v>288</v>
      </c>
      <c r="B4" s="38">
        <v>0.4</v>
      </c>
      <c r="F4">
        <v>112</v>
      </c>
      <c r="I4">
        <v>240</v>
      </c>
      <c r="J4">
        <v>296</v>
      </c>
      <c r="K4">
        <v>299</v>
      </c>
      <c r="N4" s="41">
        <v>120</v>
      </c>
      <c r="O4" s="49">
        <v>120</v>
      </c>
      <c r="P4" s="49">
        <v>144</v>
      </c>
      <c r="Q4" s="49">
        <v>147</v>
      </c>
      <c r="R4" s="48">
        <f t="shared" ref="R4:R67" si="8">N4+P4-O4-Q4</f>
        <v>-3</v>
      </c>
      <c r="S4" s="40"/>
      <c r="T4" s="39"/>
      <c r="U4" s="48"/>
      <c r="V4" s="48">
        <f t="shared" ref="V4:V67" si="9">T4-U4</f>
        <v>0</v>
      </c>
      <c r="W4" s="40"/>
      <c r="X4" s="41">
        <v>200</v>
      </c>
      <c r="Y4" s="49">
        <v>200</v>
      </c>
      <c r="Z4" s="49">
        <v>248</v>
      </c>
      <c r="AA4" s="49">
        <v>250</v>
      </c>
      <c r="AB4" s="48">
        <f t="shared" ref="AB4:AB67" si="10">X4+Z4-Y4-AA4</f>
        <v>-2</v>
      </c>
      <c r="AC4" s="40"/>
      <c r="AD4" s="49">
        <v>120</v>
      </c>
      <c r="AE4">
        <v>120</v>
      </c>
      <c r="AF4">
        <v>184</v>
      </c>
      <c r="AG4">
        <v>189</v>
      </c>
      <c r="AH4" s="44">
        <v>-5</v>
      </c>
      <c r="AI4" s="40"/>
      <c r="AJ4">
        <v>96</v>
      </c>
      <c r="AK4">
        <v>100</v>
      </c>
      <c r="AL4">
        <v>152</v>
      </c>
      <c r="AM4">
        <v>150</v>
      </c>
      <c r="AN4" s="44">
        <v>-2</v>
      </c>
      <c r="AO4" s="40"/>
      <c r="AP4">
        <v>32</v>
      </c>
      <c r="AQ4">
        <v>32</v>
      </c>
      <c r="AR4">
        <v>24</v>
      </c>
      <c r="AS4">
        <v>24</v>
      </c>
      <c r="AT4" s="44">
        <v>0</v>
      </c>
      <c r="AU4" s="40"/>
      <c r="AV4" s="41">
        <v>96</v>
      </c>
      <c r="AW4">
        <v>100</v>
      </c>
      <c r="AX4" s="44">
        <v>-4</v>
      </c>
      <c r="AY4" s="40"/>
      <c r="AZ4" s="41">
        <v>432</v>
      </c>
      <c r="BA4">
        <v>430</v>
      </c>
      <c r="BB4" s="44">
        <v>2</v>
      </c>
      <c r="BC4" s="40"/>
      <c r="BF4">
        <v>56</v>
      </c>
      <c r="BG4">
        <v>60</v>
      </c>
      <c r="BH4" s="44">
        <v>-4</v>
      </c>
      <c r="BI4" s="40"/>
      <c r="BJ4">
        <v>360</v>
      </c>
      <c r="BK4">
        <v>363</v>
      </c>
      <c r="BL4" s="44">
        <v>-3</v>
      </c>
      <c r="BM4" s="40"/>
      <c r="BN4" s="41">
        <v>96</v>
      </c>
      <c r="BO4">
        <v>100</v>
      </c>
      <c r="BP4">
        <v>232</v>
      </c>
      <c r="BQ4">
        <v>232</v>
      </c>
      <c r="BR4" s="44">
        <v>-4</v>
      </c>
      <c r="BS4" s="40"/>
      <c r="BT4">
        <v>752</v>
      </c>
      <c r="BU4">
        <v>750</v>
      </c>
      <c r="BV4" s="44">
        <v>2</v>
      </c>
      <c r="BW4" s="40"/>
      <c r="BX4" s="41">
        <v>32</v>
      </c>
      <c r="BY4">
        <v>40</v>
      </c>
      <c r="BZ4" s="46">
        <v>-8</v>
      </c>
      <c r="CA4" s="40">
        <v>3.2</v>
      </c>
      <c r="CB4" s="39"/>
      <c r="CD4">
        <v>128</v>
      </c>
      <c r="CE4">
        <v>200</v>
      </c>
      <c r="CF4">
        <v>200</v>
      </c>
      <c r="CG4">
        <v>130</v>
      </c>
      <c r="CH4" s="44">
        <v>-2</v>
      </c>
      <c r="CI4" s="40"/>
      <c r="CJ4">
        <v>296</v>
      </c>
      <c r="CK4">
        <v>300</v>
      </c>
      <c r="CL4">
        <v>384</v>
      </c>
      <c r="CM4">
        <v>386</v>
      </c>
      <c r="CN4" s="44">
        <v>-6</v>
      </c>
      <c r="CO4" s="40"/>
      <c r="CP4" s="39"/>
      <c r="CR4">
        <v>40</v>
      </c>
      <c r="CS4">
        <v>40</v>
      </c>
      <c r="CT4" s="44">
        <v>0</v>
      </c>
      <c r="CU4" s="40"/>
      <c r="CV4" s="41">
        <v>104</v>
      </c>
      <c r="CW4">
        <v>104</v>
      </c>
      <c r="CZ4" s="44">
        <v>0</v>
      </c>
      <c r="DA4" s="40"/>
      <c r="DB4" s="41">
        <v>200</v>
      </c>
      <c r="DC4">
        <v>200</v>
      </c>
      <c r="DD4">
        <v>272</v>
      </c>
      <c r="DE4">
        <v>270</v>
      </c>
      <c r="DF4" s="44">
        <v>2</v>
      </c>
      <c r="DG4" s="40"/>
      <c r="DH4">
        <v>96</v>
      </c>
      <c r="DI4">
        <v>100</v>
      </c>
      <c r="DJ4">
        <v>200</v>
      </c>
      <c r="DK4">
        <v>200</v>
      </c>
      <c r="DL4">
        <v>200</v>
      </c>
      <c r="DM4">
        <v>200</v>
      </c>
      <c r="DN4" s="44">
        <v>-4</v>
      </c>
      <c r="DO4" s="40"/>
      <c r="DP4" s="41">
        <v>152</v>
      </c>
      <c r="DQ4">
        <v>150</v>
      </c>
      <c r="DR4" s="44">
        <v>2</v>
      </c>
      <c r="DS4" s="40"/>
      <c r="DT4" s="41">
        <v>200</v>
      </c>
      <c r="DU4">
        <v>200</v>
      </c>
      <c r="DV4">
        <v>296</v>
      </c>
      <c r="DW4">
        <v>300</v>
      </c>
      <c r="DX4" s="44">
        <v>-4</v>
      </c>
      <c r="DY4" s="40"/>
      <c r="DZ4" s="41">
        <v>56</v>
      </c>
      <c r="EA4">
        <v>60</v>
      </c>
      <c r="EB4" s="44">
        <v>-4</v>
      </c>
      <c r="EC4" s="40"/>
      <c r="ED4">
        <v>120</v>
      </c>
      <c r="EE4">
        <v>120</v>
      </c>
      <c r="EG4">
        <v>120</v>
      </c>
      <c r="EH4">
        <v>120</v>
      </c>
      <c r="EI4">
        <v>288</v>
      </c>
      <c r="EJ4">
        <v>290</v>
      </c>
      <c r="EK4" s="44">
        <v>-2</v>
      </c>
      <c r="EL4" s="40"/>
      <c r="EQ4">
        <v>168</v>
      </c>
      <c r="ER4">
        <v>170</v>
      </c>
      <c r="ES4" s="44">
        <v>-2</v>
      </c>
      <c r="ET4" s="40"/>
      <c r="EU4" s="41">
        <v>96</v>
      </c>
      <c r="EV4">
        <v>100</v>
      </c>
      <c r="EW4">
        <v>208</v>
      </c>
      <c r="EX4">
        <v>210</v>
      </c>
      <c r="EY4" s="44">
        <v>-6</v>
      </c>
      <c r="EZ4" s="40"/>
      <c r="FA4" s="39"/>
      <c r="FD4" s="44">
        <v>0</v>
      </c>
      <c r="FE4" s="40"/>
      <c r="FH4" s="44">
        <v>0</v>
      </c>
      <c r="FI4" s="40"/>
      <c r="FJ4" s="41">
        <v>152</v>
      </c>
      <c r="FK4">
        <v>150</v>
      </c>
      <c r="FL4">
        <v>96</v>
      </c>
      <c r="FN4">
        <v>100</v>
      </c>
      <c r="FO4">
        <v>152</v>
      </c>
      <c r="FP4">
        <v>150</v>
      </c>
      <c r="FQ4" s="44">
        <v>0</v>
      </c>
      <c r="FR4" s="40"/>
      <c r="FW4" s="44">
        <v>0</v>
      </c>
      <c r="FX4" s="40"/>
      <c r="FY4" s="39"/>
      <c r="GA4">
        <v>176</v>
      </c>
      <c r="GB4">
        <v>180</v>
      </c>
      <c r="GC4" s="44">
        <v>-4</v>
      </c>
      <c r="GD4" s="40"/>
      <c r="GE4">
        <v>160</v>
      </c>
      <c r="GF4">
        <v>160</v>
      </c>
      <c r="GG4">
        <v>192</v>
      </c>
      <c r="GH4">
        <v>190</v>
      </c>
      <c r="GI4" s="44">
        <v>2</v>
      </c>
      <c r="GJ4" s="40"/>
      <c r="GM4" s="44">
        <v>0</v>
      </c>
      <c r="GN4" s="40"/>
      <c r="GO4" s="41">
        <v>208</v>
      </c>
      <c r="GP4">
        <v>210</v>
      </c>
      <c r="GQ4" s="44">
        <v>-2</v>
      </c>
      <c r="GR4" s="40"/>
      <c r="GV4">
        <v>160</v>
      </c>
      <c r="GW4">
        <v>165</v>
      </c>
      <c r="GX4" s="44">
        <v>-5</v>
      </c>
      <c r="GY4" s="40"/>
      <c r="HD4" s="44">
        <v>0</v>
      </c>
      <c r="HE4" s="40"/>
      <c r="HF4" s="39"/>
      <c r="HH4">
        <v>184</v>
      </c>
      <c r="HI4">
        <v>190</v>
      </c>
      <c r="HJ4" s="44">
        <v>-6</v>
      </c>
      <c r="HK4" s="40"/>
      <c r="HL4" s="41">
        <v>408</v>
      </c>
      <c r="HM4">
        <v>370</v>
      </c>
      <c r="HN4">
        <v>312</v>
      </c>
      <c r="HO4">
        <v>310</v>
      </c>
      <c r="HP4" s="44">
        <v>40</v>
      </c>
      <c r="HQ4" s="40"/>
      <c r="HT4">
        <v>208</v>
      </c>
      <c r="HU4">
        <v>210</v>
      </c>
      <c r="HV4" s="44">
        <v>-2</v>
      </c>
      <c r="HW4" s="43"/>
      <c r="HZ4">
        <v>56</v>
      </c>
      <c r="IA4">
        <v>60</v>
      </c>
      <c r="IB4" s="44">
        <v>-4</v>
      </c>
      <c r="IC4" s="43"/>
      <c r="ID4">
        <v>280</v>
      </c>
      <c r="IE4">
        <v>280</v>
      </c>
      <c r="IF4">
        <v>208</v>
      </c>
      <c r="IG4">
        <v>210</v>
      </c>
      <c r="IH4" s="44">
        <v>-2</v>
      </c>
      <c r="II4" s="43"/>
      <c r="IL4">
        <v>96</v>
      </c>
      <c r="IM4">
        <v>100</v>
      </c>
      <c r="IN4" s="44">
        <v>-4</v>
      </c>
      <c r="IO4" s="40"/>
      <c r="IP4">
        <v>320</v>
      </c>
      <c r="IQ4">
        <v>320</v>
      </c>
      <c r="IR4" s="44">
        <v>0</v>
      </c>
      <c r="IS4" s="40"/>
      <c r="IT4">
        <v>216</v>
      </c>
      <c r="IU4">
        <v>220</v>
      </c>
      <c r="IV4">
        <v>96</v>
      </c>
      <c r="IW4">
        <v>95</v>
      </c>
      <c r="IX4" s="44">
        <v>-3</v>
      </c>
      <c r="IY4" s="43"/>
      <c r="IZ4">
        <v>16</v>
      </c>
      <c r="JA4" s="47">
        <v>20</v>
      </c>
      <c r="JB4" s="44">
        <v>-4</v>
      </c>
      <c r="JC4" s="40"/>
      <c r="JF4">
        <v>352</v>
      </c>
      <c r="JG4">
        <v>350</v>
      </c>
      <c r="JH4" s="44">
        <v>2</v>
      </c>
      <c r="JI4" s="40"/>
      <c r="JJ4">
        <v>296</v>
      </c>
      <c r="JK4">
        <v>300</v>
      </c>
      <c r="JL4">
        <v>296</v>
      </c>
      <c r="JM4">
        <v>300</v>
      </c>
      <c r="JN4" s="44">
        <v>-8</v>
      </c>
      <c r="JO4" s="43"/>
      <c r="JT4" s="44">
        <v>0</v>
      </c>
      <c r="JU4" s="43"/>
      <c r="JZ4" s="44">
        <v>0</v>
      </c>
      <c r="KA4" s="43"/>
      <c r="KB4" s="41">
        <v>296</v>
      </c>
      <c r="KC4">
        <v>300</v>
      </c>
      <c r="KE4">
        <v>352</v>
      </c>
      <c r="KF4">
        <v>350</v>
      </c>
      <c r="KG4">
        <v>296</v>
      </c>
      <c r="KH4">
        <v>300</v>
      </c>
      <c r="KI4" s="44">
        <v>-6</v>
      </c>
      <c r="KJ4" s="43"/>
      <c r="KK4" s="47">
        <v>0</v>
      </c>
      <c r="KL4" s="47">
        <v>0</v>
      </c>
      <c r="KM4" s="47">
        <v>0</v>
      </c>
      <c r="KN4" s="47">
        <v>0</v>
      </c>
      <c r="KO4" s="44">
        <v>0</v>
      </c>
      <c r="KP4" s="43"/>
      <c r="KQ4" s="47">
        <v>0</v>
      </c>
      <c r="KR4" s="47">
        <v>0</v>
      </c>
      <c r="KS4" s="47">
        <v>240</v>
      </c>
      <c r="KT4" s="47">
        <v>240</v>
      </c>
      <c r="KU4" s="44">
        <v>0</v>
      </c>
      <c r="KV4" s="43"/>
      <c r="KW4" s="42">
        <v>544</v>
      </c>
      <c r="KX4" s="47">
        <v>542</v>
      </c>
      <c r="KY4" s="44">
        <v>2</v>
      </c>
      <c r="KZ4" s="43"/>
      <c r="LA4" s="42">
        <v>0</v>
      </c>
      <c r="LB4" s="47">
        <v>200</v>
      </c>
      <c r="LC4" s="47">
        <v>0</v>
      </c>
      <c r="LD4" s="47">
        <v>200</v>
      </c>
      <c r="LE4" s="46">
        <v>-400</v>
      </c>
      <c r="LF4" s="43">
        <v>160</v>
      </c>
      <c r="LG4" s="42">
        <v>176</v>
      </c>
      <c r="LH4" s="47">
        <v>180</v>
      </c>
      <c r="LI4" s="47">
        <v>192</v>
      </c>
      <c r="LJ4" s="47">
        <v>190</v>
      </c>
      <c r="LK4" s="44">
        <v>-2</v>
      </c>
      <c r="LL4" s="43"/>
      <c r="LM4" s="42">
        <v>0</v>
      </c>
      <c r="LN4" s="47">
        <v>0</v>
      </c>
      <c r="LO4" s="44">
        <v>0</v>
      </c>
      <c r="LP4" s="43"/>
      <c r="LQ4" s="42">
        <v>72</v>
      </c>
      <c r="LR4" s="47">
        <v>70</v>
      </c>
      <c r="LS4" s="47">
        <v>72</v>
      </c>
      <c r="LT4" s="47">
        <v>70</v>
      </c>
      <c r="LU4" s="44">
        <v>4</v>
      </c>
      <c r="LV4" s="43"/>
      <c r="LW4" s="42">
        <v>0</v>
      </c>
      <c r="LX4" s="47">
        <v>0</v>
      </c>
      <c r="LY4" s="47">
        <v>552</v>
      </c>
      <c r="LZ4" s="47">
        <v>550</v>
      </c>
      <c r="MA4" s="44">
        <v>2</v>
      </c>
      <c r="MB4" s="43"/>
      <c r="MC4" s="42">
        <v>48</v>
      </c>
      <c r="MD4" s="47">
        <v>50</v>
      </c>
      <c r="ME4" s="47">
        <v>120</v>
      </c>
      <c r="MF4" s="47">
        <v>120</v>
      </c>
      <c r="MG4" s="44">
        <v>-2</v>
      </c>
      <c r="MH4" s="43"/>
      <c r="MI4" s="42">
        <v>400</v>
      </c>
      <c r="MJ4" s="47">
        <v>400</v>
      </c>
      <c r="MK4" s="47">
        <v>200</v>
      </c>
      <c r="ML4" s="47">
        <v>200</v>
      </c>
      <c r="MM4" s="44">
        <v>0</v>
      </c>
      <c r="MN4" s="43"/>
      <c r="MO4" s="42">
        <v>152</v>
      </c>
      <c r="MP4" s="47">
        <v>150</v>
      </c>
      <c r="MQ4" s="47">
        <v>200</v>
      </c>
      <c r="MR4" s="47">
        <v>200</v>
      </c>
      <c r="MS4" s="44">
        <v>2</v>
      </c>
      <c r="MT4" s="43"/>
      <c r="MU4" s="42">
        <v>96</v>
      </c>
      <c r="MV4" s="47">
        <v>100</v>
      </c>
      <c r="MW4" s="47">
        <v>64</v>
      </c>
      <c r="MX4" s="47">
        <v>100</v>
      </c>
      <c r="MY4" s="46">
        <v>-40</v>
      </c>
      <c r="MZ4" s="43">
        <v>16</v>
      </c>
      <c r="NA4" s="42">
        <v>296</v>
      </c>
      <c r="NB4" s="47">
        <v>300</v>
      </c>
      <c r="NC4" s="47">
        <v>320</v>
      </c>
      <c r="ND4" s="47">
        <v>320</v>
      </c>
      <c r="NE4" s="44">
        <v>-4</v>
      </c>
      <c r="NF4" s="43"/>
      <c r="NG4" s="42">
        <v>200</v>
      </c>
      <c r="NH4" s="47">
        <v>200</v>
      </c>
      <c r="NI4" s="47">
        <v>296</v>
      </c>
      <c r="NJ4" s="47">
        <v>300</v>
      </c>
      <c r="NK4" s="44">
        <v>-4</v>
      </c>
      <c r="NL4" s="43"/>
      <c r="NM4" s="42">
        <v>352</v>
      </c>
      <c r="NN4" s="47">
        <v>350</v>
      </c>
      <c r="NO4" s="47">
        <v>360</v>
      </c>
      <c r="NP4" s="47">
        <v>350</v>
      </c>
      <c r="NQ4" s="44">
        <v>12</v>
      </c>
      <c r="NR4" s="43"/>
      <c r="NS4" s="42">
        <v>88</v>
      </c>
      <c r="NT4" s="47">
        <v>200</v>
      </c>
      <c r="NU4" s="47">
        <v>0</v>
      </c>
      <c r="NV4" s="47">
        <v>0</v>
      </c>
      <c r="NW4" s="46">
        <v>-112</v>
      </c>
      <c r="NX4" s="43">
        <v>44.8</v>
      </c>
      <c r="NY4" s="42">
        <v>352</v>
      </c>
      <c r="NZ4" s="47">
        <v>350</v>
      </c>
      <c r="OA4" s="47">
        <v>352</v>
      </c>
      <c r="OB4" s="47">
        <v>350</v>
      </c>
      <c r="OC4" s="44">
        <v>4</v>
      </c>
      <c r="OD4" s="43"/>
      <c r="OE4" s="42">
        <v>216</v>
      </c>
      <c r="OF4" s="47">
        <v>220</v>
      </c>
      <c r="OG4" s="47">
        <v>176</v>
      </c>
      <c r="OH4" s="47">
        <v>180</v>
      </c>
      <c r="OI4" s="44">
        <v>-8</v>
      </c>
      <c r="OJ4" s="43"/>
      <c r="OK4" s="42">
        <v>0</v>
      </c>
      <c r="OL4" s="47">
        <v>0</v>
      </c>
      <c r="OM4" s="47">
        <v>0</v>
      </c>
      <c r="ON4" s="47">
        <v>0</v>
      </c>
      <c r="OO4" s="44">
        <v>0</v>
      </c>
      <c r="OP4" s="43"/>
      <c r="OQ4" s="42">
        <v>600</v>
      </c>
      <c r="OR4" s="47">
        <v>600</v>
      </c>
      <c r="OS4" s="47">
        <v>568</v>
      </c>
      <c r="OT4" s="47">
        <v>566</v>
      </c>
      <c r="OU4" s="44">
        <v>2</v>
      </c>
      <c r="OV4" s="43"/>
      <c r="OW4" s="42">
        <v>24</v>
      </c>
      <c r="OX4" s="47">
        <v>0</v>
      </c>
      <c r="OY4" s="47">
        <v>96</v>
      </c>
      <c r="OZ4" s="47">
        <v>100</v>
      </c>
      <c r="PA4" s="44">
        <v>20</v>
      </c>
      <c r="PB4" s="43"/>
      <c r="PC4" s="42">
        <v>296</v>
      </c>
      <c r="PD4" s="47">
        <v>300</v>
      </c>
      <c r="PE4" s="47">
        <v>352</v>
      </c>
      <c r="PF4" s="47">
        <v>350</v>
      </c>
      <c r="PG4" s="44">
        <v>-2</v>
      </c>
      <c r="PH4" s="43"/>
      <c r="PI4" s="42">
        <v>40</v>
      </c>
      <c r="PJ4" s="47">
        <v>100</v>
      </c>
      <c r="PK4" s="47">
        <v>0</v>
      </c>
      <c r="PL4" s="26">
        <v>100</v>
      </c>
      <c r="PM4" s="46">
        <v>-160</v>
      </c>
      <c r="PN4" s="43">
        <v>64</v>
      </c>
      <c r="PO4" s="42">
        <v>88</v>
      </c>
      <c r="PP4" s="47">
        <v>89</v>
      </c>
      <c r="PQ4" s="47">
        <v>80</v>
      </c>
      <c r="PR4" s="47">
        <v>80</v>
      </c>
      <c r="PS4" s="44">
        <v>-1</v>
      </c>
      <c r="PT4" s="43"/>
      <c r="PU4" s="42">
        <v>0</v>
      </c>
      <c r="PV4" s="47">
        <v>0</v>
      </c>
      <c r="PW4" s="47">
        <v>400</v>
      </c>
      <c r="PX4" s="47">
        <v>400</v>
      </c>
      <c r="PY4" s="44">
        <v>0</v>
      </c>
      <c r="PZ4" s="43"/>
      <c r="QA4" s="42">
        <v>216</v>
      </c>
      <c r="QB4" s="47">
        <v>220</v>
      </c>
      <c r="QC4" s="44">
        <v>-4</v>
      </c>
      <c r="QD4" s="43"/>
      <c r="QE4" s="42">
        <v>0</v>
      </c>
      <c r="QF4" s="47">
        <v>0</v>
      </c>
      <c r="QG4" s="44">
        <v>0</v>
      </c>
      <c r="QH4" s="43"/>
      <c r="QI4" s="42">
        <v>0</v>
      </c>
      <c r="QJ4" s="47">
        <v>597</v>
      </c>
      <c r="QK4" s="46">
        <v>-597</v>
      </c>
      <c r="QL4" s="43">
        <v>238.8</v>
      </c>
      <c r="QM4" s="42">
        <v>0</v>
      </c>
      <c r="QN4" s="47">
        <v>0</v>
      </c>
      <c r="QO4" s="47">
        <v>0</v>
      </c>
      <c r="QP4" s="47">
        <v>0</v>
      </c>
      <c r="QQ4" s="44">
        <v>0</v>
      </c>
      <c r="QR4" s="43"/>
      <c r="QS4" s="42">
        <v>0</v>
      </c>
      <c r="QT4" s="47">
        <v>0</v>
      </c>
      <c r="QU4" s="44">
        <v>0</v>
      </c>
      <c r="QV4" s="43"/>
      <c r="QW4" s="42">
        <v>472</v>
      </c>
      <c r="QX4" s="47">
        <v>650</v>
      </c>
      <c r="QY4" s="46">
        <v>-178</v>
      </c>
      <c r="QZ4" s="43">
        <v>71.2</v>
      </c>
    </row>
    <row r="5" spans="1:468" x14ac:dyDescent="0.25">
      <c r="A5" s="47" t="s">
        <v>289</v>
      </c>
      <c r="B5" s="38">
        <v>1</v>
      </c>
      <c r="I5">
        <v>30</v>
      </c>
      <c r="J5">
        <v>40</v>
      </c>
      <c r="K5">
        <v>40</v>
      </c>
      <c r="N5" s="39"/>
      <c r="O5" s="48"/>
      <c r="P5" s="48"/>
      <c r="Q5" s="48"/>
      <c r="R5" s="48">
        <f t="shared" si="8"/>
        <v>0</v>
      </c>
      <c r="S5" s="40"/>
      <c r="T5" s="41">
        <v>35</v>
      </c>
      <c r="U5" s="49">
        <v>35</v>
      </c>
      <c r="V5" s="48">
        <f t="shared" si="9"/>
        <v>0</v>
      </c>
      <c r="W5" s="40"/>
      <c r="X5" s="39"/>
      <c r="Y5" s="48"/>
      <c r="Z5" s="49">
        <v>20</v>
      </c>
      <c r="AA5" s="49">
        <v>19</v>
      </c>
      <c r="AB5" s="48">
        <f t="shared" si="10"/>
        <v>1</v>
      </c>
      <c r="AC5" s="40"/>
      <c r="AD5" s="48"/>
      <c r="AH5" s="44">
        <v>0</v>
      </c>
      <c r="AI5" s="40"/>
      <c r="AJ5">
        <v>15</v>
      </c>
      <c r="AK5">
        <v>15</v>
      </c>
      <c r="AN5" s="44">
        <v>0</v>
      </c>
      <c r="AO5" s="40"/>
      <c r="AT5" s="44">
        <v>0</v>
      </c>
      <c r="AU5" s="40"/>
      <c r="AV5" s="39"/>
      <c r="AX5" s="44">
        <v>0</v>
      </c>
      <c r="AY5" s="40"/>
      <c r="AZ5" s="39"/>
      <c r="BB5" s="44">
        <v>0</v>
      </c>
      <c r="BC5" s="40"/>
      <c r="BD5">
        <v>12</v>
      </c>
      <c r="BE5">
        <v>10</v>
      </c>
      <c r="BH5" s="44">
        <v>2</v>
      </c>
      <c r="BI5" s="40"/>
      <c r="BJ5">
        <v>55</v>
      </c>
      <c r="BK5">
        <v>55</v>
      </c>
      <c r="BL5" s="44">
        <v>0</v>
      </c>
      <c r="BM5" s="40"/>
      <c r="BN5" s="39"/>
      <c r="BP5">
        <v>44</v>
      </c>
      <c r="BQ5">
        <v>44</v>
      </c>
      <c r="BR5" s="44">
        <v>0</v>
      </c>
      <c r="BS5" s="40"/>
      <c r="BV5" s="44">
        <v>0</v>
      </c>
      <c r="BW5" s="40"/>
      <c r="BX5" s="39"/>
      <c r="BZ5" s="44">
        <v>0</v>
      </c>
      <c r="CA5" s="40"/>
      <c r="CB5" s="39"/>
      <c r="CD5">
        <v>71</v>
      </c>
      <c r="CG5">
        <v>70</v>
      </c>
      <c r="CH5" s="44">
        <v>1</v>
      </c>
      <c r="CI5" s="40"/>
      <c r="CL5">
        <v>19</v>
      </c>
      <c r="CM5">
        <v>20</v>
      </c>
      <c r="CN5" s="44">
        <v>-1</v>
      </c>
      <c r="CO5" s="40"/>
      <c r="CP5" s="39"/>
      <c r="CT5" s="44">
        <v>0</v>
      </c>
      <c r="CU5" s="40"/>
      <c r="CV5" s="39"/>
      <c r="CX5">
        <v>24</v>
      </c>
      <c r="CY5">
        <v>24</v>
      </c>
      <c r="CZ5" s="44">
        <v>0</v>
      </c>
      <c r="DA5" s="40"/>
      <c r="DB5" s="39"/>
      <c r="DD5">
        <v>31</v>
      </c>
      <c r="DE5">
        <v>30</v>
      </c>
      <c r="DF5" s="44">
        <v>1</v>
      </c>
      <c r="DG5" s="40"/>
      <c r="DJ5">
        <v>12</v>
      </c>
      <c r="DK5">
        <v>13</v>
      </c>
      <c r="DN5" s="44">
        <v>-1</v>
      </c>
      <c r="DO5" s="40"/>
      <c r="DP5" s="39"/>
      <c r="DR5" s="44">
        <v>0</v>
      </c>
      <c r="DS5" s="40"/>
      <c r="DT5" s="39"/>
      <c r="DX5" s="44">
        <v>0</v>
      </c>
      <c r="DY5" s="40"/>
      <c r="DZ5" s="39"/>
      <c r="EB5" s="44">
        <v>0</v>
      </c>
      <c r="EC5" s="40"/>
      <c r="EG5">
        <v>20</v>
      </c>
      <c r="EH5">
        <v>20</v>
      </c>
      <c r="EI5">
        <v>32</v>
      </c>
      <c r="EJ5">
        <v>32</v>
      </c>
      <c r="EK5" s="44">
        <v>0</v>
      </c>
      <c r="EL5" s="40"/>
      <c r="ES5" s="44">
        <v>0</v>
      </c>
      <c r="ET5" s="40"/>
      <c r="EU5" s="39"/>
      <c r="EW5">
        <v>8</v>
      </c>
      <c r="EX5">
        <v>9</v>
      </c>
      <c r="EY5" s="44">
        <v>-1</v>
      </c>
      <c r="EZ5" s="40"/>
      <c r="FA5" s="39"/>
      <c r="FD5" s="44">
        <v>0</v>
      </c>
      <c r="FE5" s="40"/>
      <c r="FH5" s="44">
        <v>0</v>
      </c>
      <c r="FI5" s="40"/>
      <c r="FJ5" s="39"/>
      <c r="FO5">
        <v>36</v>
      </c>
      <c r="FP5">
        <v>35</v>
      </c>
      <c r="FQ5" s="44">
        <v>1</v>
      </c>
      <c r="FR5" s="40"/>
      <c r="FW5" s="44">
        <v>0</v>
      </c>
      <c r="FX5" s="40"/>
      <c r="FY5" s="39"/>
      <c r="GA5">
        <v>19</v>
      </c>
      <c r="GB5">
        <v>18</v>
      </c>
      <c r="GC5" s="44">
        <v>1</v>
      </c>
      <c r="GD5" s="40"/>
      <c r="GG5">
        <v>23</v>
      </c>
      <c r="GH5">
        <v>21</v>
      </c>
      <c r="GI5" s="44">
        <v>2</v>
      </c>
      <c r="GJ5" s="40"/>
      <c r="GM5" s="44">
        <v>0</v>
      </c>
      <c r="GN5" s="40"/>
      <c r="GO5" s="41">
        <v>15</v>
      </c>
      <c r="GP5">
        <v>16</v>
      </c>
      <c r="GQ5" s="44">
        <v>-1</v>
      </c>
      <c r="GR5" s="40"/>
      <c r="GX5" s="44">
        <v>0</v>
      </c>
      <c r="GY5" s="40"/>
      <c r="HD5" s="44">
        <v>0</v>
      </c>
      <c r="HE5" s="40"/>
      <c r="HF5" s="39"/>
      <c r="HJ5" s="44">
        <v>0</v>
      </c>
      <c r="HK5" s="40"/>
      <c r="HL5" s="39"/>
      <c r="HN5">
        <v>55</v>
      </c>
      <c r="HO5">
        <v>55</v>
      </c>
      <c r="HP5" s="44">
        <v>0</v>
      </c>
      <c r="HQ5" s="40"/>
      <c r="HV5" s="44">
        <v>0</v>
      </c>
      <c r="HW5" s="43"/>
      <c r="IB5" s="44">
        <v>0</v>
      </c>
      <c r="IC5" s="43"/>
      <c r="IH5" s="44">
        <v>0</v>
      </c>
      <c r="II5" s="43"/>
      <c r="IN5" s="44">
        <v>0</v>
      </c>
      <c r="IO5" s="40"/>
      <c r="IR5" s="44">
        <v>0</v>
      </c>
      <c r="IS5" s="40"/>
      <c r="IT5">
        <v>31</v>
      </c>
      <c r="IU5">
        <v>30</v>
      </c>
      <c r="IX5" s="44">
        <v>1</v>
      </c>
      <c r="IY5" s="43"/>
      <c r="JB5" s="44">
        <v>0</v>
      </c>
      <c r="JC5" s="40"/>
      <c r="JF5">
        <v>16</v>
      </c>
      <c r="JG5">
        <v>20</v>
      </c>
      <c r="JH5" s="44">
        <v>-4</v>
      </c>
      <c r="JI5" s="40"/>
      <c r="JN5" s="44">
        <v>0</v>
      </c>
      <c r="JO5" s="43"/>
      <c r="JT5" s="44">
        <v>0</v>
      </c>
      <c r="JU5" s="43"/>
      <c r="JZ5" s="44">
        <v>0</v>
      </c>
      <c r="KA5" s="43"/>
      <c r="KB5" s="42"/>
      <c r="KI5" s="44">
        <v>0</v>
      </c>
      <c r="KJ5" s="43"/>
      <c r="KK5" s="47">
        <v>0</v>
      </c>
      <c r="KL5" s="47">
        <v>0</v>
      </c>
      <c r="KM5" s="47">
        <v>0</v>
      </c>
      <c r="KN5" s="47">
        <v>0</v>
      </c>
      <c r="KO5" s="44">
        <v>0</v>
      </c>
      <c r="KP5" s="43"/>
      <c r="KQ5" s="47">
        <v>98.081999999999994</v>
      </c>
      <c r="KR5" s="47">
        <v>100</v>
      </c>
      <c r="KS5" s="47">
        <v>96.787000000000006</v>
      </c>
      <c r="KT5" s="47">
        <v>100</v>
      </c>
      <c r="KU5" s="46">
        <v>-5.1310000000000002</v>
      </c>
      <c r="KV5" s="43">
        <v>5.1310000000000002</v>
      </c>
      <c r="KW5" s="42">
        <v>0</v>
      </c>
      <c r="KX5" s="47">
        <v>0</v>
      </c>
      <c r="KY5" s="44">
        <v>0</v>
      </c>
      <c r="KZ5" s="43"/>
      <c r="LA5" s="42">
        <v>0</v>
      </c>
      <c r="LB5" s="47">
        <v>0</v>
      </c>
      <c r="LC5" s="47">
        <v>0</v>
      </c>
      <c r="LD5" s="47">
        <v>0</v>
      </c>
      <c r="LE5" s="44">
        <v>0</v>
      </c>
      <c r="LF5" s="43"/>
      <c r="LG5" s="42">
        <v>0</v>
      </c>
      <c r="LH5" s="47">
        <v>0</v>
      </c>
      <c r="LI5" s="47">
        <v>0</v>
      </c>
      <c r="LJ5" s="47">
        <v>0</v>
      </c>
      <c r="LK5" s="44">
        <v>0</v>
      </c>
      <c r="LL5" s="43"/>
      <c r="LM5" s="42">
        <v>0</v>
      </c>
      <c r="LN5" s="47">
        <v>0</v>
      </c>
      <c r="LO5" s="44">
        <v>0</v>
      </c>
      <c r="LP5" s="43"/>
      <c r="LQ5" s="42">
        <v>0</v>
      </c>
      <c r="LR5" s="47">
        <v>0</v>
      </c>
      <c r="LS5" s="47">
        <v>0</v>
      </c>
      <c r="LT5" s="47">
        <v>0</v>
      </c>
      <c r="LU5" s="44">
        <v>0</v>
      </c>
      <c r="LV5" s="43"/>
      <c r="LW5" s="42">
        <v>0</v>
      </c>
      <c r="LX5" s="47">
        <v>0</v>
      </c>
      <c r="LY5" s="47">
        <v>0</v>
      </c>
      <c r="LZ5" s="47">
        <v>0</v>
      </c>
      <c r="MA5" s="44">
        <v>0</v>
      </c>
      <c r="MB5" s="43"/>
      <c r="MC5" s="42">
        <v>51.42</v>
      </c>
      <c r="MD5" s="47">
        <v>50</v>
      </c>
      <c r="ME5" s="47">
        <v>99.156000000000006</v>
      </c>
      <c r="MF5" s="47">
        <v>100</v>
      </c>
      <c r="MG5" s="44">
        <v>0.57600000000002183</v>
      </c>
      <c r="MH5" s="43"/>
      <c r="MI5" s="42">
        <v>0</v>
      </c>
      <c r="MJ5" s="47">
        <v>0</v>
      </c>
      <c r="MK5" s="47">
        <v>31.847999999999999</v>
      </c>
      <c r="ML5" s="47">
        <v>30</v>
      </c>
      <c r="MM5" s="44">
        <v>1.847999999999999</v>
      </c>
      <c r="MN5" s="43"/>
      <c r="MO5" s="42">
        <v>0</v>
      </c>
      <c r="MP5" s="47">
        <v>0</v>
      </c>
      <c r="MQ5" s="47">
        <v>19.972999999999999</v>
      </c>
      <c r="MR5" s="47">
        <v>20</v>
      </c>
      <c r="MS5" s="44">
        <v>-2.700000000000102E-2</v>
      </c>
      <c r="MT5" s="43"/>
      <c r="MU5" s="42">
        <v>0</v>
      </c>
      <c r="MV5" s="47">
        <v>0</v>
      </c>
      <c r="MW5" s="47">
        <v>0</v>
      </c>
      <c r="MX5" s="47">
        <v>0</v>
      </c>
      <c r="MY5" s="44">
        <v>0</v>
      </c>
      <c r="MZ5" s="43"/>
      <c r="NA5" s="42">
        <v>0</v>
      </c>
      <c r="NB5" s="47">
        <v>0</v>
      </c>
      <c r="NC5" s="47">
        <v>0</v>
      </c>
      <c r="ND5" s="47">
        <v>0</v>
      </c>
      <c r="NE5" s="44">
        <v>0</v>
      </c>
      <c r="NF5" s="43"/>
      <c r="NG5" s="42">
        <v>0</v>
      </c>
      <c r="NH5" s="47">
        <v>0</v>
      </c>
      <c r="NI5" s="47">
        <v>0</v>
      </c>
      <c r="NJ5" s="47">
        <v>0</v>
      </c>
      <c r="NK5" s="44">
        <v>0</v>
      </c>
      <c r="NL5" s="43"/>
      <c r="NM5" s="42">
        <v>0</v>
      </c>
      <c r="NN5" s="47">
        <v>0</v>
      </c>
      <c r="NO5" s="47">
        <v>61.633000000000003</v>
      </c>
      <c r="NP5" s="47">
        <v>60</v>
      </c>
      <c r="NQ5" s="44">
        <v>1.6330000000000029</v>
      </c>
      <c r="NR5" s="43"/>
      <c r="NS5" s="42">
        <v>71.861000000000004</v>
      </c>
      <c r="NT5" s="47">
        <v>70</v>
      </c>
      <c r="NU5" s="47">
        <v>0</v>
      </c>
      <c r="NV5" s="47">
        <v>0</v>
      </c>
      <c r="NW5" s="44">
        <v>1.861000000000004</v>
      </c>
      <c r="NX5" s="43"/>
      <c r="NY5" s="42">
        <v>0</v>
      </c>
      <c r="NZ5" s="47">
        <v>0</v>
      </c>
      <c r="OA5" s="47">
        <v>0</v>
      </c>
      <c r="OB5" s="47">
        <v>0</v>
      </c>
      <c r="OC5" s="44">
        <v>0</v>
      </c>
      <c r="OD5" s="43"/>
      <c r="OE5" s="42">
        <v>0</v>
      </c>
      <c r="OF5" s="47">
        <v>0</v>
      </c>
      <c r="OG5" s="47">
        <v>19.468</v>
      </c>
      <c r="OH5" s="47">
        <v>20</v>
      </c>
      <c r="OI5" s="44">
        <v>-0.53200000000000003</v>
      </c>
      <c r="OJ5" s="43"/>
      <c r="OK5" s="42">
        <v>0</v>
      </c>
      <c r="OL5" s="47">
        <v>0</v>
      </c>
      <c r="OM5" s="47">
        <v>0</v>
      </c>
      <c r="ON5" s="47">
        <v>0</v>
      </c>
      <c r="OO5" s="44">
        <v>0</v>
      </c>
      <c r="OP5" s="43"/>
      <c r="OQ5" s="42">
        <v>0</v>
      </c>
      <c r="OR5" s="47">
        <v>0</v>
      </c>
      <c r="OS5" s="47">
        <v>123.038</v>
      </c>
      <c r="OT5" s="47">
        <v>123</v>
      </c>
      <c r="OU5" s="44">
        <v>3.7999999999996703E-2</v>
      </c>
      <c r="OV5" s="43"/>
      <c r="OW5" s="42">
        <v>11.583</v>
      </c>
      <c r="OX5" s="47">
        <v>0</v>
      </c>
      <c r="OY5" s="47">
        <v>0</v>
      </c>
      <c r="OZ5" s="47">
        <v>0</v>
      </c>
      <c r="PA5" s="44">
        <v>11.583</v>
      </c>
      <c r="PB5" s="43"/>
      <c r="PC5" s="42">
        <v>0</v>
      </c>
      <c r="PD5" s="47">
        <v>0</v>
      </c>
      <c r="PE5" s="47">
        <v>0</v>
      </c>
      <c r="PF5" s="47">
        <v>0</v>
      </c>
      <c r="PG5" s="44">
        <v>0</v>
      </c>
      <c r="PH5" s="43"/>
      <c r="PI5" s="42">
        <v>0</v>
      </c>
      <c r="PJ5" s="47">
        <v>0</v>
      </c>
      <c r="PK5" s="47">
        <v>0</v>
      </c>
      <c r="PL5" s="47">
        <v>0</v>
      </c>
      <c r="PM5" s="44">
        <v>0</v>
      </c>
      <c r="PN5" s="43"/>
      <c r="PO5" s="42">
        <v>32.262</v>
      </c>
      <c r="PP5" s="47">
        <v>30</v>
      </c>
      <c r="PQ5" s="47">
        <v>0</v>
      </c>
      <c r="PR5" s="47">
        <v>0</v>
      </c>
      <c r="PS5" s="44">
        <v>2.262</v>
      </c>
      <c r="PT5" s="43"/>
      <c r="PU5" s="42">
        <v>0</v>
      </c>
      <c r="PV5" s="47">
        <v>0</v>
      </c>
      <c r="PW5" s="47">
        <v>0</v>
      </c>
      <c r="PX5" s="47">
        <v>0</v>
      </c>
      <c r="PY5" s="44">
        <v>0</v>
      </c>
      <c r="PZ5" s="43"/>
      <c r="QA5" s="42">
        <v>0</v>
      </c>
      <c r="QB5" s="47">
        <v>0</v>
      </c>
      <c r="QC5" s="44">
        <v>0</v>
      </c>
      <c r="QD5" s="43"/>
      <c r="QE5" s="42">
        <v>20.183</v>
      </c>
      <c r="QF5" s="47">
        <v>20</v>
      </c>
      <c r="QG5" s="44">
        <v>0.1829999999999998</v>
      </c>
      <c r="QH5" s="43"/>
      <c r="QI5" s="42">
        <v>80.567999999999998</v>
      </c>
      <c r="QJ5" s="47">
        <v>80</v>
      </c>
      <c r="QK5" s="44">
        <v>0.56799999999999784</v>
      </c>
      <c r="QL5" s="43"/>
      <c r="QM5" s="42">
        <v>12.076000000000001</v>
      </c>
      <c r="QN5" s="47">
        <v>20</v>
      </c>
      <c r="QO5" s="47">
        <v>0</v>
      </c>
      <c r="QP5" s="47">
        <v>0</v>
      </c>
      <c r="QQ5" s="44">
        <v>-7.9239999999999986</v>
      </c>
      <c r="QR5" s="43"/>
      <c r="QS5" s="42">
        <v>0</v>
      </c>
      <c r="QT5" s="47">
        <v>0</v>
      </c>
      <c r="QU5" s="44">
        <v>0</v>
      </c>
      <c r="QV5" s="43"/>
      <c r="QW5" s="42">
        <v>0</v>
      </c>
      <c r="QX5" s="47">
        <v>0</v>
      </c>
      <c r="QY5" s="44">
        <v>0</v>
      </c>
      <c r="QZ5" s="43"/>
    </row>
    <row r="6" spans="1:468" x14ac:dyDescent="0.25">
      <c r="A6" s="47" t="s">
        <v>290</v>
      </c>
      <c r="B6" s="38">
        <v>1</v>
      </c>
      <c r="N6" s="39"/>
      <c r="O6" s="48"/>
      <c r="P6" s="48"/>
      <c r="Q6" s="48"/>
      <c r="R6" s="48">
        <f t="shared" si="8"/>
        <v>0</v>
      </c>
      <c r="S6" s="40"/>
      <c r="T6" s="39"/>
      <c r="U6" s="48"/>
      <c r="V6" s="48">
        <f t="shared" si="9"/>
        <v>0</v>
      </c>
      <c r="W6" s="40"/>
      <c r="X6" s="39"/>
      <c r="Y6" s="48"/>
      <c r="Z6" s="48"/>
      <c r="AA6" s="48"/>
      <c r="AB6" s="48">
        <f t="shared" si="10"/>
        <v>0</v>
      </c>
      <c r="AC6" s="40"/>
      <c r="AD6" s="48"/>
      <c r="AH6" s="44">
        <v>0</v>
      </c>
      <c r="AI6" s="40"/>
      <c r="AN6" s="44">
        <v>0</v>
      </c>
      <c r="AO6" s="40"/>
      <c r="AT6" s="44">
        <v>0</v>
      </c>
      <c r="AU6" s="40"/>
      <c r="AV6" s="39"/>
      <c r="AX6" s="44">
        <v>0</v>
      </c>
      <c r="AY6" s="40"/>
      <c r="AZ6" s="39"/>
      <c r="BB6" s="44">
        <v>0</v>
      </c>
      <c r="BC6" s="40"/>
      <c r="BH6" s="44">
        <v>0</v>
      </c>
      <c r="BI6" s="40"/>
      <c r="BL6" s="44">
        <v>0</v>
      </c>
      <c r="BM6" s="40"/>
      <c r="BN6" s="39"/>
      <c r="BR6" s="44">
        <v>0</v>
      </c>
      <c r="BS6" s="40"/>
      <c r="BV6" s="44">
        <v>0</v>
      </c>
      <c r="BW6" s="40"/>
      <c r="BX6" s="39"/>
      <c r="BZ6" s="44">
        <v>0</v>
      </c>
      <c r="CA6" s="40"/>
      <c r="CB6" s="39"/>
      <c r="CH6" s="44">
        <v>0</v>
      </c>
      <c r="CI6" s="40"/>
      <c r="CN6" s="44">
        <v>0</v>
      </c>
      <c r="CO6" s="40"/>
      <c r="CP6" s="39"/>
      <c r="CT6" s="44">
        <v>0</v>
      </c>
      <c r="CU6" s="40"/>
      <c r="CV6" s="39"/>
      <c r="CZ6" s="44">
        <v>0</v>
      </c>
      <c r="DA6" s="40"/>
      <c r="DB6" s="39"/>
      <c r="DF6" s="44">
        <v>0</v>
      </c>
      <c r="DG6" s="40"/>
      <c r="DN6" s="44">
        <v>0</v>
      </c>
      <c r="DO6" s="40"/>
      <c r="DP6" s="39"/>
      <c r="DR6" s="44">
        <v>0</v>
      </c>
      <c r="DS6" s="40"/>
      <c r="DT6" s="39"/>
      <c r="DX6" s="44">
        <v>0</v>
      </c>
      <c r="DY6" s="40"/>
      <c r="DZ6" s="39"/>
      <c r="EB6" s="44">
        <v>0</v>
      </c>
      <c r="EC6" s="40"/>
      <c r="EK6" s="44">
        <v>0</v>
      </c>
      <c r="EL6" s="40"/>
      <c r="ES6" s="44">
        <v>0</v>
      </c>
      <c r="ET6" s="40"/>
      <c r="EU6" s="39"/>
      <c r="EY6" s="44">
        <v>0</v>
      </c>
      <c r="EZ6" s="40"/>
      <c r="FA6" s="39"/>
      <c r="FD6" s="44">
        <v>0</v>
      </c>
      <c r="FE6" s="40"/>
      <c r="FH6" s="44">
        <v>0</v>
      </c>
      <c r="FI6" s="40"/>
      <c r="FJ6" s="39"/>
      <c r="FQ6" s="44">
        <v>0</v>
      </c>
      <c r="FR6" s="40"/>
      <c r="FW6" s="44">
        <v>0</v>
      </c>
      <c r="FX6" s="40"/>
      <c r="FY6" s="39"/>
      <c r="GC6" s="44">
        <v>0</v>
      </c>
      <c r="GD6" s="40"/>
      <c r="GI6" s="44">
        <v>0</v>
      </c>
      <c r="GJ6" s="40"/>
      <c r="GM6" s="44">
        <v>0</v>
      </c>
      <c r="GN6" s="40"/>
      <c r="GO6" s="39"/>
      <c r="GQ6" s="44">
        <v>0</v>
      </c>
      <c r="GR6" s="40"/>
      <c r="GX6" s="44">
        <v>0</v>
      </c>
      <c r="GY6" s="40"/>
      <c r="HD6" s="44">
        <v>0</v>
      </c>
      <c r="HE6" s="40"/>
      <c r="HF6" s="39"/>
      <c r="HJ6" s="44">
        <v>0</v>
      </c>
      <c r="HK6" s="40"/>
      <c r="HL6" s="39"/>
      <c r="HP6" s="44">
        <v>0</v>
      </c>
      <c r="HQ6" s="40"/>
      <c r="HV6" s="44">
        <v>0</v>
      </c>
      <c r="HW6" s="43"/>
      <c r="IB6" s="44">
        <v>0</v>
      </c>
      <c r="IC6" s="43"/>
      <c r="IH6" s="44">
        <v>0</v>
      </c>
      <c r="II6" s="43"/>
      <c r="IN6" s="44">
        <v>0</v>
      </c>
      <c r="IO6" s="40"/>
      <c r="IR6" s="44">
        <v>0</v>
      </c>
      <c r="IS6" s="40"/>
      <c r="IX6" s="44">
        <v>0</v>
      </c>
      <c r="IY6" s="43"/>
      <c r="JB6" s="44">
        <v>0</v>
      </c>
      <c r="JC6" s="40"/>
      <c r="JH6" s="44">
        <v>0</v>
      </c>
      <c r="JI6" s="40"/>
      <c r="JN6" s="44">
        <v>0</v>
      </c>
      <c r="JO6" s="43"/>
      <c r="JT6" s="44">
        <v>0</v>
      </c>
      <c r="JU6" s="43"/>
      <c r="JZ6" s="44">
        <v>0</v>
      </c>
      <c r="KA6" s="43"/>
      <c r="KB6" s="42"/>
      <c r="KI6" s="44">
        <v>0</v>
      </c>
      <c r="KJ6" s="43"/>
      <c r="KK6" s="47">
        <v>0</v>
      </c>
      <c r="KL6" s="47">
        <v>0</v>
      </c>
      <c r="KM6" s="47">
        <v>0</v>
      </c>
      <c r="KN6" s="47">
        <v>0</v>
      </c>
      <c r="KO6" s="44">
        <v>0</v>
      </c>
      <c r="KP6" s="43"/>
      <c r="KQ6" s="47">
        <v>0</v>
      </c>
      <c r="KR6" s="47">
        <v>0</v>
      </c>
      <c r="KS6" s="47">
        <v>0</v>
      </c>
      <c r="KT6" s="47">
        <v>0</v>
      </c>
      <c r="KU6" s="44">
        <v>0</v>
      </c>
      <c r="KV6" s="43"/>
      <c r="KW6" s="42">
        <v>0</v>
      </c>
      <c r="KX6" s="47">
        <v>0</v>
      </c>
      <c r="KY6" s="44">
        <v>0</v>
      </c>
      <c r="KZ6" s="43"/>
      <c r="LA6" s="42">
        <v>0</v>
      </c>
      <c r="LB6" s="47">
        <v>0</v>
      </c>
      <c r="LC6" s="47">
        <v>0</v>
      </c>
      <c r="LD6" s="47">
        <v>0</v>
      </c>
      <c r="LE6" s="44">
        <v>0</v>
      </c>
      <c r="LF6" s="43"/>
      <c r="LG6" s="42">
        <v>0</v>
      </c>
      <c r="LH6" s="47">
        <v>0</v>
      </c>
      <c r="LI6" s="47">
        <v>0</v>
      </c>
      <c r="LJ6" s="47">
        <v>0</v>
      </c>
      <c r="LK6" s="44">
        <v>0</v>
      </c>
      <c r="LL6" s="43"/>
      <c r="LM6" s="42">
        <v>0</v>
      </c>
      <c r="LN6" s="47">
        <v>0</v>
      </c>
      <c r="LO6" s="44">
        <v>0</v>
      </c>
      <c r="LP6" s="43"/>
      <c r="LQ6" s="42">
        <v>0</v>
      </c>
      <c r="LR6" s="47">
        <v>0</v>
      </c>
      <c r="LS6" s="47">
        <v>0</v>
      </c>
      <c r="LT6" s="47">
        <v>0</v>
      </c>
      <c r="LU6" s="44">
        <v>0</v>
      </c>
      <c r="LV6" s="43"/>
      <c r="LW6" s="42">
        <v>0</v>
      </c>
      <c r="LX6" s="47">
        <v>0</v>
      </c>
      <c r="LY6" s="47">
        <v>0</v>
      </c>
      <c r="LZ6" s="47">
        <v>0</v>
      </c>
      <c r="MA6" s="44">
        <v>0</v>
      </c>
      <c r="MB6" s="43"/>
      <c r="MC6" s="42">
        <v>0</v>
      </c>
      <c r="MD6" s="47">
        <v>0</v>
      </c>
      <c r="ME6" s="47">
        <v>0</v>
      </c>
      <c r="MF6" s="47">
        <v>0</v>
      </c>
      <c r="MG6" s="44">
        <v>0</v>
      </c>
      <c r="MH6" s="43"/>
      <c r="MI6" s="42">
        <v>0</v>
      </c>
      <c r="MJ6" s="47">
        <v>0</v>
      </c>
      <c r="MK6" s="47">
        <v>0</v>
      </c>
      <c r="ML6" s="47">
        <v>0</v>
      </c>
      <c r="MM6" s="44">
        <v>0</v>
      </c>
      <c r="MN6" s="43"/>
      <c r="MO6" s="42">
        <v>0</v>
      </c>
      <c r="MP6" s="47">
        <v>0</v>
      </c>
      <c r="MQ6" s="47">
        <v>0</v>
      </c>
      <c r="MR6" s="47">
        <v>0</v>
      </c>
      <c r="MS6" s="44">
        <v>0</v>
      </c>
      <c r="MT6" s="43"/>
      <c r="MU6" s="42">
        <v>0</v>
      </c>
      <c r="MV6" s="47">
        <v>0</v>
      </c>
      <c r="MW6" s="47">
        <v>0</v>
      </c>
      <c r="MX6" s="47">
        <v>0</v>
      </c>
      <c r="MY6" s="44">
        <v>0</v>
      </c>
      <c r="MZ6" s="43"/>
      <c r="NA6" s="42">
        <v>0</v>
      </c>
      <c r="NB6" s="47">
        <v>0</v>
      </c>
      <c r="NC6" s="47">
        <v>0</v>
      </c>
      <c r="ND6" s="47">
        <v>0</v>
      </c>
      <c r="NE6" s="44">
        <v>0</v>
      </c>
      <c r="NF6" s="43"/>
      <c r="NG6" s="42">
        <v>0</v>
      </c>
      <c r="NH6" s="47">
        <v>0</v>
      </c>
      <c r="NI6" s="47">
        <v>0</v>
      </c>
      <c r="NJ6" s="47">
        <v>0</v>
      </c>
      <c r="NK6" s="44">
        <v>0</v>
      </c>
      <c r="NL6" s="43"/>
      <c r="NM6" s="42">
        <v>0</v>
      </c>
      <c r="NN6" s="47">
        <v>0</v>
      </c>
      <c r="NO6" s="47">
        <v>0</v>
      </c>
      <c r="NP6" s="47">
        <v>0</v>
      </c>
      <c r="NQ6" s="44">
        <v>0</v>
      </c>
      <c r="NR6" s="43"/>
      <c r="NS6" s="42">
        <v>0</v>
      </c>
      <c r="NT6" s="47">
        <v>0</v>
      </c>
      <c r="NU6" s="47">
        <v>0</v>
      </c>
      <c r="NV6" s="47">
        <v>0</v>
      </c>
      <c r="NW6" s="44">
        <v>0</v>
      </c>
      <c r="NX6" s="43"/>
      <c r="NY6" s="42">
        <v>0</v>
      </c>
      <c r="NZ6" s="47">
        <v>0</v>
      </c>
      <c r="OA6" s="47">
        <v>0</v>
      </c>
      <c r="OB6" s="47">
        <v>0</v>
      </c>
      <c r="OC6" s="44">
        <v>0</v>
      </c>
      <c r="OD6" s="43"/>
      <c r="OE6" s="42">
        <v>0</v>
      </c>
      <c r="OF6" s="47">
        <v>0</v>
      </c>
      <c r="OG6" s="47">
        <v>0</v>
      </c>
      <c r="OH6" s="47">
        <v>0</v>
      </c>
      <c r="OI6" s="44">
        <v>0</v>
      </c>
      <c r="OJ6" s="43"/>
      <c r="OK6" s="42">
        <v>0</v>
      </c>
      <c r="OL6" s="47">
        <v>0</v>
      </c>
      <c r="OM6" s="47">
        <v>0</v>
      </c>
      <c r="ON6" s="12">
        <v>17</v>
      </c>
      <c r="OO6" s="44">
        <v>0.76000000000000156</v>
      </c>
      <c r="OP6" s="43"/>
      <c r="OQ6" s="42">
        <v>0</v>
      </c>
      <c r="OR6" s="12">
        <v>70</v>
      </c>
      <c r="OS6" s="47">
        <v>0</v>
      </c>
      <c r="OT6" s="12">
        <v>102</v>
      </c>
      <c r="OU6" s="44">
        <v>1.5500000000000109</v>
      </c>
      <c r="OV6" s="43"/>
      <c r="OW6" s="42">
        <v>0</v>
      </c>
      <c r="OX6" s="47">
        <v>0</v>
      </c>
      <c r="OY6" s="47">
        <v>201.548</v>
      </c>
      <c r="OZ6" s="47">
        <v>203</v>
      </c>
      <c r="PA6" s="44">
        <v>-1.451999999999998</v>
      </c>
      <c r="PB6" s="43"/>
      <c r="PC6" s="42">
        <v>102.607</v>
      </c>
      <c r="PD6" s="47">
        <v>100</v>
      </c>
      <c r="PE6" s="47">
        <v>126.958</v>
      </c>
      <c r="PF6" s="47">
        <v>126</v>
      </c>
      <c r="PG6" s="44">
        <v>3.5649999999999982</v>
      </c>
      <c r="PH6" s="43"/>
      <c r="PI6" s="42">
        <v>51.036999999999999</v>
      </c>
      <c r="PJ6" s="47">
        <v>50</v>
      </c>
      <c r="PK6" s="47">
        <v>102.83499999999999</v>
      </c>
      <c r="PL6" s="47">
        <v>100</v>
      </c>
      <c r="PM6" s="44">
        <v>3.8719999999999861</v>
      </c>
      <c r="PN6" s="43"/>
      <c r="PO6" s="42">
        <v>71.555999999999997</v>
      </c>
      <c r="PP6" s="47">
        <v>70</v>
      </c>
      <c r="PQ6" s="47">
        <v>0</v>
      </c>
      <c r="PR6" s="47">
        <v>0</v>
      </c>
      <c r="PS6" s="44">
        <v>1.5559999999999969</v>
      </c>
      <c r="PT6" s="43"/>
      <c r="PU6" s="42">
        <v>151.965</v>
      </c>
      <c r="PV6" s="47">
        <v>150</v>
      </c>
      <c r="PW6" s="47">
        <v>0</v>
      </c>
      <c r="PX6" s="47">
        <v>100</v>
      </c>
      <c r="PY6" s="46">
        <v>-98.034999999999997</v>
      </c>
      <c r="PZ6" s="43">
        <v>98.034999999999997</v>
      </c>
      <c r="QA6" s="42">
        <v>0</v>
      </c>
      <c r="QB6" s="47">
        <v>0</v>
      </c>
      <c r="QC6" s="44">
        <v>0</v>
      </c>
      <c r="QD6" s="43"/>
      <c r="QE6" s="42">
        <v>0</v>
      </c>
      <c r="QF6" s="47">
        <v>0</v>
      </c>
      <c r="QG6" s="44">
        <v>0</v>
      </c>
      <c r="QH6" s="43"/>
      <c r="QI6" s="42">
        <v>118.331</v>
      </c>
      <c r="QJ6" s="47">
        <v>117</v>
      </c>
      <c r="QK6" s="44">
        <v>1.3310000000000031</v>
      </c>
      <c r="QL6" s="43"/>
      <c r="QM6" s="42">
        <v>47.555999999999997</v>
      </c>
      <c r="QN6" s="47">
        <v>50</v>
      </c>
      <c r="QO6" s="47">
        <v>0</v>
      </c>
      <c r="QP6" s="47">
        <v>0</v>
      </c>
      <c r="QQ6" s="44">
        <v>-2.4440000000000031</v>
      </c>
      <c r="QR6" s="43"/>
      <c r="QS6" s="42">
        <v>0</v>
      </c>
      <c r="QT6" s="47">
        <v>0</v>
      </c>
      <c r="QU6" s="44">
        <v>0</v>
      </c>
      <c r="QV6" s="43"/>
      <c r="QW6" s="42">
        <v>89.549000000000007</v>
      </c>
      <c r="QX6" s="47">
        <v>90</v>
      </c>
      <c r="QY6" s="44">
        <v>-0.45099999999999341</v>
      </c>
      <c r="QZ6" s="43"/>
    </row>
    <row r="7" spans="1:468" x14ac:dyDescent="0.25">
      <c r="A7" s="47" t="s">
        <v>291</v>
      </c>
      <c r="B7" s="38">
        <v>1</v>
      </c>
      <c r="N7" s="39"/>
      <c r="O7" s="48"/>
      <c r="P7" s="48"/>
      <c r="Q7" s="48"/>
      <c r="R7" s="48">
        <f t="shared" si="8"/>
        <v>0</v>
      </c>
      <c r="S7" s="40"/>
      <c r="T7" s="39"/>
      <c r="U7" s="48"/>
      <c r="V7" s="48">
        <f t="shared" si="9"/>
        <v>0</v>
      </c>
      <c r="W7" s="40"/>
      <c r="X7" s="39"/>
      <c r="Y7" s="48"/>
      <c r="Z7" s="48"/>
      <c r="AA7" s="48"/>
      <c r="AB7" s="48">
        <f t="shared" si="10"/>
        <v>0</v>
      </c>
      <c r="AC7" s="40"/>
      <c r="AD7" s="48"/>
      <c r="AH7" s="44">
        <v>0</v>
      </c>
      <c r="AI7" s="40"/>
      <c r="AN7" s="44">
        <v>0</v>
      </c>
      <c r="AO7" s="40"/>
      <c r="AT7" s="44">
        <v>0</v>
      </c>
      <c r="AU7" s="40"/>
      <c r="AV7" s="39"/>
      <c r="AX7" s="44">
        <v>0</v>
      </c>
      <c r="AY7" s="40"/>
      <c r="AZ7" s="39"/>
      <c r="BB7" s="44">
        <v>0</v>
      </c>
      <c r="BC7" s="40"/>
      <c r="BH7" s="44">
        <v>0</v>
      </c>
      <c r="BI7" s="40"/>
      <c r="BL7" s="44">
        <v>0</v>
      </c>
      <c r="BM7" s="40"/>
      <c r="BN7" s="39"/>
      <c r="BR7" s="44">
        <v>0</v>
      </c>
      <c r="BS7" s="40"/>
      <c r="BV7" s="44">
        <v>0</v>
      </c>
      <c r="BW7" s="40"/>
      <c r="BX7" s="39"/>
      <c r="BZ7" s="44">
        <v>0</v>
      </c>
      <c r="CA7" s="40"/>
      <c r="CB7" s="39"/>
      <c r="CH7" s="44">
        <v>0</v>
      </c>
      <c r="CI7" s="40"/>
      <c r="CN7" s="44">
        <v>0</v>
      </c>
      <c r="CO7" s="40"/>
      <c r="CP7" s="39"/>
      <c r="CT7" s="44">
        <v>0</v>
      </c>
      <c r="CU7" s="40"/>
      <c r="CV7" s="39"/>
      <c r="CZ7" s="44">
        <v>0</v>
      </c>
      <c r="DA7" s="40"/>
      <c r="DB7" s="39"/>
      <c r="DF7" s="44">
        <v>0</v>
      </c>
      <c r="DG7" s="40"/>
      <c r="DN7" s="44">
        <v>0</v>
      </c>
      <c r="DO7" s="40"/>
      <c r="DP7" s="39"/>
      <c r="DR7" s="44">
        <v>0</v>
      </c>
      <c r="DS7" s="40"/>
      <c r="DT7" s="39"/>
      <c r="DX7" s="44">
        <v>0</v>
      </c>
      <c r="DY7" s="40"/>
      <c r="DZ7" s="39"/>
      <c r="EB7" s="44">
        <v>0</v>
      </c>
      <c r="EC7" s="40"/>
      <c r="EK7" s="44">
        <v>0</v>
      </c>
      <c r="EL7" s="40"/>
      <c r="ES7" s="44">
        <v>0</v>
      </c>
      <c r="ET7" s="40"/>
      <c r="EU7" s="39"/>
      <c r="EY7" s="44">
        <v>0</v>
      </c>
      <c r="EZ7" s="40"/>
      <c r="FA7" s="39"/>
      <c r="FD7" s="44">
        <v>0</v>
      </c>
      <c r="FE7" s="40"/>
      <c r="FH7" s="44">
        <v>0</v>
      </c>
      <c r="FI7" s="40"/>
      <c r="FJ7" s="39"/>
      <c r="FQ7" s="44">
        <v>0</v>
      </c>
      <c r="FR7" s="40"/>
      <c r="FW7" s="44">
        <v>0</v>
      </c>
      <c r="FX7" s="40"/>
      <c r="FY7" s="39"/>
      <c r="GC7" s="44">
        <v>0</v>
      </c>
      <c r="GD7" s="40"/>
      <c r="GI7" s="44">
        <v>0</v>
      </c>
      <c r="GJ7" s="40"/>
      <c r="GM7" s="44">
        <v>0</v>
      </c>
      <c r="GN7" s="40"/>
      <c r="GO7" s="39"/>
      <c r="GQ7" s="44">
        <v>0</v>
      </c>
      <c r="GR7" s="40"/>
      <c r="GX7" s="44">
        <v>0</v>
      </c>
      <c r="GY7" s="40"/>
      <c r="HD7" s="44">
        <v>0</v>
      </c>
      <c r="HE7" s="40"/>
      <c r="HF7" s="39"/>
      <c r="HJ7" s="44">
        <v>0</v>
      </c>
      <c r="HK7" s="40"/>
      <c r="HL7" s="39"/>
      <c r="HP7" s="44">
        <v>0</v>
      </c>
      <c r="HQ7" s="40"/>
      <c r="HV7" s="44">
        <v>0</v>
      </c>
      <c r="HW7" s="43"/>
      <c r="IB7" s="44">
        <v>0</v>
      </c>
      <c r="IC7" s="43"/>
      <c r="IH7" s="44">
        <v>0</v>
      </c>
      <c r="II7" s="43"/>
      <c r="IN7" s="44">
        <v>0</v>
      </c>
      <c r="IO7" s="40"/>
      <c r="IR7" s="44">
        <v>0</v>
      </c>
      <c r="IS7" s="40"/>
      <c r="IX7" s="44">
        <v>0</v>
      </c>
      <c r="IY7" s="43"/>
      <c r="JB7" s="44">
        <v>0</v>
      </c>
      <c r="JC7" s="40"/>
      <c r="JH7" s="44">
        <v>0</v>
      </c>
      <c r="JI7" s="40"/>
      <c r="JN7" s="44">
        <v>0</v>
      </c>
      <c r="JO7" s="43"/>
      <c r="JT7" s="44">
        <v>0</v>
      </c>
      <c r="JU7" s="43"/>
      <c r="JZ7" s="44">
        <v>0</v>
      </c>
      <c r="KA7" s="43"/>
      <c r="KB7" s="42"/>
      <c r="KC7">
        <v>80</v>
      </c>
      <c r="KI7" s="46">
        <v>-80</v>
      </c>
      <c r="KJ7" s="43">
        <v>80</v>
      </c>
      <c r="KK7" s="47">
        <v>81.902000000000001</v>
      </c>
      <c r="KL7" s="47">
        <v>80</v>
      </c>
      <c r="KM7" s="47">
        <v>61.106000000000002</v>
      </c>
      <c r="KN7" s="47">
        <v>60</v>
      </c>
      <c r="KO7" s="44">
        <v>3.0080000000000102</v>
      </c>
      <c r="KP7" s="43"/>
      <c r="KQ7" s="47">
        <v>0</v>
      </c>
      <c r="KR7" s="47">
        <v>0</v>
      </c>
      <c r="KS7" s="47">
        <v>122.40300000000001</v>
      </c>
      <c r="KT7" s="47">
        <v>120</v>
      </c>
      <c r="KU7" s="44">
        <v>2.4030000000000058</v>
      </c>
      <c r="KV7" s="43"/>
      <c r="KW7" s="42">
        <v>0</v>
      </c>
      <c r="KX7" s="47">
        <v>0</v>
      </c>
      <c r="KY7" s="44">
        <v>0</v>
      </c>
      <c r="KZ7" s="43"/>
      <c r="LA7" s="42">
        <v>191.49600000000001</v>
      </c>
      <c r="LB7" s="47">
        <v>190</v>
      </c>
      <c r="LC7" s="47">
        <v>132.404</v>
      </c>
      <c r="LD7" s="47">
        <v>130</v>
      </c>
      <c r="LE7" s="44">
        <v>3.8999999999999768</v>
      </c>
      <c r="LF7" s="43"/>
      <c r="LG7" s="42">
        <v>171.90600000000001</v>
      </c>
      <c r="LH7" s="47">
        <v>170</v>
      </c>
      <c r="LI7" s="47">
        <v>179.06100000000001</v>
      </c>
      <c r="LJ7" s="47">
        <v>180</v>
      </c>
      <c r="LK7" s="44">
        <v>0.96699999999998454</v>
      </c>
      <c r="LL7" s="43"/>
      <c r="LM7" s="42">
        <v>0</v>
      </c>
      <c r="LN7" s="47">
        <v>0</v>
      </c>
      <c r="LO7" s="44">
        <v>0</v>
      </c>
      <c r="LP7" s="43"/>
      <c r="LQ7" s="42">
        <v>61.003</v>
      </c>
      <c r="LR7" s="47">
        <v>60</v>
      </c>
      <c r="LS7" s="47">
        <v>110.983</v>
      </c>
      <c r="LT7" s="47">
        <v>110</v>
      </c>
      <c r="LU7" s="44">
        <v>1.98599999999999</v>
      </c>
      <c r="LV7" s="43"/>
      <c r="LW7" s="42">
        <v>40.869</v>
      </c>
      <c r="LX7" s="47">
        <v>40</v>
      </c>
      <c r="LY7" s="47">
        <v>0</v>
      </c>
      <c r="LZ7" s="47">
        <v>0</v>
      </c>
      <c r="MA7" s="44">
        <v>0.86899999999999977</v>
      </c>
      <c r="MB7" s="43"/>
      <c r="MC7" s="42">
        <v>48.834000000000003</v>
      </c>
      <c r="MD7" s="47">
        <v>50</v>
      </c>
      <c r="ME7" s="47">
        <v>297.00200000000001</v>
      </c>
      <c r="MF7" s="47">
        <v>300</v>
      </c>
      <c r="MG7" s="44">
        <v>-4.1639999999999873</v>
      </c>
      <c r="MH7" s="43"/>
      <c r="MI7" s="42">
        <v>101.867</v>
      </c>
      <c r="MJ7" s="47">
        <v>100</v>
      </c>
      <c r="MK7" s="47">
        <v>0</v>
      </c>
      <c r="ML7" s="47">
        <v>0</v>
      </c>
      <c r="MM7" s="44">
        <v>1.867000000000004</v>
      </c>
      <c r="MN7" s="43"/>
      <c r="MO7" s="42">
        <v>49.594000000000001</v>
      </c>
      <c r="MP7" s="47">
        <v>50</v>
      </c>
      <c r="MQ7" s="47">
        <v>152.11799999999999</v>
      </c>
      <c r="MR7" s="47">
        <v>150</v>
      </c>
      <c r="MS7" s="44">
        <v>1.7119999999999891</v>
      </c>
      <c r="MT7" s="43"/>
      <c r="MU7" s="42">
        <v>152.529</v>
      </c>
      <c r="MV7" s="47">
        <v>100</v>
      </c>
      <c r="MW7" s="47">
        <v>269.334</v>
      </c>
      <c r="MX7" s="47">
        <v>270</v>
      </c>
      <c r="MY7" s="44">
        <v>51.863</v>
      </c>
      <c r="MZ7" s="43"/>
      <c r="NA7" s="42">
        <v>151.881</v>
      </c>
      <c r="NB7" s="47">
        <v>150</v>
      </c>
      <c r="NC7" s="47">
        <v>180.666</v>
      </c>
      <c r="ND7" s="47">
        <v>180</v>
      </c>
      <c r="NE7" s="44">
        <v>2.547000000000025</v>
      </c>
      <c r="NF7" s="43"/>
      <c r="NG7" s="42">
        <v>0</v>
      </c>
      <c r="NH7" s="47">
        <v>0</v>
      </c>
      <c r="NI7" s="47">
        <v>0</v>
      </c>
      <c r="NJ7" s="47">
        <v>0</v>
      </c>
      <c r="NK7" s="44">
        <v>0</v>
      </c>
      <c r="NL7" s="43"/>
      <c r="NM7" s="42">
        <v>202.066</v>
      </c>
      <c r="NN7" s="47">
        <v>200</v>
      </c>
      <c r="NO7" s="47">
        <v>201.084</v>
      </c>
      <c r="NP7" s="47">
        <v>200</v>
      </c>
      <c r="NQ7" s="44">
        <v>3.1499999999999768</v>
      </c>
      <c r="NR7" s="43"/>
      <c r="NS7" s="42">
        <v>182.52199999999999</v>
      </c>
      <c r="NT7" s="47">
        <v>180</v>
      </c>
      <c r="NU7" s="47">
        <v>204.20400000000001</v>
      </c>
      <c r="NV7" s="47">
        <v>200</v>
      </c>
      <c r="NW7" s="44">
        <v>6.7259999999999991</v>
      </c>
      <c r="NX7" s="43"/>
      <c r="NY7" s="42">
        <v>0</v>
      </c>
      <c r="NZ7" s="47">
        <v>0</v>
      </c>
      <c r="OA7" s="47">
        <v>200.816</v>
      </c>
      <c r="OB7" s="47">
        <v>200</v>
      </c>
      <c r="OC7" s="44">
        <v>0.8160000000000025</v>
      </c>
      <c r="OD7" s="43"/>
      <c r="OE7" s="42">
        <v>369.55500000000001</v>
      </c>
      <c r="OF7" s="47">
        <v>370</v>
      </c>
      <c r="OG7" s="47">
        <v>281.30799999999999</v>
      </c>
      <c r="OH7" s="47">
        <v>280</v>
      </c>
      <c r="OI7" s="44">
        <v>0.86300000000005639</v>
      </c>
      <c r="OJ7" s="43"/>
      <c r="OK7" s="42">
        <v>102.575</v>
      </c>
      <c r="OL7" s="47">
        <v>100</v>
      </c>
      <c r="OM7" s="47">
        <v>112.143</v>
      </c>
      <c r="ON7" s="47">
        <v>112</v>
      </c>
      <c r="OO7" s="44">
        <v>2.7180000000000182</v>
      </c>
      <c r="OP7" s="43"/>
      <c r="OQ7" s="42">
        <v>250.07499999999999</v>
      </c>
      <c r="OR7" s="47">
        <v>250</v>
      </c>
      <c r="OS7" s="47">
        <v>201.29300000000001</v>
      </c>
      <c r="OT7" s="47">
        <v>200</v>
      </c>
      <c r="OU7" s="44">
        <v>1.367999999999995</v>
      </c>
      <c r="OV7" s="43"/>
      <c r="OW7" s="42">
        <v>161.892</v>
      </c>
      <c r="OX7" s="47">
        <v>150</v>
      </c>
      <c r="OY7" s="47">
        <v>153.45500000000001</v>
      </c>
      <c r="OZ7" s="47">
        <v>150</v>
      </c>
      <c r="PA7" s="44">
        <v>15.34699999999998</v>
      </c>
      <c r="PB7" s="43"/>
      <c r="PC7" s="42">
        <v>153.315</v>
      </c>
      <c r="PD7" s="47">
        <v>150</v>
      </c>
      <c r="PE7" s="47">
        <v>151.55000000000001</v>
      </c>
      <c r="PF7" s="47">
        <v>150</v>
      </c>
      <c r="PG7" s="44">
        <v>4.8650000000000091</v>
      </c>
      <c r="PH7" s="43"/>
      <c r="PI7" s="42">
        <v>151.958</v>
      </c>
      <c r="PJ7" s="47">
        <v>150</v>
      </c>
      <c r="PK7" s="47">
        <v>198.09800000000001</v>
      </c>
      <c r="PL7" s="47">
        <v>200</v>
      </c>
      <c r="PM7" s="44">
        <v>5.6000000000040018E-2</v>
      </c>
      <c r="PN7" s="43"/>
      <c r="PO7" s="42">
        <v>100.711</v>
      </c>
      <c r="PP7" s="47">
        <v>100</v>
      </c>
      <c r="PQ7" s="47">
        <v>117.789</v>
      </c>
      <c r="PR7" s="47">
        <v>120</v>
      </c>
      <c r="PS7" s="44">
        <v>-1.5</v>
      </c>
      <c r="PT7" s="43"/>
      <c r="PU7" s="42">
        <v>201.262</v>
      </c>
      <c r="PV7" s="47">
        <v>200</v>
      </c>
      <c r="PW7" s="47">
        <v>199.69399999999999</v>
      </c>
      <c r="PX7" s="47">
        <v>200</v>
      </c>
      <c r="PY7" s="44">
        <v>0.95600000000001728</v>
      </c>
      <c r="PZ7" s="43"/>
      <c r="QA7" s="42">
        <v>200.227</v>
      </c>
      <c r="QB7" s="47">
        <v>200</v>
      </c>
      <c r="QC7" s="44">
        <v>0.22700000000000389</v>
      </c>
      <c r="QD7" s="43"/>
      <c r="QE7" s="42">
        <v>149.71</v>
      </c>
      <c r="QF7" s="47">
        <v>150</v>
      </c>
      <c r="QG7" s="44">
        <v>-0.28999999999999199</v>
      </c>
      <c r="QH7" s="43"/>
      <c r="QI7" s="42">
        <v>0</v>
      </c>
      <c r="QJ7" s="47">
        <v>0</v>
      </c>
      <c r="QK7" s="44">
        <v>0</v>
      </c>
      <c r="QL7" s="43"/>
      <c r="QM7" s="42">
        <v>200.25800000000001</v>
      </c>
      <c r="QN7" s="47">
        <v>200</v>
      </c>
      <c r="QO7" s="47">
        <v>501.14100000000002</v>
      </c>
      <c r="QP7" s="47">
        <v>500</v>
      </c>
      <c r="QQ7" s="44">
        <v>1.3990000000000009</v>
      </c>
      <c r="QR7" s="43"/>
      <c r="QS7" s="42">
        <v>203.34200000000001</v>
      </c>
      <c r="QT7" s="47">
        <v>200</v>
      </c>
      <c r="QU7" s="44">
        <v>3.342000000000013</v>
      </c>
      <c r="QV7" s="43"/>
      <c r="QW7" s="42">
        <v>200.03899999999999</v>
      </c>
      <c r="QX7" s="47">
        <v>200</v>
      </c>
      <c r="QY7" s="44">
        <v>3.8999999999987267E-2</v>
      </c>
      <c r="QZ7" s="43"/>
    </row>
    <row r="8" spans="1:468" x14ac:dyDescent="0.25">
      <c r="A8" s="47" t="s">
        <v>292</v>
      </c>
      <c r="B8" s="38">
        <v>1</v>
      </c>
      <c r="E8">
        <v>188</v>
      </c>
      <c r="I8">
        <v>90</v>
      </c>
      <c r="J8">
        <v>126</v>
      </c>
      <c r="K8">
        <v>125</v>
      </c>
      <c r="N8" s="41">
        <v>150</v>
      </c>
      <c r="O8" s="49">
        <v>150</v>
      </c>
      <c r="P8" s="49">
        <v>187</v>
      </c>
      <c r="Q8" s="49">
        <v>184</v>
      </c>
      <c r="R8" s="48">
        <f t="shared" si="8"/>
        <v>3</v>
      </c>
      <c r="S8" s="40"/>
      <c r="T8" s="41">
        <v>118</v>
      </c>
      <c r="U8" s="49">
        <v>115</v>
      </c>
      <c r="V8" s="48">
        <f t="shared" si="9"/>
        <v>3</v>
      </c>
      <c r="W8" s="40"/>
      <c r="X8" s="41">
        <v>121</v>
      </c>
      <c r="Y8" s="49">
        <v>120</v>
      </c>
      <c r="Z8" s="49">
        <v>167</v>
      </c>
      <c r="AA8" s="49">
        <v>160</v>
      </c>
      <c r="AB8" s="48">
        <f t="shared" si="10"/>
        <v>8</v>
      </c>
      <c r="AC8" s="40"/>
      <c r="AD8" s="49">
        <v>102</v>
      </c>
      <c r="AE8">
        <v>100</v>
      </c>
      <c r="AH8" s="44">
        <v>2</v>
      </c>
      <c r="AI8" s="40"/>
      <c r="AJ8">
        <v>102</v>
      </c>
      <c r="AK8">
        <v>100</v>
      </c>
      <c r="AL8">
        <v>150</v>
      </c>
      <c r="AM8">
        <v>150</v>
      </c>
      <c r="AN8" s="44">
        <v>2</v>
      </c>
      <c r="AO8" s="40"/>
      <c r="AP8">
        <v>203</v>
      </c>
      <c r="AQ8">
        <v>200</v>
      </c>
      <c r="AR8">
        <v>228</v>
      </c>
      <c r="AS8">
        <v>227</v>
      </c>
      <c r="AT8" s="44">
        <v>4</v>
      </c>
      <c r="AU8" s="40"/>
      <c r="AV8" s="41">
        <v>101</v>
      </c>
      <c r="AW8">
        <v>100</v>
      </c>
      <c r="AX8" s="44">
        <v>1</v>
      </c>
      <c r="AY8" s="40"/>
      <c r="AZ8" s="41">
        <v>230</v>
      </c>
      <c r="BA8">
        <v>230</v>
      </c>
      <c r="BB8" s="44">
        <v>0</v>
      </c>
      <c r="BC8" s="40"/>
      <c r="BD8">
        <v>69</v>
      </c>
      <c r="BE8">
        <v>70</v>
      </c>
      <c r="BF8">
        <v>81</v>
      </c>
      <c r="BG8">
        <v>80</v>
      </c>
      <c r="BH8" s="44">
        <v>0</v>
      </c>
      <c r="BI8" s="40"/>
      <c r="BJ8">
        <v>48</v>
      </c>
      <c r="BK8">
        <v>50</v>
      </c>
      <c r="BL8" s="44">
        <v>-2</v>
      </c>
      <c r="BM8" s="40"/>
      <c r="BN8" s="41">
        <v>203</v>
      </c>
      <c r="BO8">
        <v>200</v>
      </c>
      <c r="BP8">
        <v>506</v>
      </c>
      <c r="BQ8">
        <v>504</v>
      </c>
      <c r="BR8" s="44">
        <v>5</v>
      </c>
      <c r="BS8" s="40"/>
      <c r="BV8" s="44">
        <v>0</v>
      </c>
      <c r="BW8" s="40"/>
      <c r="BX8" s="41">
        <v>150</v>
      </c>
      <c r="BY8">
        <v>150</v>
      </c>
      <c r="BZ8" s="44">
        <v>0</v>
      </c>
      <c r="CA8" s="40"/>
      <c r="CB8" s="39"/>
      <c r="CD8">
        <v>131</v>
      </c>
      <c r="CE8">
        <v>500</v>
      </c>
      <c r="CF8">
        <v>504</v>
      </c>
      <c r="CG8">
        <v>130</v>
      </c>
      <c r="CH8" s="44">
        <v>5</v>
      </c>
      <c r="CI8" s="40"/>
      <c r="CJ8">
        <v>48</v>
      </c>
      <c r="CK8">
        <v>50</v>
      </c>
      <c r="CL8">
        <v>49</v>
      </c>
      <c r="CM8">
        <v>50</v>
      </c>
      <c r="CN8" s="44">
        <v>-3</v>
      </c>
      <c r="CO8" s="40"/>
      <c r="CP8" s="39"/>
      <c r="CR8">
        <v>61</v>
      </c>
      <c r="CS8">
        <v>60</v>
      </c>
      <c r="CT8" s="44">
        <v>1</v>
      </c>
      <c r="CU8" s="40"/>
      <c r="CV8" s="41">
        <v>182</v>
      </c>
      <c r="CW8">
        <v>180</v>
      </c>
      <c r="CX8">
        <v>97</v>
      </c>
      <c r="CY8">
        <v>103</v>
      </c>
      <c r="CZ8" s="44">
        <v>-4</v>
      </c>
      <c r="DA8" s="40"/>
      <c r="DB8" s="41">
        <v>101</v>
      </c>
      <c r="DC8">
        <v>100</v>
      </c>
      <c r="DD8">
        <v>110</v>
      </c>
      <c r="DE8">
        <v>110</v>
      </c>
      <c r="DF8" s="44">
        <v>1</v>
      </c>
      <c r="DG8" s="40"/>
      <c r="DH8">
        <v>101</v>
      </c>
      <c r="DI8">
        <v>100</v>
      </c>
      <c r="DJ8">
        <v>239</v>
      </c>
      <c r="DK8">
        <v>240</v>
      </c>
      <c r="DL8">
        <v>202</v>
      </c>
      <c r="DM8">
        <v>200</v>
      </c>
      <c r="DN8" s="44">
        <v>2</v>
      </c>
      <c r="DO8" s="40"/>
      <c r="DP8" s="41">
        <v>281</v>
      </c>
      <c r="DQ8">
        <v>280</v>
      </c>
      <c r="DR8" s="44">
        <v>1</v>
      </c>
      <c r="DS8" s="40"/>
      <c r="DT8" s="39"/>
      <c r="DV8">
        <v>143</v>
      </c>
      <c r="DW8">
        <v>140</v>
      </c>
      <c r="DX8" s="44">
        <v>3</v>
      </c>
      <c r="DY8" s="40"/>
      <c r="DZ8" s="41">
        <v>320</v>
      </c>
      <c r="EA8">
        <v>320</v>
      </c>
      <c r="EB8" s="44">
        <v>0</v>
      </c>
      <c r="EC8" s="40"/>
      <c r="ED8">
        <v>122</v>
      </c>
      <c r="EE8">
        <v>120</v>
      </c>
      <c r="EG8">
        <v>122</v>
      </c>
      <c r="EH8">
        <v>120</v>
      </c>
      <c r="EI8">
        <v>183</v>
      </c>
      <c r="EJ8">
        <v>180</v>
      </c>
      <c r="EK8" s="44">
        <v>7</v>
      </c>
      <c r="EL8" s="40"/>
      <c r="EQ8">
        <v>101</v>
      </c>
      <c r="ER8">
        <v>100</v>
      </c>
      <c r="ES8" s="44">
        <v>1</v>
      </c>
      <c r="ET8" s="40"/>
      <c r="EU8" s="41">
        <v>151</v>
      </c>
      <c r="EV8">
        <v>150</v>
      </c>
      <c r="EW8">
        <v>251</v>
      </c>
      <c r="EX8">
        <v>250</v>
      </c>
      <c r="EY8" s="44">
        <v>2</v>
      </c>
      <c r="EZ8" s="40"/>
      <c r="FA8" s="39"/>
      <c r="FD8" s="44">
        <v>0</v>
      </c>
      <c r="FE8" s="40"/>
      <c r="FF8">
        <v>49</v>
      </c>
      <c r="FG8">
        <v>50</v>
      </c>
      <c r="FH8" s="44">
        <v>-1</v>
      </c>
      <c r="FI8" s="40"/>
      <c r="FJ8" s="39"/>
      <c r="FK8">
        <v>250</v>
      </c>
      <c r="FL8">
        <v>151</v>
      </c>
      <c r="FN8">
        <v>150</v>
      </c>
      <c r="FO8">
        <v>210</v>
      </c>
      <c r="FP8">
        <v>210</v>
      </c>
      <c r="FQ8" s="46">
        <v>-249</v>
      </c>
      <c r="FR8" s="40">
        <v>249</v>
      </c>
      <c r="FS8">
        <v>69</v>
      </c>
      <c r="FT8">
        <v>70</v>
      </c>
      <c r="FU8">
        <v>69</v>
      </c>
      <c r="FV8">
        <v>70</v>
      </c>
      <c r="FW8" s="44">
        <v>-2</v>
      </c>
      <c r="FX8" s="40"/>
      <c r="FY8" s="39"/>
      <c r="GA8">
        <v>123</v>
      </c>
      <c r="GB8">
        <v>120</v>
      </c>
      <c r="GC8" s="44">
        <v>3</v>
      </c>
      <c r="GD8" s="40"/>
      <c r="GG8">
        <v>109</v>
      </c>
      <c r="GH8">
        <v>110</v>
      </c>
      <c r="GI8" s="44">
        <v>-1</v>
      </c>
      <c r="GJ8" s="40"/>
      <c r="GK8">
        <v>286</v>
      </c>
      <c r="GL8" s="47">
        <v>282.88720000000001</v>
      </c>
      <c r="GM8" s="44">
        <v>3.1127999999999929</v>
      </c>
      <c r="GN8" s="40"/>
      <c r="GO8" s="41">
        <v>226</v>
      </c>
      <c r="GP8">
        <v>228</v>
      </c>
      <c r="GQ8" s="44">
        <v>-2</v>
      </c>
      <c r="GR8" s="40"/>
      <c r="GS8">
        <v>101</v>
      </c>
      <c r="GT8">
        <v>100</v>
      </c>
      <c r="GV8">
        <v>102</v>
      </c>
      <c r="GW8">
        <v>100</v>
      </c>
      <c r="GX8" s="44">
        <v>3</v>
      </c>
      <c r="GY8" s="40"/>
      <c r="GZ8">
        <v>101</v>
      </c>
      <c r="HA8">
        <v>100</v>
      </c>
      <c r="HB8">
        <v>48</v>
      </c>
      <c r="HC8">
        <v>50</v>
      </c>
      <c r="HD8" s="44">
        <v>-1</v>
      </c>
      <c r="HE8" s="40"/>
      <c r="HF8" s="41">
        <v>202</v>
      </c>
      <c r="HG8">
        <v>200</v>
      </c>
      <c r="HH8">
        <v>110</v>
      </c>
      <c r="HI8">
        <v>110</v>
      </c>
      <c r="HJ8" s="44">
        <v>2</v>
      </c>
      <c r="HK8" s="40"/>
      <c r="HL8" s="41">
        <v>253</v>
      </c>
      <c r="HM8">
        <v>250</v>
      </c>
      <c r="HN8">
        <v>202</v>
      </c>
      <c r="HO8">
        <v>200</v>
      </c>
      <c r="HP8" s="44">
        <v>5</v>
      </c>
      <c r="HQ8" s="40"/>
      <c r="HT8">
        <v>121</v>
      </c>
      <c r="HU8">
        <v>120</v>
      </c>
      <c r="HV8" s="44">
        <v>1</v>
      </c>
      <c r="HW8" s="43"/>
      <c r="HX8">
        <v>241</v>
      </c>
      <c r="HY8">
        <v>240</v>
      </c>
      <c r="HZ8">
        <v>162</v>
      </c>
      <c r="IA8">
        <v>160</v>
      </c>
      <c r="IB8" s="44">
        <v>3</v>
      </c>
      <c r="IC8" s="43"/>
      <c r="ID8">
        <v>301</v>
      </c>
      <c r="IE8">
        <v>300</v>
      </c>
      <c r="IF8">
        <v>219</v>
      </c>
      <c r="IG8">
        <v>220</v>
      </c>
      <c r="IH8" s="44">
        <v>0</v>
      </c>
      <c r="II8" s="43"/>
      <c r="IJ8">
        <v>352</v>
      </c>
      <c r="IK8">
        <v>350</v>
      </c>
      <c r="IL8">
        <v>293</v>
      </c>
      <c r="IM8">
        <v>290</v>
      </c>
      <c r="IN8" s="44">
        <v>5</v>
      </c>
      <c r="IO8" s="40"/>
      <c r="IR8" s="44">
        <v>0</v>
      </c>
      <c r="IS8" s="40"/>
      <c r="IT8">
        <v>401</v>
      </c>
      <c r="IU8">
        <v>400</v>
      </c>
      <c r="IV8">
        <v>250</v>
      </c>
      <c r="IW8">
        <v>250</v>
      </c>
      <c r="IX8" s="44">
        <v>1</v>
      </c>
      <c r="IY8" s="43"/>
      <c r="JB8" s="44">
        <v>0</v>
      </c>
      <c r="JC8" s="40"/>
      <c r="JD8">
        <v>300</v>
      </c>
      <c r="JE8">
        <v>300</v>
      </c>
      <c r="JF8">
        <v>294</v>
      </c>
      <c r="JG8">
        <v>300</v>
      </c>
      <c r="JH8" s="46">
        <v>-6</v>
      </c>
      <c r="JI8" s="40">
        <v>6</v>
      </c>
      <c r="JJ8">
        <v>249</v>
      </c>
      <c r="JK8">
        <v>250</v>
      </c>
      <c r="JL8">
        <v>248</v>
      </c>
      <c r="JM8">
        <v>276</v>
      </c>
      <c r="JN8" s="46">
        <v>-29</v>
      </c>
      <c r="JO8" s="43">
        <v>29</v>
      </c>
      <c r="JT8" s="44">
        <v>0</v>
      </c>
      <c r="JU8" s="43"/>
      <c r="JZ8" s="44">
        <v>0</v>
      </c>
      <c r="KA8" s="43"/>
      <c r="KB8" s="41">
        <v>351</v>
      </c>
      <c r="KC8">
        <v>350</v>
      </c>
      <c r="KE8">
        <v>461</v>
      </c>
      <c r="KF8">
        <v>460</v>
      </c>
      <c r="KG8">
        <v>293</v>
      </c>
      <c r="KH8">
        <v>290</v>
      </c>
      <c r="KI8" s="44">
        <v>5</v>
      </c>
      <c r="KJ8" s="43"/>
      <c r="KK8" s="47">
        <v>0</v>
      </c>
      <c r="KL8" s="47">
        <v>0</v>
      </c>
      <c r="KM8" s="47">
        <v>0</v>
      </c>
      <c r="KN8" s="47">
        <v>0</v>
      </c>
      <c r="KO8" s="44">
        <v>0</v>
      </c>
      <c r="KP8" s="43"/>
      <c r="KQ8" s="47">
        <v>396.90199999999999</v>
      </c>
      <c r="KR8" s="47">
        <v>400</v>
      </c>
      <c r="KS8" s="47">
        <v>208.69</v>
      </c>
      <c r="KT8" s="47">
        <v>200</v>
      </c>
      <c r="KU8" s="44">
        <v>5.5919999999999854</v>
      </c>
      <c r="KV8" s="43"/>
      <c r="KW8" s="42">
        <v>409.96499999999997</v>
      </c>
      <c r="KX8" s="47">
        <v>410</v>
      </c>
      <c r="KY8" s="44">
        <v>-3.5000000000025011E-2</v>
      </c>
      <c r="KZ8" s="43"/>
      <c r="LA8" s="42">
        <v>360.596</v>
      </c>
      <c r="LB8" s="47">
        <v>360</v>
      </c>
      <c r="LC8" s="47">
        <v>251.05099999999999</v>
      </c>
      <c r="LD8" s="47">
        <v>250</v>
      </c>
      <c r="LE8" s="44">
        <v>1.646999999999935</v>
      </c>
      <c r="LF8" s="43"/>
      <c r="LG8" s="42">
        <v>169.398</v>
      </c>
      <c r="LH8" s="47">
        <v>170</v>
      </c>
      <c r="LI8" s="47">
        <v>179.62</v>
      </c>
      <c r="LJ8" s="47">
        <v>180</v>
      </c>
      <c r="LK8" s="44">
        <v>-0.9819999999999709</v>
      </c>
      <c r="LL8" s="43"/>
      <c r="LM8" s="42">
        <v>0</v>
      </c>
      <c r="LN8" s="47">
        <v>0</v>
      </c>
      <c r="LO8" s="44">
        <v>0</v>
      </c>
      <c r="LP8" s="43"/>
      <c r="LQ8" s="42">
        <v>252.05600000000001</v>
      </c>
      <c r="LR8" s="47">
        <v>250</v>
      </c>
      <c r="LS8" s="47">
        <v>148</v>
      </c>
      <c r="LT8" s="47">
        <v>150</v>
      </c>
      <c r="LU8" s="44">
        <v>5.6000000000040018E-2</v>
      </c>
      <c r="LV8" s="43"/>
      <c r="LW8" s="42">
        <v>251.51</v>
      </c>
      <c r="LX8" s="47">
        <v>250</v>
      </c>
      <c r="LY8" s="47">
        <v>0</v>
      </c>
      <c r="LZ8" s="47">
        <v>0</v>
      </c>
      <c r="MA8" s="44">
        <v>1.5099999999999909</v>
      </c>
      <c r="MB8" s="43"/>
      <c r="MC8" s="42">
        <v>0</v>
      </c>
      <c r="MD8" s="47">
        <v>0</v>
      </c>
      <c r="ME8" s="47">
        <v>0</v>
      </c>
      <c r="MF8" s="47">
        <v>0</v>
      </c>
      <c r="MG8" s="44">
        <v>0</v>
      </c>
      <c r="MH8" s="43"/>
      <c r="MI8" s="42">
        <v>602.49199999999996</v>
      </c>
      <c r="MJ8" s="47">
        <v>600</v>
      </c>
      <c r="MK8" s="47">
        <v>299.54000000000002</v>
      </c>
      <c r="ML8" s="47">
        <v>300</v>
      </c>
      <c r="MM8" s="44">
        <v>2.031999999999925</v>
      </c>
      <c r="MN8" s="43"/>
      <c r="MO8" s="42">
        <v>149.67699999999999</v>
      </c>
      <c r="MP8" s="47">
        <v>150</v>
      </c>
      <c r="MQ8" s="47">
        <v>121.774</v>
      </c>
      <c r="MR8" s="47">
        <v>120</v>
      </c>
      <c r="MS8" s="44">
        <v>1.451000000000022</v>
      </c>
      <c r="MT8" s="43"/>
      <c r="MU8" s="42">
        <v>100.408</v>
      </c>
      <c r="MV8" s="47">
        <v>200</v>
      </c>
      <c r="MW8" s="47">
        <v>200.739</v>
      </c>
      <c r="MX8" s="47">
        <v>200</v>
      </c>
      <c r="MY8" s="46">
        <v>-98.853000000000009</v>
      </c>
      <c r="MZ8" s="43">
        <v>98.853000000000009</v>
      </c>
      <c r="NA8" s="42">
        <v>453.37599999999998</v>
      </c>
      <c r="NB8" s="47">
        <v>450</v>
      </c>
      <c r="NC8" s="47">
        <v>452.71899999999999</v>
      </c>
      <c r="ND8" s="47">
        <v>450</v>
      </c>
      <c r="NE8" s="44">
        <v>6.0950000000000273</v>
      </c>
      <c r="NF8" s="43"/>
      <c r="NG8" s="42">
        <v>151.59100000000001</v>
      </c>
      <c r="NH8" s="47">
        <v>150</v>
      </c>
      <c r="NI8" s="47">
        <v>146.56899999999999</v>
      </c>
      <c r="NJ8" s="47">
        <v>150</v>
      </c>
      <c r="NK8" s="44">
        <v>-1.8400000000000321</v>
      </c>
      <c r="NL8" s="43"/>
      <c r="NM8" s="42">
        <v>354.87599999999998</v>
      </c>
      <c r="NN8" s="47">
        <v>350</v>
      </c>
      <c r="NO8" s="47">
        <v>298.35000000000002</v>
      </c>
      <c r="NP8" s="47">
        <v>300</v>
      </c>
      <c r="NQ8" s="44">
        <v>3.2259999999999991</v>
      </c>
      <c r="NR8" s="43"/>
      <c r="NS8" s="42">
        <v>303.11599999999999</v>
      </c>
      <c r="NT8" s="47">
        <v>300</v>
      </c>
      <c r="NU8" s="47">
        <v>352.505</v>
      </c>
      <c r="NV8" s="47">
        <v>350</v>
      </c>
      <c r="NW8" s="44">
        <v>5.6209999999999809</v>
      </c>
      <c r="NX8" s="43"/>
      <c r="NY8" s="42">
        <v>0</v>
      </c>
      <c r="NZ8" s="47">
        <v>0</v>
      </c>
      <c r="OA8" s="47">
        <v>0</v>
      </c>
      <c r="OB8" s="47">
        <v>0</v>
      </c>
      <c r="OC8" s="44">
        <v>0</v>
      </c>
      <c r="OD8" s="43"/>
      <c r="OE8" s="42">
        <v>749.05799999999999</v>
      </c>
      <c r="OF8" s="47">
        <v>750</v>
      </c>
      <c r="OG8" s="47">
        <v>451.875</v>
      </c>
      <c r="OH8" s="47">
        <v>450</v>
      </c>
      <c r="OI8" s="44">
        <v>0.93299999999999272</v>
      </c>
      <c r="OJ8" s="43"/>
      <c r="OK8" s="42">
        <v>150.53299999999999</v>
      </c>
      <c r="OL8" s="47">
        <v>150</v>
      </c>
      <c r="OM8" s="47">
        <v>170.81</v>
      </c>
      <c r="ON8" s="47">
        <v>169</v>
      </c>
      <c r="OO8" s="44">
        <v>2.3429999999999609</v>
      </c>
      <c r="OP8" s="43"/>
      <c r="OQ8" s="42">
        <v>398.95299999999997</v>
      </c>
      <c r="OR8" s="47">
        <v>400</v>
      </c>
      <c r="OS8" s="47">
        <v>337.10500000000002</v>
      </c>
      <c r="OT8" s="47">
        <v>340</v>
      </c>
      <c r="OU8" s="44">
        <v>-3.9420000000000068</v>
      </c>
      <c r="OV8" s="43"/>
      <c r="OW8" s="42">
        <v>356.58100000000002</v>
      </c>
      <c r="OX8" s="47">
        <v>300</v>
      </c>
      <c r="OY8" s="47">
        <v>274.10000000000002</v>
      </c>
      <c r="OZ8" s="47">
        <v>274</v>
      </c>
      <c r="PA8" s="44">
        <v>56.68100000000004</v>
      </c>
      <c r="PB8" s="43"/>
      <c r="PC8" s="42">
        <v>251.65600000000001</v>
      </c>
      <c r="PD8" s="47">
        <v>350</v>
      </c>
      <c r="PE8" s="47">
        <v>255.084</v>
      </c>
      <c r="PF8" s="47">
        <v>350</v>
      </c>
      <c r="PG8" s="46">
        <v>-193.26</v>
      </c>
      <c r="PH8" s="43">
        <v>193.26</v>
      </c>
      <c r="PI8" s="42">
        <v>0</v>
      </c>
      <c r="PJ8" s="47">
        <v>0</v>
      </c>
      <c r="PK8" s="47">
        <v>148.18199999999999</v>
      </c>
      <c r="PL8" s="47">
        <v>151</v>
      </c>
      <c r="PM8" s="44">
        <v>-2.8180000000000121</v>
      </c>
      <c r="PN8" s="43"/>
      <c r="PO8" s="42">
        <v>0</v>
      </c>
      <c r="PP8" s="47">
        <v>0</v>
      </c>
      <c r="PQ8" s="47">
        <v>0</v>
      </c>
      <c r="PR8" s="47">
        <v>0</v>
      </c>
      <c r="PS8" s="44">
        <v>0</v>
      </c>
      <c r="PT8" s="43"/>
      <c r="PU8" s="42">
        <v>203.52099999999999</v>
      </c>
      <c r="PV8" s="47">
        <v>200</v>
      </c>
      <c r="PW8" s="47">
        <v>203.23699999999999</v>
      </c>
      <c r="PX8" s="47">
        <v>200</v>
      </c>
      <c r="PY8" s="44">
        <v>6.7579999999999814</v>
      </c>
      <c r="PZ8" s="43"/>
      <c r="QA8" s="42">
        <v>1395.2860000000001</v>
      </c>
      <c r="QB8" s="47">
        <v>1000</v>
      </c>
      <c r="QC8" s="44">
        <v>395.28600000000012</v>
      </c>
      <c r="QD8" s="43"/>
      <c r="QE8" s="42">
        <v>902.17399999999998</v>
      </c>
      <c r="QF8" s="47">
        <v>900</v>
      </c>
      <c r="QG8" s="44">
        <v>2.1739999999999782</v>
      </c>
      <c r="QH8" s="43"/>
      <c r="QI8" s="42">
        <v>202.65799999999999</v>
      </c>
      <c r="QJ8" s="47">
        <v>431</v>
      </c>
      <c r="QK8" s="46">
        <v>-228.34200000000001</v>
      </c>
      <c r="QL8" s="43">
        <v>228.34200000000001</v>
      </c>
      <c r="QM8" s="42">
        <v>145.27799999999999</v>
      </c>
      <c r="QN8" s="47">
        <v>250</v>
      </c>
      <c r="QO8" s="47">
        <v>148.59100000000001</v>
      </c>
      <c r="QP8" s="47">
        <v>350</v>
      </c>
      <c r="QQ8" s="46">
        <v>-306.13099999999997</v>
      </c>
      <c r="QR8" s="43">
        <v>306.13099999999997</v>
      </c>
      <c r="QS8" s="42">
        <v>298.71800000000002</v>
      </c>
      <c r="QT8" s="47">
        <v>300</v>
      </c>
      <c r="QU8" s="44">
        <v>-1.281999999999982</v>
      </c>
      <c r="QV8" s="43"/>
      <c r="QW8" s="42">
        <v>101.508</v>
      </c>
      <c r="QX8" s="47">
        <v>250</v>
      </c>
      <c r="QY8" s="46">
        <v>-148.49199999999999</v>
      </c>
      <c r="QZ8" s="43">
        <v>148.49199999999999</v>
      </c>
    </row>
    <row r="9" spans="1:468" x14ac:dyDescent="0.25">
      <c r="A9" s="47" t="s">
        <v>293</v>
      </c>
      <c r="B9" s="38">
        <v>1</v>
      </c>
      <c r="I9">
        <v>10</v>
      </c>
      <c r="N9" s="41">
        <v>20</v>
      </c>
      <c r="O9" s="49">
        <v>20</v>
      </c>
      <c r="P9" s="49">
        <v>24</v>
      </c>
      <c r="Q9" s="49">
        <v>23</v>
      </c>
      <c r="R9" s="48">
        <f t="shared" si="8"/>
        <v>1</v>
      </c>
      <c r="S9" s="40"/>
      <c r="T9" s="41">
        <v>4</v>
      </c>
      <c r="U9" s="49">
        <v>4</v>
      </c>
      <c r="V9" s="48">
        <f t="shared" si="9"/>
        <v>0</v>
      </c>
      <c r="W9" s="40"/>
      <c r="X9" s="39"/>
      <c r="Y9" s="48"/>
      <c r="Z9" s="49">
        <v>12</v>
      </c>
      <c r="AA9" s="49">
        <v>12</v>
      </c>
      <c r="AB9" s="48">
        <f t="shared" si="10"/>
        <v>0</v>
      </c>
      <c r="AC9" s="40"/>
      <c r="AD9" s="48"/>
      <c r="AH9" s="44">
        <v>0</v>
      </c>
      <c r="AI9" s="40"/>
      <c r="AN9" s="44">
        <v>0</v>
      </c>
      <c r="AO9" s="40"/>
      <c r="AR9">
        <v>24</v>
      </c>
      <c r="AS9">
        <v>23</v>
      </c>
      <c r="AT9" s="44">
        <v>1</v>
      </c>
      <c r="AU9" s="40"/>
      <c r="AV9" s="39"/>
      <c r="AX9" s="44">
        <v>0</v>
      </c>
      <c r="AY9" s="40"/>
      <c r="AZ9" s="39"/>
      <c r="BB9" s="44">
        <v>0</v>
      </c>
      <c r="BC9" s="40"/>
      <c r="BD9">
        <v>12</v>
      </c>
      <c r="BE9">
        <v>10</v>
      </c>
      <c r="BH9" s="44">
        <v>2</v>
      </c>
      <c r="BI9" s="40"/>
      <c r="BJ9">
        <v>46</v>
      </c>
      <c r="BK9">
        <v>44</v>
      </c>
      <c r="BL9" s="44">
        <v>2</v>
      </c>
      <c r="BM9" s="40"/>
      <c r="BN9" s="39"/>
      <c r="BR9" s="44">
        <v>0</v>
      </c>
      <c r="BS9" s="40"/>
      <c r="BV9" s="44">
        <v>0</v>
      </c>
      <c r="BW9" s="40"/>
      <c r="BX9" s="39"/>
      <c r="BZ9" s="44">
        <v>0</v>
      </c>
      <c r="CA9" s="40"/>
      <c r="CB9" s="39"/>
      <c r="CD9">
        <v>58</v>
      </c>
      <c r="CG9">
        <v>60</v>
      </c>
      <c r="CH9" s="44">
        <v>-2</v>
      </c>
      <c r="CI9" s="40"/>
      <c r="CL9">
        <v>4</v>
      </c>
      <c r="CM9">
        <v>4</v>
      </c>
      <c r="CN9" s="44">
        <v>0</v>
      </c>
      <c r="CO9" s="40"/>
      <c r="CP9" s="39"/>
      <c r="CT9" s="44">
        <v>0</v>
      </c>
      <c r="CU9" s="40"/>
      <c r="CV9" s="39"/>
      <c r="CX9">
        <v>20</v>
      </c>
      <c r="CY9">
        <v>20</v>
      </c>
      <c r="CZ9" s="44">
        <v>0</v>
      </c>
      <c r="DA9" s="40"/>
      <c r="DB9" s="39"/>
      <c r="DF9" s="44">
        <v>0</v>
      </c>
      <c r="DG9" s="40"/>
      <c r="DN9" s="44">
        <v>0</v>
      </c>
      <c r="DO9" s="40"/>
      <c r="DP9" s="39"/>
      <c r="DR9" s="44">
        <v>0</v>
      </c>
      <c r="DS9" s="40"/>
      <c r="DT9" s="39"/>
      <c r="DV9">
        <v>32</v>
      </c>
      <c r="DW9">
        <v>30</v>
      </c>
      <c r="DX9" s="44">
        <v>2</v>
      </c>
      <c r="DY9" s="40"/>
      <c r="DZ9" s="39"/>
      <c r="EB9" s="44">
        <v>0</v>
      </c>
      <c r="EC9" s="40"/>
      <c r="EI9">
        <v>36</v>
      </c>
      <c r="EJ9">
        <v>36</v>
      </c>
      <c r="EK9" s="44">
        <v>0</v>
      </c>
      <c r="EL9" s="40"/>
      <c r="ES9" s="44">
        <v>0</v>
      </c>
      <c r="ET9" s="40"/>
      <c r="EU9" s="39"/>
      <c r="EW9">
        <v>16</v>
      </c>
      <c r="EX9">
        <v>16</v>
      </c>
      <c r="EY9" s="44">
        <v>0</v>
      </c>
      <c r="EZ9" s="40"/>
      <c r="FA9" s="39"/>
      <c r="FD9" s="44">
        <v>0</v>
      </c>
      <c r="FE9" s="40"/>
      <c r="FH9" s="44">
        <v>0</v>
      </c>
      <c r="FI9" s="40"/>
      <c r="FJ9" s="39"/>
      <c r="FO9">
        <v>24</v>
      </c>
      <c r="FP9">
        <v>22</v>
      </c>
      <c r="FQ9" s="44">
        <v>2</v>
      </c>
      <c r="FR9" s="40"/>
      <c r="FW9" s="44">
        <v>0</v>
      </c>
      <c r="FX9" s="40"/>
      <c r="FY9" s="39"/>
      <c r="GC9" s="44">
        <v>0</v>
      </c>
      <c r="GD9" s="40"/>
      <c r="GI9" s="44">
        <v>0</v>
      </c>
      <c r="GJ9" s="40"/>
      <c r="GK9">
        <v>8</v>
      </c>
      <c r="GL9" s="47">
        <v>6</v>
      </c>
      <c r="GM9" s="44">
        <v>2</v>
      </c>
      <c r="GN9" s="40"/>
      <c r="GO9" s="41">
        <v>8</v>
      </c>
      <c r="GP9">
        <v>9</v>
      </c>
      <c r="GQ9" s="44">
        <v>-1</v>
      </c>
      <c r="GR9" s="40"/>
      <c r="GV9">
        <v>20</v>
      </c>
      <c r="GW9">
        <v>20</v>
      </c>
      <c r="GX9" s="44">
        <v>0</v>
      </c>
      <c r="GY9" s="40"/>
      <c r="HB9">
        <v>4</v>
      </c>
      <c r="HC9">
        <v>5</v>
      </c>
      <c r="HD9" s="44">
        <v>-1</v>
      </c>
      <c r="HE9" s="40"/>
      <c r="HF9" s="39"/>
      <c r="HJ9" s="44">
        <v>0</v>
      </c>
      <c r="HK9" s="40"/>
      <c r="HL9" s="39"/>
      <c r="HP9" s="44">
        <v>0</v>
      </c>
      <c r="HQ9" s="40"/>
      <c r="HV9" s="44">
        <v>0</v>
      </c>
      <c r="HW9" s="43"/>
      <c r="HZ9">
        <v>8</v>
      </c>
      <c r="IA9">
        <v>8</v>
      </c>
      <c r="IB9" s="44">
        <v>0</v>
      </c>
      <c r="IC9" s="43"/>
      <c r="IH9" s="44">
        <v>0</v>
      </c>
      <c r="II9" s="43"/>
      <c r="IN9" s="44">
        <v>0</v>
      </c>
      <c r="IO9" s="40"/>
      <c r="IP9">
        <v>8</v>
      </c>
      <c r="IQ9">
        <v>11</v>
      </c>
      <c r="IR9" s="44">
        <v>-3</v>
      </c>
      <c r="IS9" s="40"/>
      <c r="IT9">
        <v>8</v>
      </c>
      <c r="IU9">
        <v>10</v>
      </c>
      <c r="IX9" s="44">
        <v>-2</v>
      </c>
      <c r="IY9" s="43"/>
      <c r="IZ9">
        <v>12</v>
      </c>
      <c r="JA9" s="47">
        <v>10</v>
      </c>
      <c r="JB9" s="44">
        <v>2</v>
      </c>
      <c r="JC9" s="40"/>
      <c r="JF9">
        <v>24</v>
      </c>
      <c r="JG9">
        <v>25</v>
      </c>
      <c r="JH9" s="44">
        <v>-1</v>
      </c>
      <c r="JI9" s="40"/>
      <c r="JJ9">
        <v>12</v>
      </c>
      <c r="JK9">
        <v>10</v>
      </c>
      <c r="JN9" s="44">
        <v>2</v>
      </c>
      <c r="JO9" s="43"/>
      <c r="JT9" s="44">
        <v>0</v>
      </c>
      <c r="JU9" s="43"/>
      <c r="JZ9" s="44">
        <v>0</v>
      </c>
      <c r="KA9" s="43"/>
      <c r="KB9" s="42"/>
      <c r="KE9">
        <v>47</v>
      </c>
      <c r="KF9">
        <v>50</v>
      </c>
      <c r="KG9">
        <v>48</v>
      </c>
      <c r="KH9">
        <v>50</v>
      </c>
      <c r="KI9" s="44">
        <v>-5</v>
      </c>
      <c r="KJ9" s="43"/>
      <c r="KK9" s="47">
        <v>0</v>
      </c>
      <c r="KL9" s="47">
        <v>0</v>
      </c>
      <c r="KM9" s="47">
        <v>0</v>
      </c>
      <c r="KN9" s="47">
        <v>0</v>
      </c>
      <c r="KO9" s="44">
        <v>0</v>
      </c>
      <c r="KP9" s="43"/>
      <c r="KQ9" s="47">
        <v>0</v>
      </c>
      <c r="KR9" s="47">
        <v>0</v>
      </c>
      <c r="KS9" s="47">
        <v>0</v>
      </c>
      <c r="KT9" s="47">
        <v>0</v>
      </c>
      <c r="KU9" s="44">
        <v>0</v>
      </c>
      <c r="KV9" s="43"/>
      <c r="KW9" s="42">
        <v>20.459</v>
      </c>
      <c r="KX9" s="47">
        <v>20</v>
      </c>
      <c r="KY9" s="44">
        <v>0.45899999999999958</v>
      </c>
      <c r="KZ9" s="43"/>
      <c r="LA9" s="42">
        <v>20.276</v>
      </c>
      <c r="LB9" s="47">
        <v>20</v>
      </c>
      <c r="LC9" s="47">
        <v>19.959</v>
      </c>
      <c r="LD9" s="47">
        <v>20</v>
      </c>
      <c r="LE9" s="44">
        <v>0.2349999999999994</v>
      </c>
      <c r="LF9" s="43"/>
      <c r="LG9" s="42">
        <v>0</v>
      </c>
      <c r="LH9" s="47">
        <v>0</v>
      </c>
      <c r="LI9" s="47">
        <v>0</v>
      </c>
      <c r="LJ9" s="47">
        <v>0</v>
      </c>
      <c r="LK9" s="44">
        <v>0</v>
      </c>
      <c r="LL9" s="43"/>
      <c r="LM9" s="42">
        <v>0</v>
      </c>
      <c r="LN9" s="47">
        <v>0</v>
      </c>
      <c r="LO9" s="44">
        <v>0</v>
      </c>
      <c r="LP9" s="43"/>
      <c r="LQ9" s="42">
        <v>0</v>
      </c>
      <c r="LR9" s="47">
        <v>0</v>
      </c>
      <c r="LS9" s="47">
        <v>0</v>
      </c>
      <c r="LT9" s="47">
        <v>0</v>
      </c>
      <c r="LU9" s="44">
        <v>0</v>
      </c>
      <c r="LV9" s="43"/>
      <c r="LW9" s="42">
        <v>0</v>
      </c>
      <c r="LX9" s="47">
        <v>0</v>
      </c>
      <c r="LY9" s="47">
        <v>0</v>
      </c>
      <c r="LZ9" s="47">
        <v>0</v>
      </c>
      <c r="MA9" s="44">
        <v>0</v>
      </c>
      <c r="MB9" s="43"/>
      <c r="MC9" s="42">
        <v>0</v>
      </c>
      <c r="MD9" s="47">
        <v>0</v>
      </c>
      <c r="ME9" s="47">
        <v>0</v>
      </c>
      <c r="MF9" s="47">
        <v>0</v>
      </c>
      <c r="MG9" s="44">
        <v>0</v>
      </c>
      <c r="MH9" s="43"/>
      <c r="MI9" s="42">
        <v>0</v>
      </c>
      <c r="MJ9" s="47">
        <v>0</v>
      </c>
      <c r="MK9" s="47">
        <v>0</v>
      </c>
      <c r="ML9" s="47">
        <v>0</v>
      </c>
      <c r="MM9" s="44">
        <v>0</v>
      </c>
      <c r="MN9" s="43"/>
      <c r="MO9" s="42">
        <v>0</v>
      </c>
      <c r="MP9" s="47">
        <v>0</v>
      </c>
      <c r="MQ9" s="47">
        <v>0</v>
      </c>
      <c r="MR9" s="47">
        <v>0</v>
      </c>
      <c r="MS9" s="44">
        <v>0</v>
      </c>
      <c r="MT9" s="43"/>
      <c r="MU9" s="42">
        <v>0</v>
      </c>
      <c r="MV9" s="47">
        <v>0</v>
      </c>
      <c r="MW9" s="47">
        <v>0</v>
      </c>
      <c r="MX9" s="47">
        <v>0</v>
      </c>
      <c r="MY9" s="44">
        <v>0</v>
      </c>
      <c r="MZ9" s="43"/>
      <c r="NA9" s="42">
        <v>0</v>
      </c>
      <c r="NB9" s="47">
        <v>0</v>
      </c>
      <c r="NC9" s="47">
        <v>74.198999999999998</v>
      </c>
      <c r="ND9" s="47">
        <v>70</v>
      </c>
      <c r="NE9" s="44">
        <v>4.1989999999999981</v>
      </c>
      <c r="NF9" s="43"/>
      <c r="NG9" s="42">
        <v>0</v>
      </c>
      <c r="NH9" s="47">
        <v>0</v>
      </c>
      <c r="NI9" s="47">
        <v>0</v>
      </c>
      <c r="NJ9" s="47">
        <v>0</v>
      </c>
      <c r="NK9" s="44">
        <v>0</v>
      </c>
      <c r="NL9" s="43"/>
      <c r="NM9" s="42">
        <v>0</v>
      </c>
      <c r="NN9" s="47">
        <v>0</v>
      </c>
      <c r="NO9" s="47">
        <v>35.445999999999998</v>
      </c>
      <c r="NP9" s="47">
        <v>40</v>
      </c>
      <c r="NQ9" s="46">
        <v>-4.554000000000002</v>
      </c>
      <c r="NR9" s="43">
        <v>4.554000000000002</v>
      </c>
      <c r="NS9" s="42">
        <v>32.96</v>
      </c>
      <c r="NT9" s="47">
        <v>30</v>
      </c>
      <c r="NU9" s="47">
        <v>0</v>
      </c>
      <c r="NV9" s="47">
        <v>0</v>
      </c>
      <c r="NW9" s="44">
        <v>2.9600000000000009</v>
      </c>
      <c r="NX9" s="43"/>
      <c r="NY9" s="42">
        <v>0</v>
      </c>
      <c r="NZ9" s="47">
        <v>0</v>
      </c>
      <c r="OA9" s="47">
        <v>52.555999999999997</v>
      </c>
      <c r="OB9" s="47">
        <v>50</v>
      </c>
      <c r="OC9" s="44">
        <v>2.5559999999999969</v>
      </c>
      <c r="OD9" s="43"/>
      <c r="OE9" s="42">
        <v>0</v>
      </c>
      <c r="OF9" s="47">
        <v>0</v>
      </c>
      <c r="OG9" s="47">
        <v>52.418999999999997</v>
      </c>
      <c r="OH9" s="47">
        <v>50</v>
      </c>
      <c r="OI9" s="44">
        <v>2.4189999999999969</v>
      </c>
      <c r="OJ9" s="43"/>
      <c r="OK9" s="42">
        <v>0</v>
      </c>
      <c r="OL9" s="47">
        <v>0</v>
      </c>
      <c r="OM9" s="47">
        <v>0</v>
      </c>
      <c r="ON9" s="47">
        <v>0</v>
      </c>
      <c r="OO9" s="44">
        <v>0</v>
      </c>
      <c r="OP9" s="43"/>
      <c r="OQ9" s="42">
        <v>53.377000000000002</v>
      </c>
      <c r="OR9" s="47">
        <v>50</v>
      </c>
      <c r="OS9" s="47">
        <v>72.456000000000003</v>
      </c>
      <c r="OT9" s="47">
        <v>70</v>
      </c>
      <c r="OU9" s="44">
        <v>5.8329999999999984</v>
      </c>
      <c r="OV9" s="43"/>
      <c r="OW9" s="42">
        <v>12.170999999999999</v>
      </c>
      <c r="OX9" s="47">
        <v>0</v>
      </c>
      <c r="OY9" s="47">
        <v>32.198</v>
      </c>
      <c r="OZ9" s="47">
        <v>30</v>
      </c>
      <c r="PA9" s="44">
        <v>14.369</v>
      </c>
      <c r="PB9" s="43"/>
      <c r="PC9" s="42">
        <v>0</v>
      </c>
      <c r="PD9" s="47">
        <v>0</v>
      </c>
      <c r="PE9" s="47">
        <v>23.992999999999999</v>
      </c>
      <c r="PF9" s="47">
        <v>25</v>
      </c>
      <c r="PG9" s="44">
        <v>-1.007000000000001</v>
      </c>
      <c r="PH9" s="43"/>
      <c r="PI9" s="42">
        <v>0</v>
      </c>
      <c r="PJ9" s="47">
        <v>0</v>
      </c>
      <c r="PK9" s="47">
        <v>0</v>
      </c>
      <c r="PL9" s="47">
        <v>0</v>
      </c>
      <c r="PM9" s="44">
        <v>0</v>
      </c>
      <c r="PN9" s="43"/>
      <c r="PO9" s="42">
        <v>0</v>
      </c>
      <c r="PP9" s="47">
        <v>0</v>
      </c>
      <c r="PQ9" s="47">
        <v>0</v>
      </c>
      <c r="PR9" s="47">
        <v>0</v>
      </c>
      <c r="PS9" s="44">
        <v>0</v>
      </c>
      <c r="PT9" s="43"/>
      <c r="PU9" s="42">
        <v>0</v>
      </c>
      <c r="PV9" s="47">
        <v>0</v>
      </c>
      <c r="PW9" s="47">
        <v>0</v>
      </c>
      <c r="PX9" s="47">
        <v>0</v>
      </c>
      <c r="PY9" s="44">
        <v>0</v>
      </c>
      <c r="PZ9" s="43"/>
      <c r="QA9" s="42">
        <v>0</v>
      </c>
      <c r="QB9" s="47">
        <v>0</v>
      </c>
      <c r="QC9" s="44">
        <v>0</v>
      </c>
      <c r="QD9" s="43"/>
      <c r="QE9" s="42">
        <v>52.698</v>
      </c>
      <c r="QF9" s="47">
        <v>50</v>
      </c>
      <c r="QG9" s="44">
        <v>2.698</v>
      </c>
      <c r="QH9" s="43"/>
      <c r="QI9" s="42">
        <v>73.366</v>
      </c>
      <c r="QJ9" s="47">
        <v>70</v>
      </c>
      <c r="QK9" s="44">
        <v>3.3660000000000001</v>
      </c>
      <c r="QL9" s="43"/>
      <c r="QM9" s="42">
        <v>20.69</v>
      </c>
      <c r="QN9" s="47">
        <v>20</v>
      </c>
      <c r="QO9" s="47">
        <v>0</v>
      </c>
      <c r="QP9" s="47">
        <v>0</v>
      </c>
      <c r="QQ9" s="44">
        <v>0.69000000000000128</v>
      </c>
      <c r="QR9" s="43"/>
      <c r="QS9" s="42">
        <v>0</v>
      </c>
      <c r="QT9" s="47">
        <v>0</v>
      </c>
      <c r="QU9" s="44">
        <v>0</v>
      </c>
      <c r="QV9" s="43"/>
      <c r="QW9" s="42">
        <v>32.813000000000002</v>
      </c>
      <c r="QX9" s="47">
        <v>30</v>
      </c>
      <c r="QY9" s="44">
        <v>2.8130000000000019</v>
      </c>
      <c r="QZ9" s="43"/>
    </row>
    <row r="10" spans="1:468" x14ac:dyDescent="0.25">
      <c r="A10" s="47" t="s">
        <v>294</v>
      </c>
      <c r="B10" s="38">
        <v>1</v>
      </c>
      <c r="N10" s="39"/>
      <c r="O10" s="48"/>
      <c r="P10" s="48"/>
      <c r="Q10" s="48"/>
      <c r="R10" s="48">
        <f t="shared" si="8"/>
        <v>0</v>
      </c>
      <c r="S10" s="40"/>
      <c r="T10" s="39"/>
      <c r="U10" s="48"/>
      <c r="V10" s="48">
        <f t="shared" si="9"/>
        <v>0</v>
      </c>
      <c r="W10" s="40"/>
      <c r="X10" s="39"/>
      <c r="Y10" s="48"/>
      <c r="Z10" s="48"/>
      <c r="AA10" s="48"/>
      <c r="AB10" s="48">
        <f t="shared" si="10"/>
        <v>0</v>
      </c>
      <c r="AC10" s="40"/>
      <c r="AD10" s="48"/>
      <c r="AH10" s="44">
        <v>0</v>
      </c>
      <c r="AI10" s="40"/>
      <c r="AN10" s="44">
        <v>0</v>
      </c>
      <c r="AO10" s="40"/>
      <c r="AT10" s="44">
        <v>0</v>
      </c>
      <c r="AU10" s="40"/>
      <c r="AV10" s="39"/>
      <c r="AX10" s="44">
        <v>0</v>
      </c>
      <c r="AY10" s="40"/>
      <c r="AZ10" s="39"/>
      <c r="BB10" s="44">
        <v>0</v>
      </c>
      <c r="BC10" s="40"/>
      <c r="BH10" s="44">
        <v>0</v>
      </c>
      <c r="BI10" s="40"/>
      <c r="BL10" s="44">
        <v>0</v>
      </c>
      <c r="BM10" s="40"/>
      <c r="BN10" s="39"/>
      <c r="BR10" s="44">
        <v>0</v>
      </c>
      <c r="BS10" s="40"/>
      <c r="BV10" s="44">
        <v>0</v>
      </c>
      <c r="BW10" s="40"/>
      <c r="BX10" s="39"/>
      <c r="BZ10" s="44">
        <v>0</v>
      </c>
      <c r="CA10" s="40"/>
      <c r="CB10" s="39"/>
      <c r="CH10" s="44">
        <v>0</v>
      </c>
      <c r="CI10" s="40"/>
      <c r="CN10" s="44">
        <v>0</v>
      </c>
      <c r="CO10" s="40"/>
      <c r="CP10" s="39"/>
      <c r="CT10" s="44">
        <v>0</v>
      </c>
      <c r="CU10" s="40"/>
      <c r="CV10" s="39"/>
      <c r="CZ10" s="44">
        <v>0</v>
      </c>
      <c r="DA10" s="40"/>
      <c r="DB10" s="39"/>
      <c r="DF10" s="44">
        <v>0</v>
      </c>
      <c r="DG10" s="40"/>
      <c r="DN10" s="44">
        <v>0</v>
      </c>
      <c r="DO10" s="40"/>
      <c r="DP10" s="39"/>
      <c r="DR10" s="44">
        <v>0</v>
      </c>
      <c r="DS10" s="40"/>
      <c r="DT10" s="39"/>
      <c r="DX10" s="44">
        <v>0</v>
      </c>
      <c r="DY10" s="40"/>
      <c r="DZ10" s="39"/>
      <c r="EB10" s="44">
        <v>0</v>
      </c>
      <c r="EC10" s="40"/>
      <c r="EK10" s="44">
        <v>0</v>
      </c>
      <c r="EL10" s="40"/>
      <c r="ES10" s="44">
        <v>0</v>
      </c>
      <c r="ET10" s="40"/>
      <c r="EU10" s="39"/>
      <c r="EY10" s="44">
        <v>0</v>
      </c>
      <c r="EZ10" s="40"/>
      <c r="FA10" s="39"/>
      <c r="FD10" s="44">
        <v>0</v>
      </c>
      <c r="FE10" s="40"/>
      <c r="FH10" s="44">
        <v>0</v>
      </c>
      <c r="FI10" s="40"/>
      <c r="FJ10" s="39"/>
      <c r="FQ10" s="44">
        <v>0</v>
      </c>
      <c r="FR10" s="40"/>
      <c r="FW10" s="44">
        <v>0</v>
      </c>
      <c r="FX10" s="40"/>
      <c r="FY10" s="39"/>
      <c r="GB10">
        <v>110</v>
      </c>
      <c r="GC10" s="46">
        <v>-110</v>
      </c>
      <c r="GD10" s="43">
        <v>110</v>
      </c>
      <c r="GG10">
        <v>25</v>
      </c>
      <c r="GH10">
        <v>24</v>
      </c>
      <c r="GI10" s="44">
        <v>1</v>
      </c>
      <c r="GJ10" s="40"/>
      <c r="GM10" s="44">
        <v>0</v>
      </c>
      <c r="GN10" s="40"/>
      <c r="GO10" s="39"/>
      <c r="GQ10" s="44">
        <v>0</v>
      </c>
      <c r="GR10" s="40"/>
      <c r="GV10">
        <v>130</v>
      </c>
      <c r="GW10">
        <v>130</v>
      </c>
      <c r="GX10" s="44">
        <v>0</v>
      </c>
      <c r="GY10" s="40"/>
      <c r="GZ10">
        <v>16</v>
      </c>
      <c r="HA10">
        <v>16</v>
      </c>
      <c r="HD10" s="44">
        <v>0</v>
      </c>
      <c r="HE10" s="40"/>
      <c r="HF10" s="39"/>
      <c r="HH10">
        <v>12</v>
      </c>
      <c r="HI10">
        <v>10</v>
      </c>
      <c r="HJ10" s="44">
        <v>2</v>
      </c>
      <c r="HK10" s="40"/>
      <c r="HL10" s="39"/>
      <c r="HP10" s="44">
        <v>0</v>
      </c>
      <c r="HQ10" s="40"/>
      <c r="HV10" s="44">
        <v>0</v>
      </c>
      <c r="HW10" s="43"/>
      <c r="HX10">
        <v>61</v>
      </c>
      <c r="HY10">
        <v>60</v>
      </c>
      <c r="HZ10">
        <v>81</v>
      </c>
      <c r="IA10">
        <v>80</v>
      </c>
      <c r="IB10" s="44">
        <v>2</v>
      </c>
      <c r="IC10" s="43"/>
      <c r="IH10" s="44">
        <v>0</v>
      </c>
      <c r="II10" s="43"/>
      <c r="IN10" s="44">
        <v>0</v>
      </c>
      <c r="IO10" s="40"/>
      <c r="IR10" s="44">
        <v>0</v>
      </c>
      <c r="IS10" s="40"/>
      <c r="IT10">
        <v>49</v>
      </c>
      <c r="IU10">
        <v>50</v>
      </c>
      <c r="IV10">
        <v>97</v>
      </c>
      <c r="IW10">
        <v>97</v>
      </c>
      <c r="IX10" s="44">
        <v>-1</v>
      </c>
      <c r="IY10" s="43"/>
      <c r="IZ10">
        <v>36</v>
      </c>
      <c r="JA10" s="47">
        <v>35</v>
      </c>
      <c r="JB10" s="44">
        <v>1</v>
      </c>
      <c r="JC10" s="40"/>
      <c r="JF10">
        <v>68</v>
      </c>
      <c r="JG10">
        <v>70</v>
      </c>
      <c r="JH10" s="44">
        <v>-2</v>
      </c>
      <c r="JI10" s="40"/>
      <c r="JN10" s="44">
        <v>0</v>
      </c>
      <c r="JO10" s="43"/>
      <c r="JR10">
        <v>65</v>
      </c>
      <c r="JS10">
        <v>70</v>
      </c>
      <c r="JT10" s="46">
        <v>-5</v>
      </c>
      <c r="JU10" s="43">
        <v>5</v>
      </c>
      <c r="JX10">
        <v>20</v>
      </c>
      <c r="JY10">
        <v>20</v>
      </c>
      <c r="JZ10" s="44">
        <v>0</v>
      </c>
      <c r="KA10" s="43"/>
      <c r="KB10" s="42"/>
      <c r="KE10">
        <v>60</v>
      </c>
      <c r="KF10">
        <v>60</v>
      </c>
      <c r="KG10">
        <v>68</v>
      </c>
      <c r="KH10">
        <v>70</v>
      </c>
      <c r="KI10" s="44">
        <v>-2</v>
      </c>
      <c r="KJ10" s="43"/>
      <c r="KK10" s="47">
        <v>0</v>
      </c>
      <c r="KL10" s="47">
        <v>0</v>
      </c>
      <c r="KM10" s="47">
        <v>0</v>
      </c>
      <c r="KN10" s="47">
        <v>0</v>
      </c>
      <c r="KO10" s="44">
        <v>0</v>
      </c>
      <c r="KP10" s="43"/>
      <c r="KQ10" s="47">
        <v>0</v>
      </c>
      <c r="KR10" s="47">
        <v>0</v>
      </c>
      <c r="KS10" s="47">
        <v>108.989</v>
      </c>
      <c r="KT10" s="47">
        <v>110</v>
      </c>
      <c r="KU10" s="44">
        <v>-1.0109999999999959</v>
      </c>
      <c r="KV10" s="43"/>
      <c r="KW10" s="42">
        <v>69.218000000000004</v>
      </c>
      <c r="KX10" s="47">
        <v>70</v>
      </c>
      <c r="KY10" s="44">
        <v>-0.78199999999999648</v>
      </c>
      <c r="KZ10" s="43"/>
      <c r="LA10" s="42">
        <v>20.263999999999999</v>
      </c>
      <c r="LB10" s="47">
        <v>20</v>
      </c>
      <c r="LC10" s="47">
        <v>0</v>
      </c>
      <c r="LD10" s="47">
        <v>0</v>
      </c>
      <c r="LE10" s="44">
        <v>0.26399999999999929</v>
      </c>
      <c r="LF10" s="43"/>
      <c r="LG10" s="42">
        <v>32.534999999999997</v>
      </c>
      <c r="LH10" s="47">
        <v>30</v>
      </c>
      <c r="LI10" s="47">
        <v>40.387999999999998</v>
      </c>
      <c r="LJ10" s="47">
        <v>40</v>
      </c>
      <c r="LK10" s="44">
        <v>2.9230000000000018</v>
      </c>
      <c r="LL10" s="43"/>
      <c r="LM10" s="42">
        <v>101.15</v>
      </c>
      <c r="LN10" s="47">
        <v>100</v>
      </c>
      <c r="LO10" s="44">
        <v>1.1500000000000059</v>
      </c>
      <c r="LP10" s="43"/>
      <c r="LQ10" s="42">
        <v>0</v>
      </c>
      <c r="LR10" s="47">
        <v>0</v>
      </c>
      <c r="LS10" s="47">
        <v>20.295999999999999</v>
      </c>
      <c r="LT10" s="47">
        <v>20</v>
      </c>
      <c r="LU10" s="44">
        <v>0.29599999999999937</v>
      </c>
      <c r="LV10" s="43"/>
      <c r="LW10" s="42">
        <v>40.655999999999999</v>
      </c>
      <c r="LX10" s="47">
        <v>40</v>
      </c>
      <c r="LY10" s="47">
        <v>0</v>
      </c>
      <c r="LZ10" s="47">
        <v>0</v>
      </c>
      <c r="MA10" s="44">
        <v>0.65599999999999881</v>
      </c>
      <c r="MB10" s="43"/>
      <c r="MC10" s="42">
        <v>68.852999999999994</v>
      </c>
      <c r="MD10" s="47">
        <v>70</v>
      </c>
      <c r="ME10" s="47">
        <v>0</v>
      </c>
      <c r="MF10" s="47">
        <v>0</v>
      </c>
      <c r="MG10" s="44">
        <v>-1.147000000000006</v>
      </c>
      <c r="MH10" s="43"/>
      <c r="MI10" s="42"/>
      <c r="MN10" s="43"/>
      <c r="MO10" s="42"/>
      <c r="MT10" s="43"/>
      <c r="MU10" s="42"/>
      <c r="MZ10" s="43"/>
      <c r="NA10" s="42"/>
      <c r="NF10" s="43"/>
      <c r="NG10" s="42"/>
      <c r="NL10" s="43"/>
      <c r="NM10" s="42"/>
      <c r="NR10" s="43"/>
      <c r="NS10" s="42"/>
      <c r="NX10" s="43"/>
      <c r="NY10" s="42"/>
      <c r="OD10" s="43"/>
      <c r="OE10" s="42"/>
      <c r="OJ10" s="43"/>
      <c r="OK10" s="42"/>
      <c r="OP10" s="43"/>
      <c r="OQ10" s="42"/>
      <c r="OV10" s="43"/>
      <c r="OW10" s="42"/>
      <c r="PB10" s="43"/>
      <c r="PC10" s="42"/>
      <c r="PH10" s="43"/>
      <c r="PI10" s="42"/>
      <c r="PN10" s="43"/>
      <c r="PO10" s="42"/>
      <c r="PT10" s="43"/>
      <c r="PU10" s="42"/>
      <c r="PZ10" s="43"/>
      <c r="QA10" s="42"/>
      <c r="QD10" s="43"/>
      <c r="QE10" s="42"/>
      <c r="QH10" s="43"/>
      <c r="QI10" s="42"/>
      <c r="QL10" s="43"/>
      <c r="QM10" s="42"/>
      <c r="QR10" s="43"/>
      <c r="QS10" s="42"/>
      <c r="QV10" s="43"/>
      <c r="QW10" s="42"/>
      <c r="QY10" s="44"/>
      <c r="QZ10" s="43"/>
    </row>
    <row r="11" spans="1:468" x14ac:dyDescent="0.25">
      <c r="A11" s="47" t="s">
        <v>295</v>
      </c>
      <c r="B11" s="38">
        <v>1</v>
      </c>
      <c r="F11">
        <v>22</v>
      </c>
      <c r="N11" s="41">
        <v>32</v>
      </c>
      <c r="O11" s="49">
        <v>30</v>
      </c>
      <c r="P11" s="48"/>
      <c r="Q11" s="48"/>
      <c r="R11" s="48">
        <f t="shared" si="8"/>
        <v>2</v>
      </c>
      <c r="S11" s="40"/>
      <c r="T11" s="41">
        <v>153</v>
      </c>
      <c r="U11" s="49">
        <v>150</v>
      </c>
      <c r="V11" s="48">
        <f t="shared" si="9"/>
        <v>3</v>
      </c>
      <c r="W11" s="40"/>
      <c r="X11" s="41">
        <v>4</v>
      </c>
      <c r="Y11" s="49">
        <v>4</v>
      </c>
      <c r="Z11" s="48"/>
      <c r="AA11" s="48"/>
      <c r="AB11" s="48">
        <f t="shared" si="10"/>
        <v>0</v>
      </c>
      <c r="AC11" s="40"/>
      <c r="AD11" s="48"/>
      <c r="AF11">
        <v>53</v>
      </c>
      <c r="AG11">
        <v>54</v>
      </c>
      <c r="AH11" s="44">
        <v>-1</v>
      </c>
      <c r="AI11" s="40"/>
      <c r="AN11" s="44">
        <v>0</v>
      </c>
      <c r="AO11" s="40"/>
      <c r="AP11">
        <v>20</v>
      </c>
      <c r="AQ11">
        <v>20</v>
      </c>
      <c r="AR11">
        <v>32</v>
      </c>
      <c r="AS11">
        <v>30</v>
      </c>
      <c r="AT11" s="44">
        <v>2</v>
      </c>
      <c r="AU11" s="40"/>
      <c r="AV11" s="39"/>
      <c r="AX11" s="44">
        <v>0</v>
      </c>
      <c r="AY11" s="40"/>
      <c r="AZ11" s="41">
        <v>8</v>
      </c>
      <c r="BA11">
        <v>6</v>
      </c>
      <c r="BB11" s="44">
        <v>2</v>
      </c>
      <c r="BC11" s="40"/>
      <c r="BD11">
        <v>32</v>
      </c>
      <c r="BE11">
        <v>32</v>
      </c>
      <c r="BH11" s="44">
        <v>0</v>
      </c>
      <c r="BI11" s="40"/>
      <c r="BK11">
        <v>90</v>
      </c>
      <c r="BL11" s="46">
        <v>-90</v>
      </c>
      <c r="BM11" s="40">
        <v>90</v>
      </c>
      <c r="BN11" s="39"/>
      <c r="BP11">
        <v>4</v>
      </c>
      <c r="BQ11">
        <v>5</v>
      </c>
      <c r="BR11" s="44">
        <v>-1</v>
      </c>
      <c r="BS11" s="40"/>
      <c r="BT11">
        <v>32</v>
      </c>
      <c r="BU11">
        <v>30</v>
      </c>
      <c r="BV11" s="44">
        <v>2</v>
      </c>
      <c r="BW11" s="40"/>
      <c r="BX11" s="41">
        <v>32</v>
      </c>
      <c r="BY11">
        <v>30</v>
      </c>
      <c r="BZ11" s="44">
        <v>2</v>
      </c>
      <c r="CA11" s="40"/>
      <c r="CB11" s="39"/>
      <c r="CD11">
        <v>20</v>
      </c>
      <c r="CG11">
        <v>20</v>
      </c>
      <c r="CH11" s="44">
        <v>0</v>
      </c>
      <c r="CI11" s="40"/>
      <c r="CN11" s="44">
        <v>0</v>
      </c>
      <c r="CO11" s="40"/>
      <c r="CP11" s="39"/>
      <c r="CR11">
        <v>152</v>
      </c>
      <c r="CS11">
        <v>150</v>
      </c>
      <c r="CT11" s="44">
        <v>2</v>
      </c>
      <c r="CU11" s="40"/>
      <c r="CV11" s="39"/>
      <c r="CX11">
        <v>65</v>
      </c>
      <c r="CY11">
        <v>65</v>
      </c>
      <c r="CZ11" s="44">
        <v>0</v>
      </c>
      <c r="DA11" s="40"/>
      <c r="DB11" s="39"/>
      <c r="DD11">
        <v>16</v>
      </c>
      <c r="DE11">
        <v>15</v>
      </c>
      <c r="DF11" s="44">
        <v>1</v>
      </c>
      <c r="DG11" s="40"/>
      <c r="DJ11">
        <v>28</v>
      </c>
      <c r="DK11">
        <v>28</v>
      </c>
      <c r="DN11" s="44">
        <v>0</v>
      </c>
      <c r="DO11" s="40"/>
      <c r="DP11" s="41">
        <v>101</v>
      </c>
      <c r="DQ11">
        <v>100</v>
      </c>
      <c r="DR11" s="44">
        <v>1</v>
      </c>
      <c r="DS11" s="40"/>
      <c r="DT11" s="39"/>
      <c r="DV11">
        <v>24</v>
      </c>
      <c r="DW11">
        <v>24</v>
      </c>
      <c r="DX11" s="44">
        <v>0</v>
      </c>
      <c r="DY11" s="40"/>
      <c r="DZ11" s="39"/>
      <c r="EB11" s="44">
        <v>0</v>
      </c>
      <c r="EC11" s="40"/>
      <c r="ED11">
        <v>32</v>
      </c>
      <c r="EE11">
        <v>30</v>
      </c>
      <c r="EG11">
        <v>32</v>
      </c>
      <c r="EH11">
        <v>30</v>
      </c>
      <c r="EI11">
        <v>40</v>
      </c>
      <c r="EJ11">
        <v>40</v>
      </c>
      <c r="EK11" s="44">
        <v>4</v>
      </c>
      <c r="EL11" s="40"/>
      <c r="EQ11">
        <v>20</v>
      </c>
      <c r="ER11">
        <v>20</v>
      </c>
      <c r="ES11" s="44">
        <v>0</v>
      </c>
      <c r="ET11" s="40"/>
      <c r="EU11" s="39"/>
      <c r="EW11">
        <v>28</v>
      </c>
      <c r="EX11">
        <v>27</v>
      </c>
      <c r="EY11" s="44">
        <v>1</v>
      </c>
      <c r="EZ11" s="40"/>
      <c r="FA11" s="39"/>
      <c r="FD11" s="44">
        <v>0</v>
      </c>
      <c r="FE11" s="40"/>
      <c r="FH11" s="44">
        <v>0</v>
      </c>
      <c r="FI11" s="40"/>
      <c r="FJ11" s="39"/>
      <c r="FO11">
        <v>57</v>
      </c>
      <c r="FP11">
        <v>56</v>
      </c>
      <c r="FQ11" s="44">
        <v>1</v>
      </c>
      <c r="FR11" s="40"/>
      <c r="FS11">
        <v>24</v>
      </c>
      <c r="FT11">
        <v>25</v>
      </c>
      <c r="FU11">
        <v>32</v>
      </c>
      <c r="FV11">
        <v>30</v>
      </c>
      <c r="FW11" s="44">
        <v>1</v>
      </c>
      <c r="FX11" s="40"/>
      <c r="FY11" s="39"/>
      <c r="GA11">
        <v>37</v>
      </c>
      <c r="GB11">
        <v>35</v>
      </c>
      <c r="GC11" s="44">
        <v>2</v>
      </c>
      <c r="GD11" s="40"/>
      <c r="GI11" s="44">
        <v>0</v>
      </c>
      <c r="GJ11" s="40"/>
      <c r="GK11">
        <v>64</v>
      </c>
      <c r="GL11" s="47">
        <v>64.779200000000003</v>
      </c>
      <c r="GM11" s="44">
        <v>-0.779200000000003</v>
      </c>
      <c r="GN11" s="40"/>
      <c r="GO11" s="41">
        <v>20</v>
      </c>
      <c r="GP11">
        <v>21</v>
      </c>
      <c r="GQ11" s="44">
        <v>-1</v>
      </c>
      <c r="GR11" s="40"/>
      <c r="GV11">
        <v>102</v>
      </c>
      <c r="GW11">
        <v>100</v>
      </c>
      <c r="GX11" s="44">
        <v>2</v>
      </c>
      <c r="GY11" s="40"/>
      <c r="HD11" s="44">
        <v>0</v>
      </c>
      <c r="HE11" s="40"/>
      <c r="HF11" s="39"/>
      <c r="HH11">
        <v>49</v>
      </c>
      <c r="HI11">
        <v>50</v>
      </c>
      <c r="HJ11" s="44">
        <v>-1</v>
      </c>
      <c r="HK11" s="40"/>
      <c r="HL11" s="39"/>
      <c r="HN11">
        <v>24</v>
      </c>
      <c r="HO11">
        <v>25</v>
      </c>
      <c r="HP11" s="44">
        <v>-1</v>
      </c>
      <c r="HQ11" s="40"/>
      <c r="HT11">
        <v>110</v>
      </c>
      <c r="HU11">
        <v>110</v>
      </c>
      <c r="HV11" s="44">
        <v>0</v>
      </c>
      <c r="HW11" s="43"/>
      <c r="IB11" s="44">
        <v>0</v>
      </c>
      <c r="IC11" s="43"/>
      <c r="IF11">
        <v>121</v>
      </c>
      <c r="IG11">
        <v>120</v>
      </c>
      <c r="IH11" s="44">
        <v>1</v>
      </c>
      <c r="II11" s="43"/>
      <c r="IN11" s="44">
        <v>0</v>
      </c>
      <c r="IO11" s="40"/>
      <c r="IP11">
        <v>92</v>
      </c>
      <c r="IQ11">
        <v>93</v>
      </c>
      <c r="IR11" s="44">
        <v>-1</v>
      </c>
      <c r="IS11" s="40"/>
      <c r="IV11">
        <v>61</v>
      </c>
      <c r="IW11">
        <v>60</v>
      </c>
      <c r="IX11" s="44">
        <v>1</v>
      </c>
      <c r="IY11" s="43"/>
      <c r="JB11" s="44">
        <v>0</v>
      </c>
      <c r="JC11" s="40"/>
      <c r="JH11" s="44">
        <v>0</v>
      </c>
      <c r="JI11" s="40"/>
      <c r="JJ11">
        <v>69</v>
      </c>
      <c r="JK11">
        <v>70</v>
      </c>
      <c r="JL11">
        <v>69</v>
      </c>
      <c r="JM11">
        <v>70</v>
      </c>
      <c r="JN11" s="44">
        <v>-2</v>
      </c>
      <c r="JO11" s="43"/>
      <c r="JT11" s="44">
        <v>0</v>
      </c>
      <c r="JU11" s="43"/>
      <c r="JZ11" s="44">
        <v>0</v>
      </c>
      <c r="KA11" s="43"/>
      <c r="KB11" s="41">
        <v>48</v>
      </c>
      <c r="KC11">
        <v>50</v>
      </c>
      <c r="KE11">
        <v>61</v>
      </c>
      <c r="KF11">
        <v>60</v>
      </c>
      <c r="KG11">
        <v>48</v>
      </c>
      <c r="KH11">
        <v>50</v>
      </c>
      <c r="KI11" s="44">
        <v>-3</v>
      </c>
      <c r="KJ11" s="43"/>
      <c r="KK11" s="47">
        <v>0</v>
      </c>
      <c r="KL11" s="47">
        <v>0</v>
      </c>
      <c r="KM11" s="47">
        <v>40.57</v>
      </c>
      <c r="KN11" s="47">
        <v>40</v>
      </c>
      <c r="KO11" s="44">
        <v>0.57000000000000028</v>
      </c>
      <c r="KP11" s="43"/>
      <c r="KQ11" s="47">
        <v>0</v>
      </c>
      <c r="KR11" s="47">
        <v>0</v>
      </c>
      <c r="KS11" s="47">
        <v>155.227</v>
      </c>
      <c r="KT11" s="47">
        <v>150</v>
      </c>
      <c r="KU11" s="44">
        <v>5.2270000000000039</v>
      </c>
      <c r="KV11" s="43"/>
      <c r="KW11" s="42">
        <v>12.063000000000001</v>
      </c>
      <c r="KX11" s="47">
        <v>10</v>
      </c>
      <c r="KY11" s="44">
        <v>2.0630000000000011</v>
      </c>
      <c r="KZ11" s="43"/>
      <c r="LA11" s="42">
        <v>20.16</v>
      </c>
      <c r="LB11" s="47">
        <v>20</v>
      </c>
      <c r="LC11" s="47">
        <v>56.279000000000003</v>
      </c>
      <c r="LD11" s="47">
        <v>55</v>
      </c>
      <c r="LE11" s="44">
        <v>1.4390000000000069</v>
      </c>
      <c r="LF11" s="43"/>
      <c r="LG11" s="42">
        <v>90.171000000000006</v>
      </c>
      <c r="LH11" s="47">
        <v>90</v>
      </c>
      <c r="LI11" s="47">
        <v>82.031000000000006</v>
      </c>
      <c r="LJ11" s="47">
        <v>80</v>
      </c>
      <c r="LK11" s="44">
        <v>2.2019999999999982</v>
      </c>
      <c r="LL11" s="43"/>
      <c r="LM11" s="42">
        <v>0</v>
      </c>
      <c r="LN11" s="47">
        <v>0</v>
      </c>
      <c r="LO11" s="44">
        <v>0</v>
      </c>
      <c r="LP11" s="43"/>
      <c r="LQ11" s="42">
        <v>0</v>
      </c>
      <c r="LR11" s="47">
        <v>0</v>
      </c>
      <c r="LS11" s="47">
        <v>40.662999999999997</v>
      </c>
      <c r="LT11" s="47">
        <v>40</v>
      </c>
      <c r="LU11" s="44">
        <v>0.6629999999999967</v>
      </c>
      <c r="LV11" s="43"/>
      <c r="LW11" s="42">
        <v>130.02199999999999</v>
      </c>
      <c r="LX11" s="47">
        <v>130</v>
      </c>
      <c r="LY11" s="47">
        <v>0</v>
      </c>
      <c r="LZ11" s="47">
        <v>0</v>
      </c>
      <c r="MA11" s="44">
        <v>2.199999999999136E-2</v>
      </c>
      <c r="MB11" s="43"/>
      <c r="MC11" s="42">
        <v>0</v>
      </c>
      <c r="MD11" s="47">
        <v>0</v>
      </c>
      <c r="ME11" s="47">
        <v>20.152000000000001</v>
      </c>
      <c r="MF11" s="47">
        <v>20</v>
      </c>
      <c r="MG11" s="44">
        <v>0.152000000000001</v>
      </c>
      <c r="MH11" s="43"/>
      <c r="MI11" s="42">
        <v>0</v>
      </c>
      <c r="MJ11" s="47">
        <v>0</v>
      </c>
      <c r="MK11" s="47">
        <v>68.835999999999999</v>
      </c>
      <c r="ML11" s="47">
        <v>70</v>
      </c>
      <c r="MM11" s="44">
        <v>-1.164000000000001</v>
      </c>
      <c r="MN11" s="43"/>
      <c r="MO11" s="42">
        <v>0</v>
      </c>
      <c r="MP11" s="47">
        <v>0</v>
      </c>
      <c r="MQ11" s="47">
        <v>101.09</v>
      </c>
      <c r="MR11" s="47">
        <v>100</v>
      </c>
      <c r="MS11" s="44">
        <v>1.090000000000003</v>
      </c>
      <c r="MT11" s="43"/>
      <c r="MU11" s="42">
        <v>0</v>
      </c>
      <c r="MV11" s="47">
        <v>0</v>
      </c>
      <c r="MW11" s="47">
        <v>0</v>
      </c>
      <c r="MX11" s="47">
        <v>0</v>
      </c>
      <c r="MY11" s="44">
        <v>0</v>
      </c>
      <c r="MZ11" s="43"/>
      <c r="NA11" s="42">
        <v>100.786</v>
      </c>
      <c r="NB11" s="47">
        <v>100</v>
      </c>
      <c r="NC11" s="47">
        <v>108.943</v>
      </c>
      <c r="ND11" s="47">
        <v>110</v>
      </c>
      <c r="NE11" s="44">
        <v>-0.27100000000001501</v>
      </c>
      <c r="NF11" s="43"/>
      <c r="NG11" s="42">
        <v>0</v>
      </c>
      <c r="NH11" s="47">
        <v>0</v>
      </c>
      <c r="NI11" s="47">
        <v>100.444</v>
      </c>
      <c r="NJ11" s="47">
        <v>100</v>
      </c>
      <c r="NK11" s="44">
        <v>0.44400000000000261</v>
      </c>
      <c r="NL11" s="43"/>
      <c r="NM11" s="42">
        <v>0</v>
      </c>
      <c r="NN11" s="47">
        <v>0</v>
      </c>
      <c r="NO11" s="47">
        <v>101.34</v>
      </c>
      <c r="NP11" s="47">
        <v>100</v>
      </c>
      <c r="NQ11" s="44">
        <v>1.340000000000003</v>
      </c>
      <c r="NR11" s="43"/>
      <c r="NS11" s="42">
        <v>60.185000000000002</v>
      </c>
      <c r="NT11" s="47">
        <v>60</v>
      </c>
      <c r="NU11" s="47">
        <v>0</v>
      </c>
      <c r="NV11" s="47">
        <v>0</v>
      </c>
      <c r="NW11" s="44">
        <v>0.1850000000000023</v>
      </c>
      <c r="NX11" s="43"/>
      <c r="NY11" s="42">
        <v>0</v>
      </c>
      <c r="NZ11" s="47">
        <v>0</v>
      </c>
      <c r="OA11" s="47">
        <v>48.326000000000001</v>
      </c>
      <c r="OB11" s="47">
        <v>50</v>
      </c>
      <c r="OC11" s="44">
        <v>-1.673999999999999</v>
      </c>
      <c r="OD11" s="43"/>
      <c r="OE11" s="42">
        <v>233.03299999999999</v>
      </c>
      <c r="OF11" s="47">
        <v>230</v>
      </c>
      <c r="OG11" s="47">
        <v>169.43199999999999</v>
      </c>
      <c r="OH11" s="47">
        <v>170</v>
      </c>
      <c r="OI11" s="44">
        <v>2.464999999999975</v>
      </c>
      <c r="OJ11" s="43"/>
      <c r="OK11" s="42">
        <v>0</v>
      </c>
      <c r="OL11" s="47">
        <v>0</v>
      </c>
      <c r="OM11" s="47">
        <v>0</v>
      </c>
      <c r="ON11" s="47">
        <v>0</v>
      </c>
      <c r="OO11" s="44">
        <v>0</v>
      </c>
      <c r="OP11" s="43"/>
      <c r="OQ11" s="42">
        <v>148.20599999999999</v>
      </c>
      <c r="OR11" s="47">
        <v>150</v>
      </c>
      <c r="OS11" s="47">
        <v>108.64100000000001</v>
      </c>
      <c r="OT11" s="47">
        <v>108</v>
      </c>
      <c r="OU11" s="44">
        <v>-1.15300000000002</v>
      </c>
      <c r="OV11" s="43"/>
      <c r="OW11" s="42">
        <v>16.210999999999999</v>
      </c>
      <c r="OX11" s="47">
        <v>0</v>
      </c>
      <c r="OY11" s="47">
        <v>105.32299999999999</v>
      </c>
      <c r="OZ11" s="47">
        <v>110</v>
      </c>
      <c r="PA11" s="44">
        <v>11.53399999999999</v>
      </c>
      <c r="PB11" s="43"/>
      <c r="PC11" s="42">
        <v>0</v>
      </c>
      <c r="PD11" s="47">
        <v>0</v>
      </c>
      <c r="PE11" s="47">
        <v>68.876000000000005</v>
      </c>
      <c r="PF11" s="47">
        <v>85</v>
      </c>
      <c r="PG11" s="46">
        <v>-16.123999999999999</v>
      </c>
      <c r="PH11" s="43">
        <v>16.123999999999999</v>
      </c>
      <c r="PI11" s="42">
        <v>0</v>
      </c>
      <c r="PJ11" s="47">
        <v>0</v>
      </c>
      <c r="PK11" s="47">
        <v>80.498999999999995</v>
      </c>
      <c r="PL11" s="47">
        <v>80</v>
      </c>
      <c r="PM11" s="44">
        <v>0.49899999999999523</v>
      </c>
      <c r="PN11" s="43"/>
      <c r="PO11" s="42">
        <v>48.84</v>
      </c>
      <c r="PP11" s="47">
        <v>50</v>
      </c>
      <c r="PQ11" s="47">
        <v>48.186999999999998</v>
      </c>
      <c r="PR11" s="47">
        <v>50</v>
      </c>
      <c r="PS11" s="44">
        <v>-2.972999999999999</v>
      </c>
      <c r="PT11" s="43"/>
      <c r="PU11" s="42">
        <v>148.4</v>
      </c>
      <c r="PV11" s="47">
        <v>150</v>
      </c>
      <c r="PW11" s="47">
        <v>100.613</v>
      </c>
      <c r="PX11" s="47">
        <v>100</v>
      </c>
      <c r="PY11" s="44">
        <v>-0.98699999999999477</v>
      </c>
      <c r="PZ11" s="43"/>
      <c r="QA11" s="42">
        <v>0</v>
      </c>
      <c r="QB11" s="47">
        <v>0</v>
      </c>
      <c r="QC11" s="44">
        <v>0</v>
      </c>
      <c r="QD11" s="43"/>
      <c r="QE11" s="42">
        <v>0</v>
      </c>
      <c r="QF11" s="47">
        <v>0</v>
      </c>
      <c r="QG11" s="44">
        <v>0</v>
      </c>
      <c r="QH11" s="43"/>
      <c r="QI11" s="42">
        <v>100.968</v>
      </c>
      <c r="QJ11" s="47">
        <v>100</v>
      </c>
      <c r="QK11" s="44">
        <v>0.96800000000000352</v>
      </c>
      <c r="QL11" s="43"/>
      <c r="QM11" s="42">
        <v>117.45</v>
      </c>
      <c r="QN11" s="47">
        <v>130</v>
      </c>
      <c r="QO11" s="47">
        <v>150.27199999999999</v>
      </c>
      <c r="QP11" s="47">
        <v>150</v>
      </c>
      <c r="QQ11" s="46">
        <v>-12.27800000000002</v>
      </c>
      <c r="QR11" s="43">
        <v>12.27800000000002</v>
      </c>
      <c r="QS11" s="42">
        <v>0</v>
      </c>
      <c r="QT11" s="47">
        <v>0</v>
      </c>
      <c r="QU11" s="44">
        <v>0</v>
      </c>
      <c r="QV11" s="43"/>
      <c r="QW11" s="42">
        <v>0</v>
      </c>
      <c r="QX11" s="47">
        <v>0</v>
      </c>
      <c r="QY11" s="44">
        <v>0</v>
      </c>
      <c r="QZ11" s="43"/>
    </row>
    <row r="12" spans="1:468" x14ac:dyDescent="0.25">
      <c r="A12" s="47" t="s">
        <v>296</v>
      </c>
      <c r="B12" s="38">
        <v>1</v>
      </c>
      <c r="F12">
        <v>89</v>
      </c>
      <c r="I12">
        <v>250</v>
      </c>
      <c r="J12">
        <v>272</v>
      </c>
      <c r="K12">
        <v>271</v>
      </c>
      <c r="N12" s="41">
        <v>81</v>
      </c>
      <c r="O12" s="49">
        <v>80</v>
      </c>
      <c r="P12" s="48"/>
      <c r="Q12" s="48"/>
      <c r="R12" s="48">
        <f t="shared" si="8"/>
        <v>1</v>
      </c>
      <c r="S12" s="40"/>
      <c r="T12" s="41">
        <v>115</v>
      </c>
      <c r="U12" s="49">
        <v>118</v>
      </c>
      <c r="V12" s="48">
        <f t="shared" si="9"/>
        <v>-3</v>
      </c>
      <c r="W12" s="40"/>
      <c r="X12" s="41">
        <v>218</v>
      </c>
      <c r="Y12" s="49">
        <v>220</v>
      </c>
      <c r="Z12" s="49">
        <v>283</v>
      </c>
      <c r="AA12" s="49">
        <v>280</v>
      </c>
      <c r="AB12" s="48">
        <f t="shared" si="10"/>
        <v>1</v>
      </c>
      <c r="AC12" s="40"/>
      <c r="AD12" s="48"/>
      <c r="AG12">
        <v>100</v>
      </c>
      <c r="AH12" s="46">
        <v>-100</v>
      </c>
      <c r="AI12" s="40">
        <v>100</v>
      </c>
      <c r="AJ12">
        <v>101</v>
      </c>
      <c r="AK12">
        <v>100</v>
      </c>
      <c r="AL12">
        <v>122</v>
      </c>
      <c r="AM12">
        <v>122</v>
      </c>
      <c r="AN12" s="44">
        <v>1</v>
      </c>
      <c r="AO12" s="40"/>
      <c r="AP12">
        <v>189</v>
      </c>
      <c r="AQ12">
        <v>190</v>
      </c>
      <c r="AR12">
        <v>191</v>
      </c>
      <c r="AS12">
        <v>190</v>
      </c>
      <c r="AT12" s="44">
        <v>0</v>
      </c>
      <c r="AU12" s="40"/>
      <c r="AV12" s="41">
        <v>102</v>
      </c>
      <c r="AW12">
        <v>100</v>
      </c>
      <c r="AX12" s="44">
        <v>2</v>
      </c>
      <c r="AY12" s="40"/>
      <c r="AZ12" s="41">
        <v>81</v>
      </c>
      <c r="BA12">
        <v>80</v>
      </c>
      <c r="BB12" s="44">
        <v>1</v>
      </c>
      <c r="BC12" s="40"/>
      <c r="BD12">
        <v>152</v>
      </c>
      <c r="BE12">
        <v>150</v>
      </c>
      <c r="BF12">
        <v>202</v>
      </c>
      <c r="BG12">
        <v>200</v>
      </c>
      <c r="BH12" s="44">
        <v>4</v>
      </c>
      <c r="BI12" s="40"/>
      <c r="BL12" s="44">
        <v>0</v>
      </c>
      <c r="BM12" s="40"/>
      <c r="BN12" s="41">
        <v>149</v>
      </c>
      <c r="BO12">
        <v>150</v>
      </c>
      <c r="BP12">
        <v>248</v>
      </c>
      <c r="BQ12">
        <v>245</v>
      </c>
      <c r="BR12" s="44">
        <v>2</v>
      </c>
      <c r="BS12" s="40"/>
      <c r="BT12">
        <v>360</v>
      </c>
      <c r="BU12">
        <v>360</v>
      </c>
      <c r="BV12" s="44">
        <v>0</v>
      </c>
      <c r="BW12" s="40"/>
      <c r="BX12" s="39"/>
      <c r="BZ12" s="44">
        <v>0</v>
      </c>
      <c r="CA12" s="40"/>
      <c r="CB12" s="39"/>
      <c r="CD12">
        <v>120</v>
      </c>
      <c r="CE12">
        <v>400</v>
      </c>
      <c r="CF12">
        <v>397</v>
      </c>
      <c r="CG12">
        <v>120</v>
      </c>
      <c r="CH12" s="44">
        <v>-3</v>
      </c>
      <c r="CI12" s="40"/>
      <c r="CJ12">
        <v>150</v>
      </c>
      <c r="CK12">
        <v>150</v>
      </c>
      <c r="CL12">
        <v>196</v>
      </c>
      <c r="CM12">
        <v>196</v>
      </c>
      <c r="CN12" s="44">
        <v>0</v>
      </c>
      <c r="CO12" s="40"/>
      <c r="CP12" s="41">
        <v>101</v>
      </c>
      <c r="CQ12">
        <v>100</v>
      </c>
      <c r="CR12">
        <v>181</v>
      </c>
      <c r="CS12">
        <v>180</v>
      </c>
      <c r="CT12" s="44">
        <v>2</v>
      </c>
      <c r="CU12" s="40"/>
      <c r="CV12" s="39"/>
      <c r="CZ12" s="44">
        <v>0</v>
      </c>
      <c r="DA12" s="40"/>
      <c r="DB12" s="41">
        <v>149</v>
      </c>
      <c r="DC12">
        <v>150</v>
      </c>
      <c r="DD12">
        <v>150</v>
      </c>
      <c r="DE12">
        <v>150</v>
      </c>
      <c r="DF12" s="44">
        <v>-1</v>
      </c>
      <c r="DG12" s="40"/>
      <c r="DH12">
        <v>101</v>
      </c>
      <c r="DI12">
        <v>100</v>
      </c>
      <c r="DJ12">
        <v>201</v>
      </c>
      <c r="DK12">
        <v>200</v>
      </c>
      <c r="DL12">
        <v>203</v>
      </c>
      <c r="DM12">
        <v>200</v>
      </c>
      <c r="DN12" s="44">
        <v>5</v>
      </c>
      <c r="DO12" s="40"/>
      <c r="DP12" s="41">
        <v>219</v>
      </c>
      <c r="DQ12">
        <v>220</v>
      </c>
      <c r="DR12" s="44">
        <v>-1</v>
      </c>
      <c r="DS12" s="40"/>
      <c r="DT12" s="41">
        <v>101</v>
      </c>
      <c r="DU12">
        <v>100</v>
      </c>
      <c r="DV12">
        <v>108</v>
      </c>
      <c r="DW12">
        <v>110</v>
      </c>
      <c r="DX12" s="44">
        <v>-1</v>
      </c>
      <c r="DY12" s="40"/>
      <c r="DZ12" s="41">
        <v>122</v>
      </c>
      <c r="EA12">
        <v>120</v>
      </c>
      <c r="EB12" s="44">
        <v>2</v>
      </c>
      <c r="EC12" s="40"/>
      <c r="ED12">
        <v>101</v>
      </c>
      <c r="EE12">
        <v>100</v>
      </c>
      <c r="EG12">
        <v>105</v>
      </c>
      <c r="EH12">
        <v>100</v>
      </c>
      <c r="EI12">
        <v>221</v>
      </c>
      <c r="EJ12">
        <v>220</v>
      </c>
      <c r="EK12" s="44">
        <v>7</v>
      </c>
      <c r="EL12" s="40"/>
      <c r="EN12">
        <v>102</v>
      </c>
      <c r="EO12">
        <v>100</v>
      </c>
      <c r="EQ12">
        <v>183</v>
      </c>
      <c r="ER12">
        <v>180</v>
      </c>
      <c r="ES12" s="44">
        <v>5</v>
      </c>
      <c r="ET12" s="40"/>
      <c r="EU12" s="41">
        <v>102</v>
      </c>
      <c r="EV12">
        <v>100</v>
      </c>
      <c r="EW12">
        <v>228</v>
      </c>
      <c r="EX12">
        <v>223</v>
      </c>
      <c r="EY12" s="44">
        <v>7</v>
      </c>
      <c r="EZ12" s="40"/>
      <c r="FA12" s="39"/>
      <c r="FD12" s="44">
        <v>0</v>
      </c>
      <c r="FE12" s="40"/>
      <c r="FF12">
        <v>82</v>
      </c>
      <c r="FG12">
        <v>80</v>
      </c>
      <c r="FH12" s="44">
        <v>2</v>
      </c>
      <c r="FI12" s="40"/>
      <c r="FJ12" s="41">
        <v>102</v>
      </c>
      <c r="FK12">
        <v>100</v>
      </c>
      <c r="FL12">
        <v>89</v>
      </c>
      <c r="FN12">
        <v>90</v>
      </c>
      <c r="FO12">
        <v>101</v>
      </c>
      <c r="FP12">
        <v>100</v>
      </c>
      <c r="FQ12" s="44">
        <v>2</v>
      </c>
      <c r="FR12" s="40"/>
      <c r="FS12">
        <v>101</v>
      </c>
      <c r="FT12">
        <v>100</v>
      </c>
      <c r="FU12">
        <v>123</v>
      </c>
      <c r="FV12">
        <v>120</v>
      </c>
      <c r="FW12" s="44">
        <v>4</v>
      </c>
      <c r="FX12" s="40"/>
      <c r="FY12" s="39"/>
      <c r="GA12">
        <v>181</v>
      </c>
      <c r="GB12">
        <v>180</v>
      </c>
      <c r="GC12" s="44">
        <v>1</v>
      </c>
      <c r="GD12" s="40"/>
      <c r="GE12">
        <v>101</v>
      </c>
      <c r="GF12">
        <v>100</v>
      </c>
      <c r="GG12">
        <v>90</v>
      </c>
      <c r="GH12">
        <v>90</v>
      </c>
      <c r="GI12" s="44">
        <v>1</v>
      </c>
      <c r="GJ12" s="40"/>
      <c r="GK12">
        <v>274</v>
      </c>
      <c r="GL12" s="47">
        <v>270.72019999999998</v>
      </c>
      <c r="GM12" s="44">
        <v>3.2798000000000229</v>
      </c>
      <c r="GN12" s="40"/>
      <c r="GO12" s="41">
        <v>130</v>
      </c>
      <c r="GP12">
        <v>129</v>
      </c>
      <c r="GQ12" s="44">
        <v>1</v>
      </c>
      <c r="GR12" s="40"/>
      <c r="GV12">
        <v>89</v>
      </c>
      <c r="GW12">
        <v>90</v>
      </c>
      <c r="GX12" s="44">
        <v>-1</v>
      </c>
      <c r="GY12" s="40"/>
      <c r="GZ12">
        <v>61</v>
      </c>
      <c r="HA12">
        <v>60</v>
      </c>
      <c r="HD12" s="44">
        <v>1</v>
      </c>
      <c r="HE12" s="40"/>
      <c r="HF12" s="41">
        <v>190</v>
      </c>
      <c r="HG12">
        <v>190</v>
      </c>
      <c r="HH12">
        <v>89</v>
      </c>
      <c r="HI12">
        <v>90</v>
      </c>
      <c r="HJ12" s="44">
        <v>-1</v>
      </c>
      <c r="HK12" s="40"/>
      <c r="HL12" s="41">
        <v>221</v>
      </c>
      <c r="HM12">
        <v>250</v>
      </c>
      <c r="HN12">
        <v>202</v>
      </c>
      <c r="HO12">
        <v>200</v>
      </c>
      <c r="HP12" s="46">
        <v>-27</v>
      </c>
      <c r="HQ12" s="40">
        <v>27</v>
      </c>
      <c r="HT12">
        <v>130</v>
      </c>
      <c r="HU12">
        <v>130</v>
      </c>
      <c r="HV12" s="44">
        <v>0</v>
      </c>
      <c r="HW12" s="43"/>
      <c r="HX12">
        <v>203</v>
      </c>
      <c r="HY12">
        <v>200</v>
      </c>
      <c r="IB12" s="44">
        <v>3</v>
      </c>
      <c r="IC12" s="43"/>
      <c r="ID12">
        <v>299</v>
      </c>
      <c r="IE12">
        <v>300</v>
      </c>
      <c r="IF12">
        <v>253</v>
      </c>
      <c r="IG12">
        <v>250</v>
      </c>
      <c r="IH12" s="44">
        <v>2</v>
      </c>
      <c r="II12" s="43"/>
      <c r="IJ12">
        <v>301</v>
      </c>
      <c r="IK12">
        <v>300</v>
      </c>
      <c r="IL12">
        <v>212</v>
      </c>
      <c r="IM12">
        <v>210</v>
      </c>
      <c r="IN12" s="44">
        <v>3</v>
      </c>
      <c r="IO12" s="40"/>
      <c r="IP12">
        <v>89</v>
      </c>
      <c r="IQ12">
        <v>89</v>
      </c>
      <c r="IR12" s="44">
        <v>0</v>
      </c>
      <c r="IS12" s="40"/>
      <c r="IT12">
        <v>232</v>
      </c>
      <c r="IU12">
        <v>230</v>
      </c>
      <c r="IV12">
        <v>182</v>
      </c>
      <c r="IW12">
        <v>180</v>
      </c>
      <c r="IX12" s="44">
        <v>4</v>
      </c>
      <c r="IY12" s="43"/>
      <c r="IZ12">
        <v>150</v>
      </c>
      <c r="JA12" s="47">
        <v>150</v>
      </c>
      <c r="JB12" s="44">
        <v>0</v>
      </c>
      <c r="JC12" s="40"/>
      <c r="JD12">
        <v>102</v>
      </c>
      <c r="JE12">
        <v>100</v>
      </c>
      <c r="JF12">
        <v>353</v>
      </c>
      <c r="JG12">
        <v>350</v>
      </c>
      <c r="JH12" s="44">
        <v>5</v>
      </c>
      <c r="JI12" s="40"/>
      <c r="JJ12">
        <v>210</v>
      </c>
      <c r="JK12">
        <v>260</v>
      </c>
      <c r="JL12">
        <v>278</v>
      </c>
      <c r="JM12">
        <v>280</v>
      </c>
      <c r="JN12" s="46">
        <v>-52</v>
      </c>
      <c r="JO12" s="43">
        <v>52</v>
      </c>
      <c r="JT12" s="44">
        <v>0</v>
      </c>
      <c r="JU12" s="43"/>
      <c r="JX12">
        <v>69</v>
      </c>
      <c r="JY12">
        <v>70</v>
      </c>
      <c r="JZ12" s="44">
        <v>-1</v>
      </c>
      <c r="KA12" s="43"/>
      <c r="KB12" s="41">
        <v>299</v>
      </c>
      <c r="KC12">
        <v>300</v>
      </c>
      <c r="KE12">
        <v>452</v>
      </c>
      <c r="KF12">
        <v>450</v>
      </c>
      <c r="KG12">
        <v>247</v>
      </c>
      <c r="KH12">
        <v>250</v>
      </c>
      <c r="KI12" s="44">
        <v>-2</v>
      </c>
      <c r="KJ12" s="43"/>
      <c r="KK12" s="47">
        <v>0</v>
      </c>
      <c r="KL12" s="47">
        <v>0</v>
      </c>
      <c r="KM12" s="47">
        <v>0</v>
      </c>
      <c r="KN12" s="47">
        <v>0</v>
      </c>
      <c r="KO12" s="44">
        <v>0</v>
      </c>
      <c r="KP12" s="43"/>
      <c r="KQ12" s="47">
        <v>0</v>
      </c>
      <c r="KR12" s="47">
        <v>0</v>
      </c>
      <c r="KS12" s="47">
        <v>273.32</v>
      </c>
      <c r="KT12" s="47">
        <v>270</v>
      </c>
      <c r="KU12" s="44">
        <v>3.3199999999999932</v>
      </c>
      <c r="KV12" s="43"/>
      <c r="KW12" s="42">
        <v>297.08600000000001</v>
      </c>
      <c r="KX12" s="47">
        <v>300</v>
      </c>
      <c r="KY12" s="44">
        <v>-2.9139999999999868</v>
      </c>
      <c r="KZ12" s="43"/>
      <c r="LA12" s="42">
        <v>422.45100000000002</v>
      </c>
      <c r="LB12" s="47">
        <v>420</v>
      </c>
      <c r="LC12" s="47">
        <v>339.37799999999999</v>
      </c>
      <c r="LD12" s="47">
        <v>340</v>
      </c>
      <c r="LE12" s="44">
        <v>1.8289999999999511</v>
      </c>
      <c r="LF12" s="43"/>
      <c r="LG12" s="42">
        <v>160.96700000000001</v>
      </c>
      <c r="LH12" s="47">
        <v>160</v>
      </c>
      <c r="LI12" s="47">
        <v>162.179</v>
      </c>
      <c r="LJ12" s="47">
        <v>160</v>
      </c>
      <c r="LK12" s="44">
        <v>3.146000000000015</v>
      </c>
      <c r="LL12" s="43"/>
      <c r="LM12" s="42">
        <v>0</v>
      </c>
      <c r="LN12" s="47">
        <v>0</v>
      </c>
      <c r="LO12" s="44">
        <v>0</v>
      </c>
      <c r="LP12" s="43"/>
      <c r="LQ12" s="42">
        <v>0</v>
      </c>
      <c r="LR12" s="47">
        <v>0</v>
      </c>
      <c r="LS12" s="47">
        <v>0</v>
      </c>
      <c r="LT12" s="47">
        <v>0</v>
      </c>
      <c r="LU12" s="44">
        <v>0</v>
      </c>
      <c r="LV12" s="43"/>
      <c r="LW12" s="42">
        <v>0</v>
      </c>
      <c r="LX12" s="47">
        <v>0</v>
      </c>
      <c r="LY12" s="47">
        <v>0</v>
      </c>
      <c r="LZ12" s="47">
        <v>0</v>
      </c>
      <c r="MA12" s="44">
        <v>0</v>
      </c>
      <c r="MB12" s="43"/>
      <c r="MC12" s="42">
        <v>101.816</v>
      </c>
      <c r="MD12" s="47">
        <v>100</v>
      </c>
      <c r="ME12" s="47">
        <v>170.52</v>
      </c>
      <c r="MF12" s="47">
        <v>170</v>
      </c>
      <c r="MG12" s="44">
        <v>2.3360000000000132</v>
      </c>
      <c r="MH12" s="43"/>
      <c r="MI12" s="42">
        <v>801.45399999999995</v>
      </c>
      <c r="MJ12" s="47">
        <v>800</v>
      </c>
      <c r="MK12" s="47">
        <v>401.58</v>
      </c>
      <c r="ML12" s="47">
        <v>400</v>
      </c>
      <c r="MM12" s="44">
        <v>3.0339999999998781</v>
      </c>
      <c r="MN12" s="43"/>
      <c r="MO12" s="42">
        <v>0</v>
      </c>
      <c r="MP12" s="47">
        <v>0</v>
      </c>
      <c r="MQ12" s="47">
        <v>0</v>
      </c>
      <c r="MR12" s="47">
        <v>0</v>
      </c>
      <c r="MS12" s="44">
        <v>0</v>
      </c>
      <c r="MT12" s="43"/>
      <c r="MU12" s="42">
        <v>32.578000000000003</v>
      </c>
      <c r="MV12" s="47">
        <v>250</v>
      </c>
      <c r="MW12" s="47">
        <v>598.34400000000005</v>
      </c>
      <c r="MX12" s="47">
        <v>600</v>
      </c>
      <c r="MY12" s="46">
        <v>-219.078</v>
      </c>
      <c r="MZ12" s="43">
        <v>219.078</v>
      </c>
      <c r="NA12" s="42">
        <v>320.68</v>
      </c>
      <c r="NB12" s="47">
        <v>320</v>
      </c>
      <c r="NC12" s="47">
        <v>341.447</v>
      </c>
      <c r="ND12" s="47">
        <v>330</v>
      </c>
      <c r="NE12" s="44">
        <v>12.126999999999949</v>
      </c>
      <c r="NF12" s="43"/>
      <c r="NG12" s="42">
        <v>100.851</v>
      </c>
      <c r="NH12" s="47">
        <v>100</v>
      </c>
      <c r="NI12" s="47">
        <v>158.679</v>
      </c>
      <c r="NJ12" s="47">
        <v>160</v>
      </c>
      <c r="NK12" s="44">
        <v>-0.47000000000002728</v>
      </c>
      <c r="NL12" s="43"/>
      <c r="NM12" s="42">
        <v>251.523</v>
      </c>
      <c r="NN12" s="47">
        <v>250</v>
      </c>
      <c r="NO12" s="47">
        <v>250.10900000000001</v>
      </c>
      <c r="NP12" s="47">
        <v>250</v>
      </c>
      <c r="NQ12" s="44">
        <v>1.632000000000005</v>
      </c>
      <c r="NR12" s="43"/>
      <c r="NS12" s="42">
        <v>204.89699999999999</v>
      </c>
      <c r="NT12" s="47">
        <v>200</v>
      </c>
      <c r="NU12" s="47">
        <v>301.68099999999998</v>
      </c>
      <c r="NV12" s="47">
        <v>300</v>
      </c>
      <c r="NW12" s="44">
        <v>6.5779999999999754</v>
      </c>
      <c r="NX12" s="43"/>
      <c r="NY12" s="42">
        <v>0</v>
      </c>
      <c r="NZ12" s="47">
        <v>0</v>
      </c>
      <c r="OA12" s="47">
        <v>240.72800000000001</v>
      </c>
      <c r="OB12" s="47">
        <v>240</v>
      </c>
      <c r="OC12" s="44">
        <v>0.72800000000000864</v>
      </c>
      <c r="OD12" s="43"/>
      <c r="OE12" s="42">
        <v>703.92399999999998</v>
      </c>
      <c r="OF12" s="47">
        <v>700</v>
      </c>
      <c r="OG12" s="47">
        <v>545.38499999999999</v>
      </c>
      <c r="OH12" s="47">
        <v>550</v>
      </c>
      <c r="OI12" s="44">
        <v>-0.69100000000003092</v>
      </c>
      <c r="OJ12" s="43"/>
      <c r="OK12" s="42">
        <v>77.198999999999998</v>
      </c>
      <c r="OL12" s="47">
        <v>75</v>
      </c>
      <c r="OM12" s="47">
        <v>102.383</v>
      </c>
      <c r="ON12" s="47">
        <v>100</v>
      </c>
      <c r="OO12" s="44">
        <v>4.5819999999999936</v>
      </c>
      <c r="OP12" s="43"/>
      <c r="OQ12" s="42">
        <v>0</v>
      </c>
      <c r="OR12" s="47">
        <v>0</v>
      </c>
      <c r="OS12" s="47">
        <v>0</v>
      </c>
      <c r="OT12" s="47">
        <v>0</v>
      </c>
      <c r="OU12" s="44">
        <v>0</v>
      </c>
      <c r="OV12" s="43"/>
      <c r="OW12" s="42">
        <v>432.21600000000001</v>
      </c>
      <c r="OX12" s="47">
        <v>350</v>
      </c>
      <c r="OY12" s="47">
        <v>287.68799999999999</v>
      </c>
      <c r="OZ12" s="47">
        <v>291</v>
      </c>
      <c r="PA12" s="44">
        <v>78.903999999999996</v>
      </c>
      <c r="PB12" s="43"/>
      <c r="PC12" s="42">
        <v>73.731999999999999</v>
      </c>
      <c r="PD12" s="47">
        <v>170</v>
      </c>
      <c r="PE12" s="47">
        <v>77.62</v>
      </c>
      <c r="PF12" s="47">
        <v>180</v>
      </c>
      <c r="PG12" s="46">
        <v>-198.648</v>
      </c>
      <c r="PH12" s="43">
        <v>198.648</v>
      </c>
      <c r="PI12" s="42">
        <v>0</v>
      </c>
      <c r="PJ12" s="26">
        <v>100</v>
      </c>
      <c r="PK12" s="47">
        <v>139.083</v>
      </c>
      <c r="PL12" s="47">
        <v>137</v>
      </c>
      <c r="PM12" s="46">
        <v>-97.917000000000002</v>
      </c>
      <c r="PN12" s="43">
        <v>97.917000000000002</v>
      </c>
      <c r="PO12" s="42">
        <v>149.523</v>
      </c>
      <c r="PP12" s="47">
        <v>150</v>
      </c>
      <c r="PQ12" s="47">
        <v>203.465</v>
      </c>
      <c r="PR12" s="47">
        <v>200</v>
      </c>
      <c r="PS12" s="44">
        <v>2.988</v>
      </c>
      <c r="PT12" s="43"/>
      <c r="PU12" s="42">
        <v>101.31100000000001</v>
      </c>
      <c r="PV12" s="47">
        <v>100</v>
      </c>
      <c r="PW12" s="47">
        <v>142.70500000000001</v>
      </c>
      <c r="PX12" s="47">
        <v>140</v>
      </c>
      <c r="PY12" s="44">
        <v>4.0160000000000204</v>
      </c>
      <c r="PZ12" s="43"/>
      <c r="QA12" s="42">
        <v>202.29599999999999</v>
      </c>
      <c r="QB12" s="47">
        <v>200</v>
      </c>
      <c r="QC12" s="44">
        <v>2.2959999999999918</v>
      </c>
      <c r="QD12" s="43"/>
      <c r="QE12" s="42">
        <v>705.82899999999995</v>
      </c>
      <c r="QF12" s="47">
        <v>700</v>
      </c>
      <c r="QG12" s="44">
        <v>5.8289999999999509</v>
      </c>
      <c r="QH12" s="43"/>
      <c r="QI12" s="42">
        <v>101.28</v>
      </c>
      <c r="QJ12" s="47">
        <v>200</v>
      </c>
      <c r="QK12" s="46">
        <v>-98.72</v>
      </c>
      <c r="QL12" s="43">
        <v>98.72</v>
      </c>
      <c r="QM12" s="42">
        <v>203.96600000000001</v>
      </c>
      <c r="QN12" s="47">
        <v>200</v>
      </c>
      <c r="QO12" s="47">
        <v>247.97</v>
      </c>
      <c r="QP12" s="47">
        <v>250</v>
      </c>
      <c r="QQ12" s="44">
        <v>1.936000000000035</v>
      </c>
      <c r="QR12" s="43"/>
      <c r="QS12" s="42">
        <v>201.953</v>
      </c>
      <c r="QT12" s="47">
        <v>200</v>
      </c>
      <c r="QU12" s="44">
        <v>1.953000000000003</v>
      </c>
      <c r="QV12" s="43"/>
      <c r="QW12" s="42">
        <v>48.773000000000003</v>
      </c>
      <c r="QX12" s="47">
        <v>150</v>
      </c>
      <c r="QY12" s="46">
        <v>-101.227</v>
      </c>
      <c r="QZ12" s="43">
        <v>101.227</v>
      </c>
    </row>
    <row r="13" spans="1:468" x14ac:dyDescent="0.25">
      <c r="A13" s="47" t="s">
        <v>297</v>
      </c>
      <c r="B13" s="38">
        <v>0.25</v>
      </c>
      <c r="F13">
        <v>48</v>
      </c>
      <c r="I13">
        <v>140</v>
      </c>
      <c r="J13">
        <v>168</v>
      </c>
      <c r="K13">
        <v>167</v>
      </c>
      <c r="N13" s="41">
        <v>40</v>
      </c>
      <c r="O13" s="49">
        <v>43</v>
      </c>
      <c r="P13" s="48"/>
      <c r="Q13" s="48"/>
      <c r="R13" s="48">
        <f t="shared" si="8"/>
        <v>-3</v>
      </c>
      <c r="S13" s="40"/>
      <c r="T13" s="41">
        <v>112</v>
      </c>
      <c r="U13" s="49">
        <v>110</v>
      </c>
      <c r="V13" s="48">
        <f t="shared" si="9"/>
        <v>2</v>
      </c>
      <c r="W13" s="40"/>
      <c r="X13" s="41">
        <v>64</v>
      </c>
      <c r="Y13" s="49">
        <v>64</v>
      </c>
      <c r="Z13" s="49">
        <v>32</v>
      </c>
      <c r="AA13" s="49">
        <v>36</v>
      </c>
      <c r="AB13" s="48">
        <f t="shared" si="10"/>
        <v>-4</v>
      </c>
      <c r="AC13" s="40"/>
      <c r="AD13" s="48"/>
      <c r="AF13">
        <v>48</v>
      </c>
      <c r="AG13">
        <v>50</v>
      </c>
      <c r="AH13" s="44">
        <v>-2</v>
      </c>
      <c r="AI13" s="40"/>
      <c r="AJ13">
        <v>64</v>
      </c>
      <c r="AK13">
        <v>64</v>
      </c>
      <c r="AL13">
        <v>88</v>
      </c>
      <c r="AM13">
        <v>86</v>
      </c>
      <c r="AN13" s="44">
        <v>2</v>
      </c>
      <c r="AO13" s="40"/>
      <c r="AT13" s="44">
        <v>0</v>
      </c>
      <c r="AU13" s="40"/>
      <c r="AV13" s="41">
        <v>48</v>
      </c>
      <c r="AW13">
        <v>50</v>
      </c>
      <c r="AX13" s="44">
        <v>-2</v>
      </c>
      <c r="AY13" s="40"/>
      <c r="AZ13" s="41">
        <v>280</v>
      </c>
      <c r="BA13">
        <v>281</v>
      </c>
      <c r="BB13" s="44">
        <v>-1</v>
      </c>
      <c r="BC13" s="40"/>
      <c r="BH13" s="44">
        <v>0</v>
      </c>
      <c r="BI13" s="40"/>
      <c r="BJ13">
        <v>136</v>
      </c>
      <c r="BK13">
        <v>134</v>
      </c>
      <c r="BL13" s="44">
        <v>2</v>
      </c>
      <c r="BM13" s="40"/>
      <c r="BN13" s="41">
        <v>96</v>
      </c>
      <c r="BO13">
        <v>100</v>
      </c>
      <c r="BP13">
        <v>168</v>
      </c>
      <c r="BQ13">
        <v>172</v>
      </c>
      <c r="BR13" s="44">
        <v>-8</v>
      </c>
      <c r="BS13" s="40"/>
      <c r="BT13">
        <v>80</v>
      </c>
      <c r="BU13">
        <v>80</v>
      </c>
      <c r="BV13" s="44">
        <v>0</v>
      </c>
      <c r="BW13" s="40"/>
      <c r="BX13" s="41">
        <v>56</v>
      </c>
      <c r="BY13">
        <v>70</v>
      </c>
      <c r="BZ13" s="46">
        <v>-14</v>
      </c>
      <c r="CA13" s="40">
        <v>3.5</v>
      </c>
      <c r="CB13" s="39"/>
      <c r="CD13">
        <v>176</v>
      </c>
      <c r="CE13">
        <v>200</v>
      </c>
      <c r="CF13">
        <v>200</v>
      </c>
      <c r="CG13">
        <v>180</v>
      </c>
      <c r="CH13" s="44">
        <v>-4</v>
      </c>
      <c r="CI13" s="40"/>
      <c r="CJ13">
        <v>96</v>
      </c>
      <c r="CK13">
        <v>100</v>
      </c>
      <c r="CL13">
        <v>184</v>
      </c>
      <c r="CM13">
        <v>185</v>
      </c>
      <c r="CN13" s="44">
        <v>-5</v>
      </c>
      <c r="CO13" s="40"/>
      <c r="CP13" s="39"/>
      <c r="CR13">
        <v>80</v>
      </c>
      <c r="CS13">
        <v>80</v>
      </c>
      <c r="CT13" s="44">
        <v>0</v>
      </c>
      <c r="CU13" s="40"/>
      <c r="CV13" s="39"/>
      <c r="CX13">
        <v>280</v>
      </c>
      <c r="CY13">
        <v>280</v>
      </c>
      <c r="CZ13" s="44">
        <v>0</v>
      </c>
      <c r="DA13" s="40"/>
      <c r="DB13" s="39"/>
      <c r="DD13">
        <v>128</v>
      </c>
      <c r="DE13">
        <v>130</v>
      </c>
      <c r="DF13" s="44">
        <v>-2</v>
      </c>
      <c r="DG13" s="40"/>
      <c r="DJ13">
        <v>40</v>
      </c>
      <c r="DK13">
        <v>40</v>
      </c>
      <c r="DN13" s="44">
        <v>0</v>
      </c>
      <c r="DO13" s="40"/>
      <c r="DP13" s="41">
        <v>368</v>
      </c>
      <c r="DQ13">
        <v>370</v>
      </c>
      <c r="DR13" s="44">
        <v>-2</v>
      </c>
      <c r="DS13" s="40"/>
      <c r="DT13" s="39"/>
      <c r="DV13">
        <v>48</v>
      </c>
      <c r="DW13">
        <v>50</v>
      </c>
      <c r="DX13" s="44">
        <v>-2</v>
      </c>
      <c r="DY13" s="40"/>
      <c r="DZ13" s="39"/>
      <c r="EB13" s="44">
        <v>0</v>
      </c>
      <c r="EC13" s="40"/>
      <c r="ED13">
        <v>96</v>
      </c>
      <c r="EE13">
        <v>100</v>
      </c>
      <c r="EG13">
        <v>96</v>
      </c>
      <c r="EH13">
        <v>100</v>
      </c>
      <c r="EI13">
        <v>136</v>
      </c>
      <c r="EJ13">
        <v>140</v>
      </c>
      <c r="EK13" s="44">
        <v>-12</v>
      </c>
      <c r="EL13" s="40"/>
      <c r="ES13" s="44">
        <v>0</v>
      </c>
      <c r="ET13" s="40"/>
      <c r="EU13" s="41">
        <v>96</v>
      </c>
      <c r="EV13">
        <v>100</v>
      </c>
      <c r="EW13">
        <v>216</v>
      </c>
      <c r="EX13">
        <v>220</v>
      </c>
      <c r="EY13" s="44">
        <v>-8</v>
      </c>
      <c r="EZ13" s="40"/>
      <c r="FA13" s="39"/>
      <c r="FD13" s="44">
        <v>0</v>
      </c>
      <c r="FE13" s="40"/>
      <c r="FH13" s="44">
        <v>0</v>
      </c>
      <c r="FI13" s="40"/>
      <c r="FJ13" s="41">
        <v>152</v>
      </c>
      <c r="FK13">
        <v>150</v>
      </c>
      <c r="FL13">
        <v>56</v>
      </c>
      <c r="FN13">
        <v>70</v>
      </c>
      <c r="FO13">
        <v>96</v>
      </c>
      <c r="FP13">
        <v>100</v>
      </c>
      <c r="FQ13" s="46">
        <v>-16</v>
      </c>
      <c r="FR13" s="40"/>
      <c r="FS13">
        <v>64</v>
      </c>
      <c r="FT13">
        <v>64</v>
      </c>
      <c r="FU13">
        <v>72</v>
      </c>
      <c r="FV13">
        <v>74</v>
      </c>
      <c r="FW13" s="44">
        <v>-2</v>
      </c>
      <c r="FX13" s="40"/>
      <c r="FY13" s="39"/>
      <c r="GA13">
        <v>8</v>
      </c>
      <c r="GB13">
        <v>8</v>
      </c>
      <c r="GC13" s="44">
        <v>0</v>
      </c>
      <c r="GD13" s="40"/>
      <c r="GG13">
        <v>120</v>
      </c>
      <c r="GH13">
        <v>124</v>
      </c>
      <c r="GI13" s="44">
        <v>-4</v>
      </c>
      <c r="GJ13" s="40"/>
      <c r="GK13">
        <v>152</v>
      </c>
      <c r="GL13" s="47">
        <v>150</v>
      </c>
      <c r="GM13" s="44">
        <v>2</v>
      </c>
      <c r="GN13" s="40"/>
      <c r="GO13" s="41">
        <v>40</v>
      </c>
      <c r="GP13">
        <v>39</v>
      </c>
      <c r="GQ13" s="44">
        <v>1</v>
      </c>
      <c r="GR13" s="40"/>
      <c r="GX13" s="44">
        <v>0</v>
      </c>
      <c r="GY13" s="40"/>
      <c r="HD13" s="44">
        <v>0</v>
      </c>
      <c r="HE13" s="40"/>
      <c r="HF13" s="41">
        <v>192</v>
      </c>
      <c r="HG13">
        <v>200</v>
      </c>
      <c r="HH13">
        <v>352</v>
      </c>
      <c r="HI13">
        <v>350</v>
      </c>
      <c r="HJ13" s="44">
        <v>-6</v>
      </c>
      <c r="HK13" s="40"/>
      <c r="HL13" s="39"/>
      <c r="HN13">
        <v>48</v>
      </c>
      <c r="HO13">
        <v>50</v>
      </c>
      <c r="HP13" s="44">
        <v>-2</v>
      </c>
      <c r="HQ13" s="40"/>
      <c r="HT13">
        <v>32</v>
      </c>
      <c r="HU13">
        <v>30</v>
      </c>
      <c r="HV13" s="44">
        <v>2</v>
      </c>
      <c r="HW13" s="43"/>
      <c r="HX13">
        <v>152</v>
      </c>
      <c r="HY13">
        <v>150</v>
      </c>
      <c r="HZ13">
        <v>120</v>
      </c>
      <c r="IA13">
        <v>120</v>
      </c>
      <c r="IB13" s="44">
        <v>2</v>
      </c>
      <c r="IC13" s="43"/>
      <c r="ID13">
        <v>88</v>
      </c>
      <c r="IE13">
        <v>90</v>
      </c>
      <c r="IF13">
        <v>56</v>
      </c>
      <c r="IG13">
        <v>60</v>
      </c>
      <c r="IH13" s="44">
        <v>-6</v>
      </c>
      <c r="II13" s="43"/>
      <c r="IN13" s="44">
        <v>0</v>
      </c>
      <c r="IO13" s="40"/>
      <c r="IR13" s="44">
        <v>0</v>
      </c>
      <c r="IS13" s="40"/>
      <c r="IT13">
        <v>176</v>
      </c>
      <c r="IU13">
        <v>180</v>
      </c>
      <c r="IV13">
        <v>184</v>
      </c>
      <c r="IW13">
        <v>182</v>
      </c>
      <c r="IX13" s="44">
        <v>-2</v>
      </c>
      <c r="IY13" s="43"/>
      <c r="IZ13">
        <v>32</v>
      </c>
      <c r="JA13" s="47">
        <v>30</v>
      </c>
      <c r="JB13" s="44">
        <v>2</v>
      </c>
      <c r="JC13" s="40"/>
      <c r="JF13">
        <v>168</v>
      </c>
      <c r="JG13">
        <v>170</v>
      </c>
      <c r="JH13" s="44">
        <v>-2</v>
      </c>
      <c r="JI13" s="40"/>
      <c r="JJ13">
        <v>88</v>
      </c>
      <c r="JK13">
        <v>90</v>
      </c>
      <c r="JL13">
        <v>56</v>
      </c>
      <c r="JM13">
        <v>60</v>
      </c>
      <c r="JN13" s="44">
        <v>-6</v>
      </c>
      <c r="JO13" s="43"/>
      <c r="JT13" s="44">
        <v>0</v>
      </c>
      <c r="JU13" s="43"/>
      <c r="JV13">
        <v>96</v>
      </c>
      <c r="JW13">
        <v>100</v>
      </c>
      <c r="JX13">
        <v>48</v>
      </c>
      <c r="JY13">
        <v>50</v>
      </c>
      <c r="JZ13" s="44">
        <v>-6</v>
      </c>
      <c r="KA13" s="43"/>
      <c r="KB13" s="41">
        <v>56</v>
      </c>
      <c r="KC13">
        <v>60</v>
      </c>
      <c r="KE13">
        <v>96</v>
      </c>
      <c r="KF13">
        <v>100</v>
      </c>
      <c r="KI13" s="44">
        <v>-8</v>
      </c>
      <c r="KJ13" s="43"/>
      <c r="KK13" s="47">
        <v>40</v>
      </c>
      <c r="KL13" s="47">
        <v>40</v>
      </c>
      <c r="KM13" s="47">
        <v>104</v>
      </c>
      <c r="KN13" s="47">
        <v>106</v>
      </c>
      <c r="KO13" s="44">
        <v>-2</v>
      </c>
      <c r="KP13" s="43"/>
      <c r="KQ13" s="47">
        <v>0</v>
      </c>
      <c r="KR13" s="47">
        <v>0</v>
      </c>
      <c r="KS13" s="47">
        <v>56</v>
      </c>
      <c r="KT13" s="47">
        <v>60</v>
      </c>
      <c r="KU13" s="44">
        <v>-4</v>
      </c>
      <c r="KV13" s="43"/>
      <c r="KW13" s="42">
        <v>88</v>
      </c>
      <c r="KX13" s="47">
        <v>90</v>
      </c>
      <c r="KY13" s="44">
        <v>-2</v>
      </c>
      <c r="KZ13" s="43"/>
      <c r="LA13" s="42">
        <v>0</v>
      </c>
      <c r="LB13" s="47">
        <v>0</v>
      </c>
      <c r="LC13" s="47">
        <v>0</v>
      </c>
      <c r="LD13" s="47">
        <v>0</v>
      </c>
      <c r="LE13" s="44">
        <v>0</v>
      </c>
      <c r="LF13" s="43"/>
      <c r="LG13" s="42">
        <v>88</v>
      </c>
      <c r="LH13" s="47">
        <v>90</v>
      </c>
      <c r="LI13" s="47">
        <v>88</v>
      </c>
      <c r="LJ13" s="47">
        <v>90</v>
      </c>
      <c r="LK13" s="44">
        <v>-4</v>
      </c>
      <c r="LL13" s="43"/>
      <c r="LM13" s="42">
        <v>176</v>
      </c>
      <c r="LN13" s="47">
        <v>180</v>
      </c>
      <c r="LO13" s="44">
        <v>-4</v>
      </c>
      <c r="LP13" s="43"/>
      <c r="LQ13" s="42">
        <v>72</v>
      </c>
      <c r="LR13" s="47">
        <v>70</v>
      </c>
      <c r="LS13" s="47">
        <v>40</v>
      </c>
      <c r="LT13" s="47">
        <v>40</v>
      </c>
      <c r="LU13" s="44">
        <v>2</v>
      </c>
      <c r="LV13" s="43"/>
      <c r="LW13" s="42">
        <v>144</v>
      </c>
      <c r="LX13" s="47">
        <v>145</v>
      </c>
      <c r="LY13" s="47">
        <v>0</v>
      </c>
      <c r="LZ13" s="47">
        <v>0</v>
      </c>
      <c r="MA13" s="44">
        <v>-1</v>
      </c>
      <c r="MB13" s="43"/>
      <c r="MC13" s="42">
        <v>56</v>
      </c>
      <c r="MD13" s="47">
        <v>60</v>
      </c>
      <c r="ME13" s="47">
        <v>80</v>
      </c>
      <c r="MF13" s="47">
        <v>80</v>
      </c>
      <c r="MG13" s="44">
        <v>-4</v>
      </c>
      <c r="MH13" s="43"/>
      <c r="MI13" s="42">
        <v>0</v>
      </c>
      <c r="MJ13" s="47">
        <v>0</v>
      </c>
      <c r="MK13" s="47">
        <v>72</v>
      </c>
      <c r="ML13" s="47">
        <v>70</v>
      </c>
      <c r="MM13" s="44">
        <v>2</v>
      </c>
      <c r="MN13" s="43"/>
      <c r="MO13" s="42">
        <v>0</v>
      </c>
      <c r="MP13" s="47">
        <v>0</v>
      </c>
      <c r="MQ13" s="47">
        <v>120</v>
      </c>
      <c r="MR13" s="47">
        <v>125</v>
      </c>
      <c r="MS13" s="44">
        <v>-5</v>
      </c>
      <c r="MT13" s="43"/>
      <c r="MU13" s="42">
        <v>152</v>
      </c>
      <c r="MV13" s="47">
        <v>100</v>
      </c>
      <c r="MW13" s="47">
        <v>0</v>
      </c>
      <c r="MX13" s="47">
        <v>0</v>
      </c>
      <c r="MY13" s="44">
        <v>52</v>
      </c>
      <c r="MZ13" s="43"/>
      <c r="NA13" s="42">
        <v>96</v>
      </c>
      <c r="NB13" s="47">
        <v>100</v>
      </c>
      <c r="NC13" s="47">
        <v>96</v>
      </c>
      <c r="ND13" s="47">
        <v>100</v>
      </c>
      <c r="NE13" s="44">
        <v>-8</v>
      </c>
      <c r="NF13" s="43"/>
      <c r="NG13" s="42">
        <v>0</v>
      </c>
      <c r="NH13" s="47">
        <v>0</v>
      </c>
      <c r="NI13" s="47">
        <v>48</v>
      </c>
      <c r="NJ13" s="47">
        <v>50</v>
      </c>
      <c r="NK13" s="44">
        <v>-2</v>
      </c>
      <c r="NL13" s="43"/>
      <c r="NM13" s="42">
        <v>0</v>
      </c>
      <c r="NN13" s="47">
        <v>0</v>
      </c>
      <c r="NO13" s="47">
        <v>248</v>
      </c>
      <c r="NP13" s="47">
        <v>250</v>
      </c>
      <c r="NQ13" s="44">
        <v>-2</v>
      </c>
      <c r="NR13" s="43"/>
      <c r="NS13" s="42">
        <v>320</v>
      </c>
      <c r="NT13" s="47">
        <v>320</v>
      </c>
      <c r="NU13" s="47">
        <v>0</v>
      </c>
      <c r="NV13" s="47">
        <v>0</v>
      </c>
      <c r="NW13" s="44">
        <v>0</v>
      </c>
      <c r="NX13" s="43"/>
      <c r="NY13" s="42">
        <v>0</v>
      </c>
      <c r="NZ13" s="47">
        <v>0</v>
      </c>
      <c r="OA13" s="47">
        <v>256</v>
      </c>
      <c r="OB13" s="47">
        <v>254</v>
      </c>
      <c r="OC13" s="44">
        <v>2</v>
      </c>
      <c r="OD13" s="43"/>
      <c r="OE13" s="42">
        <v>48</v>
      </c>
      <c r="OF13" s="47">
        <v>50</v>
      </c>
      <c r="OG13" s="47">
        <v>80</v>
      </c>
      <c r="OH13" s="47">
        <v>80</v>
      </c>
      <c r="OI13" s="44">
        <v>-2</v>
      </c>
      <c r="OJ13" s="43"/>
      <c r="OK13" s="42">
        <v>48</v>
      </c>
      <c r="OL13" s="47">
        <v>50</v>
      </c>
      <c r="OM13" s="47">
        <v>96</v>
      </c>
      <c r="ON13" s="47">
        <v>100</v>
      </c>
      <c r="OO13" s="44">
        <v>-6</v>
      </c>
      <c r="OP13" s="43"/>
      <c r="OQ13" s="42">
        <v>152</v>
      </c>
      <c r="OR13" s="47">
        <v>150</v>
      </c>
      <c r="OS13" s="47">
        <v>152</v>
      </c>
      <c r="OT13" s="47">
        <v>150</v>
      </c>
      <c r="OU13" s="44">
        <v>4</v>
      </c>
      <c r="OV13" s="43"/>
      <c r="OW13" s="42">
        <v>152</v>
      </c>
      <c r="OX13" s="47">
        <v>150</v>
      </c>
      <c r="OY13" s="47">
        <v>152</v>
      </c>
      <c r="OZ13" s="47">
        <v>150</v>
      </c>
      <c r="PA13" s="44">
        <v>4</v>
      </c>
      <c r="PB13" s="43"/>
      <c r="PC13" s="42">
        <v>96</v>
      </c>
      <c r="PD13" s="47">
        <v>100</v>
      </c>
      <c r="PE13" s="47">
        <v>96</v>
      </c>
      <c r="PF13" s="47">
        <v>100</v>
      </c>
      <c r="PG13" s="44">
        <v>-8</v>
      </c>
      <c r="PH13" s="43"/>
      <c r="PI13" s="42">
        <v>48</v>
      </c>
      <c r="PJ13" s="47">
        <v>50</v>
      </c>
      <c r="PK13" s="47">
        <v>96</v>
      </c>
      <c r="PL13" s="47">
        <v>100</v>
      </c>
      <c r="PM13" s="44">
        <v>-6</v>
      </c>
      <c r="PN13" s="43"/>
      <c r="PO13" s="42">
        <v>48</v>
      </c>
      <c r="PP13" s="47">
        <v>50</v>
      </c>
      <c r="PQ13" s="47">
        <v>48</v>
      </c>
      <c r="PR13" s="47">
        <v>50</v>
      </c>
      <c r="PS13" s="44">
        <v>-4</v>
      </c>
      <c r="PT13" s="43"/>
      <c r="PU13" s="42">
        <v>0</v>
      </c>
      <c r="PV13" s="47">
        <v>0</v>
      </c>
      <c r="PW13" s="47">
        <v>352</v>
      </c>
      <c r="PX13" s="47">
        <v>350</v>
      </c>
      <c r="PY13" s="44">
        <v>2</v>
      </c>
      <c r="PZ13" s="43"/>
      <c r="QA13" s="42">
        <v>288</v>
      </c>
      <c r="QB13" s="47">
        <v>287</v>
      </c>
      <c r="QC13" s="44">
        <v>1</v>
      </c>
      <c r="QD13" s="43"/>
      <c r="QE13" s="42">
        <v>0</v>
      </c>
      <c r="QF13" s="47">
        <v>0</v>
      </c>
      <c r="QG13" s="44">
        <v>0</v>
      </c>
      <c r="QH13" s="43"/>
      <c r="QI13" s="42">
        <v>392</v>
      </c>
      <c r="QJ13" s="47">
        <v>396</v>
      </c>
      <c r="QK13" s="44">
        <v>-4</v>
      </c>
      <c r="QL13" s="43"/>
      <c r="QM13" s="42">
        <v>264</v>
      </c>
      <c r="QN13" s="47">
        <v>267</v>
      </c>
      <c r="QO13" s="47">
        <v>0</v>
      </c>
      <c r="QP13" s="47">
        <v>0</v>
      </c>
      <c r="QQ13" s="44">
        <v>-3</v>
      </c>
      <c r="QR13" s="43"/>
      <c r="QS13" s="42">
        <v>0</v>
      </c>
      <c r="QT13" s="47">
        <v>0</v>
      </c>
      <c r="QU13" s="44">
        <v>0</v>
      </c>
      <c r="QV13" s="43"/>
      <c r="QW13" s="42">
        <v>152</v>
      </c>
      <c r="QX13" s="47">
        <v>150</v>
      </c>
      <c r="QY13" s="44">
        <v>2</v>
      </c>
      <c r="QZ13" s="43"/>
    </row>
    <row r="14" spans="1:468" x14ac:dyDescent="0.25">
      <c r="A14" s="47" t="s">
        <v>298</v>
      </c>
      <c r="B14" s="38">
        <v>0.15</v>
      </c>
      <c r="N14" s="39"/>
      <c r="O14" s="48"/>
      <c r="P14" s="48"/>
      <c r="Q14" s="48"/>
      <c r="R14" s="48">
        <f t="shared" si="8"/>
        <v>0</v>
      </c>
      <c r="S14" s="40"/>
      <c r="T14" s="39"/>
      <c r="U14" s="48"/>
      <c r="V14" s="48">
        <f t="shared" si="9"/>
        <v>0</v>
      </c>
      <c r="W14" s="40"/>
      <c r="X14" s="39"/>
      <c r="Y14" s="48"/>
      <c r="Z14" s="48"/>
      <c r="AA14" s="48"/>
      <c r="AB14" s="48">
        <f t="shared" si="10"/>
        <v>0</v>
      </c>
      <c r="AC14" s="40"/>
      <c r="AD14" s="48"/>
      <c r="AH14" s="44">
        <v>0</v>
      </c>
      <c r="AI14" s="40"/>
      <c r="AN14" s="44">
        <v>0</v>
      </c>
      <c r="AO14" s="40"/>
      <c r="AT14" s="44">
        <v>0</v>
      </c>
      <c r="AU14" s="40"/>
      <c r="AV14" s="39"/>
      <c r="AX14" s="44">
        <v>0</v>
      </c>
      <c r="AY14" s="40"/>
      <c r="AZ14" s="39"/>
      <c r="BB14" s="44">
        <v>0</v>
      </c>
      <c r="BC14" s="40"/>
      <c r="BH14" s="44">
        <v>0</v>
      </c>
      <c r="BI14" s="40"/>
      <c r="BL14" s="44">
        <v>0</v>
      </c>
      <c r="BM14" s="40"/>
      <c r="BN14" s="39"/>
      <c r="BR14" s="44">
        <v>0</v>
      </c>
      <c r="BS14" s="40"/>
      <c r="BV14" s="44">
        <v>0</v>
      </c>
      <c r="BW14" s="40"/>
      <c r="BX14" s="39"/>
      <c r="BZ14" s="44">
        <v>0</v>
      </c>
      <c r="CA14" s="40"/>
      <c r="CB14" s="39"/>
      <c r="CH14" s="44">
        <v>0</v>
      </c>
      <c r="CI14" s="40"/>
      <c r="CN14" s="44">
        <v>0</v>
      </c>
      <c r="CO14" s="40"/>
      <c r="CP14" s="39"/>
      <c r="CT14" s="44">
        <v>0</v>
      </c>
      <c r="CU14" s="40"/>
      <c r="CV14" s="39"/>
      <c r="CZ14" s="44">
        <v>0</v>
      </c>
      <c r="DA14" s="40"/>
      <c r="DB14" s="39"/>
      <c r="DF14" s="44">
        <v>0</v>
      </c>
      <c r="DG14" s="40"/>
      <c r="DN14" s="44">
        <v>0</v>
      </c>
      <c r="DO14" s="40"/>
      <c r="DP14" s="39"/>
      <c r="DR14" s="44">
        <v>0</v>
      </c>
      <c r="DS14" s="40"/>
      <c r="DT14" s="39"/>
      <c r="DX14" s="44">
        <v>0</v>
      </c>
      <c r="DY14" s="40"/>
      <c r="DZ14" s="39"/>
      <c r="EB14" s="44">
        <v>0</v>
      </c>
      <c r="EC14" s="40"/>
      <c r="EK14" s="44">
        <v>0</v>
      </c>
      <c r="EL14" s="40"/>
      <c r="ES14" s="44">
        <v>0</v>
      </c>
      <c r="ET14" s="40"/>
      <c r="EU14" s="39"/>
      <c r="EY14" s="44">
        <v>0</v>
      </c>
      <c r="EZ14" s="40"/>
      <c r="FA14" s="39"/>
      <c r="FD14" s="44">
        <v>0</v>
      </c>
      <c r="FE14" s="40"/>
      <c r="FH14" s="44">
        <v>0</v>
      </c>
      <c r="FI14" s="40"/>
      <c r="FJ14" s="39"/>
      <c r="FQ14" s="44">
        <v>0</v>
      </c>
      <c r="FR14" s="40"/>
      <c r="FW14" s="44">
        <v>0</v>
      </c>
      <c r="FX14" s="40"/>
      <c r="FY14" s="39"/>
      <c r="GC14" s="44">
        <v>0</v>
      </c>
      <c r="GD14" s="40"/>
      <c r="GI14" s="44">
        <v>0</v>
      </c>
      <c r="GJ14" s="40"/>
      <c r="GM14" s="44">
        <v>0</v>
      </c>
      <c r="GN14" s="40"/>
      <c r="GO14" s="39"/>
      <c r="GQ14" s="44">
        <v>0</v>
      </c>
      <c r="GR14" s="40"/>
      <c r="GX14" s="44">
        <v>0</v>
      </c>
      <c r="GY14" s="40"/>
      <c r="HD14" s="44">
        <v>0</v>
      </c>
      <c r="HE14" s="40"/>
      <c r="HF14" s="39"/>
      <c r="HJ14" s="44">
        <v>0</v>
      </c>
      <c r="HK14" s="40"/>
      <c r="HL14" s="39"/>
      <c r="HP14" s="44">
        <v>0</v>
      </c>
      <c r="HQ14" s="40"/>
      <c r="HV14" s="44">
        <v>0</v>
      </c>
      <c r="HW14" s="43"/>
      <c r="IB14" s="44">
        <v>0</v>
      </c>
      <c r="IC14" s="43"/>
      <c r="IH14" s="44">
        <v>0</v>
      </c>
      <c r="II14" s="43"/>
      <c r="IN14" s="44">
        <v>0</v>
      </c>
      <c r="IO14" s="40"/>
      <c r="IR14" s="44">
        <v>0</v>
      </c>
      <c r="IS14" s="40"/>
      <c r="IX14" s="44">
        <v>0</v>
      </c>
      <c r="IY14" s="43"/>
      <c r="JB14" s="44">
        <v>0</v>
      </c>
      <c r="JC14" s="40"/>
      <c r="JH14" s="44">
        <v>0</v>
      </c>
      <c r="JI14" s="40"/>
      <c r="JN14" s="44">
        <v>0</v>
      </c>
      <c r="JO14" s="43"/>
      <c r="JT14" s="44">
        <v>0</v>
      </c>
      <c r="JU14" s="43"/>
      <c r="JZ14" s="44">
        <v>0</v>
      </c>
      <c r="KA14" s="43"/>
      <c r="KB14" s="42"/>
      <c r="KI14" s="44">
        <v>0</v>
      </c>
      <c r="KJ14" s="43"/>
      <c r="KK14" s="47">
        <v>0</v>
      </c>
      <c r="KL14" s="47">
        <v>0</v>
      </c>
      <c r="KM14" s="47">
        <v>0</v>
      </c>
      <c r="KN14" s="47">
        <v>0</v>
      </c>
      <c r="KO14" s="44">
        <v>0</v>
      </c>
      <c r="KP14" s="43"/>
      <c r="KQ14" s="47">
        <v>0</v>
      </c>
      <c r="KR14" s="47">
        <v>0</v>
      </c>
      <c r="KS14" s="47">
        <v>0</v>
      </c>
      <c r="KT14" s="47">
        <v>0</v>
      </c>
      <c r="KU14" s="44">
        <v>0</v>
      </c>
      <c r="KV14" s="43"/>
      <c r="KW14" s="42">
        <v>0</v>
      </c>
      <c r="KX14" s="47">
        <v>0</v>
      </c>
      <c r="KY14" s="44">
        <v>0</v>
      </c>
      <c r="KZ14" s="43"/>
      <c r="LA14" s="42">
        <v>0</v>
      </c>
      <c r="LB14" s="47">
        <v>0</v>
      </c>
      <c r="LC14" s="47">
        <v>0</v>
      </c>
      <c r="LD14" s="47">
        <v>0</v>
      </c>
      <c r="LE14" s="44">
        <v>0</v>
      </c>
      <c r="LF14" s="43"/>
      <c r="LG14" s="42">
        <v>0</v>
      </c>
      <c r="LH14" s="47">
        <v>0</v>
      </c>
      <c r="LI14" s="47">
        <v>0</v>
      </c>
      <c r="LJ14" s="47">
        <v>0</v>
      </c>
      <c r="LK14" s="44">
        <v>0</v>
      </c>
      <c r="LL14" s="43"/>
      <c r="LM14" s="42">
        <v>0</v>
      </c>
      <c r="LN14" s="47">
        <v>0</v>
      </c>
      <c r="LO14" s="44">
        <v>0</v>
      </c>
      <c r="LP14" s="43"/>
      <c r="LQ14" s="42">
        <v>0</v>
      </c>
      <c r="LR14" s="47">
        <v>0</v>
      </c>
      <c r="LS14" s="47">
        <v>0</v>
      </c>
      <c r="LT14" s="47">
        <v>0</v>
      </c>
      <c r="LU14" s="44">
        <v>0</v>
      </c>
      <c r="LV14" s="43"/>
      <c r="LW14" s="42">
        <v>0</v>
      </c>
      <c r="LX14" s="47">
        <v>0</v>
      </c>
      <c r="LY14" s="47">
        <v>0</v>
      </c>
      <c r="LZ14" s="47">
        <v>0</v>
      </c>
      <c r="MA14" s="44">
        <v>0</v>
      </c>
      <c r="MB14" s="43"/>
      <c r="MC14" s="42">
        <v>0</v>
      </c>
      <c r="MD14" s="47">
        <v>0</v>
      </c>
      <c r="ME14" s="47">
        <v>0</v>
      </c>
      <c r="MF14" s="47">
        <v>0</v>
      </c>
      <c r="MG14" s="44">
        <v>0</v>
      </c>
      <c r="MH14" s="43"/>
      <c r="MI14" s="42">
        <v>0</v>
      </c>
      <c r="MJ14" s="47">
        <v>0</v>
      </c>
      <c r="MK14" s="47">
        <v>0</v>
      </c>
      <c r="ML14" s="47">
        <v>0</v>
      </c>
      <c r="MM14" s="44">
        <v>0</v>
      </c>
      <c r="MN14" s="43"/>
      <c r="MO14" s="42">
        <v>0</v>
      </c>
      <c r="MP14" s="47">
        <v>0</v>
      </c>
      <c r="MQ14" s="47">
        <v>0</v>
      </c>
      <c r="MR14" s="47">
        <v>0</v>
      </c>
      <c r="MS14" s="44">
        <v>0</v>
      </c>
      <c r="MT14" s="43"/>
      <c r="MU14" s="42">
        <v>0</v>
      </c>
      <c r="MV14" s="47">
        <v>0</v>
      </c>
      <c r="MW14" s="47">
        <v>0</v>
      </c>
      <c r="MX14" s="47">
        <v>0</v>
      </c>
      <c r="MY14" s="44">
        <v>0</v>
      </c>
      <c r="MZ14" s="43"/>
      <c r="NA14" s="42">
        <v>0</v>
      </c>
      <c r="NB14" s="47">
        <v>0</v>
      </c>
      <c r="NC14" s="47">
        <v>0</v>
      </c>
      <c r="ND14" s="47">
        <v>0</v>
      </c>
      <c r="NE14" s="44">
        <v>0</v>
      </c>
      <c r="NF14" s="43"/>
      <c r="NG14" s="42">
        <v>0</v>
      </c>
      <c r="NH14" s="47">
        <v>0</v>
      </c>
      <c r="NI14" s="47">
        <v>0</v>
      </c>
      <c r="NJ14" s="47">
        <v>0</v>
      </c>
      <c r="NK14" s="44">
        <v>0</v>
      </c>
      <c r="NL14" s="43"/>
      <c r="NM14" s="42">
        <v>0</v>
      </c>
      <c r="NN14" s="47">
        <v>0</v>
      </c>
      <c r="NO14" s="47">
        <v>0</v>
      </c>
      <c r="NP14" s="47">
        <v>0</v>
      </c>
      <c r="NQ14" s="44">
        <v>0</v>
      </c>
      <c r="NR14" s="43"/>
      <c r="NS14" s="42">
        <v>0</v>
      </c>
      <c r="NT14" s="47">
        <v>0</v>
      </c>
      <c r="NU14" s="47">
        <v>0</v>
      </c>
      <c r="NV14" s="47">
        <v>0</v>
      </c>
      <c r="NW14" s="44">
        <v>0</v>
      </c>
      <c r="NX14" s="43"/>
      <c r="NY14" s="42">
        <v>0</v>
      </c>
      <c r="NZ14" s="47">
        <v>0</v>
      </c>
      <c r="OA14" s="47">
        <v>0</v>
      </c>
      <c r="OB14" s="47">
        <v>0</v>
      </c>
      <c r="OC14" s="44">
        <v>0</v>
      </c>
      <c r="OD14" s="43"/>
      <c r="OE14" s="42">
        <v>0</v>
      </c>
      <c r="OF14" s="47">
        <v>0</v>
      </c>
      <c r="OG14" s="47">
        <v>0</v>
      </c>
      <c r="OH14" s="47">
        <v>0</v>
      </c>
      <c r="OI14" s="44">
        <v>0</v>
      </c>
      <c r="OJ14" s="43"/>
      <c r="OK14" s="42">
        <v>0</v>
      </c>
      <c r="OL14" s="47">
        <v>0</v>
      </c>
      <c r="OM14" s="47">
        <v>0</v>
      </c>
      <c r="ON14" s="47">
        <v>0</v>
      </c>
      <c r="OO14" s="44">
        <v>0</v>
      </c>
      <c r="OP14" s="43"/>
      <c r="OQ14" s="42">
        <v>0</v>
      </c>
      <c r="OR14" s="47">
        <v>0</v>
      </c>
      <c r="OS14" s="47">
        <v>0</v>
      </c>
      <c r="OT14" s="47">
        <v>0</v>
      </c>
      <c r="OU14" s="44">
        <v>0</v>
      </c>
      <c r="OV14" s="43"/>
      <c r="OW14" s="42">
        <v>0</v>
      </c>
      <c r="OX14" s="47">
        <v>0</v>
      </c>
      <c r="OY14" s="47">
        <v>0</v>
      </c>
      <c r="OZ14" s="47">
        <v>0</v>
      </c>
      <c r="PA14" s="44">
        <v>0</v>
      </c>
      <c r="PB14" s="43"/>
      <c r="PC14" s="42">
        <v>0</v>
      </c>
      <c r="PD14" s="47">
        <v>0</v>
      </c>
      <c r="PE14" s="47">
        <v>0</v>
      </c>
      <c r="PF14" s="47">
        <v>0</v>
      </c>
      <c r="PG14" s="44">
        <v>0</v>
      </c>
      <c r="PH14" s="43"/>
      <c r="PI14" s="42">
        <v>0</v>
      </c>
      <c r="PJ14" s="47">
        <v>0</v>
      </c>
      <c r="PK14" s="47">
        <v>0</v>
      </c>
      <c r="PL14" s="47">
        <v>0</v>
      </c>
      <c r="PM14" s="44">
        <v>0</v>
      </c>
      <c r="PN14" s="43"/>
      <c r="PO14" s="42">
        <v>0</v>
      </c>
      <c r="PP14" s="47">
        <v>0</v>
      </c>
      <c r="PQ14" s="47">
        <v>0</v>
      </c>
      <c r="PR14" s="47">
        <v>0</v>
      </c>
      <c r="PS14" s="44">
        <v>0</v>
      </c>
      <c r="PT14" s="43"/>
      <c r="PU14" s="42">
        <v>0</v>
      </c>
      <c r="PV14" s="47">
        <v>0</v>
      </c>
      <c r="PW14" s="47">
        <v>0</v>
      </c>
      <c r="PX14" s="47">
        <v>0</v>
      </c>
      <c r="PY14" s="44">
        <v>0</v>
      </c>
      <c r="PZ14" s="43"/>
      <c r="QA14" s="42">
        <v>0</v>
      </c>
      <c r="QB14" s="47">
        <v>0</v>
      </c>
      <c r="QC14" s="44">
        <v>0</v>
      </c>
      <c r="QD14" s="43"/>
      <c r="QE14" s="42">
        <v>0</v>
      </c>
      <c r="QF14" s="47">
        <v>0</v>
      </c>
      <c r="QG14" s="44">
        <v>0</v>
      </c>
      <c r="QH14" s="43"/>
      <c r="QI14" s="42">
        <v>0</v>
      </c>
      <c r="QJ14" s="47">
        <v>0</v>
      </c>
      <c r="QK14" s="44">
        <v>0</v>
      </c>
      <c r="QL14" s="43"/>
      <c r="QM14" s="42">
        <v>0</v>
      </c>
      <c r="QN14" s="10">
        <v>84</v>
      </c>
      <c r="QO14" s="47">
        <v>0</v>
      </c>
      <c r="QP14" s="47">
        <v>0</v>
      </c>
      <c r="QQ14" s="44">
        <v>0</v>
      </c>
      <c r="QR14" s="43"/>
      <c r="QS14" s="42">
        <v>0</v>
      </c>
      <c r="QT14" s="47">
        <v>0</v>
      </c>
      <c r="QU14" s="44">
        <v>0</v>
      </c>
      <c r="QV14" s="43"/>
      <c r="QW14" s="42">
        <v>0</v>
      </c>
      <c r="QX14" s="5">
        <v>200</v>
      </c>
      <c r="QY14" s="44">
        <v>-8</v>
      </c>
      <c r="QZ14" s="43"/>
    </row>
    <row r="15" spans="1:468" x14ac:dyDescent="0.25">
      <c r="A15" s="47" t="s">
        <v>299</v>
      </c>
      <c r="B15" s="38">
        <v>0.15</v>
      </c>
      <c r="N15" s="39"/>
      <c r="O15" s="48"/>
      <c r="P15" s="48"/>
      <c r="Q15" s="48"/>
      <c r="R15" s="48">
        <f t="shared" si="8"/>
        <v>0</v>
      </c>
      <c r="S15" s="40"/>
      <c r="T15" s="39"/>
      <c r="U15" s="48"/>
      <c r="V15" s="48">
        <f t="shared" si="9"/>
        <v>0</v>
      </c>
      <c r="W15" s="40"/>
      <c r="X15" s="39"/>
      <c r="Y15" s="48"/>
      <c r="Z15" s="48"/>
      <c r="AA15" s="48"/>
      <c r="AB15" s="48">
        <f t="shared" si="10"/>
        <v>0</v>
      </c>
      <c r="AC15" s="40"/>
      <c r="AD15" s="48"/>
      <c r="AH15" s="44">
        <v>0</v>
      </c>
      <c r="AI15" s="40"/>
      <c r="AN15" s="44">
        <v>0</v>
      </c>
      <c r="AO15" s="40"/>
      <c r="AT15" s="44">
        <v>0</v>
      </c>
      <c r="AU15" s="40"/>
      <c r="AV15" s="39"/>
      <c r="AX15" s="44">
        <v>0</v>
      </c>
      <c r="AY15" s="40"/>
      <c r="AZ15" s="39"/>
      <c r="BB15" s="44">
        <v>0</v>
      </c>
      <c r="BC15" s="40"/>
      <c r="BH15" s="44">
        <v>0</v>
      </c>
      <c r="BI15" s="40"/>
      <c r="BL15" s="44">
        <v>0</v>
      </c>
      <c r="BM15" s="40"/>
      <c r="BN15" s="39"/>
      <c r="BR15" s="44">
        <v>0</v>
      </c>
      <c r="BS15" s="40"/>
      <c r="BV15" s="44">
        <v>0</v>
      </c>
      <c r="BW15" s="40"/>
      <c r="BX15" s="39"/>
      <c r="BZ15" s="44">
        <v>0</v>
      </c>
      <c r="CA15" s="40"/>
      <c r="CB15" s="39"/>
      <c r="CH15" s="44">
        <v>0</v>
      </c>
      <c r="CI15" s="40"/>
      <c r="CN15" s="44">
        <v>0</v>
      </c>
      <c r="CO15" s="40"/>
      <c r="CP15" s="39"/>
      <c r="CT15" s="44">
        <v>0</v>
      </c>
      <c r="CU15" s="40"/>
      <c r="CV15" s="39"/>
      <c r="CZ15" s="44">
        <v>0</v>
      </c>
      <c r="DA15" s="40"/>
      <c r="DB15" s="39"/>
      <c r="DF15" s="44">
        <v>0</v>
      </c>
      <c r="DG15" s="40"/>
      <c r="DN15" s="44">
        <v>0</v>
      </c>
      <c r="DO15" s="40"/>
      <c r="DP15" s="39"/>
      <c r="DR15" s="44">
        <v>0</v>
      </c>
      <c r="DS15" s="40"/>
      <c r="DT15" s="39"/>
      <c r="DX15" s="44">
        <v>0</v>
      </c>
      <c r="DY15" s="40"/>
      <c r="DZ15" s="39"/>
      <c r="EB15" s="44">
        <v>0</v>
      </c>
      <c r="EC15" s="40"/>
      <c r="EK15" s="44">
        <v>0</v>
      </c>
      <c r="EL15" s="40"/>
      <c r="ES15" s="44">
        <v>0</v>
      </c>
      <c r="ET15" s="40"/>
      <c r="EU15" s="39"/>
      <c r="EY15" s="44">
        <v>0</v>
      </c>
      <c r="EZ15" s="40"/>
      <c r="FA15" s="39"/>
      <c r="FD15" s="44">
        <v>0</v>
      </c>
      <c r="FE15" s="40"/>
      <c r="FH15" s="44">
        <v>0</v>
      </c>
      <c r="FI15" s="40"/>
      <c r="FJ15" s="39"/>
      <c r="FQ15" s="44">
        <v>0</v>
      </c>
      <c r="FR15" s="40"/>
      <c r="FW15" s="44">
        <v>0</v>
      </c>
      <c r="FX15" s="40"/>
      <c r="FY15" s="39"/>
      <c r="GC15" s="44">
        <v>0</v>
      </c>
      <c r="GD15" s="40"/>
      <c r="GI15" s="44">
        <v>0</v>
      </c>
      <c r="GJ15" s="40"/>
      <c r="GM15" s="44">
        <v>0</v>
      </c>
      <c r="GN15" s="40"/>
      <c r="GO15" s="39"/>
      <c r="GQ15" s="44">
        <v>0</v>
      </c>
      <c r="GR15" s="40"/>
      <c r="GX15" s="44">
        <v>0</v>
      </c>
      <c r="GY15" s="40"/>
      <c r="HD15" s="44">
        <v>0</v>
      </c>
      <c r="HE15" s="40"/>
      <c r="HF15" s="39"/>
      <c r="HJ15" s="44">
        <v>0</v>
      </c>
      <c r="HK15" s="40"/>
      <c r="HL15" s="39"/>
      <c r="HP15" s="44">
        <v>0</v>
      </c>
      <c r="HQ15" s="40"/>
      <c r="HV15" s="44">
        <v>0</v>
      </c>
      <c r="HW15" s="43"/>
      <c r="IB15" s="44">
        <v>0</v>
      </c>
      <c r="IC15" s="43"/>
      <c r="IH15" s="44">
        <v>0</v>
      </c>
      <c r="II15" s="43"/>
      <c r="IN15" s="44">
        <v>0</v>
      </c>
      <c r="IO15" s="40"/>
      <c r="IR15" s="44">
        <v>0</v>
      </c>
      <c r="IS15" s="40"/>
      <c r="IX15" s="44">
        <v>0</v>
      </c>
      <c r="IY15" s="43"/>
      <c r="JB15" s="44">
        <v>0</v>
      </c>
      <c r="JC15" s="40"/>
      <c r="JH15" s="44">
        <v>0</v>
      </c>
      <c r="JI15" s="40"/>
      <c r="JN15" s="44">
        <v>0</v>
      </c>
      <c r="JO15" s="43"/>
      <c r="JT15" s="44">
        <v>0</v>
      </c>
      <c r="JU15" s="43"/>
      <c r="JZ15" s="44">
        <v>0</v>
      </c>
      <c r="KA15" s="43"/>
      <c r="KB15" s="42"/>
      <c r="KI15" s="44">
        <v>0</v>
      </c>
      <c r="KJ15" s="43"/>
      <c r="KK15" s="47">
        <v>0</v>
      </c>
      <c r="KL15" s="47">
        <v>0</v>
      </c>
      <c r="KM15" s="47">
        <v>0</v>
      </c>
      <c r="KN15" s="47">
        <v>0</v>
      </c>
      <c r="KO15" s="44">
        <v>0</v>
      </c>
      <c r="KP15" s="43"/>
      <c r="KQ15" s="47">
        <v>0</v>
      </c>
      <c r="KR15" s="47">
        <v>0</v>
      </c>
      <c r="KS15" s="47">
        <v>0</v>
      </c>
      <c r="KT15" s="47">
        <v>0</v>
      </c>
      <c r="KU15" s="44">
        <v>0</v>
      </c>
      <c r="KV15" s="43"/>
      <c r="KW15" s="42">
        <v>0</v>
      </c>
      <c r="KX15" s="47">
        <v>0</v>
      </c>
      <c r="KY15" s="44">
        <v>0</v>
      </c>
      <c r="KZ15" s="43"/>
      <c r="LA15" s="42">
        <v>0</v>
      </c>
      <c r="LB15" s="47">
        <v>0</v>
      </c>
      <c r="LC15" s="47">
        <v>0</v>
      </c>
      <c r="LD15" s="47">
        <v>0</v>
      </c>
      <c r="LE15" s="44">
        <v>0</v>
      </c>
      <c r="LF15" s="43"/>
      <c r="LG15" s="42">
        <v>0</v>
      </c>
      <c r="LH15" s="47">
        <v>0</v>
      </c>
      <c r="LI15" s="47">
        <v>0</v>
      </c>
      <c r="LJ15" s="47">
        <v>0</v>
      </c>
      <c r="LK15" s="44">
        <v>0</v>
      </c>
      <c r="LL15" s="43"/>
      <c r="LM15" s="42">
        <v>0</v>
      </c>
      <c r="LN15" s="47">
        <v>0</v>
      </c>
      <c r="LO15" s="44">
        <v>0</v>
      </c>
      <c r="LP15" s="43"/>
      <c r="LQ15" s="42">
        <v>0</v>
      </c>
      <c r="LR15" s="47">
        <v>0</v>
      </c>
      <c r="LS15" s="47">
        <v>0</v>
      </c>
      <c r="LT15" s="47">
        <v>0</v>
      </c>
      <c r="LU15" s="44">
        <v>0</v>
      </c>
      <c r="LV15" s="43"/>
      <c r="LW15" s="42">
        <v>0</v>
      </c>
      <c r="LX15" s="47">
        <v>0</v>
      </c>
      <c r="LY15" s="47">
        <v>0</v>
      </c>
      <c r="LZ15" s="47">
        <v>0</v>
      </c>
      <c r="MA15" s="44">
        <v>0</v>
      </c>
      <c r="MB15" s="43"/>
      <c r="MC15" s="42">
        <v>0</v>
      </c>
      <c r="MD15" s="47">
        <v>0</v>
      </c>
      <c r="ME15" s="47">
        <v>0</v>
      </c>
      <c r="MF15" s="47">
        <v>0</v>
      </c>
      <c r="MG15" s="44">
        <v>0</v>
      </c>
      <c r="MH15" s="43"/>
      <c r="MI15" s="42">
        <v>0</v>
      </c>
      <c r="MJ15" s="47">
        <v>0</v>
      </c>
      <c r="MK15" s="47">
        <v>0</v>
      </c>
      <c r="ML15" s="47">
        <v>0</v>
      </c>
      <c r="MM15" s="44">
        <v>0</v>
      </c>
      <c r="MN15" s="43"/>
      <c r="MO15" s="42">
        <v>0</v>
      </c>
      <c r="MP15" s="47">
        <v>0</v>
      </c>
      <c r="MQ15" s="47">
        <v>0</v>
      </c>
      <c r="MR15" s="47">
        <v>0</v>
      </c>
      <c r="MS15" s="44">
        <v>0</v>
      </c>
      <c r="MT15" s="43"/>
      <c r="MU15" s="42">
        <v>0</v>
      </c>
      <c r="MV15" s="47">
        <v>0</v>
      </c>
      <c r="MW15" s="47">
        <v>0</v>
      </c>
      <c r="MX15" s="47">
        <v>0</v>
      </c>
      <c r="MY15" s="44">
        <v>0</v>
      </c>
      <c r="MZ15" s="43"/>
      <c r="NA15" s="42">
        <v>0</v>
      </c>
      <c r="NB15" s="47">
        <v>0</v>
      </c>
      <c r="NC15" s="47">
        <v>0</v>
      </c>
      <c r="ND15" s="47">
        <v>0</v>
      </c>
      <c r="NE15" s="44">
        <v>0</v>
      </c>
      <c r="NF15" s="43"/>
      <c r="NG15" s="42">
        <v>0</v>
      </c>
      <c r="NH15" s="47">
        <v>0</v>
      </c>
      <c r="NI15" s="47">
        <v>0</v>
      </c>
      <c r="NJ15" s="47">
        <v>0</v>
      </c>
      <c r="NK15" s="44">
        <v>0</v>
      </c>
      <c r="NL15" s="43"/>
      <c r="NM15" s="42">
        <v>0</v>
      </c>
      <c r="NN15" s="47">
        <v>0</v>
      </c>
      <c r="NO15" s="47">
        <v>0</v>
      </c>
      <c r="NP15" s="47">
        <v>0</v>
      </c>
      <c r="NQ15" s="44">
        <v>0</v>
      </c>
      <c r="NR15" s="43"/>
      <c r="NS15" s="42">
        <v>0</v>
      </c>
      <c r="NT15" s="47">
        <v>0</v>
      </c>
      <c r="NU15" s="47">
        <v>0</v>
      </c>
      <c r="NV15" s="47">
        <v>0</v>
      </c>
      <c r="NW15" s="44">
        <v>0</v>
      </c>
      <c r="NX15" s="43"/>
      <c r="NY15" s="42">
        <v>0</v>
      </c>
      <c r="NZ15" s="47">
        <v>0</v>
      </c>
      <c r="OA15" s="47">
        <v>0</v>
      </c>
      <c r="OB15" s="47">
        <v>0</v>
      </c>
      <c r="OC15" s="44">
        <v>0</v>
      </c>
      <c r="OD15" s="43"/>
      <c r="OE15" s="42">
        <v>0</v>
      </c>
      <c r="OF15" s="47">
        <v>0</v>
      </c>
      <c r="OG15" s="47">
        <v>0</v>
      </c>
      <c r="OH15" s="47">
        <v>0</v>
      </c>
      <c r="OI15" s="44">
        <v>0</v>
      </c>
      <c r="OJ15" s="43"/>
      <c r="OK15" s="42">
        <v>0</v>
      </c>
      <c r="OL15" s="47">
        <v>0</v>
      </c>
      <c r="OM15" s="47">
        <v>0</v>
      </c>
      <c r="ON15" s="47">
        <v>0</v>
      </c>
      <c r="OO15" s="44">
        <v>0</v>
      </c>
      <c r="OP15" s="43"/>
      <c r="OQ15" s="42">
        <v>0</v>
      </c>
      <c r="OR15" s="47">
        <v>0</v>
      </c>
      <c r="OS15" s="47">
        <v>0</v>
      </c>
      <c r="OT15" s="47">
        <v>0</v>
      </c>
      <c r="OU15" s="44">
        <v>0</v>
      </c>
      <c r="OV15" s="43"/>
      <c r="OW15" s="42">
        <v>0</v>
      </c>
      <c r="OX15" s="47">
        <v>0</v>
      </c>
      <c r="OY15" s="47">
        <v>0</v>
      </c>
      <c r="OZ15" s="47">
        <v>0</v>
      </c>
      <c r="PA15" s="44">
        <v>0</v>
      </c>
      <c r="PB15" s="43"/>
      <c r="PC15" s="42">
        <v>0</v>
      </c>
      <c r="PD15" s="47">
        <v>0</v>
      </c>
      <c r="PE15" s="47">
        <v>0</v>
      </c>
      <c r="PF15" s="47">
        <v>0</v>
      </c>
      <c r="PG15" s="44">
        <v>0</v>
      </c>
      <c r="PH15" s="43"/>
      <c r="PI15" s="42">
        <v>0</v>
      </c>
      <c r="PJ15" s="47">
        <v>0</v>
      </c>
      <c r="PK15" s="47">
        <v>0</v>
      </c>
      <c r="PL15" s="47">
        <v>0</v>
      </c>
      <c r="PM15" s="44">
        <v>0</v>
      </c>
      <c r="PN15" s="43"/>
      <c r="PO15" s="42">
        <v>0</v>
      </c>
      <c r="PP15" s="47">
        <v>0</v>
      </c>
      <c r="PQ15" s="47">
        <v>0</v>
      </c>
      <c r="PR15" s="47">
        <v>0</v>
      </c>
      <c r="PS15" s="44">
        <v>0</v>
      </c>
      <c r="PT15" s="43"/>
      <c r="PU15" s="42">
        <v>0</v>
      </c>
      <c r="PV15" s="47">
        <v>0</v>
      </c>
      <c r="PW15" s="47">
        <v>0</v>
      </c>
      <c r="PX15" s="47">
        <v>0</v>
      </c>
      <c r="PY15" s="44">
        <v>0</v>
      </c>
      <c r="PZ15" s="43"/>
      <c r="QA15" s="42">
        <v>0</v>
      </c>
      <c r="QB15" s="47">
        <v>0</v>
      </c>
      <c r="QC15" s="44">
        <v>0</v>
      </c>
      <c r="QD15" s="43"/>
      <c r="QE15" s="42">
        <v>0</v>
      </c>
      <c r="QF15" s="47">
        <v>0</v>
      </c>
      <c r="QG15" s="44">
        <v>0</v>
      </c>
      <c r="QH15" s="43"/>
      <c r="QI15" s="42">
        <v>0</v>
      </c>
      <c r="QJ15" s="47">
        <v>0</v>
      </c>
      <c r="QK15" s="44">
        <v>0</v>
      </c>
      <c r="QL15" s="43"/>
      <c r="QM15" s="42">
        <v>0</v>
      </c>
      <c r="QN15" s="10">
        <v>57</v>
      </c>
      <c r="QO15" s="47">
        <v>0</v>
      </c>
      <c r="QP15" s="47">
        <v>0</v>
      </c>
      <c r="QQ15" s="44">
        <v>-9</v>
      </c>
      <c r="QR15" s="43"/>
      <c r="QS15" s="42">
        <v>0</v>
      </c>
      <c r="QT15" s="47">
        <v>0</v>
      </c>
      <c r="QU15" s="44">
        <v>0</v>
      </c>
      <c r="QV15" s="43"/>
      <c r="QW15" s="42">
        <v>0</v>
      </c>
      <c r="QX15" s="5">
        <v>300</v>
      </c>
      <c r="QY15" s="44">
        <v>0</v>
      </c>
      <c r="QZ15" s="43"/>
    </row>
    <row r="16" spans="1:468" x14ac:dyDescent="0.25">
      <c r="A16" s="47" t="s">
        <v>300</v>
      </c>
      <c r="B16" s="38">
        <v>0.15</v>
      </c>
      <c r="N16" s="39"/>
      <c r="O16" s="48"/>
      <c r="P16" s="48"/>
      <c r="Q16" s="48"/>
      <c r="R16" s="48">
        <f t="shared" si="8"/>
        <v>0</v>
      </c>
      <c r="S16" s="40"/>
      <c r="T16" s="39"/>
      <c r="U16" s="48"/>
      <c r="V16" s="48">
        <f t="shared" si="9"/>
        <v>0</v>
      </c>
      <c r="W16" s="40"/>
      <c r="X16" s="39"/>
      <c r="Y16" s="48"/>
      <c r="Z16" s="48"/>
      <c r="AA16" s="48"/>
      <c r="AB16" s="48">
        <f t="shared" si="10"/>
        <v>0</v>
      </c>
      <c r="AC16" s="40"/>
      <c r="AD16" s="48"/>
      <c r="AH16" s="44">
        <v>0</v>
      </c>
      <c r="AI16" s="40"/>
      <c r="AN16" s="44">
        <v>0</v>
      </c>
      <c r="AO16" s="40"/>
      <c r="AT16" s="44">
        <v>0</v>
      </c>
      <c r="AU16" s="40"/>
      <c r="AV16" s="39"/>
      <c r="AX16" s="44">
        <v>0</v>
      </c>
      <c r="AY16" s="40"/>
      <c r="AZ16" s="39"/>
      <c r="BB16" s="44">
        <v>0</v>
      </c>
      <c r="BC16" s="40"/>
      <c r="BH16" s="44">
        <v>0</v>
      </c>
      <c r="BI16" s="40"/>
      <c r="BL16" s="44">
        <v>0</v>
      </c>
      <c r="BM16" s="40"/>
      <c r="BN16" s="39"/>
      <c r="BR16" s="44">
        <v>0</v>
      </c>
      <c r="BS16" s="40"/>
      <c r="BV16" s="44">
        <v>0</v>
      </c>
      <c r="BW16" s="40"/>
      <c r="BX16" s="39"/>
      <c r="BZ16" s="44">
        <v>0</v>
      </c>
      <c r="CA16" s="40"/>
      <c r="CB16" s="39"/>
      <c r="CH16" s="44">
        <v>0</v>
      </c>
      <c r="CI16" s="40"/>
      <c r="CN16" s="44">
        <v>0</v>
      </c>
      <c r="CO16" s="40"/>
      <c r="CP16" s="39"/>
      <c r="CT16" s="44">
        <v>0</v>
      </c>
      <c r="CU16" s="40"/>
      <c r="CV16" s="39"/>
      <c r="CZ16" s="44">
        <v>0</v>
      </c>
      <c r="DA16" s="40"/>
      <c r="DB16" s="39"/>
      <c r="DF16" s="44">
        <v>0</v>
      </c>
      <c r="DG16" s="40"/>
      <c r="DN16" s="44">
        <v>0</v>
      </c>
      <c r="DO16" s="40"/>
      <c r="DP16" s="39"/>
      <c r="DR16" s="44">
        <v>0</v>
      </c>
      <c r="DS16" s="40"/>
      <c r="DT16" s="39"/>
      <c r="DX16" s="44">
        <v>0</v>
      </c>
      <c r="DY16" s="40"/>
      <c r="DZ16" s="39"/>
      <c r="EB16" s="44">
        <v>0</v>
      </c>
      <c r="EC16" s="40"/>
      <c r="EK16" s="44">
        <v>0</v>
      </c>
      <c r="EL16" s="40"/>
      <c r="ES16" s="44">
        <v>0</v>
      </c>
      <c r="ET16" s="40"/>
      <c r="EU16" s="39"/>
      <c r="EY16" s="44">
        <v>0</v>
      </c>
      <c r="EZ16" s="40"/>
      <c r="FA16" s="39"/>
      <c r="FD16" s="44">
        <v>0</v>
      </c>
      <c r="FE16" s="40"/>
      <c r="FH16" s="44">
        <v>0</v>
      </c>
      <c r="FI16" s="40"/>
      <c r="FJ16" s="39"/>
      <c r="FQ16" s="44">
        <v>0</v>
      </c>
      <c r="FR16" s="40"/>
      <c r="FW16" s="44">
        <v>0</v>
      </c>
      <c r="FX16" s="40"/>
      <c r="FY16" s="39"/>
      <c r="GC16" s="44">
        <v>0</v>
      </c>
      <c r="GD16" s="40"/>
      <c r="GI16" s="44">
        <v>0</v>
      </c>
      <c r="GJ16" s="40"/>
      <c r="GM16" s="44">
        <v>0</v>
      </c>
      <c r="GN16" s="40"/>
      <c r="GO16" s="39"/>
      <c r="GQ16" s="44">
        <v>0</v>
      </c>
      <c r="GR16" s="40"/>
      <c r="GX16" s="44">
        <v>0</v>
      </c>
      <c r="GY16" s="40"/>
      <c r="HD16" s="44">
        <v>0</v>
      </c>
      <c r="HE16" s="40"/>
      <c r="HF16" s="39"/>
      <c r="HJ16" s="44">
        <v>0</v>
      </c>
      <c r="HK16" s="40"/>
      <c r="HL16" s="39"/>
      <c r="HP16" s="44">
        <v>0</v>
      </c>
      <c r="HQ16" s="40"/>
      <c r="HV16" s="44">
        <v>0</v>
      </c>
      <c r="HW16" s="43"/>
      <c r="IB16" s="44">
        <v>0</v>
      </c>
      <c r="IC16" s="43"/>
      <c r="IH16" s="44">
        <v>0</v>
      </c>
      <c r="II16" s="43"/>
      <c r="IN16" s="44">
        <v>0</v>
      </c>
      <c r="IO16" s="40"/>
      <c r="IR16" s="44">
        <v>0</v>
      </c>
      <c r="IS16" s="40"/>
      <c r="IX16" s="44">
        <v>0</v>
      </c>
      <c r="IY16" s="43"/>
      <c r="JB16" s="44">
        <v>0</v>
      </c>
      <c r="JC16" s="40"/>
      <c r="JH16" s="44">
        <v>0</v>
      </c>
      <c r="JI16" s="40"/>
      <c r="JN16" s="44">
        <v>0</v>
      </c>
      <c r="JO16" s="43"/>
      <c r="JT16" s="44">
        <v>0</v>
      </c>
      <c r="JU16" s="43"/>
      <c r="JZ16" s="44">
        <v>0</v>
      </c>
      <c r="KA16" s="43"/>
      <c r="KB16" s="42"/>
      <c r="KI16" s="44">
        <v>0</v>
      </c>
      <c r="KJ16" s="43"/>
      <c r="KK16" s="47">
        <v>0</v>
      </c>
      <c r="KL16" s="47">
        <v>0</v>
      </c>
      <c r="KM16" s="47">
        <v>0</v>
      </c>
      <c r="KN16" s="47">
        <v>0</v>
      </c>
      <c r="KO16" s="44">
        <v>0</v>
      </c>
      <c r="KP16" s="43"/>
      <c r="KQ16" s="47">
        <v>0</v>
      </c>
      <c r="KR16" s="47">
        <v>0</v>
      </c>
      <c r="KS16" s="47">
        <v>0</v>
      </c>
      <c r="KT16" s="47">
        <v>0</v>
      </c>
      <c r="KU16" s="44">
        <v>0</v>
      </c>
      <c r="KV16" s="43"/>
      <c r="KW16" s="42">
        <v>0</v>
      </c>
      <c r="KX16" s="47">
        <v>0</v>
      </c>
      <c r="KY16" s="44">
        <v>0</v>
      </c>
      <c r="KZ16" s="43"/>
      <c r="LA16" s="42">
        <v>0</v>
      </c>
      <c r="LB16" s="47">
        <v>0</v>
      </c>
      <c r="LC16" s="47">
        <v>0</v>
      </c>
      <c r="LD16" s="47">
        <v>0</v>
      </c>
      <c r="LE16" s="44">
        <v>0</v>
      </c>
      <c r="LF16" s="43"/>
      <c r="LG16" s="42">
        <v>0</v>
      </c>
      <c r="LH16" s="47">
        <v>0</v>
      </c>
      <c r="LI16" s="47">
        <v>0</v>
      </c>
      <c r="LJ16" s="47">
        <v>0</v>
      </c>
      <c r="LK16" s="44">
        <v>0</v>
      </c>
      <c r="LL16" s="43"/>
      <c r="LM16" s="42">
        <v>0</v>
      </c>
      <c r="LN16" s="47">
        <v>0</v>
      </c>
      <c r="LO16" s="44">
        <v>0</v>
      </c>
      <c r="LP16" s="43"/>
      <c r="LQ16" s="42">
        <v>0</v>
      </c>
      <c r="LR16" s="47">
        <v>0</v>
      </c>
      <c r="LS16" s="47">
        <v>0</v>
      </c>
      <c r="LT16" s="47">
        <v>0</v>
      </c>
      <c r="LU16" s="44">
        <v>0</v>
      </c>
      <c r="LV16" s="43"/>
      <c r="LW16" s="42">
        <v>0</v>
      </c>
      <c r="LX16" s="47">
        <v>0</v>
      </c>
      <c r="LY16" s="47">
        <v>0</v>
      </c>
      <c r="LZ16" s="47">
        <v>0</v>
      </c>
      <c r="MA16" s="44">
        <v>0</v>
      </c>
      <c r="MB16" s="43"/>
      <c r="MC16" s="42">
        <v>0</v>
      </c>
      <c r="MD16" s="47">
        <v>0</v>
      </c>
      <c r="ME16" s="47">
        <v>0</v>
      </c>
      <c r="MF16" s="47">
        <v>0</v>
      </c>
      <c r="MG16" s="44">
        <v>0</v>
      </c>
      <c r="MH16" s="43"/>
      <c r="MI16" s="42">
        <v>0</v>
      </c>
      <c r="MJ16" s="47">
        <v>0</v>
      </c>
      <c r="MK16" s="47">
        <v>0</v>
      </c>
      <c r="ML16" s="47">
        <v>0</v>
      </c>
      <c r="MM16" s="44">
        <v>0</v>
      </c>
      <c r="MN16" s="43"/>
      <c r="MO16" s="42">
        <v>0</v>
      </c>
      <c r="MP16" s="47">
        <v>0</v>
      </c>
      <c r="MQ16" s="47">
        <v>0</v>
      </c>
      <c r="MR16" s="47">
        <v>0</v>
      </c>
      <c r="MS16" s="44">
        <v>0</v>
      </c>
      <c r="MT16" s="43"/>
      <c r="MU16" s="42">
        <v>0</v>
      </c>
      <c r="MV16" s="47">
        <v>0</v>
      </c>
      <c r="MW16" s="47">
        <v>0</v>
      </c>
      <c r="MX16" s="47">
        <v>0</v>
      </c>
      <c r="MY16" s="44">
        <v>0</v>
      </c>
      <c r="MZ16" s="43"/>
      <c r="NA16" s="42">
        <v>0</v>
      </c>
      <c r="NB16" s="47">
        <v>0</v>
      </c>
      <c r="NC16" s="47">
        <v>0</v>
      </c>
      <c r="ND16" s="47">
        <v>0</v>
      </c>
      <c r="NE16" s="44">
        <v>0</v>
      </c>
      <c r="NF16" s="43"/>
      <c r="NG16" s="42">
        <v>0</v>
      </c>
      <c r="NH16" s="47">
        <v>0</v>
      </c>
      <c r="NI16" s="47">
        <v>0</v>
      </c>
      <c r="NJ16" s="47">
        <v>0</v>
      </c>
      <c r="NK16" s="44">
        <v>0</v>
      </c>
      <c r="NL16" s="43"/>
      <c r="NM16" s="42">
        <v>0</v>
      </c>
      <c r="NN16" s="47">
        <v>0</v>
      </c>
      <c r="NO16" s="47">
        <v>0</v>
      </c>
      <c r="NP16" s="47">
        <v>0</v>
      </c>
      <c r="NQ16" s="44">
        <v>0</v>
      </c>
      <c r="NR16" s="43"/>
      <c r="NS16" s="42">
        <v>0</v>
      </c>
      <c r="NT16" s="47">
        <v>0</v>
      </c>
      <c r="NU16" s="47">
        <v>0</v>
      </c>
      <c r="NV16" s="47">
        <v>0</v>
      </c>
      <c r="NW16" s="44">
        <v>0</v>
      </c>
      <c r="NX16" s="43"/>
      <c r="NY16" s="42">
        <v>0</v>
      </c>
      <c r="NZ16" s="47">
        <v>0</v>
      </c>
      <c r="OA16" s="47">
        <v>0</v>
      </c>
      <c r="OB16" s="47">
        <v>0</v>
      </c>
      <c r="OC16" s="44">
        <v>0</v>
      </c>
      <c r="OD16" s="43"/>
      <c r="OE16" s="42">
        <v>0</v>
      </c>
      <c r="OF16" s="47">
        <v>0</v>
      </c>
      <c r="OG16" s="47">
        <v>0</v>
      </c>
      <c r="OH16" s="47">
        <v>0</v>
      </c>
      <c r="OI16" s="44">
        <v>0</v>
      </c>
      <c r="OJ16" s="43"/>
      <c r="OK16" s="42">
        <v>0</v>
      </c>
      <c r="OL16" s="47">
        <v>0</v>
      </c>
      <c r="OM16" s="47">
        <v>0</v>
      </c>
      <c r="ON16" s="47">
        <v>0</v>
      </c>
      <c r="OO16" s="44">
        <v>0</v>
      </c>
      <c r="OP16" s="43"/>
      <c r="OQ16" s="42">
        <v>0</v>
      </c>
      <c r="OR16" s="47">
        <v>0</v>
      </c>
      <c r="OS16" s="47">
        <v>0</v>
      </c>
      <c r="OT16" s="47">
        <v>0</v>
      </c>
      <c r="OU16" s="44">
        <v>0</v>
      </c>
      <c r="OV16" s="43"/>
      <c r="OW16" s="42">
        <v>0</v>
      </c>
      <c r="OX16" s="47">
        <v>0</v>
      </c>
      <c r="OY16" s="47">
        <v>0</v>
      </c>
      <c r="OZ16" s="47">
        <v>0</v>
      </c>
      <c r="PA16" s="44">
        <v>0</v>
      </c>
      <c r="PB16" s="43"/>
      <c r="PC16" s="42">
        <v>0</v>
      </c>
      <c r="PD16" s="47">
        <v>0</v>
      </c>
      <c r="PE16" s="47">
        <v>0</v>
      </c>
      <c r="PF16" s="47">
        <v>0</v>
      </c>
      <c r="PG16" s="44">
        <v>0</v>
      </c>
      <c r="PH16" s="43"/>
      <c r="PI16" s="42">
        <v>0</v>
      </c>
      <c r="PJ16" s="47">
        <v>0</v>
      </c>
      <c r="PK16" s="47">
        <v>0</v>
      </c>
      <c r="PL16" s="47">
        <v>0</v>
      </c>
      <c r="PM16" s="44">
        <v>0</v>
      </c>
      <c r="PN16" s="43"/>
      <c r="PO16" s="42">
        <v>0</v>
      </c>
      <c r="PP16" s="47">
        <v>0</v>
      </c>
      <c r="PQ16" s="47">
        <v>0</v>
      </c>
      <c r="PR16" s="47">
        <v>0</v>
      </c>
      <c r="PS16" s="44">
        <v>0</v>
      </c>
      <c r="PT16" s="43"/>
      <c r="PU16" s="42">
        <v>0</v>
      </c>
      <c r="PV16" s="47">
        <v>0</v>
      </c>
      <c r="PW16" s="47">
        <v>0</v>
      </c>
      <c r="PX16" s="47">
        <v>0</v>
      </c>
      <c r="PY16" s="44">
        <v>0</v>
      </c>
      <c r="PZ16" s="43"/>
      <c r="QA16" s="42">
        <v>0</v>
      </c>
      <c r="QB16" s="47">
        <v>0</v>
      </c>
      <c r="QC16" s="44">
        <v>0</v>
      </c>
      <c r="QD16" s="43"/>
      <c r="QE16" s="42">
        <v>0</v>
      </c>
      <c r="QF16" s="47">
        <v>0</v>
      </c>
      <c r="QG16" s="44">
        <v>0</v>
      </c>
      <c r="QH16" s="43"/>
      <c r="QI16" s="42">
        <v>0</v>
      </c>
      <c r="QJ16" s="47">
        <v>0</v>
      </c>
      <c r="QK16" s="44">
        <v>0</v>
      </c>
      <c r="QL16" s="43"/>
      <c r="QM16" s="42">
        <v>0</v>
      </c>
      <c r="QN16" s="47">
        <v>0</v>
      </c>
      <c r="QO16" s="47">
        <v>0</v>
      </c>
      <c r="QP16" s="47">
        <v>0</v>
      </c>
      <c r="QQ16" s="44">
        <v>0</v>
      </c>
      <c r="QR16" s="43"/>
      <c r="QS16" s="42">
        <v>0</v>
      </c>
      <c r="QT16" s="47">
        <v>0</v>
      </c>
      <c r="QU16" s="44">
        <v>0</v>
      </c>
      <c r="QV16" s="43"/>
      <c r="QW16" s="42">
        <v>0</v>
      </c>
      <c r="QX16" s="5">
        <v>401</v>
      </c>
      <c r="QY16" s="44">
        <v>-5</v>
      </c>
      <c r="QZ16" s="43"/>
    </row>
    <row r="17" spans="1:468" x14ac:dyDescent="0.25">
      <c r="A17" s="47" t="s">
        <v>301</v>
      </c>
      <c r="B17" s="38">
        <v>1</v>
      </c>
      <c r="N17" s="39"/>
      <c r="O17" s="48"/>
      <c r="P17" s="48"/>
      <c r="Q17" s="48"/>
      <c r="R17" s="48">
        <f t="shared" si="8"/>
        <v>0</v>
      </c>
      <c r="S17" s="40"/>
      <c r="T17" s="39"/>
      <c r="U17" s="48"/>
      <c r="V17" s="48">
        <f t="shared" si="9"/>
        <v>0</v>
      </c>
      <c r="W17" s="40"/>
      <c r="X17" s="39"/>
      <c r="Y17" s="48"/>
      <c r="Z17" s="48"/>
      <c r="AA17" s="48"/>
      <c r="AB17" s="48">
        <f t="shared" si="10"/>
        <v>0</v>
      </c>
      <c r="AC17" s="40"/>
      <c r="AD17" s="48"/>
      <c r="AH17" s="44">
        <v>0</v>
      </c>
      <c r="AI17" s="40"/>
      <c r="AN17" s="44">
        <v>0</v>
      </c>
      <c r="AO17" s="40"/>
      <c r="AT17" s="44">
        <v>0</v>
      </c>
      <c r="AU17" s="40"/>
      <c r="AV17" s="39"/>
      <c r="AX17" s="44">
        <v>0</v>
      </c>
      <c r="AY17" s="40"/>
      <c r="AZ17" s="39"/>
      <c r="BB17" s="44">
        <v>0</v>
      </c>
      <c r="BC17" s="40"/>
      <c r="BH17" s="44">
        <v>0</v>
      </c>
      <c r="BI17" s="40"/>
      <c r="BL17" s="44">
        <v>0</v>
      </c>
      <c r="BM17" s="40"/>
      <c r="BN17" s="39"/>
      <c r="BR17" s="44">
        <v>0</v>
      </c>
      <c r="BS17" s="40"/>
      <c r="BV17" s="44">
        <v>0</v>
      </c>
      <c r="BW17" s="40"/>
      <c r="BX17" s="39"/>
      <c r="BZ17" s="44">
        <v>0</v>
      </c>
      <c r="CA17" s="40"/>
      <c r="CB17" s="39"/>
      <c r="CH17" s="44">
        <v>0</v>
      </c>
      <c r="CI17" s="40"/>
      <c r="CN17" s="44">
        <v>0</v>
      </c>
      <c r="CO17" s="40"/>
      <c r="CP17" s="39"/>
      <c r="CT17" s="44">
        <v>0</v>
      </c>
      <c r="CU17" s="40"/>
      <c r="CV17" s="39"/>
      <c r="CZ17" s="44">
        <v>0</v>
      </c>
      <c r="DA17" s="40"/>
      <c r="DB17" s="39"/>
      <c r="DF17" s="44">
        <v>0</v>
      </c>
      <c r="DG17" s="40"/>
      <c r="DN17" s="44">
        <v>0</v>
      </c>
      <c r="DO17" s="40"/>
      <c r="DP17" s="39"/>
      <c r="DR17" s="44">
        <v>0</v>
      </c>
      <c r="DS17" s="40"/>
      <c r="DT17" s="39"/>
      <c r="DX17" s="44">
        <v>0</v>
      </c>
      <c r="DY17" s="40"/>
      <c r="DZ17" s="39"/>
      <c r="EB17" s="44">
        <v>0</v>
      </c>
      <c r="EC17" s="40"/>
      <c r="EK17" s="44">
        <v>0</v>
      </c>
      <c r="EL17" s="40"/>
      <c r="ES17" s="44">
        <v>0</v>
      </c>
      <c r="ET17" s="40"/>
      <c r="EU17" s="39"/>
      <c r="EY17" s="44">
        <v>0</v>
      </c>
      <c r="EZ17" s="40"/>
      <c r="FA17" s="39"/>
      <c r="FD17" s="44">
        <v>0</v>
      </c>
      <c r="FE17" s="40"/>
      <c r="FH17" s="44">
        <v>0</v>
      </c>
      <c r="FI17" s="40"/>
      <c r="FJ17" s="39"/>
      <c r="FQ17" s="44">
        <v>0</v>
      </c>
      <c r="FR17" s="40"/>
      <c r="FW17" s="44">
        <v>0</v>
      </c>
      <c r="FX17" s="40"/>
      <c r="FY17" s="39"/>
      <c r="GC17" s="44">
        <v>0</v>
      </c>
      <c r="GD17" s="40"/>
      <c r="GI17" s="44">
        <v>0</v>
      </c>
      <c r="GJ17" s="40"/>
      <c r="GM17" s="44">
        <v>0</v>
      </c>
      <c r="GN17" s="40"/>
      <c r="GO17" s="39"/>
      <c r="GQ17" s="44">
        <v>0</v>
      </c>
      <c r="GR17" s="40"/>
      <c r="GX17" s="44">
        <v>0</v>
      </c>
      <c r="GY17" s="40"/>
      <c r="HD17" s="44">
        <v>0</v>
      </c>
      <c r="HE17" s="40"/>
      <c r="HF17" s="39"/>
      <c r="HJ17" s="44">
        <v>0</v>
      </c>
      <c r="HK17" s="40"/>
      <c r="HL17" s="39"/>
      <c r="HP17" s="44">
        <v>0</v>
      </c>
      <c r="HQ17" s="40"/>
      <c r="HV17" s="44">
        <v>0</v>
      </c>
      <c r="HW17" s="43"/>
      <c r="IB17" s="44">
        <v>0</v>
      </c>
      <c r="IC17" s="43"/>
      <c r="IH17" s="44">
        <v>0</v>
      </c>
      <c r="II17" s="43"/>
      <c r="IN17" s="44">
        <v>0</v>
      </c>
      <c r="IO17" s="40"/>
      <c r="IR17" s="44">
        <v>0</v>
      </c>
      <c r="IS17" s="40"/>
      <c r="IX17" s="44">
        <v>0</v>
      </c>
      <c r="IY17" s="43"/>
      <c r="JB17" s="44">
        <v>0</v>
      </c>
      <c r="JC17" s="40"/>
      <c r="JH17" s="44">
        <v>0</v>
      </c>
      <c r="JI17" s="40"/>
      <c r="JN17" s="44">
        <v>0</v>
      </c>
      <c r="JO17" s="43"/>
      <c r="JT17" s="44">
        <v>0</v>
      </c>
      <c r="JU17" s="43"/>
      <c r="JZ17" s="44">
        <v>0</v>
      </c>
      <c r="KA17" s="43"/>
      <c r="KB17" s="42"/>
      <c r="KI17" s="44">
        <v>0</v>
      </c>
      <c r="KJ17" s="43"/>
      <c r="KK17" s="47">
        <v>0</v>
      </c>
      <c r="KL17" s="47">
        <v>0</v>
      </c>
      <c r="KM17" s="47">
        <v>0</v>
      </c>
      <c r="KN17" s="47">
        <v>0</v>
      </c>
      <c r="KO17" s="44">
        <v>0</v>
      </c>
      <c r="KP17" s="43"/>
      <c r="KQ17" s="47">
        <v>0</v>
      </c>
      <c r="KR17" s="47">
        <v>0</v>
      </c>
      <c r="KS17" s="47">
        <v>0</v>
      </c>
      <c r="KT17" s="47">
        <v>0</v>
      </c>
      <c r="KU17" s="44">
        <v>0</v>
      </c>
      <c r="KV17" s="43"/>
      <c r="KW17" s="42">
        <v>0</v>
      </c>
      <c r="KX17" s="47">
        <v>0</v>
      </c>
      <c r="KY17" s="44">
        <v>0</v>
      </c>
      <c r="KZ17" s="43"/>
      <c r="LA17" s="42">
        <v>0</v>
      </c>
      <c r="LB17" s="47">
        <v>0</v>
      </c>
      <c r="LC17" s="47">
        <v>0</v>
      </c>
      <c r="LD17" s="47">
        <v>0</v>
      </c>
      <c r="LE17" s="44">
        <v>0</v>
      </c>
      <c r="LF17" s="43"/>
      <c r="LG17" s="42">
        <v>0</v>
      </c>
      <c r="LH17" s="47">
        <v>0</v>
      </c>
      <c r="LI17" s="47">
        <v>0</v>
      </c>
      <c r="LJ17" s="47">
        <v>0</v>
      </c>
      <c r="LK17" s="44">
        <v>0</v>
      </c>
      <c r="LL17" s="43"/>
      <c r="LM17" s="42">
        <v>0</v>
      </c>
      <c r="LN17" s="47">
        <v>0</v>
      </c>
      <c r="LO17" s="44">
        <v>0</v>
      </c>
      <c r="LP17" s="43"/>
      <c r="LQ17" s="42">
        <v>0</v>
      </c>
      <c r="LR17" s="47">
        <v>0</v>
      </c>
      <c r="LS17" s="47">
        <v>0</v>
      </c>
      <c r="LT17" s="47">
        <v>0</v>
      </c>
      <c r="LU17" s="44">
        <v>0</v>
      </c>
      <c r="LV17" s="43"/>
      <c r="LW17" s="42">
        <v>0</v>
      </c>
      <c r="LX17" s="47">
        <v>0</v>
      </c>
      <c r="LY17" s="47">
        <v>0</v>
      </c>
      <c r="LZ17" s="47">
        <v>0</v>
      </c>
      <c r="MA17" s="44">
        <v>0</v>
      </c>
      <c r="MB17" s="43"/>
      <c r="MC17" s="42">
        <v>0</v>
      </c>
      <c r="MD17" s="47">
        <v>0</v>
      </c>
      <c r="ME17" s="47">
        <v>0</v>
      </c>
      <c r="MF17" s="47">
        <v>0</v>
      </c>
      <c r="MG17" s="44">
        <v>0</v>
      </c>
      <c r="MH17" s="43"/>
      <c r="MI17" s="42">
        <v>0</v>
      </c>
      <c r="MJ17" s="47">
        <v>0</v>
      </c>
      <c r="MK17" s="47">
        <v>0</v>
      </c>
      <c r="ML17" s="47">
        <v>0</v>
      </c>
      <c r="MM17" s="44">
        <v>0</v>
      </c>
      <c r="MN17" s="43"/>
      <c r="MO17" s="42">
        <v>0</v>
      </c>
      <c r="MP17" s="47">
        <v>0</v>
      </c>
      <c r="MQ17" s="47">
        <v>0</v>
      </c>
      <c r="MR17" s="47">
        <v>0</v>
      </c>
      <c r="MS17" s="44">
        <v>0</v>
      </c>
      <c r="MT17" s="43"/>
      <c r="MU17" s="42">
        <v>0</v>
      </c>
      <c r="MV17" s="47">
        <v>0</v>
      </c>
      <c r="MW17" s="47">
        <v>0</v>
      </c>
      <c r="MX17" s="47">
        <v>0</v>
      </c>
      <c r="MY17" s="44">
        <v>0</v>
      </c>
      <c r="MZ17" s="43"/>
      <c r="NA17" s="42">
        <v>0</v>
      </c>
      <c r="NB17" s="47">
        <v>0</v>
      </c>
      <c r="NC17" s="47">
        <v>0</v>
      </c>
      <c r="ND17" s="47">
        <v>0</v>
      </c>
      <c r="NE17" s="44">
        <v>0</v>
      </c>
      <c r="NF17" s="43"/>
      <c r="NG17" s="42">
        <v>0</v>
      </c>
      <c r="NH17" s="47">
        <v>0</v>
      </c>
      <c r="NI17" s="47">
        <v>0</v>
      </c>
      <c r="NJ17" s="47">
        <v>0</v>
      </c>
      <c r="NK17" s="44">
        <v>0</v>
      </c>
      <c r="NL17" s="43"/>
      <c r="NM17" s="42">
        <v>0</v>
      </c>
      <c r="NN17" s="47">
        <v>0</v>
      </c>
      <c r="NO17" s="47">
        <v>0</v>
      </c>
      <c r="NP17" s="47">
        <v>0</v>
      </c>
      <c r="NQ17" s="44">
        <v>0</v>
      </c>
      <c r="NR17" s="43"/>
      <c r="NS17" s="42">
        <v>0</v>
      </c>
      <c r="NT17" s="47">
        <v>0</v>
      </c>
      <c r="NU17" s="47">
        <v>0</v>
      </c>
      <c r="NV17" s="47">
        <v>0</v>
      </c>
      <c r="NW17" s="44">
        <v>0</v>
      </c>
      <c r="NX17" s="43"/>
      <c r="NY17" s="42">
        <v>0</v>
      </c>
      <c r="NZ17" s="47">
        <v>0</v>
      </c>
      <c r="OA17" s="47">
        <v>0</v>
      </c>
      <c r="OB17" s="47">
        <v>0</v>
      </c>
      <c r="OC17" s="44">
        <v>0</v>
      </c>
      <c r="OD17" s="43"/>
      <c r="OE17" s="42">
        <v>0</v>
      </c>
      <c r="OF17" s="47">
        <v>0</v>
      </c>
      <c r="OG17" s="47">
        <v>0</v>
      </c>
      <c r="OH17" s="47">
        <v>0</v>
      </c>
      <c r="OI17" s="44">
        <v>0</v>
      </c>
      <c r="OJ17" s="43"/>
      <c r="OK17" s="42">
        <v>0</v>
      </c>
      <c r="OL17" s="47">
        <v>0</v>
      </c>
      <c r="OM17" s="47">
        <v>0</v>
      </c>
      <c r="ON17" s="47">
        <v>0</v>
      </c>
      <c r="OO17" s="44">
        <v>0</v>
      </c>
      <c r="OP17" s="43"/>
      <c r="OQ17" s="42">
        <v>0</v>
      </c>
      <c r="OR17" s="47">
        <v>0</v>
      </c>
      <c r="OS17" s="47">
        <v>0</v>
      </c>
      <c r="OT17" s="47">
        <v>0</v>
      </c>
      <c r="OU17" s="44">
        <v>0</v>
      </c>
      <c r="OV17" s="43"/>
      <c r="OW17" s="42">
        <v>0</v>
      </c>
      <c r="OX17" s="47">
        <v>0</v>
      </c>
      <c r="OY17" s="47">
        <v>0</v>
      </c>
      <c r="OZ17" s="47">
        <v>0</v>
      </c>
      <c r="PA17" s="44">
        <v>0</v>
      </c>
      <c r="PB17" s="43"/>
      <c r="PC17" s="42">
        <v>0</v>
      </c>
      <c r="PD17" s="47">
        <v>0</v>
      </c>
      <c r="PE17" s="47">
        <v>0</v>
      </c>
      <c r="PF17" s="47">
        <v>0</v>
      </c>
      <c r="PG17" s="44">
        <v>0</v>
      </c>
      <c r="PH17" s="43"/>
      <c r="PI17" s="42">
        <v>0</v>
      </c>
      <c r="PJ17" s="47">
        <v>0</v>
      </c>
      <c r="PK17" s="47">
        <v>0</v>
      </c>
      <c r="PL17" s="12">
        <v>10</v>
      </c>
      <c r="PM17" s="44">
        <v>-2</v>
      </c>
      <c r="PN17" s="43"/>
      <c r="PO17" s="42">
        <v>0</v>
      </c>
      <c r="PP17" s="47">
        <v>0</v>
      </c>
      <c r="PQ17" s="47">
        <v>0</v>
      </c>
      <c r="PR17" s="12">
        <v>30</v>
      </c>
      <c r="PS17" s="44">
        <v>2</v>
      </c>
      <c r="PT17" s="43"/>
      <c r="PU17" s="42">
        <v>0</v>
      </c>
      <c r="PV17" s="47">
        <v>0</v>
      </c>
      <c r="PW17" s="47">
        <v>19.052</v>
      </c>
      <c r="PX17" s="47">
        <v>20</v>
      </c>
      <c r="PY17" s="44">
        <v>-0.9480000000000004</v>
      </c>
      <c r="PZ17" s="43"/>
      <c r="QA17" s="42">
        <v>0</v>
      </c>
      <c r="QB17" s="47">
        <v>0</v>
      </c>
      <c r="QC17" s="44">
        <v>0</v>
      </c>
      <c r="QD17" s="43"/>
      <c r="QE17" s="42">
        <v>0</v>
      </c>
      <c r="QF17" s="47">
        <v>0</v>
      </c>
      <c r="QG17" s="44">
        <v>0</v>
      </c>
      <c r="QH17" s="43"/>
      <c r="QI17" s="42">
        <v>0</v>
      </c>
      <c r="QJ17" s="47">
        <v>0</v>
      </c>
      <c r="QK17" s="44">
        <v>0</v>
      </c>
      <c r="QL17" s="43"/>
      <c r="QM17" s="42">
        <v>0</v>
      </c>
      <c r="QN17" s="47">
        <v>0</v>
      </c>
      <c r="QO17" s="47">
        <v>0</v>
      </c>
      <c r="QP17" s="47">
        <v>0</v>
      </c>
      <c r="QQ17" s="44">
        <v>0</v>
      </c>
      <c r="QR17" s="43"/>
      <c r="QS17" s="42">
        <v>0</v>
      </c>
      <c r="QT17" s="47">
        <v>0</v>
      </c>
      <c r="QU17" s="44">
        <v>0</v>
      </c>
      <c r="QV17" s="43"/>
      <c r="QW17" s="42">
        <v>0</v>
      </c>
      <c r="QX17" s="47">
        <v>0</v>
      </c>
      <c r="QY17" s="44">
        <v>0</v>
      </c>
      <c r="QZ17" s="43"/>
    </row>
    <row r="18" spans="1:468" x14ac:dyDescent="0.25">
      <c r="A18" s="47" t="s">
        <v>302</v>
      </c>
      <c r="B18" s="38">
        <v>1</v>
      </c>
      <c r="N18" s="39"/>
      <c r="O18" s="48"/>
      <c r="P18" s="48"/>
      <c r="Q18" s="48"/>
      <c r="R18" s="48">
        <f t="shared" si="8"/>
        <v>0</v>
      </c>
      <c r="S18" s="40"/>
      <c r="T18" s="39"/>
      <c r="U18" s="48"/>
      <c r="V18" s="48">
        <f t="shared" si="9"/>
        <v>0</v>
      </c>
      <c r="W18" s="40"/>
      <c r="X18" s="39"/>
      <c r="Y18" s="48"/>
      <c r="Z18" s="48"/>
      <c r="AA18" s="48"/>
      <c r="AB18" s="48">
        <f t="shared" si="10"/>
        <v>0</v>
      </c>
      <c r="AC18" s="40"/>
      <c r="AD18" s="48"/>
      <c r="AH18" s="44">
        <v>0</v>
      </c>
      <c r="AI18" s="40"/>
      <c r="AN18" s="44">
        <v>0</v>
      </c>
      <c r="AO18" s="40"/>
      <c r="AT18" s="44">
        <v>0</v>
      </c>
      <c r="AU18" s="40"/>
      <c r="AV18" s="39"/>
      <c r="AX18" s="44">
        <v>0</v>
      </c>
      <c r="AY18" s="40"/>
      <c r="AZ18" s="39"/>
      <c r="BB18" s="44">
        <v>0</v>
      </c>
      <c r="BC18" s="40"/>
      <c r="BH18" s="44">
        <v>0</v>
      </c>
      <c r="BI18" s="40"/>
      <c r="BL18" s="44">
        <v>0</v>
      </c>
      <c r="BM18" s="40"/>
      <c r="BN18" s="39"/>
      <c r="BR18" s="44">
        <v>0</v>
      </c>
      <c r="BS18" s="40"/>
      <c r="BV18" s="44">
        <v>0</v>
      </c>
      <c r="BW18" s="40"/>
      <c r="BX18" s="39"/>
      <c r="BZ18" s="44">
        <v>0</v>
      </c>
      <c r="CA18" s="40"/>
      <c r="CB18" s="39"/>
      <c r="CH18" s="44">
        <v>0</v>
      </c>
      <c r="CI18" s="40"/>
      <c r="CN18" s="44">
        <v>0</v>
      </c>
      <c r="CO18" s="40"/>
      <c r="CP18" s="39"/>
      <c r="CT18" s="44">
        <v>0</v>
      </c>
      <c r="CU18" s="40"/>
      <c r="CV18" s="39"/>
      <c r="CZ18" s="44">
        <v>0</v>
      </c>
      <c r="DA18" s="40"/>
      <c r="DB18" s="39"/>
      <c r="DF18" s="44">
        <v>0</v>
      </c>
      <c r="DG18" s="40"/>
      <c r="DN18" s="44">
        <v>0</v>
      </c>
      <c r="DO18" s="40"/>
      <c r="DP18" s="39"/>
      <c r="DR18" s="44">
        <v>0</v>
      </c>
      <c r="DS18" s="40"/>
      <c r="DT18" s="39"/>
      <c r="DX18" s="44">
        <v>0</v>
      </c>
      <c r="DY18" s="40"/>
      <c r="DZ18" s="39"/>
      <c r="EB18" s="44">
        <v>0</v>
      </c>
      <c r="EC18" s="40"/>
      <c r="EK18" s="44">
        <v>0</v>
      </c>
      <c r="EL18" s="40"/>
      <c r="ES18" s="44">
        <v>0</v>
      </c>
      <c r="ET18" s="40"/>
      <c r="EU18" s="39"/>
      <c r="EY18" s="44">
        <v>0</v>
      </c>
      <c r="EZ18" s="40"/>
      <c r="FA18" s="39"/>
      <c r="FD18" s="44">
        <v>0</v>
      </c>
      <c r="FE18" s="40"/>
      <c r="FH18" s="44">
        <v>0</v>
      </c>
      <c r="FI18" s="40"/>
      <c r="FJ18" s="39"/>
      <c r="FQ18" s="44">
        <v>0</v>
      </c>
      <c r="FR18" s="40"/>
      <c r="FW18" s="44">
        <v>0</v>
      </c>
      <c r="FX18" s="40"/>
      <c r="FY18" s="39"/>
      <c r="GC18" s="44">
        <v>0</v>
      </c>
      <c r="GD18" s="40"/>
      <c r="GI18" s="44">
        <v>0</v>
      </c>
      <c r="GJ18" s="40"/>
      <c r="GM18" s="44">
        <v>0</v>
      </c>
      <c r="GN18" s="40"/>
      <c r="GO18" s="39"/>
      <c r="GQ18" s="44">
        <v>0</v>
      </c>
      <c r="GR18" s="40"/>
      <c r="GX18" s="44">
        <v>0</v>
      </c>
      <c r="GY18" s="40"/>
      <c r="HD18" s="44">
        <v>0</v>
      </c>
      <c r="HE18" s="40"/>
      <c r="HF18" s="39"/>
      <c r="HJ18" s="44">
        <v>0</v>
      </c>
      <c r="HK18" s="40"/>
      <c r="HL18" s="39"/>
      <c r="HP18" s="44">
        <v>0</v>
      </c>
      <c r="HQ18" s="40"/>
      <c r="HV18" s="44">
        <v>0</v>
      </c>
      <c r="HW18" s="43"/>
      <c r="IB18" s="44">
        <v>0</v>
      </c>
      <c r="IC18" s="43"/>
      <c r="IH18" s="44">
        <v>0</v>
      </c>
      <c r="II18" s="43"/>
      <c r="IN18" s="44">
        <v>0</v>
      </c>
      <c r="IO18" s="40"/>
      <c r="IR18" s="44">
        <v>0</v>
      </c>
      <c r="IS18" s="40"/>
      <c r="IX18" s="44">
        <v>0</v>
      </c>
      <c r="IY18" s="43"/>
      <c r="JB18" s="44">
        <v>0</v>
      </c>
      <c r="JC18" s="40"/>
      <c r="JH18" s="44">
        <v>0</v>
      </c>
      <c r="JI18" s="40"/>
      <c r="JN18" s="44">
        <v>0</v>
      </c>
      <c r="JO18" s="43"/>
      <c r="JT18" s="44">
        <v>0</v>
      </c>
      <c r="JU18" s="43"/>
      <c r="JZ18" s="44">
        <v>0</v>
      </c>
      <c r="KA18" s="43"/>
      <c r="KB18" s="42"/>
      <c r="KI18" s="44">
        <v>0</v>
      </c>
      <c r="KJ18" s="43"/>
      <c r="KK18" s="47">
        <v>0</v>
      </c>
      <c r="KL18" s="47">
        <v>0</v>
      </c>
      <c r="KM18" s="47">
        <v>0</v>
      </c>
      <c r="KN18" s="47">
        <v>0</v>
      </c>
      <c r="KO18" s="44">
        <v>0</v>
      </c>
      <c r="KP18" s="43"/>
      <c r="KQ18" s="47">
        <v>0</v>
      </c>
      <c r="KR18" s="47">
        <v>0</v>
      </c>
      <c r="KS18" s="47">
        <v>0</v>
      </c>
      <c r="KT18" s="47">
        <v>0</v>
      </c>
      <c r="KU18" s="44">
        <v>0</v>
      </c>
      <c r="KV18" s="43"/>
      <c r="KW18" s="42">
        <v>0</v>
      </c>
      <c r="KX18" s="47">
        <v>0</v>
      </c>
      <c r="KY18" s="44">
        <v>0</v>
      </c>
      <c r="KZ18" s="43"/>
      <c r="LA18" s="42">
        <v>0</v>
      </c>
      <c r="LB18" s="47">
        <v>0</v>
      </c>
      <c r="LC18" s="47">
        <v>0</v>
      </c>
      <c r="LD18" s="47">
        <v>0</v>
      </c>
      <c r="LE18" s="44">
        <v>0</v>
      </c>
      <c r="LF18" s="43"/>
      <c r="LG18" s="42">
        <v>0</v>
      </c>
      <c r="LH18" s="47">
        <v>0</v>
      </c>
      <c r="LI18" s="47">
        <v>0</v>
      </c>
      <c r="LJ18" s="47">
        <v>0</v>
      </c>
      <c r="LK18" s="44">
        <v>0</v>
      </c>
      <c r="LL18" s="43"/>
      <c r="LM18" s="42">
        <v>0</v>
      </c>
      <c r="LN18" s="47">
        <v>0</v>
      </c>
      <c r="LO18" s="44">
        <v>0</v>
      </c>
      <c r="LP18" s="43"/>
      <c r="LQ18" s="42">
        <v>0</v>
      </c>
      <c r="LR18" s="47">
        <v>0</v>
      </c>
      <c r="LS18" s="47">
        <v>0</v>
      </c>
      <c r="LT18" s="47">
        <v>0</v>
      </c>
      <c r="LU18" s="44">
        <v>0</v>
      </c>
      <c r="LV18" s="43"/>
      <c r="LW18" s="42">
        <v>0</v>
      </c>
      <c r="LX18" s="47">
        <v>0</v>
      </c>
      <c r="LY18" s="47">
        <v>0</v>
      </c>
      <c r="LZ18" s="47">
        <v>0</v>
      </c>
      <c r="MA18" s="44">
        <v>0</v>
      </c>
      <c r="MB18" s="43"/>
      <c r="MC18" s="42">
        <v>0</v>
      </c>
      <c r="MD18" s="47">
        <v>0</v>
      </c>
      <c r="ME18" s="47">
        <v>0</v>
      </c>
      <c r="MF18" s="47">
        <v>0</v>
      </c>
      <c r="MG18" s="44">
        <v>0</v>
      </c>
      <c r="MH18" s="43"/>
      <c r="MI18" s="42">
        <v>0</v>
      </c>
      <c r="MJ18" s="47">
        <v>0</v>
      </c>
      <c r="MK18" s="47">
        <v>0</v>
      </c>
      <c r="ML18" s="47">
        <v>0</v>
      </c>
      <c r="MM18" s="44">
        <v>0</v>
      </c>
      <c r="MN18" s="43"/>
      <c r="MO18" s="42">
        <v>0</v>
      </c>
      <c r="MP18" s="47">
        <v>0</v>
      </c>
      <c r="MQ18" s="47">
        <v>0</v>
      </c>
      <c r="MR18" s="47">
        <v>0</v>
      </c>
      <c r="MS18" s="44">
        <v>0</v>
      </c>
      <c r="MT18" s="43"/>
      <c r="MU18" s="42">
        <v>0</v>
      </c>
      <c r="MV18" s="47">
        <v>0</v>
      </c>
      <c r="MW18" s="47">
        <v>0</v>
      </c>
      <c r="MX18" s="47">
        <v>0</v>
      </c>
      <c r="MY18" s="44">
        <v>0</v>
      </c>
      <c r="MZ18" s="43"/>
      <c r="NA18" s="42">
        <v>0</v>
      </c>
      <c r="NB18" s="47">
        <v>0</v>
      </c>
      <c r="NC18" s="47">
        <v>0</v>
      </c>
      <c r="ND18" s="47">
        <v>0</v>
      </c>
      <c r="NE18" s="44">
        <v>0</v>
      </c>
      <c r="NF18" s="43"/>
      <c r="NG18" s="42">
        <v>0</v>
      </c>
      <c r="NH18" s="47">
        <v>0</v>
      </c>
      <c r="NI18" s="47">
        <v>0</v>
      </c>
      <c r="NJ18" s="47">
        <v>0</v>
      </c>
      <c r="NK18" s="44">
        <v>0</v>
      </c>
      <c r="NL18" s="43"/>
      <c r="NM18" s="42">
        <v>0</v>
      </c>
      <c r="NN18" s="47">
        <v>0</v>
      </c>
      <c r="NO18" s="47">
        <v>0</v>
      </c>
      <c r="NP18" s="47">
        <v>0</v>
      </c>
      <c r="NQ18" s="44">
        <v>0</v>
      </c>
      <c r="NR18" s="43"/>
      <c r="NS18" s="42">
        <v>0</v>
      </c>
      <c r="NT18" s="47">
        <v>0</v>
      </c>
      <c r="NU18" s="47">
        <v>0</v>
      </c>
      <c r="NV18" s="47">
        <v>0</v>
      </c>
      <c r="NW18" s="44">
        <v>0</v>
      </c>
      <c r="NX18" s="43"/>
      <c r="NY18" s="42">
        <v>0</v>
      </c>
      <c r="NZ18" s="47">
        <v>0</v>
      </c>
      <c r="OA18" s="47">
        <v>0</v>
      </c>
      <c r="OB18" s="47">
        <v>0</v>
      </c>
      <c r="OC18" s="44">
        <v>0</v>
      </c>
      <c r="OD18" s="43"/>
      <c r="OE18" s="42">
        <v>0</v>
      </c>
      <c r="OF18" s="47">
        <v>0</v>
      </c>
      <c r="OG18" s="47">
        <v>0</v>
      </c>
      <c r="OH18" s="47">
        <v>0</v>
      </c>
      <c r="OI18" s="44">
        <v>0</v>
      </c>
      <c r="OJ18" s="43"/>
      <c r="OK18" s="42">
        <v>0</v>
      </c>
      <c r="OL18" s="47">
        <v>0</v>
      </c>
      <c r="OM18" s="47">
        <v>0</v>
      </c>
      <c r="ON18" s="47">
        <v>0</v>
      </c>
      <c r="OO18" s="44">
        <v>0</v>
      </c>
      <c r="OP18" s="43"/>
      <c r="OQ18" s="42">
        <v>0</v>
      </c>
      <c r="OR18" s="47">
        <v>0</v>
      </c>
      <c r="OS18" s="47">
        <v>0</v>
      </c>
      <c r="OT18" s="47">
        <v>0</v>
      </c>
      <c r="OU18" s="44">
        <v>0</v>
      </c>
      <c r="OV18" s="43"/>
      <c r="OW18" s="42">
        <v>0</v>
      </c>
      <c r="OX18" s="47">
        <v>0</v>
      </c>
      <c r="OY18" s="47">
        <v>0</v>
      </c>
      <c r="OZ18" s="47">
        <v>0</v>
      </c>
      <c r="PA18" s="44">
        <v>0</v>
      </c>
      <c r="PB18" s="43"/>
      <c r="PC18" s="42">
        <v>0</v>
      </c>
      <c r="PD18" s="47">
        <v>0</v>
      </c>
      <c r="PE18" s="47">
        <v>0</v>
      </c>
      <c r="PF18" s="47">
        <v>0</v>
      </c>
      <c r="PG18" s="44">
        <v>0</v>
      </c>
      <c r="PH18" s="43"/>
      <c r="PI18" s="42">
        <v>0</v>
      </c>
      <c r="PJ18" s="47">
        <v>0</v>
      </c>
      <c r="PK18" s="47">
        <v>49.533999999999999</v>
      </c>
      <c r="PL18" s="47">
        <v>50</v>
      </c>
      <c r="PM18" s="44">
        <v>-0.46600000000000108</v>
      </c>
      <c r="PN18" s="43"/>
      <c r="PO18" s="42">
        <v>0</v>
      </c>
      <c r="PP18" s="47">
        <v>0</v>
      </c>
      <c r="PQ18" s="47">
        <v>49.56</v>
      </c>
      <c r="PR18" s="47">
        <v>50</v>
      </c>
      <c r="PS18" s="44">
        <v>-0.43999999999999773</v>
      </c>
      <c r="PT18" s="43"/>
      <c r="PU18" s="42">
        <v>0</v>
      </c>
      <c r="PV18" s="47">
        <v>0</v>
      </c>
      <c r="PW18" s="47">
        <v>22.463000000000001</v>
      </c>
      <c r="PX18" s="47">
        <v>20</v>
      </c>
      <c r="PY18" s="44">
        <v>2.463000000000001</v>
      </c>
      <c r="PZ18" s="43"/>
      <c r="QA18" s="42">
        <v>0</v>
      </c>
      <c r="QB18" s="47">
        <v>0</v>
      </c>
      <c r="QC18" s="44">
        <v>0</v>
      </c>
      <c r="QD18" s="43"/>
      <c r="QE18" s="42">
        <v>0</v>
      </c>
      <c r="QF18" s="47">
        <v>0</v>
      </c>
      <c r="QG18" s="44">
        <v>0</v>
      </c>
      <c r="QH18" s="43"/>
      <c r="QI18" s="42">
        <v>0</v>
      </c>
      <c r="QJ18" s="47">
        <v>0</v>
      </c>
      <c r="QK18" s="44">
        <v>0</v>
      </c>
      <c r="QL18" s="43"/>
      <c r="QM18" s="42">
        <v>0</v>
      </c>
      <c r="QN18" s="47">
        <v>0</v>
      </c>
      <c r="QO18" s="47">
        <v>0</v>
      </c>
      <c r="QP18" s="47">
        <v>0</v>
      </c>
      <c r="QQ18" s="44">
        <v>0</v>
      </c>
      <c r="QR18" s="43"/>
      <c r="QS18" s="42">
        <v>0</v>
      </c>
      <c r="QT18" s="47">
        <v>0</v>
      </c>
      <c r="QU18" s="44">
        <v>0</v>
      </c>
      <c r="QV18" s="43"/>
      <c r="QW18" s="42">
        <v>0</v>
      </c>
      <c r="QX18" s="47">
        <v>0</v>
      </c>
      <c r="QY18" s="44">
        <v>0</v>
      </c>
      <c r="QZ18" s="43"/>
    </row>
    <row r="19" spans="1:468" x14ac:dyDescent="0.25">
      <c r="A19" s="47" t="s">
        <v>303</v>
      </c>
      <c r="B19" s="38">
        <v>1</v>
      </c>
      <c r="N19" s="39"/>
      <c r="O19" s="48"/>
      <c r="P19" s="48"/>
      <c r="Q19" s="48"/>
      <c r="R19" s="48">
        <f t="shared" si="8"/>
        <v>0</v>
      </c>
      <c r="S19" s="40"/>
      <c r="T19" s="39"/>
      <c r="U19" s="48"/>
      <c r="V19" s="48">
        <f t="shared" si="9"/>
        <v>0</v>
      </c>
      <c r="W19" s="40"/>
      <c r="X19" s="39"/>
      <c r="Y19" s="48"/>
      <c r="Z19" s="48"/>
      <c r="AA19" s="48"/>
      <c r="AB19" s="48">
        <f t="shared" si="10"/>
        <v>0</v>
      </c>
      <c r="AC19" s="40"/>
      <c r="AD19" s="48"/>
      <c r="AH19" s="44">
        <v>0</v>
      </c>
      <c r="AI19" s="40"/>
      <c r="AN19" s="44">
        <v>0</v>
      </c>
      <c r="AO19" s="40"/>
      <c r="AT19" s="44">
        <v>0</v>
      </c>
      <c r="AU19" s="40"/>
      <c r="AV19" s="39"/>
      <c r="AX19" s="44">
        <v>0</v>
      </c>
      <c r="AY19" s="40"/>
      <c r="AZ19" s="39"/>
      <c r="BB19" s="44">
        <v>0</v>
      </c>
      <c r="BC19" s="40"/>
      <c r="BH19" s="44">
        <v>0</v>
      </c>
      <c r="BI19" s="40"/>
      <c r="BL19" s="44">
        <v>0</v>
      </c>
      <c r="BM19" s="40"/>
      <c r="BN19" s="39"/>
      <c r="BR19" s="44">
        <v>0</v>
      </c>
      <c r="BS19" s="40"/>
      <c r="BV19" s="44">
        <v>0</v>
      </c>
      <c r="BW19" s="40"/>
      <c r="BX19" s="39"/>
      <c r="BZ19" s="44">
        <v>0</v>
      </c>
      <c r="CA19" s="40"/>
      <c r="CB19" s="39"/>
      <c r="CH19" s="44">
        <v>0</v>
      </c>
      <c r="CI19" s="40"/>
      <c r="CN19" s="44">
        <v>0</v>
      </c>
      <c r="CO19" s="40"/>
      <c r="CP19" s="39"/>
      <c r="CT19" s="44">
        <v>0</v>
      </c>
      <c r="CU19" s="40"/>
      <c r="CV19" s="39"/>
      <c r="CZ19" s="44">
        <v>0</v>
      </c>
      <c r="DA19" s="40"/>
      <c r="DB19" s="39"/>
      <c r="DF19" s="44">
        <v>0</v>
      </c>
      <c r="DG19" s="40"/>
      <c r="DN19" s="44">
        <v>0</v>
      </c>
      <c r="DO19" s="40"/>
      <c r="DP19" s="39"/>
      <c r="DR19" s="44">
        <v>0</v>
      </c>
      <c r="DS19" s="40"/>
      <c r="DT19" s="39"/>
      <c r="DX19" s="44">
        <v>0</v>
      </c>
      <c r="DY19" s="40"/>
      <c r="DZ19" s="39"/>
      <c r="EB19" s="44">
        <v>0</v>
      </c>
      <c r="EC19" s="40"/>
      <c r="EK19" s="44">
        <v>0</v>
      </c>
      <c r="EL19" s="40"/>
      <c r="ES19" s="44">
        <v>0</v>
      </c>
      <c r="ET19" s="40"/>
      <c r="EU19" s="39"/>
      <c r="EY19" s="44">
        <v>0</v>
      </c>
      <c r="EZ19" s="40"/>
      <c r="FA19" s="39"/>
      <c r="FD19" s="44">
        <v>0</v>
      </c>
      <c r="FE19" s="40"/>
      <c r="FH19" s="44">
        <v>0</v>
      </c>
      <c r="FI19" s="40"/>
      <c r="FJ19" s="39"/>
      <c r="FQ19" s="44">
        <v>0</v>
      </c>
      <c r="FR19" s="40"/>
      <c r="FW19" s="44">
        <v>0</v>
      </c>
      <c r="FX19" s="40"/>
      <c r="FY19" s="39"/>
      <c r="GC19" s="44">
        <v>0</v>
      </c>
      <c r="GD19" s="40"/>
      <c r="GI19" s="44">
        <v>0</v>
      </c>
      <c r="GJ19" s="40"/>
      <c r="GM19" s="44">
        <v>0</v>
      </c>
      <c r="GN19" s="40"/>
      <c r="GO19" s="39"/>
      <c r="GQ19" s="44">
        <v>0</v>
      </c>
      <c r="GR19" s="40"/>
      <c r="GX19" s="44">
        <v>0</v>
      </c>
      <c r="GY19" s="40"/>
      <c r="HD19" s="44">
        <v>0</v>
      </c>
      <c r="HE19" s="40"/>
      <c r="HF19" s="39"/>
      <c r="HJ19" s="44">
        <v>0</v>
      </c>
      <c r="HK19" s="40"/>
      <c r="HL19" s="39"/>
      <c r="HP19" s="44">
        <v>0</v>
      </c>
      <c r="HQ19" s="40"/>
      <c r="HV19" s="44">
        <v>0</v>
      </c>
      <c r="HW19" s="43"/>
      <c r="IB19" s="44">
        <v>0</v>
      </c>
      <c r="IC19" s="43"/>
      <c r="IH19" s="44">
        <v>0</v>
      </c>
      <c r="II19" s="43"/>
      <c r="IN19" s="44">
        <v>0</v>
      </c>
      <c r="IO19" s="40"/>
      <c r="IR19" s="44">
        <v>0</v>
      </c>
      <c r="IS19" s="40"/>
      <c r="IX19" s="44">
        <v>0</v>
      </c>
      <c r="IY19" s="43"/>
      <c r="JB19" s="44">
        <v>0</v>
      </c>
      <c r="JC19" s="40"/>
      <c r="JH19" s="44">
        <v>0</v>
      </c>
      <c r="JI19" s="40"/>
      <c r="JN19" s="44">
        <v>0</v>
      </c>
      <c r="JO19" s="43"/>
      <c r="JT19" s="44">
        <v>0</v>
      </c>
      <c r="JU19" s="43"/>
      <c r="JZ19" s="44">
        <v>0</v>
      </c>
      <c r="KA19" s="43"/>
      <c r="KB19" s="42"/>
      <c r="KI19" s="44">
        <v>0</v>
      </c>
      <c r="KJ19" s="43"/>
      <c r="KK19" s="47">
        <v>0</v>
      </c>
      <c r="KL19" s="47">
        <v>0</v>
      </c>
      <c r="KM19" s="47">
        <v>0</v>
      </c>
      <c r="KN19" s="47">
        <v>0</v>
      </c>
      <c r="KO19" s="44">
        <v>0</v>
      </c>
      <c r="KP19" s="43"/>
      <c r="KQ19" s="47">
        <v>0</v>
      </c>
      <c r="KR19" s="47">
        <v>0</v>
      </c>
      <c r="KS19" s="47">
        <v>0</v>
      </c>
      <c r="KT19" s="47">
        <v>0</v>
      </c>
      <c r="KU19" s="44">
        <v>0</v>
      </c>
      <c r="KV19" s="43"/>
      <c r="KW19" s="42">
        <v>0</v>
      </c>
      <c r="KX19" s="47">
        <v>0</v>
      </c>
      <c r="KY19" s="44">
        <v>0</v>
      </c>
      <c r="KZ19" s="43"/>
      <c r="LA19" s="42">
        <v>0</v>
      </c>
      <c r="LB19" s="47">
        <v>0</v>
      </c>
      <c r="LC19" s="47">
        <v>0</v>
      </c>
      <c r="LD19" s="47">
        <v>0</v>
      </c>
      <c r="LE19" s="44">
        <v>0</v>
      </c>
      <c r="LF19" s="43"/>
      <c r="LG19" s="42">
        <v>0</v>
      </c>
      <c r="LH19" s="47">
        <v>0</v>
      </c>
      <c r="LI19" s="47">
        <v>0</v>
      </c>
      <c r="LJ19" s="47">
        <v>0</v>
      </c>
      <c r="LK19" s="44">
        <v>0</v>
      </c>
      <c r="LL19" s="43"/>
      <c r="LM19" s="42">
        <v>0</v>
      </c>
      <c r="LN19" s="47">
        <v>0</v>
      </c>
      <c r="LO19" s="44">
        <v>0</v>
      </c>
      <c r="LP19" s="43"/>
      <c r="LQ19" s="42">
        <v>0</v>
      </c>
      <c r="LR19" s="47">
        <v>0</v>
      </c>
      <c r="LS19" s="47">
        <v>0</v>
      </c>
      <c r="LT19" s="47">
        <v>0</v>
      </c>
      <c r="LU19" s="44">
        <v>0</v>
      </c>
      <c r="LV19" s="43"/>
      <c r="LW19" s="42">
        <v>0</v>
      </c>
      <c r="LX19" s="47">
        <v>0</v>
      </c>
      <c r="LY19" s="47">
        <v>0</v>
      </c>
      <c r="LZ19" s="47">
        <v>0</v>
      </c>
      <c r="MA19" s="44">
        <v>0</v>
      </c>
      <c r="MB19" s="43"/>
      <c r="MC19" s="42">
        <v>0</v>
      </c>
      <c r="MD19" s="47">
        <v>0</v>
      </c>
      <c r="ME19" s="47">
        <v>0</v>
      </c>
      <c r="MF19" s="47">
        <v>0</v>
      </c>
      <c r="MG19" s="44">
        <v>0</v>
      </c>
      <c r="MH19" s="43"/>
      <c r="MI19" s="42">
        <v>0</v>
      </c>
      <c r="MJ19" s="47">
        <v>0</v>
      </c>
      <c r="MK19" s="47">
        <v>0</v>
      </c>
      <c r="ML19" s="47">
        <v>0</v>
      </c>
      <c r="MM19" s="44">
        <v>0</v>
      </c>
      <c r="MN19" s="43"/>
      <c r="MO19" s="42">
        <v>0</v>
      </c>
      <c r="MP19" s="47">
        <v>0</v>
      </c>
      <c r="MQ19" s="47">
        <v>0</v>
      </c>
      <c r="MR19" s="47">
        <v>0</v>
      </c>
      <c r="MS19" s="44">
        <v>0</v>
      </c>
      <c r="MT19" s="43"/>
      <c r="MU19" s="42">
        <v>0</v>
      </c>
      <c r="MV19" s="47">
        <v>0</v>
      </c>
      <c r="MW19" s="47">
        <v>0</v>
      </c>
      <c r="MX19" s="47">
        <v>0</v>
      </c>
      <c r="MY19" s="44">
        <v>0</v>
      </c>
      <c r="MZ19" s="43"/>
      <c r="NA19" s="42">
        <v>0</v>
      </c>
      <c r="NB19" s="47">
        <v>0</v>
      </c>
      <c r="NC19" s="47">
        <v>0</v>
      </c>
      <c r="ND19" s="47">
        <v>0</v>
      </c>
      <c r="NE19" s="44">
        <v>0</v>
      </c>
      <c r="NF19" s="43"/>
      <c r="NG19" s="42">
        <v>0</v>
      </c>
      <c r="NH19" s="47">
        <v>0</v>
      </c>
      <c r="NI19" s="47">
        <v>0</v>
      </c>
      <c r="NJ19" s="47">
        <v>0</v>
      </c>
      <c r="NK19" s="44">
        <v>0</v>
      </c>
      <c r="NL19" s="43"/>
      <c r="NM19" s="42">
        <v>0</v>
      </c>
      <c r="NN19" s="47">
        <v>0</v>
      </c>
      <c r="NO19" s="47">
        <v>0</v>
      </c>
      <c r="NP19" s="47">
        <v>0</v>
      </c>
      <c r="NQ19" s="44">
        <v>0</v>
      </c>
      <c r="NR19" s="43"/>
      <c r="NS19" s="42">
        <v>0</v>
      </c>
      <c r="NT19" s="47">
        <v>0</v>
      </c>
      <c r="NU19" s="47">
        <v>0</v>
      </c>
      <c r="NV19" s="47">
        <v>0</v>
      </c>
      <c r="NW19" s="44">
        <v>0</v>
      </c>
      <c r="NX19" s="43"/>
      <c r="NY19" s="42">
        <v>0</v>
      </c>
      <c r="NZ19" s="47">
        <v>0</v>
      </c>
      <c r="OA19" s="47">
        <v>0</v>
      </c>
      <c r="OB19" s="47">
        <v>0</v>
      </c>
      <c r="OC19" s="44">
        <v>0</v>
      </c>
      <c r="OD19" s="43"/>
      <c r="OE19" s="42">
        <v>0</v>
      </c>
      <c r="OF19" s="47">
        <v>0</v>
      </c>
      <c r="OG19" s="47">
        <v>0</v>
      </c>
      <c r="OH19" s="47">
        <v>0</v>
      </c>
      <c r="OI19" s="44">
        <v>0</v>
      </c>
      <c r="OJ19" s="43"/>
      <c r="OK19" s="42">
        <v>0</v>
      </c>
      <c r="OL19" s="47">
        <v>0</v>
      </c>
      <c r="OM19" s="47">
        <v>0</v>
      </c>
      <c r="ON19" s="47">
        <v>0</v>
      </c>
      <c r="OO19" s="44">
        <v>0</v>
      </c>
      <c r="OP19" s="43"/>
      <c r="OQ19" s="42">
        <v>0</v>
      </c>
      <c r="OR19" s="47">
        <v>0</v>
      </c>
      <c r="OS19" s="47">
        <v>0</v>
      </c>
      <c r="OT19" s="12">
        <v>64</v>
      </c>
      <c r="OU19" s="44">
        <v>3.343000000000004</v>
      </c>
      <c r="OV19" s="43"/>
      <c r="OW19" s="42">
        <v>0</v>
      </c>
      <c r="OX19" s="12">
        <v>60</v>
      </c>
      <c r="OY19" s="47">
        <v>0</v>
      </c>
      <c r="OZ19" s="12">
        <v>90</v>
      </c>
      <c r="PA19" s="44">
        <v>0.72499999999999432</v>
      </c>
      <c r="PB19" s="43"/>
      <c r="PC19" s="42">
        <v>0</v>
      </c>
      <c r="PD19" s="47">
        <v>0</v>
      </c>
      <c r="PE19" s="47">
        <v>0</v>
      </c>
      <c r="PF19" s="26">
        <v>40</v>
      </c>
      <c r="PG19" s="46">
        <v>-40</v>
      </c>
      <c r="PH19" s="43">
        <v>40</v>
      </c>
      <c r="PI19" s="42">
        <v>0</v>
      </c>
      <c r="PJ19" s="47">
        <v>0</v>
      </c>
      <c r="PK19" s="47">
        <v>51.246000000000002</v>
      </c>
      <c r="PL19" s="47">
        <v>50</v>
      </c>
      <c r="PM19" s="44">
        <v>1.246000000000002</v>
      </c>
      <c r="PN19" s="43"/>
      <c r="PO19" s="42">
        <v>30.803000000000001</v>
      </c>
      <c r="PP19" s="47">
        <v>70</v>
      </c>
      <c r="PQ19" s="47">
        <v>31.17</v>
      </c>
      <c r="PR19" s="47">
        <v>80</v>
      </c>
      <c r="PS19" s="46">
        <v>-88.027000000000001</v>
      </c>
      <c r="PT19" s="43">
        <v>88.027000000000001</v>
      </c>
      <c r="PU19" s="42">
        <v>158.19</v>
      </c>
      <c r="PV19" s="47">
        <v>150</v>
      </c>
      <c r="PW19" s="47">
        <v>127.319</v>
      </c>
      <c r="PX19" s="47">
        <v>121</v>
      </c>
      <c r="PY19" s="44">
        <v>14.509000000000009</v>
      </c>
      <c r="PZ19" s="43"/>
      <c r="QA19" s="42">
        <v>0</v>
      </c>
      <c r="QB19" s="47">
        <v>0</v>
      </c>
      <c r="QC19" s="44">
        <v>0</v>
      </c>
      <c r="QD19" s="43"/>
      <c r="QE19" s="42">
        <v>165.839</v>
      </c>
      <c r="QF19" s="47">
        <v>160</v>
      </c>
      <c r="QG19" s="44">
        <v>5.8389999999999986</v>
      </c>
      <c r="QH19" s="43"/>
      <c r="QI19" s="42">
        <v>27.568999999999999</v>
      </c>
      <c r="QJ19" s="47">
        <v>166</v>
      </c>
      <c r="QK19" s="46">
        <v>-138.43100000000001</v>
      </c>
      <c r="QL19" s="43">
        <v>138.43100000000001</v>
      </c>
      <c r="QM19" s="42">
        <v>0</v>
      </c>
      <c r="QN19" s="47">
        <v>0</v>
      </c>
      <c r="QO19" s="47">
        <v>0</v>
      </c>
      <c r="QP19" s="47">
        <v>0</v>
      </c>
      <c r="QQ19" s="44">
        <v>0</v>
      </c>
      <c r="QR19" s="43"/>
      <c r="QS19" s="42">
        <v>210.34100000000001</v>
      </c>
      <c r="QT19" s="47">
        <v>200</v>
      </c>
      <c r="QU19" s="44">
        <v>10.34100000000001</v>
      </c>
      <c r="QV19" s="43"/>
      <c r="QW19" s="42">
        <v>207.565</v>
      </c>
      <c r="QX19" s="47">
        <v>200</v>
      </c>
      <c r="QY19" s="44">
        <v>7.5649999999999977</v>
      </c>
      <c r="QZ19" s="43"/>
    </row>
    <row r="20" spans="1:468" x14ac:dyDescent="0.25">
      <c r="A20" s="47" t="s">
        <v>304</v>
      </c>
      <c r="B20" s="38">
        <v>1</v>
      </c>
      <c r="N20" s="39"/>
      <c r="O20" s="48"/>
      <c r="P20" s="48"/>
      <c r="Q20" s="48"/>
      <c r="R20" s="48">
        <f t="shared" si="8"/>
        <v>0</v>
      </c>
      <c r="S20" s="40"/>
      <c r="T20" s="39"/>
      <c r="U20" s="48"/>
      <c r="V20" s="48">
        <f t="shared" si="9"/>
        <v>0</v>
      </c>
      <c r="W20" s="40"/>
      <c r="X20" s="39"/>
      <c r="Y20" s="48"/>
      <c r="Z20" s="48"/>
      <c r="AA20" s="48"/>
      <c r="AB20" s="48">
        <f t="shared" si="10"/>
        <v>0</v>
      </c>
      <c r="AC20" s="40"/>
      <c r="AD20" s="48"/>
      <c r="AH20" s="44">
        <v>0</v>
      </c>
      <c r="AI20" s="40"/>
      <c r="AN20" s="44">
        <v>0</v>
      </c>
      <c r="AO20" s="40"/>
      <c r="AT20" s="44">
        <v>0</v>
      </c>
      <c r="AU20" s="40"/>
      <c r="AV20" s="39"/>
      <c r="AX20" s="44">
        <v>0</v>
      </c>
      <c r="AY20" s="40"/>
      <c r="AZ20" s="39"/>
      <c r="BB20" s="44">
        <v>0</v>
      </c>
      <c r="BC20" s="40"/>
      <c r="BH20" s="44">
        <v>0</v>
      </c>
      <c r="BI20" s="40"/>
      <c r="BL20" s="44">
        <v>0</v>
      </c>
      <c r="BM20" s="40"/>
      <c r="BN20" s="39"/>
      <c r="BR20" s="44">
        <v>0</v>
      </c>
      <c r="BS20" s="40"/>
      <c r="BV20" s="44">
        <v>0</v>
      </c>
      <c r="BW20" s="40"/>
      <c r="BX20" s="39"/>
      <c r="BZ20" s="44">
        <v>0</v>
      </c>
      <c r="CA20" s="40"/>
      <c r="CB20" s="39"/>
      <c r="CH20" s="44">
        <v>0</v>
      </c>
      <c r="CI20" s="40"/>
      <c r="CN20" s="44">
        <v>0</v>
      </c>
      <c r="CO20" s="40"/>
      <c r="CP20" s="39"/>
      <c r="CT20" s="44">
        <v>0</v>
      </c>
      <c r="CU20" s="40"/>
      <c r="CV20" s="39"/>
      <c r="CZ20" s="44">
        <v>0</v>
      </c>
      <c r="DA20" s="40"/>
      <c r="DB20" s="39"/>
      <c r="DF20" s="44">
        <v>0</v>
      </c>
      <c r="DG20" s="40"/>
      <c r="DN20" s="44">
        <v>0</v>
      </c>
      <c r="DO20" s="40"/>
      <c r="DP20" s="39"/>
      <c r="DR20" s="44">
        <v>0</v>
      </c>
      <c r="DS20" s="40"/>
      <c r="DT20" s="39"/>
      <c r="DX20" s="44">
        <v>0</v>
      </c>
      <c r="DY20" s="40"/>
      <c r="DZ20" s="39"/>
      <c r="EB20" s="44">
        <v>0</v>
      </c>
      <c r="EC20" s="40"/>
      <c r="EK20" s="44">
        <v>0</v>
      </c>
      <c r="EL20" s="40"/>
      <c r="ES20" s="44">
        <v>0</v>
      </c>
      <c r="ET20" s="40"/>
      <c r="EU20" s="39"/>
      <c r="EY20" s="44">
        <v>0</v>
      </c>
      <c r="EZ20" s="40"/>
      <c r="FA20" s="39"/>
      <c r="FD20" s="44">
        <v>0</v>
      </c>
      <c r="FE20" s="40"/>
      <c r="FH20" s="44">
        <v>0</v>
      </c>
      <c r="FI20" s="40"/>
      <c r="FJ20" s="39"/>
      <c r="FQ20" s="44">
        <v>0</v>
      </c>
      <c r="FR20" s="40"/>
      <c r="FW20" s="44">
        <v>0</v>
      </c>
      <c r="FX20" s="40"/>
      <c r="FY20" s="39"/>
      <c r="GC20" s="44">
        <v>0</v>
      </c>
      <c r="GD20" s="40"/>
      <c r="GI20" s="44">
        <v>0</v>
      </c>
      <c r="GJ20" s="40"/>
      <c r="GM20" s="44">
        <v>0</v>
      </c>
      <c r="GN20" s="40"/>
      <c r="GO20" s="39"/>
      <c r="GQ20" s="44">
        <v>0</v>
      </c>
      <c r="GR20" s="40"/>
      <c r="GX20" s="44">
        <v>0</v>
      </c>
      <c r="GY20" s="40"/>
      <c r="HD20" s="44">
        <v>0</v>
      </c>
      <c r="HE20" s="40"/>
      <c r="HF20" s="39"/>
      <c r="HJ20" s="44">
        <v>0</v>
      </c>
      <c r="HK20" s="40"/>
      <c r="HL20" s="39"/>
      <c r="HP20" s="44">
        <v>0</v>
      </c>
      <c r="HQ20" s="40"/>
      <c r="HV20" s="44">
        <v>0</v>
      </c>
      <c r="HW20" s="43"/>
      <c r="IB20" s="44">
        <v>0</v>
      </c>
      <c r="IC20" s="43"/>
      <c r="IH20" s="44">
        <v>0</v>
      </c>
      <c r="II20" s="43"/>
      <c r="IN20" s="44">
        <v>0</v>
      </c>
      <c r="IO20" s="40"/>
      <c r="IR20" s="44">
        <v>0</v>
      </c>
      <c r="IS20" s="40"/>
      <c r="IX20" s="44">
        <v>0</v>
      </c>
      <c r="IY20" s="43"/>
      <c r="JB20" s="44">
        <v>0</v>
      </c>
      <c r="JC20" s="40"/>
      <c r="JH20" s="44">
        <v>0</v>
      </c>
      <c r="JI20" s="40"/>
      <c r="JN20" s="44">
        <v>0</v>
      </c>
      <c r="JO20" s="43"/>
      <c r="JT20" s="44">
        <v>0</v>
      </c>
      <c r="JU20" s="43"/>
      <c r="JZ20" s="44">
        <v>0</v>
      </c>
      <c r="KA20" s="43"/>
      <c r="KB20" s="42"/>
      <c r="KI20" s="44">
        <v>0</v>
      </c>
      <c r="KJ20" s="43"/>
      <c r="KK20" s="47">
        <v>0</v>
      </c>
      <c r="KL20" s="47">
        <v>0</v>
      </c>
      <c r="KM20" s="47">
        <v>0</v>
      </c>
      <c r="KN20" s="47">
        <v>0</v>
      </c>
      <c r="KO20" s="44">
        <v>0</v>
      </c>
      <c r="KP20" s="43"/>
      <c r="KQ20" s="47">
        <v>0</v>
      </c>
      <c r="KR20" s="47">
        <v>0</v>
      </c>
      <c r="KS20" s="47">
        <v>0</v>
      </c>
      <c r="KT20" s="47">
        <v>0</v>
      </c>
      <c r="KU20" s="44">
        <v>0</v>
      </c>
      <c r="KV20" s="43"/>
      <c r="KW20" s="42">
        <v>0</v>
      </c>
      <c r="KX20" s="47">
        <v>0</v>
      </c>
      <c r="KY20" s="44">
        <v>0</v>
      </c>
      <c r="KZ20" s="43"/>
      <c r="LA20" s="42">
        <v>0</v>
      </c>
      <c r="LB20" s="47">
        <v>0</v>
      </c>
      <c r="LC20" s="47">
        <v>0</v>
      </c>
      <c r="LD20" s="47">
        <v>0</v>
      </c>
      <c r="LE20" s="44">
        <v>0</v>
      </c>
      <c r="LF20" s="43"/>
      <c r="LG20" s="42">
        <v>0</v>
      </c>
      <c r="LH20" s="47">
        <v>0</v>
      </c>
      <c r="LI20" s="47">
        <v>0</v>
      </c>
      <c r="LJ20" s="47">
        <v>0</v>
      </c>
      <c r="LK20" s="44">
        <v>0</v>
      </c>
      <c r="LL20" s="43"/>
      <c r="LM20" s="42">
        <v>0</v>
      </c>
      <c r="LN20" s="47">
        <v>0</v>
      </c>
      <c r="LO20" s="44">
        <v>0</v>
      </c>
      <c r="LP20" s="43"/>
      <c r="LQ20" s="42">
        <v>0</v>
      </c>
      <c r="LR20" s="47">
        <v>0</v>
      </c>
      <c r="LS20" s="47">
        <v>0</v>
      </c>
      <c r="LT20" s="47">
        <v>0</v>
      </c>
      <c r="LU20" s="44">
        <v>0</v>
      </c>
      <c r="LV20" s="43"/>
      <c r="LW20" s="42">
        <v>0</v>
      </c>
      <c r="LX20" s="47">
        <v>0</v>
      </c>
      <c r="LY20" s="47">
        <v>0</v>
      </c>
      <c r="LZ20" s="47">
        <v>0</v>
      </c>
      <c r="MA20" s="44">
        <v>0</v>
      </c>
      <c r="MB20" s="43"/>
      <c r="MC20" s="42">
        <v>0</v>
      </c>
      <c r="MD20" s="47">
        <v>0</v>
      </c>
      <c r="ME20" s="47">
        <v>0</v>
      </c>
      <c r="MF20" s="47">
        <v>0</v>
      </c>
      <c r="MG20" s="44">
        <v>0</v>
      </c>
      <c r="MH20" s="43"/>
      <c r="MI20" s="42">
        <v>0</v>
      </c>
      <c r="MJ20" s="47">
        <v>0</v>
      </c>
      <c r="MK20" s="47">
        <v>0</v>
      </c>
      <c r="ML20" s="47">
        <v>0</v>
      </c>
      <c r="MM20" s="44">
        <v>0</v>
      </c>
      <c r="MN20" s="43"/>
      <c r="MO20" s="42">
        <v>0</v>
      </c>
      <c r="MP20" s="47">
        <v>0</v>
      </c>
      <c r="MQ20" s="47">
        <v>0</v>
      </c>
      <c r="MR20" s="47">
        <v>0</v>
      </c>
      <c r="MS20" s="44">
        <v>0</v>
      </c>
      <c r="MT20" s="43"/>
      <c r="MU20" s="42">
        <v>0</v>
      </c>
      <c r="MV20" s="47">
        <v>0</v>
      </c>
      <c r="MW20" s="47">
        <v>0</v>
      </c>
      <c r="MX20" s="47">
        <v>0</v>
      </c>
      <c r="MY20" s="44">
        <v>0</v>
      </c>
      <c r="MZ20" s="43"/>
      <c r="NA20" s="42">
        <v>0</v>
      </c>
      <c r="NB20" s="47">
        <v>0</v>
      </c>
      <c r="NC20" s="47">
        <v>0</v>
      </c>
      <c r="ND20" s="47">
        <v>0</v>
      </c>
      <c r="NE20" s="44">
        <v>0</v>
      </c>
      <c r="NF20" s="43"/>
      <c r="NG20" s="42">
        <v>0</v>
      </c>
      <c r="NH20" s="47">
        <v>0</v>
      </c>
      <c r="NI20" s="47">
        <v>0</v>
      </c>
      <c r="NJ20" s="47">
        <v>0</v>
      </c>
      <c r="NK20" s="44">
        <v>0</v>
      </c>
      <c r="NL20" s="43"/>
      <c r="NM20" s="42">
        <v>0</v>
      </c>
      <c r="NN20" s="47">
        <v>0</v>
      </c>
      <c r="NO20" s="47">
        <v>0</v>
      </c>
      <c r="NP20" s="47">
        <v>0</v>
      </c>
      <c r="NQ20" s="44">
        <v>0</v>
      </c>
      <c r="NR20" s="43"/>
      <c r="NS20" s="42">
        <v>0</v>
      </c>
      <c r="NT20" s="47">
        <v>0</v>
      </c>
      <c r="NU20" s="47">
        <v>0</v>
      </c>
      <c r="NV20" s="47">
        <v>0</v>
      </c>
      <c r="NW20" s="44">
        <v>0</v>
      </c>
      <c r="NX20" s="43"/>
      <c r="NY20" s="42">
        <v>0</v>
      </c>
      <c r="NZ20" s="47">
        <v>0</v>
      </c>
      <c r="OA20" s="47">
        <v>0</v>
      </c>
      <c r="OB20" s="47">
        <v>0</v>
      </c>
      <c r="OC20" s="44">
        <v>0</v>
      </c>
      <c r="OD20" s="43"/>
      <c r="OE20" s="42">
        <v>0</v>
      </c>
      <c r="OF20" s="47">
        <v>0</v>
      </c>
      <c r="OG20" s="47">
        <v>0</v>
      </c>
      <c r="OH20" s="47">
        <v>0</v>
      </c>
      <c r="OI20" s="44">
        <v>0</v>
      </c>
      <c r="OJ20" s="43"/>
      <c r="OK20" s="42">
        <v>0</v>
      </c>
      <c r="OL20" s="47">
        <v>0</v>
      </c>
      <c r="OM20" s="47">
        <v>0</v>
      </c>
      <c r="ON20" s="47">
        <v>0</v>
      </c>
      <c r="OO20" s="44">
        <v>0</v>
      </c>
      <c r="OP20" s="43"/>
      <c r="OQ20" s="42">
        <v>0</v>
      </c>
      <c r="OR20" s="47">
        <v>0</v>
      </c>
      <c r="OS20" s="47">
        <v>0</v>
      </c>
      <c r="OT20" s="47">
        <v>0</v>
      </c>
      <c r="OU20" s="44">
        <v>0</v>
      </c>
      <c r="OV20" s="43"/>
      <c r="OW20" s="42">
        <v>0</v>
      </c>
      <c r="OX20" s="12">
        <v>100</v>
      </c>
      <c r="OY20" s="47">
        <v>0</v>
      </c>
      <c r="OZ20" s="12">
        <v>110</v>
      </c>
      <c r="PA20" s="44">
        <v>-1.370000000000005</v>
      </c>
      <c r="PB20" s="43"/>
      <c r="PC20" s="42">
        <v>0</v>
      </c>
      <c r="PD20" s="47">
        <v>0</v>
      </c>
      <c r="PE20" s="47">
        <v>48.594000000000001</v>
      </c>
      <c r="PF20" s="47">
        <v>45</v>
      </c>
      <c r="PG20" s="44">
        <v>3.5940000000000012</v>
      </c>
      <c r="PH20" s="43"/>
      <c r="PI20" s="42">
        <v>0</v>
      </c>
      <c r="PJ20" s="47">
        <v>0</v>
      </c>
      <c r="PK20" s="47">
        <v>43.847999999999999</v>
      </c>
      <c r="PL20" s="47">
        <v>41</v>
      </c>
      <c r="PM20" s="44">
        <v>2.847999999999999</v>
      </c>
      <c r="PN20" s="43"/>
      <c r="PO20" s="42">
        <v>50.694000000000003</v>
      </c>
      <c r="PP20" s="47">
        <v>50</v>
      </c>
      <c r="PQ20" s="47">
        <v>50.139000000000003</v>
      </c>
      <c r="PR20" s="47">
        <v>50</v>
      </c>
      <c r="PS20" s="44">
        <v>0.83299999999999841</v>
      </c>
      <c r="PT20" s="43"/>
      <c r="PU20" s="42">
        <v>51.491999999999997</v>
      </c>
      <c r="PV20" s="47">
        <v>50</v>
      </c>
      <c r="PW20" s="47">
        <v>59.036000000000001</v>
      </c>
      <c r="PX20" s="47">
        <v>55</v>
      </c>
      <c r="PY20" s="44">
        <v>5.5279999999999916</v>
      </c>
      <c r="PZ20" s="43"/>
      <c r="QA20" s="42">
        <v>0</v>
      </c>
      <c r="QB20" s="47">
        <v>0</v>
      </c>
      <c r="QC20" s="44">
        <v>0</v>
      </c>
      <c r="QD20" s="43"/>
      <c r="QE20" s="42">
        <v>125.126</v>
      </c>
      <c r="QF20" s="47">
        <v>120</v>
      </c>
      <c r="QG20" s="44">
        <v>5.1260000000000048</v>
      </c>
      <c r="QH20" s="43"/>
      <c r="QI20" s="42">
        <v>137.09100000000001</v>
      </c>
      <c r="QJ20" s="47">
        <v>129</v>
      </c>
      <c r="QK20" s="44">
        <v>8.0910000000000082</v>
      </c>
      <c r="QL20" s="43"/>
      <c r="QM20" s="42">
        <v>0</v>
      </c>
      <c r="QN20" s="47">
        <v>0</v>
      </c>
      <c r="QO20" s="47">
        <v>0</v>
      </c>
      <c r="QP20" s="47">
        <v>0</v>
      </c>
      <c r="QQ20" s="44">
        <v>0</v>
      </c>
      <c r="QR20" s="43"/>
      <c r="QS20" s="42">
        <v>0</v>
      </c>
      <c r="QT20" s="47">
        <v>0</v>
      </c>
      <c r="QU20" s="44">
        <v>0</v>
      </c>
      <c r="QV20" s="43"/>
      <c r="QW20" s="42">
        <v>250.88</v>
      </c>
      <c r="QX20" s="47">
        <v>239</v>
      </c>
      <c r="QY20" s="44">
        <v>11.88</v>
      </c>
      <c r="QZ20" s="43"/>
    </row>
    <row r="21" spans="1:468" x14ac:dyDescent="0.25">
      <c r="A21" s="47" t="s">
        <v>305</v>
      </c>
      <c r="B21" s="38">
        <v>1</v>
      </c>
      <c r="N21" s="39"/>
      <c r="O21" s="48"/>
      <c r="P21" s="48"/>
      <c r="Q21" s="48"/>
      <c r="R21" s="48">
        <f t="shared" si="8"/>
        <v>0</v>
      </c>
      <c r="S21" s="40"/>
      <c r="T21" s="39"/>
      <c r="U21" s="48"/>
      <c r="V21" s="48">
        <f t="shared" si="9"/>
        <v>0</v>
      </c>
      <c r="W21" s="40"/>
      <c r="X21" s="39"/>
      <c r="Y21" s="48"/>
      <c r="Z21" s="48"/>
      <c r="AA21" s="48"/>
      <c r="AB21" s="48">
        <f t="shared" si="10"/>
        <v>0</v>
      </c>
      <c r="AC21" s="40"/>
      <c r="AD21" s="48"/>
      <c r="AH21" s="44">
        <v>0</v>
      </c>
      <c r="AI21" s="40"/>
      <c r="AN21" s="44">
        <v>0</v>
      </c>
      <c r="AO21" s="40"/>
      <c r="AT21" s="44">
        <v>0</v>
      </c>
      <c r="AU21" s="40"/>
      <c r="AV21" s="39"/>
      <c r="AX21" s="44">
        <v>0</v>
      </c>
      <c r="AY21" s="40"/>
      <c r="AZ21" s="39"/>
      <c r="BB21" s="44">
        <v>0</v>
      </c>
      <c r="BC21" s="40"/>
      <c r="BH21" s="44">
        <v>0</v>
      </c>
      <c r="BI21" s="40"/>
      <c r="BL21" s="44">
        <v>0</v>
      </c>
      <c r="BM21" s="40"/>
      <c r="BN21" s="39"/>
      <c r="BR21" s="44">
        <v>0</v>
      </c>
      <c r="BS21" s="40"/>
      <c r="BV21" s="44">
        <v>0</v>
      </c>
      <c r="BW21" s="40"/>
      <c r="BX21" s="39"/>
      <c r="BZ21" s="44">
        <v>0</v>
      </c>
      <c r="CA21" s="40"/>
      <c r="CB21" s="39"/>
      <c r="CH21" s="44">
        <v>0</v>
      </c>
      <c r="CI21" s="40"/>
      <c r="CN21" s="44">
        <v>0</v>
      </c>
      <c r="CO21" s="40"/>
      <c r="CP21" s="39"/>
      <c r="CT21" s="44">
        <v>0</v>
      </c>
      <c r="CU21" s="40"/>
      <c r="CV21" s="39"/>
      <c r="CZ21" s="44">
        <v>0</v>
      </c>
      <c r="DA21" s="40"/>
      <c r="DB21" s="39"/>
      <c r="DF21" s="44">
        <v>0</v>
      </c>
      <c r="DG21" s="40"/>
      <c r="DN21" s="44">
        <v>0</v>
      </c>
      <c r="DO21" s="40"/>
      <c r="DP21" s="39"/>
      <c r="DR21" s="44">
        <v>0</v>
      </c>
      <c r="DS21" s="40"/>
      <c r="DT21" s="39"/>
      <c r="DX21" s="44">
        <v>0</v>
      </c>
      <c r="DY21" s="40"/>
      <c r="DZ21" s="39"/>
      <c r="EB21" s="44">
        <v>0</v>
      </c>
      <c r="EC21" s="40"/>
      <c r="EK21" s="44">
        <v>0</v>
      </c>
      <c r="EL21" s="40"/>
      <c r="ES21" s="44">
        <v>0</v>
      </c>
      <c r="ET21" s="40"/>
      <c r="EU21" s="39"/>
      <c r="EY21" s="44">
        <v>0</v>
      </c>
      <c r="EZ21" s="40"/>
      <c r="FA21" s="39"/>
      <c r="FD21" s="44">
        <v>0</v>
      </c>
      <c r="FE21" s="40"/>
      <c r="FH21" s="44">
        <v>0</v>
      </c>
      <c r="FI21" s="40"/>
      <c r="FJ21" s="39"/>
      <c r="FQ21" s="44">
        <v>0</v>
      </c>
      <c r="FR21" s="40"/>
      <c r="FW21" s="44">
        <v>0</v>
      </c>
      <c r="FX21" s="40"/>
      <c r="FY21" s="39"/>
      <c r="GC21" s="44">
        <v>0</v>
      </c>
      <c r="GD21" s="40"/>
      <c r="GI21" s="44">
        <v>0</v>
      </c>
      <c r="GJ21" s="40"/>
      <c r="GM21" s="44">
        <v>0</v>
      </c>
      <c r="GN21" s="40"/>
      <c r="GO21" s="39"/>
      <c r="GQ21" s="44">
        <v>0</v>
      </c>
      <c r="GR21" s="40"/>
      <c r="GX21" s="44">
        <v>0</v>
      </c>
      <c r="GY21" s="40"/>
      <c r="HD21" s="44">
        <v>0</v>
      </c>
      <c r="HE21" s="40"/>
      <c r="HF21" s="41">
        <v>100</v>
      </c>
      <c r="HG21">
        <v>100</v>
      </c>
      <c r="HH21">
        <v>185</v>
      </c>
      <c r="HI21">
        <v>180</v>
      </c>
      <c r="HJ21" s="44">
        <v>5</v>
      </c>
      <c r="HK21" s="40"/>
      <c r="HL21" s="41">
        <v>140</v>
      </c>
      <c r="HM21">
        <v>140</v>
      </c>
      <c r="HN21">
        <v>139</v>
      </c>
      <c r="HO21">
        <v>140</v>
      </c>
      <c r="HP21" s="44">
        <v>-1</v>
      </c>
      <c r="HQ21" s="40"/>
      <c r="HR21">
        <v>101</v>
      </c>
      <c r="HS21">
        <v>100</v>
      </c>
      <c r="HT21">
        <v>101</v>
      </c>
      <c r="HU21">
        <v>100</v>
      </c>
      <c r="HV21" s="44">
        <v>2</v>
      </c>
      <c r="HW21" s="43"/>
      <c r="HZ21">
        <v>22</v>
      </c>
      <c r="IA21">
        <v>20</v>
      </c>
      <c r="IB21" s="44">
        <v>2</v>
      </c>
      <c r="IC21" s="43"/>
      <c r="ID21">
        <v>121</v>
      </c>
      <c r="IE21">
        <v>120</v>
      </c>
      <c r="IF21">
        <v>78</v>
      </c>
      <c r="IG21">
        <v>80</v>
      </c>
      <c r="IH21" s="44">
        <v>-1</v>
      </c>
      <c r="II21" s="43"/>
      <c r="IJ21">
        <v>203</v>
      </c>
      <c r="IK21">
        <v>200</v>
      </c>
      <c r="IL21">
        <v>169</v>
      </c>
      <c r="IM21">
        <v>170</v>
      </c>
      <c r="IN21" s="44">
        <v>2</v>
      </c>
      <c r="IO21" s="40"/>
      <c r="IP21">
        <v>111</v>
      </c>
      <c r="IQ21">
        <v>114</v>
      </c>
      <c r="IR21" s="44">
        <v>-3</v>
      </c>
      <c r="IS21" s="40"/>
      <c r="IT21">
        <v>151</v>
      </c>
      <c r="IU21">
        <v>150</v>
      </c>
      <c r="IV21">
        <v>152</v>
      </c>
      <c r="IW21">
        <v>150</v>
      </c>
      <c r="IX21" s="44">
        <v>3</v>
      </c>
      <c r="IY21" s="43"/>
      <c r="IZ21">
        <v>153</v>
      </c>
      <c r="JA21" s="47">
        <v>150</v>
      </c>
      <c r="JB21" s="44">
        <v>3</v>
      </c>
      <c r="JC21" s="40"/>
      <c r="JH21" s="44">
        <v>0</v>
      </c>
      <c r="JI21" s="40"/>
      <c r="JJ21">
        <v>255</v>
      </c>
      <c r="JK21">
        <v>250</v>
      </c>
      <c r="JL21">
        <v>258</v>
      </c>
      <c r="JM21">
        <v>260</v>
      </c>
      <c r="JN21" s="44">
        <v>3</v>
      </c>
      <c r="JO21" s="43"/>
      <c r="JT21" s="44">
        <v>0</v>
      </c>
      <c r="JU21" s="43"/>
      <c r="JV21">
        <v>102</v>
      </c>
      <c r="JW21">
        <v>100</v>
      </c>
      <c r="JX21">
        <v>61</v>
      </c>
      <c r="JY21">
        <v>60</v>
      </c>
      <c r="JZ21" s="44">
        <v>3</v>
      </c>
      <c r="KA21" s="43"/>
      <c r="KB21" s="41">
        <v>178</v>
      </c>
      <c r="KC21">
        <v>160</v>
      </c>
      <c r="KE21">
        <v>230</v>
      </c>
      <c r="KF21">
        <v>230</v>
      </c>
      <c r="KG21">
        <v>164</v>
      </c>
      <c r="KH21">
        <v>160</v>
      </c>
      <c r="KI21" s="44">
        <v>22</v>
      </c>
      <c r="KJ21" s="43"/>
      <c r="KK21" s="47">
        <v>0</v>
      </c>
      <c r="KL21" s="47">
        <v>0</v>
      </c>
      <c r="KM21" s="47">
        <v>0</v>
      </c>
      <c r="KN21" s="47">
        <v>0</v>
      </c>
      <c r="KO21" s="44">
        <v>0</v>
      </c>
      <c r="KP21" s="43"/>
      <c r="KQ21" s="47">
        <v>150.869</v>
      </c>
      <c r="KR21" s="47">
        <v>150</v>
      </c>
      <c r="KS21" s="47">
        <v>200.86799999999999</v>
      </c>
      <c r="KT21" s="47">
        <v>200</v>
      </c>
      <c r="KU21" s="44">
        <v>1.7369999999999659</v>
      </c>
      <c r="KV21" s="43"/>
      <c r="KW21" s="42">
        <v>0</v>
      </c>
      <c r="KX21" s="47">
        <v>0</v>
      </c>
      <c r="KY21" s="44">
        <v>0</v>
      </c>
      <c r="KZ21" s="43"/>
      <c r="LA21" s="42">
        <v>218.131</v>
      </c>
      <c r="LB21" s="47">
        <v>220</v>
      </c>
      <c r="LC21" s="47">
        <v>168.85499999999999</v>
      </c>
      <c r="LD21" s="47">
        <v>170</v>
      </c>
      <c r="LE21" s="44">
        <v>-3.01400000000001</v>
      </c>
      <c r="LF21" s="43"/>
      <c r="LG21" s="42">
        <v>162.30699999999999</v>
      </c>
      <c r="LH21" s="47">
        <v>160</v>
      </c>
      <c r="LI21" s="47">
        <v>162.63999999999999</v>
      </c>
      <c r="LJ21" s="47">
        <v>160</v>
      </c>
      <c r="LK21" s="44">
        <v>4.9470000000000027</v>
      </c>
      <c r="LL21" s="43"/>
      <c r="LM21" s="42">
        <v>0</v>
      </c>
      <c r="LN21" s="47">
        <v>0</v>
      </c>
      <c r="LO21" s="44">
        <v>0</v>
      </c>
      <c r="LP21" s="43"/>
      <c r="LQ21" s="42">
        <v>150.66399999999999</v>
      </c>
      <c r="LR21" s="47">
        <v>150</v>
      </c>
      <c r="LS21" s="47">
        <v>201.39099999999999</v>
      </c>
      <c r="LT21" s="47">
        <v>200</v>
      </c>
      <c r="LU21" s="44">
        <v>2.05499999999995</v>
      </c>
      <c r="LV21" s="43"/>
      <c r="LW21" s="42">
        <v>256.65600000000001</v>
      </c>
      <c r="LX21" s="47">
        <v>260</v>
      </c>
      <c r="LY21" s="47">
        <v>0</v>
      </c>
      <c r="LZ21" s="47">
        <v>0</v>
      </c>
      <c r="MA21" s="44">
        <v>-3.3439999999999941</v>
      </c>
      <c r="MB21" s="43"/>
      <c r="MC21" s="42">
        <v>39.723999999999997</v>
      </c>
      <c r="MD21" s="47">
        <v>40</v>
      </c>
      <c r="ME21" s="47">
        <v>79.335999999999999</v>
      </c>
      <c r="MF21" s="47">
        <v>80</v>
      </c>
      <c r="MG21" s="44">
        <v>-0.93999999999999773</v>
      </c>
      <c r="MH21" s="43"/>
      <c r="MI21" s="42">
        <v>151.589</v>
      </c>
      <c r="MJ21" s="47">
        <v>150</v>
      </c>
      <c r="MK21" s="47">
        <v>97.938999999999993</v>
      </c>
      <c r="ML21" s="47">
        <v>100</v>
      </c>
      <c r="MM21" s="44">
        <v>-0.47200000000000841</v>
      </c>
      <c r="MN21" s="43"/>
      <c r="MO21" s="42">
        <v>0</v>
      </c>
      <c r="MP21" s="47">
        <v>0</v>
      </c>
      <c r="MQ21" s="47">
        <v>72.915999999999997</v>
      </c>
      <c r="MR21" s="47">
        <v>70</v>
      </c>
      <c r="MS21" s="44">
        <v>2.9159999999999968</v>
      </c>
      <c r="MT21" s="43"/>
      <c r="MU21" s="42">
        <v>151.34200000000001</v>
      </c>
      <c r="MV21" s="47">
        <v>100</v>
      </c>
      <c r="MW21" s="47">
        <v>279.81900000000002</v>
      </c>
      <c r="MX21" s="47">
        <v>280</v>
      </c>
      <c r="MY21" s="44">
        <v>51.161000000000058</v>
      </c>
      <c r="MZ21" s="43"/>
      <c r="NA21" s="42">
        <v>0</v>
      </c>
      <c r="NB21" s="47">
        <v>0</v>
      </c>
      <c r="NC21" s="47">
        <v>39.470999999999997</v>
      </c>
      <c r="ND21" s="47">
        <v>40</v>
      </c>
      <c r="NE21" s="44">
        <v>-0.52900000000000347</v>
      </c>
      <c r="NF21" s="43"/>
      <c r="NG21" s="42">
        <v>203.095</v>
      </c>
      <c r="NH21" s="47">
        <v>200</v>
      </c>
      <c r="NI21" s="47">
        <v>193.65199999999999</v>
      </c>
      <c r="NJ21" s="47">
        <v>200</v>
      </c>
      <c r="NK21" s="44">
        <v>-3.2530000000000432</v>
      </c>
      <c r="NL21" s="43"/>
      <c r="NM21" s="42">
        <v>0</v>
      </c>
      <c r="NN21" s="47">
        <v>0</v>
      </c>
      <c r="NO21" s="47">
        <v>113.373</v>
      </c>
      <c r="NP21" s="47">
        <v>110</v>
      </c>
      <c r="NQ21" s="44">
        <v>3.3730000000000051</v>
      </c>
      <c r="NR21" s="43"/>
      <c r="NS21" s="42">
        <v>231.309</v>
      </c>
      <c r="NT21" s="47">
        <v>230</v>
      </c>
      <c r="NU21" s="47">
        <v>202.94800000000001</v>
      </c>
      <c r="NV21" s="47">
        <v>200</v>
      </c>
      <c r="NW21" s="44">
        <v>4.257000000000005</v>
      </c>
      <c r="NX21" s="43"/>
      <c r="NY21" s="42">
        <v>0</v>
      </c>
      <c r="NZ21" s="47">
        <v>0</v>
      </c>
      <c r="OA21" s="47">
        <v>274.84300000000002</v>
      </c>
      <c r="OB21" s="47">
        <v>277</v>
      </c>
      <c r="OC21" s="44">
        <v>-2.1569999999999818</v>
      </c>
      <c r="OD21" s="43"/>
      <c r="OE21" s="42">
        <v>228.67500000000001</v>
      </c>
      <c r="OF21" s="47">
        <v>230</v>
      </c>
      <c r="OG21" s="47">
        <v>164.89099999999999</v>
      </c>
      <c r="OH21" s="47">
        <v>170</v>
      </c>
      <c r="OI21" s="44">
        <v>-6.4339999999999691</v>
      </c>
      <c r="OJ21" s="43"/>
      <c r="OK21" s="42">
        <v>50.222999999999999</v>
      </c>
      <c r="OL21" s="47">
        <v>50</v>
      </c>
      <c r="OM21" s="47">
        <v>45.015999999999998</v>
      </c>
      <c r="ON21" s="47">
        <v>100</v>
      </c>
      <c r="OO21" s="46">
        <v>-54.761000000000003</v>
      </c>
      <c r="OP21" s="43">
        <v>54.761000000000003</v>
      </c>
      <c r="OQ21" s="42">
        <v>101.011</v>
      </c>
      <c r="OR21" s="47">
        <v>200</v>
      </c>
      <c r="OS21" s="47">
        <v>162.64599999999999</v>
      </c>
      <c r="OT21" s="47">
        <v>160</v>
      </c>
      <c r="OU21" s="46">
        <v>-96.343000000000018</v>
      </c>
      <c r="OV21" s="43">
        <v>96.343000000000018</v>
      </c>
      <c r="OW21" s="42">
        <v>167.071</v>
      </c>
      <c r="OX21" s="47">
        <v>150</v>
      </c>
      <c r="OY21" s="47">
        <v>144.75700000000001</v>
      </c>
      <c r="OZ21" s="47">
        <v>146</v>
      </c>
      <c r="PA21" s="44">
        <v>15.827999999999969</v>
      </c>
      <c r="PB21" s="43"/>
      <c r="PC21" s="42">
        <v>90.183000000000007</v>
      </c>
      <c r="PD21" s="47">
        <v>90</v>
      </c>
      <c r="PE21" s="47">
        <v>100.956</v>
      </c>
      <c r="PF21" s="47">
        <v>100</v>
      </c>
      <c r="PG21" s="44">
        <v>1.13900000000001</v>
      </c>
      <c r="PH21" s="43"/>
      <c r="PI21" s="42">
        <v>0</v>
      </c>
      <c r="PJ21" s="26">
        <v>90</v>
      </c>
      <c r="PK21" s="47">
        <v>101.664</v>
      </c>
      <c r="PL21" s="47">
        <v>100</v>
      </c>
      <c r="PM21" s="46">
        <v>-88.335999999999999</v>
      </c>
      <c r="PN21" s="43">
        <v>88.335999999999999</v>
      </c>
      <c r="PO21" s="42">
        <v>99.061999999999998</v>
      </c>
      <c r="PP21" s="47">
        <v>100</v>
      </c>
      <c r="PQ21" s="47">
        <v>101.089</v>
      </c>
      <c r="PR21" s="47">
        <v>100</v>
      </c>
      <c r="PS21" s="44">
        <v>0.15100000000001049</v>
      </c>
      <c r="PT21" s="43"/>
      <c r="PU21" s="42">
        <v>76.900999999999996</v>
      </c>
      <c r="PV21" s="47">
        <v>80</v>
      </c>
      <c r="PW21" s="47">
        <v>101.011</v>
      </c>
      <c r="PX21" s="47">
        <v>100</v>
      </c>
      <c r="PY21" s="44">
        <v>-2.0880000000000218</v>
      </c>
      <c r="PZ21" s="43"/>
      <c r="QA21" s="42">
        <v>100.744</v>
      </c>
      <c r="QB21" s="47">
        <v>98</v>
      </c>
      <c r="QC21" s="44">
        <v>2.7440000000000002</v>
      </c>
      <c r="QD21" s="43"/>
      <c r="QE21" s="42">
        <v>277.94600000000003</v>
      </c>
      <c r="QF21" s="47">
        <v>280</v>
      </c>
      <c r="QG21" s="44">
        <v>-2.0539999999999741</v>
      </c>
      <c r="QH21" s="43"/>
      <c r="QI21" s="42">
        <v>150.01</v>
      </c>
      <c r="QJ21" s="47">
        <v>150</v>
      </c>
      <c r="QK21" s="44">
        <v>9.9999999999909051E-3</v>
      </c>
      <c r="QL21" s="43"/>
      <c r="QM21" s="42">
        <v>0</v>
      </c>
      <c r="QN21" s="47">
        <v>0</v>
      </c>
      <c r="QO21" s="47">
        <v>0</v>
      </c>
      <c r="QP21" s="47">
        <v>0</v>
      </c>
      <c r="QQ21" s="44">
        <v>0</v>
      </c>
      <c r="QR21" s="43"/>
      <c r="QS21" s="42">
        <v>208.06899999999999</v>
      </c>
      <c r="QT21" s="47">
        <v>200</v>
      </c>
      <c r="QU21" s="44">
        <v>8.0689999999999884</v>
      </c>
      <c r="QV21" s="43"/>
      <c r="QW21" s="42">
        <v>298.3</v>
      </c>
      <c r="QX21" s="47">
        <v>200</v>
      </c>
      <c r="QY21" s="44">
        <v>98.300000000000011</v>
      </c>
      <c r="QZ21" s="43"/>
    </row>
    <row r="22" spans="1:468" x14ac:dyDescent="0.25">
      <c r="A22" s="47" t="s">
        <v>306</v>
      </c>
      <c r="B22" s="38">
        <v>1</v>
      </c>
      <c r="I22">
        <v>120</v>
      </c>
      <c r="J22">
        <v>131</v>
      </c>
      <c r="K22">
        <v>130</v>
      </c>
      <c r="N22" s="41">
        <v>82</v>
      </c>
      <c r="O22" s="49">
        <v>80</v>
      </c>
      <c r="P22" s="49">
        <v>98</v>
      </c>
      <c r="Q22" s="49">
        <v>98</v>
      </c>
      <c r="R22" s="48">
        <f t="shared" si="8"/>
        <v>2</v>
      </c>
      <c r="S22" s="40"/>
      <c r="T22" s="41">
        <v>21</v>
      </c>
      <c r="U22" s="49">
        <v>20</v>
      </c>
      <c r="V22" s="48">
        <f t="shared" si="9"/>
        <v>1</v>
      </c>
      <c r="W22" s="40"/>
      <c r="X22" s="41">
        <v>69</v>
      </c>
      <c r="Y22" s="49">
        <v>70</v>
      </c>
      <c r="Z22" s="49">
        <v>90</v>
      </c>
      <c r="AA22" s="49">
        <v>87</v>
      </c>
      <c r="AB22" s="48">
        <f t="shared" si="10"/>
        <v>2</v>
      </c>
      <c r="AC22" s="40"/>
      <c r="AD22" s="48"/>
      <c r="AF22">
        <v>49</v>
      </c>
      <c r="AG22">
        <v>50</v>
      </c>
      <c r="AH22" s="44">
        <v>-1</v>
      </c>
      <c r="AI22" s="40"/>
      <c r="AJ22">
        <v>50</v>
      </c>
      <c r="AK22">
        <v>50</v>
      </c>
      <c r="AL22">
        <v>69</v>
      </c>
      <c r="AM22">
        <v>70</v>
      </c>
      <c r="AN22" s="44">
        <v>-1</v>
      </c>
      <c r="AO22" s="40"/>
      <c r="AP22">
        <v>82</v>
      </c>
      <c r="AQ22">
        <v>80</v>
      </c>
      <c r="AR22">
        <v>106</v>
      </c>
      <c r="AS22">
        <v>103</v>
      </c>
      <c r="AT22" s="44">
        <v>5</v>
      </c>
      <c r="AU22" s="40"/>
      <c r="AV22" s="39"/>
      <c r="AX22" s="44">
        <v>0</v>
      </c>
      <c r="AY22" s="40"/>
      <c r="AZ22" s="41">
        <v>32</v>
      </c>
      <c r="BA22">
        <v>90</v>
      </c>
      <c r="BB22" s="46">
        <v>-58</v>
      </c>
      <c r="BC22" s="40">
        <v>58</v>
      </c>
      <c r="BD22">
        <v>62</v>
      </c>
      <c r="BE22">
        <v>60</v>
      </c>
      <c r="BG22">
        <v>40</v>
      </c>
      <c r="BH22" s="46">
        <v>-38</v>
      </c>
      <c r="BI22" s="40">
        <v>38</v>
      </c>
      <c r="BL22" s="44">
        <v>0</v>
      </c>
      <c r="BM22" s="40"/>
      <c r="BN22" s="41">
        <v>102</v>
      </c>
      <c r="BO22">
        <v>100</v>
      </c>
      <c r="BP22">
        <v>203</v>
      </c>
      <c r="BQ22">
        <v>201</v>
      </c>
      <c r="BR22" s="44">
        <v>4</v>
      </c>
      <c r="BS22" s="40"/>
      <c r="BV22" s="44">
        <v>0</v>
      </c>
      <c r="BW22" s="40"/>
      <c r="BX22" s="39"/>
      <c r="BZ22" s="44">
        <v>0</v>
      </c>
      <c r="CA22" s="40"/>
      <c r="CB22" s="39"/>
      <c r="CD22">
        <v>151</v>
      </c>
      <c r="CE22">
        <v>200</v>
      </c>
      <c r="CF22">
        <v>204</v>
      </c>
      <c r="CG22">
        <v>150</v>
      </c>
      <c r="CH22" s="44">
        <v>5</v>
      </c>
      <c r="CI22" s="40"/>
      <c r="CJ22">
        <v>41</v>
      </c>
      <c r="CK22">
        <v>40</v>
      </c>
      <c r="CN22" s="44">
        <v>1</v>
      </c>
      <c r="CO22" s="40"/>
      <c r="CP22" s="39"/>
      <c r="CR22">
        <v>171</v>
      </c>
      <c r="CS22">
        <v>170</v>
      </c>
      <c r="CT22" s="44">
        <v>1</v>
      </c>
      <c r="CU22" s="40"/>
      <c r="CV22" s="39"/>
      <c r="CX22">
        <v>69</v>
      </c>
      <c r="CY22">
        <v>70</v>
      </c>
      <c r="CZ22" s="44">
        <v>-1</v>
      </c>
      <c r="DA22" s="40"/>
      <c r="DB22" s="39"/>
      <c r="DD22">
        <v>41</v>
      </c>
      <c r="DE22">
        <v>40</v>
      </c>
      <c r="DF22" s="44">
        <v>1</v>
      </c>
      <c r="DG22" s="40"/>
      <c r="DJ22">
        <v>151</v>
      </c>
      <c r="DK22">
        <v>150</v>
      </c>
      <c r="DL22">
        <v>102</v>
      </c>
      <c r="DM22">
        <v>100</v>
      </c>
      <c r="DN22" s="44">
        <v>3</v>
      </c>
      <c r="DO22" s="40"/>
      <c r="DP22" s="41">
        <v>69</v>
      </c>
      <c r="DQ22">
        <v>70</v>
      </c>
      <c r="DR22" s="44">
        <v>-1</v>
      </c>
      <c r="DS22" s="40"/>
      <c r="DT22" s="39"/>
      <c r="DV22">
        <v>49</v>
      </c>
      <c r="DW22">
        <v>48</v>
      </c>
      <c r="DX22" s="44">
        <v>1</v>
      </c>
      <c r="DY22" s="40"/>
      <c r="DZ22" s="41">
        <v>65</v>
      </c>
      <c r="EA22">
        <v>65</v>
      </c>
      <c r="EB22" s="44">
        <v>0</v>
      </c>
      <c r="EC22" s="40"/>
      <c r="ED22">
        <v>41</v>
      </c>
      <c r="EE22">
        <v>40</v>
      </c>
      <c r="EG22">
        <v>41</v>
      </c>
      <c r="EH22">
        <v>40</v>
      </c>
      <c r="EI22">
        <v>62</v>
      </c>
      <c r="EJ22">
        <v>60</v>
      </c>
      <c r="EK22" s="44">
        <v>4</v>
      </c>
      <c r="EL22" s="40"/>
      <c r="EQ22">
        <v>81</v>
      </c>
      <c r="ER22">
        <v>80</v>
      </c>
      <c r="ES22" s="44">
        <v>1</v>
      </c>
      <c r="ET22" s="40"/>
      <c r="EU22" s="39"/>
      <c r="EW22">
        <v>110</v>
      </c>
      <c r="EX22">
        <v>110</v>
      </c>
      <c r="EY22" s="44">
        <v>0</v>
      </c>
      <c r="EZ22" s="40"/>
      <c r="FA22" s="39"/>
      <c r="FB22">
        <v>29</v>
      </c>
      <c r="FC22">
        <v>28</v>
      </c>
      <c r="FD22" s="44">
        <v>1</v>
      </c>
      <c r="FE22" s="40"/>
      <c r="FH22" s="44">
        <v>0</v>
      </c>
      <c r="FI22" s="40"/>
      <c r="FJ22" s="41">
        <v>41</v>
      </c>
      <c r="FK22">
        <v>40</v>
      </c>
      <c r="FO22">
        <v>48</v>
      </c>
      <c r="FP22">
        <v>50</v>
      </c>
      <c r="FQ22" s="44">
        <v>-1</v>
      </c>
      <c r="FR22" s="40"/>
      <c r="FS22">
        <v>49</v>
      </c>
      <c r="FT22">
        <v>50</v>
      </c>
      <c r="FU22">
        <v>82</v>
      </c>
      <c r="FV22">
        <v>80</v>
      </c>
      <c r="FW22" s="44">
        <v>1</v>
      </c>
      <c r="FX22" s="40"/>
      <c r="FY22" s="39"/>
      <c r="GA22">
        <v>12</v>
      </c>
      <c r="GB22">
        <v>10</v>
      </c>
      <c r="GC22" s="44">
        <v>2</v>
      </c>
      <c r="GD22" s="40"/>
      <c r="GG22">
        <v>89</v>
      </c>
      <c r="GH22">
        <v>90</v>
      </c>
      <c r="GI22" s="44">
        <v>-1</v>
      </c>
      <c r="GJ22" s="40"/>
      <c r="GK22">
        <v>45</v>
      </c>
      <c r="GL22" s="47">
        <v>42.8078</v>
      </c>
      <c r="GM22" s="44">
        <v>2.1922000000000001</v>
      </c>
      <c r="GN22" s="40"/>
      <c r="GO22" s="41">
        <v>57</v>
      </c>
      <c r="GP22">
        <v>55</v>
      </c>
      <c r="GQ22" s="44">
        <v>2</v>
      </c>
      <c r="GR22" s="40"/>
      <c r="GV22">
        <v>37</v>
      </c>
      <c r="GW22">
        <v>36</v>
      </c>
      <c r="GX22" s="44">
        <v>1</v>
      </c>
      <c r="GY22" s="40"/>
      <c r="GZ22">
        <v>20</v>
      </c>
      <c r="HA22">
        <v>20</v>
      </c>
      <c r="HD22" s="44">
        <v>0</v>
      </c>
      <c r="HE22" s="40"/>
      <c r="HF22" s="41">
        <v>102</v>
      </c>
      <c r="HG22">
        <v>100</v>
      </c>
      <c r="HH22">
        <v>70</v>
      </c>
      <c r="HI22">
        <v>70</v>
      </c>
      <c r="HJ22" s="44">
        <v>2</v>
      </c>
      <c r="HK22" s="40"/>
      <c r="HL22" s="39"/>
      <c r="HN22">
        <v>61</v>
      </c>
      <c r="HO22">
        <v>60</v>
      </c>
      <c r="HP22" s="44">
        <v>1</v>
      </c>
      <c r="HQ22" s="40"/>
      <c r="HT22">
        <v>110</v>
      </c>
      <c r="HU22">
        <v>110</v>
      </c>
      <c r="HV22" s="44">
        <v>0</v>
      </c>
      <c r="HW22" s="43"/>
      <c r="HX22">
        <v>82</v>
      </c>
      <c r="HY22">
        <v>80</v>
      </c>
      <c r="HZ22">
        <v>82</v>
      </c>
      <c r="IA22">
        <v>80</v>
      </c>
      <c r="IB22" s="44">
        <v>4</v>
      </c>
      <c r="IC22" s="43"/>
      <c r="ID22">
        <v>122</v>
      </c>
      <c r="IE22">
        <v>120</v>
      </c>
      <c r="IF22">
        <v>80</v>
      </c>
      <c r="IG22">
        <v>80</v>
      </c>
      <c r="IH22" s="44">
        <v>2</v>
      </c>
      <c r="II22" s="43"/>
      <c r="IL22">
        <v>37</v>
      </c>
      <c r="IM22">
        <v>40</v>
      </c>
      <c r="IN22" s="44">
        <v>-3</v>
      </c>
      <c r="IO22" s="40"/>
      <c r="IP22">
        <v>125</v>
      </c>
      <c r="IQ22">
        <v>128</v>
      </c>
      <c r="IR22" s="44">
        <v>-3</v>
      </c>
      <c r="IS22" s="40"/>
      <c r="IT22">
        <v>101</v>
      </c>
      <c r="IU22">
        <v>100</v>
      </c>
      <c r="IV22">
        <v>69</v>
      </c>
      <c r="IW22">
        <v>70</v>
      </c>
      <c r="IX22" s="44">
        <v>0</v>
      </c>
      <c r="IY22" s="43"/>
      <c r="JB22" s="44">
        <v>0</v>
      </c>
      <c r="JC22" s="40"/>
      <c r="JF22">
        <v>187</v>
      </c>
      <c r="JG22">
        <v>180</v>
      </c>
      <c r="JH22" s="44">
        <v>7</v>
      </c>
      <c r="JI22" s="40"/>
      <c r="JJ22">
        <v>129</v>
      </c>
      <c r="JK22">
        <v>130</v>
      </c>
      <c r="JL22">
        <v>130</v>
      </c>
      <c r="JM22">
        <v>130</v>
      </c>
      <c r="JN22" s="44">
        <v>-1</v>
      </c>
      <c r="JO22" s="43"/>
      <c r="JT22" s="44">
        <v>0</v>
      </c>
      <c r="JU22" s="43"/>
      <c r="JZ22" s="44">
        <v>0</v>
      </c>
      <c r="KA22" s="43"/>
      <c r="KB22" s="41">
        <v>147</v>
      </c>
      <c r="KC22">
        <v>150</v>
      </c>
      <c r="KE22">
        <v>147</v>
      </c>
      <c r="KF22">
        <v>150</v>
      </c>
      <c r="KG22">
        <v>99</v>
      </c>
      <c r="KH22">
        <v>100</v>
      </c>
      <c r="KI22" s="46">
        <v>-7</v>
      </c>
      <c r="KJ22" s="43">
        <v>7</v>
      </c>
      <c r="KK22" s="47">
        <v>0</v>
      </c>
      <c r="KL22" s="47">
        <v>0</v>
      </c>
      <c r="KM22" s="47">
        <v>0</v>
      </c>
      <c r="KN22" s="47">
        <v>0</v>
      </c>
      <c r="KO22" s="44">
        <v>0</v>
      </c>
      <c r="KP22" s="43"/>
      <c r="KQ22" s="47">
        <v>102.374</v>
      </c>
      <c r="KR22" s="47">
        <v>100</v>
      </c>
      <c r="KS22" s="47">
        <v>162.84200000000001</v>
      </c>
      <c r="KT22" s="47">
        <v>150</v>
      </c>
      <c r="KU22" s="44">
        <v>15.21600000000001</v>
      </c>
      <c r="KV22" s="43"/>
      <c r="KW22" s="42">
        <v>0</v>
      </c>
      <c r="KX22" s="47">
        <v>0</v>
      </c>
      <c r="KY22" s="44">
        <v>0</v>
      </c>
      <c r="KZ22" s="43"/>
      <c r="LA22" s="42">
        <v>151.61000000000001</v>
      </c>
      <c r="LB22" s="47">
        <v>150</v>
      </c>
      <c r="LC22" s="47">
        <v>143.285</v>
      </c>
      <c r="LD22" s="47">
        <v>140</v>
      </c>
      <c r="LE22" s="44">
        <v>4.8949999999999818</v>
      </c>
      <c r="LF22" s="43"/>
      <c r="LG22" s="42">
        <v>90.25</v>
      </c>
      <c r="LH22" s="47">
        <v>90</v>
      </c>
      <c r="LI22" s="47">
        <v>102.565</v>
      </c>
      <c r="LJ22" s="47">
        <v>100</v>
      </c>
      <c r="LK22" s="44">
        <v>2.8149999999999982</v>
      </c>
      <c r="LL22" s="43"/>
      <c r="LM22" s="42">
        <v>0</v>
      </c>
      <c r="LN22" s="47">
        <v>0</v>
      </c>
      <c r="LO22" s="44">
        <v>0</v>
      </c>
      <c r="LP22" s="43"/>
      <c r="LQ22" s="42">
        <v>41.67</v>
      </c>
      <c r="LR22" s="47">
        <v>40</v>
      </c>
      <c r="LS22" s="47">
        <v>40.854999999999997</v>
      </c>
      <c r="LT22" s="47">
        <v>40</v>
      </c>
      <c r="LU22" s="44">
        <v>2.5250000000000061</v>
      </c>
      <c r="LV22" s="43"/>
      <c r="LW22" s="42">
        <v>0</v>
      </c>
      <c r="LX22" s="47">
        <v>0</v>
      </c>
      <c r="LY22" s="47">
        <v>0</v>
      </c>
      <c r="LZ22" s="47">
        <v>0</v>
      </c>
      <c r="MA22" s="44">
        <v>0</v>
      </c>
      <c r="MB22" s="43"/>
      <c r="MC22" s="42">
        <v>101.105</v>
      </c>
      <c r="MD22" s="47">
        <v>100</v>
      </c>
      <c r="ME22" s="47">
        <v>152.02000000000001</v>
      </c>
      <c r="MF22" s="47">
        <v>150</v>
      </c>
      <c r="MG22" s="44">
        <v>3.125</v>
      </c>
      <c r="MH22" s="43"/>
      <c r="MI22" s="42">
        <v>102.315</v>
      </c>
      <c r="MJ22" s="47">
        <v>100</v>
      </c>
      <c r="MK22" s="47">
        <v>102.965</v>
      </c>
      <c r="ML22" s="47">
        <v>100</v>
      </c>
      <c r="MM22" s="44">
        <v>5.2800000000000011</v>
      </c>
      <c r="MN22" s="43"/>
      <c r="MO22" s="42">
        <v>0</v>
      </c>
      <c r="MP22" s="47">
        <v>0</v>
      </c>
      <c r="MQ22" s="47">
        <v>65.754999999999995</v>
      </c>
      <c r="MR22" s="47">
        <v>65</v>
      </c>
      <c r="MS22" s="44">
        <v>0.75499999999999545</v>
      </c>
      <c r="MT22" s="43"/>
      <c r="MU22" s="42">
        <v>49.465000000000003</v>
      </c>
      <c r="MV22" s="47">
        <v>80</v>
      </c>
      <c r="MW22" s="47">
        <v>124.845</v>
      </c>
      <c r="MX22" s="47">
        <v>120</v>
      </c>
      <c r="MY22" s="46">
        <v>-25.69</v>
      </c>
      <c r="MZ22" s="43">
        <v>25.69</v>
      </c>
      <c r="NA22" s="42">
        <v>49.805</v>
      </c>
      <c r="NB22" s="47">
        <v>50</v>
      </c>
      <c r="NC22" s="47">
        <v>70.745000000000005</v>
      </c>
      <c r="ND22" s="47">
        <v>70</v>
      </c>
      <c r="NE22" s="44">
        <v>0.55000000000001137</v>
      </c>
      <c r="NF22" s="43"/>
      <c r="NG22" s="42">
        <v>103.515</v>
      </c>
      <c r="NH22" s="47">
        <v>100</v>
      </c>
      <c r="NI22" s="47">
        <v>102.83499999999999</v>
      </c>
      <c r="NJ22" s="47">
        <v>100</v>
      </c>
      <c r="NK22" s="44">
        <v>6.3499999999999943</v>
      </c>
      <c r="NL22" s="43"/>
      <c r="NM22" s="42">
        <v>0</v>
      </c>
      <c r="NN22" s="47">
        <v>0</v>
      </c>
      <c r="NO22" s="47">
        <v>0</v>
      </c>
      <c r="NP22" s="26">
        <v>150</v>
      </c>
      <c r="NQ22" s="46">
        <v>-150</v>
      </c>
      <c r="NR22" s="43">
        <v>150</v>
      </c>
      <c r="NS22" s="42">
        <v>112.74</v>
      </c>
      <c r="NT22" s="47">
        <v>110</v>
      </c>
      <c r="NU22" s="47">
        <v>0</v>
      </c>
      <c r="NV22" s="47">
        <v>0</v>
      </c>
      <c r="NW22" s="44">
        <v>2.7399999999999949</v>
      </c>
      <c r="NX22" s="43"/>
      <c r="NY22" s="42">
        <v>0</v>
      </c>
      <c r="NZ22" s="47">
        <v>0</v>
      </c>
      <c r="OA22" s="47">
        <v>221.29</v>
      </c>
      <c r="OB22" s="47">
        <v>220</v>
      </c>
      <c r="OC22" s="44">
        <v>1.289999999999992</v>
      </c>
      <c r="OD22" s="43"/>
      <c r="OE22" s="42">
        <v>0</v>
      </c>
      <c r="OF22" s="47">
        <v>0</v>
      </c>
      <c r="OG22" s="47">
        <v>0</v>
      </c>
      <c r="OH22" s="47">
        <v>0</v>
      </c>
      <c r="OI22" s="44">
        <v>0</v>
      </c>
      <c r="OJ22" s="43"/>
      <c r="OK22" s="42">
        <v>0</v>
      </c>
      <c r="OL22" s="47">
        <v>0</v>
      </c>
      <c r="OM22" s="47">
        <v>0</v>
      </c>
      <c r="ON22" s="47">
        <v>0</v>
      </c>
      <c r="OO22" s="44">
        <v>0</v>
      </c>
      <c r="OP22" s="43"/>
      <c r="OQ22" s="42">
        <v>202.95699999999999</v>
      </c>
      <c r="OR22" s="47">
        <v>200</v>
      </c>
      <c r="OS22" s="47">
        <v>152.13200000000001</v>
      </c>
      <c r="OT22" s="47">
        <v>150</v>
      </c>
      <c r="OU22" s="44">
        <v>5.0889999999999986</v>
      </c>
      <c r="OV22" s="43"/>
      <c r="OW22" s="42">
        <v>139.655</v>
      </c>
      <c r="OX22" s="47">
        <v>80</v>
      </c>
      <c r="OY22" s="47">
        <v>107.295</v>
      </c>
      <c r="OZ22" s="47">
        <v>105</v>
      </c>
      <c r="PA22" s="44">
        <v>61.949999999999989</v>
      </c>
      <c r="PB22" s="43"/>
      <c r="PC22" s="42">
        <v>0</v>
      </c>
      <c r="PD22" s="47">
        <v>0</v>
      </c>
      <c r="PE22" s="47">
        <v>111.38500000000001</v>
      </c>
      <c r="PF22" s="47">
        <v>110</v>
      </c>
      <c r="PG22" s="44">
        <v>1.3850000000000049</v>
      </c>
      <c r="PH22" s="43"/>
      <c r="PI22" s="42">
        <v>0</v>
      </c>
      <c r="PJ22" s="47">
        <v>0</v>
      </c>
      <c r="PK22" s="47">
        <v>49.23</v>
      </c>
      <c r="PL22" s="47">
        <v>50</v>
      </c>
      <c r="PM22" s="44">
        <v>-0.77000000000000313</v>
      </c>
      <c r="PN22" s="43"/>
      <c r="PO22" s="42">
        <v>49.055</v>
      </c>
      <c r="PP22" s="47">
        <v>50</v>
      </c>
      <c r="PQ22" s="47">
        <v>49.26</v>
      </c>
      <c r="PR22" s="47">
        <v>50</v>
      </c>
      <c r="PS22" s="44">
        <v>-1.6850000000000021</v>
      </c>
      <c r="PT22" s="43"/>
      <c r="PU22" s="42">
        <v>68.31</v>
      </c>
      <c r="PV22" s="47">
        <v>70</v>
      </c>
      <c r="PW22" s="47">
        <v>88.86</v>
      </c>
      <c r="PX22" s="47">
        <v>90</v>
      </c>
      <c r="PY22" s="44">
        <v>-2.8299999999999841</v>
      </c>
      <c r="PZ22" s="43"/>
      <c r="QA22" s="42">
        <v>0</v>
      </c>
      <c r="QB22" s="47">
        <v>0</v>
      </c>
      <c r="QC22" s="44">
        <v>0</v>
      </c>
      <c r="QD22" s="43"/>
      <c r="QE22" s="42">
        <v>0</v>
      </c>
      <c r="QF22" s="47">
        <v>0</v>
      </c>
      <c r="QG22" s="44">
        <v>0</v>
      </c>
      <c r="QH22" s="43"/>
      <c r="QI22" s="42">
        <v>301.2</v>
      </c>
      <c r="QJ22" s="47">
        <v>300</v>
      </c>
      <c r="QK22" s="44">
        <v>1.1999999999999891</v>
      </c>
      <c r="QL22" s="43"/>
      <c r="QM22" s="42">
        <v>57.045000000000002</v>
      </c>
      <c r="QN22" s="47">
        <v>55</v>
      </c>
      <c r="QO22" s="47">
        <v>40.950000000000003</v>
      </c>
      <c r="QP22" s="47">
        <v>40</v>
      </c>
      <c r="QQ22" s="44">
        <v>2.995000000000005</v>
      </c>
      <c r="QR22" s="43"/>
      <c r="QS22" s="42">
        <v>0</v>
      </c>
      <c r="QT22" s="47">
        <v>0</v>
      </c>
      <c r="QU22" s="44">
        <v>0</v>
      </c>
      <c r="QV22" s="43"/>
      <c r="QW22" s="42">
        <v>48.9</v>
      </c>
      <c r="QX22" s="47">
        <v>66</v>
      </c>
      <c r="QY22" s="46">
        <v>-17.100000000000001</v>
      </c>
      <c r="QZ22" s="43">
        <v>17.100000000000001</v>
      </c>
    </row>
    <row r="23" spans="1:468" x14ac:dyDescent="0.25">
      <c r="A23" s="47" t="s">
        <v>307</v>
      </c>
      <c r="B23" s="38">
        <v>0.25</v>
      </c>
      <c r="I23">
        <v>190</v>
      </c>
      <c r="J23">
        <v>224</v>
      </c>
      <c r="K23">
        <v>223</v>
      </c>
      <c r="N23" s="41">
        <v>80</v>
      </c>
      <c r="O23" s="49">
        <v>79</v>
      </c>
      <c r="P23" s="49">
        <v>96</v>
      </c>
      <c r="Q23" s="49">
        <v>96</v>
      </c>
      <c r="R23" s="48">
        <f t="shared" si="8"/>
        <v>1</v>
      </c>
      <c r="S23" s="40"/>
      <c r="T23" s="39"/>
      <c r="U23" s="48"/>
      <c r="V23" s="48">
        <f t="shared" si="9"/>
        <v>0</v>
      </c>
      <c r="W23" s="40"/>
      <c r="X23" s="41">
        <v>120</v>
      </c>
      <c r="Y23" s="49">
        <v>120</v>
      </c>
      <c r="Z23" s="49">
        <v>128</v>
      </c>
      <c r="AA23" s="49">
        <v>130</v>
      </c>
      <c r="AB23" s="48">
        <f t="shared" si="10"/>
        <v>-2</v>
      </c>
      <c r="AC23" s="40"/>
      <c r="AD23" s="48"/>
      <c r="AF23">
        <v>72</v>
      </c>
      <c r="AG23">
        <v>70</v>
      </c>
      <c r="AH23" s="44">
        <v>2</v>
      </c>
      <c r="AI23" s="40"/>
      <c r="AJ23">
        <v>32</v>
      </c>
      <c r="AK23">
        <v>32</v>
      </c>
      <c r="AL23">
        <v>40</v>
      </c>
      <c r="AM23">
        <v>38</v>
      </c>
      <c r="AN23" s="44">
        <v>2</v>
      </c>
      <c r="AO23" s="40"/>
      <c r="AP23">
        <v>120</v>
      </c>
      <c r="AQ23">
        <v>120</v>
      </c>
      <c r="AR23">
        <v>136</v>
      </c>
      <c r="AS23">
        <v>139</v>
      </c>
      <c r="AT23" s="44">
        <v>-3</v>
      </c>
      <c r="AU23" s="40"/>
      <c r="AV23" s="41">
        <v>72</v>
      </c>
      <c r="AW23">
        <v>72</v>
      </c>
      <c r="AX23" s="44">
        <v>0</v>
      </c>
      <c r="AY23" s="40"/>
      <c r="AZ23" s="41">
        <v>112</v>
      </c>
      <c r="BA23">
        <v>114</v>
      </c>
      <c r="BB23" s="44">
        <v>-2</v>
      </c>
      <c r="BC23" s="40"/>
      <c r="BD23">
        <v>96</v>
      </c>
      <c r="BE23">
        <v>100</v>
      </c>
      <c r="BF23">
        <v>72</v>
      </c>
      <c r="BG23">
        <v>70</v>
      </c>
      <c r="BH23" s="44">
        <v>-2</v>
      </c>
      <c r="BI23" s="40"/>
      <c r="BJ23">
        <v>200</v>
      </c>
      <c r="BK23">
        <v>200</v>
      </c>
      <c r="BL23" s="44">
        <v>0</v>
      </c>
      <c r="BM23" s="40"/>
      <c r="BN23" s="41">
        <v>96</v>
      </c>
      <c r="BO23">
        <v>100</v>
      </c>
      <c r="BP23">
        <v>264</v>
      </c>
      <c r="BQ23">
        <v>265</v>
      </c>
      <c r="BR23" s="44">
        <v>-5</v>
      </c>
      <c r="BS23" s="40"/>
      <c r="BT23">
        <v>200</v>
      </c>
      <c r="BU23">
        <v>200</v>
      </c>
      <c r="BV23" s="44">
        <v>0</v>
      </c>
      <c r="BW23" s="40"/>
      <c r="BX23" s="39"/>
      <c r="BZ23" s="44">
        <v>0</v>
      </c>
      <c r="CA23" s="40"/>
      <c r="CB23" s="39"/>
      <c r="CD23">
        <v>152</v>
      </c>
      <c r="CE23">
        <v>200</v>
      </c>
      <c r="CF23">
        <v>200</v>
      </c>
      <c r="CG23">
        <v>150</v>
      </c>
      <c r="CH23" s="44">
        <v>2</v>
      </c>
      <c r="CI23" s="40"/>
      <c r="CJ23">
        <v>200</v>
      </c>
      <c r="CK23">
        <v>200</v>
      </c>
      <c r="CL23">
        <v>200</v>
      </c>
      <c r="CM23">
        <v>203</v>
      </c>
      <c r="CN23" s="44">
        <v>-3</v>
      </c>
      <c r="CO23" s="40"/>
      <c r="CP23" s="41">
        <v>96</v>
      </c>
      <c r="CQ23">
        <v>100</v>
      </c>
      <c r="CR23">
        <v>88</v>
      </c>
      <c r="CS23">
        <v>90</v>
      </c>
      <c r="CT23" s="44">
        <v>-6</v>
      </c>
      <c r="CU23" s="40"/>
      <c r="CV23" s="39"/>
      <c r="CX23">
        <v>96</v>
      </c>
      <c r="CY23">
        <v>100</v>
      </c>
      <c r="CZ23" s="44">
        <v>-4</v>
      </c>
      <c r="DA23" s="40"/>
      <c r="DB23" s="41">
        <v>40</v>
      </c>
      <c r="DC23">
        <v>40</v>
      </c>
      <c r="DD23">
        <v>112</v>
      </c>
      <c r="DE23">
        <v>110</v>
      </c>
      <c r="DF23" s="44">
        <v>2</v>
      </c>
      <c r="DG23" s="40"/>
      <c r="DH23">
        <v>96</v>
      </c>
      <c r="DI23">
        <v>100</v>
      </c>
      <c r="DJ23">
        <v>168</v>
      </c>
      <c r="DK23">
        <v>170</v>
      </c>
      <c r="DL23">
        <v>152</v>
      </c>
      <c r="DM23">
        <v>150</v>
      </c>
      <c r="DN23" s="44">
        <v>-4</v>
      </c>
      <c r="DO23" s="40"/>
      <c r="DP23" s="41">
        <v>96</v>
      </c>
      <c r="DQ23">
        <v>100</v>
      </c>
      <c r="DR23" s="44">
        <v>-4</v>
      </c>
      <c r="DS23" s="40"/>
      <c r="DT23" s="39"/>
      <c r="DV23">
        <v>232</v>
      </c>
      <c r="DW23">
        <v>230</v>
      </c>
      <c r="DX23" s="44">
        <v>2</v>
      </c>
      <c r="DY23" s="40"/>
      <c r="DZ23" s="41">
        <v>152</v>
      </c>
      <c r="EA23">
        <v>150</v>
      </c>
      <c r="EB23" s="44">
        <v>2</v>
      </c>
      <c r="EC23" s="40"/>
      <c r="ED23">
        <v>48</v>
      </c>
      <c r="EE23">
        <v>50</v>
      </c>
      <c r="EF23">
        <v>48</v>
      </c>
      <c r="EH23">
        <v>50</v>
      </c>
      <c r="EI23">
        <v>96</v>
      </c>
      <c r="EJ23">
        <v>100</v>
      </c>
      <c r="EK23" s="44">
        <v>-8</v>
      </c>
      <c r="EL23" s="40"/>
      <c r="EQ23">
        <v>88</v>
      </c>
      <c r="ER23">
        <v>90</v>
      </c>
      <c r="ES23" s="44">
        <v>-2</v>
      </c>
      <c r="ET23" s="40"/>
      <c r="EU23" s="39"/>
      <c r="EY23" s="44">
        <v>0</v>
      </c>
      <c r="EZ23" s="40"/>
      <c r="FA23" s="39"/>
      <c r="FB23">
        <v>328</v>
      </c>
      <c r="FC23">
        <v>327</v>
      </c>
      <c r="FD23" s="44">
        <v>1</v>
      </c>
      <c r="FE23" s="40"/>
      <c r="FF23">
        <v>136</v>
      </c>
      <c r="FG23">
        <v>140</v>
      </c>
      <c r="FH23" s="44">
        <v>-4</v>
      </c>
      <c r="FI23" s="40"/>
      <c r="FJ23" s="39"/>
      <c r="FL23">
        <v>96</v>
      </c>
      <c r="FQ23" s="44">
        <v>96</v>
      </c>
      <c r="FR23" s="40"/>
      <c r="FS23">
        <v>160</v>
      </c>
      <c r="FT23">
        <v>160</v>
      </c>
      <c r="FU23">
        <v>128</v>
      </c>
      <c r="FV23">
        <v>130</v>
      </c>
      <c r="FW23" s="44">
        <v>-2</v>
      </c>
      <c r="FX23" s="40"/>
      <c r="FY23" s="39"/>
      <c r="GA23">
        <v>8</v>
      </c>
      <c r="GB23">
        <v>9</v>
      </c>
      <c r="GC23" s="44">
        <v>-1</v>
      </c>
      <c r="GD23" s="40"/>
      <c r="GG23">
        <v>8</v>
      </c>
      <c r="GH23">
        <v>8</v>
      </c>
      <c r="GI23" s="44">
        <v>0</v>
      </c>
      <c r="GJ23" s="40"/>
      <c r="GK23">
        <v>128</v>
      </c>
      <c r="GL23" s="47">
        <v>120</v>
      </c>
      <c r="GM23" s="44">
        <v>8</v>
      </c>
      <c r="GN23" s="40"/>
      <c r="GO23" s="41">
        <v>16</v>
      </c>
      <c r="GP23">
        <v>20</v>
      </c>
      <c r="GQ23" s="44">
        <v>-4</v>
      </c>
      <c r="GR23" s="40"/>
      <c r="GV23">
        <v>128</v>
      </c>
      <c r="GW23">
        <v>130</v>
      </c>
      <c r="GX23" s="44">
        <v>-2</v>
      </c>
      <c r="GY23" s="40"/>
      <c r="HD23" s="44">
        <v>0</v>
      </c>
      <c r="HE23" s="40"/>
      <c r="HF23" s="41">
        <v>96</v>
      </c>
      <c r="HG23">
        <v>100</v>
      </c>
      <c r="HH23">
        <v>216</v>
      </c>
      <c r="HI23">
        <v>220</v>
      </c>
      <c r="HJ23" s="44">
        <v>-8</v>
      </c>
      <c r="HK23" s="40"/>
      <c r="HL23" s="41">
        <v>96</v>
      </c>
      <c r="HM23">
        <v>100</v>
      </c>
      <c r="HN23">
        <v>80</v>
      </c>
      <c r="HO23">
        <v>80</v>
      </c>
      <c r="HP23" s="44">
        <v>-4</v>
      </c>
      <c r="HQ23" s="40"/>
      <c r="HT23">
        <v>120</v>
      </c>
      <c r="HU23">
        <v>120</v>
      </c>
      <c r="HV23" s="44">
        <v>0</v>
      </c>
      <c r="HW23" s="43"/>
      <c r="HX23">
        <v>80</v>
      </c>
      <c r="HY23">
        <v>80</v>
      </c>
      <c r="HZ23">
        <v>96</v>
      </c>
      <c r="IA23">
        <v>100</v>
      </c>
      <c r="IB23" s="44">
        <v>-4</v>
      </c>
      <c r="IC23" s="43"/>
      <c r="ID23">
        <v>16</v>
      </c>
      <c r="IE23">
        <v>20</v>
      </c>
      <c r="IH23" s="44">
        <v>-4</v>
      </c>
      <c r="II23" s="43"/>
      <c r="IJ23">
        <v>152</v>
      </c>
      <c r="IK23">
        <v>150</v>
      </c>
      <c r="IL23">
        <v>112</v>
      </c>
      <c r="IM23">
        <v>110</v>
      </c>
      <c r="IN23" s="44">
        <v>4</v>
      </c>
      <c r="IO23" s="40"/>
      <c r="IR23" s="44">
        <v>0</v>
      </c>
      <c r="IS23" s="40"/>
      <c r="IT23">
        <v>240</v>
      </c>
      <c r="IU23">
        <v>240</v>
      </c>
      <c r="IX23" s="44">
        <v>0</v>
      </c>
      <c r="IY23" s="43"/>
      <c r="IZ23">
        <v>168</v>
      </c>
      <c r="JA23" s="47">
        <v>170</v>
      </c>
      <c r="JB23" s="44">
        <v>-2</v>
      </c>
      <c r="JC23" s="40"/>
      <c r="JH23" s="44">
        <v>0</v>
      </c>
      <c r="JI23" s="40"/>
      <c r="JJ23">
        <v>320</v>
      </c>
      <c r="JK23">
        <v>320</v>
      </c>
      <c r="JL23">
        <v>328</v>
      </c>
      <c r="JM23">
        <v>330</v>
      </c>
      <c r="JN23" s="44">
        <v>-2</v>
      </c>
      <c r="JO23" s="43"/>
      <c r="JT23" s="44">
        <v>0</v>
      </c>
      <c r="JU23" s="43"/>
      <c r="JX23">
        <v>72</v>
      </c>
      <c r="JY23">
        <v>70</v>
      </c>
      <c r="JZ23" s="44">
        <v>2</v>
      </c>
      <c r="KA23" s="43"/>
      <c r="KB23" s="41">
        <v>152</v>
      </c>
      <c r="KC23">
        <v>150</v>
      </c>
      <c r="KE23">
        <v>152</v>
      </c>
      <c r="KF23">
        <v>150</v>
      </c>
      <c r="KG23">
        <v>200</v>
      </c>
      <c r="KH23">
        <v>200</v>
      </c>
      <c r="KI23" s="44">
        <v>4</v>
      </c>
      <c r="KJ23" s="43"/>
      <c r="KK23" s="47">
        <v>96</v>
      </c>
      <c r="KL23" s="47">
        <v>100</v>
      </c>
      <c r="KM23" s="47">
        <v>136</v>
      </c>
      <c r="KN23" s="47">
        <v>134</v>
      </c>
      <c r="KO23" s="44">
        <v>-2</v>
      </c>
      <c r="KP23" s="43"/>
      <c r="KQ23" s="47">
        <v>0</v>
      </c>
      <c r="KR23" s="47">
        <v>0</v>
      </c>
      <c r="KS23" s="47">
        <v>216</v>
      </c>
      <c r="KT23" s="47">
        <v>315</v>
      </c>
      <c r="KU23" s="46">
        <v>-99</v>
      </c>
      <c r="KV23" s="43">
        <v>24.75</v>
      </c>
      <c r="KW23" s="42">
        <v>0</v>
      </c>
      <c r="KX23" s="47">
        <v>150</v>
      </c>
      <c r="KY23" s="46">
        <v>-150</v>
      </c>
      <c r="KZ23" s="43">
        <v>37.5</v>
      </c>
      <c r="LA23" s="42">
        <v>112</v>
      </c>
      <c r="LB23" s="47">
        <v>110</v>
      </c>
      <c r="LC23" s="47">
        <v>88</v>
      </c>
      <c r="LD23" s="47">
        <v>90</v>
      </c>
      <c r="LE23" s="44">
        <v>0</v>
      </c>
      <c r="LF23" s="43"/>
      <c r="LG23" s="42">
        <v>176</v>
      </c>
      <c r="LH23" s="47">
        <v>160</v>
      </c>
      <c r="LI23" s="47">
        <v>160</v>
      </c>
      <c r="LJ23" s="47">
        <v>160</v>
      </c>
      <c r="LK23" s="44">
        <v>16</v>
      </c>
      <c r="LL23" s="43"/>
      <c r="LM23" s="42">
        <v>0</v>
      </c>
      <c r="LN23" s="47">
        <v>0</v>
      </c>
      <c r="LO23" s="44">
        <v>0</v>
      </c>
      <c r="LP23" s="43"/>
      <c r="LQ23" s="42">
        <v>0</v>
      </c>
      <c r="LR23" s="47">
        <v>0</v>
      </c>
      <c r="LS23" s="47">
        <v>0</v>
      </c>
      <c r="LT23" s="47">
        <v>0</v>
      </c>
      <c r="LU23" s="44">
        <v>0</v>
      </c>
      <c r="LV23" s="43"/>
      <c r="LW23" s="42">
        <v>0</v>
      </c>
      <c r="LX23" s="47">
        <v>0</v>
      </c>
      <c r="LY23" s="47">
        <v>272</v>
      </c>
      <c r="LZ23" s="47">
        <v>270</v>
      </c>
      <c r="MA23" s="44">
        <v>2</v>
      </c>
      <c r="MB23" s="43"/>
      <c r="MC23" s="42">
        <v>0</v>
      </c>
      <c r="MD23" s="47">
        <v>0</v>
      </c>
      <c r="ME23" s="47">
        <v>272</v>
      </c>
      <c r="MF23" s="47">
        <v>270</v>
      </c>
      <c r="MG23" s="44">
        <v>2</v>
      </c>
      <c r="MH23" s="43"/>
      <c r="MI23" s="42">
        <v>0</v>
      </c>
      <c r="MJ23" s="47">
        <v>0</v>
      </c>
      <c r="MK23" s="47">
        <v>96</v>
      </c>
      <c r="ML23" s="47">
        <v>100</v>
      </c>
      <c r="MM23" s="44">
        <v>-4</v>
      </c>
      <c r="MN23" s="43"/>
      <c r="MO23" s="42">
        <v>48</v>
      </c>
      <c r="MP23" s="47">
        <v>50</v>
      </c>
      <c r="MQ23" s="47">
        <v>48</v>
      </c>
      <c r="MR23" s="47">
        <v>50</v>
      </c>
      <c r="MS23" s="44">
        <v>-4</v>
      </c>
      <c r="MT23" s="43"/>
      <c r="MU23" s="42">
        <v>200</v>
      </c>
      <c r="MV23" s="47">
        <v>100</v>
      </c>
      <c r="MW23" s="47">
        <v>0</v>
      </c>
      <c r="MX23" s="47">
        <v>0</v>
      </c>
      <c r="MY23" s="44">
        <v>100</v>
      </c>
      <c r="MZ23" s="43"/>
      <c r="NA23" s="42">
        <v>216</v>
      </c>
      <c r="NB23" s="47">
        <v>220</v>
      </c>
      <c r="NC23" s="47">
        <v>232</v>
      </c>
      <c r="ND23" s="47">
        <v>230</v>
      </c>
      <c r="NE23" s="44">
        <v>-2</v>
      </c>
      <c r="NF23" s="43"/>
      <c r="NG23" s="42">
        <v>96</v>
      </c>
      <c r="NH23" s="47">
        <v>100</v>
      </c>
      <c r="NI23" s="47">
        <v>96</v>
      </c>
      <c r="NJ23" s="47">
        <v>100</v>
      </c>
      <c r="NK23" s="44">
        <v>-8</v>
      </c>
      <c r="NL23" s="43"/>
      <c r="NM23" s="42">
        <v>0</v>
      </c>
      <c r="NN23" s="47">
        <v>0</v>
      </c>
      <c r="NO23" s="47">
        <v>296</v>
      </c>
      <c r="NP23" s="47">
        <v>300</v>
      </c>
      <c r="NQ23" s="44">
        <v>-4</v>
      </c>
      <c r="NR23" s="43"/>
      <c r="NS23" s="42">
        <v>200</v>
      </c>
      <c r="NT23" s="47">
        <v>200</v>
      </c>
      <c r="NU23" s="47">
        <v>296</v>
      </c>
      <c r="NV23" s="47">
        <v>300</v>
      </c>
      <c r="NW23" s="44">
        <v>-4</v>
      </c>
      <c r="NX23" s="43"/>
      <c r="NY23" s="42">
        <v>280</v>
      </c>
      <c r="NZ23" s="47">
        <v>283</v>
      </c>
      <c r="OA23" s="47">
        <v>280</v>
      </c>
      <c r="OB23" s="47">
        <v>283</v>
      </c>
      <c r="OC23" s="44">
        <v>-6</v>
      </c>
      <c r="OD23" s="43"/>
      <c r="OE23" s="42">
        <v>168</v>
      </c>
      <c r="OF23" s="47">
        <v>170</v>
      </c>
      <c r="OG23" s="47">
        <v>128</v>
      </c>
      <c r="OH23" s="47">
        <v>130</v>
      </c>
      <c r="OI23" s="44">
        <v>-4</v>
      </c>
      <c r="OJ23" s="43"/>
      <c r="OK23" s="42">
        <v>96</v>
      </c>
      <c r="OL23" s="47">
        <v>100</v>
      </c>
      <c r="OM23" s="47">
        <v>120</v>
      </c>
      <c r="ON23" s="47">
        <v>123</v>
      </c>
      <c r="OO23" s="44">
        <v>-7</v>
      </c>
      <c r="OP23" s="43"/>
      <c r="OQ23" s="42">
        <v>272</v>
      </c>
      <c r="OR23" s="47">
        <v>270</v>
      </c>
      <c r="OS23" s="47">
        <v>184</v>
      </c>
      <c r="OT23" s="47">
        <v>182</v>
      </c>
      <c r="OU23" s="44">
        <v>4</v>
      </c>
      <c r="OV23" s="43"/>
      <c r="OW23" s="42">
        <v>104</v>
      </c>
      <c r="OX23" s="47">
        <v>90</v>
      </c>
      <c r="OY23" s="47">
        <v>96</v>
      </c>
      <c r="OZ23" s="47">
        <v>100</v>
      </c>
      <c r="PA23" s="44">
        <v>10</v>
      </c>
      <c r="PB23" s="43"/>
      <c r="PC23" s="42">
        <v>136</v>
      </c>
      <c r="PD23" s="47">
        <v>140</v>
      </c>
      <c r="PE23" s="47">
        <v>144</v>
      </c>
      <c r="PF23" s="47">
        <v>149</v>
      </c>
      <c r="PG23" s="44">
        <v>-9</v>
      </c>
      <c r="PH23" s="43"/>
      <c r="PI23" s="42">
        <v>96</v>
      </c>
      <c r="PJ23" s="47">
        <v>100</v>
      </c>
      <c r="PK23" s="47">
        <v>96</v>
      </c>
      <c r="PL23" s="47">
        <v>100</v>
      </c>
      <c r="PM23" s="44">
        <v>-8</v>
      </c>
      <c r="PN23" s="43"/>
      <c r="PO23" s="42">
        <v>96</v>
      </c>
      <c r="PP23" s="47">
        <v>100</v>
      </c>
      <c r="PQ23" s="47">
        <v>96</v>
      </c>
      <c r="PR23" s="47">
        <v>100</v>
      </c>
      <c r="PS23" s="44">
        <v>-8</v>
      </c>
      <c r="PT23" s="43"/>
      <c r="PU23" s="42">
        <v>0</v>
      </c>
      <c r="PV23" s="47">
        <v>0</v>
      </c>
      <c r="PW23" s="47">
        <v>200</v>
      </c>
      <c r="PX23" s="47">
        <v>200</v>
      </c>
      <c r="PY23" s="44">
        <v>0</v>
      </c>
      <c r="PZ23" s="43"/>
      <c r="QA23" s="42">
        <v>0</v>
      </c>
      <c r="QB23" s="47">
        <v>0</v>
      </c>
      <c r="QC23" s="44">
        <v>0</v>
      </c>
      <c r="QD23" s="43"/>
      <c r="QE23" s="42">
        <v>352</v>
      </c>
      <c r="QF23" s="47">
        <v>350</v>
      </c>
      <c r="QG23" s="44">
        <v>2</v>
      </c>
      <c r="QH23" s="43"/>
      <c r="QI23" s="42">
        <v>464</v>
      </c>
      <c r="QJ23" s="47">
        <v>466</v>
      </c>
      <c r="QK23" s="44">
        <v>-2</v>
      </c>
      <c r="QL23" s="43"/>
      <c r="QM23" s="42">
        <v>96</v>
      </c>
      <c r="QN23" s="47">
        <v>100</v>
      </c>
      <c r="QO23" s="47">
        <v>144</v>
      </c>
      <c r="QP23" s="47">
        <v>150</v>
      </c>
      <c r="QQ23" s="46">
        <v>-10</v>
      </c>
      <c r="QR23" s="43">
        <v>2.5</v>
      </c>
      <c r="QS23" s="42">
        <v>0</v>
      </c>
      <c r="QT23" s="47">
        <v>0</v>
      </c>
      <c r="QU23" s="44">
        <v>0</v>
      </c>
      <c r="QV23" s="43"/>
      <c r="QW23" s="42">
        <v>248</v>
      </c>
      <c r="QX23" s="47">
        <v>250</v>
      </c>
      <c r="QY23" s="44">
        <v>-2</v>
      </c>
      <c r="QZ23" s="43"/>
    </row>
    <row r="24" spans="1:468" x14ac:dyDescent="0.25">
      <c r="A24" s="47" t="s">
        <v>308</v>
      </c>
      <c r="B24" s="38">
        <v>0.4</v>
      </c>
      <c r="I24">
        <v>150</v>
      </c>
      <c r="J24">
        <v>180</v>
      </c>
      <c r="K24">
        <v>178</v>
      </c>
      <c r="N24" s="39"/>
      <c r="O24" s="49">
        <v>44</v>
      </c>
      <c r="P24" s="48"/>
      <c r="Q24" s="48"/>
      <c r="R24" s="53">
        <f t="shared" si="8"/>
        <v>-44</v>
      </c>
      <c r="S24" s="40">
        <f>-1*R24*B24</f>
        <v>17.600000000000001</v>
      </c>
      <c r="T24" s="39"/>
      <c r="U24" s="48"/>
      <c r="V24" s="48">
        <f t="shared" si="9"/>
        <v>0</v>
      </c>
      <c r="W24" s="40"/>
      <c r="X24" s="39"/>
      <c r="Y24" s="48"/>
      <c r="Z24" s="48"/>
      <c r="AA24" s="48"/>
      <c r="AB24" s="48">
        <f t="shared" si="10"/>
        <v>0</v>
      </c>
      <c r="AC24" s="40"/>
      <c r="AD24" s="48"/>
      <c r="AH24" s="44">
        <v>0</v>
      </c>
      <c r="AI24" s="40"/>
      <c r="AJ24">
        <v>150</v>
      </c>
      <c r="AK24">
        <v>150</v>
      </c>
      <c r="AL24">
        <v>198</v>
      </c>
      <c r="AM24">
        <v>200</v>
      </c>
      <c r="AN24" s="44">
        <v>-2</v>
      </c>
      <c r="AO24" s="40"/>
      <c r="AT24" s="44">
        <v>0</v>
      </c>
      <c r="AU24" s="40"/>
      <c r="AV24" s="39"/>
      <c r="AX24" s="44">
        <v>0</v>
      </c>
      <c r="AY24" s="40"/>
      <c r="AZ24" s="41">
        <v>252</v>
      </c>
      <c r="BA24">
        <v>252</v>
      </c>
      <c r="BB24" s="44">
        <v>0</v>
      </c>
      <c r="BC24" s="40"/>
      <c r="BH24" s="44">
        <v>0</v>
      </c>
      <c r="BI24" s="40"/>
      <c r="BJ24">
        <v>132</v>
      </c>
      <c r="BK24">
        <v>135</v>
      </c>
      <c r="BL24" s="44">
        <v>-3</v>
      </c>
      <c r="BM24" s="40"/>
      <c r="BN24" s="39"/>
      <c r="BP24">
        <v>222</v>
      </c>
      <c r="BQ24">
        <v>220</v>
      </c>
      <c r="BR24" s="44">
        <v>2</v>
      </c>
      <c r="BS24" s="40"/>
      <c r="BV24" s="44">
        <v>0</v>
      </c>
      <c r="BW24" s="40"/>
      <c r="BX24" s="41">
        <v>60</v>
      </c>
      <c r="BY24">
        <v>61</v>
      </c>
      <c r="BZ24" s="44">
        <v>-1</v>
      </c>
      <c r="CA24" s="40"/>
      <c r="CB24" s="39"/>
      <c r="CD24">
        <v>60</v>
      </c>
      <c r="CG24">
        <v>60</v>
      </c>
      <c r="CH24" s="44">
        <v>0</v>
      </c>
      <c r="CI24" s="40"/>
      <c r="CJ24">
        <v>102</v>
      </c>
      <c r="CK24">
        <v>100</v>
      </c>
      <c r="CL24">
        <v>168</v>
      </c>
      <c r="CM24">
        <v>170</v>
      </c>
      <c r="CN24" s="44">
        <v>0</v>
      </c>
      <c r="CO24" s="40"/>
      <c r="CP24" s="39"/>
      <c r="CR24">
        <v>66</v>
      </c>
      <c r="CS24">
        <v>66</v>
      </c>
      <c r="CT24" s="44">
        <v>0</v>
      </c>
      <c r="CU24" s="40"/>
      <c r="CV24" s="39"/>
      <c r="CX24">
        <v>48</v>
      </c>
      <c r="CY24">
        <v>50</v>
      </c>
      <c r="CZ24" s="44">
        <v>-2</v>
      </c>
      <c r="DA24" s="40"/>
      <c r="DB24" s="39"/>
      <c r="DF24" s="44">
        <v>0</v>
      </c>
      <c r="DG24" s="40"/>
      <c r="DJ24">
        <v>162</v>
      </c>
      <c r="DK24">
        <v>160</v>
      </c>
      <c r="DL24">
        <v>102</v>
      </c>
      <c r="DM24">
        <v>100</v>
      </c>
      <c r="DN24" s="44">
        <v>4</v>
      </c>
      <c r="DO24" s="40"/>
      <c r="DP24" s="39"/>
      <c r="DR24" s="44">
        <v>0</v>
      </c>
      <c r="DS24" s="40"/>
      <c r="DT24" s="39"/>
      <c r="DX24" s="44">
        <v>0</v>
      </c>
      <c r="DY24" s="40"/>
      <c r="DZ24" s="39"/>
      <c r="EB24" s="44">
        <v>0</v>
      </c>
      <c r="EC24" s="40"/>
      <c r="ED24">
        <v>60</v>
      </c>
      <c r="EE24">
        <v>60</v>
      </c>
      <c r="EG24">
        <v>60</v>
      </c>
      <c r="EH24">
        <v>60</v>
      </c>
      <c r="EI24">
        <v>138</v>
      </c>
      <c r="EJ24">
        <v>140</v>
      </c>
      <c r="EK24" s="44">
        <v>-2</v>
      </c>
      <c r="EL24" s="40"/>
      <c r="ES24" s="44">
        <v>0</v>
      </c>
      <c r="ET24" s="40"/>
      <c r="EU24" s="39"/>
      <c r="EY24" s="44">
        <v>0</v>
      </c>
      <c r="EZ24" s="40"/>
      <c r="FA24" s="39"/>
      <c r="FD24" s="44">
        <v>0</v>
      </c>
      <c r="FE24" s="40"/>
      <c r="FH24" s="44">
        <v>0</v>
      </c>
      <c r="FI24" s="40"/>
      <c r="FJ24" s="41">
        <v>150</v>
      </c>
      <c r="FK24">
        <v>150</v>
      </c>
      <c r="FL24">
        <v>102</v>
      </c>
      <c r="FN24">
        <v>100</v>
      </c>
      <c r="FO24">
        <v>120</v>
      </c>
      <c r="FP24">
        <v>120</v>
      </c>
      <c r="FQ24" s="44">
        <v>2</v>
      </c>
      <c r="FR24" s="40"/>
      <c r="FW24" s="44">
        <v>0</v>
      </c>
      <c r="FX24" s="40"/>
      <c r="FY24" s="39"/>
      <c r="GA24">
        <v>102</v>
      </c>
      <c r="GB24">
        <v>102</v>
      </c>
      <c r="GC24" s="44">
        <v>0</v>
      </c>
      <c r="GD24" s="40"/>
      <c r="GG24">
        <v>72</v>
      </c>
      <c r="GH24">
        <v>72</v>
      </c>
      <c r="GI24" s="44">
        <v>0</v>
      </c>
      <c r="GJ24" s="40"/>
      <c r="GK24">
        <v>42</v>
      </c>
      <c r="GL24" s="47">
        <v>40</v>
      </c>
      <c r="GM24" s="44">
        <v>2</v>
      </c>
      <c r="GN24" s="40"/>
      <c r="GO24" s="39"/>
      <c r="GQ24" s="44">
        <v>0</v>
      </c>
      <c r="GR24" s="40"/>
      <c r="GV24">
        <v>150</v>
      </c>
      <c r="GW24">
        <v>150</v>
      </c>
      <c r="GX24" s="44">
        <v>0</v>
      </c>
      <c r="GY24" s="40"/>
      <c r="HB24">
        <v>54</v>
      </c>
      <c r="HC24">
        <v>52</v>
      </c>
      <c r="HD24" s="44">
        <v>2</v>
      </c>
      <c r="HE24" s="40"/>
      <c r="HF24" s="39"/>
      <c r="HH24">
        <v>24</v>
      </c>
      <c r="HI24">
        <v>24</v>
      </c>
      <c r="HJ24" s="44">
        <v>0</v>
      </c>
      <c r="HK24" s="40"/>
      <c r="HL24" s="39"/>
      <c r="HP24" s="44">
        <v>0</v>
      </c>
      <c r="HQ24" s="40"/>
      <c r="HT24">
        <v>132</v>
      </c>
      <c r="HU24">
        <v>130</v>
      </c>
      <c r="HV24" s="44">
        <v>2</v>
      </c>
      <c r="HW24" s="43"/>
      <c r="HZ24">
        <v>42</v>
      </c>
      <c r="IA24">
        <v>40</v>
      </c>
      <c r="IB24" s="44">
        <v>2</v>
      </c>
      <c r="IC24" s="43"/>
      <c r="ID24">
        <v>30</v>
      </c>
      <c r="IE24">
        <v>30</v>
      </c>
      <c r="IH24" s="44">
        <v>0</v>
      </c>
      <c r="II24" s="43"/>
      <c r="IN24" s="44">
        <v>0</v>
      </c>
      <c r="IO24" s="40"/>
      <c r="IR24" s="44">
        <v>0</v>
      </c>
      <c r="IS24" s="40"/>
      <c r="IV24">
        <v>90</v>
      </c>
      <c r="IW24">
        <v>88</v>
      </c>
      <c r="IX24" s="44">
        <v>2</v>
      </c>
      <c r="IY24" s="43"/>
      <c r="JB24" s="44">
        <v>0</v>
      </c>
      <c r="JC24" s="40"/>
      <c r="JF24">
        <v>72</v>
      </c>
      <c r="JG24">
        <v>70</v>
      </c>
      <c r="JH24" s="44">
        <v>2</v>
      </c>
      <c r="JI24" s="40"/>
      <c r="JN24" s="44">
        <v>0</v>
      </c>
      <c r="JO24" s="43"/>
      <c r="JR24">
        <v>120</v>
      </c>
      <c r="JS24">
        <v>120</v>
      </c>
      <c r="JT24" s="44">
        <v>0</v>
      </c>
      <c r="JU24" s="43"/>
      <c r="JX24">
        <v>48</v>
      </c>
      <c r="JY24">
        <v>50</v>
      </c>
      <c r="JZ24" s="44">
        <v>-2</v>
      </c>
      <c r="KA24" s="43"/>
      <c r="KB24" s="42"/>
      <c r="KI24" s="44">
        <v>0</v>
      </c>
      <c r="KJ24" s="43"/>
      <c r="KK24" s="47">
        <v>0</v>
      </c>
      <c r="KL24" s="47">
        <v>0</v>
      </c>
      <c r="KM24" s="47">
        <v>90</v>
      </c>
      <c r="KN24" s="47">
        <v>90</v>
      </c>
      <c r="KO24" s="44">
        <v>0</v>
      </c>
      <c r="KP24" s="43"/>
      <c r="KQ24" s="47">
        <v>0</v>
      </c>
      <c r="KR24" s="47">
        <v>0</v>
      </c>
      <c r="KS24" s="47">
        <v>0</v>
      </c>
      <c r="KT24" s="47">
        <v>0</v>
      </c>
      <c r="KU24" s="44">
        <v>0</v>
      </c>
      <c r="KV24" s="43"/>
      <c r="KW24" s="42">
        <v>0</v>
      </c>
      <c r="KX24" s="47">
        <v>0</v>
      </c>
      <c r="KY24" s="44">
        <v>0</v>
      </c>
      <c r="KZ24" s="43"/>
      <c r="LA24" s="42">
        <v>0</v>
      </c>
      <c r="LB24" s="47">
        <v>0</v>
      </c>
      <c r="LC24" s="47">
        <v>54</v>
      </c>
      <c r="LD24" s="47">
        <v>54</v>
      </c>
      <c r="LE24" s="44">
        <v>0</v>
      </c>
      <c r="LF24" s="43"/>
      <c r="LG24" s="42">
        <v>0</v>
      </c>
      <c r="LH24" s="47">
        <v>0</v>
      </c>
      <c r="LI24" s="47">
        <v>30</v>
      </c>
      <c r="LJ24" s="47">
        <v>30</v>
      </c>
      <c r="LK24" s="44">
        <v>0</v>
      </c>
      <c r="LL24" s="43"/>
      <c r="LM24" s="42">
        <v>0</v>
      </c>
      <c r="LN24" s="47">
        <v>0</v>
      </c>
      <c r="LO24" s="44">
        <v>0</v>
      </c>
      <c r="LP24" s="43"/>
      <c r="LQ24" s="42">
        <v>0</v>
      </c>
      <c r="LR24" s="47">
        <v>0</v>
      </c>
      <c r="LS24" s="47">
        <v>0</v>
      </c>
      <c r="LT24" s="47">
        <v>0</v>
      </c>
      <c r="LU24" s="44">
        <v>0</v>
      </c>
      <c r="LV24" s="43"/>
      <c r="LW24" s="42">
        <v>54</v>
      </c>
      <c r="LX24" s="47">
        <v>55</v>
      </c>
      <c r="LY24" s="47">
        <v>0</v>
      </c>
      <c r="LZ24" s="47">
        <v>0</v>
      </c>
      <c r="MA24" s="44">
        <v>-1</v>
      </c>
      <c r="MB24" s="43"/>
      <c r="MC24" s="42">
        <v>0</v>
      </c>
      <c r="MD24" s="47">
        <v>0</v>
      </c>
      <c r="ME24" s="47">
        <v>0</v>
      </c>
      <c r="MF24" s="47">
        <v>0</v>
      </c>
      <c r="MG24" s="44">
        <v>0</v>
      </c>
      <c r="MH24" s="43"/>
      <c r="MI24" s="42">
        <v>0</v>
      </c>
      <c r="MJ24" s="47">
        <v>0</v>
      </c>
      <c r="MK24" s="47">
        <v>0</v>
      </c>
      <c r="ML24" s="47">
        <v>0</v>
      </c>
      <c r="MM24" s="44">
        <v>0</v>
      </c>
      <c r="MN24" s="43"/>
      <c r="MO24" s="42">
        <v>0</v>
      </c>
      <c r="MP24" s="47">
        <v>0</v>
      </c>
      <c r="MQ24" s="47">
        <v>36</v>
      </c>
      <c r="MR24" s="47">
        <v>36</v>
      </c>
      <c r="MS24" s="44">
        <v>0</v>
      </c>
      <c r="MT24" s="43"/>
      <c r="MU24" s="22">
        <v>48</v>
      </c>
      <c r="MV24" s="47">
        <v>0</v>
      </c>
      <c r="MW24" s="47">
        <v>0</v>
      </c>
      <c r="MX24" s="47">
        <v>0</v>
      </c>
      <c r="MY24" s="44">
        <v>48</v>
      </c>
      <c r="MZ24" s="43"/>
      <c r="NA24" s="42">
        <v>0</v>
      </c>
      <c r="NB24" s="47">
        <v>0</v>
      </c>
      <c r="NC24" s="47">
        <v>18</v>
      </c>
      <c r="ND24" s="47">
        <v>20</v>
      </c>
      <c r="NE24" s="44">
        <v>-2</v>
      </c>
      <c r="NF24" s="43"/>
      <c r="NG24" s="42">
        <v>0</v>
      </c>
      <c r="NH24" s="47">
        <v>0</v>
      </c>
      <c r="NI24" s="47">
        <v>18</v>
      </c>
      <c r="NJ24" s="47">
        <v>18</v>
      </c>
      <c r="NK24" s="44">
        <v>0</v>
      </c>
      <c r="NL24" s="43"/>
      <c r="NM24" s="42">
        <v>0</v>
      </c>
      <c r="NN24" s="47">
        <v>0</v>
      </c>
      <c r="NO24" s="47">
        <v>0</v>
      </c>
      <c r="NP24" s="47">
        <v>0</v>
      </c>
      <c r="NQ24" s="44">
        <v>0</v>
      </c>
      <c r="NR24" s="43"/>
      <c r="NS24" s="42">
        <v>0</v>
      </c>
      <c r="NT24" s="47">
        <v>0</v>
      </c>
      <c r="NU24" s="47">
        <v>0</v>
      </c>
      <c r="NV24" s="47">
        <v>0</v>
      </c>
      <c r="NW24" s="44">
        <v>0</v>
      </c>
      <c r="NX24" s="43"/>
      <c r="NY24" s="42">
        <v>0</v>
      </c>
      <c r="NZ24" s="47">
        <v>0</v>
      </c>
      <c r="OA24" s="47">
        <v>0</v>
      </c>
      <c r="OB24" s="47">
        <v>0</v>
      </c>
      <c r="OC24" s="44">
        <v>0</v>
      </c>
      <c r="OD24" s="43"/>
      <c r="OE24" s="42">
        <v>0</v>
      </c>
      <c r="OF24" s="47">
        <v>0</v>
      </c>
      <c r="OG24" s="47">
        <v>12</v>
      </c>
      <c r="OH24" s="47">
        <v>10</v>
      </c>
      <c r="OI24" s="44">
        <v>2</v>
      </c>
      <c r="OJ24" s="43"/>
      <c r="OK24" s="42">
        <v>0</v>
      </c>
      <c r="OL24" s="47">
        <v>0</v>
      </c>
      <c r="OM24" s="47">
        <v>48</v>
      </c>
      <c r="ON24" s="47">
        <v>50</v>
      </c>
      <c r="OO24" s="44">
        <v>-2</v>
      </c>
      <c r="OP24" s="43"/>
      <c r="OQ24" s="42">
        <v>0</v>
      </c>
      <c r="OR24" s="47">
        <v>0</v>
      </c>
      <c r="OS24" s="47">
        <v>30</v>
      </c>
      <c r="OT24" s="47">
        <v>30</v>
      </c>
      <c r="OU24" s="44">
        <v>0</v>
      </c>
      <c r="OV24" s="43"/>
      <c r="OW24" s="42">
        <v>0</v>
      </c>
      <c r="OX24" s="47">
        <v>0</v>
      </c>
      <c r="OY24" s="47">
        <v>0</v>
      </c>
      <c r="OZ24" s="47">
        <v>0</v>
      </c>
      <c r="PA24" s="44">
        <v>0</v>
      </c>
      <c r="PB24" s="43"/>
      <c r="PC24" s="42">
        <v>0</v>
      </c>
      <c r="PD24" s="47">
        <v>0</v>
      </c>
      <c r="PE24" s="12">
        <v>120</v>
      </c>
      <c r="PF24" s="47">
        <v>0</v>
      </c>
      <c r="PG24" s="44">
        <v>0</v>
      </c>
      <c r="PH24" s="43"/>
      <c r="PI24" s="42"/>
      <c r="PN24" s="43"/>
      <c r="PO24" s="42"/>
      <c r="PT24" s="43"/>
      <c r="PU24" s="42"/>
      <c r="PZ24" s="43"/>
      <c r="QA24" s="42"/>
      <c r="QD24" s="43"/>
      <c r="QE24" s="42"/>
      <c r="QH24" s="43"/>
      <c r="QI24" s="42"/>
      <c r="QL24" s="43"/>
      <c r="QM24" s="42"/>
      <c r="QQ24" s="46"/>
      <c r="QR24" s="43"/>
      <c r="QS24" s="42"/>
      <c r="QV24" s="43"/>
      <c r="QW24" s="42"/>
      <c r="QY24" s="44"/>
      <c r="QZ24" s="43"/>
    </row>
    <row r="25" spans="1:468" x14ac:dyDescent="0.25">
      <c r="A25" s="47" t="s">
        <v>309</v>
      </c>
      <c r="B25" s="38">
        <v>1</v>
      </c>
      <c r="E25">
        <v>160</v>
      </c>
      <c r="F25">
        <v>140</v>
      </c>
      <c r="I25">
        <v>150</v>
      </c>
      <c r="J25">
        <v>174</v>
      </c>
      <c r="K25">
        <v>170</v>
      </c>
      <c r="N25" s="41">
        <v>60</v>
      </c>
      <c r="O25" s="49">
        <v>60</v>
      </c>
      <c r="P25" s="48"/>
      <c r="Q25" s="49">
        <v>73</v>
      </c>
      <c r="R25" s="53">
        <f t="shared" si="8"/>
        <v>-73</v>
      </c>
      <c r="S25" s="40">
        <f>-1*R25*B25</f>
        <v>73</v>
      </c>
      <c r="T25" s="39"/>
      <c r="U25" s="48"/>
      <c r="V25" s="48">
        <f t="shared" si="9"/>
        <v>0</v>
      </c>
      <c r="W25" s="40"/>
      <c r="X25" s="41">
        <v>188</v>
      </c>
      <c r="Y25" s="49">
        <v>180</v>
      </c>
      <c r="Z25" s="49">
        <v>228</v>
      </c>
      <c r="AA25" s="49">
        <v>220</v>
      </c>
      <c r="AB25" s="48">
        <f t="shared" si="10"/>
        <v>16</v>
      </c>
      <c r="AC25" s="40"/>
      <c r="AD25" s="48"/>
      <c r="AH25" s="44">
        <v>0</v>
      </c>
      <c r="AI25" s="40"/>
      <c r="AJ25">
        <v>50</v>
      </c>
      <c r="AK25">
        <v>50</v>
      </c>
      <c r="AL25">
        <v>70</v>
      </c>
      <c r="AM25">
        <v>70</v>
      </c>
      <c r="AN25" s="44">
        <v>0</v>
      </c>
      <c r="AO25" s="40"/>
      <c r="AP25">
        <v>201</v>
      </c>
      <c r="AQ25">
        <v>200</v>
      </c>
      <c r="AR25">
        <v>206</v>
      </c>
      <c r="AS25">
        <v>200</v>
      </c>
      <c r="AT25" s="44">
        <v>7</v>
      </c>
      <c r="AU25" s="40"/>
      <c r="AV25" s="41">
        <v>20</v>
      </c>
      <c r="AW25">
        <v>20</v>
      </c>
      <c r="AX25" s="44">
        <v>0</v>
      </c>
      <c r="AY25" s="40"/>
      <c r="AZ25" s="41">
        <v>126</v>
      </c>
      <c r="BA25">
        <v>120</v>
      </c>
      <c r="BB25" s="44">
        <v>6</v>
      </c>
      <c r="BC25" s="40"/>
      <c r="BD25">
        <v>70</v>
      </c>
      <c r="BE25">
        <v>70</v>
      </c>
      <c r="BF25">
        <v>51</v>
      </c>
      <c r="BG25">
        <v>50</v>
      </c>
      <c r="BH25" s="44">
        <v>1</v>
      </c>
      <c r="BI25" s="40"/>
      <c r="BJ25">
        <v>86</v>
      </c>
      <c r="BK25">
        <v>80</v>
      </c>
      <c r="BL25" s="44">
        <v>6</v>
      </c>
      <c r="BM25" s="40"/>
      <c r="BN25" s="39"/>
      <c r="BP25">
        <v>475</v>
      </c>
      <c r="BQ25">
        <v>460</v>
      </c>
      <c r="BR25" s="44">
        <v>15</v>
      </c>
      <c r="BS25" s="40"/>
      <c r="BV25" s="44">
        <v>0</v>
      </c>
      <c r="BW25" s="40"/>
      <c r="BX25" s="39"/>
      <c r="BZ25" s="44">
        <v>0</v>
      </c>
      <c r="CA25" s="40"/>
      <c r="CB25" s="39"/>
      <c r="CD25">
        <v>468</v>
      </c>
      <c r="CG25">
        <v>450</v>
      </c>
      <c r="CH25" s="44">
        <v>18</v>
      </c>
      <c r="CI25" s="40"/>
      <c r="CL25">
        <v>60</v>
      </c>
      <c r="CM25">
        <v>60</v>
      </c>
      <c r="CN25" s="44">
        <v>0</v>
      </c>
      <c r="CO25" s="40"/>
      <c r="CP25" s="39"/>
      <c r="CR25">
        <v>107</v>
      </c>
      <c r="CS25">
        <v>100</v>
      </c>
      <c r="CT25" s="44">
        <v>7</v>
      </c>
      <c r="CU25" s="40"/>
      <c r="CV25" s="41">
        <v>86</v>
      </c>
      <c r="CW25">
        <v>80</v>
      </c>
      <c r="CZ25" s="44">
        <v>6</v>
      </c>
      <c r="DA25" s="40"/>
      <c r="DB25" s="41">
        <v>158</v>
      </c>
      <c r="DC25">
        <v>150</v>
      </c>
      <c r="DD25">
        <v>157</v>
      </c>
      <c r="DE25">
        <v>150</v>
      </c>
      <c r="DF25" s="44">
        <v>15</v>
      </c>
      <c r="DG25" s="40"/>
      <c r="DJ25">
        <v>86</v>
      </c>
      <c r="DK25">
        <v>80</v>
      </c>
      <c r="DL25">
        <v>106</v>
      </c>
      <c r="DM25">
        <v>100</v>
      </c>
      <c r="DN25" s="44">
        <v>12</v>
      </c>
      <c r="DO25" s="40"/>
      <c r="DP25" s="41">
        <v>126</v>
      </c>
      <c r="DQ25">
        <v>120</v>
      </c>
      <c r="DR25" s="44">
        <v>6</v>
      </c>
      <c r="DS25" s="40"/>
      <c r="DT25" s="41">
        <v>107</v>
      </c>
      <c r="DU25">
        <v>100</v>
      </c>
      <c r="DV25">
        <v>134</v>
      </c>
      <c r="DW25">
        <v>130</v>
      </c>
      <c r="DX25" s="44">
        <v>11</v>
      </c>
      <c r="DY25" s="40"/>
      <c r="DZ25" s="41">
        <v>40</v>
      </c>
      <c r="EA25">
        <v>40</v>
      </c>
      <c r="EB25" s="44">
        <v>0</v>
      </c>
      <c r="EC25" s="40"/>
      <c r="EG25">
        <v>85</v>
      </c>
      <c r="EH25">
        <v>80</v>
      </c>
      <c r="EI25">
        <v>86</v>
      </c>
      <c r="EJ25">
        <v>80</v>
      </c>
      <c r="EK25" s="44">
        <v>11</v>
      </c>
      <c r="EL25" s="40"/>
      <c r="EN25">
        <v>86</v>
      </c>
      <c r="EO25">
        <v>80</v>
      </c>
      <c r="EQ25">
        <v>105</v>
      </c>
      <c r="ER25">
        <v>100</v>
      </c>
      <c r="ES25" s="44">
        <v>11</v>
      </c>
      <c r="ET25" s="40"/>
      <c r="EU25" s="41">
        <v>45</v>
      </c>
      <c r="EV25">
        <v>50</v>
      </c>
      <c r="EW25">
        <v>76</v>
      </c>
      <c r="EX25">
        <v>94</v>
      </c>
      <c r="EY25" s="46">
        <v>-23</v>
      </c>
      <c r="EZ25" s="40">
        <v>23</v>
      </c>
      <c r="FA25" s="39"/>
      <c r="FB25">
        <v>232</v>
      </c>
      <c r="FC25">
        <v>224</v>
      </c>
      <c r="FD25" s="44">
        <v>8</v>
      </c>
      <c r="FE25" s="40"/>
      <c r="FH25" s="44">
        <v>0</v>
      </c>
      <c r="FI25" s="40"/>
      <c r="FJ25" s="41">
        <v>101</v>
      </c>
      <c r="FK25">
        <v>100</v>
      </c>
      <c r="FN25">
        <v>40</v>
      </c>
      <c r="FO25">
        <v>107</v>
      </c>
      <c r="FP25">
        <v>100</v>
      </c>
      <c r="FQ25" s="46">
        <v>-32</v>
      </c>
      <c r="FR25" s="40">
        <v>32</v>
      </c>
      <c r="FS25">
        <v>71</v>
      </c>
      <c r="FT25">
        <v>70</v>
      </c>
      <c r="FU25">
        <v>86</v>
      </c>
      <c r="FV25">
        <v>80</v>
      </c>
      <c r="FW25" s="44">
        <v>7</v>
      </c>
      <c r="FX25" s="40"/>
      <c r="FY25" s="39"/>
      <c r="GA25">
        <v>40</v>
      </c>
      <c r="GB25">
        <v>40</v>
      </c>
      <c r="GC25" s="44">
        <v>0</v>
      </c>
      <c r="GD25" s="40"/>
      <c r="GE25">
        <v>108</v>
      </c>
      <c r="GF25">
        <v>100</v>
      </c>
      <c r="GG25">
        <v>95</v>
      </c>
      <c r="GH25">
        <v>90</v>
      </c>
      <c r="GI25" s="44">
        <v>13</v>
      </c>
      <c r="GJ25" s="40"/>
      <c r="GK25">
        <v>81</v>
      </c>
      <c r="GL25" s="47">
        <v>76.634799999999998</v>
      </c>
      <c r="GM25" s="44">
        <v>4.3652000000000024</v>
      </c>
      <c r="GN25" s="40"/>
      <c r="GO25" s="41">
        <v>162</v>
      </c>
      <c r="GP25">
        <v>156</v>
      </c>
      <c r="GQ25" s="44">
        <v>6</v>
      </c>
      <c r="GR25" s="40"/>
      <c r="GS25">
        <v>106</v>
      </c>
      <c r="GT25">
        <v>100</v>
      </c>
      <c r="GX25" s="44">
        <v>6</v>
      </c>
      <c r="GY25" s="40"/>
      <c r="HD25" s="44">
        <v>0</v>
      </c>
      <c r="HE25" s="40"/>
      <c r="HF25" s="39"/>
      <c r="HH25">
        <v>272</v>
      </c>
      <c r="HI25">
        <v>260</v>
      </c>
      <c r="HJ25" s="44">
        <v>12</v>
      </c>
      <c r="HK25" s="40"/>
      <c r="HL25" s="41">
        <v>126</v>
      </c>
      <c r="HM25">
        <v>120</v>
      </c>
      <c r="HN25">
        <v>106</v>
      </c>
      <c r="HO25">
        <v>100</v>
      </c>
      <c r="HP25" s="44">
        <v>12</v>
      </c>
      <c r="HQ25" s="40"/>
      <c r="HR25">
        <v>106</v>
      </c>
      <c r="HS25">
        <v>100</v>
      </c>
      <c r="HT25">
        <v>105</v>
      </c>
      <c r="HU25">
        <v>100</v>
      </c>
      <c r="HV25" s="44">
        <v>11</v>
      </c>
      <c r="HW25" s="43"/>
      <c r="HX25">
        <v>87</v>
      </c>
      <c r="HY25">
        <v>80</v>
      </c>
      <c r="HZ25">
        <v>127</v>
      </c>
      <c r="IA25">
        <v>120</v>
      </c>
      <c r="IB25" s="44">
        <v>14</v>
      </c>
      <c r="IC25" s="43"/>
      <c r="IE25">
        <v>175</v>
      </c>
      <c r="IH25" s="46">
        <v>-175</v>
      </c>
      <c r="II25" s="43">
        <v>175</v>
      </c>
      <c r="IJ25">
        <v>263</v>
      </c>
      <c r="IK25">
        <v>250</v>
      </c>
      <c r="IL25">
        <v>217</v>
      </c>
      <c r="IM25">
        <v>210</v>
      </c>
      <c r="IN25" s="44">
        <v>20</v>
      </c>
      <c r="IO25" s="40"/>
      <c r="IP25">
        <v>224</v>
      </c>
      <c r="IQ25">
        <v>195</v>
      </c>
      <c r="IR25" s="44">
        <v>29</v>
      </c>
      <c r="IS25" s="40"/>
      <c r="IT25">
        <v>111</v>
      </c>
      <c r="IU25">
        <v>150</v>
      </c>
      <c r="IV25">
        <v>147</v>
      </c>
      <c r="IW25">
        <v>140</v>
      </c>
      <c r="IX25" s="46">
        <v>-32</v>
      </c>
      <c r="IY25" s="40">
        <v>32</v>
      </c>
      <c r="IZ25">
        <v>51</v>
      </c>
      <c r="JA25" s="47">
        <v>50</v>
      </c>
      <c r="JB25" s="44">
        <v>1</v>
      </c>
      <c r="JC25" s="40"/>
      <c r="JF25">
        <v>138</v>
      </c>
      <c r="JG25">
        <v>130</v>
      </c>
      <c r="JH25" s="44">
        <v>8</v>
      </c>
      <c r="JI25" s="40"/>
      <c r="JJ25">
        <v>303</v>
      </c>
      <c r="JK25">
        <v>290</v>
      </c>
      <c r="JL25">
        <v>315</v>
      </c>
      <c r="JM25">
        <v>300</v>
      </c>
      <c r="JN25" s="44">
        <v>28</v>
      </c>
      <c r="JO25" s="43"/>
      <c r="JR25">
        <v>127</v>
      </c>
      <c r="JS25">
        <v>120</v>
      </c>
      <c r="JT25" s="44">
        <v>7</v>
      </c>
      <c r="JU25" s="43"/>
      <c r="JZ25" s="44">
        <v>0</v>
      </c>
      <c r="KA25" s="43"/>
      <c r="KB25" s="42"/>
      <c r="KE25">
        <v>314</v>
      </c>
      <c r="KF25">
        <v>300</v>
      </c>
      <c r="KG25">
        <v>171</v>
      </c>
      <c r="KH25">
        <v>300</v>
      </c>
      <c r="KI25" s="46">
        <v>-115</v>
      </c>
      <c r="KJ25" s="43">
        <v>115</v>
      </c>
      <c r="KK25" s="47">
        <v>71.316999999999993</v>
      </c>
      <c r="KL25" s="47">
        <v>70</v>
      </c>
      <c r="KM25" s="47">
        <v>92.153999999999996</v>
      </c>
      <c r="KN25" s="47">
        <v>85</v>
      </c>
      <c r="KO25" s="44">
        <v>8.4710000000000036</v>
      </c>
      <c r="KP25" s="43"/>
      <c r="KQ25" s="47">
        <v>0</v>
      </c>
      <c r="KR25" s="47">
        <v>0</v>
      </c>
      <c r="KS25" s="47">
        <v>208.00899999999999</v>
      </c>
      <c r="KT25" s="47">
        <v>200</v>
      </c>
      <c r="KU25" s="44">
        <v>8.0089999999999861</v>
      </c>
      <c r="KV25" s="43"/>
      <c r="KW25" s="42">
        <v>0</v>
      </c>
      <c r="KX25" s="47">
        <v>0</v>
      </c>
      <c r="KY25" s="44">
        <v>0</v>
      </c>
      <c r="KZ25" s="43"/>
      <c r="LA25" s="42">
        <v>234.541</v>
      </c>
      <c r="LB25" s="47">
        <v>220</v>
      </c>
      <c r="LC25" s="47">
        <v>177.58799999999999</v>
      </c>
      <c r="LD25" s="47">
        <v>170</v>
      </c>
      <c r="LE25" s="44">
        <v>22.129000000000019</v>
      </c>
      <c r="LF25" s="43"/>
      <c r="LG25" s="42">
        <v>150.69499999999999</v>
      </c>
      <c r="LH25" s="47">
        <v>150</v>
      </c>
      <c r="LI25" s="47">
        <v>160.988</v>
      </c>
      <c r="LJ25" s="47">
        <v>160</v>
      </c>
      <c r="LK25" s="44">
        <v>1.6829999999999929</v>
      </c>
      <c r="LL25" s="43"/>
      <c r="LM25" s="42">
        <v>110.833</v>
      </c>
      <c r="LN25" s="47">
        <v>110</v>
      </c>
      <c r="LO25" s="44">
        <v>0.83299999999999841</v>
      </c>
      <c r="LP25" s="43"/>
      <c r="LQ25" s="42">
        <v>0</v>
      </c>
      <c r="LR25" s="47">
        <v>0</v>
      </c>
      <c r="LS25" s="47">
        <v>0</v>
      </c>
      <c r="LT25" s="47">
        <v>0</v>
      </c>
      <c r="LU25" s="44">
        <v>0</v>
      </c>
      <c r="LV25" s="43"/>
      <c r="LW25" s="42">
        <v>152.773</v>
      </c>
      <c r="LX25" s="47">
        <v>150</v>
      </c>
      <c r="LY25" s="47">
        <v>0</v>
      </c>
      <c r="LZ25" s="47">
        <v>0</v>
      </c>
      <c r="MA25" s="44">
        <v>2.7729999999999961</v>
      </c>
      <c r="MB25" s="43"/>
      <c r="MC25" s="42">
        <v>70.28</v>
      </c>
      <c r="MD25" s="47">
        <v>70</v>
      </c>
      <c r="ME25" s="47">
        <v>334.02300000000002</v>
      </c>
      <c r="MF25" s="47">
        <v>330</v>
      </c>
      <c r="MG25" s="44">
        <v>4.3029999999999973</v>
      </c>
      <c r="MH25" s="43"/>
      <c r="MI25" s="42">
        <v>300.05099999999999</v>
      </c>
      <c r="MJ25" s="47">
        <v>300</v>
      </c>
      <c r="MK25" s="47">
        <v>130.452</v>
      </c>
      <c r="ML25" s="47">
        <v>130</v>
      </c>
      <c r="MM25" s="44">
        <v>0.5029999999999859</v>
      </c>
      <c r="MN25" s="43"/>
      <c r="MO25" s="42">
        <v>50.273000000000003</v>
      </c>
      <c r="MP25" s="47">
        <v>50</v>
      </c>
      <c r="MQ25" s="47">
        <v>199.989</v>
      </c>
      <c r="MR25" s="47">
        <v>200</v>
      </c>
      <c r="MS25" s="44">
        <v>0.26200000000000051</v>
      </c>
      <c r="MT25" s="43"/>
      <c r="MU25" s="42">
        <v>151.75700000000001</v>
      </c>
      <c r="MV25" s="47">
        <v>100</v>
      </c>
      <c r="MW25" s="47">
        <v>210.83500000000001</v>
      </c>
      <c r="MX25" s="47">
        <v>210</v>
      </c>
      <c r="MY25" s="44">
        <v>52.591999999999977</v>
      </c>
      <c r="MZ25" s="43"/>
      <c r="NA25" s="42">
        <v>50.57</v>
      </c>
      <c r="NB25" s="47">
        <v>50</v>
      </c>
      <c r="NC25" s="47">
        <v>50.408999999999999</v>
      </c>
      <c r="ND25" s="47">
        <v>50</v>
      </c>
      <c r="NE25" s="44">
        <v>0.9789999999999992</v>
      </c>
      <c r="NF25" s="43"/>
      <c r="NG25" s="42">
        <v>182.249</v>
      </c>
      <c r="NH25" s="47">
        <v>180</v>
      </c>
      <c r="NI25" s="47">
        <v>269.834</v>
      </c>
      <c r="NJ25" s="47">
        <v>270</v>
      </c>
      <c r="NK25" s="44">
        <v>2.08299999999997</v>
      </c>
      <c r="NL25" s="43"/>
      <c r="NM25" s="42">
        <v>0</v>
      </c>
      <c r="NN25" s="47">
        <v>0</v>
      </c>
      <c r="NO25" s="47">
        <v>69.819999999999993</v>
      </c>
      <c r="NP25" s="47">
        <v>70</v>
      </c>
      <c r="NQ25" s="44">
        <v>-0.18000000000000679</v>
      </c>
      <c r="NR25" s="43"/>
      <c r="NS25" s="42">
        <v>110.73099999999999</v>
      </c>
      <c r="NT25" s="47">
        <v>110</v>
      </c>
      <c r="NU25" s="47">
        <v>150.90299999999999</v>
      </c>
      <c r="NV25" s="47">
        <v>150</v>
      </c>
      <c r="NW25" s="44">
        <v>1.634000000000015</v>
      </c>
      <c r="NX25" s="43"/>
      <c r="NY25" s="42">
        <v>290.125</v>
      </c>
      <c r="NZ25" s="47">
        <v>287</v>
      </c>
      <c r="OA25" s="47">
        <v>285.81900000000002</v>
      </c>
      <c r="OB25" s="47">
        <v>287</v>
      </c>
      <c r="OC25" s="44">
        <v>1.94399999999996</v>
      </c>
      <c r="OD25" s="43"/>
      <c r="OE25" s="42">
        <v>60.365000000000002</v>
      </c>
      <c r="OF25" s="47">
        <v>60</v>
      </c>
      <c r="OG25" s="47">
        <v>64.418999999999997</v>
      </c>
      <c r="OH25" s="47">
        <v>64</v>
      </c>
      <c r="OI25" s="44">
        <v>0.78399999999999181</v>
      </c>
      <c r="OJ25" s="43"/>
      <c r="OK25" s="42">
        <v>0</v>
      </c>
      <c r="OL25" s="47">
        <v>0</v>
      </c>
      <c r="OM25" s="47">
        <v>0</v>
      </c>
      <c r="ON25" s="47">
        <v>0</v>
      </c>
      <c r="OO25" s="44">
        <v>0</v>
      </c>
      <c r="OP25" s="43"/>
      <c r="OQ25" s="42">
        <v>320.14600000000002</v>
      </c>
      <c r="OR25" s="47">
        <v>320</v>
      </c>
      <c r="OS25" s="47">
        <v>220.55699999999999</v>
      </c>
      <c r="OT25" s="47">
        <v>221</v>
      </c>
      <c r="OU25" s="44">
        <v>-0.29700000000002552</v>
      </c>
      <c r="OV25" s="43"/>
      <c r="OW25" s="42">
        <v>130.52799999999999</v>
      </c>
      <c r="OX25" s="47">
        <v>100</v>
      </c>
      <c r="OY25" s="47">
        <v>153.733</v>
      </c>
      <c r="OZ25" s="47">
        <v>149</v>
      </c>
      <c r="PA25" s="44">
        <v>35.260999999999967</v>
      </c>
      <c r="PB25" s="43"/>
      <c r="PC25" s="42">
        <v>61.14</v>
      </c>
      <c r="PD25" s="47">
        <v>80</v>
      </c>
      <c r="PE25" s="47">
        <v>75.966999999999999</v>
      </c>
      <c r="PF25" s="47">
        <v>100</v>
      </c>
      <c r="PG25" s="46">
        <v>-42.893000000000001</v>
      </c>
      <c r="PH25" s="43">
        <v>42.893000000000001</v>
      </c>
      <c r="PI25" s="42">
        <v>60.468000000000004</v>
      </c>
      <c r="PJ25" s="47">
        <v>60</v>
      </c>
      <c r="PK25" s="47">
        <v>100.848</v>
      </c>
      <c r="PL25" s="47">
        <v>100</v>
      </c>
      <c r="PM25" s="44">
        <v>1.3160000000000029</v>
      </c>
      <c r="PN25" s="43"/>
      <c r="PO25" s="42">
        <v>101.66500000000001</v>
      </c>
      <c r="PP25" s="47">
        <v>100</v>
      </c>
      <c r="PQ25" s="47">
        <v>151.74299999999999</v>
      </c>
      <c r="PR25" s="47">
        <v>150</v>
      </c>
      <c r="PS25" s="44">
        <v>3.408000000000015</v>
      </c>
      <c r="PT25" s="43"/>
      <c r="PU25" s="42">
        <v>0</v>
      </c>
      <c r="PV25" s="47">
        <v>0</v>
      </c>
      <c r="PW25" s="47">
        <v>0</v>
      </c>
      <c r="PX25" s="47">
        <v>0</v>
      </c>
      <c r="PY25" s="44">
        <v>0</v>
      </c>
      <c r="PZ25" s="43"/>
      <c r="QA25" s="42">
        <v>302.95</v>
      </c>
      <c r="QB25" s="47">
        <v>300</v>
      </c>
      <c r="QC25" s="44">
        <v>2.9499999999999891</v>
      </c>
      <c r="QD25" s="43"/>
      <c r="QE25" s="42">
        <v>0</v>
      </c>
      <c r="QF25" s="47">
        <v>0</v>
      </c>
      <c r="QG25" s="44">
        <v>0</v>
      </c>
      <c r="QH25" s="43"/>
      <c r="QI25" s="42">
        <v>424.14699999999999</v>
      </c>
      <c r="QJ25" s="47">
        <v>431</v>
      </c>
      <c r="QK25" s="44">
        <v>-6.8530000000000086</v>
      </c>
      <c r="QL25" s="43"/>
      <c r="QM25" s="42">
        <v>99.953000000000003</v>
      </c>
      <c r="QN25" s="47">
        <v>100</v>
      </c>
      <c r="QO25" s="47">
        <v>149.61199999999999</v>
      </c>
      <c r="QP25" s="47">
        <v>150</v>
      </c>
      <c r="QQ25" s="44">
        <v>-0.43500000000000227</v>
      </c>
      <c r="QR25" s="43"/>
      <c r="QS25" s="42">
        <v>0</v>
      </c>
      <c r="QT25" s="47">
        <v>0</v>
      </c>
      <c r="QU25" s="44">
        <v>0</v>
      </c>
      <c r="QV25" s="43"/>
      <c r="QW25" s="42">
        <v>202.31</v>
      </c>
      <c r="QX25" s="47">
        <v>200</v>
      </c>
      <c r="QY25" s="44">
        <v>2.3100000000000018</v>
      </c>
      <c r="QZ25" s="43"/>
    </row>
    <row r="26" spans="1:468" x14ac:dyDescent="0.25">
      <c r="A26" s="47" t="s">
        <v>310</v>
      </c>
      <c r="B26" s="38">
        <v>0.12</v>
      </c>
      <c r="I26">
        <v>210</v>
      </c>
      <c r="J26">
        <v>232</v>
      </c>
      <c r="K26">
        <v>231</v>
      </c>
      <c r="N26" s="41">
        <v>56</v>
      </c>
      <c r="O26" s="49">
        <v>60</v>
      </c>
      <c r="P26" s="49">
        <v>32</v>
      </c>
      <c r="Q26" s="49">
        <v>37</v>
      </c>
      <c r="R26" s="48">
        <f t="shared" si="8"/>
        <v>-9</v>
      </c>
      <c r="S26" s="40"/>
      <c r="T26" s="41">
        <v>144</v>
      </c>
      <c r="U26" s="49">
        <v>147</v>
      </c>
      <c r="V26" s="48">
        <f t="shared" si="9"/>
        <v>-3</v>
      </c>
      <c r="W26" s="40"/>
      <c r="X26" s="41">
        <v>88</v>
      </c>
      <c r="Y26" s="49">
        <v>90</v>
      </c>
      <c r="Z26" s="49">
        <v>120</v>
      </c>
      <c r="AA26" s="49">
        <v>120</v>
      </c>
      <c r="AB26" s="48">
        <f t="shared" si="10"/>
        <v>-2</v>
      </c>
      <c r="AC26" s="40"/>
      <c r="AD26" s="48"/>
      <c r="AH26" s="44">
        <v>0</v>
      </c>
      <c r="AI26" s="40"/>
      <c r="AJ26">
        <v>120</v>
      </c>
      <c r="AK26">
        <v>120</v>
      </c>
      <c r="AL26">
        <v>176</v>
      </c>
      <c r="AM26">
        <v>180</v>
      </c>
      <c r="AN26" s="44">
        <v>-4</v>
      </c>
      <c r="AO26" s="40"/>
      <c r="AT26" s="44">
        <v>0</v>
      </c>
      <c r="AU26" s="40"/>
      <c r="AV26" s="39"/>
      <c r="AX26" s="44">
        <v>0</v>
      </c>
      <c r="AY26" s="40"/>
      <c r="AZ26" s="41">
        <v>96</v>
      </c>
      <c r="BA26">
        <v>98</v>
      </c>
      <c r="BB26" s="44">
        <v>-2</v>
      </c>
      <c r="BC26" s="40"/>
      <c r="BD26">
        <v>32</v>
      </c>
      <c r="BE26">
        <v>30</v>
      </c>
      <c r="BH26" s="44">
        <v>2</v>
      </c>
      <c r="BI26" s="40"/>
      <c r="BJ26">
        <v>536</v>
      </c>
      <c r="BK26">
        <v>534</v>
      </c>
      <c r="BL26" s="44">
        <v>2</v>
      </c>
      <c r="BM26" s="40"/>
      <c r="BN26" s="39"/>
      <c r="BP26">
        <v>176</v>
      </c>
      <c r="BQ26">
        <v>174</v>
      </c>
      <c r="BR26" s="44">
        <v>2</v>
      </c>
      <c r="BS26" s="40"/>
      <c r="BV26" s="44">
        <v>0</v>
      </c>
      <c r="BW26" s="40"/>
      <c r="BX26" s="41">
        <v>192</v>
      </c>
      <c r="BY26">
        <v>200</v>
      </c>
      <c r="BZ26" s="44">
        <v>-8</v>
      </c>
      <c r="CA26" s="40"/>
      <c r="CB26" s="39"/>
      <c r="CD26">
        <v>240</v>
      </c>
      <c r="CG26">
        <v>240</v>
      </c>
      <c r="CH26" s="44">
        <v>0</v>
      </c>
      <c r="CI26" s="40"/>
      <c r="CJ26">
        <v>96</v>
      </c>
      <c r="CK26">
        <v>100</v>
      </c>
      <c r="CL26">
        <v>160</v>
      </c>
      <c r="CM26">
        <v>160</v>
      </c>
      <c r="CN26" s="44">
        <v>-4</v>
      </c>
      <c r="CO26" s="40"/>
      <c r="CP26" s="39"/>
      <c r="CT26" s="44">
        <v>0</v>
      </c>
      <c r="CU26" s="40"/>
      <c r="CV26" s="39"/>
      <c r="CZ26" s="44">
        <v>0</v>
      </c>
      <c r="DA26" s="40"/>
      <c r="DB26" s="41">
        <v>152</v>
      </c>
      <c r="DC26">
        <v>150</v>
      </c>
      <c r="DD26">
        <v>168</v>
      </c>
      <c r="DE26">
        <v>170</v>
      </c>
      <c r="DF26" s="44">
        <v>0</v>
      </c>
      <c r="DG26" s="40"/>
      <c r="DJ26">
        <v>88</v>
      </c>
      <c r="DK26">
        <v>90</v>
      </c>
      <c r="DN26" s="44">
        <v>-2</v>
      </c>
      <c r="DO26" s="40"/>
      <c r="DP26" s="39"/>
      <c r="DR26" s="44">
        <v>0</v>
      </c>
      <c r="DS26" s="40"/>
      <c r="DT26" s="39"/>
      <c r="DV26">
        <v>240</v>
      </c>
      <c r="DW26">
        <v>240</v>
      </c>
      <c r="DX26" s="44">
        <v>0</v>
      </c>
      <c r="DY26" s="40"/>
      <c r="DZ26" s="39"/>
      <c r="EB26" s="44">
        <v>0</v>
      </c>
      <c r="EC26" s="40"/>
      <c r="ED26">
        <v>48</v>
      </c>
      <c r="EE26">
        <v>50</v>
      </c>
      <c r="EG26">
        <v>48</v>
      </c>
      <c r="EH26">
        <v>50</v>
      </c>
      <c r="EI26">
        <v>96</v>
      </c>
      <c r="EJ26">
        <v>100</v>
      </c>
      <c r="EK26" s="44">
        <v>-8</v>
      </c>
      <c r="EL26" s="40"/>
      <c r="EQ26">
        <v>16</v>
      </c>
      <c r="ER26">
        <v>20</v>
      </c>
      <c r="ES26" s="44">
        <v>-4</v>
      </c>
      <c r="ET26" s="40"/>
      <c r="EU26" s="39"/>
      <c r="EW26">
        <v>96</v>
      </c>
      <c r="EX26">
        <v>100</v>
      </c>
      <c r="EY26" s="44">
        <v>-4</v>
      </c>
      <c r="EZ26" s="40"/>
      <c r="FA26" s="39"/>
      <c r="FD26" s="44">
        <v>0</v>
      </c>
      <c r="FE26" s="40"/>
      <c r="FH26" s="44">
        <v>0</v>
      </c>
      <c r="FI26" s="40"/>
      <c r="FJ26" s="41">
        <v>48</v>
      </c>
      <c r="FK26">
        <v>50</v>
      </c>
      <c r="FO26">
        <v>80</v>
      </c>
      <c r="FP26">
        <v>80</v>
      </c>
      <c r="FQ26" s="44">
        <v>-2</v>
      </c>
      <c r="FR26" s="40"/>
      <c r="FU26">
        <v>48</v>
      </c>
      <c r="FV26">
        <v>50</v>
      </c>
      <c r="FW26" s="44">
        <v>-2</v>
      </c>
      <c r="FX26" s="40"/>
      <c r="FY26" s="39"/>
      <c r="GA26">
        <v>16</v>
      </c>
      <c r="GB26">
        <v>16</v>
      </c>
      <c r="GC26" s="44">
        <v>0</v>
      </c>
      <c r="GD26" s="40"/>
      <c r="GI26" s="44">
        <v>0</v>
      </c>
      <c r="GJ26" s="40"/>
      <c r="GK26">
        <v>56</v>
      </c>
      <c r="GL26" s="47">
        <v>60</v>
      </c>
      <c r="GM26" s="44">
        <v>-4</v>
      </c>
      <c r="GN26" s="40"/>
      <c r="GO26" s="41">
        <v>48</v>
      </c>
      <c r="GP26">
        <v>50</v>
      </c>
      <c r="GQ26" s="44">
        <v>-2</v>
      </c>
      <c r="GR26" s="40"/>
      <c r="GX26" s="44">
        <v>0</v>
      </c>
      <c r="GY26" s="40"/>
      <c r="HD26" s="44">
        <v>0</v>
      </c>
      <c r="HE26" s="40"/>
      <c r="HF26" s="39"/>
      <c r="HJ26" s="44">
        <v>0</v>
      </c>
      <c r="HK26" s="40"/>
      <c r="HL26" s="41">
        <v>120</v>
      </c>
      <c r="HM26">
        <v>120</v>
      </c>
      <c r="HN26">
        <v>96</v>
      </c>
      <c r="HO26">
        <v>100</v>
      </c>
      <c r="HP26" s="44">
        <v>-4</v>
      </c>
      <c r="HQ26" s="40"/>
      <c r="HT26">
        <v>88</v>
      </c>
      <c r="HU26">
        <v>90</v>
      </c>
      <c r="HV26" s="44">
        <v>-2</v>
      </c>
      <c r="HW26" s="43"/>
      <c r="HZ26">
        <v>16</v>
      </c>
      <c r="IA26">
        <v>20</v>
      </c>
      <c r="IB26" s="44">
        <v>-4</v>
      </c>
      <c r="IC26" s="43"/>
      <c r="ID26">
        <v>200</v>
      </c>
      <c r="IE26">
        <v>200</v>
      </c>
      <c r="IF26">
        <v>120</v>
      </c>
      <c r="IG26">
        <v>120</v>
      </c>
      <c r="IH26" s="44">
        <v>0</v>
      </c>
      <c r="II26" s="43"/>
      <c r="IL26">
        <v>32</v>
      </c>
      <c r="IM26">
        <v>30</v>
      </c>
      <c r="IN26" s="44">
        <v>2</v>
      </c>
      <c r="IO26" s="40"/>
      <c r="IP26">
        <v>96</v>
      </c>
      <c r="IQ26">
        <v>96</v>
      </c>
      <c r="IR26" s="44">
        <v>0</v>
      </c>
      <c r="IS26" s="40"/>
      <c r="IT26">
        <v>72</v>
      </c>
      <c r="IU26">
        <v>74</v>
      </c>
      <c r="IX26" s="44">
        <v>-2</v>
      </c>
      <c r="IY26" s="43"/>
      <c r="IZ26">
        <v>64</v>
      </c>
      <c r="JA26" s="47">
        <v>65</v>
      </c>
      <c r="JB26" s="44">
        <v>-1</v>
      </c>
      <c r="JC26" s="40"/>
      <c r="JF26">
        <v>136</v>
      </c>
      <c r="JG26">
        <v>140</v>
      </c>
      <c r="JH26" s="44">
        <v>-4</v>
      </c>
      <c r="JI26" s="40"/>
      <c r="JN26" s="44">
        <v>0</v>
      </c>
      <c r="JO26" s="43"/>
      <c r="JT26" s="44">
        <v>0</v>
      </c>
      <c r="JU26" s="43"/>
      <c r="JV26">
        <v>152</v>
      </c>
      <c r="JW26">
        <v>150</v>
      </c>
      <c r="JX26">
        <v>248</v>
      </c>
      <c r="JY26">
        <v>250</v>
      </c>
      <c r="JZ26" s="44">
        <v>0</v>
      </c>
      <c r="KA26" s="43"/>
      <c r="KB26" s="42"/>
      <c r="KE26">
        <v>96</v>
      </c>
      <c r="KF26">
        <v>100</v>
      </c>
      <c r="KG26">
        <v>72</v>
      </c>
      <c r="KH26">
        <v>70</v>
      </c>
      <c r="KI26" s="44">
        <v>-2</v>
      </c>
      <c r="KJ26" s="43"/>
      <c r="KK26" s="47">
        <v>0</v>
      </c>
      <c r="KL26" s="47">
        <v>0</v>
      </c>
      <c r="KM26" s="47">
        <v>0</v>
      </c>
      <c r="KN26" s="47">
        <v>0</v>
      </c>
      <c r="KO26" s="44">
        <v>0</v>
      </c>
      <c r="KP26" s="43"/>
      <c r="KQ26" s="47">
        <v>200</v>
      </c>
      <c r="KR26" s="47">
        <v>200</v>
      </c>
      <c r="KS26" s="47">
        <v>248</v>
      </c>
      <c r="KT26" s="47">
        <v>250</v>
      </c>
      <c r="KU26" s="44">
        <v>-2</v>
      </c>
      <c r="KV26" s="43"/>
      <c r="KW26" s="42">
        <v>16</v>
      </c>
      <c r="KX26" s="47">
        <v>20</v>
      </c>
      <c r="KY26" s="44">
        <v>-4</v>
      </c>
      <c r="KZ26" s="43"/>
      <c r="LA26" s="42">
        <v>128</v>
      </c>
      <c r="LB26" s="47">
        <v>130</v>
      </c>
      <c r="LC26" s="47">
        <v>96</v>
      </c>
      <c r="LD26" s="47">
        <v>100</v>
      </c>
      <c r="LE26" s="44">
        <v>-6</v>
      </c>
      <c r="LF26" s="43"/>
      <c r="LG26" s="42">
        <v>0</v>
      </c>
      <c r="LH26" s="47">
        <v>0</v>
      </c>
      <c r="LI26" s="47">
        <v>80</v>
      </c>
      <c r="LJ26" s="47">
        <v>80</v>
      </c>
      <c r="LK26" s="44">
        <v>0</v>
      </c>
      <c r="LL26" s="43"/>
      <c r="LM26" s="42">
        <v>0</v>
      </c>
      <c r="LN26" s="47">
        <v>0</v>
      </c>
      <c r="LO26" s="44">
        <v>0</v>
      </c>
      <c r="LP26" s="43"/>
      <c r="LQ26" s="42">
        <v>0</v>
      </c>
      <c r="LR26" s="47">
        <v>0</v>
      </c>
      <c r="LS26" s="47">
        <v>48</v>
      </c>
      <c r="LT26" s="47">
        <v>50</v>
      </c>
      <c r="LU26" s="44">
        <v>-2</v>
      </c>
      <c r="LV26" s="43"/>
      <c r="LW26" s="42">
        <v>40</v>
      </c>
      <c r="LX26" s="47">
        <v>40</v>
      </c>
      <c r="LY26" s="47">
        <v>0</v>
      </c>
      <c r="LZ26" s="47">
        <v>0</v>
      </c>
      <c r="MA26" s="44">
        <v>0</v>
      </c>
      <c r="MB26" s="43"/>
      <c r="MC26" s="42">
        <v>0</v>
      </c>
      <c r="MD26" s="47">
        <v>0</v>
      </c>
      <c r="ME26" s="47">
        <v>48</v>
      </c>
      <c r="MF26" s="47">
        <v>50</v>
      </c>
      <c r="MG26" s="44">
        <v>-2</v>
      </c>
      <c r="MH26" s="43"/>
      <c r="MI26" s="42">
        <v>0</v>
      </c>
      <c r="MJ26" s="47">
        <v>0</v>
      </c>
      <c r="MK26" s="47">
        <v>40</v>
      </c>
      <c r="ML26" s="47">
        <v>40</v>
      </c>
      <c r="MM26" s="44">
        <v>0</v>
      </c>
      <c r="MN26" s="43"/>
      <c r="MO26" s="42">
        <v>0</v>
      </c>
      <c r="MP26" s="47">
        <v>0</v>
      </c>
      <c r="MQ26" s="47">
        <v>32</v>
      </c>
      <c r="MR26" s="47">
        <v>35</v>
      </c>
      <c r="MS26" s="44">
        <v>-3</v>
      </c>
      <c r="MT26" s="43"/>
      <c r="MU26" s="22">
        <v>48</v>
      </c>
      <c r="MV26" s="47">
        <v>0</v>
      </c>
      <c r="MW26" s="47">
        <v>56</v>
      </c>
      <c r="MX26" s="47">
        <v>55</v>
      </c>
      <c r="MY26" s="44">
        <v>49</v>
      </c>
      <c r="MZ26" s="43"/>
      <c r="NA26" s="42">
        <v>0</v>
      </c>
      <c r="NB26" s="47">
        <v>0</v>
      </c>
      <c r="NC26" s="47">
        <v>32</v>
      </c>
      <c r="ND26" s="47">
        <v>30</v>
      </c>
      <c r="NE26" s="44">
        <v>2</v>
      </c>
      <c r="NF26" s="43"/>
      <c r="NG26" s="42">
        <v>96</v>
      </c>
      <c r="NH26" s="47">
        <v>100</v>
      </c>
      <c r="NI26" s="47">
        <v>232</v>
      </c>
      <c r="NJ26" s="47">
        <v>230</v>
      </c>
      <c r="NK26" s="44">
        <v>-2</v>
      </c>
      <c r="NL26" s="43"/>
      <c r="NM26" s="42">
        <v>0</v>
      </c>
      <c r="NN26" s="47">
        <v>0</v>
      </c>
      <c r="NO26" s="47">
        <v>16</v>
      </c>
      <c r="NP26" s="47">
        <v>15</v>
      </c>
      <c r="NQ26" s="44">
        <v>1</v>
      </c>
      <c r="NR26" s="43"/>
      <c r="NS26" s="42">
        <v>56</v>
      </c>
      <c r="NT26" s="47">
        <v>60</v>
      </c>
      <c r="NU26" s="47">
        <v>0</v>
      </c>
      <c r="NV26" s="47">
        <v>0</v>
      </c>
      <c r="NW26" s="44">
        <v>-4</v>
      </c>
      <c r="NX26" s="43"/>
      <c r="NY26" s="42">
        <v>0</v>
      </c>
      <c r="NZ26" s="47">
        <v>0</v>
      </c>
      <c r="OA26" s="47">
        <v>296</v>
      </c>
      <c r="OB26" s="47">
        <v>300</v>
      </c>
      <c r="OC26" s="44">
        <v>-4</v>
      </c>
      <c r="OD26" s="43"/>
      <c r="OE26" s="42">
        <v>0</v>
      </c>
      <c r="OF26" s="47">
        <v>0</v>
      </c>
      <c r="OG26" s="47">
        <v>64</v>
      </c>
      <c r="OH26" s="47">
        <v>65</v>
      </c>
      <c r="OI26" s="44">
        <v>-1</v>
      </c>
      <c r="OJ26" s="43"/>
      <c r="OK26" s="42">
        <v>72</v>
      </c>
      <c r="OL26" s="47">
        <v>70</v>
      </c>
      <c r="OM26" s="47">
        <v>80</v>
      </c>
      <c r="ON26" s="47">
        <v>80</v>
      </c>
      <c r="OO26" s="44">
        <v>2</v>
      </c>
      <c r="OP26" s="43"/>
      <c r="OQ26" s="42">
        <v>0</v>
      </c>
      <c r="OR26" s="47">
        <v>0</v>
      </c>
      <c r="OS26" s="47">
        <v>40</v>
      </c>
      <c r="OT26" s="47">
        <v>40</v>
      </c>
      <c r="OU26" s="44">
        <v>0</v>
      </c>
      <c r="OV26" s="43"/>
      <c r="OW26" s="42">
        <v>0</v>
      </c>
      <c r="OX26" s="47">
        <v>0</v>
      </c>
      <c r="OY26" s="47">
        <v>88</v>
      </c>
      <c r="OZ26" s="47">
        <v>90</v>
      </c>
      <c r="PA26" s="44">
        <v>-2</v>
      </c>
      <c r="PB26" s="43"/>
      <c r="PC26" s="42">
        <v>0</v>
      </c>
      <c r="PD26" s="47">
        <v>0</v>
      </c>
      <c r="PE26" s="47">
        <v>0</v>
      </c>
      <c r="PF26" s="47">
        <v>0</v>
      </c>
      <c r="PG26" s="44">
        <v>0</v>
      </c>
      <c r="PH26" s="43"/>
      <c r="PI26" s="42">
        <v>0</v>
      </c>
      <c r="PJ26" s="47">
        <v>0</v>
      </c>
      <c r="PK26" s="47">
        <v>40</v>
      </c>
      <c r="PL26" s="47">
        <v>43</v>
      </c>
      <c r="PM26" s="44">
        <v>-3</v>
      </c>
      <c r="PN26" s="43"/>
      <c r="PO26" s="42">
        <v>0</v>
      </c>
      <c r="PP26" s="47">
        <v>0</v>
      </c>
      <c r="PQ26" s="47">
        <v>0</v>
      </c>
      <c r="PR26" s="47">
        <v>0</v>
      </c>
      <c r="PS26" s="44">
        <v>0</v>
      </c>
      <c r="PT26" s="43"/>
      <c r="PU26" s="42">
        <v>0</v>
      </c>
      <c r="PV26" s="47">
        <v>0</v>
      </c>
      <c r="PW26" s="47">
        <v>48</v>
      </c>
      <c r="PX26" s="47">
        <v>50</v>
      </c>
      <c r="PY26" s="44">
        <v>-2</v>
      </c>
      <c r="PZ26" s="43"/>
      <c r="QA26" s="42">
        <v>0</v>
      </c>
      <c r="QB26" s="47">
        <v>0</v>
      </c>
      <c r="QC26" s="44">
        <v>0</v>
      </c>
      <c r="QD26" s="43"/>
      <c r="QE26" s="42">
        <v>0</v>
      </c>
      <c r="QF26" s="47">
        <v>0</v>
      </c>
      <c r="QG26" s="44">
        <v>0</v>
      </c>
      <c r="QH26" s="43"/>
      <c r="QI26" s="42">
        <v>0</v>
      </c>
      <c r="QJ26" s="47">
        <v>0</v>
      </c>
      <c r="QK26" s="44">
        <v>0</v>
      </c>
      <c r="QL26" s="43"/>
      <c r="QM26" s="42">
        <v>0</v>
      </c>
      <c r="QN26" s="47">
        <v>0</v>
      </c>
      <c r="QO26" s="47">
        <v>0</v>
      </c>
      <c r="QP26" s="47">
        <v>0</v>
      </c>
      <c r="QQ26" s="44">
        <v>0</v>
      </c>
      <c r="QR26" s="43"/>
      <c r="QS26" s="42">
        <v>0</v>
      </c>
      <c r="QT26" s="47">
        <v>0</v>
      </c>
      <c r="QU26" s="44">
        <v>0</v>
      </c>
      <c r="QV26" s="43"/>
      <c r="QW26" s="42">
        <v>0</v>
      </c>
      <c r="QX26" s="47">
        <v>0</v>
      </c>
      <c r="QY26" s="44">
        <v>0</v>
      </c>
      <c r="QZ26" s="43"/>
    </row>
    <row r="27" spans="1:468" x14ac:dyDescent="0.25">
      <c r="A27" s="47" t="s">
        <v>311</v>
      </c>
      <c r="B27" s="38">
        <v>1</v>
      </c>
      <c r="N27" s="39"/>
      <c r="O27" s="48"/>
      <c r="P27" s="48"/>
      <c r="Q27" s="48"/>
      <c r="R27" s="48">
        <f t="shared" si="8"/>
        <v>0</v>
      </c>
      <c r="S27" s="40"/>
      <c r="T27" s="39"/>
      <c r="U27" s="48"/>
      <c r="V27" s="48">
        <f t="shared" si="9"/>
        <v>0</v>
      </c>
      <c r="W27" s="40"/>
      <c r="X27" s="39"/>
      <c r="Y27" s="48"/>
      <c r="Z27" s="48"/>
      <c r="AA27" s="48"/>
      <c r="AB27" s="48">
        <f t="shared" si="10"/>
        <v>0</v>
      </c>
      <c r="AC27" s="40"/>
      <c r="AD27" s="48"/>
      <c r="AH27" s="44">
        <v>0</v>
      </c>
      <c r="AI27" s="40"/>
      <c r="AN27" s="44">
        <v>0</v>
      </c>
      <c r="AO27" s="40"/>
      <c r="AT27" s="44">
        <v>0</v>
      </c>
      <c r="AU27" s="40"/>
      <c r="AV27" s="39"/>
      <c r="AX27" s="44">
        <v>0</v>
      </c>
      <c r="AY27" s="40"/>
      <c r="AZ27" s="39"/>
      <c r="BB27" s="44">
        <v>0</v>
      </c>
      <c r="BC27" s="40"/>
      <c r="BH27" s="44">
        <v>0</v>
      </c>
      <c r="BI27" s="40"/>
      <c r="BL27" s="44">
        <v>0</v>
      </c>
      <c r="BM27" s="40"/>
      <c r="BN27" s="39"/>
      <c r="BR27" s="44">
        <v>0</v>
      </c>
      <c r="BS27" s="40"/>
      <c r="BV27" s="44">
        <v>0</v>
      </c>
      <c r="BW27" s="40"/>
      <c r="BX27" s="39"/>
      <c r="BZ27" s="44">
        <v>0</v>
      </c>
      <c r="CA27" s="40"/>
      <c r="CB27" s="39"/>
      <c r="CH27" s="44">
        <v>0</v>
      </c>
      <c r="CI27" s="40"/>
      <c r="CN27" s="44">
        <v>0</v>
      </c>
      <c r="CO27" s="40"/>
      <c r="CP27" s="39"/>
      <c r="CT27" s="44">
        <v>0</v>
      </c>
      <c r="CU27" s="40"/>
      <c r="CV27" s="39"/>
      <c r="CZ27" s="44">
        <v>0</v>
      </c>
      <c r="DA27" s="40"/>
      <c r="DB27" s="39"/>
      <c r="DF27" s="44">
        <v>0</v>
      </c>
      <c r="DG27" s="40"/>
      <c r="DN27" s="44">
        <v>0</v>
      </c>
      <c r="DO27" s="40"/>
      <c r="DP27" s="39"/>
      <c r="DR27" s="44">
        <v>0</v>
      </c>
      <c r="DS27" s="40"/>
      <c r="DT27" s="39"/>
      <c r="DX27" s="44">
        <v>0</v>
      </c>
      <c r="DY27" s="40"/>
      <c r="DZ27" s="39"/>
      <c r="EB27" s="44">
        <v>0</v>
      </c>
      <c r="EC27" s="40"/>
      <c r="EK27" s="44">
        <v>0</v>
      </c>
      <c r="EL27" s="40"/>
      <c r="ES27" s="44">
        <v>0</v>
      </c>
      <c r="ET27" s="40"/>
      <c r="EU27" s="39"/>
      <c r="EY27" s="44">
        <v>0</v>
      </c>
      <c r="EZ27" s="40"/>
      <c r="FA27" s="39"/>
      <c r="FD27" s="44">
        <v>0</v>
      </c>
      <c r="FE27" s="40"/>
      <c r="FH27" s="44">
        <v>0</v>
      </c>
      <c r="FI27" s="40"/>
      <c r="FJ27" s="39"/>
      <c r="FQ27" s="44">
        <v>0</v>
      </c>
      <c r="FR27" s="40"/>
      <c r="FW27" s="44">
        <v>0</v>
      </c>
      <c r="FX27" s="40"/>
      <c r="FY27" s="39"/>
      <c r="GC27" s="44">
        <v>0</v>
      </c>
      <c r="GD27" s="40"/>
      <c r="GI27" s="44">
        <v>0</v>
      </c>
      <c r="GJ27" s="40"/>
      <c r="GM27" s="44">
        <v>0</v>
      </c>
      <c r="GN27" s="40"/>
      <c r="GO27" s="39"/>
      <c r="GQ27" s="44">
        <v>0</v>
      </c>
      <c r="GR27" s="40"/>
      <c r="GX27" s="44">
        <v>0</v>
      </c>
      <c r="GY27" s="40"/>
      <c r="HD27" s="44">
        <v>0</v>
      </c>
      <c r="HE27" s="40"/>
      <c r="HF27" s="39"/>
      <c r="HJ27" s="44">
        <v>0</v>
      </c>
      <c r="HK27" s="40"/>
      <c r="HL27" s="39"/>
      <c r="HP27" s="44">
        <v>0</v>
      </c>
      <c r="HQ27" s="40"/>
      <c r="HV27" s="44">
        <v>0</v>
      </c>
      <c r="HW27" s="43"/>
      <c r="IB27" s="44">
        <v>0</v>
      </c>
      <c r="IC27" s="43"/>
      <c r="IE27">
        <v>50</v>
      </c>
      <c r="IF27">
        <v>49</v>
      </c>
      <c r="IG27">
        <v>50</v>
      </c>
      <c r="IH27" s="46">
        <v>-51</v>
      </c>
      <c r="II27" s="43">
        <v>51</v>
      </c>
      <c r="IL27">
        <v>35</v>
      </c>
      <c r="IM27">
        <v>35</v>
      </c>
      <c r="IN27" s="44">
        <v>0</v>
      </c>
      <c r="IO27" s="40"/>
      <c r="IP27">
        <v>66</v>
      </c>
      <c r="IQ27">
        <v>67</v>
      </c>
      <c r="IR27" s="44">
        <v>-1</v>
      </c>
      <c r="IS27" s="40"/>
      <c r="IT27">
        <v>30</v>
      </c>
      <c r="IU27">
        <v>30</v>
      </c>
      <c r="IV27">
        <v>30</v>
      </c>
      <c r="IW27">
        <v>28</v>
      </c>
      <c r="IX27" s="44">
        <v>2</v>
      </c>
      <c r="IY27" s="43"/>
      <c r="JB27" s="44">
        <v>0</v>
      </c>
      <c r="JC27" s="40"/>
      <c r="JH27" s="44">
        <v>0</v>
      </c>
      <c r="JI27" s="40"/>
      <c r="JJ27">
        <v>100</v>
      </c>
      <c r="JK27">
        <v>100</v>
      </c>
      <c r="JL27">
        <v>111</v>
      </c>
      <c r="JM27">
        <v>110</v>
      </c>
      <c r="JN27" s="44">
        <v>1</v>
      </c>
      <c r="JO27" s="43"/>
      <c r="JR27">
        <v>60</v>
      </c>
      <c r="JS27">
        <v>60</v>
      </c>
      <c r="JT27" s="44">
        <v>0</v>
      </c>
      <c r="JU27" s="43"/>
      <c r="JZ27" s="44">
        <v>0</v>
      </c>
      <c r="KA27" s="43"/>
      <c r="KB27" s="41">
        <v>52</v>
      </c>
      <c r="KC27">
        <v>50</v>
      </c>
      <c r="KE27">
        <v>61</v>
      </c>
      <c r="KF27">
        <v>60</v>
      </c>
      <c r="KG27">
        <v>42</v>
      </c>
      <c r="KH27">
        <v>40</v>
      </c>
      <c r="KI27" s="44">
        <v>5</v>
      </c>
      <c r="KJ27" s="43"/>
      <c r="KK27" s="47">
        <v>0</v>
      </c>
      <c r="KL27" s="47">
        <v>0</v>
      </c>
      <c r="KM27" s="47">
        <v>71.567999999999998</v>
      </c>
      <c r="KN27" s="47">
        <v>73</v>
      </c>
      <c r="KO27" s="44">
        <v>-1.4320000000000019</v>
      </c>
      <c r="KP27" s="43"/>
      <c r="KQ27" s="47">
        <v>0</v>
      </c>
      <c r="KR27" s="47">
        <v>0</v>
      </c>
      <c r="KS27" s="47">
        <v>51.109000000000002</v>
      </c>
      <c r="KT27" s="47">
        <v>50</v>
      </c>
      <c r="KU27" s="44">
        <v>1.109000000000002</v>
      </c>
      <c r="KV27" s="43"/>
      <c r="KW27" s="42">
        <v>20.884</v>
      </c>
      <c r="KX27" s="47">
        <v>20</v>
      </c>
      <c r="KY27" s="44">
        <v>0.88400000000000034</v>
      </c>
      <c r="KZ27" s="43"/>
      <c r="LA27" s="42">
        <v>0</v>
      </c>
      <c r="LB27" s="47">
        <v>0</v>
      </c>
      <c r="LC27" s="47">
        <v>14.89</v>
      </c>
      <c r="LD27" s="47">
        <v>15</v>
      </c>
      <c r="LE27" s="44">
        <v>-0.1099999999999994</v>
      </c>
      <c r="LF27" s="43"/>
      <c r="LG27" s="42">
        <v>101.938</v>
      </c>
      <c r="LH27" s="47">
        <v>100</v>
      </c>
      <c r="LI27" s="47">
        <v>111.544</v>
      </c>
      <c r="LJ27" s="47">
        <v>110</v>
      </c>
      <c r="LK27" s="44">
        <v>3.4819999999999989</v>
      </c>
      <c r="LL27" s="43"/>
      <c r="LM27" s="42">
        <v>0</v>
      </c>
      <c r="LN27" s="47">
        <v>0</v>
      </c>
      <c r="LO27" s="44">
        <v>0</v>
      </c>
      <c r="LP27" s="43"/>
      <c r="LQ27" s="42">
        <v>0</v>
      </c>
      <c r="LR27" s="47">
        <v>0</v>
      </c>
      <c r="LS27" s="47">
        <v>29.652000000000001</v>
      </c>
      <c r="LT27" s="47">
        <v>30</v>
      </c>
      <c r="LU27" s="44">
        <v>-0.34799999999999898</v>
      </c>
      <c r="LV27" s="43"/>
      <c r="LW27" s="42">
        <v>163.148</v>
      </c>
      <c r="LX27" s="47">
        <v>160</v>
      </c>
      <c r="LY27" s="47">
        <v>0</v>
      </c>
      <c r="LZ27" s="47">
        <v>0</v>
      </c>
      <c r="MA27" s="44">
        <v>3.1479999999999961</v>
      </c>
      <c r="MB27" s="43"/>
      <c r="MC27" s="42">
        <v>0</v>
      </c>
      <c r="MD27" s="47">
        <v>0</v>
      </c>
      <c r="ME27" s="47">
        <v>102.873</v>
      </c>
      <c r="MF27" s="47">
        <v>101</v>
      </c>
      <c r="MG27" s="44">
        <v>1.8730000000000051</v>
      </c>
      <c r="MH27" s="43"/>
      <c r="MI27" s="42">
        <v>0</v>
      </c>
      <c r="MJ27" s="47">
        <v>0</v>
      </c>
      <c r="MK27" s="47">
        <v>26.666</v>
      </c>
      <c r="ML27" s="47">
        <v>30</v>
      </c>
      <c r="MM27" s="44">
        <v>-3.3340000000000001</v>
      </c>
      <c r="MN27" s="43"/>
      <c r="MO27" s="42">
        <v>0</v>
      </c>
      <c r="MP27" s="47">
        <v>0</v>
      </c>
      <c r="MQ27" s="47">
        <v>14.913</v>
      </c>
      <c r="MR27" s="47">
        <v>15</v>
      </c>
      <c r="MS27" s="44">
        <v>-8.6999999999999744E-2</v>
      </c>
      <c r="MT27" s="43"/>
      <c r="MU27" s="42">
        <v>0</v>
      </c>
      <c r="MV27" s="47">
        <v>0</v>
      </c>
      <c r="MW27" s="47">
        <v>90.22</v>
      </c>
      <c r="MX27" s="47">
        <v>90</v>
      </c>
      <c r="MY27" s="44">
        <v>0.21999999999999889</v>
      </c>
      <c r="MZ27" s="43"/>
      <c r="NA27" s="42">
        <v>50.165999999999997</v>
      </c>
      <c r="NB27" s="47">
        <v>50</v>
      </c>
      <c r="NC27" s="47">
        <v>80.537000000000006</v>
      </c>
      <c r="ND27" s="47">
        <v>80</v>
      </c>
      <c r="NE27" s="44">
        <v>0.70300000000000296</v>
      </c>
      <c r="NF27" s="43"/>
      <c r="NG27" s="42">
        <v>0</v>
      </c>
      <c r="NH27" s="47">
        <v>0</v>
      </c>
      <c r="NI27" s="47">
        <v>151.02099999999999</v>
      </c>
      <c r="NJ27" s="47">
        <v>150</v>
      </c>
      <c r="NK27" s="44">
        <v>1.020999999999987</v>
      </c>
      <c r="NL27" s="43"/>
      <c r="NM27" s="42">
        <v>0</v>
      </c>
      <c r="NN27" s="47">
        <v>0</v>
      </c>
      <c r="NO27" s="47">
        <v>69.552999999999997</v>
      </c>
      <c r="NP27" s="47">
        <v>70</v>
      </c>
      <c r="NQ27" s="44">
        <v>-0.44700000000000267</v>
      </c>
      <c r="NR27" s="43"/>
      <c r="NS27" s="42">
        <v>51.18</v>
      </c>
      <c r="NT27" s="47">
        <v>50</v>
      </c>
      <c r="NU27" s="47">
        <v>0</v>
      </c>
      <c r="NV27" s="47">
        <v>0</v>
      </c>
      <c r="NW27" s="44">
        <v>1.18</v>
      </c>
      <c r="NX27" s="43"/>
      <c r="NY27" s="42">
        <v>0</v>
      </c>
      <c r="NZ27" s="47">
        <v>0</v>
      </c>
      <c r="OA27" s="47">
        <v>150.411</v>
      </c>
      <c r="OB27" s="47">
        <v>150</v>
      </c>
      <c r="OC27" s="44">
        <v>0.41100000000000142</v>
      </c>
      <c r="OD27" s="43"/>
      <c r="OE27" s="42">
        <v>51.31</v>
      </c>
      <c r="OF27" s="47">
        <v>50</v>
      </c>
      <c r="OG27" s="47">
        <v>50.765000000000001</v>
      </c>
      <c r="OH27" s="47">
        <v>50</v>
      </c>
      <c r="OI27" s="44">
        <v>2.0750000000000028</v>
      </c>
      <c r="OJ27" s="43"/>
      <c r="OK27" s="42">
        <v>0</v>
      </c>
      <c r="OL27" s="47">
        <v>0</v>
      </c>
      <c r="OM27" s="12">
        <v>17.760000000000002</v>
      </c>
      <c r="ON27" s="47">
        <v>0</v>
      </c>
      <c r="OO27" s="44">
        <v>0</v>
      </c>
      <c r="OP27" s="43"/>
      <c r="OQ27" s="13">
        <v>72.212999999999994</v>
      </c>
      <c r="OR27" s="47">
        <v>0</v>
      </c>
      <c r="OS27" s="12">
        <v>101.337</v>
      </c>
      <c r="OT27" s="47">
        <v>0</v>
      </c>
      <c r="OU27" s="44">
        <v>0</v>
      </c>
      <c r="OV27" s="43"/>
      <c r="OW27" s="42"/>
      <c r="PB27" s="43"/>
      <c r="PC27" s="42"/>
      <c r="PH27" s="43"/>
      <c r="PI27" s="42"/>
      <c r="PN27" s="43"/>
      <c r="PO27" s="42"/>
      <c r="PT27" s="43"/>
      <c r="PU27" s="42"/>
      <c r="PZ27" s="43"/>
      <c r="QA27" s="42"/>
      <c r="QD27" s="43"/>
      <c r="QE27" s="42"/>
      <c r="QH27" s="43"/>
      <c r="QI27" s="42"/>
      <c r="QL27" s="43"/>
      <c r="QM27" s="42"/>
      <c r="QR27" s="43"/>
      <c r="QS27" s="42"/>
      <c r="QV27" s="43"/>
      <c r="QW27" s="42"/>
      <c r="QY27" s="44"/>
      <c r="QZ27" s="43"/>
    </row>
    <row r="28" spans="1:468" x14ac:dyDescent="0.25">
      <c r="A28" s="47" t="s">
        <v>312</v>
      </c>
      <c r="B28" s="38">
        <v>0.25</v>
      </c>
      <c r="E28">
        <v>48</v>
      </c>
      <c r="F28">
        <v>52</v>
      </c>
      <c r="I28">
        <v>100</v>
      </c>
      <c r="K28">
        <v>120</v>
      </c>
      <c r="N28" s="39"/>
      <c r="O28" s="49">
        <v>120</v>
      </c>
      <c r="P28" s="48"/>
      <c r="Q28" s="49">
        <v>121</v>
      </c>
      <c r="R28" s="53">
        <f t="shared" si="8"/>
        <v>-241</v>
      </c>
      <c r="S28" s="40">
        <f t="shared" ref="S28:S29" si="11">-1*R28*B28</f>
        <v>60.25</v>
      </c>
      <c r="T28" s="39"/>
      <c r="U28" s="48"/>
      <c r="V28" s="48">
        <f t="shared" si="9"/>
        <v>0</v>
      </c>
      <c r="W28" s="40"/>
      <c r="X28" s="39"/>
      <c r="Y28" s="49">
        <v>120</v>
      </c>
      <c r="Z28" s="48"/>
      <c r="AA28" s="49">
        <v>70</v>
      </c>
      <c r="AB28" s="53">
        <f t="shared" si="10"/>
        <v>-190</v>
      </c>
      <c r="AC28" s="40">
        <f>-1*AB28*B28</f>
        <v>47.5</v>
      </c>
      <c r="AD28" s="48"/>
      <c r="AH28" s="44">
        <v>0</v>
      </c>
      <c r="AI28" s="40"/>
      <c r="AJ28">
        <v>216</v>
      </c>
      <c r="AK28">
        <v>220</v>
      </c>
      <c r="AL28">
        <v>280</v>
      </c>
      <c r="AM28">
        <v>280</v>
      </c>
      <c r="AN28" s="44">
        <v>-4</v>
      </c>
      <c r="AO28" s="40"/>
      <c r="AT28" s="44">
        <v>0</v>
      </c>
      <c r="AU28" s="40"/>
      <c r="AV28" s="41">
        <v>296</v>
      </c>
      <c r="AW28">
        <v>300</v>
      </c>
      <c r="AX28" s="44">
        <v>-4</v>
      </c>
      <c r="AY28" s="40"/>
      <c r="AZ28" s="41">
        <v>280</v>
      </c>
      <c r="BA28">
        <v>280</v>
      </c>
      <c r="BB28" s="44">
        <v>0</v>
      </c>
      <c r="BC28" s="40"/>
      <c r="BD28">
        <v>152</v>
      </c>
      <c r="BE28">
        <v>150</v>
      </c>
      <c r="BF28">
        <v>176</v>
      </c>
      <c r="BG28">
        <v>180</v>
      </c>
      <c r="BH28" s="44">
        <v>-2</v>
      </c>
      <c r="BI28" s="40"/>
      <c r="BJ28">
        <v>280</v>
      </c>
      <c r="BK28">
        <v>279</v>
      </c>
      <c r="BL28" s="44">
        <v>1</v>
      </c>
      <c r="BM28" s="40"/>
      <c r="BN28" s="39"/>
      <c r="BO28">
        <v>140</v>
      </c>
      <c r="BP28">
        <v>288</v>
      </c>
      <c r="BQ28">
        <v>288</v>
      </c>
      <c r="BR28" s="46">
        <v>-140</v>
      </c>
      <c r="BS28" s="40">
        <v>35</v>
      </c>
      <c r="BV28" s="44">
        <v>0</v>
      </c>
      <c r="BW28" s="40"/>
      <c r="BX28" s="41">
        <v>72</v>
      </c>
      <c r="BY28">
        <v>70</v>
      </c>
      <c r="BZ28" s="44">
        <v>2</v>
      </c>
      <c r="CA28" s="40"/>
      <c r="CB28" s="41">
        <v>200</v>
      </c>
      <c r="CC28">
        <v>200</v>
      </c>
      <c r="CD28">
        <v>232</v>
      </c>
      <c r="CE28">
        <v>400</v>
      </c>
      <c r="CF28">
        <v>400</v>
      </c>
      <c r="CG28">
        <v>230</v>
      </c>
      <c r="CH28" s="44">
        <v>2</v>
      </c>
      <c r="CI28" s="40"/>
      <c r="CJ28">
        <v>96</v>
      </c>
      <c r="CK28">
        <v>100</v>
      </c>
      <c r="CL28">
        <v>160</v>
      </c>
      <c r="CM28">
        <v>163</v>
      </c>
      <c r="CN28" s="44">
        <v>-7</v>
      </c>
      <c r="CO28" s="40"/>
      <c r="CP28" s="41">
        <v>96</v>
      </c>
      <c r="CQ28">
        <v>100</v>
      </c>
      <c r="CR28">
        <v>152</v>
      </c>
      <c r="CS28">
        <v>150</v>
      </c>
      <c r="CT28" s="44">
        <v>-2</v>
      </c>
      <c r="CU28" s="40"/>
      <c r="CV28" s="41">
        <v>96</v>
      </c>
      <c r="CW28">
        <v>97</v>
      </c>
      <c r="CZ28" s="44">
        <v>-1</v>
      </c>
      <c r="DA28" s="40"/>
      <c r="DB28" s="41">
        <v>80</v>
      </c>
      <c r="DC28">
        <v>100</v>
      </c>
      <c r="DD28">
        <v>128</v>
      </c>
      <c r="DE28">
        <v>130</v>
      </c>
      <c r="DF28" s="46">
        <v>-22</v>
      </c>
      <c r="DG28" s="40">
        <v>5.5</v>
      </c>
      <c r="DH28">
        <v>200</v>
      </c>
      <c r="DI28">
        <v>200</v>
      </c>
      <c r="DJ28">
        <v>256</v>
      </c>
      <c r="DK28">
        <v>260</v>
      </c>
      <c r="DL28">
        <v>248</v>
      </c>
      <c r="DM28">
        <v>250</v>
      </c>
      <c r="DN28" s="44">
        <v>-6</v>
      </c>
      <c r="DO28" s="40"/>
      <c r="DP28" s="41">
        <v>232</v>
      </c>
      <c r="DQ28">
        <v>230</v>
      </c>
      <c r="DR28" s="44">
        <v>2</v>
      </c>
      <c r="DS28" s="40"/>
      <c r="DT28" s="39"/>
      <c r="DV28">
        <v>216</v>
      </c>
      <c r="DW28">
        <v>220</v>
      </c>
      <c r="DX28" s="44">
        <v>-4</v>
      </c>
      <c r="DY28" s="40"/>
      <c r="DZ28" s="39"/>
      <c r="EB28" s="44">
        <v>0</v>
      </c>
      <c r="EC28" s="40"/>
      <c r="ED28">
        <v>224</v>
      </c>
      <c r="EE28">
        <v>224</v>
      </c>
      <c r="EG28">
        <v>216</v>
      </c>
      <c r="EH28">
        <v>216</v>
      </c>
      <c r="EI28">
        <v>232</v>
      </c>
      <c r="EJ28">
        <v>230</v>
      </c>
      <c r="EK28" s="44">
        <v>2</v>
      </c>
      <c r="EL28" s="40"/>
      <c r="ES28" s="44">
        <v>0</v>
      </c>
      <c r="ET28" s="40"/>
      <c r="EU28" s="41">
        <v>96</v>
      </c>
      <c r="EV28">
        <v>100</v>
      </c>
      <c r="EW28">
        <v>232</v>
      </c>
      <c r="EX28">
        <v>233</v>
      </c>
      <c r="EY28" s="44">
        <v>-5</v>
      </c>
      <c r="EZ28" s="40"/>
      <c r="FA28" s="39"/>
      <c r="FB28">
        <v>48</v>
      </c>
      <c r="FC28">
        <v>50</v>
      </c>
      <c r="FD28" s="44">
        <v>-2</v>
      </c>
      <c r="FE28" s="40"/>
      <c r="FF28">
        <v>72</v>
      </c>
      <c r="FG28">
        <v>70</v>
      </c>
      <c r="FH28" s="44">
        <v>2</v>
      </c>
      <c r="FI28" s="40"/>
      <c r="FJ28" s="41">
        <v>72</v>
      </c>
      <c r="FK28">
        <v>70</v>
      </c>
      <c r="FL28">
        <v>168</v>
      </c>
      <c r="FN28">
        <v>70</v>
      </c>
      <c r="FO28">
        <v>72</v>
      </c>
      <c r="FP28">
        <v>70</v>
      </c>
      <c r="FQ28" s="44">
        <v>102</v>
      </c>
      <c r="FR28" s="40"/>
      <c r="FS28">
        <v>120</v>
      </c>
      <c r="FT28">
        <v>120</v>
      </c>
      <c r="FU28">
        <v>144</v>
      </c>
      <c r="FV28">
        <v>146</v>
      </c>
      <c r="FW28" s="44">
        <v>-2</v>
      </c>
      <c r="FX28" s="40"/>
      <c r="FY28" s="39"/>
      <c r="GC28" s="44">
        <v>0</v>
      </c>
      <c r="GD28" s="40"/>
      <c r="GE28">
        <v>96</v>
      </c>
      <c r="GF28">
        <v>100</v>
      </c>
      <c r="GG28">
        <v>104</v>
      </c>
      <c r="GH28">
        <v>102</v>
      </c>
      <c r="GI28" s="44">
        <v>-2</v>
      </c>
      <c r="GJ28" s="40"/>
      <c r="GK28">
        <v>40</v>
      </c>
      <c r="GL28" s="47">
        <v>40</v>
      </c>
      <c r="GM28" s="44">
        <v>0</v>
      </c>
      <c r="GN28" s="40"/>
      <c r="GO28" s="41">
        <v>80</v>
      </c>
      <c r="GP28">
        <v>80</v>
      </c>
      <c r="GQ28" s="44">
        <v>0</v>
      </c>
      <c r="GR28" s="40"/>
      <c r="GS28">
        <v>96</v>
      </c>
      <c r="GT28">
        <v>100</v>
      </c>
      <c r="GV28">
        <v>136</v>
      </c>
      <c r="GW28">
        <v>140</v>
      </c>
      <c r="GX28" s="44">
        <v>-8</v>
      </c>
      <c r="GY28" s="40"/>
      <c r="HD28" s="44">
        <v>0</v>
      </c>
      <c r="HE28" s="40"/>
      <c r="HF28" s="39"/>
      <c r="HH28">
        <v>96</v>
      </c>
      <c r="HI28">
        <v>100</v>
      </c>
      <c r="HJ28" s="44">
        <v>-4</v>
      </c>
      <c r="HK28" s="40"/>
      <c r="HL28" s="41">
        <v>200</v>
      </c>
      <c r="HM28">
        <v>200</v>
      </c>
      <c r="HN28">
        <v>136</v>
      </c>
      <c r="HO28">
        <v>140</v>
      </c>
      <c r="HP28" s="44">
        <v>-4</v>
      </c>
      <c r="HQ28" s="40"/>
      <c r="HV28" s="44">
        <v>0</v>
      </c>
      <c r="HW28" s="43"/>
      <c r="HX28">
        <v>200</v>
      </c>
      <c r="HY28">
        <v>200</v>
      </c>
      <c r="HZ28">
        <v>232</v>
      </c>
      <c r="IA28">
        <v>230</v>
      </c>
      <c r="IB28" s="44">
        <v>2</v>
      </c>
      <c r="IC28" s="43"/>
      <c r="ID28">
        <v>168</v>
      </c>
      <c r="IE28">
        <v>170</v>
      </c>
      <c r="IF28">
        <v>96</v>
      </c>
      <c r="IG28">
        <v>100</v>
      </c>
      <c r="IH28" s="44">
        <v>-6</v>
      </c>
      <c r="II28" s="43"/>
      <c r="IL28">
        <v>120</v>
      </c>
      <c r="IM28">
        <v>120</v>
      </c>
      <c r="IN28" s="44">
        <v>0</v>
      </c>
      <c r="IO28" s="40"/>
      <c r="IP28">
        <v>88</v>
      </c>
      <c r="IQ28">
        <v>88</v>
      </c>
      <c r="IR28" s="44">
        <v>0</v>
      </c>
      <c r="IS28" s="40"/>
      <c r="IT28">
        <v>152</v>
      </c>
      <c r="IU28">
        <v>150</v>
      </c>
      <c r="IV28">
        <v>136</v>
      </c>
      <c r="IW28">
        <v>134</v>
      </c>
      <c r="IX28" s="44">
        <v>4</v>
      </c>
      <c r="IY28" s="43"/>
      <c r="IZ28">
        <v>152</v>
      </c>
      <c r="JA28" s="47">
        <v>150</v>
      </c>
      <c r="JB28" s="44">
        <v>2</v>
      </c>
      <c r="JC28" s="40"/>
      <c r="JF28">
        <v>296</v>
      </c>
      <c r="JG28">
        <v>297</v>
      </c>
      <c r="JH28" s="44">
        <v>-1</v>
      </c>
      <c r="JI28" s="40"/>
      <c r="JJ28">
        <v>248</v>
      </c>
      <c r="JK28">
        <v>250</v>
      </c>
      <c r="JL28">
        <v>128</v>
      </c>
      <c r="JM28">
        <v>133</v>
      </c>
      <c r="JN28" s="44">
        <v>-7</v>
      </c>
      <c r="JO28" s="43"/>
      <c r="JT28" s="44">
        <v>0</v>
      </c>
      <c r="JU28" s="43"/>
      <c r="JZ28" s="44">
        <v>0</v>
      </c>
      <c r="KA28" s="43"/>
      <c r="KB28" s="41">
        <v>376</v>
      </c>
      <c r="KC28">
        <v>380</v>
      </c>
      <c r="KE28">
        <v>416</v>
      </c>
      <c r="KF28">
        <v>420</v>
      </c>
      <c r="KG28">
        <v>296</v>
      </c>
      <c r="KH28">
        <v>300</v>
      </c>
      <c r="KI28" s="44">
        <v>-12</v>
      </c>
      <c r="KJ28" s="43"/>
      <c r="KK28" s="47">
        <v>80</v>
      </c>
      <c r="KL28" s="47">
        <v>80</v>
      </c>
      <c r="KM28" s="47">
        <v>32</v>
      </c>
      <c r="KN28" s="47">
        <v>31</v>
      </c>
      <c r="KO28" s="44">
        <v>1</v>
      </c>
      <c r="KP28" s="43"/>
      <c r="KQ28" s="47">
        <v>200</v>
      </c>
      <c r="KR28" s="47">
        <v>200</v>
      </c>
      <c r="KS28" s="47">
        <v>200</v>
      </c>
      <c r="KT28" s="47">
        <v>200</v>
      </c>
      <c r="KU28" s="44">
        <v>0</v>
      </c>
      <c r="KV28" s="43"/>
      <c r="KW28" s="42">
        <v>152</v>
      </c>
      <c r="KX28" s="47">
        <v>150</v>
      </c>
      <c r="KY28" s="44">
        <v>2</v>
      </c>
      <c r="KZ28" s="43"/>
      <c r="LA28" s="42">
        <v>272</v>
      </c>
      <c r="LB28" s="47">
        <v>270</v>
      </c>
      <c r="LC28" s="47">
        <v>240</v>
      </c>
      <c r="LD28" s="47">
        <v>240</v>
      </c>
      <c r="LE28" s="44">
        <v>2</v>
      </c>
      <c r="LF28" s="43"/>
      <c r="LG28" s="42">
        <v>72</v>
      </c>
      <c r="LH28" s="47">
        <v>70</v>
      </c>
      <c r="LI28" s="47">
        <v>40</v>
      </c>
      <c r="LJ28" s="47">
        <v>40</v>
      </c>
      <c r="LK28" s="44">
        <v>2</v>
      </c>
      <c r="LL28" s="43"/>
      <c r="LM28" s="42">
        <v>0</v>
      </c>
      <c r="LN28" s="47">
        <v>0</v>
      </c>
      <c r="LO28" s="44">
        <v>0</v>
      </c>
      <c r="LP28" s="43"/>
      <c r="LQ28" s="42">
        <v>0</v>
      </c>
      <c r="LR28" s="47">
        <v>0</v>
      </c>
      <c r="LS28" s="47">
        <v>0</v>
      </c>
      <c r="LT28" s="47">
        <v>0</v>
      </c>
      <c r="LU28" s="44">
        <v>0</v>
      </c>
      <c r="LV28" s="43"/>
      <c r="LW28" s="42">
        <v>0</v>
      </c>
      <c r="LX28" s="47">
        <v>0</v>
      </c>
      <c r="LY28" s="47">
        <v>192</v>
      </c>
      <c r="LZ28" s="47">
        <v>190</v>
      </c>
      <c r="MA28" s="44">
        <v>2</v>
      </c>
      <c r="MB28" s="43"/>
      <c r="MC28" s="42">
        <v>0</v>
      </c>
      <c r="MD28" s="47">
        <v>0</v>
      </c>
      <c r="ME28" s="47">
        <v>288</v>
      </c>
      <c r="MF28" s="47">
        <v>290</v>
      </c>
      <c r="MG28" s="44">
        <v>-2</v>
      </c>
      <c r="MH28" s="43"/>
      <c r="MI28" s="42">
        <v>0</v>
      </c>
      <c r="MJ28" s="47">
        <v>0</v>
      </c>
      <c r="MK28" s="47">
        <v>0</v>
      </c>
      <c r="ML28" s="47">
        <v>0</v>
      </c>
      <c r="MM28" s="44">
        <v>0</v>
      </c>
      <c r="MN28" s="43"/>
      <c r="MO28" s="42">
        <v>152</v>
      </c>
      <c r="MP28" s="47">
        <v>150</v>
      </c>
      <c r="MQ28" s="47">
        <v>248</v>
      </c>
      <c r="MR28" s="47">
        <v>250</v>
      </c>
      <c r="MS28" s="44">
        <v>0</v>
      </c>
      <c r="MT28" s="43"/>
      <c r="MU28" s="42">
        <v>200</v>
      </c>
      <c r="MV28" s="47">
        <v>50</v>
      </c>
      <c r="MW28" s="47">
        <v>152</v>
      </c>
      <c r="MX28" s="47">
        <v>170</v>
      </c>
      <c r="MY28" s="44">
        <v>132</v>
      </c>
      <c r="MZ28" s="43"/>
      <c r="NA28" s="42">
        <v>0</v>
      </c>
      <c r="NB28" s="47">
        <v>0</v>
      </c>
      <c r="NC28" s="47">
        <v>0</v>
      </c>
      <c r="ND28" s="47">
        <v>0</v>
      </c>
      <c r="NE28" s="44">
        <v>0</v>
      </c>
      <c r="NF28" s="43"/>
      <c r="NG28" s="42">
        <v>96</v>
      </c>
      <c r="NH28" s="47">
        <v>100</v>
      </c>
      <c r="NI28" s="47">
        <v>200</v>
      </c>
      <c r="NJ28" s="47">
        <v>200</v>
      </c>
      <c r="NK28" s="44">
        <v>-4</v>
      </c>
      <c r="NL28" s="43"/>
      <c r="NM28" s="42">
        <v>376</v>
      </c>
      <c r="NN28" s="47">
        <v>380</v>
      </c>
      <c r="NO28" s="47">
        <v>360</v>
      </c>
      <c r="NP28" s="47">
        <v>363</v>
      </c>
      <c r="NQ28" s="44">
        <v>-7</v>
      </c>
      <c r="NR28" s="43"/>
      <c r="NS28" s="42">
        <v>32</v>
      </c>
      <c r="NT28" s="47">
        <v>30</v>
      </c>
      <c r="NU28" s="47">
        <v>0</v>
      </c>
      <c r="NV28" s="47">
        <v>0</v>
      </c>
      <c r="NW28" s="44">
        <v>2</v>
      </c>
      <c r="NX28" s="43"/>
      <c r="NY28" s="42">
        <v>296</v>
      </c>
      <c r="NZ28" s="47">
        <v>300</v>
      </c>
      <c r="OA28" s="47">
        <v>256</v>
      </c>
      <c r="OB28" s="47">
        <v>300</v>
      </c>
      <c r="OC28" s="46">
        <v>-48</v>
      </c>
      <c r="OD28" s="43">
        <v>12</v>
      </c>
      <c r="OE28" s="42">
        <v>152</v>
      </c>
      <c r="OF28" s="47">
        <v>150</v>
      </c>
      <c r="OG28" s="47">
        <v>96</v>
      </c>
      <c r="OH28" s="47">
        <v>100</v>
      </c>
      <c r="OI28" s="44">
        <v>-2</v>
      </c>
      <c r="OJ28" s="43"/>
      <c r="OK28" s="42">
        <v>176</v>
      </c>
      <c r="OL28" s="47">
        <v>180</v>
      </c>
      <c r="OM28" s="47">
        <v>168</v>
      </c>
      <c r="ON28" s="47">
        <v>170</v>
      </c>
      <c r="OO28" s="44">
        <v>-6</v>
      </c>
      <c r="OP28" s="43"/>
      <c r="OQ28" s="42">
        <v>216</v>
      </c>
      <c r="OR28" s="47">
        <v>220</v>
      </c>
      <c r="OS28" s="47">
        <v>128</v>
      </c>
      <c r="OT28" s="47">
        <v>130</v>
      </c>
      <c r="OU28" s="44">
        <v>-6</v>
      </c>
      <c r="OV28" s="43"/>
      <c r="OW28" s="42">
        <v>168</v>
      </c>
      <c r="OX28" s="47">
        <v>150</v>
      </c>
      <c r="OY28" s="47">
        <v>152</v>
      </c>
      <c r="OZ28" s="47">
        <v>150</v>
      </c>
      <c r="PA28" s="44">
        <v>20</v>
      </c>
      <c r="PB28" s="43"/>
      <c r="PC28" s="42">
        <v>120</v>
      </c>
      <c r="PD28" s="47">
        <v>120</v>
      </c>
      <c r="PE28" s="47">
        <v>136</v>
      </c>
      <c r="PF28" s="47">
        <v>140</v>
      </c>
      <c r="PG28" s="44">
        <v>-4</v>
      </c>
      <c r="PH28" s="43"/>
      <c r="PI28" s="42">
        <v>0</v>
      </c>
      <c r="PJ28" s="47">
        <v>0</v>
      </c>
      <c r="PK28" s="47">
        <v>0</v>
      </c>
      <c r="PL28" s="47">
        <v>0</v>
      </c>
      <c r="PM28" s="44">
        <v>0</v>
      </c>
      <c r="PN28" s="43"/>
      <c r="PO28" s="42">
        <v>96</v>
      </c>
      <c r="PP28" s="47">
        <v>100</v>
      </c>
      <c r="PQ28" s="47">
        <v>96</v>
      </c>
      <c r="PR28" s="47">
        <v>100</v>
      </c>
      <c r="PS28" s="44">
        <v>-8</v>
      </c>
      <c r="PT28" s="43"/>
      <c r="PU28" s="42">
        <v>0</v>
      </c>
      <c r="PV28" s="47">
        <v>0</v>
      </c>
      <c r="PW28" s="47">
        <v>288</v>
      </c>
      <c r="PX28" s="47">
        <v>291</v>
      </c>
      <c r="PY28" s="44">
        <v>-3</v>
      </c>
      <c r="PZ28" s="43"/>
      <c r="QA28" s="42">
        <v>0</v>
      </c>
      <c r="QB28" s="47">
        <v>0</v>
      </c>
      <c r="QC28" s="44">
        <v>0</v>
      </c>
      <c r="QD28" s="43"/>
      <c r="QE28" s="42">
        <v>96</v>
      </c>
      <c r="QF28" s="47">
        <v>100</v>
      </c>
      <c r="QG28" s="44">
        <v>-4</v>
      </c>
      <c r="QH28" s="43"/>
      <c r="QI28" s="42">
        <v>520</v>
      </c>
      <c r="QJ28" s="47">
        <v>519</v>
      </c>
      <c r="QK28" s="44">
        <v>1</v>
      </c>
      <c r="QL28" s="43"/>
      <c r="QM28" s="42">
        <v>48</v>
      </c>
      <c r="QN28" s="47">
        <v>50</v>
      </c>
      <c r="QO28" s="47">
        <v>96</v>
      </c>
      <c r="QP28" s="47">
        <v>100</v>
      </c>
      <c r="QQ28" s="44">
        <v>-6</v>
      </c>
      <c r="QR28" s="43"/>
      <c r="QS28" s="42">
        <v>0</v>
      </c>
      <c r="QT28" s="47">
        <v>0</v>
      </c>
      <c r="QU28" s="44">
        <v>0</v>
      </c>
      <c r="QV28" s="43"/>
      <c r="QW28" s="42">
        <v>304</v>
      </c>
      <c r="QX28" s="47">
        <v>303</v>
      </c>
      <c r="QY28" s="44">
        <v>1</v>
      </c>
      <c r="QZ28" s="43"/>
    </row>
    <row r="29" spans="1:468" x14ac:dyDescent="0.25">
      <c r="A29" s="47" t="s">
        <v>313</v>
      </c>
      <c r="B29" s="38">
        <v>0.25</v>
      </c>
      <c r="I29">
        <v>40</v>
      </c>
      <c r="N29" s="39"/>
      <c r="O29" s="48"/>
      <c r="P29" s="48"/>
      <c r="Q29" s="49">
        <v>27</v>
      </c>
      <c r="R29" s="53">
        <f t="shared" si="8"/>
        <v>-27</v>
      </c>
      <c r="S29" s="40">
        <f t="shared" si="11"/>
        <v>6.75</v>
      </c>
      <c r="T29" s="39"/>
      <c r="U29" s="49">
        <v>43</v>
      </c>
      <c r="V29" s="53">
        <f t="shared" si="9"/>
        <v>-43</v>
      </c>
      <c r="W29" s="40">
        <f>-1*V29*B29</f>
        <v>10.75</v>
      </c>
      <c r="X29" s="39"/>
      <c r="Y29" s="48"/>
      <c r="Z29" s="48"/>
      <c r="AA29" s="48"/>
      <c r="AB29" s="48">
        <f t="shared" si="10"/>
        <v>0</v>
      </c>
      <c r="AC29" s="40"/>
      <c r="AD29" s="48"/>
      <c r="AH29" s="44">
        <v>0</v>
      </c>
      <c r="AI29" s="40"/>
      <c r="AJ29">
        <v>72</v>
      </c>
      <c r="AK29">
        <v>70</v>
      </c>
      <c r="AM29">
        <v>80</v>
      </c>
      <c r="AN29" s="46">
        <v>-78</v>
      </c>
      <c r="AO29" s="40">
        <v>19.5</v>
      </c>
      <c r="AT29" s="44">
        <v>0</v>
      </c>
      <c r="AU29" s="40"/>
      <c r="AV29" s="39"/>
      <c r="AX29" s="44">
        <v>0</v>
      </c>
      <c r="AY29" s="40"/>
      <c r="AZ29" s="41">
        <v>48</v>
      </c>
      <c r="BA29">
        <v>48</v>
      </c>
      <c r="BB29" s="44">
        <v>0</v>
      </c>
      <c r="BC29" s="40"/>
      <c r="BH29" s="44">
        <v>0</v>
      </c>
      <c r="BI29" s="40"/>
      <c r="BK29">
        <v>84</v>
      </c>
      <c r="BL29" s="46">
        <v>-84</v>
      </c>
      <c r="BM29" s="40">
        <v>21</v>
      </c>
      <c r="BN29" s="39"/>
      <c r="BQ29">
        <v>50</v>
      </c>
      <c r="BR29" s="46">
        <v>-50</v>
      </c>
      <c r="BS29" s="40">
        <v>12.5</v>
      </c>
      <c r="BT29" s="44">
        <v>48</v>
      </c>
      <c r="BU29">
        <v>50</v>
      </c>
      <c r="BV29" s="44">
        <v>-2</v>
      </c>
      <c r="BW29" s="40"/>
      <c r="BX29" s="39"/>
      <c r="BY29">
        <v>25</v>
      </c>
      <c r="BZ29" s="46">
        <v>-25</v>
      </c>
      <c r="CA29" s="40">
        <v>6.25</v>
      </c>
      <c r="CB29" s="39"/>
      <c r="CC29">
        <v>50</v>
      </c>
      <c r="CE29" s="47"/>
      <c r="CH29" s="46">
        <v>-50</v>
      </c>
      <c r="CI29" s="40">
        <v>12.5</v>
      </c>
      <c r="CK29" s="47"/>
      <c r="CM29" s="47"/>
      <c r="CN29" s="44">
        <v>0</v>
      </c>
      <c r="CO29" s="40"/>
      <c r="CP29" s="39"/>
      <c r="CQ29" s="47"/>
      <c r="CT29" s="44">
        <v>0</v>
      </c>
      <c r="CU29" s="40"/>
      <c r="CV29" s="42"/>
      <c r="CZ29" s="44">
        <v>0</v>
      </c>
      <c r="DA29" s="40"/>
      <c r="DB29" s="42"/>
      <c r="DF29" s="44">
        <v>0</v>
      </c>
      <c r="DG29" s="40"/>
      <c r="DO29" s="40"/>
      <c r="DP29" s="41"/>
      <c r="DS29" s="40"/>
      <c r="DT29" s="39"/>
      <c r="DY29" s="40"/>
      <c r="DZ29" s="39"/>
      <c r="EC29" s="40"/>
      <c r="EL29" s="40"/>
      <c r="ET29" s="40"/>
      <c r="EU29" s="41"/>
      <c r="EZ29" s="40"/>
      <c r="FA29" s="39"/>
      <c r="FE29" s="40"/>
      <c r="FI29" s="40"/>
      <c r="FJ29" s="41"/>
      <c r="FR29" s="40"/>
      <c r="FX29" s="40"/>
      <c r="FY29" s="39"/>
      <c r="GD29" s="40"/>
      <c r="GJ29" s="40"/>
      <c r="GN29" s="40"/>
      <c r="GO29" s="41"/>
      <c r="GR29" s="40"/>
      <c r="GY29" s="40"/>
      <c r="HE29" s="40"/>
      <c r="HF29" s="39"/>
      <c r="HK29" s="40"/>
      <c r="HL29" s="41"/>
      <c r="HQ29" s="40"/>
      <c r="HW29" s="43"/>
      <c r="IC29" s="43"/>
      <c r="II29" s="43"/>
      <c r="IO29" s="40"/>
      <c r="IS29" s="40"/>
      <c r="IY29" s="43"/>
      <c r="JC29" s="40"/>
      <c r="JI29" s="40"/>
      <c r="JO29" s="43"/>
      <c r="JU29" s="43"/>
      <c r="KA29" s="43"/>
      <c r="KB29" s="41"/>
      <c r="KJ29" s="43"/>
      <c r="KP29" s="43"/>
      <c r="KV29" s="43"/>
      <c r="KW29" s="42"/>
      <c r="KZ29" s="43"/>
      <c r="LA29" s="42"/>
      <c r="LE29" s="44"/>
      <c r="LF29" s="43"/>
      <c r="LG29" s="42"/>
      <c r="LL29" s="43"/>
      <c r="LM29" s="42"/>
      <c r="LO29" s="44"/>
      <c r="LP29" s="43"/>
      <c r="LQ29" s="42"/>
      <c r="LU29" s="44"/>
      <c r="LV29" s="43"/>
      <c r="LW29" s="42"/>
      <c r="MA29" s="44"/>
      <c r="MB29" s="43"/>
      <c r="MC29" s="42"/>
      <c r="MG29" s="44"/>
      <c r="MH29" s="43"/>
      <c r="MI29" s="42"/>
      <c r="MM29" s="44"/>
      <c r="MN29" s="43"/>
      <c r="MO29" s="42"/>
      <c r="MS29" s="44"/>
      <c r="MT29" s="43"/>
      <c r="MU29" s="42"/>
      <c r="MY29" s="44"/>
      <c r="MZ29" s="43"/>
      <c r="NA29" s="42"/>
      <c r="NE29" s="44"/>
      <c r="NF29" s="43"/>
      <c r="NG29" s="42"/>
      <c r="NK29" s="44"/>
      <c r="NL29" s="43"/>
      <c r="NM29" s="42"/>
      <c r="NQ29" s="44"/>
      <c r="NR29" s="43"/>
      <c r="NS29" s="42"/>
      <c r="NW29" s="44"/>
      <c r="NX29" s="43"/>
      <c r="NY29" s="42"/>
      <c r="OC29" s="44"/>
      <c r="OD29" s="43"/>
      <c r="OE29" s="42"/>
      <c r="OI29" s="44"/>
      <c r="OJ29" s="43"/>
      <c r="OK29" s="42"/>
      <c r="OO29" s="44"/>
      <c r="OP29" s="43"/>
      <c r="OQ29" s="42"/>
      <c r="OU29" s="44"/>
      <c r="OV29" s="43"/>
      <c r="OW29" s="42"/>
      <c r="PA29" s="44"/>
      <c r="PB29" s="43"/>
      <c r="PC29" s="42"/>
      <c r="PG29" s="44"/>
      <c r="PH29" s="43"/>
      <c r="PI29" s="42"/>
      <c r="PM29" s="44"/>
      <c r="PN29" s="43"/>
      <c r="PO29" s="42"/>
      <c r="PS29" s="44"/>
      <c r="PT29" s="43"/>
      <c r="PU29" s="42"/>
      <c r="PY29" s="44"/>
      <c r="PZ29" s="43"/>
      <c r="QA29" s="42"/>
      <c r="QC29" s="44"/>
      <c r="QD29" s="43"/>
      <c r="QE29" s="42"/>
      <c r="QG29" s="44"/>
      <c r="QH29" s="43"/>
      <c r="QI29" s="42"/>
      <c r="QK29" s="44"/>
      <c r="QL29" s="43"/>
      <c r="QM29" s="42"/>
      <c r="QQ29" s="44"/>
      <c r="QR29" s="43"/>
      <c r="QS29" s="42"/>
      <c r="QU29" s="44"/>
      <c r="QV29" s="43"/>
      <c r="QW29" s="42"/>
      <c r="QY29" s="44"/>
      <c r="QZ29" s="43"/>
    </row>
    <row r="30" spans="1:468" x14ac:dyDescent="0.25">
      <c r="A30" s="47" t="s">
        <v>314</v>
      </c>
      <c r="B30" s="38">
        <v>1</v>
      </c>
      <c r="J30">
        <v>20</v>
      </c>
      <c r="K30">
        <v>21</v>
      </c>
      <c r="N30" s="39"/>
      <c r="O30" s="48"/>
      <c r="P30" s="48"/>
      <c r="Q30" s="48"/>
      <c r="R30" s="48">
        <f t="shared" si="8"/>
        <v>0</v>
      </c>
      <c r="S30" s="40"/>
      <c r="T30" s="39"/>
      <c r="U30" s="49">
        <v>4</v>
      </c>
      <c r="V30" s="53">
        <f t="shared" si="9"/>
        <v>-4</v>
      </c>
      <c r="W30" s="40">
        <f>-1*V30*B30</f>
        <v>4</v>
      </c>
      <c r="X30" s="39"/>
      <c r="Y30" s="48"/>
      <c r="Z30" s="48"/>
      <c r="AA30" s="48"/>
      <c r="AB30" s="48">
        <f t="shared" si="10"/>
        <v>0</v>
      </c>
      <c r="AC30" s="40"/>
      <c r="AD30" s="48"/>
      <c r="AH30" s="44">
        <v>0</v>
      </c>
      <c r="AI30" s="40"/>
      <c r="AN30" s="44">
        <v>0</v>
      </c>
      <c r="AO30" s="40"/>
      <c r="AT30" s="44">
        <v>0</v>
      </c>
      <c r="AU30" s="40"/>
      <c r="AV30" s="39"/>
      <c r="AX30" s="44">
        <v>0</v>
      </c>
      <c r="AY30" s="40"/>
      <c r="AZ30" s="39"/>
      <c r="BB30" s="44">
        <v>0</v>
      </c>
      <c r="BC30" s="40"/>
      <c r="BH30" s="44">
        <v>0</v>
      </c>
      <c r="BI30" s="40"/>
      <c r="BL30" s="44">
        <v>0</v>
      </c>
      <c r="BM30" s="40"/>
      <c r="BN30" s="39"/>
      <c r="BP30">
        <v>33</v>
      </c>
      <c r="BQ30">
        <v>30</v>
      </c>
      <c r="BR30" s="44">
        <v>3</v>
      </c>
      <c r="BS30" s="40"/>
      <c r="BT30">
        <v>32</v>
      </c>
      <c r="BU30">
        <v>30</v>
      </c>
      <c r="BV30" s="44">
        <v>2</v>
      </c>
      <c r="BW30" s="40"/>
      <c r="BX30" s="39"/>
      <c r="BZ30" s="44">
        <v>0</v>
      </c>
      <c r="CA30" s="40"/>
      <c r="CB30" s="39"/>
      <c r="CD30">
        <v>12</v>
      </c>
      <c r="CG30">
        <v>10</v>
      </c>
      <c r="CH30" s="44">
        <v>2</v>
      </c>
      <c r="CI30" s="40"/>
      <c r="CL30">
        <v>37</v>
      </c>
      <c r="CM30">
        <v>34</v>
      </c>
      <c r="CN30" s="44">
        <v>3</v>
      </c>
      <c r="CO30" s="40"/>
      <c r="CP30" s="39"/>
      <c r="CT30" s="44">
        <v>0</v>
      </c>
      <c r="CU30" s="40"/>
      <c r="CV30" s="39"/>
      <c r="CZ30" s="44">
        <v>0</v>
      </c>
      <c r="DA30" s="40"/>
      <c r="DB30" s="39"/>
      <c r="DD30">
        <v>8</v>
      </c>
      <c r="DE30">
        <v>8</v>
      </c>
      <c r="DF30" s="44">
        <v>0</v>
      </c>
      <c r="DG30" s="40"/>
      <c r="DJ30">
        <v>40</v>
      </c>
      <c r="DK30">
        <v>40</v>
      </c>
      <c r="DN30" s="44">
        <v>0</v>
      </c>
      <c r="DO30" s="40"/>
      <c r="DP30" s="39"/>
      <c r="DR30" s="44">
        <v>0</v>
      </c>
      <c r="DS30" s="40"/>
      <c r="DT30" s="39"/>
      <c r="DX30" s="44">
        <v>0</v>
      </c>
      <c r="DY30" s="40"/>
      <c r="DZ30" s="39"/>
      <c r="EB30" s="44">
        <v>0</v>
      </c>
      <c r="EC30" s="40"/>
      <c r="EI30">
        <v>12</v>
      </c>
      <c r="EJ30">
        <v>12</v>
      </c>
      <c r="EK30" s="44">
        <v>0</v>
      </c>
      <c r="EL30" s="40"/>
      <c r="ES30" s="44">
        <v>0</v>
      </c>
      <c r="ET30" s="40"/>
      <c r="EU30" s="39"/>
      <c r="EW30">
        <v>20</v>
      </c>
      <c r="EX30">
        <v>19</v>
      </c>
      <c r="EY30" s="44">
        <v>1</v>
      </c>
      <c r="EZ30" s="40"/>
      <c r="FA30" s="39"/>
      <c r="FD30" s="44">
        <v>0</v>
      </c>
      <c r="FE30" s="40"/>
      <c r="FH30" s="44">
        <v>0</v>
      </c>
      <c r="FI30" s="40"/>
      <c r="FJ30" s="39"/>
      <c r="FO30">
        <v>20</v>
      </c>
      <c r="FP30">
        <v>20</v>
      </c>
      <c r="FQ30" s="44">
        <v>0</v>
      </c>
      <c r="FR30" s="40"/>
      <c r="FW30" s="44">
        <v>0</v>
      </c>
      <c r="FX30" s="40"/>
      <c r="FY30" s="39"/>
      <c r="GA30">
        <v>12</v>
      </c>
      <c r="GB30">
        <v>13</v>
      </c>
      <c r="GC30" s="44">
        <v>-1</v>
      </c>
      <c r="GD30" s="40"/>
      <c r="GG30">
        <v>24</v>
      </c>
      <c r="GH30">
        <v>22</v>
      </c>
      <c r="GI30" s="44">
        <v>2</v>
      </c>
      <c r="GJ30" s="40"/>
      <c r="GK30">
        <v>8</v>
      </c>
      <c r="GL30" s="47">
        <v>6</v>
      </c>
      <c r="GM30" s="44">
        <v>2</v>
      </c>
      <c r="GN30" s="40"/>
      <c r="GO30" s="41">
        <v>8</v>
      </c>
      <c r="GP30">
        <v>9</v>
      </c>
      <c r="GQ30" s="44">
        <v>-1</v>
      </c>
      <c r="GR30" s="40"/>
      <c r="GX30" s="44">
        <v>0</v>
      </c>
      <c r="GY30" s="40"/>
      <c r="HD30" s="44">
        <v>0</v>
      </c>
      <c r="HE30" s="40"/>
      <c r="HF30" s="39"/>
      <c r="HJ30" s="44">
        <v>0</v>
      </c>
      <c r="HK30" s="40"/>
      <c r="HL30" s="39"/>
      <c r="HP30" s="44">
        <v>0</v>
      </c>
      <c r="HQ30" s="40"/>
      <c r="HV30" s="44">
        <v>0</v>
      </c>
      <c r="HW30" s="43"/>
      <c r="IB30" s="44">
        <v>0</v>
      </c>
      <c r="IC30" s="43"/>
      <c r="ID30">
        <v>20</v>
      </c>
      <c r="IE30">
        <v>20</v>
      </c>
      <c r="IF30">
        <v>20</v>
      </c>
      <c r="IG30">
        <v>20</v>
      </c>
      <c r="IH30" s="44">
        <v>0</v>
      </c>
      <c r="II30" s="43"/>
      <c r="IL30">
        <v>23</v>
      </c>
      <c r="IM30">
        <v>25</v>
      </c>
      <c r="IN30" s="44">
        <v>-2</v>
      </c>
      <c r="IO30" s="40"/>
      <c r="IR30" s="44">
        <v>0</v>
      </c>
      <c r="IS30" s="40"/>
      <c r="IV30">
        <v>32</v>
      </c>
      <c r="IW30">
        <v>30</v>
      </c>
      <c r="IX30" s="44">
        <v>2</v>
      </c>
      <c r="IY30" s="43"/>
      <c r="IZ30">
        <v>32</v>
      </c>
      <c r="JA30" s="47">
        <v>30</v>
      </c>
      <c r="JB30" s="44">
        <v>2</v>
      </c>
      <c r="JC30" s="40"/>
      <c r="JF30">
        <v>24</v>
      </c>
      <c r="JG30">
        <v>25</v>
      </c>
      <c r="JH30" s="44">
        <v>-1</v>
      </c>
      <c r="JI30" s="40"/>
      <c r="JJ30">
        <v>20</v>
      </c>
      <c r="JK30">
        <v>20</v>
      </c>
      <c r="JN30" s="44">
        <v>0</v>
      </c>
      <c r="JO30" s="43"/>
      <c r="JT30" s="44">
        <v>0</v>
      </c>
      <c r="JU30" s="43"/>
      <c r="JV30">
        <v>33</v>
      </c>
      <c r="JW30">
        <v>30</v>
      </c>
      <c r="JZ30" s="44">
        <v>3</v>
      </c>
      <c r="KA30" s="43"/>
      <c r="KB30" s="41">
        <v>20</v>
      </c>
      <c r="KC30">
        <v>20</v>
      </c>
      <c r="KE30">
        <v>20</v>
      </c>
      <c r="KF30">
        <v>20</v>
      </c>
      <c r="KG30">
        <v>16</v>
      </c>
      <c r="KH30">
        <v>20</v>
      </c>
      <c r="KI30" s="44">
        <v>-4</v>
      </c>
      <c r="KJ30" s="43"/>
      <c r="KK30" s="47">
        <v>0</v>
      </c>
      <c r="KL30" s="47">
        <v>0</v>
      </c>
      <c r="KM30" s="47">
        <v>0</v>
      </c>
      <c r="KN30" s="47">
        <v>0</v>
      </c>
      <c r="KO30" s="44">
        <v>0</v>
      </c>
      <c r="KP30" s="43"/>
      <c r="KQ30" s="47">
        <v>0</v>
      </c>
      <c r="KR30" s="47">
        <v>0</v>
      </c>
      <c r="KS30" s="47">
        <v>0</v>
      </c>
      <c r="KT30" s="47">
        <v>0</v>
      </c>
      <c r="KU30" s="44">
        <v>0</v>
      </c>
      <c r="KV30" s="43"/>
      <c r="KW30" s="42">
        <v>19.709</v>
      </c>
      <c r="KX30" s="47">
        <v>20</v>
      </c>
      <c r="KY30" s="44">
        <v>-0.29100000000000042</v>
      </c>
      <c r="KZ30" s="43"/>
      <c r="LA30" s="42">
        <v>0</v>
      </c>
      <c r="LB30" s="47">
        <v>0</v>
      </c>
      <c r="LC30" s="47">
        <v>11.802</v>
      </c>
      <c r="LD30" s="47">
        <v>10</v>
      </c>
      <c r="LE30" s="44">
        <v>1.802</v>
      </c>
      <c r="LF30" s="43"/>
      <c r="LG30" s="42">
        <v>0</v>
      </c>
      <c r="LH30" s="47">
        <v>0</v>
      </c>
      <c r="LI30" s="47">
        <v>0</v>
      </c>
      <c r="LJ30" s="47">
        <v>0</v>
      </c>
      <c r="LK30" s="44">
        <v>0</v>
      </c>
      <c r="LL30" s="43"/>
      <c r="LM30" s="42">
        <v>0</v>
      </c>
      <c r="LN30" s="47">
        <v>0</v>
      </c>
      <c r="LO30" s="44">
        <v>0</v>
      </c>
      <c r="LP30" s="43"/>
      <c r="LQ30" s="42">
        <v>0</v>
      </c>
      <c r="LR30" s="47">
        <v>0</v>
      </c>
      <c r="LS30" s="47">
        <v>0</v>
      </c>
      <c r="LT30" s="47">
        <v>0</v>
      </c>
      <c r="LU30" s="44">
        <v>0</v>
      </c>
      <c r="LV30" s="43"/>
      <c r="LW30" s="42">
        <v>0</v>
      </c>
      <c r="LX30" s="47">
        <v>0</v>
      </c>
      <c r="LY30" s="47">
        <v>0</v>
      </c>
      <c r="LZ30" s="47">
        <v>0</v>
      </c>
      <c r="MA30" s="44">
        <v>0</v>
      </c>
      <c r="MB30" s="43"/>
      <c r="MC30" s="42">
        <v>0</v>
      </c>
      <c r="MD30" s="47">
        <v>0</v>
      </c>
      <c r="ME30" s="47">
        <v>0</v>
      </c>
      <c r="MF30" s="47">
        <v>0</v>
      </c>
      <c r="MG30" s="44">
        <v>0</v>
      </c>
      <c r="MH30" s="43"/>
      <c r="MI30" s="42">
        <v>0</v>
      </c>
      <c r="MJ30" s="47">
        <v>0</v>
      </c>
      <c r="MK30" s="47">
        <v>51.673000000000002</v>
      </c>
      <c r="ML30" s="47">
        <v>50</v>
      </c>
      <c r="MM30" s="44">
        <v>1.673000000000002</v>
      </c>
      <c r="MN30" s="43"/>
      <c r="MO30" s="42">
        <v>0</v>
      </c>
      <c r="MP30" s="47">
        <v>0</v>
      </c>
      <c r="MQ30" s="47">
        <v>0</v>
      </c>
      <c r="MR30" s="47">
        <v>0</v>
      </c>
      <c r="MS30" s="44">
        <v>0</v>
      </c>
      <c r="MT30" s="43"/>
      <c r="MU30" s="42">
        <v>0</v>
      </c>
      <c r="MV30" s="26">
        <v>10</v>
      </c>
      <c r="MW30" s="47">
        <v>0</v>
      </c>
      <c r="MX30" s="47">
        <v>0</v>
      </c>
      <c r="MY30" s="46">
        <v>-10</v>
      </c>
      <c r="MZ30" s="43">
        <v>10</v>
      </c>
      <c r="NA30" s="42">
        <v>0</v>
      </c>
      <c r="NB30" s="47">
        <v>0</v>
      </c>
      <c r="NC30" s="47">
        <v>32.654000000000003</v>
      </c>
      <c r="ND30" s="47">
        <v>30</v>
      </c>
      <c r="NE30" s="44">
        <v>2.654000000000003</v>
      </c>
      <c r="NF30" s="43"/>
      <c r="NG30" s="42">
        <v>0</v>
      </c>
      <c r="NH30" s="47">
        <v>0</v>
      </c>
      <c r="NI30" s="47">
        <v>0</v>
      </c>
      <c r="NJ30" s="47">
        <v>0</v>
      </c>
      <c r="NK30" s="44">
        <v>0</v>
      </c>
      <c r="NL30" s="43"/>
      <c r="NM30" s="42">
        <v>0</v>
      </c>
      <c r="NN30" s="47">
        <v>0</v>
      </c>
      <c r="NO30" s="47">
        <v>3.9489999999999998</v>
      </c>
      <c r="NP30" s="47">
        <v>70</v>
      </c>
      <c r="NQ30" s="46">
        <v>-66.051000000000002</v>
      </c>
      <c r="NR30" s="43">
        <v>66.051000000000002</v>
      </c>
      <c r="NS30" s="42">
        <v>61.055</v>
      </c>
      <c r="NT30" s="47">
        <v>60</v>
      </c>
      <c r="NU30" s="47">
        <v>0</v>
      </c>
      <c r="NV30" s="47">
        <v>0</v>
      </c>
      <c r="NW30" s="44">
        <v>1.0549999999999999</v>
      </c>
      <c r="NX30" s="43"/>
      <c r="NY30" s="42">
        <v>0</v>
      </c>
      <c r="NZ30" s="47">
        <v>0</v>
      </c>
      <c r="OA30" s="47">
        <v>0</v>
      </c>
      <c r="OB30" s="47">
        <v>0</v>
      </c>
      <c r="OC30" s="44">
        <v>0</v>
      </c>
      <c r="OD30" s="43"/>
      <c r="OE30" s="42">
        <v>0</v>
      </c>
      <c r="OF30" s="47">
        <v>0</v>
      </c>
      <c r="OG30" s="47">
        <v>40.579000000000001</v>
      </c>
      <c r="OH30" s="47">
        <v>40</v>
      </c>
      <c r="OI30" s="44">
        <v>0.57900000000000063</v>
      </c>
      <c r="OJ30" s="43"/>
      <c r="OK30" s="42">
        <v>0</v>
      </c>
      <c r="OL30" s="47">
        <v>0</v>
      </c>
      <c r="OM30" s="47">
        <v>11.651999999999999</v>
      </c>
      <c r="ON30" s="47">
        <v>10</v>
      </c>
      <c r="OO30" s="44">
        <v>1.651999999999999</v>
      </c>
      <c r="OP30" s="43"/>
      <c r="OQ30" s="42">
        <v>45.329000000000001</v>
      </c>
      <c r="OR30" s="47">
        <v>40</v>
      </c>
      <c r="OS30" s="47">
        <v>40.604999999999997</v>
      </c>
      <c r="OT30" s="47">
        <v>40</v>
      </c>
      <c r="OU30" s="44">
        <v>5.9339999999999966</v>
      </c>
      <c r="OV30" s="43"/>
      <c r="OW30" s="42">
        <v>3.9889999999999999</v>
      </c>
      <c r="OX30" s="47">
        <v>0</v>
      </c>
      <c r="OY30" s="47">
        <v>15.881</v>
      </c>
      <c r="OZ30" s="47">
        <v>20</v>
      </c>
      <c r="PA30" s="44">
        <v>-0.12999999999999901</v>
      </c>
      <c r="PB30" s="43"/>
      <c r="PC30" s="42">
        <v>0</v>
      </c>
      <c r="PD30" s="47">
        <v>0</v>
      </c>
      <c r="PE30" s="47">
        <v>0</v>
      </c>
      <c r="PF30" s="47">
        <v>0</v>
      </c>
      <c r="PG30" s="44">
        <v>0</v>
      </c>
      <c r="PH30" s="43"/>
      <c r="PI30" s="42">
        <v>0</v>
      </c>
      <c r="PJ30" s="47">
        <v>0</v>
      </c>
      <c r="PK30" s="47">
        <v>0</v>
      </c>
      <c r="PL30" s="47">
        <v>0</v>
      </c>
      <c r="PM30" s="44">
        <v>0</v>
      </c>
      <c r="PN30" s="43"/>
      <c r="PO30" s="42">
        <v>52.807000000000002</v>
      </c>
      <c r="PP30" s="47">
        <v>50</v>
      </c>
      <c r="PQ30" s="47">
        <v>0</v>
      </c>
      <c r="PR30" s="47">
        <v>0</v>
      </c>
      <c r="PS30" s="44">
        <v>2.8070000000000022</v>
      </c>
      <c r="PT30" s="43"/>
      <c r="PU30" s="42">
        <v>0</v>
      </c>
      <c r="PV30" s="47">
        <v>0</v>
      </c>
      <c r="PW30" s="47">
        <v>27.710999999999999</v>
      </c>
      <c r="PX30" s="47">
        <v>26</v>
      </c>
      <c r="PY30" s="44">
        <v>1.710999999999999</v>
      </c>
      <c r="PZ30" s="43"/>
      <c r="QA30" s="42">
        <v>0</v>
      </c>
      <c r="QB30" s="47">
        <v>0</v>
      </c>
      <c r="QC30" s="44">
        <v>0</v>
      </c>
      <c r="QD30" s="43"/>
      <c r="QE30" s="42">
        <v>20.491</v>
      </c>
      <c r="QF30" s="47">
        <v>20</v>
      </c>
      <c r="QG30" s="44">
        <v>0.49099999999999971</v>
      </c>
      <c r="QH30" s="43"/>
      <c r="QI30" s="42">
        <v>32.14</v>
      </c>
      <c r="QJ30" s="47">
        <v>34</v>
      </c>
      <c r="QK30" s="44">
        <v>-1.859999999999999</v>
      </c>
      <c r="QL30" s="43"/>
      <c r="QM30" s="42">
        <v>0</v>
      </c>
      <c r="QN30" s="47">
        <v>0</v>
      </c>
      <c r="QO30" s="47">
        <v>0</v>
      </c>
      <c r="QP30" s="47">
        <v>0</v>
      </c>
      <c r="QQ30" s="44">
        <v>0</v>
      </c>
      <c r="QR30" s="43"/>
      <c r="QS30" s="42">
        <v>0</v>
      </c>
      <c r="QT30" s="47">
        <v>0</v>
      </c>
      <c r="QU30" s="44">
        <v>0</v>
      </c>
      <c r="QV30" s="43"/>
      <c r="QW30" s="42">
        <v>4.1500000000000004</v>
      </c>
      <c r="QX30" s="47">
        <v>10</v>
      </c>
      <c r="QY30" s="44">
        <v>-5.85</v>
      </c>
      <c r="QZ30" s="43"/>
    </row>
    <row r="31" spans="1:468" x14ac:dyDescent="0.25">
      <c r="A31" s="47" t="s">
        <v>315</v>
      </c>
      <c r="B31" s="38">
        <v>0.4</v>
      </c>
      <c r="I31">
        <v>80</v>
      </c>
      <c r="J31">
        <v>96</v>
      </c>
      <c r="K31">
        <v>100</v>
      </c>
      <c r="N31" s="41">
        <v>96</v>
      </c>
      <c r="O31" s="49">
        <v>100</v>
      </c>
      <c r="P31" s="49">
        <v>104</v>
      </c>
      <c r="Q31" s="49">
        <v>109</v>
      </c>
      <c r="R31" s="48">
        <f t="shared" si="8"/>
        <v>-9</v>
      </c>
      <c r="S31" s="40"/>
      <c r="T31" s="39"/>
      <c r="U31" s="48"/>
      <c r="V31" s="48">
        <f t="shared" si="9"/>
        <v>0</v>
      </c>
      <c r="W31" s="40"/>
      <c r="X31" s="41">
        <v>48</v>
      </c>
      <c r="Y31" s="49">
        <v>50</v>
      </c>
      <c r="Z31" s="48"/>
      <c r="AA31" s="48"/>
      <c r="AB31" s="48">
        <f t="shared" si="10"/>
        <v>-2</v>
      </c>
      <c r="AC31" s="40"/>
      <c r="AD31" s="49">
        <v>96</v>
      </c>
      <c r="AE31">
        <v>100</v>
      </c>
      <c r="AF31">
        <v>120</v>
      </c>
      <c r="AG31">
        <v>120</v>
      </c>
      <c r="AH31" s="44">
        <v>-4</v>
      </c>
      <c r="AI31" s="40"/>
      <c r="AK31">
        <v>30</v>
      </c>
      <c r="AL31">
        <v>16</v>
      </c>
      <c r="AM31">
        <v>20</v>
      </c>
      <c r="AN31" s="46">
        <v>-34</v>
      </c>
      <c r="AO31" s="40">
        <v>13.6</v>
      </c>
      <c r="AP31">
        <v>120</v>
      </c>
      <c r="AQ31">
        <v>120</v>
      </c>
      <c r="AR31">
        <v>128</v>
      </c>
      <c r="AS31">
        <v>130</v>
      </c>
      <c r="AT31" s="44">
        <v>-2</v>
      </c>
      <c r="AU31" s="40"/>
      <c r="AV31" s="39"/>
      <c r="AX31" s="44">
        <v>0</v>
      </c>
      <c r="AY31" s="40"/>
      <c r="AZ31" s="41">
        <v>176</v>
      </c>
      <c r="BA31">
        <v>180</v>
      </c>
      <c r="BB31" s="44">
        <v>-4</v>
      </c>
      <c r="BC31" s="40"/>
      <c r="BD31">
        <v>96</v>
      </c>
      <c r="BE31">
        <v>100</v>
      </c>
      <c r="BH31" s="44">
        <v>-4</v>
      </c>
      <c r="BI31" s="40"/>
      <c r="BJ31">
        <v>8</v>
      </c>
      <c r="BK31">
        <v>5</v>
      </c>
      <c r="BL31" s="44">
        <v>3</v>
      </c>
      <c r="BM31" s="40"/>
      <c r="BN31" s="39"/>
      <c r="BP31">
        <v>416</v>
      </c>
      <c r="BQ31">
        <v>420</v>
      </c>
      <c r="BR31" s="44">
        <v>-4</v>
      </c>
      <c r="BS31" s="40"/>
      <c r="BV31" s="44">
        <v>0</v>
      </c>
      <c r="BW31" s="40"/>
      <c r="BX31" s="39"/>
      <c r="BZ31" s="44">
        <v>0</v>
      </c>
      <c r="CA31" s="40"/>
      <c r="CB31" s="39"/>
      <c r="CD31">
        <v>240</v>
      </c>
      <c r="CG31">
        <v>240</v>
      </c>
      <c r="CH31" s="44">
        <v>0</v>
      </c>
      <c r="CI31" s="40"/>
      <c r="CJ31">
        <v>152</v>
      </c>
      <c r="CK31">
        <v>150</v>
      </c>
      <c r="CL31">
        <v>216</v>
      </c>
      <c r="CM31">
        <v>220</v>
      </c>
      <c r="CN31" s="44">
        <v>-2</v>
      </c>
      <c r="CO31" s="40"/>
      <c r="CP31" s="39"/>
      <c r="CR31">
        <v>48</v>
      </c>
      <c r="CS31">
        <v>50</v>
      </c>
      <c r="CT31" s="44">
        <v>-2</v>
      </c>
      <c r="CU31" s="40"/>
      <c r="CV31" s="39"/>
      <c r="CZ31" s="44">
        <v>0</v>
      </c>
      <c r="DA31" s="40"/>
      <c r="DB31" s="39"/>
      <c r="DD31">
        <v>32</v>
      </c>
      <c r="DE31">
        <v>30</v>
      </c>
      <c r="DF31" s="44">
        <v>2</v>
      </c>
      <c r="DG31" s="40"/>
      <c r="DH31">
        <v>96</v>
      </c>
      <c r="DI31">
        <v>100</v>
      </c>
      <c r="DJ31">
        <v>216</v>
      </c>
      <c r="DK31">
        <v>220</v>
      </c>
      <c r="DL31">
        <v>152</v>
      </c>
      <c r="DM31">
        <v>150</v>
      </c>
      <c r="DN31" s="44">
        <v>-6</v>
      </c>
      <c r="DO31" s="40"/>
      <c r="DP31" s="39"/>
      <c r="DR31" s="44">
        <v>0</v>
      </c>
      <c r="DS31" s="40"/>
      <c r="DT31" s="39"/>
      <c r="DX31" s="44">
        <v>0</v>
      </c>
      <c r="DY31" s="40"/>
      <c r="DZ31" s="39"/>
      <c r="EB31" s="44">
        <v>0</v>
      </c>
      <c r="EC31" s="40"/>
      <c r="ED31">
        <v>96</v>
      </c>
      <c r="EE31">
        <v>100</v>
      </c>
      <c r="EG31">
        <v>120</v>
      </c>
      <c r="EH31">
        <v>120</v>
      </c>
      <c r="EI31">
        <v>168</v>
      </c>
      <c r="EJ31">
        <v>170</v>
      </c>
      <c r="EK31" s="44">
        <v>-6</v>
      </c>
      <c r="EL31" s="40"/>
      <c r="ES31" s="44">
        <v>0</v>
      </c>
      <c r="ET31" s="40"/>
      <c r="EU31" s="41">
        <v>96</v>
      </c>
      <c r="EV31">
        <v>100</v>
      </c>
      <c r="EW31">
        <v>160</v>
      </c>
      <c r="EX31">
        <v>150</v>
      </c>
      <c r="EY31" s="44">
        <v>6</v>
      </c>
      <c r="EZ31" s="40"/>
      <c r="FA31" s="39"/>
      <c r="FD31" s="44">
        <v>0</v>
      </c>
      <c r="FE31" s="40"/>
      <c r="FH31" s="44">
        <v>0</v>
      </c>
      <c r="FI31" s="40"/>
      <c r="FJ31" s="41">
        <v>40</v>
      </c>
      <c r="FK31">
        <v>40</v>
      </c>
      <c r="FL31">
        <v>40</v>
      </c>
      <c r="FN31">
        <v>50</v>
      </c>
      <c r="FO31">
        <v>48</v>
      </c>
      <c r="FP31">
        <v>50</v>
      </c>
      <c r="FQ31" s="46">
        <v>-12</v>
      </c>
      <c r="FR31" s="40">
        <v>4.8000000000000007</v>
      </c>
      <c r="FS31">
        <v>72</v>
      </c>
      <c r="FT31">
        <v>70</v>
      </c>
      <c r="FU31">
        <v>96</v>
      </c>
      <c r="FV31">
        <v>100</v>
      </c>
      <c r="FW31" s="44">
        <v>-2</v>
      </c>
      <c r="FX31" s="40"/>
      <c r="FY31" s="39"/>
      <c r="GA31">
        <v>96</v>
      </c>
      <c r="GB31">
        <v>100</v>
      </c>
      <c r="GC31" s="44">
        <v>-4</v>
      </c>
      <c r="GD31" s="40"/>
      <c r="GE31">
        <v>120</v>
      </c>
      <c r="GF31">
        <v>120</v>
      </c>
      <c r="GG31">
        <v>136</v>
      </c>
      <c r="GH31">
        <v>140</v>
      </c>
      <c r="GI31" s="44">
        <v>-4</v>
      </c>
      <c r="GJ31" s="40"/>
      <c r="GK31">
        <v>176</v>
      </c>
      <c r="GL31" s="47">
        <v>180</v>
      </c>
      <c r="GM31" s="44">
        <v>-4</v>
      </c>
      <c r="GN31" s="40"/>
      <c r="GO31" s="41">
        <v>168</v>
      </c>
      <c r="GP31">
        <v>168</v>
      </c>
      <c r="GQ31" s="44">
        <v>0</v>
      </c>
      <c r="GR31" s="40"/>
      <c r="GV31">
        <v>176</v>
      </c>
      <c r="GW31">
        <v>180</v>
      </c>
      <c r="GX31" s="44">
        <v>-4</v>
      </c>
      <c r="GY31" s="40"/>
      <c r="GZ31">
        <v>88</v>
      </c>
      <c r="HA31">
        <v>90</v>
      </c>
      <c r="HB31">
        <v>32</v>
      </c>
      <c r="HC31">
        <v>30</v>
      </c>
      <c r="HD31" s="44">
        <v>0</v>
      </c>
      <c r="HE31" s="40"/>
      <c r="HF31" s="39"/>
      <c r="HH31">
        <v>56</v>
      </c>
      <c r="HI31">
        <v>60</v>
      </c>
      <c r="HJ31" s="44">
        <v>-4</v>
      </c>
      <c r="HK31" s="40"/>
      <c r="HL31" s="41">
        <v>120</v>
      </c>
      <c r="HM31">
        <v>120</v>
      </c>
      <c r="HN31">
        <v>96</v>
      </c>
      <c r="HO31">
        <v>100</v>
      </c>
      <c r="HP31" s="44">
        <v>-4</v>
      </c>
      <c r="HQ31" s="40"/>
      <c r="HR31">
        <v>96</v>
      </c>
      <c r="HS31">
        <v>100</v>
      </c>
      <c r="HT31">
        <v>120</v>
      </c>
      <c r="HU31">
        <v>120</v>
      </c>
      <c r="HV31" s="44">
        <v>-4</v>
      </c>
      <c r="HW31" s="43"/>
      <c r="HZ31">
        <v>72</v>
      </c>
      <c r="IA31">
        <v>70</v>
      </c>
      <c r="IB31" s="44">
        <v>2</v>
      </c>
      <c r="IC31" s="43"/>
      <c r="ID31">
        <v>96</v>
      </c>
      <c r="IE31">
        <v>100</v>
      </c>
      <c r="IF31">
        <v>96</v>
      </c>
      <c r="IG31">
        <v>100</v>
      </c>
      <c r="IH31" s="44">
        <v>-8</v>
      </c>
      <c r="II31" s="43"/>
      <c r="IL31">
        <v>120</v>
      </c>
      <c r="IM31">
        <v>130</v>
      </c>
      <c r="IN31" s="46">
        <v>-10</v>
      </c>
      <c r="IO31" s="40">
        <v>4</v>
      </c>
      <c r="IP31">
        <v>48</v>
      </c>
      <c r="IQ31">
        <v>51</v>
      </c>
      <c r="IR31" s="44">
        <v>-3</v>
      </c>
      <c r="IS31" s="40"/>
      <c r="IX31" s="44">
        <v>0</v>
      </c>
      <c r="IY31" s="43"/>
      <c r="IZ31">
        <v>40</v>
      </c>
      <c r="JA31" s="47">
        <v>40</v>
      </c>
      <c r="JB31" s="44">
        <v>0</v>
      </c>
      <c r="JC31" s="40"/>
      <c r="JF31">
        <v>208</v>
      </c>
      <c r="JG31">
        <v>206</v>
      </c>
      <c r="JH31" s="44">
        <v>2</v>
      </c>
      <c r="JI31" s="40"/>
      <c r="JN31" s="44">
        <v>0</v>
      </c>
      <c r="JO31" s="43"/>
      <c r="JP31">
        <v>96</v>
      </c>
      <c r="JQ31">
        <v>100</v>
      </c>
      <c r="JR31">
        <v>96</v>
      </c>
      <c r="JS31">
        <v>100</v>
      </c>
      <c r="JT31" s="44">
        <v>-8</v>
      </c>
      <c r="JU31" s="43"/>
      <c r="JZ31" s="44">
        <v>0</v>
      </c>
      <c r="KA31" s="43"/>
      <c r="KB31" s="42"/>
      <c r="KF31">
        <v>130</v>
      </c>
      <c r="KG31">
        <v>136</v>
      </c>
      <c r="KH31">
        <v>140</v>
      </c>
      <c r="KI31" s="46">
        <v>-134</v>
      </c>
      <c r="KJ31" s="43">
        <v>53.6</v>
      </c>
      <c r="KK31" s="47">
        <v>0</v>
      </c>
      <c r="KL31" s="47">
        <v>0</v>
      </c>
      <c r="KM31" s="47">
        <v>0</v>
      </c>
      <c r="KN31" s="47">
        <v>0</v>
      </c>
      <c r="KO31" s="44">
        <v>0</v>
      </c>
      <c r="KP31" s="43"/>
      <c r="KQ31" s="47">
        <v>0</v>
      </c>
      <c r="KR31" s="47">
        <v>0</v>
      </c>
      <c r="KS31" s="47">
        <v>80</v>
      </c>
      <c r="KT31" s="47">
        <v>80</v>
      </c>
      <c r="KU31" s="44">
        <v>0</v>
      </c>
      <c r="KV31" s="43"/>
      <c r="KW31" s="42">
        <v>0</v>
      </c>
      <c r="KX31" s="47">
        <v>0</v>
      </c>
      <c r="KY31" s="44">
        <v>0</v>
      </c>
      <c r="KZ31" s="43"/>
      <c r="LA31" s="42">
        <v>72</v>
      </c>
      <c r="LB31" s="47">
        <v>70</v>
      </c>
      <c r="LC31" s="47">
        <v>72</v>
      </c>
      <c r="LD31" s="47">
        <v>70</v>
      </c>
      <c r="LE31" s="44">
        <v>4</v>
      </c>
      <c r="LF31" s="43"/>
      <c r="LG31" s="42">
        <v>56</v>
      </c>
      <c r="LH31" s="47">
        <v>60</v>
      </c>
      <c r="LI31" s="47">
        <v>56</v>
      </c>
      <c r="LJ31" s="47">
        <v>60</v>
      </c>
      <c r="LK31" s="44">
        <v>-8</v>
      </c>
      <c r="LL31" s="43"/>
      <c r="LM31" s="42">
        <v>0</v>
      </c>
      <c r="LN31" s="47">
        <v>0</v>
      </c>
      <c r="LO31" s="44">
        <v>0</v>
      </c>
      <c r="LP31" s="43"/>
      <c r="LQ31" s="42">
        <v>0</v>
      </c>
      <c r="LR31" s="47">
        <v>0</v>
      </c>
      <c r="LS31" s="47">
        <v>0</v>
      </c>
      <c r="LT31" s="47">
        <v>0</v>
      </c>
      <c r="LU31" s="44">
        <v>0</v>
      </c>
      <c r="LV31" s="43"/>
      <c r="LW31" s="42">
        <v>0</v>
      </c>
      <c r="LX31" s="47">
        <v>0</v>
      </c>
      <c r="LY31" s="47">
        <v>352</v>
      </c>
      <c r="LZ31" s="47">
        <v>350</v>
      </c>
      <c r="MA31" s="44">
        <v>2</v>
      </c>
      <c r="MB31" s="43"/>
      <c r="MC31" s="42">
        <v>0</v>
      </c>
      <c r="MD31" s="47">
        <v>0</v>
      </c>
      <c r="ME31" s="47">
        <v>40</v>
      </c>
      <c r="MF31" s="47">
        <v>40</v>
      </c>
      <c r="MG31" s="44">
        <v>0</v>
      </c>
      <c r="MH31" s="43"/>
      <c r="MI31" s="42">
        <v>0</v>
      </c>
      <c r="MJ31" s="47">
        <v>0</v>
      </c>
      <c r="MK31" s="47">
        <v>32</v>
      </c>
      <c r="ML31" s="47">
        <v>30</v>
      </c>
      <c r="MM31" s="44">
        <v>2</v>
      </c>
      <c r="MN31" s="43"/>
      <c r="MO31" s="42">
        <v>48</v>
      </c>
      <c r="MP31" s="47">
        <v>50</v>
      </c>
      <c r="MQ31" s="47">
        <v>152</v>
      </c>
      <c r="MR31" s="47">
        <v>150</v>
      </c>
      <c r="MS31" s="44">
        <v>0</v>
      </c>
      <c r="MT31" s="43"/>
      <c r="MU31" s="22">
        <v>96</v>
      </c>
      <c r="MV31" s="47">
        <v>0</v>
      </c>
      <c r="MW31" s="47">
        <v>0</v>
      </c>
      <c r="MX31" s="47">
        <v>0</v>
      </c>
      <c r="MY31" s="44">
        <v>96</v>
      </c>
      <c r="MZ31" s="43"/>
      <c r="NA31" s="42">
        <v>0</v>
      </c>
      <c r="NB31" s="47">
        <v>0</v>
      </c>
      <c r="NC31" s="47">
        <v>48</v>
      </c>
      <c r="ND31" s="47">
        <v>50</v>
      </c>
      <c r="NE31" s="44">
        <v>-2</v>
      </c>
      <c r="NF31" s="43"/>
      <c r="NG31" s="42">
        <v>96</v>
      </c>
      <c r="NH31" s="47">
        <v>100</v>
      </c>
      <c r="NI31" s="47">
        <v>200</v>
      </c>
      <c r="NJ31" s="47">
        <v>200</v>
      </c>
      <c r="NK31" s="44">
        <v>-4</v>
      </c>
      <c r="NL31" s="43"/>
      <c r="NM31" s="42">
        <v>296</v>
      </c>
      <c r="NN31" s="47">
        <v>300</v>
      </c>
      <c r="NO31" s="47">
        <v>200</v>
      </c>
      <c r="NP31" s="47">
        <v>200</v>
      </c>
      <c r="NQ31" s="44">
        <v>-4</v>
      </c>
      <c r="NR31" s="43"/>
      <c r="NS31" s="42">
        <v>0</v>
      </c>
      <c r="NT31" s="26">
        <v>170</v>
      </c>
      <c r="NU31" s="47">
        <v>0</v>
      </c>
      <c r="NV31" s="47">
        <v>0</v>
      </c>
      <c r="NW31" s="46">
        <v>-170</v>
      </c>
      <c r="NX31" s="43">
        <v>68</v>
      </c>
      <c r="NY31" s="42">
        <v>0</v>
      </c>
      <c r="NZ31" s="47">
        <v>0</v>
      </c>
      <c r="OA31" s="47">
        <v>96</v>
      </c>
      <c r="OB31" s="47">
        <v>100</v>
      </c>
      <c r="OC31" s="44">
        <v>-4</v>
      </c>
      <c r="OD31" s="43"/>
      <c r="OE31" s="42">
        <v>216</v>
      </c>
      <c r="OF31" s="47">
        <v>220</v>
      </c>
      <c r="OG31" s="47">
        <v>176</v>
      </c>
      <c r="OH31" s="47">
        <v>180</v>
      </c>
      <c r="OI31" s="44">
        <v>-8</v>
      </c>
      <c r="OJ31" s="43"/>
      <c r="OK31" s="42">
        <v>248</v>
      </c>
      <c r="OL31" s="47">
        <v>250</v>
      </c>
      <c r="OM31" s="47">
        <v>216</v>
      </c>
      <c r="ON31" s="47">
        <v>220</v>
      </c>
      <c r="OO31" s="44">
        <v>-6</v>
      </c>
      <c r="OP31" s="43"/>
      <c r="OQ31" s="42">
        <v>48</v>
      </c>
      <c r="OR31" s="47">
        <v>50</v>
      </c>
      <c r="OS31" s="47">
        <v>72</v>
      </c>
      <c r="OT31" s="47">
        <v>70</v>
      </c>
      <c r="OU31" s="44">
        <v>0</v>
      </c>
      <c r="OV31" s="43"/>
      <c r="OW31" s="42">
        <v>0</v>
      </c>
      <c r="OX31" s="47">
        <v>0</v>
      </c>
      <c r="OY31" s="47">
        <v>48</v>
      </c>
      <c r="OZ31" s="47">
        <v>50</v>
      </c>
      <c r="PA31" s="44">
        <v>-2</v>
      </c>
      <c r="PB31" s="43"/>
      <c r="PC31" s="42">
        <v>296</v>
      </c>
      <c r="PD31" s="47">
        <v>300</v>
      </c>
      <c r="PE31" s="47">
        <v>288</v>
      </c>
      <c r="PF31" s="47">
        <v>300</v>
      </c>
      <c r="PG31" s="46">
        <v>-16</v>
      </c>
      <c r="PH31" s="43">
        <v>6.4</v>
      </c>
      <c r="PI31" s="42">
        <v>0</v>
      </c>
      <c r="PJ31" s="47">
        <v>0</v>
      </c>
      <c r="PK31" s="47">
        <v>88</v>
      </c>
      <c r="PL31" s="47">
        <v>90</v>
      </c>
      <c r="PM31" s="44">
        <v>-2</v>
      </c>
      <c r="PN31" s="43"/>
      <c r="PO31" s="42">
        <v>72</v>
      </c>
      <c r="PP31" s="47">
        <v>70</v>
      </c>
      <c r="PQ31" s="47">
        <v>80</v>
      </c>
      <c r="PR31" s="47">
        <v>80</v>
      </c>
      <c r="PS31" s="44">
        <v>2</v>
      </c>
      <c r="PT31" s="43"/>
      <c r="PU31" s="42">
        <v>0</v>
      </c>
      <c r="PV31" s="47">
        <v>0</v>
      </c>
      <c r="PW31" s="47">
        <v>296</v>
      </c>
      <c r="PX31" s="47">
        <v>300</v>
      </c>
      <c r="PY31" s="44">
        <v>-4</v>
      </c>
      <c r="PZ31" s="43"/>
      <c r="QA31" s="42">
        <v>0</v>
      </c>
      <c r="QB31" s="47">
        <v>0</v>
      </c>
      <c r="QC31" s="44">
        <v>0</v>
      </c>
      <c r="QD31" s="43"/>
      <c r="QE31" s="42">
        <v>0</v>
      </c>
      <c r="QF31" s="47">
        <v>0</v>
      </c>
      <c r="QG31" s="44">
        <v>0</v>
      </c>
      <c r="QH31" s="43"/>
      <c r="QI31" s="42">
        <v>168</v>
      </c>
      <c r="QJ31" s="47">
        <v>230</v>
      </c>
      <c r="QK31" s="46">
        <v>-62</v>
      </c>
      <c r="QL31" s="43">
        <v>24.8</v>
      </c>
      <c r="QM31" s="42">
        <v>96</v>
      </c>
      <c r="QN31" s="47">
        <v>100</v>
      </c>
      <c r="QO31" s="47">
        <v>144</v>
      </c>
      <c r="QP31" s="47">
        <v>150</v>
      </c>
      <c r="QQ31" s="44">
        <v>-10</v>
      </c>
      <c r="QR31" s="43"/>
      <c r="QS31" s="42">
        <v>0</v>
      </c>
      <c r="QT31" s="47">
        <v>0</v>
      </c>
      <c r="QU31" s="44">
        <v>0</v>
      </c>
      <c r="QV31" s="43"/>
      <c r="QW31" s="42">
        <v>0</v>
      </c>
      <c r="QX31" s="47">
        <v>0</v>
      </c>
      <c r="QY31" s="44">
        <v>0</v>
      </c>
      <c r="QZ31" s="43"/>
    </row>
    <row r="32" spans="1:468" x14ac:dyDescent="0.25">
      <c r="A32" s="47" t="s">
        <v>316</v>
      </c>
      <c r="B32" s="38">
        <v>1</v>
      </c>
      <c r="N32" s="39"/>
      <c r="O32" s="48"/>
      <c r="P32" s="48"/>
      <c r="Q32" s="48"/>
      <c r="R32" s="48">
        <f t="shared" si="8"/>
        <v>0</v>
      </c>
      <c r="S32" s="40"/>
      <c r="T32" s="39"/>
      <c r="U32" s="48"/>
      <c r="V32" s="48">
        <f t="shared" si="9"/>
        <v>0</v>
      </c>
      <c r="W32" s="40"/>
      <c r="X32" s="39"/>
      <c r="Y32" s="48"/>
      <c r="Z32" s="48"/>
      <c r="AA32" s="48"/>
      <c r="AB32" s="48">
        <f t="shared" si="10"/>
        <v>0</v>
      </c>
      <c r="AC32" s="40"/>
      <c r="AD32" s="48"/>
      <c r="AH32" s="44">
        <v>0</v>
      </c>
      <c r="AI32" s="40"/>
      <c r="AN32" s="44">
        <v>0</v>
      </c>
      <c r="AO32" s="40"/>
      <c r="AT32" s="44">
        <v>0</v>
      </c>
      <c r="AU32" s="40"/>
      <c r="AV32" s="39"/>
      <c r="AX32" s="44">
        <v>0</v>
      </c>
      <c r="AY32" s="40"/>
      <c r="AZ32" s="39"/>
      <c r="BB32" s="44">
        <v>0</v>
      </c>
      <c r="BC32" s="40"/>
      <c r="BH32" s="44">
        <v>0</v>
      </c>
      <c r="BI32" s="40"/>
      <c r="BL32" s="44">
        <v>0</v>
      </c>
      <c r="BM32" s="40"/>
      <c r="BN32" s="39"/>
      <c r="BR32" s="44">
        <v>0</v>
      </c>
      <c r="BS32" s="40"/>
      <c r="BV32" s="44">
        <v>0</v>
      </c>
      <c r="BW32" s="40"/>
      <c r="BX32" s="39"/>
      <c r="BZ32" s="44">
        <v>0</v>
      </c>
      <c r="CA32" s="40"/>
      <c r="CB32" s="39"/>
      <c r="CH32" s="44">
        <v>0</v>
      </c>
      <c r="CI32" s="40"/>
      <c r="CN32" s="44">
        <v>0</v>
      </c>
      <c r="CO32" s="40"/>
      <c r="CP32" s="39"/>
      <c r="CT32" s="44">
        <v>0</v>
      </c>
      <c r="CU32" s="40"/>
      <c r="CV32" s="39"/>
      <c r="CZ32" s="44">
        <v>0</v>
      </c>
      <c r="DA32" s="40"/>
      <c r="DB32" s="39"/>
      <c r="DF32" s="44">
        <v>0</v>
      </c>
      <c r="DG32" s="40"/>
      <c r="DN32" s="44">
        <v>0</v>
      </c>
      <c r="DO32" s="40"/>
      <c r="DP32" s="39"/>
      <c r="DR32" s="44">
        <v>0</v>
      </c>
      <c r="DS32" s="40"/>
      <c r="DT32" s="39"/>
      <c r="DX32" s="44">
        <v>0</v>
      </c>
      <c r="DY32" s="40"/>
      <c r="DZ32" s="39"/>
      <c r="EB32" s="44">
        <v>0</v>
      </c>
      <c r="EC32" s="40"/>
      <c r="EK32" s="44">
        <v>0</v>
      </c>
      <c r="EL32" s="40"/>
      <c r="ES32" s="44">
        <v>0</v>
      </c>
      <c r="ET32" s="40"/>
      <c r="EU32" s="39"/>
      <c r="EY32" s="44">
        <v>0</v>
      </c>
      <c r="EZ32" s="40"/>
      <c r="FA32" s="39"/>
      <c r="FD32" s="44">
        <v>0</v>
      </c>
      <c r="FE32" s="40"/>
      <c r="FH32" s="44">
        <v>0</v>
      </c>
      <c r="FI32" s="40"/>
      <c r="FJ32" s="39"/>
      <c r="FQ32" s="44">
        <v>0</v>
      </c>
      <c r="FR32" s="40"/>
      <c r="FW32" s="44">
        <v>0</v>
      </c>
      <c r="FX32" s="40"/>
      <c r="FY32" s="39"/>
      <c r="GC32" s="44">
        <v>0</v>
      </c>
      <c r="GD32" s="40"/>
      <c r="GI32" s="44">
        <v>0</v>
      </c>
      <c r="GJ32" s="40"/>
      <c r="GM32" s="44">
        <v>0</v>
      </c>
      <c r="GN32" s="40"/>
      <c r="GO32" s="39"/>
      <c r="GQ32" s="44">
        <v>0</v>
      </c>
      <c r="GR32" s="40"/>
      <c r="GX32" s="44">
        <v>0</v>
      </c>
      <c r="GY32" s="40"/>
      <c r="HD32" s="44">
        <v>0</v>
      </c>
      <c r="HE32" s="40"/>
      <c r="HF32" s="39"/>
      <c r="HJ32" s="44">
        <v>0</v>
      </c>
      <c r="HK32" s="40"/>
      <c r="HL32" s="39"/>
      <c r="HP32" s="44">
        <v>0</v>
      </c>
      <c r="HQ32" s="40"/>
      <c r="HV32" s="44">
        <v>0</v>
      </c>
      <c r="HW32" s="43"/>
      <c r="IB32" s="44">
        <v>0</v>
      </c>
      <c r="IC32" s="43"/>
      <c r="IH32" s="44">
        <v>0</v>
      </c>
      <c r="II32" s="43"/>
      <c r="IN32" s="44">
        <v>0</v>
      </c>
      <c r="IO32" s="40"/>
      <c r="IR32" s="44">
        <v>0</v>
      </c>
      <c r="IS32" s="40"/>
      <c r="IX32" s="44">
        <v>0</v>
      </c>
      <c r="IY32" s="43"/>
      <c r="JB32" s="44">
        <v>0</v>
      </c>
      <c r="JC32" s="40"/>
      <c r="JH32" s="44">
        <v>0</v>
      </c>
      <c r="JI32" s="40"/>
      <c r="JN32" s="44">
        <v>0</v>
      </c>
      <c r="JO32" s="43"/>
      <c r="JT32" s="44">
        <v>0</v>
      </c>
      <c r="JU32" s="43"/>
      <c r="JZ32" s="44">
        <v>0</v>
      </c>
      <c r="KA32" s="43"/>
      <c r="KB32" s="42"/>
      <c r="KI32" s="44">
        <v>0</v>
      </c>
      <c r="KJ32" s="43"/>
      <c r="KK32" s="47">
        <v>0</v>
      </c>
      <c r="KL32" s="47">
        <v>0</v>
      </c>
      <c r="KM32" s="47">
        <v>0</v>
      </c>
      <c r="KN32" s="47">
        <v>0</v>
      </c>
      <c r="KO32" s="44">
        <v>0</v>
      </c>
      <c r="KP32" s="43"/>
      <c r="KQ32" s="47">
        <v>0</v>
      </c>
      <c r="KR32" s="47">
        <v>0</v>
      </c>
      <c r="KS32" s="47">
        <v>83.153999999999996</v>
      </c>
      <c r="KT32" s="47">
        <v>80</v>
      </c>
      <c r="KU32" s="44">
        <v>3.1539999999999959</v>
      </c>
      <c r="KV32" s="43"/>
      <c r="KW32" s="42">
        <v>125.785</v>
      </c>
      <c r="KX32" s="47">
        <v>120</v>
      </c>
      <c r="KY32" s="44">
        <v>5.7849999999999966</v>
      </c>
      <c r="KZ32" s="43"/>
      <c r="LA32" s="42">
        <v>41.040999999999997</v>
      </c>
      <c r="LB32" s="47">
        <v>40</v>
      </c>
      <c r="LC32" s="47">
        <v>49.112000000000002</v>
      </c>
      <c r="LD32" s="47">
        <v>50</v>
      </c>
      <c r="LE32" s="44">
        <v>0.15299999999999159</v>
      </c>
      <c r="LF32" s="43"/>
      <c r="LG32" s="42">
        <v>28.451000000000001</v>
      </c>
      <c r="LH32" s="47">
        <v>30</v>
      </c>
      <c r="LI32" s="47">
        <v>28.503</v>
      </c>
      <c r="LJ32" s="47">
        <v>30</v>
      </c>
      <c r="LK32" s="44">
        <v>-3.0459999999999989</v>
      </c>
      <c r="LL32" s="43"/>
      <c r="LM32" s="42">
        <v>0</v>
      </c>
      <c r="LN32" s="47">
        <v>0</v>
      </c>
      <c r="LO32" s="44">
        <v>0</v>
      </c>
      <c r="LP32" s="43"/>
      <c r="LQ32" s="42">
        <v>0</v>
      </c>
      <c r="LR32" s="47">
        <v>0</v>
      </c>
      <c r="LS32" s="47">
        <v>0</v>
      </c>
      <c r="LT32" s="47">
        <v>0</v>
      </c>
      <c r="LU32" s="44">
        <v>0</v>
      </c>
      <c r="LV32" s="43"/>
      <c r="LW32" s="42">
        <v>141.36199999999999</v>
      </c>
      <c r="LX32" s="47">
        <v>140</v>
      </c>
      <c r="LY32" s="47">
        <v>0</v>
      </c>
      <c r="LZ32" s="47">
        <v>0</v>
      </c>
      <c r="MA32" s="44">
        <v>1.361999999999995</v>
      </c>
      <c r="MB32" s="43"/>
      <c r="MC32" s="42">
        <v>0</v>
      </c>
      <c r="MD32" s="47">
        <v>0</v>
      </c>
      <c r="ME32" s="47">
        <v>20.244</v>
      </c>
      <c r="MF32" s="47">
        <v>20</v>
      </c>
      <c r="MG32" s="44">
        <v>0.2439999999999998</v>
      </c>
      <c r="MH32" s="43"/>
      <c r="MI32" s="42">
        <v>0</v>
      </c>
      <c r="MJ32" s="47">
        <v>0</v>
      </c>
      <c r="MK32" s="47">
        <v>28.507999999999999</v>
      </c>
      <c r="ML32" s="47">
        <v>30</v>
      </c>
      <c r="MM32" s="44">
        <v>-1.4920000000000011</v>
      </c>
      <c r="MN32" s="43"/>
      <c r="MO32" s="42">
        <v>102.14700000000001</v>
      </c>
      <c r="MP32" s="47">
        <v>100</v>
      </c>
      <c r="MQ32" s="47">
        <v>210.35499999999999</v>
      </c>
      <c r="MR32" s="47">
        <v>210</v>
      </c>
      <c r="MS32" s="44">
        <v>2.50200000000001</v>
      </c>
      <c r="MT32" s="43"/>
      <c r="MU32" s="22">
        <v>49.125999999999998</v>
      </c>
      <c r="MV32" s="47">
        <v>0</v>
      </c>
      <c r="MW32" s="47">
        <v>0</v>
      </c>
      <c r="MX32" s="47">
        <v>0</v>
      </c>
      <c r="MY32" s="44">
        <v>49.125999999999998</v>
      </c>
      <c r="MZ32" s="43"/>
      <c r="NA32" s="42">
        <v>70.290000000000006</v>
      </c>
      <c r="NB32" s="47">
        <v>70</v>
      </c>
      <c r="NC32" s="47">
        <v>83.043999999999997</v>
      </c>
      <c r="ND32" s="47">
        <v>80</v>
      </c>
      <c r="NE32" s="44">
        <v>3.3340000000000032</v>
      </c>
      <c r="NF32" s="43"/>
      <c r="NG32" s="42">
        <v>0</v>
      </c>
      <c r="NH32" s="47">
        <v>0</v>
      </c>
      <c r="NI32" s="47">
        <v>133.238</v>
      </c>
      <c r="NJ32" s="47">
        <v>130</v>
      </c>
      <c r="NK32" s="44">
        <v>3.238</v>
      </c>
      <c r="NL32" s="43"/>
      <c r="NM32" s="42">
        <v>0</v>
      </c>
      <c r="NN32" s="47">
        <v>0</v>
      </c>
      <c r="NO32" s="47">
        <v>41.584000000000003</v>
      </c>
      <c r="NP32" s="47">
        <v>40</v>
      </c>
      <c r="NQ32" s="44">
        <v>1.584000000000003</v>
      </c>
      <c r="NR32" s="43"/>
      <c r="NS32" s="42">
        <v>69.492999999999995</v>
      </c>
      <c r="NT32" s="47">
        <v>70</v>
      </c>
      <c r="NU32" s="47">
        <v>151.09399999999999</v>
      </c>
      <c r="NV32" s="47">
        <v>150</v>
      </c>
      <c r="NW32" s="44">
        <v>0.58699999999998909</v>
      </c>
      <c r="NX32" s="43"/>
      <c r="NY32" s="42">
        <v>0</v>
      </c>
      <c r="NZ32" s="47">
        <v>0</v>
      </c>
      <c r="OA32" s="47">
        <v>167.88399999999999</v>
      </c>
      <c r="OB32" s="47">
        <v>169</v>
      </c>
      <c r="OC32" s="44">
        <v>-1.1160000000000141</v>
      </c>
      <c r="OD32" s="43"/>
      <c r="OE32" s="42">
        <v>0</v>
      </c>
      <c r="OF32" s="47">
        <v>0</v>
      </c>
      <c r="OG32" s="47">
        <v>49.192999999999998</v>
      </c>
      <c r="OH32" s="47">
        <v>50</v>
      </c>
      <c r="OI32" s="44">
        <v>-0.80700000000000216</v>
      </c>
      <c r="OJ32" s="43"/>
      <c r="OK32" s="42">
        <v>0</v>
      </c>
      <c r="OL32" s="47">
        <v>0</v>
      </c>
      <c r="OM32" s="47">
        <v>73.884</v>
      </c>
      <c r="ON32" s="47">
        <v>75</v>
      </c>
      <c r="OO32" s="44">
        <v>-1.1160000000000001</v>
      </c>
      <c r="OP32" s="43"/>
      <c r="OQ32" s="42">
        <v>121.28</v>
      </c>
      <c r="OR32" s="47">
        <v>120</v>
      </c>
      <c r="OS32" s="47">
        <v>53.77</v>
      </c>
      <c r="OT32" s="47">
        <v>80</v>
      </c>
      <c r="OU32" s="46">
        <v>-24.949999999999989</v>
      </c>
      <c r="OV32" s="43">
        <v>24.949999999999989</v>
      </c>
      <c r="OW32" s="42">
        <v>24.405000000000001</v>
      </c>
      <c r="OX32" s="47">
        <v>0</v>
      </c>
      <c r="OY32" s="47">
        <v>12.121</v>
      </c>
      <c r="OZ32" s="47">
        <v>50</v>
      </c>
      <c r="PA32" s="46">
        <v>-13.474</v>
      </c>
      <c r="PB32" s="43">
        <v>13.474</v>
      </c>
      <c r="PC32" s="42">
        <v>0</v>
      </c>
      <c r="PD32" s="47">
        <v>0</v>
      </c>
      <c r="PE32" s="47">
        <v>49.058999999999997</v>
      </c>
      <c r="PF32" s="47">
        <v>50</v>
      </c>
      <c r="PG32" s="44">
        <v>-0.9410000000000025</v>
      </c>
      <c r="PH32" s="43"/>
      <c r="PI32" s="42">
        <v>49.207000000000001</v>
      </c>
      <c r="PJ32" s="47">
        <v>50</v>
      </c>
      <c r="PK32" s="47">
        <v>49.456000000000003</v>
      </c>
      <c r="PL32" s="47">
        <v>50</v>
      </c>
      <c r="PM32" s="44">
        <v>-1.3369999999999891</v>
      </c>
      <c r="PN32" s="43"/>
      <c r="PO32" s="42">
        <v>48.887999999999998</v>
      </c>
      <c r="PP32" s="47">
        <v>50</v>
      </c>
      <c r="PQ32" s="47">
        <v>0</v>
      </c>
      <c r="PR32" s="47">
        <v>0</v>
      </c>
      <c r="PS32" s="44">
        <v>-1.1120000000000021</v>
      </c>
      <c r="PT32" s="43"/>
      <c r="PU32" s="42">
        <v>0</v>
      </c>
      <c r="PV32" s="47">
        <v>0</v>
      </c>
      <c r="PW32" s="47">
        <v>12.385999999999999</v>
      </c>
      <c r="PX32" s="47">
        <v>60</v>
      </c>
      <c r="PY32" s="46">
        <v>-47.613999999999997</v>
      </c>
      <c r="PZ32" s="43">
        <v>47.613999999999997</v>
      </c>
      <c r="QA32" s="42">
        <v>0</v>
      </c>
      <c r="QB32" s="47">
        <v>0</v>
      </c>
      <c r="QC32" s="44">
        <v>0</v>
      </c>
      <c r="QD32" s="43"/>
      <c r="QE32" s="42">
        <v>0</v>
      </c>
      <c r="QF32" s="47">
        <v>0</v>
      </c>
      <c r="QG32" s="44">
        <v>0</v>
      </c>
      <c r="QH32" s="43"/>
      <c r="QI32" s="42">
        <v>0</v>
      </c>
      <c r="QJ32" s="47">
        <v>0</v>
      </c>
      <c r="QK32" s="44">
        <v>0</v>
      </c>
      <c r="QL32" s="43"/>
      <c r="QM32" s="42">
        <v>0</v>
      </c>
      <c r="QN32" s="47">
        <v>0</v>
      </c>
      <c r="QO32" s="47">
        <v>0</v>
      </c>
      <c r="QP32" s="47">
        <v>0</v>
      </c>
      <c r="QQ32" s="44">
        <v>0</v>
      </c>
      <c r="QR32" s="43"/>
      <c r="QS32" s="42">
        <v>0</v>
      </c>
      <c r="QT32" s="47">
        <v>0</v>
      </c>
      <c r="QU32" s="44">
        <v>0</v>
      </c>
      <c r="QV32" s="43"/>
      <c r="QW32" s="42">
        <v>0</v>
      </c>
      <c r="QX32" s="47">
        <v>0</v>
      </c>
      <c r="QY32" s="44">
        <v>0</v>
      </c>
      <c r="QZ32" s="43"/>
    </row>
    <row r="33" spans="1:468" x14ac:dyDescent="0.25">
      <c r="A33" s="47" t="s">
        <v>317</v>
      </c>
      <c r="B33" s="38">
        <v>1</v>
      </c>
      <c r="F33">
        <v>51</v>
      </c>
      <c r="I33">
        <v>80</v>
      </c>
      <c r="J33">
        <v>101</v>
      </c>
      <c r="K33">
        <v>100</v>
      </c>
      <c r="N33" s="41">
        <v>101</v>
      </c>
      <c r="O33" s="49">
        <v>100</v>
      </c>
      <c r="P33" s="49">
        <v>100</v>
      </c>
      <c r="Q33" s="49">
        <v>100</v>
      </c>
      <c r="R33" s="48">
        <f t="shared" si="8"/>
        <v>1</v>
      </c>
      <c r="S33" s="40"/>
      <c r="T33" s="41">
        <v>122</v>
      </c>
      <c r="U33" s="49">
        <v>120</v>
      </c>
      <c r="V33" s="48">
        <f t="shared" si="9"/>
        <v>2</v>
      </c>
      <c r="W33" s="40"/>
      <c r="X33" s="39"/>
      <c r="Y33" s="48"/>
      <c r="Z33" s="49">
        <v>135</v>
      </c>
      <c r="AA33" s="49">
        <v>134</v>
      </c>
      <c r="AB33" s="48">
        <f t="shared" si="10"/>
        <v>1</v>
      </c>
      <c r="AC33" s="40"/>
      <c r="AD33" s="48"/>
      <c r="AF33">
        <v>122</v>
      </c>
      <c r="AG33">
        <v>120</v>
      </c>
      <c r="AH33" s="44">
        <v>2</v>
      </c>
      <c r="AI33" s="40"/>
      <c r="AN33" s="44">
        <v>0</v>
      </c>
      <c r="AO33" s="40"/>
      <c r="AP33">
        <v>101</v>
      </c>
      <c r="AQ33">
        <v>100</v>
      </c>
      <c r="AR33">
        <v>120</v>
      </c>
      <c r="AS33">
        <v>120</v>
      </c>
      <c r="AT33" s="44">
        <v>1</v>
      </c>
      <c r="AU33" s="40"/>
      <c r="AV33" s="41">
        <v>130</v>
      </c>
      <c r="AW33">
        <v>130</v>
      </c>
      <c r="AX33" s="44">
        <v>0</v>
      </c>
      <c r="AY33" s="40"/>
      <c r="AZ33" s="39"/>
      <c r="BB33" s="44">
        <v>0</v>
      </c>
      <c r="BC33" s="40"/>
      <c r="BH33" s="44">
        <v>0</v>
      </c>
      <c r="BI33" s="40"/>
      <c r="BL33" s="44">
        <v>0</v>
      </c>
      <c r="BM33" s="40"/>
      <c r="BN33" s="41">
        <v>102</v>
      </c>
      <c r="BO33">
        <v>100</v>
      </c>
      <c r="BP33">
        <v>222</v>
      </c>
      <c r="BQ33">
        <v>219</v>
      </c>
      <c r="BR33" s="44">
        <v>5</v>
      </c>
      <c r="BS33" s="40"/>
      <c r="BT33">
        <v>101</v>
      </c>
      <c r="BU33">
        <v>100</v>
      </c>
      <c r="BV33" s="44">
        <v>1</v>
      </c>
      <c r="BW33" s="40"/>
      <c r="BX33" s="39"/>
      <c r="BZ33" s="44">
        <v>0</v>
      </c>
      <c r="CA33" s="40"/>
      <c r="CB33" s="39"/>
      <c r="CD33">
        <v>237</v>
      </c>
      <c r="CE33">
        <v>160</v>
      </c>
      <c r="CF33">
        <v>161</v>
      </c>
      <c r="CG33">
        <v>240</v>
      </c>
      <c r="CH33" s="44">
        <v>-2</v>
      </c>
      <c r="CI33" s="40"/>
      <c r="CJ33">
        <v>69</v>
      </c>
      <c r="CK33">
        <v>70</v>
      </c>
      <c r="CL33">
        <v>101</v>
      </c>
      <c r="CM33">
        <v>100</v>
      </c>
      <c r="CN33" s="44">
        <v>0</v>
      </c>
      <c r="CO33" s="40"/>
      <c r="CP33" s="39"/>
      <c r="CT33" s="44">
        <v>0</v>
      </c>
      <c r="CU33" s="40"/>
      <c r="CV33" s="41">
        <v>61</v>
      </c>
      <c r="CW33">
        <v>60</v>
      </c>
      <c r="CX33">
        <v>48</v>
      </c>
      <c r="CY33">
        <v>48</v>
      </c>
      <c r="CZ33" s="44">
        <v>1</v>
      </c>
      <c r="DA33" s="40"/>
      <c r="DB33" s="39"/>
      <c r="DD33">
        <v>68</v>
      </c>
      <c r="DE33">
        <v>70</v>
      </c>
      <c r="DF33" s="44">
        <v>-2</v>
      </c>
      <c r="DG33" s="40"/>
      <c r="DJ33">
        <v>102</v>
      </c>
      <c r="DK33">
        <v>100</v>
      </c>
      <c r="DL33">
        <v>102</v>
      </c>
      <c r="DM33">
        <v>100</v>
      </c>
      <c r="DN33" s="44">
        <v>4</v>
      </c>
      <c r="DO33" s="40"/>
      <c r="DP33" s="41">
        <v>61</v>
      </c>
      <c r="DQ33">
        <v>60</v>
      </c>
      <c r="DR33" s="44">
        <v>1</v>
      </c>
      <c r="DS33" s="40"/>
      <c r="DT33" s="39"/>
      <c r="DV33">
        <v>81</v>
      </c>
      <c r="DW33">
        <v>80</v>
      </c>
      <c r="DX33" s="44">
        <v>1</v>
      </c>
      <c r="DY33" s="40"/>
      <c r="DZ33" s="41">
        <v>130</v>
      </c>
      <c r="EA33">
        <v>240</v>
      </c>
      <c r="EB33" s="46">
        <v>-110</v>
      </c>
      <c r="EC33" s="40">
        <v>110</v>
      </c>
      <c r="ED33">
        <v>61</v>
      </c>
      <c r="EE33">
        <v>60</v>
      </c>
      <c r="EG33">
        <v>61</v>
      </c>
      <c r="EH33">
        <v>60</v>
      </c>
      <c r="EI33">
        <v>73</v>
      </c>
      <c r="EJ33">
        <v>71</v>
      </c>
      <c r="EK33" s="44">
        <v>4</v>
      </c>
      <c r="EL33" s="40"/>
      <c r="EQ33">
        <v>69</v>
      </c>
      <c r="ER33">
        <v>70</v>
      </c>
      <c r="ES33" s="44">
        <v>-1</v>
      </c>
      <c r="ET33" s="40"/>
      <c r="EU33" s="41">
        <v>49</v>
      </c>
      <c r="EV33">
        <v>50</v>
      </c>
      <c r="EW33">
        <v>90</v>
      </c>
      <c r="EX33">
        <v>90</v>
      </c>
      <c r="EY33" s="44">
        <v>-1</v>
      </c>
      <c r="EZ33" s="40"/>
      <c r="FA33" s="39"/>
      <c r="FB33">
        <v>61</v>
      </c>
      <c r="FC33">
        <v>62</v>
      </c>
      <c r="FD33" s="44">
        <v>-1</v>
      </c>
      <c r="FE33" s="40"/>
      <c r="FH33" s="44">
        <v>0</v>
      </c>
      <c r="FI33" s="40"/>
      <c r="FJ33" s="41">
        <v>49</v>
      </c>
      <c r="FK33">
        <v>50</v>
      </c>
      <c r="FL33">
        <v>32</v>
      </c>
      <c r="FN33">
        <v>30</v>
      </c>
      <c r="FO33">
        <v>33</v>
      </c>
      <c r="FP33">
        <v>30</v>
      </c>
      <c r="FQ33" s="44">
        <v>4</v>
      </c>
      <c r="FR33" s="40"/>
      <c r="FS33">
        <v>122</v>
      </c>
      <c r="FT33">
        <v>120</v>
      </c>
      <c r="FU33">
        <v>129</v>
      </c>
      <c r="FV33">
        <v>130</v>
      </c>
      <c r="FW33" s="44">
        <v>1</v>
      </c>
      <c r="FX33" s="40"/>
      <c r="FY33" s="39"/>
      <c r="GA33">
        <v>16</v>
      </c>
      <c r="GB33">
        <v>16</v>
      </c>
      <c r="GC33" s="44">
        <v>0</v>
      </c>
      <c r="GD33" s="40"/>
      <c r="GG33">
        <v>88</v>
      </c>
      <c r="GH33">
        <v>90</v>
      </c>
      <c r="GI33" s="44">
        <v>-2</v>
      </c>
      <c r="GJ33" s="40"/>
      <c r="GK33">
        <v>101</v>
      </c>
      <c r="GL33" s="47">
        <v>102.49160000000001</v>
      </c>
      <c r="GM33" s="44">
        <v>-1.4916000000000049</v>
      </c>
      <c r="GN33" s="40"/>
      <c r="GO33" s="41">
        <v>129</v>
      </c>
      <c r="GP33">
        <v>131</v>
      </c>
      <c r="GQ33" s="44">
        <v>-2</v>
      </c>
      <c r="GR33" s="40"/>
      <c r="GX33" s="44">
        <v>0</v>
      </c>
      <c r="GY33" s="40"/>
      <c r="GZ33">
        <v>102</v>
      </c>
      <c r="HA33">
        <v>100</v>
      </c>
      <c r="HB33">
        <v>41</v>
      </c>
      <c r="HC33">
        <v>40</v>
      </c>
      <c r="HD33" s="44">
        <v>3</v>
      </c>
      <c r="HE33" s="40"/>
      <c r="HF33" s="39"/>
      <c r="HH33">
        <v>162</v>
      </c>
      <c r="HI33">
        <v>160</v>
      </c>
      <c r="HJ33" s="44">
        <v>2</v>
      </c>
      <c r="HK33" s="40"/>
      <c r="HL33" s="41">
        <v>122</v>
      </c>
      <c r="HM33">
        <v>120</v>
      </c>
      <c r="HN33">
        <v>122</v>
      </c>
      <c r="HO33">
        <v>120</v>
      </c>
      <c r="HP33" s="44">
        <v>4</v>
      </c>
      <c r="HQ33" s="40"/>
      <c r="HT33">
        <v>20</v>
      </c>
      <c r="HU33">
        <v>20</v>
      </c>
      <c r="HV33" s="44">
        <v>0</v>
      </c>
      <c r="HW33" s="43"/>
      <c r="HX33">
        <v>101</v>
      </c>
      <c r="HY33">
        <v>100</v>
      </c>
      <c r="HZ33">
        <v>49</v>
      </c>
      <c r="IA33">
        <v>50</v>
      </c>
      <c r="IB33" s="44">
        <v>0</v>
      </c>
      <c r="IC33" s="43"/>
      <c r="ID33">
        <v>129</v>
      </c>
      <c r="IE33">
        <v>130</v>
      </c>
      <c r="IF33">
        <v>101</v>
      </c>
      <c r="IG33">
        <v>100</v>
      </c>
      <c r="IH33" s="44">
        <v>0</v>
      </c>
      <c r="II33" s="43"/>
      <c r="IJ33">
        <v>49</v>
      </c>
      <c r="IK33">
        <v>50</v>
      </c>
      <c r="IL33">
        <v>65</v>
      </c>
      <c r="IM33">
        <v>65</v>
      </c>
      <c r="IN33" s="44">
        <v>-1</v>
      </c>
      <c r="IO33" s="40"/>
      <c r="IP33">
        <v>276</v>
      </c>
      <c r="IQ33">
        <v>277</v>
      </c>
      <c r="IR33" s="44">
        <v>-1</v>
      </c>
      <c r="IS33" s="40"/>
      <c r="IT33">
        <v>150</v>
      </c>
      <c r="IU33">
        <v>150</v>
      </c>
      <c r="IX33" s="44">
        <v>0</v>
      </c>
      <c r="IY33" s="43"/>
      <c r="JB33" s="44">
        <v>0</v>
      </c>
      <c r="JC33" s="40"/>
      <c r="JD33">
        <v>101</v>
      </c>
      <c r="JE33">
        <v>100</v>
      </c>
      <c r="JF33">
        <v>110</v>
      </c>
      <c r="JG33">
        <v>110</v>
      </c>
      <c r="JH33" s="44">
        <v>1</v>
      </c>
      <c r="JI33" s="40"/>
      <c r="JJ33">
        <v>81</v>
      </c>
      <c r="JK33">
        <v>80</v>
      </c>
      <c r="JL33">
        <v>48</v>
      </c>
      <c r="JM33">
        <v>50</v>
      </c>
      <c r="JN33" s="44">
        <v>-1</v>
      </c>
      <c r="JO33" s="43"/>
      <c r="JT33" s="44">
        <v>0</v>
      </c>
      <c r="JU33" s="43"/>
      <c r="JV33">
        <v>41</v>
      </c>
      <c r="JW33">
        <v>40</v>
      </c>
      <c r="JX33">
        <v>102</v>
      </c>
      <c r="JY33">
        <v>100</v>
      </c>
      <c r="JZ33" s="44">
        <v>3</v>
      </c>
      <c r="KA33" s="43"/>
      <c r="KB33" s="41">
        <v>203</v>
      </c>
      <c r="KC33">
        <v>200</v>
      </c>
      <c r="KD33">
        <v>252</v>
      </c>
      <c r="KE33">
        <v>219</v>
      </c>
      <c r="KF33">
        <v>220</v>
      </c>
      <c r="KG33">
        <v>191</v>
      </c>
      <c r="KH33">
        <v>190</v>
      </c>
      <c r="KI33" s="44">
        <v>255</v>
      </c>
      <c r="KJ33" s="43"/>
      <c r="KK33" s="47">
        <v>0</v>
      </c>
      <c r="KL33" s="47">
        <v>0</v>
      </c>
      <c r="KM33" s="47">
        <v>0</v>
      </c>
      <c r="KN33" s="47">
        <v>0</v>
      </c>
      <c r="KO33" s="44">
        <v>0</v>
      </c>
      <c r="KP33" s="43"/>
      <c r="KQ33" s="47">
        <v>302.93</v>
      </c>
      <c r="KR33" s="47">
        <v>300</v>
      </c>
      <c r="KS33" s="47">
        <v>0</v>
      </c>
      <c r="KT33" s="26">
        <v>250</v>
      </c>
      <c r="KU33" s="46">
        <v>-247.07</v>
      </c>
      <c r="KV33" s="43">
        <v>247.07</v>
      </c>
      <c r="KW33" s="42">
        <v>100.268</v>
      </c>
      <c r="KX33" s="47">
        <v>100</v>
      </c>
      <c r="KY33" s="44">
        <v>0.26800000000000068</v>
      </c>
      <c r="KZ33" s="43"/>
      <c r="LA33" s="42">
        <v>216.93299999999999</v>
      </c>
      <c r="LB33" s="47">
        <v>220</v>
      </c>
      <c r="LC33" s="47">
        <v>183.18899999999999</v>
      </c>
      <c r="LD33" s="47">
        <v>180</v>
      </c>
      <c r="LE33" s="44">
        <v>0.1219999999999573</v>
      </c>
      <c r="LF33" s="43"/>
      <c r="LG33" s="42">
        <v>69.034999999999997</v>
      </c>
      <c r="LH33" s="47">
        <v>70</v>
      </c>
      <c r="LI33" s="47">
        <v>0</v>
      </c>
      <c r="LJ33" s="47">
        <v>0</v>
      </c>
      <c r="LK33" s="44">
        <v>-0.96500000000000341</v>
      </c>
      <c r="LL33" s="43"/>
      <c r="LM33" s="42">
        <v>205.30099999999999</v>
      </c>
      <c r="LN33" s="47">
        <v>200</v>
      </c>
      <c r="LO33" s="44">
        <v>5.3009999999999877</v>
      </c>
      <c r="LP33" s="43"/>
      <c r="LQ33" s="42">
        <v>0</v>
      </c>
      <c r="LR33" s="47">
        <v>0</v>
      </c>
      <c r="LS33" s="47">
        <v>0</v>
      </c>
      <c r="LT33" s="47">
        <v>0</v>
      </c>
      <c r="LU33" s="44">
        <v>0</v>
      </c>
      <c r="LV33" s="43"/>
      <c r="LW33" s="42">
        <v>257.77</v>
      </c>
      <c r="LX33" s="47">
        <v>260</v>
      </c>
      <c r="LY33" s="47">
        <v>0</v>
      </c>
      <c r="LZ33" s="47">
        <v>0</v>
      </c>
      <c r="MA33" s="44">
        <v>-2.2300000000000182</v>
      </c>
      <c r="MB33" s="43"/>
      <c r="MC33" s="42">
        <v>49.197000000000003</v>
      </c>
      <c r="MD33" s="47">
        <v>50</v>
      </c>
      <c r="ME33" s="47">
        <v>102.304</v>
      </c>
      <c r="MF33" s="47">
        <v>100</v>
      </c>
      <c r="MG33" s="44">
        <v>1.501000000000005</v>
      </c>
      <c r="MH33" s="43"/>
      <c r="MI33" s="42">
        <v>161.09700000000001</v>
      </c>
      <c r="MJ33" s="47">
        <v>160</v>
      </c>
      <c r="MK33" s="47">
        <v>69.120999999999995</v>
      </c>
      <c r="ML33" s="47">
        <v>70</v>
      </c>
      <c r="MM33" s="44">
        <v>0.21800000000001771</v>
      </c>
      <c r="MN33" s="43"/>
      <c r="MO33" s="42">
        <v>0</v>
      </c>
      <c r="MP33" s="47">
        <v>0</v>
      </c>
      <c r="MQ33" s="47">
        <v>60.863</v>
      </c>
      <c r="MR33" s="47">
        <v>60</v>
      </c>
      <c r="MS33" s="44">
        <v>0.86299999999999955</v>
      </c>
      <c r="MT33" s="43"/>
      <c r="MU33" s="42">
        <v>101.705</v>
      </c>
      <c r="MV33" s="47">
        <v>100</v>
      </c>
      <c r="MW33" s="47">
        <v>288.65300000000002</v>
      </c>
      <c r="MX33" s="47">
        <v>300</v>
      </c>
      <c r="MY33" s="46">
        <v>-9.6419999999999959</v>
      </c>
      <c r="MZ33" s="43">
        <v>9.6419999999999959</v>
      </c>
      <c r="NA33" s="42">
        <v>48.728000000000002</v>
      </c>
      <c r="NB33" s="47">
        <v>50</v>
      </c>
      <c r="NC33" s="47">
        <v>80.805999999999997</v>
      </c>
      <c r="ND33" s="47">
        <v>80</v>
      </c>
      <c r="NE33" s="44">
        <v>-0.46600000000000819</v>
      </c>
      <c r="NF33" s="43"/>
      <c r="NG33" s="42">
        <v>0</v>
      </c>
      <c r="NH33" s="47">
        <v>0</v>
      </c>
      <c r="NI33" s="47">
        <v>128.53</v>
      </c>
      <c r="NJ33" s="47">
        <v>130</v>
      </c>
      <c r="NK33" s="44">
        <v>-1.4699999999999991</v>
      </c>
      <c r="NL33" s="43"/>
      <c r="NM33" s="42">
        <v>101.544</v>
      </c>
      <c r="NN33" s="47">
        <v>100</v>
      </c>
      <c r="NO33" s="47">
        <v>183.47900000000001</v>
      </c>
      <c r="NP33" s="47">
        <v>180</v>
      </c>
      <c r="NQ33" s="44">
        <v>5.0230000000000246</v>
      </c>
      <c r="NR33" s="43"/>
      <c r="NS33" s="42">
        <v>170.81299999999999</v>
      </c>
      <c r="NT33" s="47">
        <v>170</v>
      </c>
      <c r="NU33" s="47">
        <v>250.749</v>
      </c>
      <c r="NV33" s="47">
        <v>250</v>
      </c>
      <c r="NW33" s="44">
        <v>1.562000000000012</v>
      </c>
      <c r="NX33" s="43"/>
      <c r="NY33" s="42">
        <v>0</v>
      </c>
      <c r="NZ33" s="47">
        <v>0</v>
      </c>
      <c r="OA33" s="47">
        <v>135.01599999999999</v>
      </c>
      <c r="OB33" s="47">
        <v>134</v>
      </c>
      <c r="OC33" s="44">
        <v>1.0159999999999909</v>
      </c>
      <c r="OD33" s="43"/>
      <c r="OE33" s="42">
        <v>294.09300000000002</v>
      </c>
      <c r="OF33" s="47">
        <v>350</v>
      </c>
      <c r="OG33" s="47">
        <v>251.607</v>
      </c>
      <c r="OH33" s="47">
        <v>250</v>
      </c>
      <c r="OI33" s="46">
        <v>-54.299999999999947</v>
      </c>
      <c r="OJ33" s="43">
        <v>54.299999999999947</v>
      </c>
      <c r="OK33" s="42">
        <v>0</v>
      </c>
      <c r="OL33" s="47">
        <v>0</v>
      </c>
      <c r="OM33" s="47">
        <v>0</v>
      </c>
      <c r="ON33" s="47">
        <v>0</v>
      </c>
      <c r="OO33" s="44">
        <v>0</v>
      </c>
      <c r="OP33" s="43"/>
      <c r="OQ33" s="42">
        <v>249.03</v>
      </c>
      <c r="OR33" s="47">
        <v>250</v>
      </c>
      <c r="OS33" s="47">
        <v>171.83199999999999</v>
      </c>
      <c r="OT33" s="47">
        <v>171</v>
      </c>
      <c r="OU33" s="44">
        <v>-0.13800000000003371</v>
      </c>
      <c r="OV33" s="43"/>
      <c r="OW33" s="42">
        <v>175.154</v>
      </c>
      <c r="OX33" s="47">
        <v>150</v>
      </c>
      <c r="OY33" s="47">
        <v>182.99100000000001</v>
      </c>
      <c r="OZ33" s="47">
        <v>180</v>
      </c>
      <c r="PA33" s="44">
        <v>28.144999999999978</v>
      </c>
      <c r="PB33" s="43"/>
      <c r="PC33" s="42">
        <v>24.082999999999998</v>
      </c>
      <c r="PD33" s="47">
        <v>50</v>
      </c>
      <c r="PE33" s="47">
        <v>0</v>
      </c>
      <c r="PF33" s="26">
        <v>100</v>
      </c>
      <c r="PG33" s="46">
        <v>-125.917</v>
      </c>
      <c r="PH33" s="43">
        <v>125.917</v>
      </c>
      <c r="PI33" s="42">
        <v>48.811</v>
      </c>
      <c r="PJ33" s="47">
        <v>50</v>
      </c>
      <c r="PK33" s="47">
        <v>100.94499999999999</v>
      </c>
      <c r="PL33" s="47">
        <v>100</v>
      </c>
      <c r="PM33" s="44">
        <v>-0.2439999999999998</v>
      </c>
      <c r="PN33" s="43"/>
      <c r="PO33" s="42">
        <v>101.434</v>
      </c>
      <c r="PP33" s="47">
        <v>100</v>
      </c>
      <c r="PQ33" s="47">
        <v>149.57599999999999</v>
      </c>
      <c r="PR33" s="47">
        <v>150</v>
      </c>
      <c r="PS33" s="44">
        <v>1.0099999999999909</v>
      </c>
      <c r="PT33" s="43"/>
      <c r="PU33" s="42">
        <v>100.92</v>
      </c>
      <c r="PV33" s="47">
        <v>100</v>
      </c>
      <c r="PW33" s="47">
        <v>130.98400000000001</v>
      </c>
      <c r="PX33" s="47">
        <v>130</v>
      </c>
      <c r="PY33" s="44">
        <v>1.9039999999999959</v>
      </c>
      <c r="PZ33" s="43"/>
      <c r="QA33" s="42">
        <v>351.947</v>
      </c>
      <c r="QB33" s="47">
        <v>350</v>
      </c>
      <c r="QC33" s="44">
        <v>1.947000000000003</v>
      </c>
      <c r="QD33" s="43"/>
      <c r="QE33" s="42">
        <v>0</v>
      </c>
      <c r="QF33" s="47">
        <v>0</v>
      </c>
      <c r="QG33" s="44">
        <v>0</v>
      </c>
      <c r="QH33" s="43"/>
      <c r="QI33" s="42">
        <v>300.21499999999997</v>
      </c>
      <c r="QJ33" s="47">
        <v>300</v>
      </c>
      <c r="QK33" s="44">
        <v>0.21499999999997499</v>
      </c>
      <c r="QL33" s="43"/>
      <c r="QM33" s="42">
        <v>147.893</v>
      </c>
      <c r="QN33" s="47">
        <v>150</v>
      </c>
      <c r="QO33" s="47">
        <v>247.047</v>
      </c>
      <c r="QP33" s="47">
        <v>250</v>
      </c>
      <c r="QQ33" s="44">
        <v>-5.0600000000000023</v>
      </c>
      <c r="QR33" s="43"/>
      <c r="QS33" s="42">
        <v>102.331</v>
      </c>
      <c r="QT33" s="47">
        <v>100</v>
      </c>
      <c r="QU33" s="44">
        <v>2.3310000000000031</v>
      </c>
      <c r="QV33" s="43"/>
      <c r="QW33" s="42">
        <v>150.369</v>
      </c>
      <c r="QX33" s="47">
        <v>150</v>
      </c>
      <c r="QY33" s="44">
        <v>0.36899999999999977</v>
      </c>
      <c r="QZ33" s="43"/>
    </row>
    <row r="34" spans="1:468" x14ac:dyDescent="0.25">
      <c r="A34" s="47" t="s">
        <v>318</v>
      </c>
      <c r="B34" s="38">
        <v>0.22</v>
      </c>
      <c r="I34">
        <v>110</v>
      </c>
      <c r="J34">
        <v>136</v>
      </c>
      <c r="K34">
        <v>138</v>
      </c>
      <c r="N34" s="41">
        <v>80</v>
      </c>
      <c r="O34" s="49">
        <v>80</v>
      </c>
      <c r="P34" s="49">
        <v>96</v>
      </c>
      <c r="Q34" s="49">
        <v>97</v>
      </c>
      <c r="R34" s="48">
        <f t="shared" si="8"/>
        <v>-1</v>
      </c>
      <c r="S34" s="40"/>
      <c r="T34" s="39"/>
      <c r="U34" s="48"/>
      <c r="V34" s="48">
        <f t="shared" si="9"/>
        <v>0</v>
      </c>
      <c r="W34" s="40"/>
      <c r="X34" s="41">
        <v>72</v>
      </c>
      <c r="Y34" s="49">
        <v>77</v>
      </c>
      <c r="Z34" s="48"/>
      <c r="AA34" s="48"/>
      <c r="AB34" s="48">
        <f t="shared" si="10"/>
        <v>-5</v>
      </c>
      <c r="AC34" s="40"/>
      <c r="AD34" s="49">
        <v>96</v>
      </c>
      <c r="AE34">
        <v>96</v>
      </c>
      <c r="AF34">
        <v>152</v>
      </c>
      <c r="AG34">
        <v>154</v>
      </c>
      <c r="AH34" s="44">
        <v>-2</v>
      </c>
      <c r="AI34" s="40"/>
      <c r="AJ34">
        <v>24</v>
      </c>
      <c r="AK34">
        <v>24</v>
      </c>
      <c r="AL34">
        <v>16</v>
      </c>
      <c r="AM34">
        <v>18</v>
      </c>
      <c r="AN34" s="44">
        <v>-2</v>
      </c>
      <c r="AO34" s="40"/>
      <c r="AQ34">
        <v>64</v>
      </c>
      <c r="AR34">
        <v>32</v>
      </c>
      <c r="AS34">
        <v>36</v>
      </c>
      <c r="AT34" s="46">
        <v>-68</v>
      </c>
      <c r="AU34" s="40">
        <v>14.96</v>
      </c>
      <c r="AV34" s="41">
        <v>136</v>
      </c>
      <c r="AW34">
        <v>140</v>
      </c>
      <c r="AX34" s="44">
        <v>-4</v>
      </c>
      <c r="AY34" s="40"/>
      <c r="AZ34" s="39"/>
      <c r="BB34" s="44">
        <v>0</v>
      </c>
      <c r="BC34" s="40"/>
      <c r="BD34">
        <v>120</v>
      </c>
      <c r="BE34">
        <v>120</v>
      </c>
      <c r="BF34">
        <v>160</v>
      </c>
      <c r="BG34">
        <v>160</v>
      </c>
      <c r="BH34" s="44">
        <v>0</v>
      </c>
      <c r="BI34" s="40"/>
      <c r="BJ34">
        <v>248</v>
      </c>
      <c r="BK34">
        <v>250</v>
      </c>
      <c r="BL34" s="44">
        <v>-2</v>
      </c>
      <c r="BM34" s="40"/>
      <c r="BN34" s="39"/>
      <c r="BR34" s="44">
        <v>0</v>
      </c>
      <c r="BS34" s="40"/>
      <c r="BT34">
        <v>296</v>
      </c>
      <c r="BU34">
        <v>300</v>
      </c>
      <c r="BV34" s="44">
        <v>-4</v>
      </c>
      <c r="BW34" s="40"/>
      <c r="BX34" s="39"/>
      <c r="BY34">
        <v>80</v>
      </c>
      <c r="BZ34" s="46">
        <v>-80</v>
      </c>
      <c r="CA34" s="40">
        <v>17.600000000000001</v>
      </c>
      <c r="CB34" s="39"/>
      <c r="CG34">
        <v>380</v>
      </c>
      <c r="CH34" s="46">
        <v>-380</v>
      </c>
      <c r="CI34" s="40">
        <v>83.6</v>
      </c>
      <c r="CJ34">
        <v>96</v>
      </c>
      <c r="CK34">
        <v>100</v>
      </c>
      <c r="CL34">
        <v>160</v>
      </c>
      <c r="CM34">
        <v>161</v>
      </c>
      <c r="CN34" s="44">
        <v>-5</v>
      </c>
      <c r="CO34" s="40"/>
      <c r="CP34" s="41">
        <v>48</v>
      </c>
      <c r="CQ34">
        <v>48</v>
      </c>
      <c r="CR34">
        <v>40</v>
      </c>
      <c r="CS34">
        <v>42</v>
      </c>
      <c r="CT34" s="44">
        <v>-2</v>
      </c>
      <c r="CU34" s="40"/>
      <c r="CV34" s="39"/>
      <c r="CX34">
        <v>80</v>
      </c>
      <c r="CY34">
        <v>90</v>
      </c>
      <c r="CZ34" s="46">
        <v>-10</v>
      </c>
      <c r="DA34" s="40">
        <v>2.2000000000000002</v>
      </c>
      <c r="DB34" s="41">
        <v>96</v>
      </c>
      <c r="DC34">
        <v>100</v>
      </c>
      <c r="DD34">
        <v>96</v>
      </c>
      <c r="DE34">
        <v>100</v>
      </c>
      <c r="DF34" s="44">
        <v>-8</v>
      </c>
      <c r="DG34" s="40"/>
      <c r="DH34">
        <v>96</v>
      </c>
      <c r="DI34">
        <v>100</v>
      </c>
      <c r="DJ34">
        <v>192</v>
      </c>
      <c r="DK34">
        <v>190</v>
      </c>
      <c r="DN34" s="44">
        <v>-2</v>
      </c>
      <c r="DO34" s="40"/>
      <c r="DP34" s="39"/>
      <c r="DR34" s="44">
        <v>0</v>
      </c>
      <c r="DS34" s="40"/>
      <c r="DT34" s="39"/>
      <c r="DV34">
        <v>152</v>
      </c>
      <c r="DW34">
        <v>150</v>
      </c>
      <c r="DX34" s="44">
        <v>2</v>
      </c>
      <c r="DY34" s="40"/>
      <c r="DZ34" s="41">
        <v>120</v>
      </c>
      <c r="EA34">
        <v>120</v>
      </c>
      <c r="EB34" s="44">
        <v>0</v>
      </c>
      <c r="EC34" s="40"/>
      <c r="ED34">
        <v>64</v>
      </c>
      <c r="EE34">
        <v>64</v>
      </c>
      <c r="EG34">
        <v>80</v>
      </c>
      <c r="EH34">
        <v>80</v>
      </c>
      <c r="EI34">
        <v>104</v>
      </c>
      <c r="EJ34">
        <v>106</v>
      </c>
      <c r="EK34" s="44">
        <v>-2</v>
      </c>
      <c r="EL34" s="40"/>
      <c r="EQ34">
        <v>80</v>
      </c>
      <c r="ER34">
        <v>80</v>
      </c>
      <c r="ES34" s="44">
        <v>0</v>
      </c>
      <c r="ET34" s="40"/>
      <c r="EU34" s="39"/>
      <c r="EW34">
        <v>48</v>
      </c>
      <c r="EX34">
        <v>53</v>
      </c>
      <c r="EY34" s="44">
        <v>-5</v>
      </c>
      <c r="EZ34" s="40"/>
      <c r="FA34" s="39"/>
      <c r="FB34">
        <v>24</v>
      </c>
      <c r="FC34">
        <v>27</v>
      </c>
      <c r="FD34" s="44">
        <v>-3</v>
      </c>
      <c r="FE34" s="40"/>
      <c r="FF34">
        <v>136</v>
      </c>
      <c r="FG34">
        <v>140</v>
      </c>
      <c r="FH34" s="44">
        <v>-4</v>
      </c>
      <c r="FI34" s="40"/>
      <c r="FJ34" s="41">
        <v>24</v>
      </c>
      <c r="FK34">
        <v>24</v>
      </c>
      <c r="FL34">
        <v>96</v>
      </c>
      <c r="FO34">
        <v>24</v>
      </c>
      <c r="FP34">
        <v>26</v>
      </c>
      <c r="FQ34" s="44">
        <v>94</v>
      </c>
      <c r="FR34" s="40"/>
      <c r="FS34">
        <v>80</v>
      </c>
      <c r="FT34">
        <v>80</v>
      </c>
      <c r="FU34">
        <v>136</v>
      </c>
      <c r="FV34">
        <v>140</v>
      </c>
      <c r="FW34" s="44">
        <v>-4</v>
      </c>
      <c r="FX34" s="40"/>
      <c r="FY34" s="39"/>
      <c r="GA34">
        <v>32</v>
      </c>
      <c r="GB34">
        <v>32</v>
      </c>
      <c r="GC34" s="44">
        <v>0</v>
      </c>
      <c r="GD34" s="40"/>
      <c r="GG34">
        <v>32</v>
      </c>
      <c r="GH34">
        <v>33</v>
      </c>
      <c r="GI34" s="44">
        <v>-1</v>
      </c>
      <c r="GJ34" s="40"/>
      <c r="GK34">
        <v>40</v>
      </c>
      <c r="GL34" s="47">
        <v>40</v>
      </c>
      <c r="GM34" s="44">
        <v>0</v>
      </c>
      <c r="GN34" s="40"/>
      <c r="GO34" s="41">
        <v>144</v>
      </c>
      <c r="GP34">
        <v>147</v>
      </c>
      <c r="GQ34" s="44">
        <v>-3</v>
      </c>
      <c r="GR34" s="40"/>
      <c r="GV34">
        <v>16</v>
      </c>
      <c r="GW34">
        <v>20</v>
      </c>
      <c r="GX34" s="44">
        <v>-4</v>
      </c>
      <c r="GY34" s="40"/>
      <c r="HD34" s="44">
        <v>0</v>
      </c>
      <c r="HE34" s="40"/>
      <c r="HF34" s="39"/>
      <c r="HJ34" s="44">
        <v>0</v>
      </c>
      <c r="HK34" s="40"/>
      <c r="HL34" s="39"/>
      <c r="HP34" s="44">
        <v>0</v>
      </c>
      <c r="HQ34" s="40"/>
      <c r="HR34">
        <v>152</v>
      </c>
      <c r="HS34">
        <v>150</v>
      </c>
      <c r="HT34">
        <v>192</v>
      </c>
      <c r="HU34">
        <v>190</v>
      </c>
      <c r="HV34" s="44">
        <v>4</v>
      </c>
      <c r="HW34" s="43"/>
      <c r="HX34">
        <v>72</v>
      </c>
      <c r="HY34">
        <v>70</v>
      </c>
      <c r="HZ34">
        <v>32</v>
      </c>
      <c r="IA34">
        <v>30</v>
      </c>
      <c r="IB34" s="44">
        <v>4</v>
      </c>
      <c r="IC34" s="43"/>
      <c r="ID34">
        <v>120</v>
      </c>
      <c r="IE34">
        <v>120</v>
      </c>
      <c r="IF34">
        <v>80</v>
      </c>
      <c r="IG34">
        <v>80</v>
      </c>
      <c r="IH34" s="44">
        <v>0</v>
      </c>
      <c r="II34" s="43"/>
      <c r="IJ34">
        <v>80</v>
      </c>
      <c r="IK34">
        <v>80</v>
      </c>
      <c r="IL34">
        <v>80</v>
      </c>
      <c r="IM34">
        <v>80</v>
      </c>
      <c r="IN34" s="44">
        <v>0</v>
      </c>
      <c r="IO34" s="40"/>
      <c r="IP34">
        <v>264</v>
      </c>
      <c r="IQ34">
        <v>271</v>
      </c>
      <c r="IR34" s="44">
        <v>-7</v>
      </c>
      <c r="IS34" s="40"/>
      <c r="IT34">
        <v>120</v>
      </c>
      <c r="IU34">
        <v>125</v>
      </c>
      <c r="IX34" s="44">
        <v>-5</v>
      </c>
      <c r="IY34" s="43"/>
      <c r="IZ34">
        <v>16</v>
      </c>
      <c r="JA34" s="47">
        <v>20</v>
      </c>
      <c r="JB34" s="44">
        <v>-4</v>
      </c>
      <c r="JC34" s="40"/>
      <c r="JH34" s="44">
        <v>0</v>
      </c>
      <c r="JI34" s="40"/>
      <c r="JJ34">
        <v>248</v>
      </c>
      <c r="JK34">
        <v>250</v>
      </c>
      <c r="JL34">
        <v>248</v>
      </c>
      <c r="JM34">
        <v>251</v>
      </c>
      <c r="JN34" s="44">
        <v>-5</v>
      </c>
      <c r="JO34" s="43"/>
      <c r="JT34" s="44">
        <v>0</v>
      </c>
      <c r="JU34" s="43"/>
      <c r="JZ34" s="44">
        <v>0</v>
      </c>
      <c r="KA34" s="43"/>
      <c r="KB34" s="41">
        <v>296</v>
      </c>
      <c r="KC34">
        <v>300</v>
      </c>
      <c r="KD34">
        <v>144</v>
      </c>
      <c r="KE34">
        <v>400</v>
      </c>
      <c r="KF34">
        <v>400</v>
      </c>
      <c r="KG34">
        <v>296</v>
      </c>
      <c r="KH34">
        <v>300</v>
      </c>
      <c r="KI34" s="44">
        <v>136</v>
      </c>
      <c r="KJ34" s="43"/>
      <c r="KK34" s="47">
        <v>32</v>
      </c>
      <c r="KL34" s="47">
        <v>32</v>
      </c>
      <c r="KM34" s="47">
        <v>72</v>
      </c>
      <c r="KN34" s="47">
        <v>32</v>
      </c>
      <c r="KO34" s="44">
        <v>40</v>
      </c>
      <c r="KP34" s="43"/>
      <c r="KQ34" s="47">
        <v>152</v>
      </c>
      <c r="KR34" s="47">
        <v>150</v>
      </c>
      <c r="KS34" s="47">
        <v>0</v>
      </c>
      <c r="KT34" s="26">
        <v>150</v>
      </c>
      <c r="KU34" s="46">
        <v>-148</v>
      </c>
      <c r="KV34" s="43">
        <v>32.56</v>
      </c>
      <c r="KW34" s="42">
        <v>88</v>
      </c>
      <c r="KX34" s="47">
        <v>90</v>
      </c>
      <c r="KY34" s="44">
        <v>-2</v>
      </c>
      <c r="KZ34" s="43"/>
      <c r="LA34" s="42">
        <v>200</v>
      </c>
      <c r="LB34" s="47">
        <v>200</v>
      </c>
      <c r="LC34" s="47">
        <v>176</v>
      </c>
      <c r="LD34" s="47">
        <v>180</v>
      </c>
      <c r="LE34" s="44">
        <v>-4</v>
      </c>
      <c r="LF34" s="43"/>
      <c r="LG34" s="42">
        <v>56</v>
      </c>
      <c r="LH34" s="47">
        <v>60</v>
      </c>
      <c r="LI34" s="47">
        <v>72</v>
      </c>
      <c r="LJ34" s="47">
        <v>70</v>
      </c>
      <c r="LK34" s="44">
        <v>-2</v>
      </c>
      <c r="LL34" s="43"/>
      <c r="LM34" s="42">
        <v>0</v>
      </c>
      <c r="LN34" s="47">
        <v>0</v>
      </c>
      <c r="LO34" s="44">
        <v>0</v>
      </c>
      <c r="LP34" s="43"/>
      <c r="LQ34" s="42">
        <v>0</v>
      </c>
      <c r="LR34" s="47">
        <v>0</v>
      </c>
      <c r="LS34" s="47">
        <v>0</v>
      </c>
      <c r="LT34" s="47">
        <v>0</v>
      </c>
      <c r="LU34" s="44">
        <v>0</v>
      </c>
      <c r="LV34" s="43"/>
      <c r="LW34" s="42">
        <v>88</v>
      </c>
      <c r="LX34" s="47">
        <v>90</v>
      </c>
      <c r="LY34" s="47">
        <v>0</v>
      </c>
      <c r="LZ34" s="47">
        <v>0</v>
      </c>
      <c r="MA34" s="44">
        <v>-2</v>
      </c>
      <c r="MB34" s="43"/>
      <c r="MC34" s="42">
        <v>0</v>
      </c>
      <c r="MD34" s="47">
        <v>0</v>
      </c>
      <c r="ME34" s="47">
        <v>296</v>
      </c>
      <c r="MF34" s="47">
        <v>300</v>
      </c>
      <c r="MG34" s="44">
        <v>-4</v>
      </c>
      <c r="MH34" s="43"/>
      <c r="MI34" s="42">
        <v>0</v>
      </c>
      <c r="MJ34" s="47">
        <v>0</v>
      </c>
      <c r="MK34" s="47">
        <v>152</v>
      </c>
      <c r="ML34" s="47">
        <v>150</v>
      </c>
      <c r="MM34" s="44">
        <v>2</v>
      </c>
      <c r="MN34" s="43"/>
      <c r="MO34" s="42">
        <v>48</v>
      </c>
      <c r="MP34" s="47">
        <v>50</v>
      </c>
      <c r="MQ34" s="47">
        <v>152</v>
      </c>
      <c r="MR34" s="47">
        <v>150</v>
      </c>
      <c r="MS34" s="44">
        <v>0</v>
      </c>
      <c r="MT34" s="43"/>
      <c r="MU34" s="22">
        <v>48</v>
      </c>
      <c r="MV34" s="47">
        <v>0</v>
      </c>
      <c r="MW34" s="47">
        <v>0</v>
      </c>
      <c r="MX34" s="47">
        <v>0</v>
      </c>
      <c r="MY34" s="44">
        <v>48</v>
      </c>
      <c r="MZ34" s="43"/>
      <c r="NA34" s="42">
        <v>48</v>
      </c>
      <c r="NB34" s="47">
        <v>50</v>
      </c>
      <c r="NC34" s="47">
        <v>48</v>
      </c>
      <c r="ND34" s="47">
        <v>50</v>
      </c>
      <c r="NE34" s="44">
        <v>-4</v>
      </c>
      <c r="NF34" s="43"/>
      <c r="NG34" s="42">
        <v>96</v>
      </c>
      <c r="NH34" s="47">
        <v>100</v>
      </c>
      <c r="NI34" s="47">
        <v>200</v>
      </c>
      <c r="NJ34" s="47">
        <v>200</v>
      </c>
      <c r="NK34" s="44">
        <v>-4</v>
      </c>
      <c r="NL34" s="43"/>
      <c r="NM34" s="42">
        <v>152</v>
      </c>
      <c r="NN34" s="47">
        <v>150</v>
      </c>
      <c r="NO34" s="47">
        <v>200</v>
      </c>
      <c r="NP34" s="47">
        <v>200</v>
      </c>
      <c r="NQ34" s="44">
        <v>2</v>
      </c>
      <c r="NR34" s="43"/>
      <c r="NS34" s="42">
        <v>96</v>
      </c>
      <c r="NT34" s="47">
        <v>100</v>
      </c>
      <c r="NU34" s="47">
        <v>152</v>
      </c>
      <c r="NV34" s="47">
        <v>150</v>
      </c>
      <c r="NW34" s="44">
        <v>-2</v>
      </c>
      <c r="NX34" s="43"/>
      <c r="NY34" s="42">
        <v>248</v>
      </c>
      <c r="NZ34" s="47">
        <v>250</v>
      </c>
      <c r="OA34" s="47">
        <v>248</v>
      </c>
      <c r="OB34" s="47">
        <v>250</v>
      </c>
      <c r="OC34" s="44">
        <v>-4</v>
      </c>
      <c r="OD34" s="43"/>
      <c r="OE34" s="42">
        <v>88</v>
      </c>
      <c r="OF34" s="47">
        <v>90</v>
      </c>
      <c r="OG34" s="47">
        <v>80</v>
      </c>
      <c r="OH34" s="47">
        <v>80</v>
      </c>
      <c r="OI34" s="44">
        <v>-2</v>
      </c>
      <c r="OJ34" s="43"/>
      <c r="OK34" s="42">
        <v>0</v>
      </c>
      <c r="OL34" s="47">
        <v>0</v>
      </c>
      <c r="OM34" s="47">
        <v>72</v>
      </c>
      <c r="ON34" s="47">
        <v>70</v>
      </c>
      <c r="OO34" s="44">
        <v>2</v>
      </c>
      <c r="OP34" s="43"/>
      <c r="OQ34" s="42">
        <v>248</v>
      </c>
      <c r="OR34" s="47">
        <v>250</v>
      </c>
      <c r="OS34" s="47">
        <v>168</v>
      </c>
      <c r="OT34" s="47">
        <v>170</v>
      </c>
      <c r="OU34" s="44">
        <v>-4</v>
      </c>
      <c r="OV34" s="43"/>
      <c r="OW34" s="42">
        <v>8</v>
      </c>
      <c r="OX34" s="47">
        <v>0</v>
      </c>
      <c r="OY34" s="47">
        <v>0</v>
      </c>
      <c r="OZ34" s="47">
        <v>0</v>
      </c>
      <c r="PA34" s="44">
        <v>8</v>
      </c>
      <c r="PB34" s="43"/>
      <c r="PC34" s="42">
        <v>0</v>
      </c>
      <c r="PD34" s="47">
        <v>0</v>
      </c>
      <c r="PE34" s="47">
        <v>80</v>
      </c>
      <c r="PF34" s="47">
        <v>80</v>
      </c>
      <c r="PG34" s="44">
        <v>0</v>
      </c>
      <c r="PH34" s="43"/>
      <c r="PI34" s="42">
        <v>48</v>
      </c>
      <c r="PJ34" s="47">
        <v>50</v>
      </c>
      <c r="PK34" s="47">
        <v>96</v>
      </c>
      <c r="PL34" s="47">
        <v>100</v>
      </c>
      <c r="PM34" s="44">
        <v>-6</v>
      </c>
      <c r="PN34" s="43"/>
      <c r="PO34" s="42">
        <v>96</v>
      </c>
      <c r="PP34" s="47">
        <v>100</v>
      </c>
      <c r="PQ34" s="47">
        <v>96</v>
      </c>
      <c r="PR34" s="47">
        <v>100</v>
      </c>
      <c r="PS34" s="44">
        <v>-8</v>
      </c>
      <c r="PT34" s="43"/>
      <c r="PU34" s="42">
        <v>0</v>
      </c>
      <c r="PV34" s="47">
        <v>0</v>
      </c>
      <c r="PW34" s="47">
        <v>0</v>
      </c>
      <c r="PX34" s="47">
        <v>0</v>
      </c>
      <c r="PY34" s="44">
        <v>0</v>
      </c>
      <c r="PZ34" s="43"/>
      <c r="QA34" s="42">
        <v>48</v>
      </c>
      <c r="QB34" s="47">
        <v>50</v>
      </c>
      <c r="QC34" s="44">
        <v>-2</v>
      </c>
      <c r="QD34" s="43"/>
      <c r="QE34" s="42">
        <v>192</v>
      </c>
      <c r="QF34" s="47">
        <v>190</v>
      </c>
      <c r="QG34" s="44">
        <v>2</v>
      </c>
      <c r="QH34" s="43"/>
      <c r="QI34" s="42">
        <v>120</v>
      </c>
      <c r="QJ34" s="47">
        <v>120</v>
      </c>
      <c r="QK34" s="44">
        <v>0</v>
      </c>
      <c r="QL34" s="43"/>
      <c r="QM34" s="42">
        <v>0</v>
      </c>
      <c r="QN34" s="47">
        <v>0</v>
      </c>
      <c r="QO34" s="47">
        <v>0</v>
      </c>
      <c r="QP34" s="47">
        <v>0</v>
      </c>
      <c r="QQ34" s="44">
        <v>0</v>
      </c>
      <c r="QR34" s="43"/>
      <c r="QS34" s="42">
        <v>96</v>
      </c>
      <c r="QT34" s="47">
        <v>100</v>
      </c>
      <c r="QU34" s="44">
        <v>-4</v>
      </c>
      <c r="QV34" s="43"/>
      <c r="QW34" s="42">
        <v>96</v>
      </c>
      <c r="QX34" s="47">
        <v>100</v>
      </c>
      <c r="QY34" s="44">
        <v>-4</v>
      </c>
      <c r="QZ34" s="43"/>
    </row>
    <row r="35" spans="1:468" x14ac:dyDescent="0.25">
      <c r="A35" s="47" t="s">
        <v>319</v>
      </c>
      <c r="B35" s="38">
        <v>1</v>
      </c>
      <c r="N35" s="39"/>
      <c r="O35" s="48"/>
      <c r="P35" s="48"/>
      <c r="Q35" s="48"/>
      <c r="R35" s="48">
        <f t="shared" si="8"/>
        <v>0</v>
      </c>
      <c r="S35" s="40"/>
      <c r="T35" s="39"/>
      <c r="U35" s="48"/>
      <c r="V35" s="48">
        <f t="shared" si="9"/>
        <v>0</v>
      </c>
      <c r="W35" s="40"/>
      <c r="X35" s="39"/>
      <c r="Y35" s="48"/>
      <c r="Z35" s="48"/>
      <c r="AA35" s="48"/>
      <c r="AB35" s="48">
        <f t="shared" si="10"/>
        <v>0</v>
      </c>
      <c r="AC35" s="40"/>
      <c r="AD35" s="48"/>
      <c r="AH35" s="44">
        <v>0</v>
      </c>
      <c r="AI35" s="40"/>
      <c r="AN35" s="44">
        <v>0</v>
      </c>
      <c r="AO35" s="40"/>
      <c r="AT35" s="44">
        <v>0</v>
      </c>
      <c r="AU35" s="40"/>
      <c r="AV35" s="39"/>
      <c r="AX35" s="44">
        <v>0</v>
      </c>
      <c r="AY35" s="40"/>
      <c r="AZ35" s="39"/>
      <c r="BB35" s="44">
        <v>0</v>
      </c>
      <c r="BC35" s="40"/>
      <c r="BH35" s="44">
        <v>0</v>
      </c>
      <c r="BI35" s="40"/>
      <c r="BL35" s="44">
        <v>0</v>
      </c>
      <c r="BM35" s="40"/>
      <c r="BN35" s="39"/>
      <c r="BR35" s="44">
        <v>0</v>
      </c>
      <c r="BS35" s="40"/>
      <c r="BV35" s="44">
        <v>0</v>
      </c>
      <c r="BW35" s="40"/>
      <c r="BX35" s="39"/>
      <c r="BZ35" s="44">
        <v>0</v>
      </c>
      <c r="CA35" s="40"/>
      <c r="CB35" s="39"/>
      <c r="CH35" s="44">
        <v>0</v>
      </c>
      <c r="CI35" s="40"/>
      <c r="CN35" s="44">
        <v>0</v>
      </c>
      <c r="CO35" s="40"/>
      <c r="CP35" s="39"/>
      <c r="CT35" s="44">
        <v>0</v>
      </c>
      <c r="CU35" s="40"/>
      <c r="CV35" s="39"/>
      <c r="CZ35" s="44">
        <v>0</v>
      </c>
      <c r="DA35" s="40"/>
      <c r="DB35" s="39"/>
      <c r="DF35" s="44">
        <v>0</v>
      </c>
      <c r="DG35" s="40"/>
      <c r="DN35" s="44">
        <v>0</v>
      </c>
      <c r="DO35" s="40"/>
      <c r="DP35" s="39"/>
      <c r="DR35" s="44">
        <v>0</v>
      </c>
      <c r="DS35" s="40"/>
      <c r="DT35" s="39"/>
      <c r="DX35" s="44">
        <v>0</v>
      </c>
      <c r="DY35" s="40"/>
      <c r="DZ35" s="39"/>
      <c r="EB35" s="44">
        <v>0</v>
      </c>
      <c r="EC35" s="40"/>
      <c r="EK35" s="44">
        <v>0</v>
      </c>
      <c r="EL35" s="40"/>
      <c r="ES35" s="44">
        <v>0</v>
      </c>
      <c r="ET35" s="40"/>
      <c r="EU35" s="39"/>
      <c r="EY35" s="44">
        <v>0</v>
      </c>
      <c r="EZ35" s="40"/>
      <c r="FA35" s="39"/>
      <c r="FD35" s="44">
        <v>0</v>
      </c>
      <c r="FE35" s="40"/>
      <c r="FH35" s="44">
        <v>0</v>
      </c>
      <c r="FI35" s="40"/>
      <c r="FJ35" s="39"/>
      <c r="FQ35" s="44">
        <v>0</v>
      </c>
      <c r="FR35" s="40"/>
      <c r="FW35" s="44">
        <v>0</v>
      </c>
      <c r="FX35" s="40"/>
      <c r="FY35" s="39"/>
      <c r="GC35" s="44">
        <v>0</v>
      </c>
      <c r="GD35" s="40"/>
      <c r="GI35" s="44">
        <v>0</v>
      </c>
      <c r="GJ35" s="40"/>
      <c r="GM35" s="44">
        <v>0</v>
      </c>
      <c r="GN35" s="40"/>
      <c r="GO35" s="39"/>
      <c r="GQ35" s="44">
        <v>0</v>
      </c>
      <c r="GR35" s="40"/>
      <c r="GX35" s="44">
        <v>0</v>
      </c>
      <c r="GY35" s="40"/>
      <c r="HD35" s="44">
        <v>0</v>
      </c>
      <c r="HE35" s="40"/>
      <c r="HF35" s="39"/>
      <c r="HJ35" s="44">
        <v>0</v>
      </c>
      <c r="HK35" s="40"/>
      <c r="HL35" s="39"/>
      <c r="HP35" s="44">
        <v>0</v>
      </c>
      <c r="HQ35" s="40"/>
      <c r="HV35" s="44">
        <v>0</v>
      </c>
      <c r="HW35" s="43"/>
      <c r="IB35" s="44">
        <v>0</v>
      </c>
      <c r="IC35" s="43"/>
      <c r="IH35" s="44">
        <v>0</v>
      </c>
      <c r="II35" s="43"/>
      <c r="IN35" s="44">
        <v>0</v>
      </c>
      <c r="IO35" s="40"/>
      <c r="IR35" s="44">
        <v>0</v>
      </c>
      <c r="IS35" s="40"/>
      <c r="IX35" s="44">
        <v>0</v>
      </c>
      <c r="IY35" s="43"/>
      <c r="JB35" s="44">
        <v>0</v>
      </c>
      <c r="JC35" s="40"/>
      <c r="JH35" s="44">
        <v>0</v>
      </c>
      <c r="JI35" s="40"/>
      <c r="JN35" s="44">
        <v>0</v>
      </c>
      <c r="JO35" s="43"/>
      <c r="JT35" s="44">
        <v>0</v>
      </c>
      <c r="JU35" s="43"/>
      <c r="JZ35" s="44">
        <v>0</v>
      </c>
      <c r="KA35" s="43"/>
      <c r="KB35" s="42"/>
      <c r="KI35" s="44">
        <v>0</v>
      </c>
      <c r="KJ35" s="43"/>
      <c r="KK35" s="47">
        <v>0</v>
      </c>
      <c r="KL35" s="47">
        <v>0</v>
      </c>
      <c r="KM35" s="47">
        <v>0</v>
      </c>
      <c r="KN35" s="47">
        <v>0</v>
      </c>
      <c r="KO35" s="44">
        <v>0</v>
      </c>
      <c r="KP35" s="43"/>
      <c r="KQ35" s="47">
        <v>0</v>
      </c>
      <c r="KR35" s="47">
        <v>0</v>
      </c>
      <c r="KS35" s="47">
        <v>0</v>
      </c>
      <c r="KT35" s="47">
        <v>0</v>
      </c>
      <c r="KU35" s="44">
        <v>0</v>
      </c>
      <c r="KV35" s="43"/>
      <c r="KW35" s="42">
        <v>0</v>
      </c>
      <c r="KX35" s="47">
        <v>0</v>
      </c>
      <c r="KY35" s="44">
        <v>0</v>
      </c>
      <c r="KZ35" s="43"/>
      <c r="LA35" s="42">
        <v>0</v>
      </c>
      <c r="LB35" s="47">
        <v>0</v>
      </c>
      <c r="LC35" s="47">
        <v>0</v>
      </c>
      <c r="LD35" s="47">
        <v>0</v>
      </c>
      <c r="LE35" s="44">
        <v>0</v>
      </c>
      <c r="LF35" s="43"/>
      <c r="LG35" s="42">
        <v>0</v>
      </c>
      <c r="LH35" s="47">
        <v>0</v>
      </c>
      <c r="LI35" s="47">
        <v>0</v>
      </c>
      <c r="LJ35" s="47">
        <v>0</v>
      </c>
      <c r="LK35" s="44">
        <v>0</v>
      </c>
      <c r="LL35" s="43"/>
      <c r="LM35" s="42">
        <v>0</v>
      </c>
      <c r="LN35" s="47">
        <v>0</v>
      </c>
      <c r="LO35" s="44">
        <v>0</v>
      </c>
      <c r="LP35" s="43"/>
      <c r="LQ35" s="42">
        <v>0</v>
      </c>
      <c r="LR35" s="47">
        <v>0</v>
      </c>
      <c r="LS35" s="47">
        <v>0</v>
      </c>
      <c r="LT35" s="47">
        <v>0</v>
      </c>
      <c r="LU35" s="44">
        <v>0</v>
      </c>
      <c r="LV35" s="43"/>
      <c r="LW35" s="42">
        <v>0</v>
      </c>
      <c r="LX35" s="47">
        <v>0</v>
      </c>
      <c r="LY35" s="47">
        <v>0</v>
      </c>
      <c r="LZ35" s="47">
        <v>0</v>
      </c>
      <c r="MA35" s="44">
        <v>0</v>
      </c>
      <c r="MB35" s="43"/>
      <c r="MC35" s="42">
        <v>0</v>
      </c>
      <c r="MD35" s="47">
        <v>0</v>
      </c>
      <c r="ME35" s="47">
        <v>0</v>
      </c>
      <c r="MF35" s="47">
        <v>0</v>
      </c>
      <c r="MG35" s="44">
        <v>0</v>
      </c>
      <c r="MH35" s="43"/>
      <c r="MI35" s="42">
        <v>0</v>
      </c>
      <c r="MJ35" s="47">
        <v>0</v>
      </c>
      <c r="MK35" s="47">
        <v>0</v>
      </c>
      <c r="ML35" s="47">
        <v>0</v>
      </c>
      <c r="MM35" s="44">
        <v>0</v>
      </c>
      <c r="MN35" s="43"/>
      <c r="MO35" s="42">
        <v>0</v>
      </c>
      <c r="MP35" s="47">
        <v>0</v>
      </c>
      <c r="MQ35" s="47">
        <v>0</v>
      </c>
      <c r="MR35" s="47">
        <v>0</v>
      </c>
      <c r="MS35" s="44">
        <v>0</v>
      </c>
      <c r="MT35" s="43"/>
      <c r="MU35" s="42">
        <v>0</v>
      </c>
      <c r="MV35" s="47">
        <v>0</v>
      </c>
      <c r="MW35" s="47">
        <v>0</v>
      </c>
      <c r="MX35" s="47">
        <v>0</v>
      </c>
      <c r="MY35" s="44">
        <v>0</v>
      </c>
      <c r="MZ35" s="43"/>
      <c r="NA35" s="42">
        <v>0</v>
      </c>
      <c r="NB35" s="47">
        <v>0</v>
      </c>
      <c r="NC35" s="47">
        <v>0</v>
      </c>
      <c r="ND35" s="47">
        <v>0</v>
      </c>
      <c r="NE35" s="44">
        <v>0</v>
      </c>
      <c r="NF35" s="43"/>
      <c r="NG35" s="42">
        <v>0</v>
      </c>
      <c r="NH35" s="47">
        <v>0</v>
      </c>
      <c r="NI35" s="47">
        <v>0</v>
      </c>
      <c r="NJ35" s="47">
        <v>0</v>
      </c>
      <c r="NK35" s="44">
        <v>0</v>
      </c>
      <c r="NL35" s="43"/>
      <c r="NM35" s="42">
        <v>0</v>
      </c>
      <c r="NN35" s="47">
        <v>0</v>
      </c>
      <c r="NO35" s="47">
        <v>0</v>
      </c>
      <c r="NP35" s="47">
        <v>0</v>
      </c>
      <c r="NQ35" s="44">
        <v>0</v>
      </c>
      <c r="NR35" s="43"/>
      <c r="NS35" s="42">
        <v>0</v>
      </c>
      <c r="NT35" s="47">
        <v>0</v>
      </c>
      <c r="NU35" s="47">
        <v>0</v>
      </c>
      <c r="NV35" s="47">
        <v>0</v>
      </c>
      <c r="NW35" s="44">
        <v>0</v>
      </c>
      <c r="NX35" s="43"/>
      <c r="NY35" s="42">
        <v>0</v>
      </c>
      <c r="NZ35" s="47">
        <v>0</v>
      </c>
      <c r="OA35" s="47">
        <v>0</v>
      </c>
      <c r="OB35" s="47">
        <v>0</v>
      </c>
      <c r="OC35" s="44">
        <v>0</v>
      </c>
      <c r="OD35" s="43"/>
      <c r="OE35" s="42">
        <v>0</v>
      </c>
      <c r="OF35" s="47">
        <v>0</v>
      </c>
      <c r="OG35" s="47">
        <v>0</v>
      </c>
      <c r="OH35" s="12">
        <v>50</v>
      </c>
      <c r="OI35" s="44">
        <v>1.25</v>
      </c>
      <c r="OJ35" s="43"/>
      <c r="OK35" s="42">
        <v>0</v>
      </c>
      <c r="OL35" s="47">
        <v>0</v>
      </c>
      <c r="OM35" s="47">
        <v>0</v>
      </c>
      <c r="ON35" s="12">
        <v>70</v>
      </c>
      <c r="OO35" s="44">
        <v>-1.459999999999994</v>
      </c>
      <c r="OP35" s="43"/>
      <c r="OQ35" s="42">
        <v>0</v>
      </c>
      <c r="OR35" s="47">
        <v>0</v>
      </c>
      <c r="OS35" s="47">
        <v>0</v>
      </c>
      <c r="OT35" s="26">
        <v>30</v>
      </c>
      <c r="OU35" s="46">
        <v>-30</v>
      </c>
      <c r="OV35" s="43">
        <v>30</v>
      </c>
      <c r="OW35" s="42">
        <v>0</v>
      </c>
      <c r="OX35" s="47">
        <v>0</v>
      </c>
      <c r="OY35" s="47">
        <v>104.29600000000001</v>
      </c>
      <c r="OZ35" s="47">
        <v>100</v>
      </c>
      <c r="PA35" s="44">
        <v>4.2960000000000056</v>
      </c>
      <c r="PB35" s="43"/>
      <c r="PC35" s="42">
        <v>0</v>
      </c>
      <c r="PD35" s="47">
        <v>0</v>
      </c>
      <c r="PE35" s="47">
        <v>51.454000000000001</v>
      </c>
      <c r="PF35" s="47">
        <v>50</v>
      </c>
      <c r="PG35" s="44">
        <v>1.4540000000000011</v>
      </c>
      <c r="PH35" s="43"/>
      <c r="PI35" s="42">
        <v>0</v>
      </c>
      <c r="PJ35" s="47">
        <v>0</v>
      </c>
      <c r="PK35" s="47">
        <v>0</v>
      </c>
      <c r="PL35" s="26">
        <v>50</v>
      </c>
      <c r="PM35" s="46">
        <v>-50</v>
      </c>
      <c r="PN35" s="43">
        <v>50</v>
      </c>
      <c r="PO35" s="42">
        <v>51.406999999999996</v>
      </c>
      <c r="PP35" s="47">
        <v>50</v>
      </c>
      <c r="PQ35" s="47">
        <v>0</v>
      </c>
      <c r="PR35" s="47">
        <v>0</v>
      </c>
      <c r="PS35" s="44">
        <v>1.406999999999996</v>
      </c>
      <c r="PT35" s="43"/>
      <c r="PU35" s="42">
        <v>0</v>
      </c>
      <c r="PV35" s="47">
        <v>0</v>
      </c>
      <c r="PW35" s="47">
        <v>57.86</v>
      </c>
      <c r="PX35" s="47">
        <v>60</v>
      </c>
      <c r="PY35" s="44">
        <v>-2.140000000000001</v>
      </c>
      <c r="PZ35" s="43"/>
      <c r="QA35" s="42">
        <v>0</v>
      </c>
      <c r="QB35" s="47">
        <v>0</v>
      </c>
      <c r="QC35" s="44">
        <v>0</v>
      </c>
      <c r="QD35" s="43"/>
      <c r="QE35" s="42">
        <v>0</v>
      </c>
      <c r="QF35" s="47">
        <v>0</v>
      </c>
      <c r="QG35" s="44">
        <v>0</v>
      </c>
      <c r="QH35" s="43"/>
      <c r="QI35" s="42">
        <v>0</v>
      </c>
      <c r="QJ35" s="47">
        <v>0</v>
      </c>
      <c r="QK35" s="44">
        <v>0</v>
      </c>
      <c r="QL35" s="43"/>
      <c r="QM35" s="42">
        <v>0</v>
      </c>
      <c r="QN35" s="47">
        <v>0</v>
      </c>
      <c r="QO35" s="47">
        <v>0</v>
      </c>
      <c r="QP35" s="47">
        <v>0</v>
      </c>
      <c r="QQ35" s="44">
        <v>0</v>
      </c>
      <c r="QR35" s="43"/>
      <c r="QS35" s="42">
        <v>0</v>
      </c>
      <c r="QT35" s="47">
        <v>0</v>
      </c>
      <c r="QU35" s="44">
        <v>0</v>
      </c>
      <c r="QV35" s="43"/>
      <c r="QW35" s="42">
        <v>0</v>
      </c>
      <c r="QX35" s="47">
        <v>0</v>
      </c>
      <c r="QY35" s="44">
        <v>0</v>
      </c>
      <c r="QZ35" s="43"/>
    </row>
    <row r="36" spans="1:468" x14ac:dyDescent="0.25">
      <c r="A36" s="47" t="s">
        <v>320</v>
      </c>
      <c r="B36" s="38">
        <v>0.4</v>
      </c>
      <c r="N36" s="39"/>
      <c r="O36" s="48"/>
      <c r="P36" s="48"/>
      <c r="Q36" s="48"/>
      <c r="R36" s="48">
        <f t="shared" si="8"/>
        <v>0</v>
      </c>
      <c r="S36" s="40"/>
      <c r="T36" s="39"/>
      <c r="U36" s="48"/>
      <c r="V36" s="48">
        <f t="shared" si="9"/>
        <v>0</v>
      </c>
      <c r="W36" s="40"/>
      <c r="X36" s="39"/>
      <c r="Y36" s="48"/>
      <c r="Z36" s="48"/>
      <c r="AA36" s="48"/>
      <c r="AB36" s="48">
        <f t="shared" si="10"/>
        <v>0</v>
      </c>
      <c r="AC36" s="40"/>
      <c r="AD36" s="48"/>
      <c r="AH36" s="44">
        <v>0</v>
      </c>
      <c r="AI36" s="40"/>
      <c r="AL36">
        <v>40</v>
      </c>
      <c r="AM36">
        <v>40</v>
      </c>
      <c r="AN36" s="44">
        <v>0</v>
      </c>
      <c r="AO36" s="40"/>
      <c r="AT36" s="44">
        <v>0</v>
      </c>
      <c r="AU36" s="40"/>
      <c r="AV36" s="39"/>
      <c r="AW36">
        <v>40</v>
      </c>
      <c r="AX36" s="46">
        <v>-40</v>
      </c>
      <c r="AY36" s="40">
        <v>16</v>
      </c>
      <c r="AZ36" s="39"/>
      <c r="BB36" s="44">
        <v>0</v>
      </c>
      <c r="BC36" s="40"/>
      <c r="BH36" s="44">
        <v>0</v>
      </c>
      <c r="BI36" s="40"/>
      <c r="BL36" s="44">
        <v>0</v>
      </c>
      <c r="BM36" s="40"/>
      <c r="BN36" s="39"/>
      <c r="BP36">
        <v>32</v>
      </c>
      <c r="BQ36">
        <v>37</v>
      </c>
      <c r="BR36" s="44">
        <v>-5</v>
      </c>
      <c r="BS36" s="40"/>
      <c r="BV36" s="44">
        <v>0</v>
      </c>
      <c r="BW36" s="40"/>
      <c r="BX36" s="41">
        <v>48</v>
      </c>
      <c r="BY36" s="44">
        <v>50</v>
      </c>
      <c r="BZ36" s="44">
        <v>-2</v>
      </c>
      <c r="CA36" s="40"/>
      <c r="CB36" s="41">
        <v>152</v>
      </c>
      <c r="CC36" s="44">
        <v>150</v>
      </c>
      <c r="CH36" s="44">
        <v>2</v>
      </c>
      <c r="CI36" s="40"/>
      <c r="CN36" s="44">
        <v>0</v>
      </c>
      <c r="CO36" s="40"/>
      <c r="CP36" s="39"/>
      <c r="CT36" s="44">
        <v>0</v>
      </c>
      <c r="CU36" s="40"/>
      <c r="CV36" s="39"/>
      <c r="CZ36" s="44">
        <v>0</v>
      </c>
      <c r="DA36" s="40"/>
      <c r="DB36" s="39"/>
      <c r="DF36" s="44">
        <v>0</v>
      </c>
      <c r="DG36" s="40"/>
      <c r="DN36" s="44">
        <v>0</v>
      </c>
      <c r="DO36" s="40"/>
      <c r="DP36" s="39"/>
      <c r="DR36" s="44">
        <v>0</v>
      </c>
      <c r="DS36" s="40"/>
      <c r="DT36" s="39"/>
      <c r="DX36" s="44">
        <v>0</v>
      </c>
      <c r="DY36" s="40"/>
      <c r="DZ36" s="39"/>
      <c r="EB36" s="44">
        <v>0</v>
      </c>
      <c r="EC36" s="40"/>
      <c r="EK36" s="44">
        <v>0</v>
      </c>
      <c r="EL36" s="40"/>
      <c r="ES36" s="44">
        <v>0</v>
      </c>
      <c r="ET36" s="40"/>
      <c r="EU36" s="39"/>
      <c r="EY36" s="44">
        <v>0</v>
      </c>
      <c r="EZ36" s="40"/>
      <c r="FA36" s="39"/>
      <c r="FD36" s="44">
        <v>0</v>
      </c>
      <c r="FE36" s="40"/>
      <c r="FH36" s="44">
        <v>0</v>
      </c>
      <c r="FI36" s="40"/>
      <c r="FJ36" s="39"/>
      <c r="FQ36" s="44">
        <v>0</v>
      </c>
      <c r="FR36" s="40"/>
      <c r="FW36" s="44">
        <v>0</v>
      </c>
      <c r="FX36" s="40"/>
      <c r="FY36" s="39"/>
      <c r="GC36" s="44">
        <v>0</v>
      </c>
      <c r="GD36" s="40"/>
      <c r="GI36" s="44">
        <v>0</v>
      </c>
      <c r="GJ36" s="40"/>
      <c r="GM36" s="44">
        <v>0</v>
      </c>
      <c r="GN36" s="40"/>
      <c r="GO36" s="39"/>
      <c r="GQ36" s="44">
        <v>0</v>
      </c>
      <c r="GR36" s="40"/>
      <c r="GX36" s="44">
        <v>0</v>
      </c>
      <c r="GY36" s="40"/>
      <c r="HD36" s="44">
        <v>0</v>
      </c>
      <c r="HE36" s="40"/>
      <c r="HF36" s="39"/>
      <c r="HJ36" s="44">
        <v>0</v>
      </c>
      <c r="HK36" s="40"/>
      <c r="HL36" s="39"/>
      <c r="HP36" s="44">
        <v>0</v>
      </c>
      <c r="HQ36" s="40"/>
      <c r="HV36" s="44">
        <v>0</v>
      </c>
      <c r="HW36" s="43"/>
      <c r="IB36" s="44">
        <v>0</v>
      </c>
      <c r="IC36" s="43"/>
      <c r="IH36" s="44">
        <v>0</v>
      </c>
      <c r="II36" s="43"/>
      <c r="IN36" s="44">
        <v>0</v>
      </c>
      <c r="IO36" s="40"/>
      <c r="IR36" s="44">
        <v>0</v>
      </c>
      <c r="IS36" s="40"/>
      <c r="IX36" s="44">
        <v>0</v>
      </c>
      <c r="IY36" s="43"/>
      <c r="JB36" s="44">
        <v>0</v>
      </c>
      <c r="JC36" s="40"/>
      <c r="JH36" s="44">
        <v>0</v>
      </c>
      <c r="JI36" s="40"/>
      <c r="JN36" s="44">
        <v>0</v>
      </c>
      <c r="JO36" s="43"/>
      <c r="JT36" s="44">
        <v>0</v>
      </c>
      <c r="JU36" s="43"/>
      <c r="JZ36" s="44">
        <v>0</v>
      </c>
      <c r="KA36" s="43"/>
      <c r="KB36" s="42"/>
      <c r="KI36" s="44">
        <v>0</v>
      </c>
      <c r="KJ36" s="43"/>
      <c r="KK36" s="47">
        <v>0</v>
      </c>
      <c r="KL36" s="47">
        <v>0</v>
      </c>
      <c r="KM36" s="47">
        <v>0</v>
      </c>
      <c r="KN36" s="47">
        <v>0</v>
      </c>
      <c r="KO36" s="44">
        <v>0</v>
      </c>
      <c r="KP36" s="43"/>
      <c r="KQ36" s="47">
        <v>0</v>
      </c>
      <c r="KR36" s="47">
        <v>0</v>
      </c>
      <c r="KS36" s="47">
        <v>0</v>
      </c>
      <c r="KT36" s="47">
        <v>0</v>
      </c>
      <c r="KU36" s="44">
        <v>0</v>
      </c>
      <c r="KV36" s="43"/>
      <c r="KW36" s="42">
        <v>0</v>
      </c>
      <c r="KX36" s="47">
        <v>0</v>
      </c>
      <c r="KY36" s="44">
        <v>0</v>
      </c>
      <c r="KZ36" s="43"/>
      <c r="LA36" s="42">
        <v>0</v>
      </c>
      <c r="LB36" s="47">
        <v>0</v>
      </c>
      <c r="LC36" s="47">
        <v>0</v>
      </c>
      <c r="LD36" s="47">
        <v>0</v>
      </c>
      <c r="LE36" s="44">
        <v>0</v>
      </c>
      <c r="LF36" s="43"/>
      <c r="LG36" s="42">
        <v>0</v>
      </c>
      <c r="LH36" s="47">
        <v>0</v>
      </c>
      <c r="LI36" s="47">
        <v>0</v>
      </c>
      <c r="LJ36" s="47">
        <v>0</v>
      </c>
      <c r="LK36" s="44">
        <v>0</v>
      </c>
      <c r="LL36" s="43"/>
      <c r="LM36" s="42">
        <v>0</v>
      </c>
      <c r="LN36" s="47">
        <v>0</v>
      </c>
      <c r="LO36" s="44">
        <v>0</v>
      </c>
      <c r="LP36" s="43"/>
      <c r="LQ36" s="42">
        <v>0</v>
      </c>
      <c r="LR36" s="47">
        <v>0</v>
      </c>
      <c r="LS36" s="47">
        <v>0</v>
      </c>
      <c r="LT36" s="47">
        <v>0</v>
      </c>
      <c r="LU36" s="44">
        <v>0</v>
      </c>
      <c r="LV36" s="43"/>
      <c r="LW36" s="42">
        <v>0</v>
      </c>
      <c r="LX36" s="47">
        <v>0</v>
      </c>
      <c r="LY36" s="47">
        <v>0</v>
      </c>
      <c r="LZ36" s="47">
        <v>0</v>
      </c>
      <c r="MA36" s="44">
        <v>0</v>
      </c>
      <c r="MB36" s="43"/>
      <c r="MC36" s="42">
        <v>0</v>
      </c>
      <c r="MD36" s="47">
        <v>0</v>
      </c>
      <c r="ME36" s="47">
        <v>0</v>
      </c>
      <c r="MF36" s="47">
        <v>0</v>
      </c>
      <c r="MG36" s="44">
        <v>0</v>
      </c>
      <c r="MH36" s="43"/>
      <c r="MI36" s="42">
        <v>0</v>
      </c>
      <c r="MJ36" s="47">
        <v>0</v>
      </c>
      <c r="MK36" s="47">
        <v>0</v>
      </c>
      <c r="ML36" s="47">
        <v>0</v>
      </c>
      <c r="MM36" s="44">
        <v>0</v>
      </c>
      <c r="MN36" s="43"/>
      <c r="MO36" s="42">
        <v>0</v>
      </c>
      <c r="MP36" s="47">
        <v>0</v>
      </c>
      <c r="MQ36" s="47">
        <v>0</v>
      </c>
      <c r="MR36" s="47">
        <v>0</v>
      </c>
      <c r="MS36" s="44">
        <v>0</v>
      </c>
      <c r="MT36" s="43"/>
      <c r="MU36" s="42">
        <v>0</v>
      </c>
      <c r="MV36" s="47">
        <v>0</v>
      </c>
      <c r="MW36" s="47">
        <v>0</v>
      </c>
      <c r="MX36" s="47">
        <v>0</v>
      </c>
      <c r="MY36" s="44">
        <v>0</v>
      </c>
      <c r="MZ36" s="43"/>
      <c r="NA36" s="42">
        <v>0</v>
      </c>
      <c r="NB36" s="47">
        <v>0</v>
      </c>
      <c r="NC36" s="47">
        <v>0</v>
      </c>
      <c r="ND36" s="47">
        <v>0</v>
      </c>
      <c r="NE36" s="44">
        <v>0</v>
      </c>
      <c r="NF36" s="43"/>
      <c r="NG36" s="42">
        <v>0</v>
      </c>
      <c r="NH36" s="47">
        <v>0</v>
      </c>
      <c r="NI36" s="47">
        <v>0</v>
      </c>
      <c r="NJ36" s="47">
        <v>0</v>
      </c>
      <c r="NK36" s="44">
        <v>0</v>
      </c>
      <c r="NL36" s="43"/>
      <c r="NM36" s="42">
        <v>0</v>
      </c>
      <c r="NN36" s="47">
        <v>0</v>
      </c>
      <c r="NO36" s="47">
        <v>0</v>
      </c>
      <c r="NP36" s="47">
        <v>0</v>
      </c>
      <c r="NQ36" s="44">
        <v>0</v>
      </c>
      <c r="NR36" s="43"/>
      <c r="NS36" s="42">
        <v>0</v>
      </c>
      <c r="NT36" s="47">
        <v>0</v>
      </c>
      <c r="NU36" s="47">
        <v>0</v>
      </c>
      <c r="NV36" s="47">
        <v>0</v>
      </c>
      <c r="NW36" s="44">
        <v>0</v>
      </c>
      <c r="NX36" s="43"/>
      <c r="NY36" s="42">
        <v>0</v>
      </c>
      <c r="NZ36" s="47">
        <v>0</v>
      </c>
      <c r="OA36" s="47">
        <v>0</v>
      </c>
      <c r="OB36" s="47">
        <v>0</v>
      </c>
      <c r="OC36" s="44">
        <v>0</v>
      </c>
      <c r="OD36" s="43"/>
      <c r="OE36" s="42">
        <v>0</v>
      </c>
      <c r="OF36" s="47">
        <v>0</v>
      </c>
      <c r="OG36" s="47">
        <v>0</v>
      </c>
      <c r="OH36" s="47">
        <v>0</v>
      </c>
      <c r="OI36" s="44">
        <v>0</v>
      </c>
      <c r="OJ36" s="43"/>
      <c r="OK36" s="42">
        <v>0</v>
      </c>
      <c r="OL36" s="47">
        <v>0</v>
      </c>
      <c r="OM36" s="47">
        <v>0</v>
      </c>
      <c r="ON36" s="47">
        <v>0</v>
      </c>
      <c r="OO36" s="44">
        <v>0</v>
      </c>
      <c r="OP36" s="43"/>
      <c r="OQ36" s="42">
        <v>0</v>
      </c>
      <c r="OR36" s="47">
        <v>0</v>
      </c>
      <c r="OS36" s="47">
        <v>0</v>
      </c>
      <c r="OT36" s="47">
        <v>0</v>
      </c>
      <c r="OU36" s="44">
        <v>0</v>
      </c>
      <c r="OV36" s="43"/>
      <c r="OW36" s="42">
        <v>0</v>
      </c>
      <c r="OX36" s="47">
        <v>0</v>
      </c>
      <c r="OY36" s="47">
        <v>184</v>
      </c>
      <c r="OZ36" s="47">
        <v>150</v>
      </c>
      <c r="PA36" s="44">
        <v>34</v>
      </c>
      <c r="PB36" s="43"/>
      <c r="PC36" s="42">
        <v>0</v>
      </c>
      <c r="PD36" s="47">
        <v>0</v>
      </c>
      <c r="PE36" s="47">
        <v>0</v>
      </c>
      <c r="PF36" s="26">
        <v>23</v>
      </c>
      <c r="PG36" s="46">
        <v>-23</v>
      </c>
      <c r="PH36" s="43">
        <v>9.2000000000000011</v>
      </c>
      <c r="PI36" s="42">
        <v>0</v>
      </c>
      <c r="PJ36" s="47">
        <v>0</v>
      </c>
      <c r="PK36" s="47">
        <v>136</v>
      </c>
      <c r="PL36" s="47">
        <v>141</v>
      </c>
      <c r="PM36" s="44">
        <v>-5</v>
      </c>
      <c r="PN36" s="43"/>
      <c r="PO36" s="42">
        <v>48</v>
      </c>
      <c r="PP36" s="47">
        <v>50</v>
      </c>
      <c r="PQ36" s="47">
        <v>48</v>
      </c>
      <c r="PR36" s="47">
        <v>50</v>
      </c>
      <c r="PS36" s="44">
        <v>-4</v>
      </c>
      <c r="PT36" s="43"/>
      <c r="PU36" s="42">
        <v>0</v>
      </c>
      <c r="PV36" s="47">
        <v>0</v>
      </c>
      <c r="PW36" s="47">
        <v>112</v>
      </c>
      <c r="PX36" s="47">
        <v>110</v>
      </c>
      <c r="PY36" s="44">
        <v>2</v>
      </c>
      <c r="PZ36" s="43"/>
      <c r="QA36" s="42">
        <v>0</v>
      </c>
      <c r="QB36" s="47">
        <v>0</v>
      </c>
      <c r="QC36" s="44">
        <v>0</v>
      </c>
      <c r="QD36" s="43"/>
      <c r="QE36" s="42">
        <v>296</v>
      </c>
      <c r="QF36" s="47">
        <v>300</v>
      </c>
      <c r="QG36" s="44">
        <v>-4</v>
      </c>
      <c r="QH36" s="43"/>
      <c r="QI36" s="42">
        <v>80</v>
      </c>
      <c r="QJ36" s="47">
        <v>80</v>
      </c>
      <c r="QK36" s="44">
        <v>0</v>
      </c>
      <c r="QL36" s="43"/>
      <c r="QM36" s="42">
        <v>0</v>
      </c>
      <c r="QN36" s="47">
        <v>0</v>
      </c>
      <c r="QO36" s="47">
        <v>0</v>
      </c>
      <c r="QP36" s="47">
        <v>0</v>
      </c>
      <c r="QQ36" s="44">
        <v>0</v>
      </c>
      <c r="QR36" s="43"/>
      <c r="QS36" s="42">
        <v>0</v>
      </c>
      <c r="QT36" s="47">
        <v>0</v>
      </c>
      <c r="QU36" s="44">
        <v>0</v>
      </c>
      <c r="QV36" s="43"/>
      <c r="QW36" s="42">
        <v>304</v>
      </c>
      <c r="QX36" s="47">
        <v>310</v>
      </c>
      <c r="QY36" s="44">
        <v>-6</v>
      </c>
      <c r="QZ36" s="43"/>
    </row>
    <row r="37" spans="1:468" x14ac:dyDescent="0.25">
      <c r="A37" s="47" t="s">
        <v>321</v>
      </c>
      <c r="B37" s="38">
        <v>1</v>
      </c>
      <c r="N37" s="39"/>
      <c r="O37" s="48"/>
      <c r="P37" s="48"/>
      <c r="Q37" s="48"/>
      <c r="R37" s="48">
        <f t="shared" si="8"/>
        <v>0</v>
      </c>
      <c r="S37" s="40"/>
      <c r="T37" s="39"/>
      <c r="U37" s="48"/>
      <c r="V37" s="48">
        <f t="shared" si="9"/>
        <v>0</v>
      </c>
      <c r="W37" s="40"/>
      <c r="X37" s="39"/>
      <c r="Y37" s="48"/>
      <c r="Z37" s="48"/>
      <c r="AA37" s="48"/>
      <c r="AB37" s="48">
        <f t="shared" si="10"/>
        <v>0</v>
      </c>
      <c r="AC37" s="40"/>
      <c r="AD37" s="48"/>
      <c r="AH37" s="44">
        <v>0</v>
      </c>
      <c r="AI37" s="40"/>
      <c r="AN37" s="44">
        <v>0</v>
      </c>
      <c r="AO37" s="40"/>
      <c r="AT37" s="44">
        <v>0</v>
      </c>
      <c r="AU37" s="40"/>
      <c r="AV37" s="39"/>
      <c r="AX37" s="44">
        <v>0</v>
      </c>
      <c r="AY37" s="40"/>
      <c r="AZ37" s="39"/>
      <c r="BB37" s="44">
        <v>0</v>
      </c>
      <c r="BC37" s="40"/>
      <c r="BH37" s="44">
        <v>0</v>
      </c>
      <c r="BI37" s="40"/>
      <c r="BL37" s="44">
        <v>0</v>
      </c>
      <c r="BM37" s="40"/>
      <c r="BN37" s="39"/>
      <c r="BR37" s="44">
        <v>0</v>
      </c>
      <c r="BS37" s="40"/>
      <c r="BV37" s="44">
        <v>0</v>
      </c>
      <c r="BW37" s="40"/>
      <c r="BX37" s="39"/>
      <c r="BZ37" s="44">
        <v>0</v>
      </c>
      <c r="CA37" s="40"/>
      <c r="CB37" s="39"/>
      <c r="CH37" s="44">
        <v>0</v>
      </c>
      <c r="CI37" s="40"/>
      <c r="CN37" s="44">
        <v>0</v>
      </c>
      <c r="CO37" s="40"/>
      <c r="CP37" s="39"/>
      <c r="CT37" s="44">
        <v>0</v>
      </c>
      <c r="CU37" s="40"/>
      <c r="CV37" s="39"/>
      <c r="CZ37" s="44">
        <v>0</v>
      </c>
      <c r="DA37" s="40"/>
      <c r="DB37" s="39"/>
      <c r="DF37" s="44">
        <v>0</v>
      </c>
      <c r="DG37" s="40"/>
      <c r="DN37" s="44">
        <v>0</v>
      </c>
      <c r="DO37" s="40"/>
      <c r="DP37" s="39"/>
      <c r="DR37" s="44">
        <v>0</v>
      </c>
      <c r="DS37" s="40"/>
      <c r="DT37" s="39"/>
      <c r="DX37" s="44">
        <v>0</v>
      </c>
      <c r="DY37" s="40"/>
      <c r="DZ37" s="39"/>
      <c r="EB37" s="44">
        <v>0</v>
      </c>
      <c r="EC37" s="40"/>
      <c r="EK37" s="44">
        <v>0</v>
      </c>
      <c r="EL37" s="40"/>
      <c r="ES37" s="44">
        <v>0</v>
      </c>
      <c r="ET37" s="40"/>
      <c r="EU37" s="39"/>
      <c r="EY37" s="44">
        <v>0</v>
      </c>
      <c r="EZ37" s="40"/>
      <c r="FA37" s="39"/>
      <c r="FD37" s="44">
        <v>0</v>
      </c>
      <c r="FE37" s="40"/>
      <c r="FH37" s="44">
        <v>0</v>
      </c>
      <c r="FI37" s="40"/>
      <c r="FJ37" s="39"/>
      <c r="FQ37" s="44">
        <v>0</v>
      </c>
      <c r="FR37" s="40"/>
      <c r="FW37" s="44">
        <v>0</v>
      </c>
      <c r="FX37" s="40"/>
      <c r="FY37" s="39"/>
      <c r="GC37" s="44">
        <v>0</v>
      </c>
      <c r="GD37" s="40"/>
      <c r="GI37" s="44">
        <v>0</v>
      </c>
      <c r="GJ37" s="40"/>
      <c r="GM37" s="44">
        <v>0</v>
      </c>
      <c r="GN37" s="40"/>
      <c r="GO37" s="39"/>
      <c r="GQ37" s="44">
        <v>0</v>
      </c>
      <c r="GR37" s="40"/>
      <c r="GX37" s="44">
        <v>0</v>
      </c>
      <c r="GY37" s="40"/>
      <c r="HD37" s="44">
        <v>0</v>
      </c>
      <c r="HE37" s="40"/>
      <c r="HF37" s="39"/>
      <c r="HJ37" s="44">
        <v>0</v>
      </c>
      <c r="HK37" s="40"/>
      <c r="HL37" s="39"/>
      <c r="HP37" s="44">
        <v>0</v>
      </c>
      <c r="HQ37" s="40"/>
      <c r="HV37" s="44">
        <v>0</v>
      </c>
      <c r="HW37" s="43"/>
      <c r="IB37" s="44">
        <v>0</v>
      </c>
      <c r="IC37" s="43"/>
      <c r="IH37" s="44">
        <v>0</v>
      </c>
      <c r="II37" s="43"/>
      <c r="IN37" s="44">
        <v>0</v>
      </c>
      <c r="IO37" s="40"/>
      <c r="IR37" s="44">
        <v>0</v>
      </c>
      <c r="IS37" s="40"/>
      <c r="IX37" s="44">
        <v>0</v>
      </c>
      <c r="IY37" s="43"/>
      <c r="JB37" s="44">
        <v>0</v>
      </c>
      <c r="JC37" s="40"/>
      <c r="JH37" s="44">
        <v>0</v>
      </c>
      <c r="JI37" s="40"/>
      <c r="JN37" s="44">
        <v>0</v>
      </c>
      <c r="JO37" s="43"/>
      <c r="JT37" s="44">
        <v>0</v>
      </c>
      <c r="JU37" s="43"/>
      <c r="JZ37" s="44">
        <v>0</v>
      </c>
      <c r="KA37" s="43"/>
      <c r="KB37" s="42"/>
      <c r="KI37" s="44">
        <v>0</v>
      </c>
      <c r="KJ37" s="43"/>
      <c r="KK37" s="47">
        <v>0</v>
      </c>
      <c r="KL37" s="47">
        <v>0</v>
      </c>
      <c r="KM37" s="47">
        <v>0</v>
      </c>
      <c r="KN37" s="47">
        <v>0</v>
      </c>
      <c r="KO37" s="44">
        <v>0</v>
      </c>
      <c r="KP37" s="43"/>
      <c r="KQ37" s="47">
        <v>0</v>
      </c>
      <c r="KR37" s="47">
        <v>0</v>
      </c>
      <c r="KS37" s="47">
        <v>0</v>
      </c>
      <c r="KT37" s="47">
        <v>0</v>
      </c>
      <c r="KU37" s="44">
        <v>0</v>
      </c>
      <c r="KV37" s="43"/>
      <c r="KW37" s="42">
        <v>0</v>
      </c>
      <c r="KX37" s="47">
        <v>0</v>
      </c>
      <c r="KY37" s="44">
        <v>0</v>
      </c>
      <c r="KZ37" s="43"/>
      <c r="LA37" s="42">
        <v>0</v>
      </c>
      <c r="LB37" s="47">
        <v>0</v>
      </c>
      <c r="LC37" s="47">
        <v>0</v>
      </c>
      <c r="LD37" s="47">
        <v>0</v>
      </c>
      <c r="LE37" s="44">
        <v>0</v>
      </c>
      <c r="LF37" s="43"/>
      <c r="LG37" s="42">
        <v>0</v>
      </c>
      <c r="LH37" s="47">
        <v>0</v>
      </c>
      <c r="LI37" s="47">
        <v>0</v>
      </c>
      <c r="LJ37" s="47">
        <v>0</v>
      </c>
      <c r="LK37" s="44">
        <v>0</v>
      </c>
      <c r="LL37" s="43"/>
      <c r="LM37" s="42">
        <v>0</v>
      </c>
      <c r="LN37" s="47">
        <v>0</v>
      </c>
      <c r="LO37" s="44">
        <v>0</v>
      </c>
      <c r="LP37" s="43"/>
      <c r="LQ37" s="42">
        <v>0</v>
      </c>
      <c r="LR37" s="47">
        <v>0</v>
      </c>
      <c r="LS37" s="47">
        <v>0</v>
      </c>
      <c r="LT37" s="47">
        <v>0</v>
      </c>
      <c r="LU37" s="44">
        <v>0</v>
      </c>
      <c r="LV37" s="43"/>
      <c r="LW37" s="42">
        <v>0</v>
      </c>
      <c r="LX37" s="47">
        <v>0</v>
      </c>
      <c r="LY37" s="47">
        <v>0</v>
      </c>
      <c r="LZ37" s="47">
        <v>0</v>
      </c>
      <c r="MA37" s="44">
        <v>0</v>
      </c>
      <c r="MB37" s="43"/>
      <c r="MC37" s="42">
        <v>0</v>
      </c>
      <c r="MD37" s="47">
        <v>0</v>
      </c>
      <c r="ME37" s="47">
        <v>0</v>
      </c>
      <c r="MF37" s="47">
        <v>0</v>
      </c>
      <c r="MG37" s="44">
        <v>0</v>
      </c>
      <c r="MH37" s="43"/>
      <c r="MI37" s="42">
        <v>0</v>
      </c>
      <c r="MJ37" s="47">
        <v>0</v>
      </c>
      <c r="MK37" s="47">
        <v>0</v>
      </c>
      <c r="ML37" s="47">
        <v>0</v>
      </c>
      <c r="MM37" s="44">
        <v>0</v>
      </c>
      <c r="MN37" s="43"/>
      <c r="MO37" s="42">
        <v>0</v>
      </c>
      <c r="MP37" s="47">
        <v>0</v>
      </c>
      <c r="MQ37" s="47">
        <v>0</v>
      </c>
      <c r="MR37" s="47">
        <v>0</v>
      </c>
      <c r="MS37" s="44">
        <v>0</v>
      </c>
      <c r="MT37" s="43"/>
      <c r="MU37" s="42">
        <v>0</v>
      </c>
      <c r="MV37" s="26">
        <v>40</v>
      </c>
      <c r="MW37" s="47">
        <v>166.85300000000001</v>
      </c>
      <c r="MX37" s="47">
        <v>167.99799999999999</v>
      </c>
      <c r="MY37" s="46">
        <v>-41.144999999999982</v>
      </c>
      <c r="MZ37" s="43">
        <v>41.144999999999982</v>
      </c>
      <c r="NA37" s="42">
        <v>0</v>
      </c>
      <c r="NB37" s="47">
        <v>0</v>
      </c>
      <c r="NC37" s="47">
        <v>0</v>
      </c>
      <c r="ND37" s="47">
        <v>0</v>
      </c>
      <c r="NE37" s="44">
        <v>0</v>
      </c>
      <c r="NF37" s="43"/>
      <c r="NG37" s="42">
        <v>0</v>
      </c>
      <c r="NH37" s="47">
        <v>0</v>
      </c>
      <c r="NI37" s="47">
        <v>0</v>
      </c>
      <c r="NJ37" s="47">
        <v>0</v>
      </c>
      <c r="NK37" s="44">
        <v>0</v>
      </c>
      <c r="NL37" s="43"/>
      <c r="NM37" s="42">
        <v>0</v>
      </c>
      <c r="NN37" s="47">
        <v>0</v>
      </c>
      <c r="NO37" s="47">
        <v>0</v>
      </c>
      <c r="NP37" s="47">
        <v>0</v>
      </c>
      <c r="NQ37" s="44">
        <v>0</v>
      </c>
      <c r="NR37" s="43"/>
      <c r="NS37" s="42">
        <v>103.44499999999999</v>
      </c>
      <c r="NT37" s="47">
        <v>100</v>
      </c>
      <c r="NU37" s="47">
        <v>102.83499999999999</v>
      </c>
      <c r="NV37" s="47">
        <v>100</v>
      </c>
      <c r="NW37" s="44">
        <v>6.2799999999999727</v>
      </c>
      <c r="NX37" s="43"/>
      <c r="NY37" s="42">
        <v>0</v>
      </c>
      <c r="NZ37" s="47">
        <v>0</v>
      </c>
      <c r="OA37" s="47">
        <v>0</v>
      </c>
      <c r="OB37" s="47">
        <v>0</v>
      </c>
      <c r="OC37" s="44">
        <v>0</v>
      </c>
      <c r="OD37" s="43"/>
      <c r="OE37" s="42">
        <v>119.152</v>
      </c>
      <c r="OF37" s="47">
        <v>120</v>
      </c>
      <c r="OG37" s="47">
        <v>81.206999999999994</v>
      </c>
      <c r="OH37" s="47">
        <v>80</v>
      </c>
      <c r="OI37" s="44">
        <v>0.35899999999998039</v>
      </c>
      <c r="OJ37" s="43"/>
      <c r="OK37" s="42">
        <v>102.95399999999999</v>
      </c>
      <c r="OL37" s="47">
        <v>100</v>
      </c>
      <c r="OM37" s="47">
        <v>92.153999999999996</v>
      </c>
      <c r="ON37" s="47">
        <v>90</v>
      </c>
      <c r="OO37" s="44">
        <v>5.1080000000000041</v>
      </c>
      <c r="OP37" s="43"/>
      <c r="OQ37" s="42">
        <v>0</v>
      </c>
      <c r="OR37" s="47">
        <v>0</v>
      </c>
      <c r="OS37" s="47">
        <v>0</v>
      </c>
      <c r="OT37" s="47">
        <v>0</v>
      </c>
      <c r="OU37" s="44">
        <v>0</v>
      </c>
      <c r="OV37" s="43"/>
      <c r="OW37" s="42">
        <v>70.286000000000001</v>
      </c>
      <c r="OX37" s="47">
        <v>70</v>
      </c>
      <c r="OY37" s="47">
        <v>119.491</v>
      </c>
      <c r="OZ37" s="47">
        <v>117</v>
      </c>
      <c r="PA37" s="44">
        <v>2.7769999999999868</v>
      </c>
      <c r="PB37" s="43"/>
      <c r="PC37" s="42">
        <v>0</v>
      </c>
      <c r="PD37" s="47">
        <v>0</v>
      </c>
      <c r="PE37" s="47">
        <v>0</v>
      </c>
      <c r="PF37" s="47">
        <v>0</v>
      </c>
      <c r="PG37" s="44">
        <v>0</v>
      </c>
      <c r="PH37" s="43"/>
      <c r="PI37" s="42">
        <v>59.668999999999997</v>
      </c>
      <c r="PJ37" s="47">
        <v>60</v>
      </c>
      <c r="PK37" s="47">
        <v>108.572</v>
      </c>
      <c r="PL37" s="47">
        <v>106</v>
      </c>
      <c r="PM37" s="44">
        <v>2.240999999999985</v>
      </c>
      <c r="PN37" s="43"/>
      <c r="PO37" s="42">
        <v>0</v>
      </c>
      <c r="PP37" s="47">
        <v>0</v>
      </c>
      <c r="PQ37" s="47">
        <v>0</v>
      </c>
      <c r="PR37" s="47">
        <v>0</v>
      </c>
      <c r="PS37" s="44">
        <v>0</v>
      </c>
      <c r="PT37" s="43"/>
      <c r="PU37" s="42">
        <v>81.712999999999994</v>
      </c>
      <c r="PV37" s="47">
        <v>80</v>
      </c>
      <c r="PW37" s="47">
        <v>59.844999999999999</v>
      </c>
      <c r="PX37" s="47">
        <v>60</v>
      </c>
      <c r="PY37" s="44">
        <v>1.5579999999999929</v>
      </c>
      <c r="PZ37" s="43"/>
      <c r="QA37" s="42">
        <v>119.28100000000001</v>
      </c>
      <c r="QB37" s="47">
        <v>120</v>
      </c>
      <c r="QC37" s="44">
        <v>-0.71899999999999409</v>
      </c>
      <c r="QD37" s="43"/>
      <c r="QE37" s="42">
        <v>48.453000000000003</v>
      </c>
      <c r="QF37" s="47">
        <v>50</v>
      </c>
      <c r="QG37" s="44">
        <v>-1.546999999999997</v>
      </c>
      <c r="QH37" s="43"/>
      <c r="QI37" s="42">
        <v>101.904</v>
      </c>
      <c r="QJ37" s="47">
        <v>100</v>
      </c>
      <c r="QK37" s="44">
        <v>1.9039999999999959</v>
      </c>
      <c r="QL37" s="43"/>
      <c r="QM37" s="42">
        <v>0</v>
      </c>
      <c r="QN37" s="47">
        <v>0</v>
      </c>
      <c r="QO37" s="47">
        <v>0</v>
      </c>
      <c r="QP37" s="47">
        <v>0</v>
      </c>
      <c r="QQ37" s="44">
        <v>0</v>
      </c>
      <c r="QR37" s="43"/>
      <c r="QS37" s="42">
        <v>0</v>
      </c>
      <c r="QT37" s="47">
        <v>0</v>
      </c>
      <c r="QU37" s="44">
        <v>0</v>
      </c>
      <c r="QV37" s="43"/>
      <c r="QW37" s="42">
        <v>301.60700000000003</v>
      </c>
      <c r="QX37" s="47">
        <v>300</v>
      </c>
      <c r="QY37" s="44">
        <v>1.607000000000028</v>
      </c>
      <c r="QZ37" s="43"/>
    </row>
    <row r="38" spans="1:468" x14ac:dyDescent="0.25">
      <c r="A38" s="47" t="s">
        <v>322</v>
      </c>
      <c r="B38" s="38">
        <v>1</v>
      </c>
      <c r="N38" s="39"/>
      <c r="O38" s="48"/>
      <c r="P38" s="48"/>
      <c r="Q38" s="48"/>
      <c r="R38" s="48">
        <f t="shared" si="8"/>
        <v>0</v>
      </c>
      <c r="S38" s="40"/>
      <c r="T38" s="39"/>
      <c r="U38" s="48"/>
      <c r="V38" s="48">
        <f t="shared" si="9"/>
        <v>0</v>
      </c>
      <c r="W38" s="40"/>
      <c r="X38" s="39"/>
      <c r="Y38" s="48"/>
      <c r="Z38" s="48"/>
      <c r="AA38" s="48"/>
      <c r="AB38" s="48">
        <f t="shared" si="10"/>
        <v>0</v>
      </c>
      <c r="AC38" s="40"/>
      <c r="AD38" s="48"/>
      <c r="AH38" s="44">
        <v>0</v>
      </c>
      <c r="AI38" s="40"/>
      <c r="AN38" s="44">
        <v>0</v>
      </c>
      <c r="AO38" s="40"/>
      <c r="AT38" s="44">
        <v>0</v>
      </c>
      <c r="AU38" s="40"/>
      <c r="AV38" s="39"/>
      <c r="AX38" s="44">
        <v>0</v>
      </c>
      <c r="AY38" s="40"/>
      <c r="AZ38" s="39"/>
      <c r="BB38" s="44">
        <v>0</v>
      </c>
      <c r="BC38" s="40"/>
      <c r="BH38" s="44">
        <v>0</v>
      </c>
      <c r="BI38" s="40"/>
      <c r="BL38" s="44">
        <v>0</v>
      </c>
      <c r="BM38" s="40"/>
      <c r="BN38" s="39"/>
      <c r="BR38" s="44">
        <v>0</v>
      </c>
      <c r="BS38" s="40"/>
      <c r="BV38" s="44">
        <v>0</v>
      </c>
      <c r="BW38" s="40"/>
      <c r="BX38" s="39"/>
      <c r="BZ38" s="44">
        <v>0</v>
      </c>
      <c r="CA38" s="40"/>
      <c r="CB38" s="39"/>
      <c r="CH38" s="44">
        <v>0</v>
      </c>
      <c r="CI38" s="40"/>
      <c r="CN38" s="44">
        <v>0</v>
      </c>
      <c r="CO38" s="40"/>
      <c r="CP38" s="39"/>
      <c r="CT38" s="44">
        <v>0</v>
      </c>
      <c r="CU38" s="40"/>
      <c r="CV38" s="39"/>
      <c r="CZ38" s="44">
        <v>0</v>
      </c>
      <c r="DA38" s="40"/>
      <c r="DB38" s="39"/>
      <c r="DF38" s="44">
        <v>0</v>
      </c>
      <c r="DG38" s="40"/>
      <c r="DN38" s="44">
        <v>0</v>
      </c>
      <c r="DO38" s="40"/>
      <c r="DP38" s="39"/>
      <c r="DR38" s="44">
        <v>0</v>
      </c>
      <c r="DS38" s="40"/>
      <c r="DT38" s="39"/>
      <c r="DX38" s="44">
        <v>0</v>
      </c>
      <c r="DY38" s="40"/>
      <c r="DZ38" s="39"/>
      <c r="EB38" s="44">
        <v>0</v>
      </c>
      <c r="EC38" s="40"/>
      <c r="EK38" s="44">
        <v>0</v>
      </c>
      <c r="EL38" s="40"/>
      <c r="ES38" s="44">
        <v>0</v>
      </c>
      <c r="ET38" s="40"/>
      <c r="EU38" s="39"/>
      <c r="EY38" s="44">
        <v>0</v>
      </c>
      <c r="EZ38" s="40"/>
      <c r="FA38" s="39"/>
      <c r="FD38" s="44">
        <v>0</v>
      </c>
      <c r="FE38" s="40"/>
      <c r="FH38" s="44">
        <v>0</v>
      </c>
      <c r="FI38" s="40"/>
      <c r="FJ38" s="39"/>
      <c r="FQ38" s="44">
        <v>0</v>
      </c>
      <c r="FR38" s="40"/>
      <c r="FW38" s="44">
        <v>0</v>
      </c>
      <c r="FX38" s="40"/>
      <c r="FY38" s="39"/>
      <c r="GC38" s="44">
        <v>0</v>
      </c>
      <c r="GD38" s="40"/>
      <c r="GI38" s="44">
        <v>0</v>
      </c>
      <c r="GJ38" s="40"/>
      <c r="GM38" s="44">
        <v>0</v>
      </c>
      <c r="GN38" s="40"/>
      <c r="GO38" s="39"/>
      <c r="GQ38" s="44">
        <v>0</v>
      </c>
      <c r="GR38" s="40"/>
      <c r="GX38" s="44">
        <v>0</v>
      </c>
      <c r="GY38" s="40"/>
      <c r="HD38" s="44">
        <v>0</v>
      </c>
      <c r="HE38" s="40"/>
      <c r="HF38" s="39"/>
      <c r="HJ38" s="44">
        <v>0</v>
      </c>
      <c r="HK38" s="40"/>
      <c r="HL38" s="39"/>
      <c r="HP38" s="44">
        <v>0</v>
      </c>
      <c r="HQ38" s="40"/>
      <c r="HV38" s="44">
        <v>0</v>
      </c>
      <c r="HW38" s="43"/>
      <c r="IB38" s="44">
        <v>0</v>
      </c>
      <c r="IC38" s="43"/>
      <c r="IH38" s="44">
        <v>0</v>
      </c>
      <c r="II38" s="43"/>
      <c r="IN38" s="44">
        <v>0</v>
      </c>
      <c r="IO38" s="40"/>
      <c r="IR38" s="44">
        <v>0</v>
      </c>
      <c r="IS38" s="40"/>
      <c r="IX38" s="44">
        <v>0</v>
      </c>
      <c r="IY38" s="43"/>
      <c r="JB38" s="44">
        <v>0</v>
      </c>
      <c r="JC38" s="40"/>
      <c r="JH38" s="44">
        <v>0</v>
      </c>
      <c r="JI38" s="40"/>
      <c r="JN38" s="44">
        <v>0</v>
      </c>
      <c r="JO38" s="43"/>
      <c r="JT38" s="44">
        <v>0</v>
      </c>
      <c r="JU38" s="43"/>
      <c r="JZ38" s="44">
        <v>0</v>
      </c>
      <c r="KA38" s="43"/>
      <c r="KB38" s="42"/>
      <c r="KI38" s="44">
        <v>0</v>
      </c>
      <c r="KJ38" s="43"/>
      <c r="KK38" s="47">
        <v>0</v>
      </c>
      <c r="KL38" s="47">
        <v>0</v>
      </c>
      <c r="KM38" s="47">
        <v>0</v>
      </c>
      <c r="KN38" s="47">
        <v>0</v>
      </c>
      <c r="KO38" s="44">
        <v>0</v>
      </c>
      <c r="KP38" s="43"/>
      <c r="KQ38" s="47">
        <v>0</v>
      </c>
      <c r="KR38" s="47">
        <v>0</v>
      </c>
      <c r="KS38" s="47">
        <v>0</v>
      </c>
      <c r="KT38" s="47">
        <v>0</v>
      </c>
      <c r="KU38" s="44">
        <v>0</v>
      </c>
      <c r="KV38" s="43"/>
      <c r="KW38" s="42">
        <v>0</v>
      </c>
      <c r="KX38" s="47">
        <v>0</v>
      </c>
      <c r="KY38" s="44">
        <v>0</v>
      </c>
      <c r="KZ38" s="43"/>
      <c r="LA38" s="42">
        <v>0</v>
      </c>
      <c r="LB38" s="47">
        <v>0</v>
      </c>
      <c r="LC38" s="47">
        <v>0</v>
      </c>
      <c r="LD38" s="47">
        <v>0</v>
      </c>
      <c r="LE38" s="44">
        <v>0</v>
      </c>
      <c r="LF38" s="43"/>
      <c r="LG38" s="42">
        <v>0</v>
      </c>
      <c r="LH38" s="47">
        <v>0</v>
      </c>
      <c r="LI38" s="47">
        <v>0</v>
      </c>
      <c r="LJ38" s="47">
        <v>0</v>
      </c>
      <c r="LK38" s="44">
        <v>0</v>
      </c>
      <c r="LL38" s="43"/>
      <c r="LM38" s="42">
        <v>0</v>
      </c>
      <c r="LN38" s="47">
        <v>0</v>
      </c>
      <c r="LO38" s="44">
        <v>0</v>
      </c>
      <c r="LP38" s="43"/>
      <c r="LQ38" s="42">
        <v>0</v>
      </c>
      <c r="LR38" s="47">
        <v>0</v>
      </c>
      <c r="LS38" s="47">
        <v>0</v>
      </c>
      <c r="LT38" s="47">
        <v>0</v>
      </c>
      <c r="LU38" s="44">
        <v>0</v>
      </c>
      <c r="LV38" s="43"/>
      <c r="LW38" s="42">
        <v>0</v>
      </c>
      <c r="LX38" s="47">
        <v>0</v>
      </c>
      <c r="LY38" s="47">
        <v>0</v>
      </c>
      <c r="LZ38" s="47">
        <v>0</v>
      </c>
      <c r="MA38" s="44">
        <v>0</v>
      </c>
      <c r="MB38" s="43"/>
      <c r="MC38" s="42">
        <v>0</v>
      </c>
      <c r="MD38" s="47">
        <v>0</v>
      </c>
      <c r="ME38" s="47">
        <v>0</v>
      </c>
      <c r="MF38" s="47">
        <v>0</v>
      </c>
      <c r="MG38" s="44">
        <v>0</v>
      </c>
      <c r="MH38" s="43"/>
      <c r="MI38" s="42">
        <v>0</v>
      </c>
      <c r="MJ38" s="47">
        <v>0</v>
      </c>
      <c r="MK38" s="47">
        <v>0</v>
      </c>
      <c r="ML38" s="47">
        <v>0</v>
      </c>
      <c r="MM38" s="44">
        <v>0</v>
      </c>
      <c r="MN38" s="43"/>
      <c r="MO38" s="42">
        <v>0</v>
      </c>
      <c r="MP38" s="47">
        <v>0</v>
      </c>
      <c r="MQ38" s="47">
        <v>0</v>
      </c>
      <c r="MR38" s="47">
        <v>0</v>
      </c>
      <c r="MS38" s="44">
        <v>0</v>
      </c>
      <c r="MT38" s="43"/>
      <c r="MU38" s="42">
        <v>0</v>
      </c>
      <c r="MV38" s="47">
        <v>0</v>
      </c>
      <c r="MW38" s="47">
        <v>0</v>
      </c>
      <c r="MX38" s="47">
        <v>0</v>
      </c>
      <c r="MY38" s="44">
        <v>0</v>
      </c>
      <c r="MZ38" s="43"/>
      <c r="NA38" s="42">
        <v>0</v>
      </c>
      <c r="NB38" s="47">
        <v>0</v>
      </c>
      <c r="NC38" s="47">
        <v>0</v>
      </c>
      <c r="ND38" s="47">
        <v>0</v>
      </c>
      <c r="NE38" s="44">
        <v>0</v>
      </c>
      <c r="NF38" s="43"/>
      <c r="NG38" s="42">
        <v>0</v>
      </c>
      <c r="NH38" s="47">
        <v>0</v>
      </c>
      <c r="NI38" s="47">
        <v>0</v>
      </c>
      <c r="NJ38" s="47">
        <v>0</v>
      </c>
      <c r="NK38" s="44">
        <v>0</v>
      </c>
      <c r="NL38" s="43"/>
      <c r="NM38" s="42">
        <v>0</v>
      </c>
      <c r="NN38" s="47">
        <v>0</v>
      </c>
      <c r="NO38" s="47">
        <v>0</v>
      </c>
      <c r="NP38" s="47">
        <v>0</v>
      </c>
      <c r="NQ38" s="44">
        <v>0</v>
      </c>
      <c r="NR38" s="43"/>
      <c r="NS38" s="42">
        <v>0</v>
      </c>
      <c r="NT38" s="47">
        <v>0</v>
      </c>
      <c r="NU38" s="47">
        <v>0</v>
      </c>
      <c r="NV38" s="47">
        <v>0</v>
      </c>
      <c r="NW38" s="44">
        <v>0</v>
      </c>
      <c r="NX38" s="43"/>
      <c r="NY38" s="42">
        <v>0</v>
      </c>
      <c r="NZ38" s="47">
        <v>0</v>
      </c>
      <c r="OA38" s="47">
        <v>0</v>
      </c>
      <c r="OB38" s="47">
        <v>0</v>
      </c>
      <c r="OC38" s="44">
        <v>0</v>
      </c>
      <c r="OD38" s="43"/>
      <c r="OE38" s="42">
        <v>0</v>
      </c>
      <c r="OF38" s="47">
        <v>0</v>
      </c>
      <c r="OG38" s="47">
        <v>0</v>
      </c>
      <c r="OH38" s="47">
        <v>0</v>
      </c>
      <c r="OI38" s="44">
        <v>0</v>
      </c>
      <c r="OJ38" s="43"/>
      <c r="OK38" s="42">
        <v>0</v>
      </c>
      <c r="OL38" s="47">
        <v>0</v>
      </c>
      <c r="OM38" s="47">
        <v>0</v>
      </c>
      <c r="ON38" s="47">
        <v>0</v>
      </c>
      <c r="OO38" s="44">
        <v>0</v>
      </c>
      <c r="OP38" s="43"/>
      <c r="OQ38" s="42">
        <v>0</v>
      </c>
      <c r="OR38" s="47">
        <v>0</v>
      </c>
      <c r="OS38" s="47">
        <v>0</v>
      </c>
      <c r="OT38" s="47">
        <v>0</v>
      </c>
      <c r="OU38" s="44">
        <v>0</v>
      </c>
      <c r="OV38" s="43"/>
      <c r="OW38" s="42">
        <v>0</v>
      </c>
      <c r="OX38" s="47">
        <v>0</v>
      </c>
      <c r="OY38" s="47">
        <v>0</v>
      </c>
      <c r="OZ38" s="47">
        <v>0</v>
      </c>
      <c r="PA38" s="44">
        <v>0</v>
      </c>
      <c r="PB38" s="43"/>
      <c r="PC38" s="42">
        <v>0</v>
      </c>
      <c r="PD38" s="47">
        <v>0</v>
      </c>
      <c r="PE38" s="47">
        <v>0</v>
      </c>
      <c r="PF38" s="47">
        <v>0</v>
      </c>
      <c r="PG38" s="44">
        <v>0</v>
      </c>
      <c r="PH38" s="43"/>
      <c r="PI38" s="42">
        <v>0</v>
      </c>
      <c r="PJ38" s="47">
        <v>0</v>
      </c>
      <c r="PK38" s="47">
        <v>0</v>
      </c>
      <c r="PL38" s="47">
        <v>0</v>
      </c>
      <c r="PM38" s="44">
        <v>0</v>
      </c>
      <c r="PN38" s="43"/>
      <c r="PO38" s="42">
        <v>0</v>
      </c>
      <c r="PP38" s="47">
        <v>0</v>
      </c>
      <c r="PQ38" s="47">
        <v>0</v>
      </c>
      <c r="PR38" s="47">
        <v>0</v>
      </c>
      <c r="PS38" s="44">
        <v>0</v>
      </c>
      <c r="PT38" s="43"/>
      <c r="PU38" s="42">
        <v>0</v>
      </c>
      <c r="PV38" s="47">
        <v>0</v>
      </c>
      <c r="PW38" s="47">
        <v>0</v>
      </c>
      <c r="PX38" s="47">
        <v>0</v>
      </c>
      <c r="PY38" s="44">
        <v>0</v>
      </c>
      <c r="PZ38" s="43"/>
      <c r="QA38" s="42">
        <v>0</v>
      </c>
      <c r="QB38" s="47">
        <v>0</v>
      </c>
      <c r="QC38" s="44">
        <v>0</v>
      </c>
      <c r="QD38" s="43"/>
      <c r="QE38" s="42">
        <v>0</v>
      </c>
      <c r="QF38" s="47">
        <v>0</v>
      </c>
      <c r="QG38" s="44">
        <v>0</v>
      </c>
      <c r="QH38" s="43"/>
      <c r="QI38" s="42">
        <v>16.256</v>
      </c>
      <c r="QJ38" s="47">
        <v>15</v>
      </c>
      <c r="QK38" s="44">
        <v>1.256</v>
      </c>
      <c r="QL38" s="43"/>
      <c r="QM38" s="42">
        <v>0</v>
      </c>
      <c r="QN38" s="47">
        <v>0</v>
      </c>
      <c r="QO38" s="47">
        <v>0</v>
      </c>
      <c r="QP38" s="47">
        <v>0</v>
      </c>
      <c r="QQ38" s="44">
        <v>0</v>
      </c>
      <c r="QR38" s="43"/>
      <c r="QS38" s="42">
        <v>0</v>
      </c>
      <c r="QT38" s="47">
        <v>0</v>
      </c>
      <c r="QU38" s="44">
        <v>0</v>
      </c>
      <c r="QV38" s="43"/>
      <c r="QW38" s="42">
        <v>0</v>
      </c>
      <c r="QX38" s="47">
        <v>0</v>
      </c>
      <c r="QY38" s="44">
        <v>0</v>
      </c>
      <c r="QZ38" s="43"/>
    </row>
    <row r="39" spans="1:468" x14ac:dyDescent="0.25">
      <c r="A39" s="47" t="s">
        <v>323</v>
      </c>
      <c r="B39" s="38">
        <v>0.4</v>
      </c>
      <c r="N39" s="39"/>
      <c r="O39" s="48"/>
      <c r="P39" s="48"/>
      <c r="Q39" s="48"/>
      <c r="R39" s="48">
        <f t="shared" si="8"/>
        <v>0</v>
      </c>
      <c r="S39" s="40"/>
      <c r="T39" s="39"/>
      <c r="U39" s="48"/>
      <c r="V39" s="48">
        <f t="shared" si="9"/>
        <v>0</v>
      </c>
      <c r="W39" s="40"/>
      <c r="X39" s="39"/>
      <c r="Y39" s="48"/>
      <c r="Z39" s="48"/>
      <c r="AA39" s="48"/>
      <c r="AB39" s="48">
        <f t="shared" si="10"/>
        <v>0</v>
      </c>
      <c r="AC39" s="40"/>
      <c r="AD39" s="48"/>
      <c r="AH39" s="44">
        <v>0</v>
      </c>
      <c r="AI39" s="40"/>
      <c r="AN39" s="44">
        <v>0</v>
      </c>
      <c r="AO39" s="40"/>
      <c r="AT39" s="44">
        <v>0</v>
      </c>
      <c r="AU39" s="40"/>
      <c r="AV39" s="39"/>
      <c r="AX39" s="44">
        <v>0</v>
      </c>
      <c r="AY39" s="40"/>
      <c r="AZ39" s="39"/>
      <c r="BB39" s="44">
        <v>0</v>
      </c>
      <c r="BC39" s="40"/>
      <c r="BH39" s="44">
        <v>0</v>
      </c>
      <c r="BI39" s="40"/>
      <c r="BL39" s="44">
        <v>0</v>
      </c>
      <c r="BM39" s="40"/>
      <c r="BN39" s="39"/>
      <c r="BR39" s="44">
        <v>0</v>
      </c>
      <c r="BS39" s="40"/>
      <c r="BV39" s="44">
        <v>0</v>
      </c>
      <c r="BW39" s="40"/>
      <c r="BX39" s="39"/>
      <c r="BZ39" s="44">
        <v>0</v>
      </c>
      <c r="CA39" s="40"/>
      <c r="CB39" s="39"/>
      <c r="CH39" s="44">
        <v>0</v>
      </c>
      <c r="CI39" s="40"/>
      <c r="CN39" s="44">
        <v>0</v>
      </c>
      <c r="CO39" s="40"/>
      <c r="CP39" s="39"/>
      <c r="CT39" s="44">
        <v>0</v>
      </c>
      <c r="CU39" s="40"/>
      <c r="CV39" s="39"/>
      <c r="CZ39" s="44">
        <v>0</v>
      </c>
      <c r="DA39" s="40"/>
      <c r="DB39" s="39"/>
      <c r="DF39" s="44">
        <v>0</v>
      </c>
      <c r="DG39" s="40"/>
      <c r="DN39" s="44">
        <v>0</v>
      </c>
      <c r="DO39" s="40"/>
      <c r="DP39" s="39"/>
      <c r="DR39" s="44">
        <v>0</v>
      </c>
      <c r="DS39" s="40"/>
      <c r="DT39" s="39"/>
      <c r="DX39" s="44">
        <v>0</v>
      </c>
      <c r="DY39" s="40"/>
      <c r="DZ39" s="39"/>
      <c r="EB39" s="44">
        <v>0</v>
      </c>
      <c r="EC39" s="40"/>
      <c r="EK39" s="44">
        <v>0</v>
      </c>
      <c r="EL39" s="40"/>
      <c r="ES39" s="44">
        <v>0</v>
      </c>
      <c r="ET39" s="40"/>
      <c r="EU39" s="39"/>
      <c r="EY39" s="44">
        <v>0</v>
      </c>
      <c r="EZ39" s="40"/>
      <c r="FA39" s="39"/>
      <c r="FD39" s="44">
        <v>0</v>
      </c>
      <c r="FE39" s="40"/>
      <c r="FH39" s="44">
        <v>0</v>
      </c>
      <c r="FI39" s="40"/>
      <c r="FJ39" s="39"/>
      <c r="FQ39" s="44">
        <v>0</v>
      </c>
      <c r="FR39" s="40"/>
      <c r="FW39" s="44">
        <v>0</v>
      </c>
      <c r="FX39" s="40"/>
      <c r="FY39" s="39"/>
      <c r="GC39" s="44">
        <v>0</v>
      </c>
      <c r="GD39" s="40"/>
      <c r="GI39" s="44">
        <v>0</v>
      </c>
      <c r="GJ39" s="40"/>
      <c r="GM39" s="44">
        <v>0</v>
      </c>
      <c r="GN39" s="40"/>
      <c r="GO39" s="39"/>
      <c r="GQ39" s="44">
        <v>0</v>
      </c>
      <c r="GR39" s="40"/>
      <c r="GX39" s="44">
        <v>0</v>
      </c>
      <c r="GY39" s="40"/>
      <c r="HD39" s="44">
        <v>0</v>
      </c>
      <c r="HE39" s="40"/>
      <c r="HF39" s="39"/>
      <c r="HJ39" s="44">
        <v>0</v>
      </c>
      <c r="HK39" s="40"/>
      <c r="HL39" s="39"/>
      <c r="HP39" s="44">
        <v>0</v>
      </c>
      <c r="HQ39" s="40"/>
      <c r="HV39" s="44">
        <v>0</v>
      </c>
      <c r="HW39" s="43"/>
      <c r="IB39" s="44">
        <v>0</v>
      </c>
      <c r="IC39" s="43"/>
      <c r="IH39" s="44">
        <v>0</v>
      </c>
      <c r="II39" s="43"/>
      <c r="IN39" s="44">
        <v>0</v>
      </c>
      <c r="IO39" s="40"/>
      <c r="IR39" s="44">
        <v>0</v>
      </c>
      <c r="IS39" s="40"/>
      <c r="IX39" s="44">
        <v>0</v>
      </c>
      <c r="IY39" s="43"/>
      <c r="JB39" s="44">
        <v>0</v>
      </c>
      <c r="JC39" s="40"/>
      <c r="JH39" s="44">
        <v>0</v>
      </c>
      <c r="JI39" s="40"/>
      <c r="JN39" s="44">
        <v>0</v>
      </c>
      <c r="JO39" s="43"/>
      <c r="JT39" s="44">
        <v>0</v>
      </c>
      <c r="JU39" s="43"/>
      <c r="JZ39" s="44">
        <v>0</v>
      </c>
      <c r="KA39" s="43"/>
      <c r="KB39" s="42"/>
      <c r="KI39" s="44">
        <v>0</v>
      </c>
      <c r="KJ39" s="43"/>
      <c r="KK39" s="47">
        <v>0</v>
      </c>
      <c r="KL39" s="47">
        <v>0</v>
      </c>
      <c r="KM39" s="47">
        <v>0</v>
      </c>
      <c r="KN39" s="47">
        <v>0</v>
      </c>
      <c r="KO39" s="44">
        <v>0</v>
      </c>
      <c r="KP39" s="43"/>
      <c r="KQ39" s="47">
        <v>0</v>
      </c>
      <c r="KR39" s="47">
        <v>0</v>
      </c>
      <c r="KS39" s="47">
        <v>0</v>
      </c>
      <c r="KT39" s="47">
        <v>0</v>
      </c>
      <c r="KU39" s="44">
        <v>0</v>
      </c>
      <c r="KV39" s="43"/>
      <c r="KW39" s="42">
        <v>0</v>
      </c>
      <c r="KX39" s="47">
        <v>0</v>
      </c>
      <c r="KY39" s="44">
        <v>0</v>
      </c>
      <c r="KZ39" s="43"/>
      <c r="LA39" s="42">
        <v>0</v>
      </c>
      <c r="LB39" s="47">
        <v>0</v>
      </c>
      <c r="LC39" s="47">
        <v>0</v>
      </c>
      <c r="LD39" s="47">
        <v>0</v>
      </c>
      <c r="LE39" s="44">
        <v>0</v>
      </c>
      <c r="LF39" s="43"/>
      <c r="LG39" s="42">
        <v>0</v>
      </c>
      <c r="LH39" s="47">
        <v>0</v>
      </c>
      <c r="LI39" s="47">
        <v>0</v>
      </c>
      <c r="LJ39" s="47">
        <v>0</v>
      </c>
      <c r="LK39" s="44">
        <v>0</v>
      </c>
      <c r="LL39" s="43"/>
      <c r="LM39" s="42">
        <v>0</v>
      </c>
      <c r="LN39" s="47">
        <v>0</v>
      </c>
      <c r="LO39" s="44">
        <v>0</v>
      </c>
      <c r="LP39" s="43"/>
      <c r="LQ39" s="42">
        <v>0</v>
      </c>
      <c r="LR39" s="47">
        <v>0</v>
      </c>
      <c r="LS39" s="47">
        <v>0</v>
      </c>
      <c r="LT39" s="47">
        <v>0</v>
      </c>
      <c r="LU39" s="44">
        <v>0</v>
      </c>
      <c r="LV39" s="43"/>
      <c r="LW39" s="42">
        <v>0</v>
      </c>
      <c r="LX39" s="47">
        <v>0</v>
      </c>
      <c r="LY39" s="47">
        <v>0</v>
      </c>
      <c r="LZ39" s="47">
        <v>0</v>
      </c>
      <c r="MA39" s="44">
        <v>0</v>
      </c>
      <c r="MB39" s="43"/>
      <c r="MC39" s="42">
        <v>0</v>
      </c>
      <c r="MD39" s="47">
        <v>0</v>
      </c>
      <c r="ME39" s="47">
        <v>0</v>
      </c>
      <c r="MF39" s="47">
        <v>0</v>
      </c>
      <c r="MG39" s="44">
        <v>0</v>
      </c>
      <c r="MH39" s="43"/>
      <c r="MI39" s="42">
        <v>0</v>
      </c>
      <c r="MJ39" s="47">
        <v>0</v>
      </c>
      <c r="MK39" s="47">
        <v>0</v>
      </c>
      <c r="ML39" s="47">
        <v>0</v>
      </c>
      <c r="MM39" s="44">
        <v>0</v>
      </c>
      <c r="MN39" s="43"/>
      <c r="MO39" s="42">
        <v>0</v>
      </c>
      <c r="MP39" s="47">
        <v>0</v>
      </c>
      <c r="MQ39" s="47">
        <v>0</v>
      </c>
      <c r="MR39" s="47">
        <v>0</v>
      </c>
      <c r="MS39" s="44">
        <v>0</v>
      </c>
      <c r="MT39" s="43"/>
      <c r="MU39" s="42">
        <v>0</v>
      </c>
      <c r="MV39" s="47">
        <v>0</v>
      </c>
      <c r="MW39" s="47">
        <v>0</v>
      </c>
      <c r="MX39" s="47">
        <v>0</v>
      </c>
      <c r="MY39" s="44">
        <v>0</v>
      </c>
      <c r="MZ39" s="43"/>
      <c r="NA39" s="42">
        <v>0</v>
      </c>
      <c r="NB39" s="47">
        <v>0</v>
      </c>
      <c r="NC39" s="47">
        <v>0</v>
      </c>
      <c r="ND39" s="47">
        <v>0</v>
      </c>
      <c r="NE39" s="44">
        <v>0</v>
      </c>
      <c r="NF39" s="43"/>
      <c r="NG39" s="42">
        <v>0</v>
      </c>
      <c r="NH39" s="47">
        <v>0</v>
      </c>
      <c r="NI39" s="47">
        <v>0</v>
      </c>
      <c r="NJ39" s="47">
        <v>0</v>
      </c>
      <c r="NK39" s="44">
        <v>0</v>
      </c>
      <c r="NL39" s="43"/>
      <c r="NM39" s="42">
        <v>0</v>
      </c>
      <c r="NN39" s="47">
        <v>0</v>
      </c>
      <c r="NO39" s="47">
        <v>0</v>
      </c>
      <c r="NP39" s="47">
        <v>0</v>
      </c>
      <c r="NQ39" s="44">
        <v>0</v>
      </c>
      <c r="NR39" s="43"/>
      <c r="NS39" s="42">
        <v>0</v>
      </c>
      <c r="NT39" s="47">
        <v>0</v>
      </c>
      <c r="NU39" s="47">
        <v>0</v>
      </c>
      <c r="NV39" s="47">
        <v>0</v>
      </c>
      <c r="NW39" s="44">
        <v>0</v>
      </c>
      <c r="NX39" s="43"/>
      <c r="NY39" s="42">
        <v>0</v>
      </c>
      <c r="NZ39" s="47">
        <v>0</v>
      </c>
      <c r="OA39" s="47">
        <v>0</v>
      </c>
      <c r="OB39" s="47">
        <v>0</v>
      </c>
      <c r="OC39" s="44">
        <v>0</v>
      </c>
      <c r="OD39" s="43"/>
      <c r="OE39" s="42">
        <v>0</v>
      </c>
      <c r="OF39" s="47">
        <v>0</v>
      </c>
      <c r="OG39" s="47">
        <v>0</v>
      </c>
      <c r="OH39" s="47">
        <v>0</v>
      </c>
      <c r="OI39" s="44">
        <v>0</v>
      </c>
      <c r="OJ39" s="43"/>
      <c r="OK39" s="42">
        <v>0</v>
      </c>
      <c r="OL39" s="47">
        <v>0</v>
      </c>
      <c r="OM39" s="47">
        <v>0</v>
      </c>
      <c r="ON39" s="47">
        <v>0</v>
      </c>
      <c r="OO39" s="44">
        <v>0</v>
      </c>
      <c r="OP39" s="43"/>
      <c r="OQ39" s="42">
        <v>90</v>
      </c>
      <c r="OR39" s="47">
        <v>90</v>
      </c>
      <c r="OS39" s="47">
        <v>60</v>
      </c>
      <c r="OT39" s="47">
        <v>63</v>
      </c>
      <c r="OU39" s="44">
        <v>-3</v>
      </c>
      <c r="OV39" s="43"/>
      <c r="OW39" s="42">
        <v>0</v>
      </c>
      <c r="OX39" s="47">
        <v>0</v>
      </c>
      <c r="OY39" s="47">
        <v>0</v>
      </c>
      <c r="OZ39" s="47">
        <v>0</v>
      </c>
      <c r="PA39" s="44">
        <v>0</v>
      </c>
      <c r="PB39" s="43"/>
      <c r="PC39" s="42">
        <v>0</v>
      </c>
      <c r="PD39" s="47">
        <v>0</v>
      </c>
      <c r="PE39" s="47">
        <v>78</v>
      </c>
      <c r="PF39" s="47">
        <v>80</v>
      </c>
      <c r="PG39" s="44">
        <v>-2</v>
      </c>
      <c r="PH39" s="43"/>
      <c r="PI39" s="42">
        <v>0</v>
      </c>
      <c r="PJ39" s="47">
        <v>0</v>
      </c>
      <c r="PK39" s="47">
        <v>78</v>
      </c>
      <c r="PL39" s="47">
        <v>80</v>
      </c>
      <c r="PM39" s="44">
        <v>-2</v>
      </c>
      <c r="PN39" s="43"/>
      <c r="PO39" s="42">
        <v>0</v>
      </c>
      <c r="PP39" s="47">
        <v>0</v>
      </c>
      <c r="PQ39" s="47">
        <v>50</v>
      </c>
      <c r="PR39" s="47">
        <v>50</v>
      </c>
      <c r="PS39" s="44">
        <v>0</v>
      </c>
      <c r="PT39" s="43"/>
      <c r="PU39" s="42">
        <v>0</v>
      </c>
      <c r="PV39" s="47">
        <v>0</v>
      </c>
      <c r="PW39" s="47">
        <v>48</v>
      </c>
      <c r="PX39" s="47">
        <v>50</v>
      </c>
      <c r="PY39" s="44">
        <v>-2</v>
      </c>
      <c r="PZ39" s="43"/>
      <c r="QA39" s="42">
        <v>0</v>
      </c>
      <c r="QB39" s="47">
        <v>0</v>
      </c>
      <c r="QC39" s="44">
        <v>0</v>
      </c>
      <c r="QD39" s="43"/>
      <c r="QE39" s="42">
        <v>0</v>
      </c>
      <c r="QF39" s="47">
        <v>0</v>
      </c>
      <c r="QG39" s="44">
        <v>0</v>
      </c>
      <c r="QH39" s="43"/>
      <c r="QI39" s="42">
        <v>0</v>
      </c>
      <c r="QJ39" s="47">
        <v>0</v>
      </c>
      <c r="QK39" s="44">
        <v>0</v>
      </c>
      <c r="QL39" s="43"/>
      <c r="QM39" s="42">
        <v>0</v>
      </c>
      <c r="QN39" s="47">
        <v>0</v>
      </c>
      <c r="QO39" s="47">
        <v>0</v>
      </c>
      <c r="QP39" s="47">
        <v>0</v>
      </c>
      <c r="QQ39" s="44">
        <v>0</v>
      </c>
      <c r="QR39" s="43"/>
      <c r="QS39" s="42">
        <v>0</v>
      </c>
      <c r="QT39" s="47">
        <v>0</v>
      </c>
      <c r="QU39" s="44">
        <v>0</v>
      </c>
      <c r="QV39" s="43"/>
      <c r="QW39" s="42">
        <v>0</v>
      </c>
      <c r="QX39" s="47">
        <v>0</v>
      </c>
      <c r="QY39" s="44">
        <v>0</v>
      </c>
      <c r="QZ39" s="43"/>
    </row>
    <row r="40" spans="1:468" x14ac:dyDescent="0.25">
      <c r="A40" s="47" t="s">
        <v>324</v>
      </c>
      <c r="B40" s="38">
        <v>0.33</v>
      </c>
      <c r="N40" s="39"/>
      <c r="O40" s="48"/>
      <c r="P40" s="48"/>
      <c r="Q40" s="48"/>
      <c r="R40" s="48">
        <f t="shared" si="8"/>
        <v>0</v>
      </c>
      <c r="S40" s="40"/>
      <c r="T40" s="39"/>
      <c r="U40" s="48"/>
      <c r="V40" s="48">
        <f t="shared" si="9"/>
        <v>0</v>
      </c>
      <c r="W40" s="40"/>
      <c r="X40" s="39"/>
      <c r="Y40" s="48"/>
      <c r="Z40" s="48"/>
      <c r="AA40" s="48"/>
      <c r="AB40" s="48">
        <f t="shared" si="10"/>
        <v>0</v>
      </c>
      <c r="AC40" s="40"/>
      <c r="AD40" s="48"/>
      <c r="AH40" s="44">
        <v>0</v>
      </c>
      <c r="AI40" s="40"/>
      <c r="AN40" s="44">
        <v>0</v>
      </c>
      <c r="AO40" s="40"/>
      <c r="AT40" s="44">
        <v>0</v>
      </c>
      <c r="AU40" s="40"/>
      <c r="AV40" s="39"/>
      <c r="AX40" s="44">
        <v>0</v>
      </c>
      <c r="AY40" s="40"/>
      <c r="AZ40" s="39"/>
      <c r="BB40" s="44">
        <v>0</v>
      </c>
      <c r="BC40" s="40"/>
      <c r="BH40" s="44">
        <v>0</v>
      </c>
      <c r="BI40" s="40"/>
      <c r="BL40" s="44">
        <v>0</v>
      </c>
      <c r="BM40" s="40"/>
      <c r="BN40" s="39"/>
      <c r="BR40" s="44">
        <v>0</v>
      </c>
      <c r="BS40" s="40"/>
      <c r="BV40" s="44">
        <v>0</v>
      </c>
      <c r="BW40" s="40"/>
      <c r="BX40" s="39"/>
      <c r="BZ40" s="44">
        <v>0</v>
      </c>
      <c r="CA40" s="40"/>
      <c r="CB40" s="39"/>
      <c r="CH40" s="44">
        <v>0</v>
      </c>
      <c r="CI40" s="40"/>
      <c r="CN40" s="44">
        <v>0</v>
      </c>
      <c r="CO40" s="40"/>
      <c r="CP40" s="39"/>
      <c r="CT40" s="44">
        <v>0</v>
      </c>
      <c r="CU40" s="40"/>
      <c r="CV40" s="39"/>
      <c r="CZ40" s="44">
        <v>0</v>
      </c>
      <c r="DA40" s="40"/>
      <c r="DB40" s="39"/>
      <c r="DF40" s="44">
        <v>0</v>
      </c>
      <c r="DG40" s="40"/>
      <c r="DN40" s="44">
        <v>0</v>
      </c>
      <c r="DO40" s="40"/>
      <c r="DP40" s="39"/>
      <c r="DR40" s="44">
        <v>0</v>
      </c>
      <c r="DS40" s="40"/>
      <c r="DT40" s="39"/>
      <c r="DX40" s="44">
        <v>0</v>
      </c>
      <c r="DY40" s="40"/>
      <c r="DZ40" s="39"/>
      <c r="EB40" s="44">
        <v>0</v>
      </c>
      <c r="EC40" s="40"/>
      <c r="EK40" s="44">
        <v>0</v>
      </c>
      <c r="EL40" s="40"/>
      <c r="ES40" s="44">
        <v>0</v>
      </c>
      <c r="ET40" s="40"/>
      <c r="EU40" s="39"/>
      <c r="EY40" s="44">
        <v>0</v>
      </c>
      <c r="EZ40" s="40"/>
      <c r="FA40" s="39"/>
      <c r="FD40" s="44">
        <v>0</v>
      </c>
      <c r="FE40" s="40"/>
      <c r="FH40" s="44">
        <v>0</v>
      </c>
      <c r="FI40" s="40"/>
      <c r="FJ40" s="39"/>
      <c r="FQ40" s="44">
        <v>0</v>
      </c>
      <c r="FR40" s="40"/>
      <c r="FW40" s="44">
        <v>0</v>
      </c>
      <c r="FX40" s="40"/>
      <c r="FY40" s="39"/>
      <c r="GC40" s="44">
        <v>0</v>
      </c>
      <c r="GD40" s="40"/>
      <c r="GI40" s="44">
        <v>0</v>
      </c>
      <c r="GJ40" s="40"/>
      <c r="GM40" s="44">
        <v>0</v>
      </c>
      <c r="GN40" s="40"/>
      <c r="GO40" s="39"/>
      <c r="GQ40" s="44">
        <v>0</v>
      </c>
      <c r="GR40" s="40"/>
      <c r="GX40" s="44">
        <v>0</v>
      </c>
      <c r="GY40" s="40"/>
      <c r="HD40" s="44">
        <v>0</v>
      </c>
      <c r="HE40" s="40"/>
      <c r="HF40" s="39"/>
      <c r="HJ40" s="44">
        <v>0</v>
      </c>
      <c r="HK40" s="40"/>
      <c r="HL40" s="39"/>
      <c r="HP40" s="44">
        <v>0</v>
      </c>
      <c r="HQ40" s="40"/>
      <c r="HT40">
        <v>16</v>
      </c>
      <c r="HU40">
        <v>20</v>
      </c>
      <c r="HV40" s="44">
        <v>-4</v>
      </c>
      <c r="HW40" s="43"/>
      <c r="HZ40">
        <v>8</v>
      </c>
      <c r="IA40">
        <v>8</v>
      </c>
      <c r="IB40" s="44">
        <v>0</v>
      </c>
      <c r="IC40" s="43"/>
      <c r="ID40">
        <v>8</v>
      </c>
      <c r="IE40">
        <v>8</v>
      </c>
      <c r="IF40">
        <v>8</v>
      </c>
      <c r="IG40">
        <v>8</v>
      </c>
      <c r="IH40" s="44">
        <v>0</v>
      </c>
      <c r="II40" s="43"/>
      <c r="IL40">
        <v>8</v>
      </c>
      <c r="IM40">
        <v>10</v>
      </c>
      <c r="IN40" s="44">
        <v>-2</v>
      </c>
      <c r="IO40" s="40"/>
      <c r="IQ40">
        <v>19</v>
      </c>
      <c r="IR40" s="46">
        <v>-19</v>
      </c>
      <c r="IS40" s="43">
        <v>6.27</v>
      </c>
      <c r="IX40" s="44">
        <v>0</v>
      </c>
      <c r="IY40" s="43"/>
      <c r="JB40" s="44">
        <v>0</v>
      </c>
      <c r="JC40" s="40"/>
      <c r="JH40" s="44">
        <v>0</v>
      </c>
      <c r="JI40" s="40"/>
      <c r="JJ40">
        <v>16</v>
      </c>
      <c r="JK40">
        <v>15</v>
      </c>
      <c r="JN40" s="44">
        <v>1</v>
      </c>
      <c r="JO40" s="43"/>
      <c r="JT40" s="44">
        <v>0</v>
      </c>
      <c r="JU40" s="43"/>
      <c r="JV40">
        <v>40</v>
      </c>
      <c r="JW40">
        <v>40</v>
      </c>
      <c r="JX40">
        <v>56</v>
      </c>
      <c r="JY40">
        <v>60</v>
      </c>
      <c r="JZ40" s="44">
        <v>-4</v>
      </c>
      <c r="KA40" s="43"/>
      <c r="KB40" s="42"/>
      <c r="KG40">
        <v>48</v>
      </c>
      <c r="KH40">
        <v>50</v>
      </c>
      <c r="KI40" s="44">
        <v>-2</v>
      </c>
      <c r="KJ40" s="43"/>
      <c r="KK40" s="47">
        <v>0</v>
      </c>
      <c r="KL40" s="47">
        <v>0</v>
      </c>
      <c r="KM40" s="47">
        <v>8</v>
      </c>
      <c r="KN40" s="47">
        <v>8</v>
      </c>
      <c r="KO40" s="44">
        <v>0</v>
      </c>
      <c r="KP40" s="43"/>
      <c r="KQ40" s="47">
        <v>0</v>
      </c>
      <c r="KR40" s="47">
        <v>0</v>
      </c>
      <c r="KS40" s="47">
        <v>72</v>
      </c>
      <c r="KT40" s="47">
        <v>75</v>
      </c>
      <c r="KU40" s="44">
        <v>-3</v>
      </c>
      <c r="KV40" s="43"/>
      <c r="KW40" s="42">
        <v>8</v>
      </c>
      <c r="KX40" s="47">
        <v>10</v>
      </c>
      <c r="KY40" s="44">
        <v>-2</v>
      </c>
      <c r="KZ40" s="43"/>
      <c r="LA40" s="42">
        <v>0</v>
      </c>
      <c r="LB40" s="47">
        <v>0</v>
      </c>
      <c r="LC40" s="47">
        <v>16</v>
      </c>
      <c r="LD40" s="47">
        <v>16</v>
      </c>
      <c r="LE40" s="44">
        <v>0</v>
      </c>
      <c r="LF40" s="43"/>
      <c r="LG40" s="42">
        <v>16</v>
      </c>
      <c r="LH40" s="47">
        <v>15</v>
      </c>
      <c r="LI40" s="47">
        <v>0</v>
      </c>
      <c r="LJ40" s="47">
        <v>0</v>
      </c>
      <c r="LK40" s="44">
        <v>1</v>
      </c>
      <c r="LL40" s="43"/>
      <c r="LM40" s="42">
        <v>16</v>
      </c>
      <c r="LN40" s="47">
        <v>16</v>
      </c>
      <c r="LO40" s="44">
        <v>0</v>
      </c>
      <c r="LP40" s="43"/>
      <c r="LQ40" s="42">
        <v>0</v>
      </c>
      <c r="LR40" s="47">
        <v>0</v>
      </c>
      <c r="LS40" s="47">
        <v>16</v>
      </c>
      <c r="LT40" s="47">
        <v>18</v>
      </c>
      <c r="LU40" s="44">
        <v>-2</v>
      </c>
      <c r="LV40" s="43"/>
      <c r="LW40" s="42">
        <v>56</v>
      </c>
      <c r="LX40" s="47">
        <v>55</v>
      </c>
      <c r="LY40" s="47">
        <v>0</v>
      </c>
      <c r="LZ40" s="47">
        <v>0</v>
      </c>
      <c r="MA40" s="44">
        <v>1</v>
      </c>
      <c r="MB40" s="43"/>
      <c r="MC40" s="42">
        <v>0</v>
      </c>
      <c r="MD40" s="47">
        <v>0</v>
      </c>
      <c r="ME40" s="47">
        <v>0</v>
      </c>
      <c r="MF40" s="47">
        <v>0</v>
      </c>
      <c r="MG40" s="44">
        <v>0</v>
      </c>
      <c r="MH40" s="43"/>
      <c r="MI40" s="42">
        <v>0</v>
      </c>
      <c r="MJ40" s="47">
        <v>0</v>
      </c>
      <c r="MK40" s="47">
        <v>0</v>
      </c>
      <c r="ML40" s="47">
        <v>0</v>
      </c>
      <c r="MM40" s="44">
        <v>0</v>
      </c>
      <c r="MN40" s="43"/>
      <c r="MO40" s="42">
        <v>0</v>
      </c>
      <c r="MP40" s="47">
        <v>0</v>
      </c>
      <c r="MQ40" s="47">
        <v>0</v>
      </c>
      <c r="MR40" s="47">
        <v>0</v>
      </c>
      <c r="MS40" s="44">
        <v>0</v>
      </c>
      <c r="MT40" s="43"/>
      <c r="MU40" s="22">
        <v>56</v>
      </c>
      <c r="MV40" s="47">
        <v>0</v>
      </c>
      <c r="MW40" s="47">
        <v>16</v>
      </c>
      <c r="MX40" s="47">
        <v>16</v>
      </c>
      <c r="MY40" s="44">
        <v>56</v>
      </c>
      <c r="MZ40" s="43"/>
      <c r="NA40" s="42">
        <v>0</v>
      </c>
      <c r="NB40" s="47">
        <v>0</v>
      </c>
      <c r="NC40" s="47">
        <v>48</v>
      </c>
      <c r="ND40" s="47">
        <v>50</v>
      </c>
      <c r="NE40" s="44">
        <v>-2</v>
      </c>
      <c r="NF40" s="43"/>
      <c r="NG40" s="42">
        <v>0</v>
      </c>
      <c r="NH40" s="47">
        <v>0</v>
      </c>
      <c r="NI40" s="47">
        <v>96</v>
      </c>
      <c r="NJ40" s="47">
        <v>100</v>
      </c>
      <c r="NK40" s="44">
        <v>-4</v>
      </c>
      <c r="NL40" s="43"/>
      <c r="NM40" s="42">
        <v>0</v>
      </c>
      <c r="NN40" s="47">
        <v>0</v>
      </c>
      <c r="NO40" s="47">
        <v>96</v>
      </c>
      <c r="NP40" s="47">
        <v>100</v>
      </c>
      <c r="NQ40" s="44">
        <v>-4</v>
      </c>
      <c r="NR40" s="43"/>
      <c r="NS40" s="42">
        <v>112</v>
      </c>
      <c r="NT40" s="47">
        <v>110</v>
      </c>
      <c r="NU40" s="47">
        <v>0</v>
      </c>
      <c r="NV40" s="47">
        <v>0</v>
      </c>
      <c r="NW40" s="44">
        <v>2</v>
      </c>
      <c r="NX40" s="43"/>
      <c r="NY40" s="42">
        <v>0</v>
      </c>
      <c r="NZ40" s="47">
        <v>0</v>
      </c>
      <c r="OA40" s="47">
        <v>56</v>
      </c>
      <c r="OB40" s="47">
        <v>60</v>
      </c>
      <c r="OC40" s="44">
        <v>-4</v>
      </c>
      <c r="OD40" s="43"/>
      <c r="OE40" s="13">
        <v>80</v>
      </c>
      <c r="OF40" s="47">
        <v>0</v>
      </c>
      <c r="OG40" s="12">
        <v>72</v>
      </c>
      <c r="OH40" s="47">
        <v>0</v>
      </c>
      <c r="OI40" s="44">
        <v>0</v>
      </c>
      <c r="OJ40" s="43"/>
      <c r="OK40" s="13">
        <v>152</v>
      </c>
      <c r="OL40" s="47">
        <v>0</v>
      </c>
      <c r="OM40" s="12">
        <v>152</v>
      </c>
      <c r="ON40" s="47">
        <v>0</v>
      </c>
      <c r="OO40" s="44">
        <v>0</v>
      </c>
      <c r="OP40" s="43"/>
      <c r="OQ40" s="42"/>
      <c r="OV40" s="43"/>
      <c r="OW40" s="42"/>
      <c r="PB40" s="43"/>
      <c r="PC40" s="42"/>
      <c r="PH40" s="43"/>
      <c r="PI40" s="42"/>
      <c r="PN40" s="43"/>
      <c r="PO40" s="42"/>
      <c r="PT40" s="43"/>
      <c r="PU40" s="42"/>
      <c r="PZ40" s="43"/>
      <c r="QA40" s="42"/>
      <c r="QD40" s="43"/>
      <c r="QE40" s="42"/>
      <c r="QH40" s="43"/>
      <c r="QI40" s="42"/>
      <c r="QL40" s="43"/>
      <c r="QM40" s="42"/>
      <c r="QR40" s="43"/>
      <c r="QS40" s="42"/>
      <c r="QV40" s="43"/>
      <c r="QW40" s="42"/>
      <c r="QY40" s="44"/>
      <c r="QZ40" s="43"/>
    </row>
    <row r="41" spans="1:468" x14ac:dyDescent="0.25">
      <c r="A41" s="47" t="s">
        <v>325</v>
      </c>
      <c r="B41" s="38">
        <v>1</v>
      </c>
      <c r="N41" s="39"/>
      <c r="O41" s="48"/>
      <c r="P41" s="48"/>
      <c r="Q41" s="48"/>
      <c r="R41" s="48">
        <f t="shared" si="8"/>
        <v>0</v>
      </c>
      <c r="S41" s="40"/>
      <c r="T41" s="39"/>
      <c r="U41" s="48"/>
      <c r="V41" s="48">
        <f t="shared" si="9"/>
        <v>0</v>
      </c>
      <c r="W41" s="40"/>
      <c r="X41" s="39"/>
      <c r="Y41" s="48"/>
      <c r="Z41" s="48"/>
      <c r="AA41" s="48"/>
      <c r="AB41" s="48">
        <f t="shared" si="10"/>
        <v>0</v>
      </c>
      <c r="AC41" s="40"/>
      <c r="AD41" s="48"/>
      <c r="AH41" s="44">
        <v>0</v>
      </c>
      <c r="AI41" s="40"/>
      <c r="AN41" s="44">
        <v>0</v>
      </c>
      <c r="AO41" s="40"/>
      <c r="AT41" s="44">
        <v>0</v>
      </c>
      <c r="AU41" s="40"/>
      <c r="AV41" s="39"/>
      <c r="AX41" s="44">
        <v>0</v>
      </c>
      <c r="AY41" s="40"/>
      <c r="AZ41" s="39"/>
      <c r="BB41" s="44">
        <v>0</v>
      </c>
      <c r="BC41" s="40"/>
      <c r="BH41" s="44">
        <v>0</v>
      </c>
      <c r="BI41" s="40"/>
      <c r="BL41" s="44">
        <v>0</v>
      </c>
      <c r="BM41" s="40"/>
      <c r="BN41" s="39"/>
      <c r="BR41" s="44">
        <v>0</v>
      </c>
      <c r="BS41" s="40"/>
      <c r="BV41" s="44">
        <v>0</v>
      </c>
      <c r="BW41" s="40"/>
      <c r="BX41" s="39"/>
      <c r="BZ41" s="44">
        <v>0</v>
      </c>
      <c r="CA41" s="40"/>
      <c r="CB41" s="39"/>
      <c r="CH41" s="44">
        <v>0</v>
      </c>
      <c r="CI41" s="40"/>
      <c r="CN41" s="44">
        <v>0</v>
      </c>
      <c r="CO41" s="40"/>
      <c r="CP41" s="39"/>
      <c r="CT41" s="44">
        <v>0</v>
      </c>
      <c r="CU41" s="40"/>
      <c r="CV41" s="39"/>
      <c r="CZ41" s="44">
        <v>0</v>
      </c>
      <c r="DA41" s="40"/>
      <c r="DB41" s="39"/>
      <c r="DF41" s="44">
        <v>0</v>
      </c>
      <c r="DG41" s="40"/>
      <c r="DN41" s="44">
        <v>0</v>
      </c>
      <c r="DO41" s="40"/>
      <c r="DP41" s="39"/>
      <c r="DR41" s="44">
        <v>0</v>
      </c>
      <c r="DS41" s="40"/>
      <c r="DT41" s="39"/>
      <c r="DX41" s="44">
        <v>0</v>
      </c>
      <c r="DY41" s="40"/>
      <c r="DZ41" s="39"/>
      <c r="EB41" s="44">
        <v>0</v>
      </c>
      <c r="EC41" s="40"/>
      <c r="EK41" s="44">
        <v>0</v>
      </c>
      <c r="EL41" s="40"/>
      <c r="ES41" s="44">
        <v>0</v>
      </c>
      <c r="ET41" s="40"/>
      <c r="EU41" s="39"/>
      <c r="EY41" s="44">
        <v>0</v>
      </c>
      <c r="EZ41" s="40"/>
      <c r="FA41" s="39"/>
      <c r="FD41" s="44">
        <v>0</v>
      </c>
      <c r="FE41" s="40"/>
      <c r="FH41" s="44">
        <v>0</v>
      </c>
      <c r="FI41" s="40"/>
      <c r="FJ41" s="39"/>
      <c r="FQ41" s="44">
        <v>0</v>
      </c>
      <c r="FR41" s="40"/>
      <c r="FW41" s="44">
        <v>0</v>
      </c>
      <c r="FX41" s="40"/>
      <c r="FY41" s="39"/>
      <c r="GC41" s="44">
        <v>0</v>
      </c>
      <c r="GD41" s="40"/>
      <c r="GI41" s="44">
        <v>0</v>
      </c>
      <c r="GJ41" s="40"/>
      <c r="GM41" s="44">
        <v>0</v>
      </c>
      <c r="GN41" s="40"/>
      <c r="GO41" s="39"/>
      <c r="GQ41" s="44">
        <v>0</v>
      </c>
      <c r="GR41" s="40"/>
      <c r="GX41" s="44">
        <v>0</v>
      </c>
      <c r="GY41" s="40"/>
      <c r="HD41" s="44">
        <v>0</v>
      </c>
      <c r="HE41" s="40"/>
      <c r="HF41" s="39"/>
      <c r="HJ41" s="44">
        <v>0</v>
      </c>
      <c r="HK41" s="40"/>
      <c r="HL41" s="39"/>
      <c r="HP41" s="44">
        <v>0</v>
      </c>
      <c r="HQ41" s="40"/>
      <c r="HV41" s="44">
        <v>0</v>
      </c>
      <c r="HW41" s="43"/>
      <c r="IB41" s="44">
        <v>0</v>
      </c>
      <c r="IC41" s="43"/>
      <c r="IH41" s="44">
        <v>0</v>
      </c>
      <c r="II41" s="43"/>
      <c r="IN41" s="44">
        <v>0</v>
      </c>
      <c r="IO41" s="40"/>
      <c r="IR41" s="44">
        <v>0</v>
      </c>
      <c r="IS41" s="40"/>
      <c r="IX41" s="44">
        <v>0</v>
      </c>
      <c r="IY41" s="43"/>
      <c r="JB41" s="44">
        <v>0</v>
      </c>
      <c r="JC41" s="40"/>
      <c r="JH41" s="44">
        <v>0</v>
      </c>
      <c r="JI41" s="40"/>
      <c r="JN41" s="44">
        <v>0</v>
      </c>
      <c r="JO41" s="43"/>
      <c r="JT41" s="44">
        <v>0</v>
      </c>
      <c r="JU41" s="43"/>
      <c r="JZ41" s="44">
        <v>0</v>
      </c>
      <c r="KA41" s="43"/>
      <c r="KB41" s="42"/>
      <c r="KC41">
        <v>80</v>
      </c>
      <c r="KF41">
        <v>80</v>
      </c>
      <c r="KH41">
        <v>80</v>
      </c>
      <c r="KI41" s="46">
        <v>-240</v>
      </c>
      <c r="KJ41" s="43">
        <v>240</v>
      </c>
      <c r="KK41" s="47">
        <v>0</v>
      </c>
      <c r="KL41" s="47">
        <v>0</v>
      </c>
      <c r="KM41" s="47">
        <v>102.357</v>
      </c>
      <c r="KN41" s="47">
        <v>94</v>
      </c>
      <c r="KO41" s="44">
        <v>8.3569999999999993</v>
      </c>
      <c r="KP41" s="43"/>
      <c r="KQ41" s="47">
        <v>0</v>
      </c>
      <c r="KR41" s="47">
        <v>0</v>
      </c>
      <c r="KS41" s="47">
        <v>0</v>
      </c>
      <c r="KT41" s="47">
        <v>0</v>
      </c>
      <c r="KU41" s="44">
        <v>0</v>
      </c>
      <c r="KV41" s="43"/>
      <c r="KW41" s="42">
        <v>78.111000000000004</v>
      </c>
      <c r="KX41" s="47">
        <v>70</v>
      </c>
      <c r="KY41" s="44">
        <v>8.1110000000000042</v>
      </c>
      <c r="KZ41" s="43"/>
      <c r="LA41" s="42">
        <v>0</v>
      </c>
      <c r="LB41" s="47">
        <v>0</v>
      </c>
      <c r="LC41" s="47">
        <v>88.751999999999995</v>
      </c>
      <c r="LD41" s="47">
        <v>85</v>
      </c>
      <c r="LE41" s="44">
        <v>3.7519999999999949</v>
      </c>
      <c r="LF41" s="43"/>
      <c r="LG41" s="42">
        <v>63.927</v>
      </c>
      <c r="LH41" s="47">
        <v>60</v>
      </c>
      <c r="LI41" s="47">
        <v>64.22</v>
      </c>
      <c r="LJ41" s="47">
        <v>60</v>
      </c>
      <c r="LK41" s="44">
        <v>8.1469999999999914</v>
      </c>
      <c r="LL41" s="43"/>
      <c r="LM41" s="42">
        <v>0</v>
      </c>
      <c r="LN41" s="47">
        <v>0</v>
      </c>
      <c r="LO41" s="44">
        <v>0</v>
      </c>
      <c r="LP41" s="43"/>
      <c r="LQ41" s="42">
        <v>0</v>
      </c>
      <c r="LR41" s="47">
        <v>0</v>
      </c>
      <c r="LS41" s="47">
        <v>0</v>
      </c>
      <c r="LT41" s="47">
        <v>0</v>
      </c>
      <c r="LU41" s="44">
        <v>0</v>
      </c>
      <c r="LV41" s="43"/>
      <c r="LW41" s="42">
        <v>93.861000000000004</v>
      </c>
      <c r="LX41" s="47">
        <v>100</v>
      </c>
      <c r="LY41" s="47">
        <v>0</v>
      </c>
      <c r="LZ41" s="47">
        <v>0</v>
      </c>
      <c r="MA41" s="46">
        <v>-6.1389999999999958</v>
      </c>
      <c r="MB41" s="43">
        <v>6.1389999999999958</v>
      </c>
      <c r="MC41" s="42">
        <v>0</v>
      </c>
      <c r="MD41" s="47">
        <v>0</v>
      </c>
      <c r="ME41" s="47">
        <v>0</v>
      </c>
      <c r="MF41" s="47">
        <v>0</v>
      </c>
      <c r="MG41" s="44">
        <v>0</v>
      </c>
      <c r="MH41" s="43"/>
      <c r="MI41" s="42">
        <v>0</v>
      </c>
      <c r="MJ41" s="47">
        <v>0</v>
      </c>
      <c r="MK41" s="47">
        <v>50.228000000000002</v>
      </c>
      <c r="ML41" s="47">
        <v>50</v>
      </c>
      <c r="MM41" s="44">
        <v>0.22800000000000151</v>
      </c>
      <c r="MN41" s="43"/>
      <c r="MO41" s="42">
        <v>52.176000000000002</v>
      </c>
      <c r="MP41" s="47">
        <v>50</v>
      </c>
      <c r="MQ41" s="47">
        <v>213.285</v>
      </c>
      <c r="MR41" s="47">
        <v>205</v>
      </c>
      <c r="MS41" s="44">
        <v>10.461000000000009</v>
      </c>
      <c r="MT41" s="43"/>
      <c r="MU41" s="42">
        <v>254.166</v>
      </c>
      <c r="MV41" s="47">
        <v>50</v>
      </c>
      <c r="MW41" s="47">
        <v>99.766999999999996</v>
      </c>
      <c r="MX41" s="47">
        <v>100</v>
      </c>
      <c r="MY41" s="44">
        <v>203.93299999999999</v>
      </c>
      <c r="MZ41" s="43"/>
      <c r="NA41" s="42">
        <v>0</v>
      </c>
      <c r="NB41" s="47">
        <v>0</v>
      </c>
      <c r="NC41" s="47">
        <v>37.036999999999999</v>
      </c>
      <c r="ND41" s="47">
        <v>40</v>
      </c>
      <c r="NE41" s="44">
        <v>-2.963000000000001</v>
      </c>
      <c r="NF41" s="43"/>
      <c r="NG41" s="42">
        <v>0</v>
      </c>
      <c r="NH41" s="47">
        <v>0</v>
      </c>
      <c r="NI41" s="47">
        <v>58.186</v>
      </c>
      <c r="NJ41" s="47">
        <v>60</v>
      </c>
      <c r="NK41" s="44">
        <v>-1.8140000000000001</v>
      </c>
      <c r="NL41" s="43"/>
      <c r="NM41" s="42">
        <v>0</v>
      </c>
      <c r="NN41" s="47">
        <v>0</v>
      </c>
      <c r="NO41" s="47">
        <v>118.29</v>
      </c>
      <c r="NP41" s="47">
        <v>120</v>
      </c>
      <c r="NQ41" s="44">
        <v>-1.709999999999994</v>
      </c>
      <c r="NR41" s="43"/>
      <c r="NS41" s="42">
        <v>70.533000000000001</v>
      </c>
      <c r="NT41" s="47">
        <v>70</v>
      </c>
      <c r="NU41" s="47">
        <v>0</v>
      </c>
      <c r="NV41" s="47">
        <v>0</v>
      </c>
      <c r="NW41" s="44">
        <v>0.53300000000000125</v>
      </c>
      <c r="NX41" s="43"/>
      <c r="NY41" s="42">
        <v>0</v>
      </c>
      <c r="NZ41" s="47">
        <v>0</v>
      </c>
      <c r="OA41" s="47">
        <v>153.316</v>
      </c>
      <c r="OB41" s="47">
        <v>150</v>
      </c>
      <c r="OC41" s="44">
        <v>3.3160000000000029</v>
      </c>
      <c r="OD41" s="43"/>
      <c r="OE41" s="42">
        <v>0</v>
      </c>
      <c r="OF41" s="47">
        <v>0</v>
      </c>
      <c r="OG41" s="47">
        <v>0</v>
      </c>
      <c r="OH41" s="47">
        <v>0</v>
      </c>
      <c r="OI41" s="44">
        <v>0</v>
      </c>
      <c r="OJ41" s="43"/>
      <c r="OK41" s="42">
        <v>50.792999999999999</v>
      </c>
      <c r="OL41" s="47">
        <v>50</v>
      </c>
      <c r="OM41" s="47">
        <v>50.100999999999999</v>
      </c>
      <c r="ON41" s="47">
        <v>50</v>
      </c>
      <c r="OO41" s="44">
        <v>0.89400000000000546</v>
      </c>
      <c r="OP41" s="43"/>
      <c r="OQ41" s="42">
        <v>201.68799999999999</v>
      </c>
      <c r="OR41" s="47">
        <v>200</v>
      </c>
      <c r="OS41" s="47">
        <v>123.252</v>
      </c>
      <c r="OT41" s="47">
        <v>120</v>
      </c>
      <c r="OU41" s="44">
        <v>4.9399999999999977</v>
      </c>
      <c r="OV41" s="43"/>
      <c r="OW41" s="42">
        <v>0</v>
      </c>
      <c r="OX41" s="47">
        <v>0</v>
      </c>
      <c r="OY41" s="47">
        <v>103.71899999999999</v>
      </c>
      <c r="OZ41" s="47">
        <v>180</v>
      </c>
      <c r="PA41" s="46">
        <v>-76.281000000000006</v>
      </c>
      <c r="PB41" s="43">
        <v>76.281000000000006</v>
      </c>
      <c r="PC41" s="42">
        <v>0</v>
      </c>
      <c r="PD41" s="26">
        <v>150</v>
      </c>
      <c r="PE41" s="47">
        <v>0</v>
      </c>
      <c r="PF41" s="26">
        <v>200</v>
      </c>
      <c r="PG41" s="46">
        <v>-350</v>
      </c>
      <c r="PH41" s="43">
        <v>350</v>
      </c>
      <c r="PI41" s="42">
        <v>49.776000000000003</v>
      </c>
      <c r="PJ41" s="47">
        <v>50</v>
      </c>
      <c r="PK41" s="47">
        <v>104.45399999999999</v>
      </c>
      <c r="PL41" s="47">
        <v>100</v>
      </c>
      <c r="PM41" s="44">
        <v>4.2299999999999898</v>
      </c>
      <c r="PN41" s="43"/>
      <c r="PO41" s="42">
        <v>0</v>
      </c>
      <c r="PP41" s="26">
        <v>70</v>
      </c>
      <c r="PQ41" s="47">
        <v>0</v>
      </c>
      <c r="PR41" s="26">
        <v>80</v>
      </c>
      <c r="PS41" s="46">
        <v>-150</v>
      </c>
      <c r="PT41" s="43">
        <v>150</v>
      </c>
      <c r="PU41" s="42">
        <v>100.42700000000001</v>
      </c>
      <c r="PV41" s="47">
        <v>100</v>
      </c>
      <c r="PW41" s="47">
        <v>103.723</v>
      </c>
      <c r="PX41" s="47">
        <v>100</v>
      </c>
      <c r="PY41" s="44">
        <v>4.1500000000000057</v>
      </c>
      <c r="PZ41" s="43"/>
      <c r="QA41" s="42">
        <v>99.370999999999995</v>
      </c>
      <c r="QB41" s="47">
        <v>100</v>
      </c>
      <c r="QC41" s="44">
        <v>-0.62900000000000489</v>
      </c>
      <c r="QD41" s="43"/>
      <c r="QE41" s="42">
        <v>49.435000000000002</v>
      </c>
      <c r="QF41" s="47">
        <v>50</v>
      </c>
      <c r="QG41" s="44">
        <v>-0.56499999999999773</v>
      </c>
      <c r="QH41" s="43"/>
      <c r="QI41" s="42">
        <v>155.59</v>
      </c>
      <c r="QJ41" s="47">
        <v>150</v>
      </c>
      <c r="QK41" s="44">
        <v>5.5900000000000034</v>
      </c>
      <c r="QL41" s="43"/>
      <c r="QM41" s="42">
        <v>51.886000000000003</v>
      </c>
      <c r="QN41" s="47">
        <v>50</v>
      </c>
      <c r="QO41" s="47">
        <v>103.795</v>
      </c>
      <c r="QP41" s="47">
        <v>100</v>
      </c>
      <c r="QQ41" s="44">
        <v>5.6810000000000116</v>
      </c>
      <c r="QR41" s="43"/>
      <c r="QS41" s="42">
        <v>154.351</v>
      </c>
      <c r="QT41" s="47">
        <v>150</v>
      </c>
      <c r="QU41" s="44">
        <v>4.3509999999999991</v>
      </c>
      <c r="QV41" s="43"/>
      <c r="QW41" s="42">
        <v>156.66300000000001</v>
      </c>
      <c r="QX41" s="47">
        <v>150</v>
      </c>
      <c r="QY41" s="44">
        <v>6.6630000000000109</v>
      </c>
      <c r="QZ41" s="43"/>
    </row>
    <row r="42" spans="1:468" x14ac:dyDescent="0.25">
      <c r="A42" s="47" t="s">
        <v>326</v>
      </c>
      <c r="B42" s="38">
        <v>1</v>
      </c>
      <c r="N42" s="39"/>
      <c r="O42" s="48"/>
      <c r="P42" s="48"/>
      <c r="Q42" s="48"/>
      <c r="R42" s="48">
        <f t="shared" si="8"/>
        <v>0</v>
      </c>
      <c r="S42" s="40"/>
      <c r="T42" s="39"/>
      <c r="U42" s="48"/>
      <c r="V42" s="48">
        <f t="shared" si="9"/>
        <v>0</v>
      </c>
      <c r="W42" s="40"/>
      <c r="X42" s="39"/>
      <c r="Y42" s="48"/>
      <c r="Z42" s="48"/>
      <c r="AA42" s="48"/>
      <c r="AB42" s="48">
        <f t="shared" si="10"/>
        <v>0</v>
      </c>
      <c r="AC42" s="40"/>
      <c r="AD42" s="48"/>
      <c r="AH42" s="44">
        <v>0</v>
      </c>
      <c r="AI42" s="40"/>
      <c r="AN42" s="44">
        <v>0</v>
      </c>
      <c r="AO42" s="40"/>
      <c r="AT42" s="44">
        <v>0</v>
      </c>
      <c r="AU42" s="40"/>
      <c r="AV42" s="39"/>
      <c r="AX42" s="44">
        <v>0</v>
      </c>
      <c r="AY42" s="40"/>
      <c r="AZ42" s="39"/>
      <c r="BB42" s="44">
        <v>0</v>
      </c>
      <c r="BC42" s="40"/>
      <c r="BH42" s="44">
        <v>0</v>
      </c>
      <c r="BI42" s="40"/>
      <c r="BL42" s="44">
        <v>0</v>
      </c>
      <c r="BM42" s="40"/>
      <c r="BN42" s="39"/>
      <c r="BR42" s="44">
        <v>0</v>
      </c>
      <c r="BS42" s="40"/>
      <c r="BV42" s="44">
        <v>0</v>
      </c>
      <c r="BW42" s="40"/>
      <c r="BX42" s="39"/>
      <c r="BZ42" s="44">
        <v>0</v>
      </c>
      <c r="CA42" s="40"/>
      <c r="CB42" s="39"/>
      <c r="CH42" s="44">
        <v>0</v>
      </c>
      <c r="CI42" s="40"/>
      <c r="CN42" s="44">
        <v>0</v>
      </c>
      <c r="CO42" s="40"/>
      <c r="CP42" s="39"/>
      <c r="CT42" s="44">
        <v>0</v>
      </c>
      <c r="CU42" s="40"/>
      <c r="CV42" s="39"/>
      <c r="CZ42" s="44">
        <v>0</v>
      </c>
      <c r="DA42" s="40"/>
      <c r="DB42" s="39"/>
      <c r="DF42" s="44">
        <v>0</v>
      </c>
      <c r="DG42" s="40"/>
      <c r="DN42" s="44">
        <v>0</v>
      </c>
      <c r="DO42" s="40"/>
      <c r="DP42" s="39"/>
      <c r="DR42" s="44">
        <v>0</v>
      </c>
      <c r="DS42" s="40"/>
      <c r="DT42" s="39"/>
      <c r="DX42" s="44">
        <v>0</v>
      </c>
      <c r="DY42" s="40"/>
      <c r="DZ42" s="39"/>
      <c r="EB42" s="44">
        <v>0</v>
      </c>
      <c r="EC42" s="40"/>
      <c r="EK42" s="44">
        <v>0</v>
      </c>
      <c r="EL42" s="40"/>
      <c r="ES42" s="44">
        <v>0</v>
      </c>
      <c r="ET42" s="40"/>
      <c r="EU42" s="39"/>
      <c r="EY42" s="44">
        <v>0</v>
      </c>
      <c r="EZ42" s="40"/>
      <c r="FA42" s="39"/>
      <c r="FD42" s="44">
        <v>0</v>
      </c>
      <c r="FE42" s="40"/>
      <c r="FH42" s="44">
        <v>0</v>
      </c>
      <c r="FI42" s="40"/>
      <c r="FJ42" s="39"/>
      <c r="FQ42" s="44">
        <v>0</v>
      </c>
      <c r="FR42" s="40"/>
      <c r="FW42" s="44">
        <v>0</v>
      </c>
      <c r="FX42" s="40"/>
      <c r="FY42" s="39"/>
      <c r="GC42" s="44">
        <v>0</v>
      </c>
      <c r="GD42" s="40"/>
      <c r="GI42" s="44">
        <v>0</v>
      </c>
      <c r="GJ42" s="40"/>
      <c r="GM42" s="44">
        <v>0</v>
      </c>
      <c r="GN42" s="40"/>
      <c r="GO42" s="39"/>
      <c r="GQ42" s="44">
        <v>0</v>
      </c>
      <c r="GR42" s="40"/>
      <c r="GX42" s="44">
        <v>0</v>
      </c>
      <c r="GY42" s="40"/>
      <c r="HD42" s="44">
        <v>0</v>
      </c>
      <c r="HE42" s="40"/>
      <c r="HF42" s="39"/>
      <c r="HJ42" s="44">
        <v>0</v>
      </c>
      <c r="HK42" s="40"/>
      <c r="HL42" s="39"/>
      <c r="HP42" s="44">
        <v>0</v>
      </c>
      <c r="HQ42" s="40"/>
      <c r="HV42" s="44">
        <v>0</v>
      </c>
      <c r="HW42" s="43"/>
      <c r="IB42" s="44">
        <v>0</v>
      </c>
      <c r="IC42" s="43"/>
      <c r="IH42" s="44">
        <v>0</v>
      </c>
      <c r="II42" s="43"/>
      <c r="IN42" s="44">
        <v>0</v>
      </c>
      <c r="IO42" s="40"/>
      <c r="IR42" s="44">
        <v>0</v>
      </c>
      <c r="IS42" s="40"/>
      <c r="IX42" s="44">
        <v>0</v>
      </c>
      <c r="IY42" s="43"/>
      <c r="JB42" s="44">
        <v>0</v>
      </c>
      <c r="JC42" s="40"/>
      <c r="JH42" s="44">
        <v>0</v>
      </c>
      <c r="JI42" s="40"/>
      <c r="JN42" s="44">
        <v>0</v>
      </c>
      <c r="JO42" s="43"/>
      <c r="JT42" s="44">
        <v>0</v>
      </c>
      <c r="JU42" s="43"/>
      <c r="JZ42" s="44">
        <v>0</v>
      </c>
      <c r="KA42" s="43"/>
      <c r="KB42" s="42"/>
      <c r="KI42" s="44">
        <v>0</v>
      </c>
      <c r="KJ42" s="43"/>
      <c r="KK42" s="47">
        <v>0</v>
      </c>
      <c r="KL42" s="47">
        <v>0</v>
      </c>
      <c r="KM42" s="47">
        <v>0</v>
      </c>
      <c r="KN42" s="47">
        <v>0</v>
      </c>
      <c r="KO42" s="44">
        <v>0</v>
      </c>
      <c r="KP42" s="43"/>
      <c r="KQ42" s="47">
        <v>0</v>
      </c>
      <c r="KR42" s="47">
        <v>0</v>
      </c>
      <c r="KS42" s="47">
        <v>0</v>
      </c>
      <c r="KT42" s="47">
        <v>0</v>
      </c>
      <c r="KU42" s="44">
        <v>0</v>
      </c>
      <c r="KV42" s="43"/>
      <c r="KW42" s="42">
        <v>0</v>
      </c>
      <c r="KX42" s="47">
        <v>0</v>
      </c>
      <c r="KY42" s="44">
        <v>0</v>
      </c>
      <c r="KZ42" s="43"/>
      <c r="LA42" s="42">
        <v>0</v>
      </c>
      <c r="LB42" s="47">
        <v>0</v>
      </c>
      <c r="LC42" s="47">
        <v>0</v>
      </c>
      <c r="LD42" s="47">
        <v>0</v>
      </c>
      <c r="LE42" s="44">
        <v>0</v>
      </c>
      <c r="LF42" s="43"/>
      <c r="LG42" s="42">
        <v>0</v>
      </c>
      <c r="LH42" s="47">
        <v>0</v>
      </c>
      <c r="LI42" s="47">
        <v>0</v>
      </c>
      <c r="LJ42" s="47">
        <v>0</v>
      </c>
      <c r="LK42" s="44">
        <v>0</v>
      </c>
      <c r="LL42" s="43"/>
      <c r="LM42" s="42">
        <v>0</v>
      </c>
      <c r="LN42" s="47">
        <v>0</v>
      </c>
      <c r="LO42" s="44">
        <v>0</v>
      </c>
      <c r="LP42" s="43"/>
      <c r="LQ42" s="42">
        <v>0</v>
      </c>
      <c r="LR42" s="47">
        <v>0</v>
      </c>
      <c r="LS42" s="47">
        <v>0</v>
      </c>
      <c r="LT42" s="47">
        <v>0</v>
      </c>
      <c r="LU42" s="44">
        <v>0</v>
      </c>
      <c r="LV42" s="43"/>
      <c r="LW42" s="42">
        <v>0</v>
      </c>
      <c r="LX42" s="47">
        <v>0</v>
      </c>
      <c r="LY42" s="47">
        <v>0</v>
      </c>
      <c r="LZ42" s="47">
        <v>0</v>
      </c>
      <c r="MA42" s="44">
        <v>0</v>
      </c>
      <c r="MB42" s="43"/>
      <c r="MC42" s="42">
        <v>0</v>
      </c>
      <c r="MD42" s="47">
        <v>0</v>
      </c>
      <c r="ME42" s="47">
        <v>0</v>
      </c>
      <c r="MF42" s="47">
        <v>0</v>
      </c>
      <c r="MG42" s="44">
        <v>0</v>
      </c>
      <c r="MH42" s="43"/>
      <c r="MI42" s="42">
        <v>0</v>
      </c>
      <c r="MJ42" s="47">
        <v>0</v>
      </c>
      <c r="MK42" s="47">
        <v>0</v>
      </c>
      <c r="ML42" s="47">
        <v>0</v>
      </c>
      <c r="MM42" s="44">
        <v>0</v>
      </c>
      <c r="MN42" s="43"/>
      <c r="MO42" s="42">
        <v>0</v>
      </c>
      <c r="MP42" s="47">
        <v>0</v>
      </c>
      <c r="MQ42" s="47">
        <v>0</v>
      </c>
      <c r="MR42" s="47">
        <v>0</v>
      </c>
      <c r="MS42" s="44">
        <v>0</v>
      </c>
      <c r="MT42" s="43"/>
      <c r="MU42" s="42">
        <v>0</v>
      </c>
      <c r="MV42" s="47">
        <v>0</v>
      </c>
      <c r="MW42" s="47">
        <v>0</v>
      </c>
      <c r="MX42" s="47">
        <v>0</v>
      </c>
      <c r="MY42" s="44">
        <v>0</v>
      </c>
      <c r="MZ42" s="43"/>
      <c r="NA42" s="42">
        <v>0</v>
      </c>
      <c r="NB42" s="47">
        <v>0</v>
      </c>
      <c r="NC42" s="47">
        <v>0</v>
      </c>
      <c r="ND42" s="47">
        <v>0</v>
      </c>
      <c r="NE42" s="44">
        <v>0</v>
      </c>
      <c r="NF42" s="43"/>
      <c r="NG42" s="42">
        <v>0</v>
      </c>
      <c r="NH42" s="47">
        <v>0</v>
      </c>
      <c r="NI42" s="47">
        <v>0</v>
      </c>
      <c r="NJ42" s="47">
        <v>0</v>
      </c>
      <c r="NK42" s="44">
        <v>0</v>
      </c>
      <c r="NL42" s="43"/>
      <c r="NM42" s="42">
        <v>0</v>
      </c>
      <c r="NN42" s="47">
        <v>0</v>
      </c>
      <c r="NO42" s="47">
        <v>0</v>
      </c>
      <c r="NP42" s="47">
        <v>0</v>
      </c>
      <c r="NQ42" s="44">
        <v>0</v>
      </c>
      <c r="NR42" s="43"/>
      <c r="NS42" s="42">
        <v>0</v>
      </c>
      <c r="NT42" s="47">
        <v>0</v>
      </c>
      <c r="NU42" s="47">
        <v>0</v>
      </c>
      <c r="NV42" s="47">
        <v>0</v>
      </c>
      <c r="NW42" s="44">
        <v>0</v>
      </c>
      <c r="NX42" s="43"/>
      <c r="NY42" s="42">
        <v>0</v>
      </c>
      <c r="NZ42" s="47">
        <v>0</v>
      </c>
      <c r="OA42" s="47">
        <v>0</v>
      </c>
      <c r="OB42" s="47">
        <v>0</v>
      </c>
      <c r="OC42" s="44">
        <v>0</v>
      </c>
      <c r="OD42" s="43"/>
      <c r="OE42" s="42">
        <v>0</v>
      </c>
      <c r="OF42" s="47">
        <v>0</v>
      </c>
      <c r="OG42" s="47">
        <v>0</v>
      </c>
      <c r="OH42" s="47">
        <v>0</v>
      </c>
      <c r="OI42" s="44">
        <v>0</v>
      </c>
      <c r="OJ42" s="43"/>
      <c r="OK42" s="42">
        <v>0</v>
      </c>
      <c r="OL42" s="47">
        <v>0</v>
      </c>
      <c r="OM42" s="47">
        <v>0</v>
      </c>
      <c r="ON42" s="47">
        <v>0</v>
      </c>
      <c r="OO42" s="44">
        <v>0</v>
      </c>
      <c r="OP42" s="43"/>
      <c r="OQ42" s="42">
        <v>0</v>
      </c>
      <c r="OR42" s="47">
        <v>0</v>
      </c>
      <c r="OS42" s="47">
        <v>0</v>
      </c>
      <c r="OT42" s="47">
        <v>0</v>
      </c>
      <c r="OU42" s="44">
        <v>0</v>
      </c>
      <c r="OV42" s="43"/>
      <c r="OW42" s="42">
        <v>0</v>
      </c>
      <c r="OX42" s="47">
        <v>0</v>
      </c>
      <c r="OY42" s="47">
        <v>0</v>
      </c>
      <c r="OZ42" s="47">
        <v>0</v>
      </c>
      <c r="PA42" s="44">
        <v>0</v>
      </c>
      <c r="PB42" s="43"/>
      <c r="PC42" s="42">
        <v>0</v>
      </c>
      <c r="PD42" s="47">
        <v>0</v>
      </c>
      <c r="PE42" s="47">
        <v>0</v>
      </c>
      <c r="PF42" s="47">
        <v>0</v>
      </c>
      <c r="PG42" s="44">
        <v>0</v>
      </c>
      <c r="PH42" s="43"/>
      <c r="PI42" s="42">
        <v>0</v>
      </c>
      <c r="PJ42" s="47">
        <v>0</v>
      </c>
      <c r="PK42" s="47">
        <v>0</v>
      </c>
      <c r="PL42" s="47">
        <v>0</v>
      </c>
      <c r="PM42" s="44">
        <v>0</v>
      </c>
      <c r="PN42" s="43"/>
      <c r="PO42" s="42">
        <v>0</v>
      </c>
      <c r="PP42" s="12">
        <v>100</v>
      </c>
      <c r="PQ42" s="47">
        <v>0</v>
      </c>
      <c r="PR42" s="12">
        <v>200</v>
      </c>
      <c r="PS42" s="44">
        <v>0.13400000000001461</v>
      </c>
      <c r="PT42" s="43"/>
      <c r="PU42" s="42">
        <v>0</v>
      </c>
      <c r="PV42" s="12">
        <v>100</v>
      </c>
      <c r="PW42" s="47">
        <v>0</v>
      </c>
      <c r="PX42" s="12">
        <v>120</v>
      </c>
      <c r="PY42" s="44">
        <v>-2.6519999999999868</v>
      </c>
      <c r="PZ42" s="43"/>
      <c r="QA42" s="42">
        <v>0</v>
      </c>
      <c r="QB42" s="12">
        <v>400</v>
      </c>
      <c r="QC42" s="44">
        <v>1.6009999999999991</v>
      </c>
      <c r="QD42" s="43"/>
      <c r="QE42" s="42">
        <v>301.62200000000001</v>
      </c>
      <c r="QF42" s="47">
        <v>300</v>
      </c>
      <c r="QG42" s="44">
        <v>1.6220000000000141</v>
      </c>
      <c r="QH42" s="43"/>
      <c r="QI42" s="42">
        <v>299.988</v>
      </c>
      <c r="QJ42" s="47">
        <v>300</v>
      </c>
      <c r="QK42" s="44">
        <v>-1.200000000000045E-2</v>
      </c>
      <c r="QL42" s="43"/>
      <c r="QM42" s="42">
        <v>0</v>
      </c>
      <c r="QN42" s="47">
        <v>0</v>
      </c>
      <c r="QO42" s="47">
        <v>0</v>
      </c>
      <c r="QP42" s="47">
        <v>0</v>
      </c>
      <c r="QQ42" s="44">
        <v>0</v>
      </c>
      <c r="QR42" s="43"/>
      <c r="QS42" s="42">
        <v>159.18100000000001</v>
      </c>
      <c r="QT42" s="47">
        <v>300</v>
      </c>
      <c r="QU42" s="46">
        <v>-140.81899999999999</v>
      </c>
      <c r="QV42" s="43">
        <v>140.81899999999999</v>
      </c>
      <c r="QW42" s="42">
        <v>587.29899999999998</v>
      </c>
      <c r="QX42" s="47">
        <v>600</v>
      </c>
      <c r="QY42" s="46">
        <v>-12.70100000000002</v>
      </c>
      <c r="QZ42" s="43">
        <v>12.70100000000002</v>
      </c>
    </row>
    <row r="43" spans="1:468" x14ac:dyDescent="0.25">
      <c r="A43" s="47" t="s">
        <v>327</v>
      </c>
      <c r="B43" s="38">
        <v>0.36</v>
      </c>
      <c r="N43" s="39"/>
      <c r="O43" s="48"/>
      <c r="P43" s="48"/>
      <c r="Q43" s="48"/>
      <c r="R43" s="48">
        <f t="shared" si="8"/>
        <v>0</v>
      </c>
      <c r="S43" s="40"/>
      <c r="T43" s="39"/>
      <c r="U43" s="48"/>
      <c r="V43" s="48">
        <f t="shared" si="9"/>
        <v>0</v>
      </c>
      <c r="W43" s="40"/>
      <c r="X43" s="39"/>
      <c r="Y43" s="48"/>
      <c r="Z43" s="48"/>
      <c r="AA43" s="48"/>
      <c r="AB43" s="48">
        <f t="shared" si="10"/>
        <v>0</v>
      </c>
      <c r="AC43" s="40"/>
      <c r="AD43" s="48"/>
      <c r="AH43" s="44">
        <v>0</v>
      </c>
      <c r="AI43" s="40"/>
      <c r="AN43" s="44">
        <v>0</v>
      </c>
      <c r="AO43" s="40"/>
      <c r="AT43" s="44">
        <v>0</v>
      </c>
      <c r="AU43" s="40"/>
      <c r="AV43" s="39"/>
      <c r="AX43" s="44">
        <v>0</v>
      </c>
      <c r="AY43" s="40"/>
      <c r="AZ43" s="39"/>
      <c r="BB43" s="44">
        <v>0</v>
      </c>
      <c r="BC43" s="40"/>
      <c r="BH43" s="44">
        <v>0</v>
      </c>
      <c r="BI43" s="40"/>
      <c r="BL43" s="44">
        <v>0</v>
      </c>
      <c r="BM43" s="40"/>
      <c r="BN43" s="39"/>
      <c r="BR43" s="44">
        <v>0</v>
      </c>
      <c r="BS43" s="40"/>
      <c r="BV43" s="44">
        <v>0</v>
      </c>
      <c r="BW43" s="40"/>
      <c r="BX43" s="39"/>
      <c r="BZ43" s="44">
        <v>0</v>
      </c>
      <c r="CA43" s="40"/>
      <c r="CB43" s="39"/>
      <c r="CH43" s="44">
        <v>0</v>
      </c>
      <c r="CI43" s="40"/>
      <c r="CN43" s="44">
        <v>0</v>
      </c>
      <c r="CO43" s="40"/>
      <c r="CP43" s="39"/>
      <c r="CT43" s="44">
        <v>0</v>
      </c>
      <c r="CU43" s="40"/>
      <c r="CV43" s="39"/>
      <c r="CZ43" s="44">
        <v>0</v>
      </c>
      <c r="DA43" s="40"/>
      <c r="DB43" s="39"/>
      <c r="DF43" s="44">
        <v>0</v>
      </c>
      <c r="DG43" s="40"/>
      <c r="DN43" s="44">
        <v>0</v>
      </c>
      <c r="DO43" s="40"/>
      <c r="DP43" s="39"/>
      <c r="DR43" s="44">
        <v>0</v>
      </c>
      <c r="DS43" s="40"/>
      <c r="DT43" s="39"/>
      <c r="DX43" s="44">
        <v>0</v>
      </c>
      <c r="DY43" s="40"/>
      <c r="DZ43" s="39"/>
      <c r="EB43" s="44">
        <v>0</v>
      </c>
      <c r="EC43" s="40"/>
      <c r="EK43" s="44">
        <v>0</v>
      </c>
      <c r="EL43" s="40"/>
      <c r="ES43" s="44">
        <v>0</v>
      </c>
      <c r="ET43" s="40"/>
      <c r="EU43" s="39"/>
      <c r="EY43" s="44">
        <v>0</v>
      </c>
      <c r="EZ43" s="40"/>
      <c r="FA43" s="39"/>
      <c r="FD43" s="44">
        <v>0</v>
      </c>
      <c r="FE43" s="40"/>
      <c r="FH43" s="44">
        <v>0</v>
      </c>
      <c r="FI43" s="40"/>
      <c r="FJ43" s="39"/>
      <c r="FQ43" s="44">
        <v>0</v>
      </c>
      <c r="FR43" s="40"/>
      <c r="FW43" s="44">
        <v>0</v>
      </c>
      <c r="FX43" s="40"/>
      <c r="FY43" s="39"/>
      <c r="GC43" s="44">
        <v>0</v>
      </c>
      <c r="GD43" s="40"/>
      <c r="GI43" s="44">
        <v>0</v>
      </c>
      <c r="GJ43" s="40"/>
      <c r="GM43" s="44">
        <v>0</v>
      </c>
      <c r="GN43" s="40"/>
      <c r="GO43" s="39"/>
      <c r="GQ43" s="44">
        <v>0</v>
      </c>
      <c r="GR43" s="40"/>
      <c r="GX43" s="44">
        <v>0</v>
      </c>
      <c r="GY43" s="40"/>
      <c r="HD43" s="44">
        <v>0</v>
      </c>
      <c r="HE43" s="40"/>
      <c r="HF43" s="39"/>
      <c r="HJ43" s="44">
        <v>0</v>
      </c>
      <c r="HK43" s="40"/>
      <c r="HL43" s="39"/>
      <c r="HP43" s="44">
        <v>0</v>
      </c>
      <c r="HQ43" s="40"/>
      <c r="HV43" s="44">
        <v>0</v>
      </c>
      <c r="HW43" s="43"/>
      <c r="IB43" s="44">
        <v>0</v>
      </c>
      <c r="IC43" s="43"/>
      <c r="IH43" s="44">
        <v>0</v>
      </c>
      <c r="II43" s="43"/>
      <c r="IN43" s="44">
        <v>0</v>
      </c>
      <c r="IO43" s="40"/>
      <c r="IR43" s="44">
        <v>0</v>
      </c>
      <c r="IS43" s="40"/>
      <c r="IX43" s="44">
        <v>0</v>
      </c>
      <c r="IY43" s="43"/>
      <c r="JB43" s="44">
        <v>0</v>
      </c>
      <c r="JC43" s="40"/>
      <c r="JH43" s="44">
        <v>0</v>
      </c>
      <c r="JI43" s="40"/>
      <c r="JN43" s="44">
        <v>0</v>
      </c>
      <c r="JO43" s="43"/>
      <c r="JT43" s="44">
        <v>0</v>
      </c>
      <c r="JU43" s="43"/>
      <c r="JZ43" s="44">
        <v>0</v>
      </c>
      <c r="KA43" s="43"/>
      <c r="KB43" s="42"/>
      <c r="KI43" s="44">
        <v>0</v>
      </c>
      <c r="KJ43" s="43"/>
      <c r="KK43" s="47">
        <v>0</v>
      </c>
      <c r="KL43" s="47">
        <v>0</v>
      </c>
      <c r="KM43" s="47">
        <v>0</v>
      </c>
      <c r="KN43" s="47">
        <v>0</v>
      </c>
      <c r="KO43" s="44">
        <v>0</v>
      </c>
      <c r="KP43" s="43"/>
      <c r="KQ43" s="47">
        <v>0</v>
      </c>
      <c r="KR43" s="47">
        <v>0</v>
      </c>
      <c r="KS43" s="47">
        <v>0</v>
      </c>
      <c r="KT43" s="47">
        <v>0</v>
      </c>
      <c r="KU43" s="44">
        <v>0</v>
      </c>
      <c r="KV43" s="43"/>
      <c r="KW43" s="42">
        <v>0</v>
      </c>
      <c r="KX43" s="47">
        <v>0</v>
      </c>
      <c r="KY43" s="44">
        <v>0</v>
      </c>
      <c r="KZ43" s="43"/>
      <c r="LA43" s="42">
        <v>0</v>
      </c>
      <c r="LB43" s="47">
        <v>0</v>
      </c>
      <c r="LC43" s="47">
        <v>0</v>
      </c>
      <c r="LD43" s="47">
        <v>0</v>
      </c>
      <c r="LE43" s="44">
        <v>0</v>
      </c>
      <c r="LF43" s="43"/>
      <c r="LG43" s="42">
        <v>0</v>
      </c>
      <c r="LH43" s="47">
        <v>0</v>
      </c>
      <c r="LI43" s="47">
        <v>0</v>
      </c>
      <c r="LJ43" s="47">
        <v>0</v>
      </c>
      <c r="LK43" s="44">
        <v>0</v>
      </c>
      <c r="LL43" s="43"/>
      <c r="LM43" s="42">
        <v>0</v>
      </c>
      <c r="LN43" s="47">
        <v>0</v>
      </c>
      <c r="LO43" s="44">
        <v>0</v>
      </c>
      <c r="LP43" s="43"/>
      <c r="LQ43" s="42">
        <v>0</v>
      </c>
      <c r="LR43" s="47">
        <v>0</v>
      </c>
      <c r="LS43" s="47">
        <v>0</v>
      </c>
      <c r="LT43" s="47">
        <v>0</v>
      </c>
      <c r="LU43" s="44">
        <v>0</v>
      </c>
      <c r="LV43" s="43"/>
      <c r="LW43" s="42">
        <v>0</v>
      </c>
      <c r="LX43" s="47">
        <v>0</v>
      </c>
      <c r="LY43" s="47">
        <v>0</v>
      </c>
      <c r="LZ43" s="47">
        <v>0</v>
      </c>
      <c r="MA43" s="44">
        <v>0</v>
      </c>
      <c r="MB43" s="43"/>
      <c r="MC43" s="42">
        <v>0</v>
      </c>
      <c r="MD43" s="47">
        <v>0</v>
      </c>
      <c r="ME43" s="47">
        <v>0</v>
      </c>
      <c r="MF43" s="47">
        <v>0</v>
      </c>
      <c r="MG43" s="44">
        <v>0</v>
      </c>
      <c r="MH43" s="43"/>
      <c r="MI43" s="42">
        <v>0</v>
      </c>
      <c r="MJ43" s="47">
        <v>0</v>
      </c>
      <c r="MK43" s="47">
        <v>0</v>
      </c>
      <c r="ML43" s="47">
        <v>0</v>
      </c>
      <c r="MM43" s="44">
        <v>0</v>
      </c>
      <c r="MN43" s="43"/>
      <c r="MO43" s="42">
        <v>0</v>
      </c>
      <c r="MP43" s="47">
        <v>0</v>
      </c>
      <c r="MQ43" s="47">
        <v>0</v>
      </c>
      <c r="MR43" s="47">
        <v>0</v>
      </c>
      <c r="MS43" s="44">
        <v>0</v>
      </c>
      <c r="MT43" s="43"/>
      <c r="MU43" s="42">
        <v>0</v>
      </c>
      <c r="MV43" s="47">
        <v>0</v>
      </c>
      <c r="MW43" s="47">
        <v>0</v>
      </c>
      <c r="MX43" s="47">
        <v>0</v>
      </c>
      <c r="MY43" s="44">
        <v>0</v>
      </c>
      <c r="MZ43" s="43"/>
      <c r="NA43" s="42">
        <v>0</v>
      </c>
      <c r="NB43" s="47">
        <v>0</v>
      </c>
      <c r="NC43" s="47">
        <v>0</v>
      </c>
      <c r="ND43" s="47">
        <v>0</v>
      </c>
      <c r="NE43" s="44">
        <v>0</v>
      </c>
      <c r="NF43" s="43"/>
      <c r="NG43" s="42">
        <v>0</v>
      </c>
      <c r="NH43" s="47">
        <v>0</v>
      </c>
      <c r="NI43" s="47">
        <v>0</v>
      </c>
      <c r="NJ43" s="47">
        <v>0</v>
      </c>
      <c r="NK43" s="44">
        <v>0</v>
      </c>
      <c r="NL43" s="43"/>
      <c r="NM43" s="42">
        <v>0</v>
      </c>
      <c r="NN43" s="47">
        <v>0</v>
      </c>
      <c r="NO43" s="47">
        <v>0</v>
      </c>
      <c r="NP43" s="47">
        <v>0</v>
      </c>
      <c r="NQ43" s="44">
        <v>0</v>
      </c>
      <c r="NR43" s="43"/>
      <c r="NS43" s="42">
        <v>0</v>
      </c>
      <c r="NT43" s="47">
        <v>0</v>
      </c>
      <c r="NU43" s="47">
        <v>0</v>
      </c>
      <c r="NV43" s="47">
        <v>0</v>
      </c>
      <c r="NW43" s="44">
        <v>0</v>
      </c>
      <c r="NX43" s="43"/>
      <c r="NY43" s="42">
        <v>0</v>
      </c>
      <c r="NZ43" s="47">
        <v>0</v>
      </c>
      <c r="OA43" s="47">
        <v>0</v>
      </c>
      <c r="OB43" s="47">
        <v>0</v>
      </c>
      <c r="OC43" s="44">
        <v>0</v>
      </c>
      <c r="OD43" s="43"/>
      <c r="OE43" s="42">
        <v>0</v>
      </c>
      <c r="OF43" s="47">
        <v>0</v>
      </c>
      <c r="OG43" s="47">
        <v>0</v>
      </c>
      <c r="OH43" s="47">
        <v>0</v>
      </c>
      <c r="OI43" s="44">
        <v>0</v>
      </c>
      <c r="OJ43" s="43"/>
      <c r="OK43" s="42">
        <v>0</v>
      </c>
      <c r="OL43" s="47">
        <v>0</v>
      </c>
      <c r="OM43" s="47">
        <v>0</v>
      </c>
      <c r="ON43" s="47">
        <v>0</v>
      </c>
      <c r="OO43" s="44">
        <v>0</v>
      </c>
      <c r="OP43" s="43"/>
      <c r="OQ43" s="42">
        <v>0</v>
      </c>
      <c r="OR43" s="47">
        <v>0</v>
      </c>
      <c r="OS43" s="47">
        <v>0</v>
      </c>
      <c r="OT43" s="47">
        <v>0</v>
      </c>
      <c r="OU43" s="44">
        <v>0</v>
      </c>
      <c r="OV43" s="43"/>
      <c r="OW43" s="42">
        <v>0</v>
      </c>
      <c r="OX43" s="47">
        <v>0</v>
      </c>
      <c r="OY43" s="47">
        <v>0</v>
      </c>
      <c r="OZ43" s="47">
        <v>0</v>
      </c>
      <c r="PA43" s="44">
        <v>0</v>
      </c>
      <c r="PB43" s="43"/>
      <c r="PC43" s="42">
        <v>0</v>
      </c>
      <c r="PD43" s="47">
        <v>180</v>
      </c>
      <c r="PE43" s="47">
        <v>0</v>
      </c>
      <c r="PF43" s="26">
        <v>201</v>
      </c>
      <c r="PG43" s="46">
        <v>-381</v>
      </c>
      <c r="PH43" s="43">
        <v>137.16</v>
      </c>
      <c r="PI43" s="42">
        <v>0</v>
      </c>
      <c r="PJ43" s="47">
        <v>0</v>
      </c>
      <c r="PK43" s="47">
        <v>0</v>
      </c>
      <c r="PL43" s="47">
        <v>0</v>
      </c>
      <c r="PM43" s="44">
        <v>0</v>
      </c>
      <c r="PN43" s="43"/>
      <c r="PO43" s="42">
        <v>80</v>
      </c>
      <c r="PP43" s="47">
        <v>80</v>
      </c>
      <c r="PQ43" s="47">
        <v>100</v>
      </c>
      <c r="PR43" s="47">
        <v>100</v>
      </c>
      <c r="PS43" s="44">
        <v>0</v>
      </c>
      <c r="PT43" s="43"/>
      <c r="PU43" s="42">
        <v>0</v>
      </c>
      <c r="PV43" s="47">
        <v>0</v>
      </c>
      <c r="PW43" s="47">
        <v>190</v>
      </c>
      <c r="PX43" s="47">
        <v>200</v>
      </c>
      <c r="PY43" s="44">
        <v>-10</v>
      </c>
      <c r="PZ43" s="43"/>
      <c r="QA43" s="42">
        <v>380</v>
      </c>
      <c r="QB43" s="47">
        <v>378</v>
      </c>
      <c r="QC43" s="44">
        <v>2</v>
      </c>
      <c r="QD43" s="43"/>
      <c r="QE43" s="42">
        <v>0</v>
      </c>
      <c r="QF43" s="47">
        <v>0</v>
      </c>
      <c r="QG43" s="44">
        <v>0</v>
      </c>
      <c r="QH43" s="43"/>
      <c r="QI43" s="42">
        <v>230</v>
      </c>
      <c r="QJ43" s="47">
        <v>230</v>
      </c>
      <c r="QK43" s="44">
        <v>0</v>
      </c>
      <c r="QL43" s="43"/>
      <c r="QM43" s="42">
        <v>100</v>
      </c>
      <c r="QN43" s="47">
        <v>100</v>
      </c>
      <c r="QO43" s="47">
        <v>150</v>
      </c>
      <c r="QP43" s="47">
        <v>150</v>
      </c>
      <c r="QQ43" s="44">
        <v>0</v>
      </c>
      <c r="QR43" s="43"/>
      <c r="QS43" s="42">
        <v>0</v>
      </c>
      <c r="QT43" s="47">
        <v>0</v>
      </c>
      <c r="QU43" s="44">
        <v>0</v>
      </c>
      <c r="QV43" s="43"/>
      <c r="QW43" s="42">
        <v>110</v>
      </c>
      <c r="QX43" s="47">
        <v>111</v>
      </c>
      <c r="QY43" s="44">
        <v>-1</v>
      </c>
      <c r="QZ43" s="43"/>
    </row>
    <row r="44" spans="1:468" x14ac:dyDescent="0.25">
      <c r="A44" s="47" t="s">
        <v>328</v>
      </c>
      <c r="B44" s="38">
        <v>0.3</v>
      </c>
      <c r="N44" s="39"/>
      <c r="O44" s="48"/>
      <c r="P44" s="48"/>
      <c r="Q44" s="48"/>
      <c r="R44" s="48">
        <f t="shared" si="8"/>
        <v>0</v>
      </c>
      <c r="S44" s="40"/>
      <c r="T44" s="39"/>
      <c r="U44" s="48"/>
      <c r="V44" s="48">
        <f t="shared" si="9"/>
        <v>0</v>
      </c>
      <c r="W44" s="40"/>
      <c r="X44" s="39"/>
      <c r="Y44" s="48"/>
      <c r="Z44" s="48"/>
      <c r="AA44" s="48"/>
      <c r="AB44" s="48">
        <f t="shared" si="10"/>
        <v>0</v>
      </c>
      <c r="AC44" s="40"/>
      <c r="AD44" s="48"/>
      <c r="AH44" s="44">
        <v>0</v>
      </c>
      <c r="AI44" s="40"/>
      <c r="AN44" s="44">
        <v>0</v>
      </c>
      <c r="AO44" s="40"/>
      <c r="AT44" s="44">
        <v>0</v>
      </c>
      <c r="AU44" s="40"/>
      <c r="AV44" s="39"/>
      <c r="AX44" s="44">
        <v>0</v>
      </c>
      <c r="AY44" s="40"/>
      <c r="AZ44" s="39"/>
      <c r="BB44" s="44">
        <v>0</v>
      </c>
      <c r="BC44" s="40"/>
      <c r="BH44" s="44">
        <v>0</v>
      </c>
      <c r="BI44" s="40"/>
      <c r="BL44" s="44">
        <v>0</v>
      </c>
      <c r="BM44" s="40"/>
      <c r="BN44" s="39"/>
      <c r="BR44" s="44">
        <v>0</v>
      </c>
      <c r="BS44" s="40"/>
      <c r="BV44" s="44">
        <v>0</v>
      </c>
      <c r="BW44" s="40"/>
      <c r="BX44" s="39"/>
      <c r="BZ44" s="44">
        <v>0</v>
      </c>
      <c r="CA44" s="40"/>
      <c r="CB44" s="39"/>
      <c r="CH44" s="44">
        <v>0</v>
      </c>
      <c r="CI44" s="40"/>
      <c r="CN44" s="44">
        <v>0</v>
      </c>
      <c r="CO44" s="40"/>
      <c r="CP44" s="39"/>
      <c r="CT44" s="44">
        <v>0</v>
      </c>
      <c r="CU44" s="40"/>
      <c r="CV44" s="39"/>
      <c r="CZ44" s="44">
        <v>0</v>
      </c>
      <c r="DA44" s="40"/>
      <c r="DB44" s="39"/>
      <c r="DF44" s="44">
        <v>0</v>
      </c>
      <c r="DG44" s="40"/>
      <c r="DN44" s="44">
        <v>0</v>
      </c>
      <c r="DO44" s="40"/>
      <c r="DP44" s="39"/>
      <c r="DR44" s="44">
        <v>0</v>
      </c>
      <c r="DS44" s="40"/>
      <c r="DT44" s="39"/>
      <c r="DX44" s="44">
        <v>0</v>
      </c>
      <c r="DY44" s="40"/>
      <c r="DZ44" s="39"/>
      <c r="EB44" s="44">
        <v>0</v>
      </c>
      <c r="EC44" s="40"/>
      <c r="EK44" s="44">
        <v>0</v>
      </c>
      <c r="EL44" s="40"/>
      <c r="ES44" s="44">
        <v>0</v>
      </c>
      <c r="ET44" s="40"/>
      <c r="EU44" s="39"/>
      <c r="EY44" s="44">
        <v>0</v>
      </c>
      <c r="EZ44" s="40"/>
      <c r="FA44" s="39"/>
      <c r="FD44" s="44">
        <v>0</v>
      </c>
      <c r="FE44" s="40"/>
      <c r="FH44" s="44">
        <v>0</v>
      </c>
      <c r="FI44" s="40"/>
      <c r="FJ44" s="39"/>
      <c r="FQ44" s="44">
        <v>0</v>
      </c>
      <c r="FR44" s="40"/>
      <c r="FW44" s="44">
        <v>0</v>
      </c>
      <c r="FX44" s="40"/>
      <c r="FY44" s="39"/>
      <c r="GC44" s="44">
        <v>0</v>
      </c>
      <c r="GD44" s="40"/>
      <c r="GI44" s="44">
        <v>0</v>
      </c>
      <c r="GJ44" s="40"/>
      <c r="GM44" s="44">
        <v>0</v>
      </c>
      <c r="GN44" s="40"/>
      <c r="GO44" s="39"/>
      <c r="GQ44" s="44">
        <v>0</v>
      </c>
      <c r="GR44" s="40"/>
      <c r="GX44" s="44">
        <v>0</v>
      </c>
      <c r="GY44" s="40"/>
      <c r="HD44" s="44">
        <v>0</v>
      </c>
      <c r="HE44" s="40"/>
      <c r="HF44" s="39"/>
      <c r="HJ44" s="44">
        <v>0</v>
      </c>
      <c r="HK44" s="40"/>
      <c r="HL44" s="39"/>
      <c r="HP44" s="44">
        <v>0</v>
      </c>
      <c r="HQ44" s="40"/>
      <c r="HV44" s="44">
        <v>0</v>
      </c>
      <c r="HW44" s="43"/>
      <c r="IB44" s="44">
        <v>0</v>
      </c>
      <c r="IC44" s="43"/>
      <c r="ID44">
        <v>18</v>
      </c>
      <c r="IE44">
        <v>20</v>
      </c>
      <c r="IH44" s="44">
        <v>-2</v>
      </c>
      <c r="II44" s="43"/>
      <c r="IL44">
        <v>72</v>
      </c>
      <c r="IM44">
        <v>70</v>
      </c>
      <c r="IN44" s="44">
        <v>2</v>
      </c>
      <c r="IO44" s="40"/>
      <c r="IR44" s="44">
        <v>0</v>
      </c>
      <c r="IS44" s="40"/>
      <c r="IT44">
        <v>90</v>
      </c>
      <c r="IU44">
        <v>90</v>
      </c>
      <c r="IV44">
        <v>102</v>
      </c>
      <c r="IW44">
        <v>102</v>
      </c>
      <c r="IX44" s="44">
        <v>0</v>
      </c>
      <c r="IY44" s="43"/>
      <c r="JB44" s="44">
        <v>0</v>
      </c>
      <c r="JC44" s="40"/>
      <c r="JH44" s="44">
        <v>0</v>
      </c>
      <c r="JI44" s="40"/>
      <c r="JJ44">
        <v>162</v>
      </c>
      <c r="JK44">
        <v>160</v>
      </c>
      <c r="JL44">
        <v>180</v>
      </c>
      <c r="JM44">
        <v>180</v>
      </c>
      <c r="JN44" s="44">
        <v>2</v>
      </c>
      <c r="JO44" s="43"/>
      <c r="JT44" s="44">
        <v>0</v>
      </c>
      <c r="JU44" s="43"/>
      <c r="JV44">
        <v>48</v>
      </c>
      <c r="JW44">
        <v>50</v>
      </c>
      <c r="JX44">
        <v>48</v>
      </c>
      <c r="JY44">
        <v>50</v>
      </c>
      <c r="JZ44" s="44">
        <v>-4</v>
      </c>
      <c r="KA44" s="43"/>
      <c r="KB44" s="41">
        <v>30</v>
      </c>
      <c r="KC44">
        <v>30</v>
      </c>
      <c r="KE44">
        <v>30</v>
      </c>
      <c r="KF44">
        <v>30</v>
      </c>
      <c r="KG44">
        <v>30</v>
      </c>
      <c r="KH44">
        <v>30</v>
      </c>
      <c r="KI44" s="44">
        <v>0</v>
      </c>
      <c r="KJ44" s="43"/>
      <c r="KK44" s="47">
        <v>12</v>
      </c>
      <c r="KL44" s="47">
        <v>10</v>
      </c>
      <c r="KM44" s="47">
        <v>0</v>
      </c>
      <c r="KN44" s="47">
        <v>0</v>
      </c>
      <c r="KO44" s="44">
        <v>2</v>
      </c>
      <c r="KP44" s="43"/>
      <c r="KQ44" s="47">
        <v>0</v>
      </c>
      <c r="KR44" s="47">
        <v>0</v>
      </c>
      <c r="KS44" s="47">
        <v>30</v>
      </c>
      <c r="KT44" s="47">
        <v>30</v>
      </c>
      <c r="KU44" s="44">
        <v>0</v>
      </c>
      <c r="KV44" s="43"/>
      <c r="KW44" s="42">
        <v>144</v>
      </c>
      <c r="KX44" s="47">
        <v>145</v>
      </c>
      <c r="KY44" s="44">
        <v>-1</v>
      </c>
      <c r="KZ44" s="43"/>
      <c r="LA44" s="42">
        <v>42</v>
      </c>
      <c r="LB44" s="47">
        <v>60</v>
      </c>
      <c r="LC44" s="47">
        <v>60</v>
      </c>
      <c r="LD44" s="47">
        <v>60</v>
      </c>
      <c r="LE44" s="46">
        <v>-18</v>
      </c>
      <c r="LF44" s="43">
        <v>5.3999999999999986</v>
      </c>
      <c r="LG44" s="42">
        <v>30</v>
      </c>
      <c r="LH44" s="47">
        <v>30</v>
      </c>
      <c r="LI44" s="47">
        <v>0</v>
      </c>
      <c r="LJ44" s="47">
        <v>0</v>
      </c>
      <c r="LK44" s="44">
        <v>0</v>
      </c>
      <c r="LL44" s="43"/>
      <c r="LM44" s="42">
        <v>102</v>
      </c>
      <c r="LN44" s="47">
        <v>100</v>
      </c>
      <c r="LO44" s="44">
        <v>2</v>
      </c>
      <c r="LP44" s="43"/>
      <c r="LQ44" s="42">
        <v>0</v>
      </c>
      <c r="LR44" s="47">
        <v>0</v>
      </c>
      <c r="LS44" s="47">
        <v>90</v>
      </c>
      <c r="LT44" s="47">
        <v>90</v>
      </c>
      <c r="LU44" s="44">
        <v>0</v>
      </c>
      <c r="LV44" s="43"/>
      <c r="LW44" s="42">
        <v>0</v>
      </c>
      <c r="LX44" s="47">
        <v>0</v>
      </c>
      <c r="LY44" s="47">
        <v>150</v>
      </c>
      <c r="LZ44" s="47">
        <v>150</v>
      </c>
      <c r="MA44" s="44">
        <v>0</v>
      </c>
      <c r="MB44" s="43"/>
      <c r="MC44" s="42">
        <v>0</v>
      </c>
      <c r="MD44" s="47">
        <v>0</v>
      </c>
      <c r="ME44" s="47">
        <v>48</v>
      </c>
      <c r="MF44" s="47">
        <v>200</v>
      </c>
      <c r="MG44" s="46">
        <v>-152</v>
      </c>
      <c r="MH44" s="43">
        <v>45.6</v>
      </c>
      <c r="MI44" s="42">
        <v>0</v>
      </c>
      <c r="MJ44" s="47">
        <v>0</v>
      </c>
      <c r="MK44" s="47">
        <v>30</v>
      </c>
      <c r="ML44" s="47">
        <v>50</v>
      </c>
      <c r="MM44" s="46">
        <v>-20</v>
      </c>
      <c r="MN44" s="43">
        <v>6</v>
      </c>
      <c r="MO44" s="42">
        <v>0</v>
      </c>
      <c r="MP44" s="47">
        <v>0</v>
      </c>
      <c r="MQ44" s="47">
        <v>0</v>
      </c>
      <c r="MR44" s="47">
        <v>0</v>
      </c>
      <c r="MS44" s="44">
        <v>0</v>
      </c>
      <c r="MT44" s="43"/>
      <c r="MU44" s="42">
        <v>96</v>
      </c>
      <c r="MV44" s="47">
        <v>150</v>
      </c>
      <c r="MW44" s="47">
        <v>300</v>
      </c>
      <c r="MX44" s="47">
        <v>300</v>
      </c>
      <c r="MY44" s="46">
        <v>-54</v>
      </c>
      <c r="MZ44" s="43">
        <v>16.2</v>
      </c>
      <c r="NA44" s="42">
        <v>48</v>
      </c>
      <c r="NB44" s="47">
        <v>50</v>
      </c>
      <c r="NC44" s="47">
        <v>72</v>
      </c>
      <c r="ND44" s="47">
        <v>70</v>
      </c>
      <c r="NE44" s="44">
        <v>0</v>
      </c>
      <c r="NF44" s="43"/>
      <c r="NG44" s="42">
        <v>0</v>
      </c>
      <c r="NH44" s="47">
        <v>0</v>
      </c>
      <c r="NI44" s="47">
        <v>102</v>
      </c>
      <c r="NJ44" s="47">
        <v>100</v>
      </c>
      <c r="NK44" s="44">
        <v>2</v>
      </c>
      <c r="NL44" s="43"/>
      <c r="NM44" s="42">
        <v>102</v>
      </c>
      <c r="NN44" s="47">
        <v>100</v>
      </c>
      <c r="NO44" s="47">
        <v>102</v>
      </c>
      <c r="NP44" s="47">
        <v>100</v>
      </c>
      <c r="NQ44" s="44">
        <v>4</v>
      </c>
      <c r="NR44" s="43"/>
      <c r="NS44" s="42">
        <v>0</v>
      </c>
      <c r="NT44" s="26">
        <v>100</v>
      </c>
      <c r="NU44" s="47">
        <v>102</v>
      </c>
      <c r="NV44" s="47">
        <v>100</v>
      </c>
      <c r="NW44" s="46">
        <v>-98</v>
      </c>
      <c r="NX44" s="43">
        <v>29.4</v>
      </c>
      <c r="NY44" s="42">
        <v>0</v>
      </c>
      <c r="NZ44" s="47">
        <v>0</v>
      </c>
      <c r="OA44" s="47">
        <v>0</v>
      </c>
      <c r="OB44" s="47">
        <v>0</v>
      </c>
      <c r="OC44" s="44">
        <v>0</v>
      </c>
      <c r="OD44" s="43"/>
      <c r="OE44" s="42">
        <v>0</v>
      </c>
      <c r="OF44" s="47">
        <v>0</v>
      </c>
      <c r="OG44" s="47">
        <v>0</v>
      </c>
      <c r="OH44" s="47">
        <v>0</v>
      </c>
      <c r="OI44" s="44">
        <v>0</v>
      </c>
      <c r="OJ44" s="43"/>
      <c r="OK44" s="42">
        <v>0</v>
      </c>
      <c r="OL44" s="47">
        <v>0</v>
      </c>
      <c r="OM44" s="47">
        <v>0</v>
      </c>
      <c r="ON44" s="47">
        <v>0</v>
      </c>
      <c r="OO44" s="44">
        <v>0</v>
      </c>
      <c r="OP44" s="43"/>
      <c r="OQ44" s="42">
        <v>108</v>
      </c>
      <c r="OR44" s="47">
        <v>110</v>
      </c>
      <c r="OS44" s="47">
        <v>102</v>
      </c>
      <c r="OT44" s="47">
        <v>101</v>
      </c>
      <c r="OU44" s="44">
        <v>-1</v>
      </c>
      <c r="OV44" s="43"/>
      <c r="OW44" s="42">
        <v>102</v>
      </c>
      <c r="OX44" s="47">
        <v>100</v>
      </c>
      <c r="OY44" s="47">
        <v>150</v>
      </c>
      <c r="OZ44" s="47">
        <v>150</v>
      </c>
      <c r="PA44" s="44">
        <v>2</v>
      </c>
      <c r="PB44" s="43"/>
      <c r="PC44" s="42">
        <v>0</v>
      </c>
      <c r="PD44" s="47">
        <v>0</v>
      </c>
      <c r="PE44" s="47">
        <v>0</v>
      </c>
      <c r="PF44" s="47">
        <v>0</v>
      </c>
      <c r="PG44" s="44">
        <v>0</v>
      </c>
      <c r="PH44" s="43"/>
      <c r="PI44" s="42">
        <v>0</v>
      </c>
      <c r="PJ44" s="47">
        <v>0</v>
      </c>
      <c r="PK44" s="47">
        <v>0</v>
      </c>
      <c r="PL44" s="47">
        <v>0</v>
      </c>
      <c r="PM44" s="44">
        <v>0</v>
      </c>
      <c r="PN44" s="43"/>
      <c r="PO44" s="42">
        <v>0</v>
      </c>
      <c r="PP44" s="47">
        <v>0</v>
      </c>
      <c r="PQ44" s="47">
        <v>0</v>
      </c>
      <c r="PR44" s="47">
        <v>0</v>
      </c>
      <c r="PS44" s="44">
        <v>0</v>
      </c>
      <c r="PT44" s="43"/>
      <c r="PU44" s="42">
        <v>0</v>
      </c>
      <c r="PV44" s="47">
        <v>0</v>
      </c>
      <c r="PW44" s="12">
        <v>366</v>
      </c>
      <c r="PX44" s="47">
        <v>0</v>
      </c>
      <c r="PY44" s="44">
        <v>0</v>
      </c>
      <c r="PZ44" s="43"/>
      <c r="QA44" s="42">
        <v>0</v>
      </c>
      <c r="QB44" s="47">
        <v>0</v>
      </c>
      <c r="QC44" s="44">
        <v>0</v>
      </c>
      <c r="QD44" s="43"/>
      <c r="QE44" s="42">
        <v>0</v>
      </c>
      <c r="QF44" s="47">
        <v>0</v>
      </c>
      <c r="QG44" s="44">
        <v>0</v>
      </c>
      <c r="QH44" s="43"/>
      <c r="QI44" s="42">
        <v>0</v>
      </c>
      <c r="QJ44" s="47">
        <v>0</v>
      </c>
      <c r="QK44" s="44">
        <v>0</v>
      </c>
      <c r="QL44" s="43"/>
      <c r="QM44" s="42">
        <v>0</v>
      </c>
      <c r="QN44" s="47">
        <v>0</v>
      </c>
      <c r="QO44" s="47">
        <v>0</v>
      </c>
      <c r="QP44" s="47">
        <v>0</v>
      </c>
      <c r="QQ44" s="44">
        <v>0</v>
      </c>
      <c r="QR44" s="43"/>
      <c r="QS44" s="42">
        <v>0</v>
      </c>
      <c r="QT44" s="47">
        <v>0</v>
      </c>
      <c r="QU44" s="44">
        <v>0</v>
      </c>
      <c r="QV44" s="43"/>
      <c r="QW44" s="42">
        <v>0</v>
      </c>
      <c r="QX44" s="47">
        <v>0</v>
      </c>
      <c r="QY44" s="44">
        <v>0</v>
      </c>
      <c r="QZ44" s="43"/>
    </row>
    <row r="45" spans="1:468" x14ac:dyDescent="0.25">
      <c r="A45" s="47" t="s">
        <v>329</v>
      </c>
      <c r="B45" s="38">
        <v>0.15</v>
      </c>
      <c r="I45">
        <v>20</v>
      </c>
      <c r="N45" s="41">
        <v>40</v>
      </c>
      <c r="O45" s="49">
        <v>40</v>
      </c>
      <c r="P45" s="49">
        <v>40</v>
      </c>
      <c r="Q45" s="49">
        <v>64</v>
      </c>
      <c r="R45" s="53">
        <f t="shared" si="8"/>
        <v>-24</v>
      </c>
      <c r="S45" s="40">
        <f t="shared" ref="S45:S46" si="12">-1*R45*B45</f>
        <v>3.5999999999999996</v>
      </c>
      <c r="T45" s="39"/>
      <c r="U45" s="48"/>
      <c r="V45" s="48">
        <f t="shared" si="9"/>
        <v>0</v>
      </c>
      <c r="W45" s="40"/>
      <c r="X45" s="39"/>
      <c r="Y45" s="48"/>
      <c r="Z45" s="48"/>
      <c r="AA45" s="48"/>
      <c r="AB45" s="48">
        <f t="shared" si="10"/>
        <v>0</v>
      </c>
      <c r="AC45" s="40"/>
      <c r="AD45" s="48">
        <v>70</v>
      </c>
      <c r="AE45" s="44">
        <v>70</v>
      </c>
      <c r="AH45" s="44">
        <v>0</v>
      </c>
      <c r="AI45" s="40"/>
      <c r="AN45" s="44">
        <v>0</v>
      </c>
      <c r="AO45" s="40"/>
      <c r="AP45" s="47"/>
      <c r="AR45" s="47"/>
      <c r="AT45" s="44">
        <v>0</v>
      </c>
      <c r="AU45" s="40"/>
      <c r="AV45" s="42"/>
      <c r="AX45" s="44">
        <v>0</v>
      </c>
      <c r="AY45" s="40"/>
      <c r="AZ45" s="42"/>
      <c r="BB45" s="44">
        <v>0</v>
      </c>
      <c r="BC45" s="40"/>
      <c r="BI45" s="40"/>
      <c r="BM45" s="40"/>
      <c r="BN45" s="39"/>
      <c r="BS45" s="40"/>
      <c r="BW45" s="40"/>
      <c r="BX45" s="39"/>
      <c r="CA45" s="40"/>
      <c r="CB45" s="39"/>
      <c r="CI45" s="40"/>
      <c r="CO45" s="40"/>
      <c r="CP45" s="39"/>
      <c r="CU45" s="40"/>
      <c r="CV45" s="39"/>
      <c r="DA45" s="40"/>
      <c r="DB45" s="39"/>
      <c r="DG45" s="40"/>
      <c r="DO45" s="40"/>
      <c r="DP45" s="39"/>
      <c r="DS45" s="40"/>
      <c r="DT45" s="39"/>
      <c r="DY45" s="40"/>
      <c r="DZ45" s="39"/>
      <c r="EC45" s="40"/>
      <c r="EL45" s="40"/>
      <c r="ET45" s="40"/>
      <c r="EU45" s="39"/>
      <c r="EZ45" s="40"/>
      <c r="FA45" s="39"/>
      <c r="FE45" s="40"/>
      <c r="FH45" s="44"/>
      <c r="FI45" s="40"/>
      <c r="FJ45" s="39"/>
      <c r="FR45" s="40"/>
      <c r="FX45" s="40"/>
      <c r="FY45" s="39"/>
      <c r="GD45" s="40"/>
      <c r="GJ45" s="40"/>
      <c r="GN45" s="40"/>
      <c r="GO45" s="39"/>
      <c r="GQ45" s="44"/>
      <c r="GR45" s="40"/>
      <c r="GX45" s="44"/>
      <c r="GY45" s="40"/>
      <c r="HD45" s="44"/>
      <c r="HE45" s="40"/>
      <c r="HF45" s="39"/>
      <c r="HJ45" s="44"/>
      <c r="HK45" s="40"/>
      <c r="HL45" s="39"/>
      <c r="HP45" s="44"/>
      <c r="HQ45" s="40"/>
      <c r="HV45" s="44"/>
      <c r="HW45" s="43"/>
      <c r="IB45" s="44"/>
      <c r="IC45" s="43"/>
      <c r="IH45" s="44"/>
      <c r="II45" s="43"/>
      <c r="IN45" s="44"/>
      <c r="IO45" s="40"/>
      <c r="IS45" s="40"/>
      <c r="IY45" s="43"/>
      <c r="JC45" s="40"/>
      <c r="JI45" s="40"/>
      <c r="JO45" s="43"/>
      <c r="JU45" s="43"/>
      <c r="KA45" s="43"/>
      <c r="KB45" s="41"/>
      <c r="KJ45" s="43"/>
      <c r="KO45" s="44"/>
      <c r="KP45" s="43"/>
      <c r="KU45" s="44"/>
      <c r="KV45" s="43"/>
      <c r="KW45" s="42"/>
      <c r="KY45" s="44"/>
      <c r="KZ45" s="43"/>
      <c r="LA45" s="42"/>
      <c r="LE45" s="44"/>
      <c r="LF45" s="43"/>
      <c r="LG45" s="42"/>
      <c r="LK45" s="44"/>
      <c r="LL45" s="43"/>
      <c r="LM45" s="42"/>
      <c r="LO45" s="44"/>
      <c r="LP45" s="43"/>
      <c r="LQ45" s="42"/>
      <c r="LU45" s="44"/>
      <c r="LV45" s="43"/>
      <c r="LW45" s="42"/>
      <c r="MA45" s="44"/>
      <c r="MB45" s="43"/>
      <c r="MC45" s="42"/>
      <c r="MG45" s="44"/>
      <c r="MH45" s="43"/>
      <c r="MI45" s="42"/>
      <c r="MM45" s="44"/>
      <c r="MN45" s="43"/>
      <c r="MO45" s="42"/>
      <c r="MS45" s="44"/>
      <c r="MT45" s="43"/>
      <c r="MU45" s="42"/>
      <c r="MY45" s="44"/>
      <c r="MZ45" s="43"/>
      <c r="NA45" s="42"/>
      <c r="NE45" s="44"/>
      <c r="NF45" s="43"/>
      <c r="NG45" s="42"/>
      <c r="NK45" s="44"/>
      <c r="NL45" s="43"/>
      <c r="NM45" s="42"/>
      <c r="NQ45" s="44"/>
      <c r="NR45" s="43"/>
      <c r="NS45" s="42"/>
      <c r="NW45" s="44"/>
      <c r="NX45" s="43"/>
      <c r="NY45" s="42"/>
      <c r="OC45" s="44"/>
      <c r="OD45" s="43"/>
      <c r="OE45" s="42"/>
      <c r="OI45" s="44"/>
      <c r="OJ45" s="43"/>
      <c r="OK45" s="42"/>
      <c r="OO45" s="44"/>
      <c r="OP45" s="43"/>
      <c r="OQ45" s="42"/>
      <c r="OU45" s="44"/>
      <c r="OV45" s="43"/>
      <c r="OW45" s="42"/>
      <c r="PA45" s="44"/>
      <c r="PB45" s="43"/>
      <c r="PC45" s="42"/>
      <c r="PG45" s="44"/>
      <c r="PH45" s="43"/>
      <c r="PI45" s="42"/>
      <c r="PM45" s="44"/>
      <c r="PN45" s="43"/>
      <c r="PO45" s="42"/>
      <c r="PS45" s="44"/>
      <c r="PT45" s="43"/>
      <c r="PU45" s="42"/>
      <c r="PY45" s="44"/>
      <c r="PZ45" s="43"/>
      <c r="QA45" s="42"/>
      <c r="QC45" s="44"/>
      <c r="QD45" s="43"/>
      <c r="QE45" s="42"/>
      <c r="QG45" s="44"/>
      <c r="QH45" s="43"/>
      <c r="QI45" s="42"/>
      <c r="QK45" s="44"/>
      <c r="QL45" s="43"/>
      <c r="QM45" s="42"/>
      <c r="QQ45" s="44"/>
      <c r="QR45" s="43"/>
      <c r="QS45" s="42"/>
      <c r="QU45" s="44"/>
      <c r="QV45" s="43"/>
      <c r="QW45" s="42"/>
      <c r="QY45" s="44"/>
      <c r="QZ45" s="43"/>
    </row>
    <row r="46" spans="1:468" x14ac:dyDescent="0.25">
      <c r="A46" s="47" t="s">
        <v>330</v>
      </c>
      <c r="B46" s="38">
        <v>1</v>
      </c>
      <c r="E46">
        <v>40</v>
      </c>
      <c r="I46">
        <v>10</v>
      </c>
      <c r="N46" s="39"/>
      <c r="O46" s="49">
        <v>40</v>
      </c>
      <c r="P46" s="48"/>
      <c r="Q46" s="49">
        <v>54</v>
      </c>
      <c r="R46" s="53">
        <f t="shared" si="8"/>
        <v>-94</v>
      </c>
      <c r="S46" s="40">
        <f t="shared" si="12"/>
        <v>94</v>
      </c>
      <c r="T46" s="39"/>
      <c r="U46" s="48"/>
      <c r="V46" s="48">
        <f t="shared" si="9"/>
        <v>0</v>
      </c>
      <c r="W46" s="40"/>
      <c r="X46" s="39"/>
      <c r="Y46" s="48"/>
      <c r="Z46" s="48"/>
      <c r="AA46" s="48"/>
      <c r="AB46" s="48">
        <f t="shared" si="10"/>
        <v>0</v>
      </c>
      <c r="AC46" s="40"/>
      <c r="AD46" s="49">
        <v>48</v>
      </c>
      <c r="AE46" s="44">
        <v>50</v>
      </c>
      <c r="AH46" s="44">
        <v>-2</v>
      </c>
      <c r="AI46" s="40"/>
      <c r="AN46" s="44">
        <v>0</v>
      </c>
      <c r="AO46" s="40"/>
      <c r="AT46" s="44">
        <v>0</v>
      </c>
      <c r="AU46" s="40"/>
      <c r="AV46" s="39"/>
      <c r="AX46" s="44">
        <v>0</v>
      </c>
      <c r="AY46" s="40"/>
      <c r="AZ46" s="39"/>
      <c r="BB46" s="44">
        <v>0</v>
      </c>
      <c r="BC46" s="40"/>
      <c r="BH46" s="44">
        <v>0</v>
      </c>
      <c r="BI46" s="40"/>
      <c r="BL46" s="44">
        <v>0</v>
      </c>
      <c r="BM46" s="40"/>
      <c r="BN46" s="39"/>
      <c r="BR46" s="44">
        <v>0</v>
      </c>
      <c r="BS46" s="40"/>
      <c r="BV46" s="44">
        <v>0</v>
      </c>
      <c r="BW46" s="40"/>
      <c r="BX46" s="39"/>
      <c r="BZ46" s="44">
        <v>0</v>
      </c>
      <c r="CA46" s="40"/>
      <c r="CB46" s="39"/>
      <c r="CH46" s="44">
        <v>0</v>
      </c>
      <c r="CI46" s="40"/>
      <c r="CN46" s="44">
        <v>0</v>
      </c>
      <c r="CO46" s="40"/>
      <c r="CP46" s="39"/>
      <c r="CT46" s="44">
        <v>0</v>
      </c>
      <c r="CU46" s="40"/>
      <c r="CV46" s="39"/>
      <c r="CZ46" s="44">
        <v>0</v>
      </c>
      <c r="DA46" s="40"/>
      <c r="DB46" s="39"/>
      <c r="DF46" s="44">
        <v>0</v>
      </c>
      <c r="DG46" s="40"/>
      <c r="DN46" s="44">
        <v>0</v>
      </c>
      <c r="DO46" s="40"/>
      <c r="DP46" s="39"/>
      <c r="DR46" s="44">
        <v>0</v>
      </c>
      <c r="DS46" s="40"/>
      <c r="DT46" s="39"/>
      <c r="DX46" s="44">
        <v>0</v>
      </c>
      <c r="DY46" s="40"/>
      <c r="DZ46" s="39"/>
      <c r="EB46" s="44">
        <v>0</v>
      </c>
      <c r="EC46" s="40"/>
      <c r="EK46" s="44">
        <v>0</v>
      </c>
      <c r="EL46" s="40"/>
      <c r="ES46" s="44">
        <v>0</v>
      </c>
      <c r="ET46" s="40"/>
      <c r="EU46" s="39"/>
      <c r="EY46" s="44">
        <v>0</v>
      </c>
      <c r="EZ46" s="40"/>
      <c r="FA46" s="39"/>
      <c r="FD46" s="44">
        <v>0</v>
      </c>
      <c r="FE46" s="40"/>
      <c r="FH46" s="44">
        <v>0</v>
      </c>
      <c r="FI46" s="40"/>
      <c r="FJ46" s="39"/>
      <c r="FQ46" s="44">
        <v>0</v>
      </c>
      <c r="FR46" s="40"/>
      <c r="FW46" s="44">
        <v>0</v>
      </c>
      <c r="FX46" s="40"/>
      <c r="FY46" s="39"/>
      <c r="GC46" s="44">
        <v>0</v>
      </c>
      <c r="GD46" s="40"/>
      <c r="GI46" s="44">
        <v>0</v>
      </c>
      <c r="GJ46" s="40"/>
      <c r="GM46" s="44">
        <v>0</v>
      </c>
      <c r="GN46" s="40"/>
      <c r="GO46" s="39"/>
      <c r="GQ46" s="44">
        <v>0</v>
      </c>
      <c r="GR46" s="40"/>
      <c r="GX46" s="44">
        <v>0</v>
      </c>
      <c r="GY46" s="40"/>
      <c r="HD46" s="44">
        <v>0</v>
      </c>
      <c r="HE46" s="40"/>
      <c r="HF46" s="39"/>
      <c r="HJ46" s="44">
        <v>0</v>
      </c>
      <c r="HK46" s="40"/>
      <c r="HL46" s="39"/>
      <c r="HP46" s="44">
        <v>0</v>
      </c>
      <c r="HQ46" s="40"/>
      <c r="HV46" s="44">
        <v>0</v>
      </c>
      <c r="HW46" s="43"/>
      <c r="IB46" s="44">
        <v>0</v>
      </c>
      <c r="IC46" s="43"/>
      <c r="IH46" s="44">
        <v>0</v>
      </c>
      <c r="II46" s="43"/>
      <c r="IN46" s="44">
        <v>0</v>
      </c>
      <c r="IO46" s="40"/>
      <c r="IR46" s="44">
        <v>0</v>
      </c>
      <c r="IS46" s="40"/>
      <c r="IX46" s="44">
        <v>0</v>
      </c>
      <c r="IY46" s="43"/>
      <c r="JB46" s="44">
        <v>0</v>
      </c>
      <c r="JC46" s="40"/>
      <c r="JH46" s="44">
        <v>0</v>
      </c>
      <c r="JI46" s="40"/>
      <c r="JN46" s="44">
        <v>0</v>
      </c>
      <c r="JO46" s="43"/>
      <c r="JT46" s="44">
        <v>0</v>
      </c>
      <c r="JU46" s="43"/>
      <c r="JZ46" s="44">
        <v>0</v>
      </c>
      <c r="KA46" s="43"/>
      <c r="KB46" s="42"/>
      <c r="KI46" s="44">
        <v>0</v>
      </c>
      <c r="KJ46" s="43"/>
      <c r="KK46" s="47">
        <v>0</v>
      </c>
      <c r="KL46" s="47">
        <v>0</v>
      </c>
      <c r="KM46" s="47">
        <v>0</v>
      </c>
      <c r="KN46" s="47">
        <v>0</v>
      </c>
      <c r="KO46" s="44">
        <v>0</v>
      </c>
      <c r="KP46" s="43"/>
      <c r="KQ46" s="47">
        <v>0</v>
      </c>
      <c r="KR46" s="47">
        <v>0</v>
      </c>
      <c r="KS46" s="47">
        <v>0</v>
      </c>
      <c r="KT46" s="47">
        <v>0</v>
      </c>
      <c r="KU46" s="44">
        <v>0</v>
      </c>
      <c r="KV46" s="43"/>
      <c r="KW46" s="42">
        <v>0</v>
      </c>
      <c r="KX46" s="47">
        <v>0</v>
      </c>
      <c r="KY46" s="44">
        <v>0</v>
      </c>
      <c r="KZ46" s="43"/>
      <c r="LA46" s="42">
        <v>0</v>
      </c>
      <c r="LB46" s="47">
        <v>0</v>
      </c>
      <c r="LC46" s="47">
        <v>0</v>
      </c>
      <c r="LD46" s="47">
        <v>0</v>
      </c>
      <c r="LE46" s="44">
        <v>0</v>
      </c>
      <c r="LF46" s="43"/>
      <c r="LG46" s="42">
        <v>0</v>
      </c>
      <c r="LH46" s="47">
        <v>0</v>
      </c>
      <c r="LI46" s="47">
        <v>0</v>
      </c>
      <c r="LJ46" s="47">
        <v>0</v>
      </c>
      <c r="LK46" s="44">
        <v>0</v>
      </c>
      <c r="LL46" s="43"/>
      <c r="LM46" s="42">
        <v>0</v>
      </c>
      <c r="LN46" s="47">
        <v>0</v>
      </c>
      <c r="LO46" s="44">
        <v>0</v>
      </c>
      <c r="LP46" s="43"/>
      <c r="LQ46" s="42">
        <v>0</v>
      </c>
      <c r="LR46" s="47">
        <v>0</v>
      </c>
      <c r="LS46" s="47">
        <v>0</v>
      </c>
      <c r="LT46" s="47">
        <v>0</v>
      </c>
      <c r="LU46" s="44">
        <v>0</v>
      </c>
      <c r="LV46" s="43"/>
      <c r="LW46" s="42">
        <v>0</v>
      </c>
      <c r="LX46" s="47">
        <v>0</v>
      </c>
      <c r="LY46" s="47">
        <v>0</v>
      </c>
      <c r="LZ46" s="47">
        <v>0</v>
      </c>
      <c r="MA46" s="44">
        <v>0</v>
      </c>
      <c r="MB46" s="43"/>
      <c r="MC46" s="42">
        <v>0</v>
      </c>
      <c r="MD46" s="47">
        <v>0</v>
      </c>
      <c r="ME46" s="47">
        <v>0</v>
      </c>
      <c r="MF46" s="47">
        <v>0</v>
      </c>
      <c r="MG46" s="44">
        <v>0</v>
      </c>
      <c r="MH46" s="43"/>
      <c r="MI46" s="42">
        <v>0</v>
      </c>
      <c r="MJ46" s="47">
        <v>0</v>
      </c>
      <c r="MK46" s="47">
        <v>0</v>
      </c>
      <c r="ML46" s="47">
        <v>0</v>
      </c>
      <c r="MM46" s="44">
        <v>0</v>
      </c>
      <c r="MN46" s="43"/>
      <c r="MO46" s="42">
        <v>0</v>
      </c>
      <c r="MP46" s="47">
        <v>0</v>
      </c>
      <c r="MQ46" s="47">
        <v>0</v>
      </c>
      <c r="MR46" s="47">
        <v>0</v>
      </c>
      <c r="MS46" s="44">
        <v>0</v>
      </c>
      <c r="MT46" s="43"/>
      <c r="MU46" s="42">
        <v>0</v>
      </c>
      <c r="MV46" s="47">
        <v>0</v>
      </c>
      <c r="MW46" s="47">
        <v>0</v>
      </c>
      <c r="MX46" s="47">
        <v>0</v>
      </c>
      <c r="MY46" s="44">
        <v>0</v>
      </c>
      <c r="MZ46" s="43"/>
      <c r="NA46" s="42">
        <v>0</v>
      </c>
      <c r="NB46" s="47">
        <v>0</v>
      </c>
      <c r="NC46" s="47">
        <v>0</v>
      </c>
      <c r="ND46" s="47">
        <v>0</v>
      </c>
      <c r="NE46" s="44">
        <v>0</v>
      </c>
      <c r="NF46" s="43"/>
      <c r="NG46" s="42">
        <v>0</v>
      </c>
      <c r="NH46" s="47">
        <v>0</v>
      </c>
      <c r="NI46" s="47">
        <v>0</v>
      </c>
      <c r="NJ46" s="47">
        <v>0</v>
      </c>
      <c r="NK46" s="44">
        <v>0</v>
      </c>
      <c r="NL46" s="43"/>
      <c r="NM46" s="42">
        <v>0</v>
      </c>
      <c r="NN46" s="47">
        <v>0</v>
      </c>
      <c r="NO46" s="47">
        <v>0</v>
      </c>
      <c r="NP46" s="47">
        <v>0</v>
      </c>
      <c r="NQ46" s="44">
        <v>0</v>
      </c>
      <c r="NR46" s="43"/>
      <c r="NS46" s="42">
        <v>0</v>
      </c>
      <c r="NT46" s="47">
        <v>0</v>
      </c>
      <c r="NU46" s="47">
        <v>0</v>
      </c>
      <c r="NV46" s="47">
        <v>0</v>
      </c>
      <c r="NW46" s="44">
        <v>0</v>
      </c>
      <c r="NX46" s="43"/>
      <c r="NY46" s="42">
        <v>0</v>
      </c>
      <c r="NZ46" s="47">
        <v>0</v>
      </c>
      <c r="OA46" s="47">
        <v>0</v>
      </c>
      <c r="OB46" s="47">
        <v>0</v>
      </c>
      <c r="OC46" s="44">
        <v>0</v>
      </c>
      <c r="OD46" s="43"/>
      <c r="OE46" s="42">
        <v>0</v>
      </c>
      <c r="OF46" s="47">
        <v>0</v>
      </c>
      <c r="OG46" s="47">
        <v>0</v>
      </c>
      <c r="OH46" s="47">
        <v>0</v>
      </c>
      <c r="OI46" s="44">
        <v>0</v>
      </c>
      <c r="OJ46" s="43"/>
      <c r="OK46" s="42">
        <v>0</v>
      </c>
      <c r="OL46" s="47">
        <v>0</v>
      </c>
      <c r="OM46" s="47">
        <v>0</v>
      </c>
      <c r="ON46" s="47">
        <v>0</v>
      </c>
      <c r="OO46" s="44">
        <v>0</v>
      </c>
      <c r="OP46" s="43"/>
      <c r="OQ46" s="42">
        <v>0</v>
      </c>
      <c r="OR46" s="47">
        <v>0</v>
      </c>
      <c r="OS46" s="47">
        <v>0</v>
      </c>
      <c r="OT46" s="47">
        <v>0</v>
      </c>
      <c r="OU46" s="44">
        <v>0</v>
      </c>
      <c r="OV46" s="43"/>
      <c r="OW46" s="42">
        <v>20.472999999999999</v>
      </c>
      <c r="OX46" s="47">
        <v>0</v>
      </c>
      <c r="OY46" s="47">
        <v>0</v>
      </c>
      <c r="OZ46" s="47">
        <v>0</v>
      </c>
      <c r="PA46" s="44">
        <v>20.472999999999999</v>
      </c>
      <c r="PB46" s="43"/>
      <c r="PC46" s="42">
        <v>0</v>
      </c>
      <c r="PD46" s="47">
        <v>0</v>
      </c>
      <c r="PE46" s="47">
        <v>0</v>
      </c>
      <c r="PF46" s="47">
        <v>0</v>
      </c>
      <c r="PG46" s="44">
        <v>0</v>
      </c>
      <c r="PH46" s="43"/>
      <c r="PI46" s="42">
        <v>97.418000000000006</v>
      </c>
      <c r="PJ46" s="47">
        <v>200</v>
      </c>
      <c r="PK46" s="47">
        <v>233.24299999999999</v>
      </c>
      <c r="PL46" s="47">
        <v>234</v>
      </c>
      <c r="PM46" s="46">
        <v>-103.339</v>
      </c>
      <c r="PN46" s="43">
        <v>103.339</v>
      </c>
      <c r="PO46" s="42">
        <v>48.523000000000003</v>
      </c>
      <c r="PP46" s="47">
        <v>50</v>
      </c>
      <c r="PQ46" s="47">
        <v>48.268999999999998</v>
      </c>
      <c r="PR46" s="47">
        <v>50</v>
      </c>
      <c r="PS46" s="44">
        <v>-3.207999999999998</v>
      </c>
      <c r="PT46" s="43"/>
      <c r="PU46" s="42">
        <v>48.292999999999999</v>
      </c>
      <c r="PV46" s="47">
        <v>50</v>
      </c>
      <c r="PW46" s="47">
        <v>0</v>
      </c>
      <c r="PX46" s="47">
        <v>0</v>
      </c>
      <c r="PY46" s="44">
        <v>-1.707000000000001</v>
      </c>
      <c r="PZ46" s="43"/>
      <c r="QA46" s="42">
        <v>261.83600000000001</v>
      </c>
      <c r="QB46" s="47">
        <v>350</v>
      </c>
      <c r="QC46" s="46">
        <v>-88.163999999999987</v>
      </c>
      <c r="QD46" s="43">
        <v>88.163999999999987</v>
      </c>
      <c r="QE46" s="42">
        <v>0</v>
      </c>
      <c r="QF46" s="47">
        <v>0</v>
      </c>
      <c r="QG46" s="44">
        <v>0</v>
      </c>
      <c r="QH46" s="43"/>
      <c r="QI46" s="42">
        <v>114.21299999999999</v>
      </c>
      <c r="QJ46" s="47">
        <v>200</v>
      </c>
      <c r="QK46" s="46">
        <v>-85.787000000000006</v>
      </c>
      <c r="QL46" s="43">
        <v>85.787000000000006</v>
      </c>
      <c r="QM46" s="42">
        <v>0</v>
      </c>
      <c r="QN46" s="47">
        <v>0</v>
      </c>
      <c r="QO46" s="47">
        <v>0</v>
      </c>
      <c r="QP46" s="47">
        <v>0</v>
      </c>
      <c r="QQ46" s="44">
        <v>0</v>
      </c>
      <c r="QR46" s="43"/>
      <c r="QS46" s="42">
        <v>59.871000000000002</v>
      </c>
      <c r="QT46" s="47">
        <v>200</v>
      </c>
      <c r="QU46" s="46">
        <v>-140.12899999999999</v>
      </c>
      <c r="QV46" s="43">
        <v>140.12899999999999</v>
      </c>
      <c r="QW46" s="42">
        <v>101.63500000000001</v>
      </c>
      <c r="QX46" s="47">
        <v>200</v>
      </c>
      <c r="QY46" s="46">
        <v>-98.364999999999995</v>
      </c>
      <c r="QZ46" s="43">
        <v>98.364999999999995</v>
      </c>
    </row>
    <row r="47" spans="1:468" x14ac:dyDescent="0.25">
      <c r="A47" s="47" t="s">
        <v>331</v>
      </c>
      <c r="B47" s="38">
        <v>0.09</v>
      </c>
      <c r="F47">
        <v>20</v>
      </c>
      <c r="I47">
        <v>60</v>
      </c>
      <c r="J47">
        <v>80</v>
      </c>
      <c r="K47">
        <v>85</v>
      </c>
      <c r="N47" s="41">
        <v>20</v>
      </c>
      <c r="O47" s="49">
        <v>25</v>
      </c>
      <c r="P47" s="48"/>
      <c r="Q47" s="48"/>
      <c r="R47" s="48">
        <f t="shared" si="8"/>
        <v>-5</v>
      </c>
      <c r="S47" s="40"/>
      <c r="T47" s="41">
        <v>90</v>
      </c>
      <c r="U47" s="49">
        <v>92</v>
      </c>
      <c r="V47" s="48">
        <f t="shared" si="9"/>
        <v>-2</v>
      </c>
      <c r="W47" s="40"/>
      <c r="X47" s="39"/>
      <c r="Y47" s="48"/>
      <c r="Z47" s="48"/>
      <c r="AA47" s="48"/>
      <c r="AB47" s="48">
        <f t="shared" si="10"/>
        <v>0</v>
      </c>
      <c r="AC47" s="40"/>
      <c r="AD47" s="48"/>
      <c r="AF47">
        <v>60</v>
      </c>
      <c r="AG47">
        <v>60</v>
      </c>
      <c r="AH47" s="44">
        <v>0</v>
      </c>
      <c r="AI47" s="40"/>
      <c r="AJ47">
        <v>70</v>
      </c>
      <c r="AK47">
        <v>70</v>
      </c>
      <c r="AL47">
        <v>80</v>
      </c>
      <c r="AM47">
        <v>80</v>
      </c>
      <c r="AN47" s="44">
        <v>0</v>
      </c>
      <c r="AO47" s="40"/>
      <c r="AT47" s="44">
        <v>0</v>
      </c>
      <c r="AU47" s="40"/>
      <c r="AV47" s="41">
        <v>10</v>
      </c>
      <c r="AW47">
        <v>15</v>
      </c>
      <c r="AX47" s="44">
        <v>-5</v>
      </c>
      <c r="AY47" s="40"/>
      <c r="AZ47" s="39"/>
      <c r="BB47" s="44">
        <v>0</v>
      </c>
      <c r="BC47" s="40"/>
      <c r="BD47">
        <v>60</v>
      </c>
      <c r="BE47">
        <v>60</v>
      </c>
      <c r="BF47">
        <v>40</v>
      </c>
      <c r="BG47">
        <v>40</v>
      </c>
      <c r="BH47" s="44">
        <v>0</v>
      </c>
      <c r="BI47" s="40"/>
      <c r="BJ47">
        <v>140</v>
      </c>
      <c r="BK47">
        <v>150</v>
      </c>
      <c r="BL47" s="46">
        <v>-10</v>
      </c>
      <c r="BM47" s="40">
        <v>0.89999999999999991</v>
      </c>
      <c r="BN47" s="39"/>
      <c r="BQ47" s="44">
        <v>200</v>
      </c>
      <c r="BR47" s="46">
        <v>-200</v>
      </c>
      <c r="BS47" s="40">
        <v>18</v>
      </c>
      <c r="BV47" s="44">
        <v>0</v>
      </c>
      <c r="BW47" s="40"/>
      <c r="BX47" s="41">
        <v>30</v>
      </c>
      <c r="BY47">
        <v>35</v>
      </c>
      <c r="BZ47" s="44">
        <v>-5</v>
      </c>
      <c r="CA47" s="40"/>
      <c r="CB47" s="41">
        <v>100</v>
      </c>
      <c r="CC47" s="44">
        <v>100</v>
      </c>
      <c r="CH47" s="44">
        <v>0</v>
      </c>
      <c r="CI47" s="40"/>
      <c r="CN47" s="44">
        <v>0</v>
      </c>
      <c r="CO47" s="40"/>
      <c r="CP47" s="39"/>
      <c r="CT47" s="44">
        <v>0</v>
      </c>
      <c r="CU47" s="40"/>
      <c r="CV47" s="42"/>
      <c r="CZ47" s="44">
        <v>0</v>
      </c>
      <c r="DA47" s="40"/>
      <c r="DB47" s="42"/>
      <c r="DF47" s="44">
        <v>0</v>
      </c>
      <c r="DG47" s="40"/>
      <c r="DO47" s="40"/>
      <c r="DP47" s="39"/>
      <c r="DS47" s="40"/>
      <c r="DT47" s="39"/>
      <c r="DY47" s="40"/>
      <c r="DZ47" s="39"/>
      <c r="EC47" s="40"/>
      <c r="EL47" s="40"/>
      <c r="ET47" s="40"/>
      <c r="EU47" s="39"/>
      <c r="EZ47" s="40"/>
      <c r="FA47" s="39"/>
      <c r="FE47" s="40"/>
      <c r="FI47" s="40"/>
      <c r="FJ47" s="39"/>
      <c r="FR47" s="40"/>
      <c r="FX47" s="40"/>
      <c r="FY47" s="39"/>
      <c r="GD47" s="40"/>
      <c r="GJ47" s="40"/>
      <c r="GN47" s="40"/>
      <c r="GO47" s="39"/>
      <c r="GR47" s="40"/>
      <c r="GY47" s="40"/>
      <c r="HE47" s="40"/>
      <c r="HF47" s="39"/>
      <c r="HK47" s="40"/>
      <c r="HL47" s="39"/>
      <c r="HQ47" s="40"/>
      <c r="HW47" s="43"/>
      <c r="IC47" s="43"/>
      <c r="II47" s="43"/>
      <c r="IO47" s="40"/>
      <c r="IS47" s="40"/>
      <c r="IY47" s="43"/>
      <c r="JC47" s="40"/>
      <c r="JI47" s="40"/>
      <c r="JO47" s="43"/>
      <c r="JU47" s="43"/>
      <c r="KA47" s="43"/>
      <c r="KB47" s="42"/>
      <c r="KJ47" s="43"/>
      <c r="KP47" s="43"/>
      <c r="KV47" s="43"/>
      <c r="KW47" s="42"/>
      <c r="KZ47" s="43"/>
      <c r="LA47" s="42"/>
      <c r="LE47" s="44"/>
      <c r="LF47" s="43"/>
      <c r="LG47" s="42"/>
      <c r="LL47" s="43"/>
      <c r="LM47" s="42"/>
      <c r="LO47" s="44"/>
      <c r="LP47" s="43"/>
      <c r="LQ47" s="42"/>
      <c r="LU47" s="44"/>
      <c r="LV47" s="43"/>
      <c r="LW47" s="42"/>
      <c r="MA47" s="44"/>
      <c r="MB47" s="43"/>
      <c r="MC47" s="42"/>
      <c r="MG47" s="44"/>
      <c r="MH47" s="43"/>
      <c r="MI47" s="42"/>
      <c r="MM47" s="44"/>
      <c r="MN47" s="43"/>
      <c r="MO47" s="42"/>
      <c r="MS47" s="44"/>
      <c r="MT47" s="43"/>
      <c r="MU47" s="42"/>
      <c r="MY47" s="44"/>
      <c r="MZ47" s="43"/>
      <c r="NA47" s="42"/>
      <c r="NE47" s="44"/>
      <c r="NF47" s="43"/>
      <c r="NG47" s="42"/>
      <c r="NK47" s="44"/>
      <c r="NL47" s="43"/>
      <c r="NM47" s="42"/>
      <c r="NQ47" s="44"/>
      <c r="NR47" s="43"/>
      <c r="NS47" s="42"/>
      <c r="NW47" s="44"/>
      <c r="NX47" s="43"/>
      <c r="NY47" s="42"/>
      <c r="OC47" s="44"/>
      <c r="OD47" s="43"/>
      <c r="OE47" s="42"/>
      <c r="OI47" s="44"/>
      <c r="OJ47" s="43"/>
      <c r="OK47" s="42"/>
      <c r="OO47" s="44"/>
      <c r="OP47" s="43"/>
      <c r="OQ47" s="42"/>
      <c r="OU47" s="44"/>
      <c r="OV47" s="43"/>
      <c r="OW47" s="42"/>
      <c r="PA47" s="44"/>
      <c r="PB47" s="43"/>
      <c r="PC47" s="42"/>
      <c r="PG47" s="44"/>
      <c r="PH47" s="43"/>
      <c r="PI47" s="42"/>
      <c r="PM47" s="44"/>
      <c r="PN47" s="43"/>
      <c r="PO47" s="42"/>
      <c r="PS47" s="44"/>
      <c r="PT47" s="43"/>
      <c r="PU47" s="42"/>
      <c r="PY47" s="44"/>
      <c r="PZ47" s="43"/>
      <c r="QA47" s="42"/>
      <c r="QC47" s="44"/>
      <c r="QD47" s="43"/>
      <c r="QE47" s="42"/>
      <c r="QG47" s="44"/>
      <c r="QH47" s="43"/>
      <c r="QI47" s="42"/>
      <c r="QK47" s="44"/>
      <c r="QL47" s="43"/>
      <c r="QM47" s="42"/>
      <c r="QQ47" s="44"/>
      <c r="QR47" s="43"/>
      <c r="QS47" s="42"/>
      <c r="QU47" s="44"/>
      <c r="QV47" s="43"/>
      <c r="QW47" s="42"/>
      <c r="QY47" s="44"/>
      <c r="QZ47" s="43"/>
    </row>
    <row r="48" spans="1:468" x14ac:dyDescent="0.25">
      <c r="A48" s="47" t="s">
        <v>332</v>
      </c>
      <c r="B48" s="38">
        <v>0.09</v>
      </c>
      <c r="E48">
        <v>25</v>
      </c>
      <c r="I48">
        <v>40</v>
      </c>
      <c r="J48">
        <v>70</v>
      </c>
      <c r="K48">
        <v>70</v>
      </c>
      <c r="N48" s="41">
        <v>50</v>
      </c>
      <c r="O48" s="49">
        <v>50</v>
      </c>
      <c r="P48" s="49">
        <v>60</v>
      </c>
      <c r="Q48" s="49">
        <v>63</v>
      </c>
      <c r="R48" s="48">
        <f t="shared" si="8"/>
        <v>-3</v>
      </c>
      <c r="S48" s="40"/>
      <c r="T48" s="39"/>
      <c r="U48" s="48"/>
      <c r="V48" s="48">
        <f t="shared" si="9"/>
        <v>0</v>
      </c>
      <c r="W48" s="40"/>
      <c r="X48" s="39"/>
      <c r="Y48" s="48"/>
      <c r="Z48" s="48"/>
      <c r="AA48" s="48"/>
      <c r="AB48" s="48">
        <f t="shared" si="10"/>
        <v>0</v>
      </c>
      <c r="AC48" s="40"/>
      <c r="AD48" s="48"/>
      <c r="AF48">
        <v>40</v>
      </c>
      <c r="AG48">
        <v>40</v>
      </c>
      <c r="AH48" s="44">
        <v>0</v>
      </c>
      <c r="AI48" s="40"/>
      <c r="AJ48">
        <v>80</v>
      </c>
      <c r="AK48">
        <v>80</v>
      </c>
      <c r="AL48">
        <v>100</v>
      </c>
      <c r="AM48">
        <v>100</v>
      </c>
      <c r="AN48" s="44">
        <v>0</v>
      </c>
      <c r="AO48" s="40"/>
      <c r="AR48">
        <v>70</v>
      </c>
      <c r="AS48">
        <v>73</v>
      </c>
      <c r="AT48" s="44">
        <v>-3</v>
      </c>
      <c r="AU48" s="40"/>
      <c r="AV48" s="39"/>
      <c r="AX48" s="44">
        <v>0</v>
      </c>
      <c r="AY48" s="40"/>
      <c r="AZ48" s="41">
        <v>90</v>
      </c>
      <c r="BA48">
        <v>95</v>
      </c>
      <c r="BB48" s="44">
        <v>-5</v>
      </c>
      <c r="BC48" s="40"/>
      <c r="BD48">
        <v>40</v>
      </c>
      <c r="BE48">
        <v>40</v>
      </c>
      <c r="BH48" s="44">
        <v>0</v>
      </c>
      <c r="BI48" s="40"/>
      <c r="BJ48">
        <v>150</v>
      </c>
      <c r="BK48">
        <v>150</v>
      </c>
      <c r="BL48" s="44">
        <v>0</v>
      </c>
      <c r="BM48" s="40"/>
      <c r="BN48" s="39"/>
      <c r="BR48" s="44">
        <v>0</v>
      </c>
      <c r="BS48" s="40"/>
      <c r="BV48" s="44">
        <v>0</v>
      </c>
      <c r="BW48" s="40"/>
      <c r="BX48" s="41">
        <v>140</v>
      </c>
      <c r="BY48">
        <v>150</v>
      </c>
      <c r="BZ48" s="46">
        <v>-10</v>
      </c>
      <c r="CA48" s="40">
        <v>0.89999999999999991</v>
      </c>
      <c r="CB48" s="39"/>
      <c r="CD48">
        <v>140</v>
      </c>
      <c r="CG48">
        <v>140</v>
      </c>
      <c r="CH48" s="44">
        <v>0</v>
      </c>
      <c r="CI48" s="40"/>
      <c r="CL48">
        <v>20</v>
      </c>
      <c r="CM48">
        <v>20</v>
      </c>
      <c r="CN48" s="44">
        <v>0</v>
      </c>
      <c r="CO48" s="40"/>
      <c r="CP48" s="39"/>
      <c r="CR48">
        <v>150</v>
      </c>
      <c r="CS48">
        <v>150</v>
      </c>
      <c r="CT48" s="44">
        <v>0</v>
      </c>
      <c r="CU48" s="40"/>
      <c r="CV48" s="39"/>
      <c r="CX48">
        <v>30</v>
      </c>
      <c r="CY48">
        <v>30</v>
      </c>
      <c r="CZ48" s="44">
        <v>0</v>
      </c>
      <c r="DA48" s="40"/>
      <c r="DB48" s="39"/>
      <c r="DD48">
        <v>30</v>
      </c>
      <c r="DE48">
        <v>30</v>
      </c>
      <c r="DF48" s="44">
        <v>0</v>
      </c>
      <c r="DG48" s="40"/>
      <c r="DJ48">
        <v>120</v>
      </c>
      <c r="DK48">
        <v>120</v>
      </c>
      <c r="DN48" s="44">
        <v>0</v>
      </c>
      <c r="DO48" s="40"/>
      <c r="DP48" s="39"/>
      <c r="DR48" s="44">
        <v>0</v>
      </c>
      <c r="DS48" s="40"/>
      <c r="DT48" s="39"/>
      <c r="DW48">
        <v>50</v>
      </c>
      <c r="DX48" s="46">
        <v>-50</v>
      </c>
      <c r="DY48" s="40">
        <v>4.5</v>
      </c>
      <c r="DZ48" s="39"/>
      <c r="EB48" s="44">
        <v>0</v>
      </c>
      <c r="EC48" s="40"/>
      <c r="ED48">
        <v>40</v>
      </c>
      <c r="EE48">
        <v>40</v>
      </c>
      <c r="EF48">
        <v>40</v>
      </c>
      <c r="EH48">
        <v>40</v>
      </c>
      <c r="EI48">
        <v>40</v>
      </c>
      <c r="EJ48">
        <v>40</v>
      </c>
      <c r="EK48" s="44">
        <v>0</v>
      </c>
      <c r="EL48" s="40"/>
      <c r="EQ48">
        <v>40</v>
      </c>
      <c r="ER48">
        <v>40</v>
      </c>
      <c r="ES48" s="44">
        <v>0</v>
      </c>
      <c r="ET48" s="40"/>
      <c r="EU48" s="39"/>
      <c r="EW48">
        <v>60</v>
      </c>
      <c r="EX48">
        <v>59</v>
      </c>
      <c r="EY48" s="44">
        <v>1</v>
      </c>
      <c r="EZ48" s="40"/>
      <c r="FA48" s="39"/>
      <c r="FD48" s="44">
        <v>0</v>
      </c>
      <c r="FE48" s="40"/>
      <c r="FH48" s="44">
        <v>0</v>
      </c>
      <c r="FI48" s="40"/>
      <c r="FJ48" s="41">
        <v>50</v>
      </c>
      <c r="FK48">
        <v>50</v>
      </c>
      <c r="FL48">
        <v>20</v>
      </c>
      <c r="FN48">
        <v>40</v>
      </c>
      <c r="FO48">
        <v>40</v>
      </c>
      <c r="FP48">
        <v>40</v>
      </c>
      <c r="FQ48" s="46">
        <v>-20</v>
      </c>
      <c r="FR48" s="40">
        <v>1.8</v>
      </c>
      <c r="FW48" s="44">
        <v>0</v>
      </c>
      <c r="FX48" s="40"/>
      <c r="FY48" s="39"/>
      <c r="GA48">
        <v>10</v>
      </c>
      <c r="GB48">
        <v>10</v>
      </c>
      <c r="GC48" s="44">
        <v>0</v>
      </c>
      <c r="GD48" s="40"/>
      <c r="GG48">
        <v>50</v>
      </c>
      <c r="GH48">
        <v>50</v>
      </c>
      <c r="GI48" s="44">
        <v>0</v>
      </c>
      <c r="GJ48" s="40"/>
      <c r="GL48" s="47">
        <v>9</v>
      </c>
      <c r="GM48" s="46">
        <v>-9</v>
      </c>
      <c r="GN48" s="40">
        <v>0.80999999999999994</v>
      </c>
      <c r="GO48" s="39"/>
      <c r="GQ48" s="44">
        <v>0</v>
      </c>
      <c r="GR48" s="40"/>
      <c r="GX48" s="44">
        <v>0</v>
      </c>
      <c r="GY48" s="40"/>
      <c r="HB48">
        <v>60</v>
      </c>
      <c r="HC48">
        <v>60</v>
      </c>
      <c r="HD48" s="44">
        <v>0</v>
      </c>
      <c r="HE48" s="40"/>
      <c r="HF48" s="39"/>
      <c r="HH48">
        <v>30</v>
      </c>
      <c r="HI48">
        <v>30</v>
      </c>
      <c r="HJ48" s="44">
        <v>0</v>
      </c>
      <c r="HK48" s="40"/>
      <c r="HL48" s="39"/>
      <c r="HP48" s="44">
        <v>0</v>
      </c>
      <c r="HQ48" s="40"/>
      <c r="HT48">
        <v>100</v>
      </c>
      <c r="HU48">
        <v>100</v>
      </c>
      <c r="HV48" s="44">
        <v>0</v>
      </c>
      <c r="HW48" s="43"/>
      <c r="IB48" s="44">
        <v>0</v>
      </c>
      <c r="IC48" s="43"/>
      <c r="ID48">
        <v>40</v>
      </c>
      <c r="IE48">
        <v>40</v>
      </c>
      <c r="IF48">
        <v>40</v>
      </c>
      <c r="IG48">
        <v>40</v>
      </c>
      <c r="IH48" s="44">
        <v>0</v>
      </c>
      <c r="II48" s="43"/>
      <c r="IL48">
        <v>10</v>
      </c>
      <c r="IM48">
        <v>10</v>
      </c>
      <c r="IN48" s="44">
        <v>0</v>
      </c>
      <c r="IO48" s="40"/>
      <c r="IR48" s="44">
        <v>0</v>
      </c>
      <c r="IS48" s="40"/>
      <c r="IV48">
        <v>50</v>
      </c>
      <c r="IW48">
        <v>49</v>
      </c>
      <c r="IX48" s="44">
        <v>1</v>
      </c>
      <c r="IY48" s="43"/>
      <c r="JB48" s="44">
        <v>0</v>
      </c>
      <c r="JC48" s="40"/>
      <c r="JF48">
        <v>40</v>
      </c>
      <c r="JG48">
        <v>40</v>
      </c>
      <c r="JH48" s="44">
        <v>0</v>
      </c>
      <c r="JI48" s="40"/>
      <c r="JN48" s="44">
        <v>0</v>
      </c>
      <c r="JO48" s="43"/>
      <c r="JR48">
        <v>80</v>
      </c>
      <c r="JS48">
        <v>80</v>
      </c>
      <c r="JT48" s="44">
        <v>0</v>
      </c>
      <c r="JU48" s="43"/>
      <c r="JV48">
        <v>20</v>
      </c>
      <c r="JW48">
        <v>20</v>
      </c>
      <c r="JX48">
        <v>20</v>
      </c>
      <c r="JY48">
        <v>20</v>
      </c>
      <c r="JZ48" s="44">
        <v>0</v>
      </c>
      <c r="KA48" s="43"/>
      <c r="KB48" s="42"/>
      <c r="KI48" s="44">
        <v>0</v>
      </c>
      <c r="KJ48" s="43"/>
      <c r="KK48" s="47">
        <v>40</v>
      </c>
      <c r="KL48" s="47">
        <v>40</v>
      </c>
      <c r="KM48" s="47">
        <v>40</v>
      </c>
      <c r="KN48" s="47">
        <v>40</v>
      </c>
      <c r="KO48" s="44">
        <v>0</v>
      </c>
      <c r="KP48" s="43"/>
      <c r="KQ48" s="47">
        <v>0</v>
      </c>
      <c r="KR48" s="47">
        <v>0</v>
      </c>
      <c r="KS48" s="47">
        <v>0</v>
      </c>
      <c r="KT48" s="47">
        <v>0</v>
      </c>
      <c r="KU48" s="44">
        <v>0</v>
      </c>
      <c r="KV48" s="43"/>
      <c r="KW48" s="42">
        <v>0</v>
      </c>
      <c r="KX48" s="47">
        <v>0</v>
      </c>
      <c r="KY48" s="44">
        <v>0</v>
      </c>
      <c r="KZ48" s="43"/>
      <c r="LA48" s="42">
        <v>0</v>
      </c>
      <c r="LB48" s="47">
        <v>0</v>
      </c>
      <c r="LC48" s="47">
        <v>0</v>
      </c>
      <c r="LD48" s="47">
        <v>0</v>
      </c>
      <c r="LE48" s="44">
        <v>0</v>
      </c>
      <c r="LF48" s="43"/>
      <c r="LG48" s="42">
        <v>40</v>
      </c>
      <c r="LH48" s="47">
        <v>40</v>
      </c>
      <c r="LI48" s="47">
        <v>80</v>
      </c>
      <c r="LJ48" s="47">
        <v>80</v>
      </c>
      <c r="LK48" s="44">
        <v>0</v>
      </c>
      <c r="LL48" s="43"/>
      <c r="LM48" s="42">
        <v>0</v>
      </c>
      <c r="LN48" s="47">
        <v>0</v>
      </c>
      <c r="LO48" s="44">
        <v>0</v>
      </c>
      <c r="LP48" s="43"/>
      <c r="LQ48" s="42">
        <v>0</v>
      </c>
      <c r="LR48" s="47">
        <v>0</v>
      </c>
      <c r="LS48" s="47">
        <v>20</v>
      </c>
      <c r="LT48" s="47">
        <v>20</v>
      </c>
      <c r="LU48" s="44">
        <v>0</v>
      </c>
      <c r="LV48" s="43"/>
      <c r="LW48" s="42">
        <v>0</v>
      </c>
      <c r="LX48" s="47">
        <v>0</v>
      </c>
      <c r="LY48" s="47">
        <v>140</v>
      </c>
      <c r="LZ48" s="47">
        <v>140</v>
      </c>
      <c r="MA48" s="44">
        <v>0</v>
      </c>
      <c r="MB48" s="43"/>
      <c r="MC48" s="42">
        <v>0</v>
      </c>
      <c r="MD48" s="47">
        <v>0</v>
      </c>
      <c r="ME48" s="47">
        <v>20</v>
      </c>
      <c r="MF48" s="47">
        <v>20</v>
      </c>
      <c r="MG48" s="44">
        <v>0</v>
      </c>
      <c r="MH48" s="43"/>
      <c r="MI48" s="42">
        <v>0</v>
      </c>
      <c r="MJ48" s="47">
        <v>0</v>
      </c>
      <c r="MK48" s="47">
        <v>20</v>
      </c>
      <c r="ML48" s="47">
        <v>20</v>
      </c>
      <c r="MM48" s="44">
        <v>0</v>
      </c>
      <c r="MN48" s="43"/>
      <c r="MO48" s="42">
        <v>0</v>
      </c>
      <c r="MP48" s="47">
        <v>0</v>
      </c>
      <c r="MQ48" s="47">
        <v>20</v>
      </c>
      <c r="MR48" s="47">
        <v>25</v>
      </c>
      <c r="MS48" s="44">
        <v>-5</v>
      </c>
      <c r="MT48" s="43"/>
      <c r="MU48" s="42">
        <v>100</v>
      </c>
      <c r="MV48" s="47">
        <v>40</v>
      </c>
      <c r="MW48" s="47">
        <v>50</v>
      </c>
      <c r="MX48" s="47">
        <v>55</v>
      </c>
      <c r="MY48" s="44">
        <v>55</v>
      </c>
      <c r="MZ48" s="43"/>
      <c r="NA48" s="42">
        <v>0</v>
      </c>
      <c r="NB48" s="47">
        <v>0</v>
      </c>
      <c r="NC48" s="47">
        <v>60</v>
      </c>
      <c r="ND48" s="47">
        <v>65</v>
      </c>
      <c r="NE48" s="44">
        <v>-5</v>
      </c>
      <c r="NF48" s="43"/>
      <c r="NG48" s="42">
        <v>0</v>
      </c>
      <c r="NH48" s="47">
        <v>0</v>
      </c>
      <c r="NI48" s="47">
        <v>150</v>
      </c>
      <c r="NJ48" s="47">
        <v>150</v>
      </c>
      <c r="NK48" s="44">
        <v>0</v>
      </c>
      <c r="NL48" s="43"/>
      <c r="NM48" s="42">
        <v>0</v>
      </c>
      <c r="NN48" s="47">
        <v>0</v>
      </c>
      <c r="NO48" s="47">
        <v>60</v>
      </c>
      <c r="NP48" s="47">
        <v>60</v>
      </c>
      <c r="NQ48" s="44">
        <v>0</v>
      </c>
      <c r="NR48" s="43"/>
      <c r="NS48" s="42">
        <v>40</v>
      </c>
      <c r="NT48" s="47">
        <v>50</v>
      </c>
      <c r="NU48" s="47">
        <v>0</v>
      </c>
      <c r="NV48" s="47">
        <v>0</v>
      </c>
      <c r="NW48" s="46">
        <v>-10</v>
      </c>
      <c r="NX48" s="43">
        <v>0.89999999999999991</v>
      </c>
      <c r="NY48" s="42">
        <v>0</v>
      </c>
      <c r="NZ48" s="47">
        <v>0</v>
      </c>
      <c r="OA48" s="47">
        <v>200</v>
      </c>
      <c r="OB48" s="47">
        <v>200</v>
      </c>
      <c r="OC48" s="44">
        <v>0</v>
      </c>
      <c r="OD48" s="43"/>
      <c r="OE48" s="42">
        <v>50</v>
      </c>
      <c r="OF48" s="47">
        <v>50</v>
      </c>
      <c r="OG48" s="47">
        <v>40</v>
      </c>
      <c r="OH48" s="47">
        <v>40</v>
      </c>
      <c r="OI48" s="44">
        <v>0</v>
      </c>
      <c r="OJ48" s="43"/>
      <c r="OK48" s="42">
        <v>40</v>
      </c>
      <c r="OL48" s="47">
        <v>40</v>
      </c>
      <c r="OM48" s="47">
        <v>40</v>
      </c>
      <c r="ON48" s="47">
        <v>40</v>
      </c>
      <c r="OO48" s="44">
        <v>0</v>
      </c>
      <c r="OP48" s="43"/>
      <c r="OQ48" s="42">
        <v>80</v>
      </c>
      <c r="OR48" s="47">
        <v>80</v>
      </c>
      <c r="OS48" s="47">
        <v>70</v>
      </c>
      <c r="OT48" s="47">
        <v>75</v>
      </c>
      <c r="OU48" s="44">
        <v>-5</v>
      </c>
      <c r="OV48" s="43"/>
      <c r="OW48" s="42">
        <v>0</v>
      </c>
      <c r="OX48" s="47">
        <v>0</v>
      </c>
      <c r="OY48" s="47">
        <v>0</v>
      </c>
      <c r="OZ48" s="47">
        <v>0</v>
      </c>
      <c r="PA48" s="44">
        <v>0</v>
      </c>
      <c r="PB48" s="43"/>
      <c r="PC48" s="42">
        <v>0</v>
      </c>
      <c r="PD48" s="47">
        <v>0</v>
      </c>
      <c r="PE48" s="47">
        <v>80</v>
      </c>
      <c r="PF48" s="47">
        <v>80</v>
      </c>
      <c r="PG48" s="44">
        <v>0</v>
      </c>
      <c r="PH48" s="43"/>
      <c r="PI48" s="42">
        <v>0</v>
      </c>
      <c r="PJ48" s="47">
        <v>0</v>
      </c>
      <c r="PK48" s="47">
        <v>50</v>
      </c>
      <c r="PL48" s="47">
        <v>56</v>
      </c>
      <c r="PM48" s="44">
        <v>-6</v>
      </c>
      <c r="PN48" s="43"/>
      <c r="PO48" s="42">
        <v>0</v>
      </c>
      <c r="PP48" s="47">
        <v>0</v>
      </c>
      <c r="PQ48" s="47">
        <v>0</v>
      </c>
      <c r="PR48" s="47">
        <v>0</v>
      </c>
      <c r="PS48" s="44">
        <v>0</v>
      </c>
      <c r="PT48" s="43"/>
      <c r="PU48" s="42">
        <v>0</v>
      </c>
      <c r="PV48" s="47">
        <v>0</v>
      </c>
      <c r="PW48" s="47">
        <v>80</v>
      </c>
      <c r="PX48" s="47">
        <v>80</v>
      </c>
      <c r="PY48" s="44">
        <v>0</v>
      </c>
      <c r="PZ48" s="43"/>
      <c r="QA48" s="42">
        <v>0</v>
      </c>
      <c r="QB48" s="47">
        <v>0</v>
      </c>
      <c r="QC48" s="44">
        <v>0</v>
      </c>
      <c r="QD48" s="43"/>
      <c r="QE48" s="42">
        <v>0</v>
      </c>
      <c r="QF48" s="47">
        <v>0</v>
      </c>
      <c r="QG48" s="44">
        <v>0</v>
      </c>
      <c r="QH48" s="43"/>
      <c r="QI48" s="42">
        <v>0</v>
      </c>
      <c r="QJ48" s="47">
        <v>0</v>
      </c>
      <c r="QK48" s="44">
        <v>0</v>
      </c>
      <c r="QL48" s="43"/>
      <c r="QM48" s="42">
        <v>30</v>
      </c>
      <c r="QN48" s="47">
        <v>35</v>
      </c>
      <c r="QO48" s="47">
        <v>0</v>
      </c>
      <c r="QP48" s="47">
        <v>0</v>
      </c>
      <c r="QQ48" s="44">
        <v>-5</v>
      </c>
      <c r="QR48" s="43"/>
      <c r="QS48" s="42">
        <v>0</v>
      </c>
      <c r="QT48" s="47">
        <v>0</v>
      </c>
      <c r="QU48" s="44">
        <v>0</v>
      </c>
      <c r="QV48" s="43"/>
      <c r="QW48" s="42">
        <v>70</v>
      </c>
      <c r="QX48" s="47">
        <v>75</v>
      </c>
      <c r="QY48" s="44">
        <v>-5</v>
      </c>
      <c r="QZ48" s="43"/>
    </row>
    <row r="49" spans="1:468" x14ac:dyDescent="0.25">
      <c r="A49" s="47" t="s">
        <v>333</v>
      </c>
      <c r="B49" s="38">
        <v>0.4</v>
      </c>
      <c r="E49">
        <v>49</v>
      </c>
      <c r="I49">
        <v>70</v>
      </c>
      <c r="N49" s="41">
        <v>88</v>
      </c>
      <c r="O49" s="49">
        <v>90</v>
      </c>
      <c r="P49" s="49">
        <v>104</v>
      </c>
      <c r="Q49" s="49">
        <v>103</v>
      </c>
      <c r="R49" s="48">
        <f t="shared" si="8"/>
        <v>-1</v>
      </c>
      <c r="S49" s="40"/>
      <c r="T49" s="41">
        <v>56</v>
      </c>
      <c r="U49" s="49">
        <v>59</v>
      </c>
      <c r="V49" s="48">
        <f t="shared" si="9"/>
        <v>-3</v>
      </c>
      <c r="W49" s="40"/>
      <c r="X49" s="41">
        <v>80</v>
      </c>
      <c r="Y49" s="49">
        <v>80</v>
      </c>
      <c r="Z49" s="49">
        <v>40</v>
      </c>
      <c r="AA49" s="49">
        <v>43</v>
      </c>
      <c r="AB49" s="48">
        <f t="shared" si="10"/>
        <v>-3</v>
      </c>
      <c r="AC49" s="40"/>
      <c r="AD49" s="49">
        <v>96</v>
      </c>
      <c r="AE49">
        <v>100</v>
      </c>
      <c r="AF49">
        <v>152</v>
      </c>
      <c r="AG49">
        <v>150</v>
      </c>
      <c r="AH49" s="44">
        <v>-2</v>
      </c>
      <c r="AI49" s="40"/>
      <c r="AJ49">
        <v>16</v>
      </c>
      <c r="AK49">
        <v>20</v>
      </c>
      <c r="AL49">
        <v>32</v>
      </c>
      <c r="AM49">
        <v>32</v>
      </c>
      <c r="AN49" s="44">
        <v>-4</v>
      </c>
      <c r="AO49" s="40"/>
      <c r="AP49">
        <v>88</v>
      </c>
      <c r="AQ49">
        <v>90</v>
      </c>
      <c r="AR49">
        <v>64</v>
      </c>
      <c r="AS49">
        <v>65</v>
      </c>
      <c r="AT49" s="44">
        <v>-3</v>
      </c>
      <c r="AU49" s="40"/>
      <c r="AV49" s="41">
        <v>256</v>
      </c>
      <c r="AW49">
        <v>257</v>
      </c>
      <c r="AX49" s="44">
        <v>-1</v>
      </c>
      <c r="AY49" s="40"/>
      <c r="AZ49" s="39"/>
      <c r="BB49" s="44">
        <v>0</v>
      </c>
      <c r="BC49" s="40"/>
      <c r="BD49">
        <v>152</v>
      </c>
      <c r="BE49">
        <v>150</v>
      </c>
      <c r="BF49">
        <v>200</v>
      </c>
      <c r="BG49">
        <v>201</v>
      </c>
      <c r="BH49" s="44">
        <v>1</v>
      </c>
      <c r="BI49" s="40"/>
      <c r="BJ49">
        <v>24</v>
      </c>
      <c r="BK49">
        <v>26</v>
      </c>
      <c r="BL49" s="44">
        <v>-2</v>
      </c>
      <c r="BM49" s="40"/>
      <c r="BN49" s="39"/>
      <c r="BR49" s="44">
        <v>0</v>
      </c>
      <c r="BS49" s="40"/>
      <c r="BV49" s="44">
        <v>0</v>
      </c>
      <c r="BW49" s="40"/>
      <c r="BX49" s="41">
        <v>648</v>
      </c>
      <c r="BY49">
        <v>650</v>
      </c>
      <c r="BZ49" s="44">
        <v>-2</v>
      </c>
      <c r="CA49" s="40"/>
      <c r="CB49" s="39"/>
      <c r="CD49">
        <v>112</v>
      </c>
      <c r="CG49">
        <v>110</v>
      </c>
      <c r="CH49" s="44">
        <v>2</v>
      </c>
      <c r="CI49" s="40"/>
      <c r="CJ49">
        <v>48</v>
      </c>
      <c r="CK49" s="47">
        <v>48</v>
      </c>
      <c r="CL49">
        <v>104</v>
      </c>
      <c r="CM49" s="47">
        <v>102</v>
      </c>
      <c r="CN49" s="44">
        <v>2</v>
      </c>
      <c r="CO49" s="40"/>
      <c r="CP49" s="41">
        <v>160</v>
      </c>
      <c r="CQ49" s="44">
        <v>160</v>
      </c>
      <c r="CR49">
        <v>200</v>
      </c>
      <c r="CS49">
        <v>200</v>
      </c>
      <c r="CT49" s="44">
        <v>0</v>
      </c>
      <c r="CU49" s="40"/>
      <c r="CV49" s="39"/>
      <c r="CZ49" s="44">
        <v>0</v>
      </c>
      <c r="DA49" s="40"/>
      <c r="DB49" s="39"/>
      <c r="DF49" s="44">
        <v>0</v>
      </c>
      <c r="DG49" s="40"/>
      <c r="DO49" s="40"/>
      <c r="DP49" s="39"/>
      <c r="DS49" s="40"/>
      <c r="DT49" s="39"/>
      <c r="DY49" s="40"/>
      <c r="DZ49" s="39"/>
      <c r="EC49" s="40"/>
      <c r="EL49" s="40"/>
      <c r="ET49" s="40"/>
      <c r="EU49" s="39"/>
      <c r="EZ49" s="40"/>
      <c r="FA49" s="39"/>
      <c r="FE49" s="40"/>
      <c r="FI49" s="40"/>
      <c r="FJ49" s="41"/>
      <c r="FR49" s="40"/>
      <c r="FX49" s="40"/>
      <c r="FY49" s="39"/>
      <c r="GD49" s="40"/>
      <c r="GJ49" s="40"/>
      <c r="GN49" s="40"/>
      <c r="GO49" s="39"/>
      <c r="GR49" s="40"/>
      <c r="GY49" s="40"/>
      <c r="HE49" s="40"/>
      <c r="HF49" s="39"/>
      <c r="HK49" s="40"/>
      <c r="HL49" s="39"/>
      <c r="HQ49" s="40"/>
      <c r="HW49" s="43"/>
      <c r="IC49" s="43"/>
      <c r="II49" s="43"/>
      <c r="IO49" s="40"/>
      <c r="IS49" s="40"/>
      <c r="IY49" s="43"/>
      <c r="JC49" s="40"/>
      <c r="JI49" s="40"/>
      <c r="JO49" s="43"/>
      <c r="JU49" s="43"/>
      <c r="KA49" s="43"/>
      <c r="KB49" s="42"/>
      <c r="KJ49" s="43"/>
      <c r="KP49" s="43"/>
      <c r="KV49" s="43"/>
      <c r="KW49" s="42"/>
      <c r="KZ49" s="43"/>
      <c r="LA49" s="42"/>
      <c r="LF49" s="43"/>
      <c r="LG49" s="42"/>
      <c r="LL49" s="43"/>
      <c r="LM49" s="42"/>
      <c r="LP49" s="43"/>
      <c r="LQ49" s="42"/>
      <c r="LU49" s="44"/>
      <c r="LV49" s="43"/>
      <c r="LW49" s="42"/>
      <c r="MA49" s="44"/>
      <c r="MB49" s="43"/>
      <c r="MC49" s="42"/>
      <c r="MG49" s="44"/>
      <c r="MH49" s="43"/>
      <c r="MI49" s="42"/>
      <c r="MM49" s="44"/>
      <c r="MN49" s="43"/>
      <c r="MO49" s="42"/>
      <c r="MS49" s="44"/>
      <c r="MT49" s="43"/>
      <c r="MU49" s="42"/>
      <c r="MY49" s="44"/>
      <c r="MZ49" s="43"/>
      <c r="NA49" s="42"/>
      <c r="NE49" s="44"/>
      <c r="NF49" s="43"/>
      <c r="NG49" s="42"/>
      <c r="NK49" s="44"/>
      <c r="NL49" s="43"/>
      <c r="NM49" s="42"/>
      <c r="NQ49" s="44"/>
      <c r="NR49" s="43"/>
      <c r="NS49" s="42"/>
      <c r="NW49" s="44"/>
      <c r="NX49" s="43"/>
      <c r="NY49" s="42"/>
      <c r="OC49" s="44"/>
      <c r="OD49" s="43"/>
      <c r="OE49" s="42"/>
      <c r="OI49" s="44"/>
      <c r="OJ49" s="43"/>
      <c r="OK49" s="42"/>
      <c r="OO49" s="44"/>
      <c r="OP49" s="43"/>
      <c r="OQ49" s="42"/>
      <c r="OU49" s="44"/>
      <c r="OV49" s="43"/>
      <c r="OW49" s="42"/>
      <c r="PA49" s="44"/>
      <c r="PB49" s="43"/>
      <c r="PC49" s="42"/>
      <c r="PG49" s="44"/>
      <c r="PH49" s="43"/>
      <c r="PI49" s="42"/>
      <c r="PM49" s="44"/>
      <c r="PN49" s="43"/>
      <c r="PO49" s="42"/>
      <c r="PS49" s="44"/>
      <c r="PT49" s="43"/>
      <c r="PU49" s="42"/>
      <c r="PY49" s="44"/>
      <c r="PZ49" s="43"/>
      <c r="QA49" s="42"/>
      <c r="QC49" s="44"/>
      <c r="QD49" s="43"/>
      <c r="QE49" s="42"/>
      <c r="QG49" s="44"/>
      <c r="QH49" s="43"/>
      <c r="QI49" s="42"/>
      <c r="QK49" s="44"/>
      <c r="QL49" s="43"/>
      <c r="QM49" s="42"/>
      <c r="QQ49" s="44"/>
      <c r="QR49" s="43"/>
      <c r="QS49" s="42"/>
      <c r="QU49" s="44"/>
      <c r="QV49" s="43"/>
      <c r="QW49" s="42"/>
      <c r="QY49" s="44"/>
      <c r="QZ49" s="43"/>
    </row>
    <row r="50" spans="1:468" x14ac:dyDescent="0.25">
      <c r="A50" s="47" t="s">
        <v>334</v>
      </c>
      <c r="B50" s="38">
        <v>0.15</v>
      </c>
      <c r="J50">
        <v>64</v>
      </c>
      <c r="K50">
        <v>65</v>
      </c>
      <c r="N50" s="39"/>
      <c r="O50" s="48"/>
      <c r="P50" s="48"/>
      <c r="Q50" s="48"/>
      <c r="R50" s="48">
        <f t="shared" si="8"/>
        <v>0</v>
      </c>
      <c r="S50" s="40"/>
      <c r="T50" s="41">
        <v>56</v>
      </c>
      <c r="U50" s="49">
        <v>65</v>
      </c>
      <c r="V50" s="48">
        <f t="shared" si="9"/>
        <v>-9</v>
      </c>
      <c r="W50" s="40"/>
      <c r="X50" s="39"/>
      <c r="Y50" s="48"/>
      <c r="Z50" s="48"/>
      <c r="AA50" s="48"/>
      <c r="AB50" s="48">
        <f t="shared" si="10"/>
        <v>0</v>
      </c>
      <c r="AC50" s="40"/>
      <c r="AD50" s="48"/>
      <c r="AF50">
        <v>16</v>
      </c>
      <c r="AG50">
        <v>18</v>
      </c>
      <c r="AH50" s="44">
        <v>-2</v>
      </c>
      <c r="AI50" s="40"/>
      <c r="AL50">
        <v>32</v>
      </c>
      <c r="AM50">
        <v>31</v>
      </c>
      <c r="AN50" s="44">
        <v>1</v>
      </c>
      <c r="AO50" s="40"/>
      <c r="AT50" s="44">
        <v>0</v>
      </c>
      <c r="AU50" s="40"/>
      <c r="AV50" s="39"/>
      <c r="AX50" s="44">
        <v>0</v>
      </c>
      <c r="AY50" s="40"/>
      <c r="AZ50" s="39"/>
      <c r="BB50" s="44">
        <v>0</v>
      </c>
      <c r="BC50" s="40"/>
      <c r="BH50" s="44">
        <v>0</v>
      </c>
      <c r="BI50" s="40"/>
      <c r="BJ50">
        <v>152</v>
      </c>
      <c r="BK50">
        <v>150</v>
      </c>
      <c r="BL50" s="44">
        <v>2</v>
      </c>
      <c r="BM50" s="40"/>
      <c r="BN50" s="39"/>
      <c r="BP50">
        <v>176</v>
      </c>
      <c r="BQ50" s="44">
        <v>180</v>
      </c>
      <c r="BR50" s="44">
        <v>-4</v>
      </c>
      <c r="BS50" s="40"/>
      <c r="BV50" s="44">
        <v>0</v>
      </c>
      <c r="BW50" s="40"/>
      <c r="BX50" s="41">
        <v>48</v>
      </c>
      <c r="BY50">
        <v>50</v>
      </c>
      <c r="BZ50" s="44">
        <v>-2</v>
      </c>
      <c r="CA50" s="40"/>
      <c r="CB50" s="41">
        <v>96</v>
      </c>
      <c r="CC50" s="44">
        <v>100</v>
      </c>
      <c r="CH50" s="44">
        <v>-4</v>
      </c>
      <c r="CI50" s="40"/>
      <c r="CK50" s="47"/>
      <c r="CM50" s="47"/>
      <c r="CN50" s="44">
        <v>0</v>
      </c>
      <c r="CO50" s="40"/>
      <c r="CP50" s="39"/>
      <c r="CT50" s="44">
        <v>0</v>
      </c>
      <c r="CU50" s="40"/>
      <c r="CV50" s="39"/>
      <c r="CZ50" s="44">
        <v>0</v>
      </c>
      <c r="DA50" s="40"/>
      <c r="DB50" s="39"/>
      <c r="DF50" s="44">
        <v>0</v>
      </c>
      <c r="DG50" s="40"/>
      <c r="DO50" s="40"/>
      <c r="DP50" s="39"/>
      <c r="DS50" s="40"/>
      <c r="DT50" s="39"/>
      <c r="DY50" s="40"/>
      <c r="DZ50" s="39"/>
      <c r="EC50" s="40"/>
      <c r="EL50" s="40"/>
      <c r="ET50" s="40"/>
      <c r="EU50" s="39"/>
      <c r="EZ50" s="40"/>
      <c r="FA50" s="39"/>
      <c r="FE50" s="40"/>
      <c r="FI50" s="40"/>
      <c r="FJ50" s="41"/>
      <c r="FR50" s="40"/>
      <c r="FX50" s="40"/>
      <c r="FY50" s="39"/>
      <c r="GD50" s="40"/>
      <c r="GJ50" s="40"/>
      <c r="GN50" s="40"/>
      <c r="GO50" s="39"/>
      <c r="GR50" s="40"/>
      <c r="GY50" s="40"/>
      <c r="HE50" s="40"/>
      <c r="HF50" s="39"/>
      <c r="HK50" s="40"/>
      <c r="HL50" s="39"/>
      <c r="HQ50" s="40"/>
      <c r="HW50" s="43"/>
      <c r="IC50" s="43"/>
      <c r="II50" s="43"/>
      <c r="IO50" s="40"/>
      <c r="IS50" s="40"/>
      <c r="IY50" s="43"/>
      <c r="JC50" s="40"/>
      <c r="JI50" s="40"/>
      <c r="JO50" s="43"/>
      <c r="JU50" s="43"/>
      <c r="KA50" s="43"/>
      <c r="KB50" s="42"/>
      <c r="KJ50" s="43"/>
      <c r="KP50" s="43"/>
      <c r="KV50" s="43"/>
      <c r="KW50" s="42"/>
      <c r="KZ50" s="43"/>
      <c r="LA50" s="42"/>
      <c r="LF50" s="43"/>
      <c r="LG50" s="42"/>
      <c r="LL50" s="43"/>
      <c r="LM50" s="42"/>
      <c r="LP50" s="43"/>
      <c r="LQ50" s="42"/>
      <c r="LU50" s="44"/>
      <c r="LV50" s="43"/>
      <c r="LW50" s="42"/>
      <c r="MA50" s="44"/>
      <c r="MB50" s="43"/>
      <c r="MC50" s="42"/>
      <c r="MG50" s="44"/>
      <c r="MH50" s="43"/>
      <c r="MI50" s="42"/>
      <c r="MM50" s="44"/>
      <c r="MN50" s="43"/>
      <c r="MO50" s="42"/>
      <c r="MS50" s="44"/>
      <c r="MT50" s="43"/>
      <c r="MU50" s="42"/>
      <c r="MY50" s="44"/>
      <c r="MZ50" s="43"/>
      <c r="NA50" s="42"/>
      <c r="NE50" s="44"/>
      <c r="NF50" s="43"/>
      <c r="NG50" s="42"/>
      <c r="NK50" s="44"/>
      <c r="NL50" s="43"/>
      <c r="NM50" s="42"/>
      <c r="NQ50" s="44"/>
      <c r="NR50" s="43"/>
      <c r="NS50" s="42"/>
      <c r="NW50" s="44"/>
      <c r="NX50" s="43"/>
      <c r="NY50" s="42"/>
      <c r="OC50" s="44"/>
      <c r="OD50" s="43"/>
      <c r="OE50" s="42"/>
      <c r="OI50" s="44"/>
      <c r="OJ50" s="43"/>
      <c r="OK50" s="42"/>
      <c r="OO50" s="44"/>
      <c r="OP50" s="43"/>
      <c r="OQ50" s="42"/>
      <c r="OU50" s="44"/>
      <c r="OV50" s="43"/>
      <c r="OW50" s="42"/>
      <c r="PA50" s="44"/>
      <c r="PB50" s="43"/>
      <c r="PC50" s="42"/>
      <c r="PG50" s="44"/>
      <c r="PH50" s="43"/>
      <c r="PI50" s="42"/>
      <c r="PM50" s="44"/>
      <c r="PN50" s="43"/>
      <c r="PO50" s="42"/>
      <c r="PS50" s="44"/>
      <c r="PT50" s="43"/>
      <c r="PU50" s="42"/>
      <c r="PY50" s="44"/>
      <c r="PZ50" s="43"/>
      <c r="QA50" s="42"/>
      <c r="QC50" s="44"/>
      <c r="QD50" s="43"/>
      <c r="QE50" s="42"/>
      <c r="QG50" s="44"/>
      <c r="QH50" s="43"/>
      <c r="QI50" s="42"/>
      <c r="QK50" s="44"/>
      <c r="QL50" s="43"/>
      <c r="QM50" s="42"/>
      <c r="QQ50" s="44"/>
      <c r="QR50" s="43"/>
      <c r="QS50" s="42"/>
      <c r="QU50" s="44"/>
      <c r="QV50" s="43"/>
      <c r="QW50" s="42"/>
      <c r="QY50" s="44"/>
      <c r="QZ50" s="43"/>
    </row>
    <row r="51" spans="1:468" x14ac:dyDescent="0.25">
      <c r="A51" s="47" t="s">
        <v>335</v>
      </c>
      <c r="B51" s="38">
        <v>0.3</v>
      </c>
      <c r="N51" s="39"/>
      <c r="O51" s="48"/>
      <c r="P51" s="48"/>
      <c r="Q51" s="48"/>
      <c r="R51" s="48">
        <f t="shared" si="8"/>
        <v>0</v>
      </c>
      <c r="S51" s="40"/>
      <c r="T51" s="39"/>
      <c r="U51" s="48"/>
      <c r="V51" s="48">
        <f t="shared" si="9"/>
        <v>0</v>
      </c>
      <c r="W51" s="40"/>
      <c r="X51" s="39"/>
      <c r="Y51" s="48"/>
      <c r="Z51" s="48"/>
      <c r="AA51" s="48"/>
      <c r="AB51" s="48">
        <f t="shared" si="10"/>
        <v>0</v>
      </c>
      <c r="AC51" s="40"/>
      <c r="AD51" s="48"/>
      <c r="AH51" s="44">
        <v>0</v>
      </c>
      <c r="AI51" s="40"/>
      <c r="AN51" s="44">
        <v>0</v>
      </c>
      <c r="AO51" s="40"/>
      <c r="AT51" s="44">
        <v>0</v>
      </c>
      <c r="AU51" s="40"/>
      <c r="AV51" s="39"/>
      <c r="AX51" s="44">
        <v>0</v>
      </c>
      <c r="AY51" s="40"/>
      <c r="AZ51" s="39"/>
      <c r="BB51" s="44">
        <v>0</v>
      </c>
      <c r="BC51" s="40"/>
      <c r="BH51" s="44">
        <v>0</v>
      </c>
      <c r="BI51" s="40"/>
      <c r="BL51" s="44">
        <v>0</v>
      </c>
      <c r="BM51" s="40"/>
      <c r="BN51" s="39"/>
      <c r="BR51" s="44">
        <v>0</v>
      </c>
      <c r="BS51" s="40"/>
      <c r="BV51" s="44">
        <v>0</v>
      </c>
      <c r="BW51" s="40"/>
      <c r="BX51" s="39"/>
      <c r="BZ51" s="44">
        <v>0</v>
      </c>
      <c r="CA51" s="40"/>
      <c r="CB51" s="39"/>
      <c r="CH51" s="44">
        <v>0</v>
      </c>
      <c r="CI51" s="40"/>
      <c r="CN51" s="44">
        <v>0</v>
      </c>
      <c r="CO51" s="40"/>
      <c r="CP51" s="39"/>
      <c r="CT51" s="44">
        <v>0</v>
      </c>
      <c r="CU51" s="40"/>
      <c r="CV51" s="39"/>
      <c r="CZ51" s="44">
        <v>0</v>
      </c>
      <c r="DA51" s="40"/>
      <c r="DB51" s="39"/>
      <c r="DF51" s="44">
        <v>0</v>
      </c>
      <c r="DG51" s="40"/>
      <c r="DN51" s="44">
        <v>0</v>
      </c>
      <c r="DO51" s="40"/>
      <c r="DP51" s="39"/>
      <c r="DR51" s="44">
        <v>0</v>
      </c>
      <c r="DS51" s="40"/>
      <c r="DT51" s="39"/>
      <c r="DX51" s="44">
        <v>0</v>
      </c>
      <c r="DY51" s="40"/>
      <c r="DZ51" s="39"/>
      <c r="EB51" s="44">
        <v>0</v>
      </c>
      <c r="EC51" s="40"/>
      <c r="EK51" s="44">
        <v>0</v>
      </c>
      <c r="EL51" s="40"/>
      <c r="ES51" s="44">
        <v>0</v>
      </c>
      <c r="ET51" s="40"/>
      <c r="EU51" s="39"/>
      <c r="EY51" s="44">
        <v>0</v>
      </c>
      <c r="EZ51" s="40"/>
      <c r="FA51" s="39"/>
      <c r="FD51" s="44">
        <v>0</v>
      </c>
      <c r="FE51" s="40"/>
      <c r="FH51" s="44">
        <v>0</v>
      </c>
      <c r="FI51" s="40"/>
      <c r="FJ51" s="39"/>
      <c r="FQ51" s="44">
        <v>0</v>
      </c>
      <c r="FR51" s="40"/>
      <c r="FW51" s="44">
        <v>0</v>
      </c>
      <c r="FX51" s="40"/>
      <c r="FY51" s="39"/>
      <c r="GC51" s="44">
        <v>0</v>
      </c>
      <c r="GD51" s="40"/>
      <c r="GI51" s="44">
        <v>0</v>
      </c>
      <c r="GJ51" s="40"/>
      <c r="GM51" s="44">
        <v>0</v>
      </c>
      <c r="GN51" s="40"/>
      <c r="GO51" s="39"/>
      <c r="GQ51" s="44">
        <v>0</v>
      </c>
      <c r="GR51" s="40"/>
      <c r="GX51" s="44">
        <v>0</v>
      </c>
      <c r="GY51" s="40"/>
      <c r="HD51" s="44">
        <v>0</v>
      </c>
      <c r="HE51" s="40"/>
      <c r="HF51" s="39"/>
      <c r="HJ51" s="44">
        <v>0</v>
      </c>
      <c r="HK51" s="40"/>
      <c r="HL51" s="39"/>
      <c r="HP51" s="44">
        <v>0</v>
      </c>
      <c r="HQ51" s="40"/>
      <c r="HV51" s="44">
        <v>0</v>
      </c>
      <c r="HW51" s="43"/>
      <c r="IB51" s="44">
        <v>0</v>
      </c>
      <c r="IC51" s="43"/>
      <c r="IH51" s="44">
        <v>0</v>
      </c>
      <c r="II51" s="43"/>
      <c r="IN51" s="44">
        <v>0</v>
      </c>
      <c r="IO51" s="40"/>
      <c r="IR51" s="44">
        <v>0</v>
      </c>
      <c r="IS51" s="40"/>
      <c r="IX51" s="44">
        <v>0</v>
      </c>
      <c r="IY51" s="43"/>
      <c r="JB51" s="44">
        <v>0</v>
      </c>
      <c r="JC51" s="40"/>
      <c r="JH51" s="44">
        <v>0</v>
      </c>
      <c r="JI51" s="40"/>
      <c r="JN51" s="44">
        <v>0</v>
      </c>
      <c r="JO51" s="43"/>
      <c r="JT51" s="44">
        <v>0</v>
      </c>
      <c r="JU51" s="43"/>
      <c r="JZ51" s="44">
        <v>0</v>
      </c>
      <c r="KA51" s="43"/>
      <c r="KB51" s="42"/>
      <c r="KI51" s="44">
        <v>0</v>
      </c>
      <c r="KJ51" s="43"/>
      <c r="KK51" s="47">
        <v>0</v>
      </c>
      <c r="KL51" s="47">
        <v>0</v>
      </c>
      <c r="KM51" s="47">
        <v>0</v>
      </c>
      <c r="KN51" s="47">
        <v>0</v>
      </c>
      <c r="KO51" s="44">
        <v>0</v>
      </c>
      <c r="KP51" s="43"/>
      <c r="KQ51" s="47">
        <v>0</v>
      </c>
      <c r="KR51" s="47">
        <v>0</v>
      </c>
      <c r="KS51" s="47">
        <v>0</v>
      </c>
      <c r="KT51" s="47">
        <v>0</v>
      </c>
      <c r="KU51" s="44">
        <v>0</v>
      </c>
      <c r="KV51" s="43"/>
      <c r="KW51" s="42">
        <v>0</v>
      </c>
      <c r="KX51" s="47">
        <v>0</v>
      </c>
      <c r="KY51" s="44">
        <v>0</v>
      </c>
      <c r="KZ51" s="43"/>
      <c r="LA51" s="42">
        <v>0</v>
      </c>
      <c r="LB51" s="47">
        <v>0</v>
      </c>
      <c r="LC51" s="47">
        <v>0</v>
      </c>
      <c r="LD51" s="47">
        <v>0</v>
      </c>
      <c r="LE51" s="44">
        <v>0</v>
      </c>
      <c r="LF51" s="43"/>
      <c r="LG51" s="42">
        <v>0</v>
      </c>
      <c r="LH51" s="47">
        <v>0</v>
      </c>
      <c r="LI51" s="47">
        <v>0</v>
      </c>
      <c r="LJ51" s="47">
        <v>0</v>
      </c>
      <c r="LK51" s="44">
        <v>0</v>
      </c>
      <c r="LL51" s="43"/>
      <c r="LM51" s="42">
        <v>0</v>
      </c>
      <c r="LN51" s="47">
        <v>0</v>
      </c>
      <c r="LO51" s="44">
        <v>0</v>
      </c>
      <c r="LP51" s="43"/>
      <c r="LQ51" s="42">
        <v>0</v>
      </c>
      <c r="LR51" s="47">
        <v>0</v>
      </c>
      <c r="LS51" s="47">
        <v>0</v>
      </c>
      <c r="LT51" s="47">
        <v>0</v>
      </c>
      <c r="LU51" s="44">
        <v>0</v>
      </c>
      <c r="LV51" s="43"/>
      <c r="LW51" s="42">
        <v>0</v>
      </c>
      <c r="LX51" s="47">
        <v>0</v>
      </c>
      <c r="LY51" s="47">
        <v>0</v>
      </c>
      <c r="LZ51" s="47">
        <v>0</v>
      </c>
      <c r="MA51" s="44">
        <v>0</v>
      </c>
      <c r="MB51" s="43"/>
      <c r="MC51" s="42">
        <v>0</v>
      </c>
      <c r="MD51" s="47">
        <v>0</v>
      </c>
      <c r="ME51" s="47">
        <v>0</v>
      </c>
      <c r="MF51" s="47">
        <v>0</v>
      </c>
      <c r="MG51" s="44">
        <v>0</v>
      </c>
      <c r="MH51" s="43"/>
      <c r="MI51" s="42">
        <v>0</v>
      </c>
      <c r="MJ51" s="47">
        <v>0</v>
      </c>
      <c r="MK51" s="47">
        <v>0</v>
      </c>
      <c r="ML51" s="47">
        <v>0</v>
      </c>
      <c r="MM51" s="44">
        <v>0</v>
      </c>
      <c r="MN51" s="43"/>
      <c r="MO51" s="42">
        <v>0</v>
      </c>
      <c r="MP51" s="47">
        <v>0</v>
      </c>
      <c r="MQ51" s="47">
        <v>0</v>
      </c>
      <c r="MR51" s="47">
        <v>0</v>
      </c>
      <c r="MS51" s="44">
        <v>0</v>
      </c>
      <c r="MT51" s="43"/>
      <c r="MU51" s="42">
        <v>0</v>
      </c>
      <c r="MV51" s="47">
        <v>0</v>
      </c>
      <c r="MW51" s="47">
        <v>0</v>
      </c>
      <c r="MX51" s="47">
        <v>0</v>
      </c>
      <c r="MY51" s="44">
        <v>0</v>
      </c>
      <c r="MZ51" s="43"/>
      <c r="NA51" s="42">
        <v>0</v>
      </c>
      <c r="NB51" s="47">
        <v>0</v>
      </c>
      <c r="NC51" s="47">
        <v>0</v>
      </c>
      <c r="ND51" s="47">
        <v>0</v>
      </c>
      <c r="NE51" s="44">
        <v>0</v>
      </c>
      <c r="NF51" s="43"/>
      <c r="NG51" s="42">
        <v>0</v>
      </c>
      <c r="NH51" s="47">
        <v>0</v>
      </c>
      <c r="NI51" s="47">
        <v>0</v>
      </c>
      <c r="NJ51" s="47">
        <v>0</v>
      </c>
      <c r="NK51" s="44">
        <v>0</v>
      </c>
      <c r="NL51" s="43"/>
      <c r="NM51" s="42">
        <v>0</v>
      </c>
      <c r="NN51" s="47">
        <v>0</v>
      </c>
      <c r="NO51" s="47">
        <v>0</v>
      </c>
      <c r="NP51" s="47">
        <v>0</v>
      </c>
      <c r="NQ51" s="44">
        <v>0</v>
      </c>
      <c r="NR51" s="43"/>
      <c r="NS51" s="42">
        <v>0</v>
      </c>
      <c r="NT51" s="47">
        <v>0</v>
      </c>
      <c r="NU51" s="47">
        <v>0</v>
      </c>
      <c r="NV51" s="47">
        <v>0</v>
      </c>
      <c r="NW51" s="44">
        <v>0</v>
      </c>
      <c r="NX51" s="43"/>
      <c r="NY51" s="42">
        <v>0</v>
      </c>
      <c r="NZ51" s="47">
        <v>0</v>
      </c>
      <c r="OA51" s="47">
        <v>0</v>
      </c>
      <c r="OB51" s="47">
        <v>0</v>
      </c>
      <c r="OC51" s="44">
        <v>0</v>
      </c>
      <c r="OD51" s="43"/>
      <c r="OE51" s="42">
        <v>0</v>
      </c>
      <c r="OF51" s="47">
        <v>0</v>
      </c>
      <c r="OG51" s="47">
        <v>0</v>
      </c>
      <c r="OH51" s="47">
        <v>0</v>
      </c>
      <c r="OI51" s="44">
        <v>0</v>
      </c>
      <c r="OJ51" s="43"/>
      <c r="OK51" s="42">
        <v>0</v>
      </c>
      <c r="OL51" s="47">
        <v>0</v>
      </c>
      <c r="OM51" s="47">
        <v>0</v>
      </c>
      <c r="ON51" s="47">
        <v>0</v>
      </c>
      <c r="OO51" s="44">
        <v>0</v>
      </c>
      <c r="OP51" s="43"/>
      <c r="OQ51" s="42">
        <v>0</v>
      </c>
      <c r="OR51" s="47">
        <v>0</v>
      </c>
      <c r="OS51" s="47">
        <v>0</v>
      </c>
      <c r="OT51" s="47">
        <v>0</v>
      </c>
      <c r="OU51" s="44">
        <v>0</v>
      </c>
      <c r="OV51" s="43"/>
      <c r="OW51" s="42">
        <v>0</v>
      </c>
      <c r="OX51" s="47">
        <v>0</v>
      </c>
      <c r="OY51" s="47">
        <v>0</v>
      </c>
      <c r="OZ51" s="47">
        <v>0</v>
      </c>
      <c r="PA51" s="44">
        <v>0</v>
      </c>
      <c r="PB51" s="43"/>
      <c r="PC51" s="42">
        <v>0</v>
      </c>
      <c r="PD51" s="47">
        <v>0</v>
      </c>
      <c r="PE51" s="47">
        <v>0</v>
      </c>
      <c r="PF51" s="47">
        <v>0</v>
      </c>
      <c r="PG51" s="44">
        <v>0</v>
      </c>
      <c r="PH51" s="43"/>
      <c r="PI51" s="42">
        <v>0</v>
      </c>
      <c r="PJ51" s="47">
        <v>0</v>
      </c>
      <c r="PK51" s="47">
        <v>0</v>
      </c>
      <c r="PL51" s="47">
        <v>0</v>
      </c>
      <c r="PM51" s="44">
        <v>0</v>
      </c>
      <c r="PN51" s="43"/>
      <c r="PO51" s="42">
        <v>78</v>
      </c>
      <c r="PP51" s="47">
        <v>80</v>
      </c>
      <c r="PQ51" s="47">
        <v>102</v>
      </c>
      <c r="PR51" s="47">
        <v>100</v>
      </c>
      <c r="PS51" s="44">
        <v>0</v>
      </c>
      <c r="PT51" s="43"/>
      <c r="PU51" s="42">
        <v>0</v>
      </c>
      <c r="PV51" s="47">
        <v>0</v>
      </c>
      <c r="PW51" s="47">
        <v>0</v>
      </c>
      <c r="PX51" s="12">
        <v>376</v>
      </c>
      <c r="PY51" s="44">
        <v>-10</v>
      </c>
      <c r="PZ51" s="43"/>
      <c r="QA51" s="42">
        <v>354</v>
      </c>
      <c r="QB51" s="47">
        <v>355</v>
      </c>
      <c r="QC51" s="44">
        <v>-1</v>
      </c>
      <c r="QD51" s="43"/>
      <c r="QE51" s="42">
        <v>72</v>
      </c>
      <c r="QF51" s="47">
        <v>70</v>
      </c>
      <c r="QG51" s="44">
        <v>2</v>
      </c>
      <c r="QH51" s="43"/>
      <c r="QI51" s="42">
        <v>474</v>
      </c>
      <c r="QJ51" s="47">
        <v>472</v>
      </c>
      <c r="QK51" s="44">
        <v>2</v>
      </c>
      <c r="QL51" s="43"/>
      <c r="QM51" s="42">
        <v>48</v>
      </c>
      <c r="QN51" s="47">
        <v>50</v>
      </c>
      <c r="QO51" s="47">
        <v>48</v>
      </c>
      <c r="QP51" s="47">
        <v>50</v>
      </c>
      <c r="QQ51" s="44">
        <v>-4</v>
      </c>
      <c r="QR51" s="43"/>
      <c r="QS51" s="42">
        <v>48</v>
      </c>
      <c r="QT51" s="47">
        <v>50</v>
      </c>
      <c r="QU51" s="44">
        <v>-2</v>
      </c>
      <c r="QV51" s="43"/>
      <c r="QW51" s="42">
        <v>60</v>
      </c>
      <c r="QX51" s="47">
        <v>70</v>
      </c>
      <c r="QY51" s="44">
        <v>-10</v>
      </c>
      <c r="QZ51" s="43"/>
    </row>
    <row r="52" spans="1:468" x14ac:dyDescent="0.25">
      <c r="A52" s="47" t="s">
        <v>336</v>
      </c>
      <c r="B52" s="38">
        <v>0.27</v>
      </c>
      <c r="N52" s="39"/>
      <c r="O52" s="48"/>
      <c r="P52" s="48"/>
      <c r="Q52" s="48"/>
      <c r="R52" s="48">
        <f t="shared" si="8"/>
        <v>0</v>
      </c>
      <c r="S52" s="40"/>
      <c r="T52" s="39"/>
      <c r="U52" s="48"/>
      <c r="V52" s="48">
        <f t="shared" si="9"/>
        <v>0</v>
      </c>
      <c r="W52" s="40"/>
      <c r="X52" s="39"/>
      <c r="Y52" s="48"/>
      <c r="Z52" s="48"/>
      <c r="AA52" s="48"/>
      <c r="AB52" s="48">
        <f t="shared" si="10"/>
        <v>0</v>
      </c>
      <c r="AC52" s="40"/>
      <c r="AD52" s="48"/>
      <c r="AH52" s="44">
        <v>0</v>
      </c>
      <c r="AI52" s="40"/>
      <c r="AN52" s="44">
        <v>0</v>
      </c>
      <c r="AO52" s="40"/>
      <c r="AT52" s="44">
        <v>0</v>
      </c>
      <c r="AU52" s="40"/>
      <c r="AV52" s="39"/>
      <c r="AX52" s="44">
        <v>0</v>
      </c>
      <c r="AY52" s="40"/>
      <c r="AZ52" s="39"/>
      <c r="BB52" s="44">
        <v>0</v>
      </c>
      <c r="BC52" s="40"/>
      <c r="BH52" s="44">
        <v>0</v>
      </c>
      <c r="BI52" s="40"/>
      <c r="BL52" s="44">
        <v>0</v>
      </c>
      <c r="BM52" s="40"/>
      <c r="BN52" s="39"/>
      <c r="BR52" s="44">
        <v>0</v>
      </c>
      <c r="BS52" s="40"/>
      <c r="BV52" s="44">
        <v>0</v>
      </c>
      <c r="BW52" s="40"/>
      <c r="BX52" s="39"/>
      <c r="BZ52" s="44">
        <v>0</v>
      </c>
      <c r="CA52" s="40"/>
      <c r="CB52" s="39"/>
      <c r="CH52" s="44">
        <v>0</v>
      </c>
      <c r="CI52" s="40"/>
      <c r="CN52" s="44">
        <v>0</v>
      </c>
      <c r="CO52" s="40"/>
      <c r="CP52" s="39"/>
      <c r="CT52" s="44">
        <v>0</v>
      </c>
      <c r="CU52" s="40"/>
      <c r="CV52" s="39"/>
      <c r="CZ52" s="44">
        <v>0</v>
      </c>
      <c r="DA52" s="40"/>
      <c r="DB52" s="39"/>
      <c r="DF52" s="44">
        <v>0</v>
      </c>
      <c r="DG52" s="40"/>
      <c r="DN52" s="44">
        <v>0</v>
      </c>
      <c r="DO52" s="40"/>
      <c r="DP52" s="39"/>
      <c r="DR52" s="44">
        <v>0</v>
      </c>
      <c r="DS52" s="40"/>
      <c r="DT52" s="39"/>
      <c r="DX52" s="44">
        <v>0</v>
      </c>
      <c r="DY52" s="40"/>
      <c r="DZ52" s="39"/>
      <c r="EB52" s="44">
        <v>0</v>
      </c>
      <c r="EC52" s="40"/>
      <c r="EK52" s="44">
        <v>0</v>
      </c>
      <c r="EL52" s="40"/>
      <c r="ES52" s="44">
        <v>0</v>
      </c>
      <c r="ET52" s="40"/>
      <c r="EU52" s="39"/>
      <c r="EY52" s="44">
        <v>0</v>
      </c>
      <c r="EZ52" s="40"/>
      <c r="FA52" s="39"/>
      <c r="FD52" s="44">
        <v>0</v>
      </c>
      <c r="FE52" s="40"/>
      <c r="FH52" s="44">
        <v>0</v>
      </c>
      <c r="FI52" s="40"/>
      <c r="FJ52" s="39"/>
      <c r="FQ52" s="44">
        <v>0</v>
      </c>
      <c r="FR52" s="40"/>
      <c r="FW52" s="44">
        <v>0</v>
      </c>
      <c r="FX52" s="40"/>
      <c r="FY52" s="39"/>
      <c r="GC52" s="44">
        <v>0</v>
      </c>
      <c r="GD52" s="40"/>
      <c r="GI52" s="44">
        <v>0</v>
      </c>
      <c r="GJ52" s="40"/>
      <c r="GM52" s="44">
        <v>0</v>
      </c>
      <c r="GN52" s="40"/>
      <c r="GO52" s="39"/>
      <c r="GQ52" s="44">
        <v>0</v>
      </c>
      <c r="GR52" s="40"/>
      <c r="GX52" s="44">
        <v>0</v>
      </c>
      <c r="GY52" s="40"/>
      <c r="HD52" s="44">
        <v>0</v>
      </c>
      <c r="HE52" s="40"/>
      <c r="HF52" s="39"/>
      <c r="HJ52" s="44">
        <v>0</v>
      </c>
      <c r="HK52" s="40"/>
      <c r="HL52" s="39"/>
      <c r="HP52" s="44">
        <v>0</v>
      </c>
      <c r="HQ52" s="40"/>
      <c r="HV52" s="44">
        <v>0</v>
      </c>
      <c r="HW52" s="43"/>
      <c r="IB52" s="44">
        <v>0</v>
      </c>
      <c r="IC52" s="43"/>
      <c r="IH52" s="44">
        <v>0</v>
      </c>
      <c r="II52" s="43"/>
      <c r="IN52" s="44">
        <v>0</v>
      </c>
      <c r="IO52" s="40"/>
      <c r="IR52" s="44">
        <v>0</v>
      </c>
      <c r="IS52" s="40"/>
      <c r="IX52" s="44">
        <v>0</v>
      </c>
      <c r="IY52" s="43"/>
      <c r="JB52" s="44">
        <v>0</v>
      </c>
      <c r="JC52" s="40"/>
      <c r="JH52" s="44">
        <v>0</v>
      </c>
      <c r="JI52" s="40"/>
      <c r="JN52" s="44">
        <v>0</v>
      </c>
      <c r="JO52" s="43"/>
      <c r="JT52" s="44">
        <v>0</v>
      </c>
      <c r="JU52" s="43"/>
      <c r="JZ52" s="44">
        <v>0</v>
      </c>
      <c r="KA52" s="43"/>
      <c r="KB52" s="42"/>
      <c r="KI52" s="44">
        <v>0</v>
      </c>
      <c r="KJ52" s="43"/>
      <c r="KK52" s="47">
        <v>0</v>
      </c>
      <c r="KL52" s="47">
        <v>0</v>
      </c>
      <c r="KM52" s="47">
        <v>0</v>
      </c>
      <c r="KN52" s="47">
        <v>0</v>
      </c>
      <c r="KO52" s="44">
        <v>0</v>
      </c>
      <c r="KP52" s="43"/>
      <c r="KQ52" s="47">
        <v>0</v>
      </c>
      <c r="KR52" s="47">
        <v>0</v>
      </c>
      <c r="KS52" s="47">
        <v>0</v>
      </c>
      <c r="KT52" s="47">
        <v>0</v>
      </c>
      <c r="KU52" s="44">
        <v>0</v>
      </c>
      <c r="KV52" s="43"/>
      <c r="KW52" s="42">
        <v>0</v>
      </c>
      <c r="KX52" s="47">
        <v>0</v>
      </c>
      <c r="KY52" s="44">
        <v>0</v>
      </c>
      <c r="KZ52" s="43"/>
      <c r="LA52" s="42">
        <v>0</v>
      </c>
      <c r="LB52" s="47">
        <v>0</v>
      </c>
      <c r="LC52" s="47">
        <v>0</v>
      </c>
      <c r="LD52" s="47">
        <v>0</v>
      </c>
      <c r="LE52" s="44">
        <v>0</v>
      </c>
      <c r="LF52" s="43"/>
      <c r="LG52" s="42">
        <v>0</v>
      </c>
      <c r="LH52" s="47">
        <v>0</v>
      </c>
      <c r="LI52" s="47">
        <v>0</v>
      </c>
      <c r="LJ52" s="47">
        <v>0</v>
      </c>
      <c r="LK52" s="44">
        <v>0</v>
      </c>
      <c r="LL52" s="43"/>
      <c r="LM52" s="42">
        <v>0</v>
      </c>
      <c r="LN52" s="47">
        <v>0</v>
      </c>
      <c r="LO52" s="44">
        <v>0</v>
      </c>
      <c r="LP52" s="43"/>
      <c r="LQ52" s="42">
        <v>0</v>
      </c>
      <c r="LR52" s="47">
        <v>0</v>
      </c>
      <c r="LS52" s="47">
        <v>0</v>
      </c>
      <c r="LT52" s="47">
        <v>0</v>
      </c>
      <c r="LU52" s="44">
        <v>0</v>
      </c>
      <c r="LV52" s="43"/>
      <c r="LW52" s="42">
        <v>0</v>
      </c>
      <c r="LX52" s="47">
        <v>0</v>
      </c>
      <c r="LY52" s="47">
        <v>0</v>
      </c>
      <c r="LZ52" s="47">
        <v>0</v>
      </c>
      <c r="MA52" s="44">
        <v>0</v>
      </c>
      <c r="MB52" s="43"/>
      <c r="MC52" s="42">
        <v>0</v>
      </c>
      <c r="MD52" s="47">
        <v>0</v>
      </c>
      <c r="ME52" s="47">
        <v>0</v>
      </c>
      <c r="MF52" s="47">
        <v>0</v>
      </c>
      <c r="MG52" s="44">
        <v>0</v>
      </c>
      <c r="MH52" s="43"/>
      <c r="MI52" s="42">
        <v>0</v>
      </c>
      <c r="MJ52" s="47">
        <v>0</v>
      </c>
      <c r="MK52" s="47">
        <v>0</v>
      </c>
      <c r="ML52" s="47">
        <v>0</v>
      </c>
      <c r="MM52" s="44">
        <v>0</v>
      </c>
      <c r="MN52" s="43"/>
      <c r="MO52" s="42">
        <v>0</v>
      </c>
      <c r="MP52" s="47">
        <v>0</v>
      </c>
      <c r="MQ52" s="47">
        <v>0</v>
      </c>
      <c r="MR52" s="47">
        <v>0</v>
      </c>
      <c r="MS52" s="44">
        <v>0</v>
      </c>
      <c r="MT52" s="43"/>
      <c r="MU52" s="42">
        <v>0</v>
      </c>
      <c r="MV52" s="47">
        <v>0</v>
      </c>
      <c r="MW52" s="47">
        <v>0</v>
      </c>
      <c r="MX52" s="47">
        <v>0</v>
      </c>
      <c r="MY52" s="44">
        <v>0</v>
      </c>
      <c r="MZ52" s="43"/>
      <c r="NA52" s="42">
        <v>0</v>
      </c>
      <c r="NB52" s="47">
        <v>0</v>
      </c>
      <c r="NC52" s="47">
        <v>0</v>
      </c>
      <c r="ND52" s="47">
        <v>0</v>
      </c>
      <c r="NE52" s="44">
        <v>0</v>
      </c>
      <c r="NF52" s="43"/>
      <c r="NG52" s="42">
        <v>0</v>
      </c>
      <c r="NH52" s="47">
        <v>0</v>
      </c>
      <c r="NI52" s="47">
        <v>0</v>
      </c>
      <c r="NJ52" s="47">
        <v>0</v>
      </c>
      <c r="NK52" s="44">
        <v>0</v>
      </c>
      <c r="NL52" s="43"/>
      <c r="NM52" s="42">
        <v>0</v>
      </c>
      <c r="NN52" s="47">
        <v>0</v>
      </c>
      <c r="NO52" s="47">
        <v>0</v>
      </c>
      <c r="NP52" s="47">
        <v>0</v>
      </c>
      <c r="NQ52" s="44">
        <v>0</v>
      </c>
      <c r="NR52" s="43"/>
      <c r="NS52" s="42">
        <v>0</v>
      </c>
      <c r="NT52" s="47">
        <v>0</v>
      </c>
      <c r="NU52" s="47">
        <v>0</v>
      </c>
      <c r="NV52" s="47">
        <v>0</v>
      </c>
      <c r="NW52" s="44">
        <v>0</v>
      </c>
      <c r="NX52" s="43"/>
      <c r="NY52" s="42">
        <v>0</v>
      </c>
      <c r="NZ52" s="47">
        <v>0</v>
      </c>
      <c r="OA52" s="47">
        <v>0</v>
      </c>
      <c r="OB52" s="47">
        <v>0</v>
      </c>
      <c r="OC52" s="44">
        <v>0</v>
      </c>
      <c r="OD52" s="43"/>
      <c r="OE52" s="42">
        <v>0</v>
      </c>
      <c r="OF52" s="12">
        <v>80</v>
      </c>
      <c r="OG52" s="47">
        <v>0</v>
      </c>
      <c r="OH52" s="12">
        <v>70</v>
      </c>
      <c r="OI52" s="44">
        <v>2</v>
      </c>
      <c r="OJ52" s="43"/>
      <c r="OK52" s="42">
        <v>0</v>
      </c>
      <c r="OL52" s="12">
        <v>150</v>
      </c>
      <c r="OM52" s="47">
        <v>0</v>
      </c>
      <c r="ON52" s="12">
        <v>150</v>
      </c>
      <c r="OO52" s="44">
        <v>4</v>
      </c>
      <c r="OP52" s="43"/>
      <c r="OQ52" s="42">
        <v>0</v>
      </c>
      <c r="OR52" s="26">
        <v>100</v>
      </c>
      <c r="OS52" s="47">
        <v>0</v>
      </c>
      <c r="OT52" s="26">
        <v>80</v>
      </c>
      <c r="OU52" s="46">
        <v>-180</v>
      </c>
      <c r="OV52" s="43">
        <v>48.6</v>
      </c>
      <c r="OW52" s="42">
        <v>144</v>
      </c>
      <c r="OX52" s="47">
        <v>150</v>
      </c>
      <c r="OY52" s="47">
        <v>144</v>
      </c>
      <c r="OZ52" s="47">
        <v>150</v>
      </c>
      <c r="PA52" s="44">
        <v>-12</v>
      </c>
      <c r="PB52" s="43"/>
      <c r="PC52" s="42">
        <v>48</v>
      </c>
      <c r="PD52" s="47">
        <v>50</v>
      </c>
      <c r="PE52" s="47">
        <v>0</v>
      </c>
      <c r="PF52" s="26">
        <v>100</v>
      </c>
      <c r="PG52" s="46">
        <v>-102</v>
      </c>
      <c r="PH52" s="43">
        <v>27.54</v>
      </c>
      <c r="PI52" s="42">
        <v>0</v>
      </c>
      <c r="PJ52" s="26">
        <v>50</v>
      </c>
      <c r="PK52" s="47">
        <v>72</v>
      </c>
      <c r="PL52" s="47">
        <v>70</v>
      </c>
      <c r="PM52" s="46">
        <v>-48</v>
      </c>
      <c r="PN52" s="43">
        <v>12.96</v>
      </c>
      <c r="PO52" s="42">
        <v>96</v>
      </c>
      <c r="PP52" s="47">
        <v>100</v>
      </c>
      <c r="PQ52" s="47">
        <v>84</v>
      </c>
      <c r="PR52" s="47">
        <v>100</v>
      </c>
      <c r="PS52" s="46">
        <v>-20</v>
      </c>
      <c r="PT52" s="43">
        <v>5.4</v>
      </c>
      <c r="PU52" s="42">
        <v>0</v>
      </c>
      <c r="PV52" s="47">
        <v>0</v>
      </c>
      <c r="PW52" s="47">
        <v>300</v>
      </c>
      <c r="PX52" s="47">
        <v>300</v>
      </c>
      <c r="PY52" s="44">
        <v>0</v>
      </c>
      <c r="PZ52" s="43"/>
      <c r="QA52" s="42">
        <v>108</v>
      </c>
      <c r="QB52" s="47">
        <v>109</v>
      </c>
      <c r="QC52" s="44">
        <v>-1</v>
      </c>
      <c r="QD52" s="43"/>
      <c r="QE52" s="42">
        <v>252</v>
      </c>
      <c r="QF52" s="47">
        <v>250</v>
      </c>
      <c r="QG52" s="44">
        <v>2</v>
      </c>
      <c r="QH52" s="43"/>
      <c r="QI52" s="42">
        <v>252</v>
      </c>
      <c r="QJ52" s="47">
        <v>260</v>
      </c>
      <c r="QK52" s="44">
        <v>-8</v>
      </c>
      <c r="QL52" s="43"/>
      <c r="QM52" s="42">
        <v>0</v>
      </c>
      <c r="QN52" s="47">
        <v>0</v>
      </c>
      <c r="QO52" s="47">
        <v>0</v>
      </c>
      <c r="QP52" s="47">
        <v>0</v>
      </c>
      <c r="QQ52" s="44">
        <v>0</v>
      </c>
      <c r="QR52" s="43"/>
      <c r="QS52" s="42">
        <v>0</v>
      </c>
      <c r="QT52" s="47">
        <v>0</v>
      </c>
      <c r="QU52" s="44">
        <v>0</v>
      </c>
      <c r="QV52" s="43"/>
      <c r="QW52" s="42">
        <v>372</v>
      </c>
      <c r="QX52" s="47">
        <v>593</v>
      </c>
      <c r="QY52" s="46">
        <v>-221</v>
      </c>
      <c r="QZ52" s="43">
        <v>59.67</v>
      </c>
    </row>
    <row r="53" spans="1:468" x14ac:dyDescent="0.25">
      <c r="A53" s="47" t="s">
        <v>337</v>
      </c>
      <c r="B53" s="38">
        <v>1</v>
      </c>
      <c r="E53">
        <v>80</v>
      </c>
      <c r="F53">
        <v>70</v>
      </c>
      <c r="I53">
        <v>30</v>
      </c>
      <c r="J53">
        <v>34</v>
      </c>
      <c r="K53">
        <v>32</v>
      </c>
      <c r="N53" s="39"/>
      <c r="O53" s="48"/>
      <c r="P53" s="48"/>
      <c r="Q53" s="48"/>
      <c r="R53" s="48">
        <f t="shared" si="8"/>
        <v>0</v>
      </c>
      <c r="S53" s="40"/>
      <c r="T53" s="39"/>
      <c r="U53" s="48"/>
      <c r="V53" s="48">
        <f t="shared" si="9"/>
        <v>0</v>
      </c>
      <c r="W53" s="40"/>
      <c r="X53" s="41">
        <v>136</v>
      </c>
      <c r="Y53" s="49">
        <v>130</v>
      </c>
      <c r="Z53" s="48"/>
      <c r="AA53" s="48"/>
      <c r="AB53" s="48">
        <f t="shared" si="10"/>
        <v>6</v>
      </c>
      <c r="AC53" s="40"/>
      <c r="AD53" s="49">
        <v>101</v>
      </c>
      <c r="AE53">
        <v>100</v>
      </c>
      <c r="AF53">
        <v>143</v>
      </c>
      <c r="AG53">
        <v>140</v>
      </c>
      <c r="AH53" s="44">
        <v>4</v>
      </c>
      <c r="AI53" s="40"/>
      <c r="AN53" s="44">
        <v>0</v>
      </c>
      <c r="AO53" s="40"/>
      <c r="AP53">
        <v>52</v>
      </c>
      <c r="AQ53">
        <v>48</v>
      </c>
      <c r="AT53" s="44">
        <v>4</v>
      </c>
      <c r="AU53" s="40"/>
      <c r="AV53" s="41">
        <v>189</v>
      </c>
      <c r="AW53">
        <v>177</v>
      </c>
      <c r="AX53" s="44">
        <v>12</v>
      </c>
      <c r="AY53" s="40"/>
      <c r="AZ53" s="39"/>
      <c r="BB53" s="44">
        <v>0</v>
      </c>
      <c r="BC53" s="40"/>
      <c r="BH53" s="44">
        <v>0</v>
      </c>
      <c r="BI53" s="40"/>
      <c r="BJ53">
        <v>240</v>
      </c>
      <c r="BK53">
        <v>227</v>
      </c>
      <c r="BL53" s="44">
        <v>13</v>
      </c>
      <c r="BM53" s="40"/>
      <c r="BN53" s="39"/>
      <c r="BP53">
        <v>52</v>
      </c>
      <c r="BQ53">
        <v>47</v>
      </c>
      <c r="BR53" s="44">
        <v>5</v>
      </c>
      <c r="BS53" s="40"/>
      <c r="BT53">
        <v>10</v>
      </c>
      <c r="BU53">
        <v>10</v>
      </c>
      <c r="BV53" s="44">
        <v>0</v>
      </c>
      <c r="BW53" s="40"/>
      <c r="BX53" s="41">
        <v>23</v>
      </c>
      <c r="BY53">
        <v>20</v>
      </c>
      <c r="BZ53" s="44">
        <v>3</v>
      </c>
      <c r="CA53" s="40"/>
      <c r="CB53" s="39"/>
      <c r="CD53">
        <v>204</v>
      </c>
      <c r="CG53">
        <v>190</v>
      </c>
      <c r="CH53" s="44">
        <v>14</v>
      </c>
      <c r="CI53" s="40"/>
      <c r="CN53" s="44">
        <v>0</v>
      </c>
      <c r="CO53" s="40"/>
      <c r="CP53" s="39"/>
      <c r="CT53" s="44">
        <v>0</v>
      </c>
      <c r="CU53" s="40"/>
      <c r="CV53" s="39"/>
      <c r="CZ53" s="44">
        <v>0</v>
      </c>
      <c r="DA53" s="40"/>
      <c r="DB53" s="41">
        <v>152</v>
      </c>
      <c r="DC53">
        <v>150</v>
      </c>
      <c r="DD53">
        <v>191</v>
      </c>
      <c r="DE53">
        <v>180</v>
      </c>
      <c r="DF53" s="44">
        <v>13</v>
      </c>
      <c r="DG53" s="40"/>
      <c r="DJ53">
        <v>82</v>
      </c>
      <c r="DK53">
        <v>80</v>
      </c>
      <c r="DN53" s="44">
        <v>2</v>
      </c>
      <c r="DO53" s="40"/>
      <c r="DP53" s="39"/>
      <c r="DR53" s="44">
        <v>0</v>
      </c>
      <c r="DS53" s="40"/>
      <c r="DT53" s="41">
        <v>103</v>
      </c>
      <c r="DU53">
        <v>100</v>
      </c>
      <c r="DV53">
        <v>240</v>
      </c>
      <c r="DW53">
        <v>230</v>
      </c>
      <c r="DX53" s="44">
        <v>13</v>
      </c>
      <c r="DY53" s="40"/>
      <c r="DZ53" s="41">
        <v>118</v>
      </c>
      <c r="EA53">
        <v>110</v>
      </c>
      <c r="EB53" s="44">
        <v>8</v>
      </c>
      <c r="EC53" s="40"/>
      <c r="EG53">
        <v>33</v>
      </c>
      <c r="EH53">
        <v>30</v>
      </c>
      <c r="EK53" s="44">
        <v>3</v>
      </c>
      <c r="EL53" s="40"/>
      <c r="EN53">
        <v>105</v>
      </c>
      <c r="EO53">
        <v>100</v>
      </c>
      <c r="EQ53">
        <v>140</v>
      </c>
      <c r="ER53">
        <v>130</v>
      </c>
      <c r="ES53" s="44">
        <v>15</v>
      </c>
      <c r="ET53" s="40"/>
      <c r="EU53" s="41">
        <v>53</v>
      </c>
      <c r="EV53">
        <v>50</v>
      </c>
      <c r="EW53">
        <v>129</v>
      </c>
      <c r="EX53">
        <v>121</v>
      </c>
      <c r="EY53" s="44">
        <v>11</v>
      </c>
      <c r="EZ53" s="40"/>
      <c r="FA53" s="39"/>
      <c r="FB53">
        <v>137</v>
      </c>
      <c r="FC53">
        <v>133</v>
      </c>
      <c r="FD53" s="44">
        <v>4</v>
      </c>
      <c r="FE53" s="40"/>
      <c r="FH53" s="44">
        <v>0</v>
      </c>
      <c r="FI53" s="40"/>
      <c r="FJ53" s="41">
        <v>74</v>
      </c>
      <c r="FK53">
        <v>70</v>
      </c>
      <c r="FL53">
        <v>51</v>
      </c>
      <c r="FN53">
        <v>50</v>
      </c>
      <c r="FO53">
        <v>102</v>
      </c>
      <c r="FP53">
        <v>100</v>
      </c>
      <c r="FQ53" s="44">
        <v>7</v>
      </c>
      <c r="FR53" s="40"/>
      <c r="FS53">
        <v>50</v>
      </c>
      <c r="FT53">
        <v>50</v>
      </c>
      <c r="FU53">
        <v>62</v>
      </c>
      <c r="FV53">
        <v>60</v>
      </c>
      <c r="FW53" s="44">
        <v>2</v>
      </c>
      <c r="FX53" s="40"/>
      <c r="FY53" s="39"/>
      <c r="GA53">
        <v>193</v>
      </c>
      <c r="GB53">
        <v>190</v>
      </c>
      <c r="GC53" s="44">
        <v>3</v>
      </c>
      <c r="GD53" s="40"/>
      <c r="GG53">
        <v>97</v>
      </c>
      <c r="GH53">
        <v>90</v>
      </c>
      <c r="GI53" s="44">
        <v>7</v>
      </c>
      <c r="GJ53" s="40"/>
      <c r="GK53">
        <v>98</v>
      </c>
      <c r="GL53" s="47">
        <v>94.372</v>
      </c>
      <c r="GM53" s="44">
        <v>3.6280000000000001</v>
      </c>
      <c r="GN53" s="40"/>
      <c r="GO53" s="39"/>
      <c r="GQ53" s="44">
        <v>0</v>
      </c>
      <c r="GR53" s="40"/>
      <c r="GS53">
        <v>146</v>
      </c>
      <c r="GT53">
        <v>150</v>
      </c>
      <c r="GV53">
        <v>155</v>
      </c>
      <c r="GW53">
        <v>160</v>
      </c>
      <c r="GX53" s="44">
        <v>-9</v>
      </c>
      <c r="GY53" s="40"/>
      <c r="HD53" s="44">
        <v>0</v>
      </c>
      <c r="HE53" s="40"/>
      <c r="HF53" s="41">
        <v>150</v>
      </c>
      <c r="HG53">
        <v>150</v>
      </c>
      <c r="HH53">
        <v>119</v>
      </c>
      <c r="HI53">
        <v>120</v>
      </c>
      <c r="HJ53" s="44">
        <v>-1</v>
      </c>
      <c r="HK53" s="40"/>
      <c r="HL53" s="39"/>
      <c r="HN53">
        <v>77</v>
      </c>
      <c r="HO53">
        <v>70</v>
      </c>
      <c r="HP53" s="44">
        <v>7</v>
      </c>
      <c r="HQ53" s="40"/>
      <c r="HT53">
        <v>181</v>
      </c>
      <c r="HU53">
        <v>180</v>
      </c>
      <c r="HV53" s="44">
        <v>1</v>
      </c>
      <c r="HW53" s="43"/>
      <c r="HX53">
        <v>101</v>
      </c>
      <c r="HY53">
        <v>100</v>
      </c>
      <c r="HZ53">
        <v>111</v>
      </c>
      <c r="IA53">
        <v>110</v>
      </c>
      <c r="IB53" s="44">
        <v>2</v>
      </c>
      <c r="IC53" s="43"/>
      <c r="ID53">
        <v>62</v>
      </c>
      <c r="IE53">
        <v>60</v>
      </c>
      <c r="IH53" s="44">
        <v>2</v>
      </c>
      <c r="II53" s="43"/>
      <c r="IJ53">
        <v>243</v>
      </c>
      <c r="IK53">
        <v>250</v>
      </c>
      <c r="IL53">
        <v>200</v>
      </c>
      <c r="IM53">
        <v>200</v>
      </c>
      <c r="IN53" s="44">
        <v>-7</v>
      </c>
      <c r="IO53" s="40"/>
      <c r="IP53">
        <v>200</v>
      </c>
      <c r="IQ53">
        <v>203</v>
      </c>
      <c r="IR53" s="44">
        <v>-3</v>
      </c>
      <c r="IS53" s="40"/>
      <c r="IT53">
        <v>81</v>
      </c>
      <c r="IU53">
        <v>80</v>
      </c>
      <c r="IX53" s="44">
        <v>1</v>
      </c>
      <c r="IY53" s="43"/>
      <c r="IZ53">
        <v>110</v>
      </c>
      <c r="JA53" s="47">
        <v>110</v>
      </c>
      <c r="JB53" s="44">
        <v>0</v>
      </c>
      <c r="JC53" s="40"/>
      <c r="JF53">
        <v>19</v>
      </c>
      <c r="JG53">
        <v>21</v>
      </c>
      <c r="JH53" s="44">
        <v>-2</v>
      </c>
      <c r="JI53" s="40"/>
      <c r="JJ53">
        <v>100</v>
      </c>
      <c r="JK53">
        <v>100</v>
      </c>
      <c r="JL53">
        <v>120</v>
      </c>
      <c r="JM53">
        <v>120</v>
      </c>
      <c r="JN53" s="44">
        <v>0</v>
      </c>
      <c r="JO53" s="43"/>
      <c r="JP53">
        <v>100</v>
      </c>
      <c r="JQ53">
        <v>100</v>
      </c>
      <c r="JR53">
        <v>164</v>
      </c>
      <c r="JS53">
        <v>160</v>
      </c>
      <c r="JT53" s="44">
        <v>4</v>
      </c>
      <c r="JU53" s="43"/>
      <c r="JV53">
        <v>29</v>
      </c>
      <c r="JW53">
        <v>30</v>
      </c>
      <c r="JZ53" s="44">
        <v>-1</v>
      </c>
      <c r="KA53" s="43"/>
      <c r="KB53" s="41">
        <v>82</v>
      </c>
      <c r="KC53">
        <v>80</v>
      </c>
      <c r="KE53">
        <v>163</v>
      </c>
      <c r="KF53">
        <v>160</v>
      </c>
      <c r="KG53">
        <v>105</v>
      </c>
      <c r="KH53">
        <v>105</v>
      </c>
      <c r="KI53" s="44">
        <v>5</v>
      </c>
      <c r="KJ53" s="43"/>
      <c r="KK53" s="47">
        <v>0</v>
      </c>
      <c r="KL53" s="47">
        <v>0</v>
      </c>
      <c r="KM53" s="47">
        <v>0</v>
      </c>
      <c r="KN53" s="47">
        <v>0</v>
      </c>
      <c r="KO53" s="44">
        <v>0</v>
      </c>
      <c r="KP53" s="43"/>
      <c r="KQ53" s="47">
        <v>0</v>
      </c>
      <c r="KR53" s="47">
        <v>0</v>
      </c>
      <c r="KS53" s="47">
        <v>216.887</v>
      </c>
      <c r="KT53" s="47">
        <v>220</v>
      </c>
      <c r="KU53" s="44">
        <v>-3.113</v>
      </c>
      <c r="KV53" s="43"/>
      <c r="KW53" s="42">
        <v>90.984999999999999</v>
      </c>
      <c r="KX53" s="47">
        <v>90</v>
      </c>
      <c r="KY53" s="44">
        <v>0.98499999999999943</v>
      </c>
      <c r="KZ53" s="43"/>
      <c r="LA53" s="42">
        <v>0</v>
      </c>
      <c r="LB53" s="47">
        <v>0</v>
      </c>
      <c r="LC53" s="47">
        <v>0</v>
      </c>
      <c r="LD53" s="47">
        <v>0</v>
      </c>
      <c r="LE53" s="44">
        <v>0</v>
      </c>
      <c r="LF53" s="43"/>
      <c r="LG53" s="42">
        <v>71.400000000000006</v>
      </c>
      <c r="LH53" s="47">
        <v>70</v>
      </c>
      <c r="LI53" s="47">
        <v>72.75</v>
      </c>
      <c r="LJ53" s="47">
        <v>70</v>
      </c>
      <c r="LK53" s="44">
        <v>4.1500000000000057</v>
      </c>
      <c r="LL53" s="43"/>
      <c r="LM53" s="42">
        <v>164.32400000000001</v>
      </c>
      <c r="LN53" s="47">
        <v>160</v>
      </c>
      <c r="LO53" s="44">
        <v>4.3240000000000123</v>
      </c>
      <c r="LP53" s="43"/>
      <c r="LQ53" s="42">
        <v>0</v>
      </c>
      <c r="LR53" s="47">
        <v>0</v>
      </c>
      <c r="LS53" s="47">
        <v>0</v>
      </c>
      <c r="LT53" s="47">
        <v>0</v>
      </c>
      <c r="LU53" s="44">
        <v>0</v>
      </c>
      <c r="LV53" s="43"/>
      <c r="LW53" s="42">
        <v>28.893000000000001</v>
      </c>
      <c r="LX53" s="47">
        <v>30</v>
      </c>
      <c r="LY53" s="47">
        <v>0</v>
      </c>
      <c r="LZ53" s="47">
        <v>0</v>
      </c>
      <c r="MA53" s="44">
        <v>-1.1069999999999991</v>
      </c>
      <c r="MB53" s="43"/>
      <c r="MC53" s="42">
        <v>38.401000000000003</v>
      </c>
      <c r="MD53" s="47">
        <v>40</v>
      </c>
      <c r="ME53" s="47">
        <v>211.898</v>
      </c>
      <c r="MF53" s="47">
        <v>210</v>
      </c>
      <c r="MG53" s="44">
        <v>0.29900000000000659</v>
      </c>
      <c r="MH53" s="43"/>
      <c r="MI53" s="42">
        <v>0</v>
      </c>
      <c r="MJ53" s="47">
        <v>0</v>
      </c>
      <c r="MK53" s="47">
        <v>0</v>
      </c>
      <c r="ML53" s="47">
        <v>0</v>
      </c>
      <c r="MM53" s="44">
        <v>0</v>
      </c>
      <c r="MN53" s="43"/>
      <c r="MO53" s="42">
        <v>0</v>
      </c>
      <c r="MP53" s="47">
        <v>0</v>
      </c>
      <c r="MQ53" s="47">
        <v>109.255</v>
      </c>
      <c r="MR53" s="47">
        <v>110</v>
      </c>
      <c r="MS53" s="44">
        <v>-0.74500000000000455</v>
      </c>
      <c r="MT53" s="43"/>
      <c r="MU53" s="42">
        <v>51.908999999999999</v>
      </c>
      <c r="MV53" s="47">
        <v>30</v>
      </c>
      <c r="MW53" s="47">
        <v>52.607999999999997</v>
      </c>
      <c r="MX53" s="47">
        <v>50</v>
      </c>
      <c r="MY53" s="44">
        <v>24.516999999999999</v>
      </c>
      <c r="MZ53" s="43"/>
      <c r="NA53" s="42">
        <v>81.524000000000001</v>
      </c>
      <c r="NB53" s="47">
        <v>80</v>
      </c>
      <c r="NC53" s="47">
        <v>151.98099999999999</v>
      </c>
      <c r="ND53" s="47">
        <v>150</v>
      </c>
      <c r="NE53" s="44">
        <v>3.504999999999995</v>
      </c>
      <c r="NF53" s="43"/>
      <c r="NG53" s="42">
        <v>0</v>
      </c>
      <c r="NH53" s="47">
        <v>0</v>
      </c>
      <c r="NI53" s="47">
        <v>100.17400000000001</v>
      </c>
      <c r="NJ53" s="47">
        <v>100</v>
      </c>
      <c r="NK53" s="44">
        <v>0.17400000000000659</v>
      </c>
      <c r="NL53" s="43"/>
      <c r="NM53" s="42">
        <v>0</v>
      </c>
      <c r="NN53" s="47">
        <v>0</v>
      </c>
      <c r="NO53" s="47">
        <v>100.56399999999999</v>
      </c>
      <c r="NP53" s="47">
        <v>100</v>
      </c>
      <c r="NQ53" s="44">
        <v>0.56399999999999295</v>
      </c>
      <c r="NR53" s="43"/>
      <c r="NS53" s="42">
        <v>152.26499999999999</v>
      </c>
      <c r="NT53" s="47">
        <v>150</v>
      </c>
      <c r="NU53" s="47">
        <v>200.483</v>
      </c>
      <c r="NV53" s="47">
        <v>200</v>
      </c>
      <c r="NW53" s="44">
        <v>2.74799999999999</v>
      </c>
      <c r="NX53" s="43"/>
      <c r="NY53" s="42">
        <v>0</v>
      </c>
      <c r="NZ53" s="47">
        <v>0</v>
      </c>
      <c r="OA53" s="47">
        <v>118.06</v>
      </c>
      <c r="OB53" s="47">
        <v>120</v>
      </c>
      <c r="OC53" s="44">
        <v>-1.9399999999999979</v>
      </c>
      <c r="OD53" s="43"/>
      <c r="OE53" s="42">
        <v>61.773000000000003</v>
      </c>
      <c r="OF53" s="47">
        <v>60</v>
      </c>
      <c r="OG53" s="47">
        <v>59.511000000000003</v>
      </c>
      <c r="OH53" s="47">
        <v>60</v>
      </c>
      <c r="OI53" s="44">
        <v>1.284000000000006</v>
      </c>
      <c r="OJ53" s="43"/>
      <c r="OK53" s="42">
        <v>71.364000000000004</v>
      </c>
      <c r="OL53" s="47">
        <v>70</v>
      </c>
      <c r="OM53" s="47">
        <v>80.570999999999998</v>
      </c>
      <c r="ON53" s="47">
        <v>80</v>
      </c>
      <c r="OO53" s="44">
        <v>1.9350000000000021</v>
      </c>
      <c r="OP53" s="43"/>
      <c r="OQ53" s="42">
        <v>211.03200000000001</v>
      </c>
      <c r="OR53" s="47">
        <v>210</v>
      </c>
      <c r="OS53" s="47">
        <v>156.60300000000001</v>
      </c>
      <c r="OT53" s="47">
        <v>157</v>
      </c>
      <c r="OU53" s="44">
        <v>0.63499999999999091</v>
      </c>
      <c r="OV53" s="43"/>
      <c r="OW53" s="42">
        <v>28.553000000000001</v>
      </c>
      <c r="OX53" s="47">
        <v>0</v>
      </c>
      <c r="OY53" s="47">
        <v>37.817999999999998</v>
      </c>
      <c r="OZ53" s="47">
        <v>40</v>
      </c>
      <c r="PA53" s="44">
        <v>26.370999999999999</v>
      </c>
      <c r="PB53" s="43"/>
      <c r="PC53" s="42">
        <v>0</v>
      </c>
      <c r="PD53" s="47">
        <v>0</v>
      </c>
      <c r="PE53" s="47">
        <v>100.401</v>
      </c>
      <c r="PF53" s="47">
        <v>100</v>
      </c>
      <c r="PG53" s="44">
        <v>0.40099999999999619</v>
      </c>
      <c r="PH53" s="43"/>
      <c r="PI53" s="42">
        <v>150.87100000000001</v>
      </c>
      <c r="PJ53" s="47">
        <v>150</v>
      </c>
      <c r="PK53" s="47">
        <v>157.73500000000001</v>
      </c>
      <c r="PL53" s="47">
        <v>158</v>
      </c>
      <c r="PM53" s="44">
        <v>0.60599999999999454</v>
      </c>
      <c r="PN53" s="43"/>
      <c r="PO53" s="42">
        <v>52.140999999999998</v>
      </c>
      <c r="PP53" s="47">
        <v>50</v>
      </c>
      <c r="PQ53" s="47">
        <v>0</v>
      </c>
      <c r="PR53" s="47">
        <v>0</v>
      </c>
      <c r="PS53" s="44">
        <v>2.1409999999999978</v>
      </c>
      <c r="PT53" s="43"/>
      <c r="PU53" s="42">
        <v>0</v>
      </c>
      <c r="PV53" s="47">
        <v>70</v>
      </c>
      <c r="PW53" s="47">
        <v>65.8</v>
      </c>
      <c r="PX53" s="47">
        <v>80</v>
      </c>
      <c r="PY53" s="46">
        <v>-84.2</v>
      </c>
      <c r="PZ53" s="43">
        <v>84.2</v>
      </c>
      <c r="QA53" s="42">
        <v>190.44800000000001</v>
      </c>
      <c r="QB53" s="47">
        <v>190</v>
      </c>
      <c r="QC53" s="44">
        <v>0.4480000000000075</v>
      </c>
      <c r="QD53" s="43"/>
      <c r="QE53" s="42">
        <v>100.026</v>
      </c>
      <c r="QF53" s="47">
        <v>100</v>
      </c>
      <c r="QG53" s="44">
        <v>2.5999999999996248E-2</v>
      </c>
      <c r="QH53" s="43"/>
      <c r="QI53" s="42">
        <v>53.012999999999998</v>
      </c>
      <c r="QJ53" s="47">
        <v>50</v>
      </c>
      <c r="QK53" s="44">
        <v>3.0129999999999981</v>
      </c>
      <c r="QL53" s="43"/>
      <c r="QM53" s="42">
        <v>0</v>
      </c>
      <c r="QN53" s="47">
        <v>0</v>
      </c>
      <c r="QO53" s="47">
        <v>0</v>
      </c>
      <c r="QP53" s="47">
        <v>0</v>
      </c>
      <c r="QQ53" s="44">
        <v>0</v>
      </c>
      <c r="QR53" s="43"/>
      <c r="QS53" s="42">
        <v>0</v>
      </c>
      <c r="QT53" s="47">
        <v>0</v>
      </c>
      <c r="QU53" s="44">
        <v>0</v>
      </c>
      <c r="QV53" s="43"/>
      <c r="QW53" s="42">
        <v>200.38800000000001</v>
      </c>
      <c r="QX53" s="47">
        <v>200</v>
      </c>
      <c r="QY53" s="44">
        <v>0.38800000000000517</v>
      </c>
      <c r="QZ53" s="43"/>
    </row>
    <row r="54" spans="1:468" x14ac:dyDescent="0.25">
      <c r="A54" s="47" t="s">
        <v>338</v>
      </c>
      <c r="B54" s="38">
        <v>1</v>
      </c>
      <c r="N54" s="39"/>
      <c r="O54" s="48"/>
      <c r="P54" s="48"/>
      <c r="Q54" s="48"/>
      <c r="R54" s="48">
        <f t="shared" si="8"/>
        <v>0</v>
      </c>
      <c r="S54" s="40"/>
      <c r="T54" s="39"/>
      <c r="U54" s="48"/>
      <c r="V54" s="48">
        <f t="shared" si="9"/>
        <v>0</v>
      </c>
      <c r="W54" s="40"/>
      <c r="X54" s="39"/>
      <c r="Y54" s="48"/>
      <c r="Z54" s="48"/>
      <c r="AA54" s="48"/>
      <c r="AB54" s="48">
        <f t="shared" si="10"/>
        <v>0</v>
      </c>
      <c r="AC54" s="40"/>
      <c r="AD54" s="48"/>
      <c r="AH54" s="44">
        <v>0</v>
      </c>
      <c r="AI54" s="40"/>
      <c r="AN54" s="44">
        <v>0</v>
      </c>
      <c r="AO54" s="40"/>
      <c r="AT54" s="44">
        <v>0</v>
      </c>
      <c r="AU54" s="40"/>
      <c r="AV54" s="39"/>
      <c r="AX54" s="44">
        <v>0</v>
      </c>
      <c r="AY54" s="40"/>
      <c r="AZ54" s="39"/>
      <c r="BB54" s="44">
        <v>0</v>
      </c>
      <c r="BC54" s="40"/>
      <c r="BH54" s="44">
        <v>0</v>
      </c>
      <c r="BI54" s="40"/>
      <c r="BL54" s="44">
        <v>0</v>
      </c>
      <c r="BM54" s="40"/>
      <c r="BN54" s="39"/>
      <c r="BR54" s="44">
        <v>0</v>
      </c>
      <c r="BS54" s="40"/>
      <c r="BV54" s="44">
        <v>0</v>
      </c>
      <c r="BW54" s="40"/>
      <c r="BX54" s="39"/>
      <c r="BZ54" s="44">
        <v>0</v>
      </c>
      <c r="CA54" s="40"/>
      <c r="CB54" s="39"/>
      <c r="CH54" s="44">
        <v>0</v>
      </c>
      <c r="CI54" s="40"/>
      <c r="CN54" s="44">
        <v>0</v>
      </c>
      <c r="CO54" s="40"/>
      <c r="CP54" s="39"/>
      <c r="CT54" s="44">
        <v>0</v>
      </c>
      <c r="CU54" s="40"/>
      <c r="CV54" s="39"/>
      <c r="CZ54" s="44">
        <v>0</v>
      </c>
      <c r="DA54" s="40"/>
      <c r="DB54" s="39"/>
      <c r="DF54" s="44">
        <v>0</v>
      </c>
      <c r="DG54" s="40"/>
      <c r="DN54" s="44">
        <v>0</v>
      </c>
      <c r="DO54" s="40"/>
      <c r="DP54" s="39"/>
      <c r="DR54" s="44">
        <v>0</v>
      </c>
      <c r="DS54" s="40"/>
      <c r="DT54" s="39"/>
      <c r="DX54" s="44">
        <v>0</v>
      </c>
      <c r="DY54" s="40"/>
      <c r="DZ54" s="39"/>
      <c r="EB54" s="44">
        <v>0</v>
      </c>
      <c r="EC54" s="40"/>
      <c r="EK54" s="44">
        <v>0</v>
      </c>
      <c r="EL54" s="40"/>
      <c r="ES54" s="44">
        <v>0</v>
      </c>
      <c r="ET54" s="40"/>
      <c r="EU54" s="39"/>
      <c r="EY54" s="44">
        <v>0</v>
      </c>
      <c r="EZ54" s="40"/>
      <c r="FA54" s="39"/>
      <c r="FD54" s="44">
        <v>0</v>
      </c>
      <c r="FE54" s="40"/>
      <c r="FH54" s="44">
        <v>0</v>
      </c>
      <c r="FI54" s="40"/>
      <c r="FJ54" s="39"/>
      <c r="FQ54" s="44">
        <v>0</v>
      </c>
      <c r="FR54" s="40"/>
      <c r="FW54" s="44">
        <v>0</v>
      </c>
      <c r="FX54" s="40"/>
      <c r="FY54" s="39"/>
      <c r="GC54" s="44">
        <v>0</v>
      </c>
      <c r="GD54" s="40"/>
      <c r="GI54" s="44">
        <v>0</v>
      </c>
      <c r="GJ54" s="40"/>
      <c r="GM54" s="44">
        <v>0</v>
      </c>
      <c r="GN54" s="40"/>
      <c r="GO54" s="39"/>
      <c r="GQ54" s="44">
        <v>0</v>
      </c>
      <c r="GR54" s="40"/>
      <c r="GX54" s="44">
        <v>0</v>
      </c>
      <c r="GY54" s="40"/>
      <c r="HD54" s="44">
        <v>0</v>
      </c>
      <c r="HE54" s="40"/>
      <c r="HF54" s="39"/>
      <c r="HJ54" s="44">
        <v>0</v>
      </c>
      <c r="HK54" s="40"/>
      <c r="HL54" s="39"/>
      <c r="HP54" s="44">
        <v>0</v>
      </c>
      <c r="HQ54" s="40"/>
      <c r="HV54" s="44">
        <v>0</v>
      </c>
      <c r="HW54" s="43"/>
      <c r="IB54" s="44">
        <v>0</v>
      </c>
      <c r="IC54" s="43"/>
      <c r="IH54" s="44">
        <v>0</v>
      </c>
      <c r="II54" s="43"/>
      <c r="IN54" s="44">
        <v>0</v>
      </c>
      <c r="IO54" s="40"/>
      <c r="IR54" s="44">
        <v>0</v>
      </c>
      <c r="IS54" s="40"/>
      <c r="IX54" s="44">
        <v>0</v>
      </c>
      <c r="IY54" s="43"/>
      <c r="JB54" s="44">
        <v>0</v>
      </c>
      <c r="JC54" s="40"/>
      <c r="JH54" s="44">
        <v>0</v>
      </c>
      <c r="JI54" s="40"/>
      <c r="JN54" s="44">
        <v>0</v>
      </c>
      <c r="JO54" s="43"/>
      <c r="JT54" s="44">
        <v>0</v>
      </c>
      <c r="JU54" s="43"/>
      <c r="JZ54" s="44">
        <v>0</v>
      </c>
      <c r="KA54" s="43"/>
      <c r="KB54" s="42"/>
      <c r="KI54" s="44">
        <v>0</v>
      </c>
      <c r="KJ54" s="43"/>
      <c r="KK54" s="47">
        <v>0</v>
      </c>
      <c r="KL54" s="47">
        <v>0</v>
      </c>
      <c r="KM54" s="47">
        <v>0</v>
      </c>
      <c r="KN54" s="47">
        <v>0</v>
      </c>
      <c r="KO54" s="44">
        <v>0</v>
      </c>
      <c r="KP54" s="43"/>
      <c r="KQ54" s="47">
        <v>0</v>
      </c>
      <c r="KR54" s="47">
        <v>0</v>
      </c>
      <c r="KS54" s="47">
        <v>0</v>
      </c>
      <c r="KT54" s="47">
        <v>0</v>
      </c>
      <c r="KU54" s="44">
        <v>0</v>
      </c>
      <c r="KV54" s="43"/>
      <c r="KW54" s="42">
        <v>0</v>
      </c>
      <c r="KX54" s="47">
        <v>0</v>
      </c>
      <c r="KY54" s="44">
        <v>0</v>
      </c>
      <c r="KZ54" s="43"/>
      <c r="LA54" s="42">
        <v>0</v>
      </c>
      <c r="LB54" s="47">
        <v>0</v>
      </c>
      <c r="LC54" s="47">
        <v>0</v>
      </c>
      <c r="LD54" s="47">
        <v>0</v>
      </c>
      <c r="LE54" s="44">
        <v>0</v>
      </c>
      <c r="LF54" s="43"/>
      <c r="LG54" s="42">
        <v>0</v>
      </c>
      <c r="LH54" s="47">
        <v>0</v>
      </c>
      <c r="LI54" s="47">
        <v>0</v>
      </c>
      <c r="LJ54" s="47">
        <v>0</v>
      </c>
      <c r="LK54" s="44">
        <v>0</v>
      </c>
      <c r="LL54" s="43"/>
      <c r="LM54" s="42">
        <v>0</v>
      </c>
      <c r="LN54" s="47">
        <v>0</v>
      </c>
      <c r="LO54" s="44">
        <v>0</v>
      </c>
      <c r="LP54" s="43"/>
      <c r="LQ54" s="42">
        <v>0</v>
      </c>
      <c r="LR54" s="47">
        <v>0</v>
      </c>
      <c r="LS54" s="47">
        <v>0</v>
      </c>
      <c r="LT54" s="47">
        <v>0</v>
      </c>
      <c r="LU54" s="44">
        <v>0</v>
      </c>
      <c r="LV54" s="43"/>
      <c r="LW54" s="42">
        <v>0</v>
      </c>
      <c r="LX54" s="47">
        <v>0</v>
      </c>
      <c r="LY54" s="47">
        <v>0</v>
      </c>
      <c r="LZ54" s="47">
        <v>0</v>
      </c>
      <c r="MA54" s="44">
        <v>0</v>
      </c>
      <c r="MB54" s="43"/>
      <c r="MC54" s="42">
        <v>0</v>
      </c>
      <c r="MD54" s="47">
        <v>0</v>
      </c>
      <c r="ME54" s="47">
        <v>0</v>
      </c>
      <c r="MF54" s="47">
        <v>0</v>
      </c>
      <c r="MG54" s="44">
        <v>0</v>
      </c>
      <c r="MH54" s="43"/>
      <c r="MI54" s="42">
        <v>0</v>
      </c>
      <c r="MJ54" s="47">
        <v>0</v>
      </c>
      <c r="MK54" s="47">
        <v>0</v>
      </c>
      <c r="ML54" s="47">
        <v>0</v>
      </c>
      <c r="MM54" s="44">
        <v>0</v>
      </c>
      <c r="MN54" s="43"/>
      <c r="MO54" s="42">
        <v>0</v>
      </c>
      <c r="MP54" s="47">
        <v>0</v>
      </c>
      <c r="MQ54" s="47">
        <v>0</v>
      </c>
      <c r="MR54" s="47">
        <v>0</v>
      </c>
      <c r="MS54" s="44">
        <v>0</v>
      </c>
      <c r="MT54" s="43"/>
      <c r="MU54" s="42">
        <v>0</v>
      </c>
      <c r="MV54" s="47">
        <v>0</v>
      </c>
      <c r="MW54" s="47">
        <v>0</v>
      </c>
      <c r="MX54" s="47">
        <v>0</v>
      </c>
      <c r="MY54" s="44">
        <v>0</v>
      </c>
      <c r="MZ54" s="43"/>
      <c r="NA54" s="42">
        <v>0</v>
      </c>
      <c r="NB54" s="47">
        <v>0</v>
      </c>
      <c r="NC54" s="47">
        <v>0</v>
      </c>
      <c r="ND54" s="47">
        <v>0</v>
      </c>
      <c r="NE54" s="44">
        <v>0</v>
      </c>
      <c r="NF54" s="43"/>
      <c r="NG54" s="42">
        <v>0</v>
      </c>
      <c r="NH54" s="47">
        <v>0</v>
      </c>
      <c r="NI54" s="47">
        <v>0</v>
      </c>
      <c r="NJ54" s="47">
        <v>0</v>
      </c>
      <c r="NK54" s="44">
        <v>0</v>
      </c>
      <c r="NL54" s="43"/>
      <c r="NM54" s="42">
        <v>0</v>
      </c>
      <c r="NN54" s="47">
        <v>0</v>
      </c>
      <c r="NO54" s="47">
        <v>0</v>
      </c>
      <c r="NP54" s="47">
        <v>0</v>
      </c>
      <c r="NQ54" s="44">
        <v>0</v>
      </c>
      <c r="NR54" s="43"/>
      <c r="NS54" s="42">
        <v>0</v>
      </c>
      <c r="NT54" s="47">
        <v>0</v>
      </c>
      <c r="NU54" s="47">
        <v>0</v>
      </c>
      <c r="NV54" s="47">
        <v>0</v>
      </c>
      <c r="NW54" s="44">
        <v>0</v>
      </c>
      <c r="NX54" s="43"/>
      <c r="NY54" s="42">
        <v>0</v>
      </c>
      <c r="NZ54" s="47">
        <v>0</v>
      </c>
      <c r="OA54" s="47">
        <v>0</v>
      </c>
      <c r="OB54" s="47">
        <v>0</v>
      </c>
      <c r="OC54" s="44">
        <v>0</v>
      </c>
      <c r="OD54" s="43"/>
      <c r="OE54" s="42">
        <v>0</v>
      </c>
      <c r="OF54" s="47">
        <v>0</v>
      </c>
      <c r="OG54" s="47">
        <v>0</v>
      </c>
      <c r="OH54" s="47">
        <v>0</v>
      </c>
      <c r="OI54" s="44">
        <v>0</v>
      </c>
      <c r="OJ54" s="43"/>
      <c r="OK54" s="42">
        <v>0</v>
      </c>
      <c r="OL54" s="47">
        <v>0</v>
      </c>
      <c r="OM54" s="47">
        <v>0</v>
      </c>
      <c r="ON54" s="47">
        <v>0</v>
      </c>
      <c r="OO54" s="44">
        <v>0</v>
      </c>
      <c r="OP54" s="43"/>
      <c r="OQ54" s="42">
        <v>0</v>
      </c>
      <c r="OR54" s="47">
        <v>0</v>
      </c>
      <c r="OS54" s="47">
        <v>0</v>
      </c>
      <c r="OT54" s="47">
        <v>0</v>
      </c>
      <c r="OU54" s="44">
        <v>0</v>
      </c>
      <c r="OV54" s="43"/>
      <c r="OW54" s="42">
        <v>0</v>
      </c>
      <c r="OX54" s="47">
        <v>0</v>
      </c>
      <c r="OY54" s="47">
        <v>0</v>
      </c>
      <c r="OZ54" s="47">
        <v>0</v>
      </c>
      <c r="PA54" s="44">
        <v>0</v>
      </c>
      <c r="PB54" s="43"/>
      <c r="PC54" s="42">
        <v>0</v>
      </c>
      <c r="PD54" s="47">
        <v>0</v>
      </c>
      <c r="PE54" s="47">
        <v>0</v>
      </c>
      <c r="PF54" s="47">
        <v>0</v>
      </c>
      <c r="PG54" s="44">
        <v>0</v>
      </c>
      <c r="PH54" s="43"/>
      <c r="PI54" s="42">
        <v>0</v>
      </c>
      <c r="PJ54" s="47">
        <v>0</v>
      </c>
      <c r="PK54" s="47">
        <v>0</v>
      </c>
      <c r="PL54" s="47">
        <v>0</v>
      </c>
      <c r="PM54" s="44">
        <v>0</v>
      </c>
      <c r="PN54" s="43"/>
      <c r="PO54" s="42">
        <v>0</v>
      </c>
      <c r="PP54" s="26">
        <v>125</v>
      </c>
      <c r="PQ54" s="47">
        <v>0</v>
      </c>
      <c r="PR54" s="47">
        <v>0</v>
      </c>
      <c r="PS54" s="46">
        <v>-125</v>
      </c>
      <c r="PT54" s="43">
        <v>125</v>
      </c>
      <c r="PU54" s="42">
        <v>0</v>
      </c>
      <c r="PV54" s="47">
        <v>50</v>
      </c>
      <c r="PW54" s="47">
        <v>0</v>
      </c>
      <c r="PX54" s="47">
        <v>50</v>
      </c>
      <c r="PY54" s="46">
        <v>-100</v>
      </c>
      <c r="PZ54" s="43">
        <v>100</v>
      </c>
      <c r="QA54" s="42">
        <v>0</v>
      </c>
      <c r="QB54" s="47">
        <v>0</v>
      </c>
      <c r="QC54" s="44">
        <v>0</v>
      </c>
      <c r="QD54" s="43"/>
      <c r="QE54" s="42">
        <v>0</v>
      </c>
      <c r="QF54" s="47">
        <v>0</v>
      </c>
      <c r="QG54" s="44">
        <v>0</v>
      </c>
      <c r="QH54" s="43"/>
      <c r="QI54" s="42">
        <v>41.384</v>
      </c>
      <c r="QJ54" s="47">
        <v>40</v>
      </c>
      <c r="QK54" s="44">
        <v>1.3839999999999999</v>
      </c>
      <c r="QL54" s="43"/>
      <c r="QM54" s="42">
        <v>102.06</v>
      </c>
      <c r="QN54" s="47">
        <v>100</v>
      </c>
      <c r="QO54" s="47">
        <v>150.31200000000001</v>
      </c>
      <c r="QP54" s="47">
        <v>150</v>
      </c>
      <c r="QQ54" s="44">
        <v>2.3720000000000141</v>
      </c>
      <c r="QR54" s="43"/>
      <c r="QS54" s="42">
        <v>0</v>
      </c>
      <c r="QT54" s="47">
        <v>0</v>
      </c>
      <c r="QU54" s="44">
        <v>0</v>
      </c>
      <c r="QV54" s="43"/>
      <c r="QW54" s="42">
        <v>91.76</v>
      </c>
      <c r="QX54" s="47">
        <v>94</v>
      </c>
      <c r="QY54" s="44">
        <v>-2.2399999999999949</v>
      </c>
      <c r="QZ54" s="43"/>
    </row>
    <row r="55" spans="1:468" x14ac:dyDescent="0.25">
      <c r="A55" s="47" t="s">
        <v>339</v>
      </c>
      <c r="B55" s="38">
        <v>0.4</v>
      </c>
      <c r="E55">
        <v>65</v>
      </c>
      <c r="F55">
        <v>65</v>
      </c>
      <c r="J55">
        <v>16</v>
      </c>
      <c r="K55">
        <v>16</v>
      </c>
      <c r="N55" s="41">
        <v>40</v>
      </c>
      <c r="O55" s="49">
        <v>40</v>
      </c>
      <c r="P55" s="48"/>
      <c r="Q55" s="48"/>
      <c r="R55" s="48">
        <f t="shared" si="8"/>
        <v>0</v>
      </c>
      <c r="S55" s="40"/>
      <c r="T55" s="41">
        <v>128</v>
      </c>
      <c r="U55" s="49">
        <v>131</v>
      </c>
      <c r="V55" s="48">
        <f t="shared" si="9"/>
        <v>-3</v>
      </c>
      <c r="W55" s="40"/>
      <c r="X55" s="39"/>
      <c r="Y55" s="48"/>
      <c r="Z55" s="48"/>
      <c r="AA55" s="48"/>
      <c r="AB55" s="48">
        <f t="shared" si="10"/>
        <v>0</v>
      </c>
      <c r="AC55" s="40"/>
      <c r="AD55" s="48"/>
      <c r="AH55" s="44">
        <v>0</v>
      </c>
      <c r="AI55" s="40"/>
      <c r="AJ55">
        <v>64</v>
      </c>
      <c r="AK55">
        <v>64</v>
      </c>
      <c r="AL55">
        <v>88</v>
      </c>
      <c r="AM55">
        <v>86</v>
      </c>
      <c r="AN55" s="44">
        <v>2</v>
      </c>
      <c r="AO55" s="40"/>
      <c r="AP55">
        <v>32</v>
      </c>
      <c r="AQ55">
        <v>32</v>
      </c>
      <c r="AR55">
        <v>32</v>
      </c>
      <c r="AS55">
        <v>32</v>
      </c>
      <c r="AT55" s="44">
        <v>0</v>
      </c>
      <c r="AU55" s="40"/>
      <c r="AV55" s="39"/>
      <c r="AX55" s="44">
        <v>0</v>
      </c>
      <c r="AY55" s="40"/>
      <c r="AZ55" s="39"/>
      <c r="BA55">
        <v>69</v>
      </c>
      <c r="BB55" s="46">
        <v>-69</v>
      </c>
      <c r="BC55" s="40">
        <v>27.6</v>
      </c>
      <c r="BD55">
        <v>72</v>
      </c>
      <c r="BE55">
        <v>70</v>
      </c>
      <c r="BF55">
        <v>48</v>
      </c>
      <c r="BG55">
        <v>50</v>
      </c>
      <c r="BH55" s="44">
        <v>0</v>
      </c>
      <c r="BI55" s="40"/>
      <c r="BL55" s="44">
        <v>0</v>
      </c>
      <c r="BM55" s="40"/>
      <c r="BN55" s="39"/>
      <c r="BR55" s="44">
        <v>0</v>
      </c>
      <c r="BS55" s="40"/>
      <c r="BV55" s="44">
        <v>0</v>
      </c>
      <c r="BW55" s="40"/>
      <c r="BX55" s="39"/>
      <c r="BZ55" s="44">
        <v>0</v>
      </c>
      <c r="CA55" s="40"/>
      <c r="CB55" s="39"/>
      <c r="CD55">
        <v>256</v>
      </c>
      <c r="CE55">
        <v>290</v>
      </c>
      <c r="CF55">
        <v>288</v>
      </c>
      <c r="CG55">
        <v>260</v>
      </c>
      <c r="CH55" s="44">
        <v>-6</v>
      </c>
      <c r="CI55" s="40"/>
      <c r="CL55">
        <v>40</v>
      </c>
      <c r="CM55">
        <v>43</v>
      </c>
      <c r="CN55" s="44">
        <v>-3</v>
      </c>
      <c r="CO55" s="40"/>
      <c r="CP55" s="41">
        <v>48</v>
      </c>
      <c r="CQ55">
        <v>50</v>
      </c>
      <c r="CR55">
        <v>168</v>
      </c>
      <c r="CS55">
        <v>170</v>
      </c>
      <c r="CT55" s="44">
        <v>-4</v>
      </c>
      <c r="CU55" s="40"/>
      <c r="CV55" s="39"/>
      <c r="CX55">
        <v>64</v>
      </c>
      <c r="CY55">
        <v>64</v>
      </c>
      <c r="CZ55" s="44">
        <v>0</v>
      </c>
      <c r="DA55" s="40"/>
      <c r="DB55" s="41">
        <v>80</v>
      </c>
      <c r="DC55">
        <v>80</v>
      </c>
      <c r="DD55">
        <v>112</v>
      </c>
      <c r="DE55">
        <v>110</v>
      </c>
      <c r="DF55" s="44">
        <v>2</v>
      </c>
      <c r="DG55" s="40"/>
      <c r="DJ55">
        <v>128</v>
      </c>
      <c r="DK55">
        <v>130</v>
      </c>
      <c r="DL55">
        <v>96</v>
      </c>
      <c r="DM55">
        <v>100</v>
      </c>
      <c r="DN55" s="44">
        <v>-6</v>
      </c>
      <c r="DO55" s="40"/>
      <c r="DP55" s="41">
        <v>40</v>
      </c>
      <c r="DQ55">
        <v>40</v>
      </c>
      <c r="DR55" s="44">
        <v>0</v>
      </c>
      <c r="DS55" s="40"/>
      <c r="DT55" s="41">
        <v>48</v>
      </c>
      <c r="DU55">
        <v>50</v>
      </c>
      <c r="DV55">
        <v>72</v>
      </c>
      <c r="DW55">
        <v>70</v>
      </c>
      <c r="DX55" s="44">
        <v>0</v>
      </c>
      <c r="DY55" s="40"/>
      <c r="DZ55" s="41">
        <v>136</v>
      </c>
      <c r="EA55">
        <v>140</v>
      </c>
      <c r="EB55" s="44">
        <v>-4</v>
      </c>
      <c r="EC55" s="40"/>
      <c r="ED55">
        <v>48</v>
      </c>
      <c r="EE55">
        <v>48</v>
      </c>
      <c r="EG55">
        <v>40</v>
      </c>
      <c r="EH55">
        <v>48</v>
      </c>
      <c r="EI55">
        <v>80</v>
      </c>
      <c r="EJ55">
        <v>84</v>
      </c>
      <c r="EK55" s="46">
        <v>-12</v>
      </c>
      <c r="EL55" s="40">
        <v>4.8000000000000007</v>
      </c>
      <c r="EQ55">
        <v>128</v>
      </c>
      <c r="ER55">
        <v>130</v>
      </c>
      <c r="ES55" s="44">
        <v>-2</v>
      </c>
      <c r="ET55" s="40"/>
      <c r="EU55" s="39"/>
      <c r="EY55" s="44">
        <v>0</v>
      </c>
      <c r="EZ55" s="40"/>
      <c r="FA55" s="39"/>
      <c r="FD55" s="44">
        <v>0</v>
      </c>
      <c r="FE55" s="40"/>
      <c r="FF55">
        <v>200</v>
      </c>
      <c r="FG55">
        <v>200</v>
      </c>
      <c r="FH55" s="44">
        <v>0</v>
      </c>
      <c r="FI55" s="40"/>
      <c r="FJ55" s="39"/>
      <c r="FO55">
        <v>32</v>
      </c>
      <c r="FP55">
        <v>30</v>
      </c>
      <c r="FQ55" s="44">
        <v>2</v>
      </c>
      <c r="FR55" s="40"/>
      <c r="FS55">
        <v>16</v>
      </c>
      <c r="FT55">
        <v>16</v>
      </c>
      <c r="FW55" s="44">
        <v>0</v>
      </c>
      <c r="FX55" s="40"/>
      <c r="FY55" s="39"/>
      <c r="GC55" s="44">
        <v>0</v>
      </c>
      <c r="GD55" s="40"/>
      <c r="GE55">
        <v>96</v>
      </c>
      <c r="GF55">
        <v>100</v>
      </c>
      <c r="GG55">
        <v>128</v>
      </c>
      <c r="GH55">
        <v>130</v>
      </c>
      <c r="GI55" s="44">
        <v>-6</v>
      </c>
      <c r="GJ55" s="40"/>
      <c r="GK55">
        <v>96</v>
      </c>
      <c r="GL55" s="47">
        <v>100</v>
      </c>
      <c r="GM55" s="44">
        <v>-4</v>
      </c>
      <c r="GN55" s="40"/>
      <c r="GO55" s="39"/>
      <c r="GQ55" s="44">
        <v>0</v>
      </c>
      <c r="GR55" s="40"/>
      <c r="GS55">
        <v>96</v>
      </c>
      <c r="GT55">
        <v>100</v>
      </c>
      <c r="GV55">
        <v>160</v>
      </c>
      <c r="GW55">
        <v>160</v>
      </c>
      <c r="GX55" s="44">
        <v>-4</v>
      </c>
      <c r="GY55" s="40"/>
      <c r="HB55">
        <v>80</v>
      </c>
      <c r="HC55">
        <v>80</v>
      </c>
      <c r="HD55" s="44">
        <v>0</v>
      </c>
      <c r="HE55" s="40"/>
      <c r="HF55" s="39"/>
      <c r="HH55">
        <v>88</v>
      </c>
      <c r="HI55">
        <v>90</v>
      </c>
      <c r="HJ55" s="44">
        <v>-2</v>
      </c>
      <c r="HK55" s="40"/>
      <c r="HL55" s="39"/>
      <c r="HN55">
        <v>88</v>
      </c>
      <c r="HO55">
        <v>88</v>
      </c>
      <c r="HP55" s="44">
        <v>0</v>
      </c>
      <c r="HQ55" s="40"/>
      <c r="HT55">
        <v>120</v>
      </c>
      <c r="HU55">
        <v>125</v>
      </c>
      <c r="HV55" s="44">
        <v>-5</v>
      </c>
      <c r="HW55" s="43"/>
      <c r="HZ55">
        <v>40</v>
      </c>
      <c r="IA55">
        <v>40</v>
      </c>
      <c r="IB55" s="44">
        <v>0</v>
      </c>
      <c r="IC55" s="43"/>
      <c r="ID55">
        <v>112</v>
      </c>
      <c r="IE55">
        <v>116</v>
      </c>
      <c r="IF55">
        <v>96</v>
      </c>
      <c r="IG55">
        <v>94</v>
      </c>
      <c r="IH55" s="44">
        <v>-2</v>
      </c>
      <c r="II55" s="43"/>
      <c r="IJ55">
        <v>80</v>
      </c>
      <c r="IK55">
        <v>80</v>
      </c>
      <c r="IL55">
        <v>40</v>
      </c>
      <c r="IM55">
        <v>40</v>
      </c>
      <c r="IN55" s="44">
        <v>0</v>
      </c>
      <c r="IO55" s="40"/>
      <c r="IP55">
        <v>40</v>
      </c>
      <c r="IQ55">
        <v>43</v>
      </c>
      <c r="IR55" s="44">
        <v>-3</v>
      </c>
      <c r="IS55" s="40"/>
      <c r="IT55">
        <v>48</v>
      </c>
      <c r="IU55">
        <v>48</v>
      </c>
      <c r="IX55" s="44">
        <v>0</v>
      </c>
      <c r="IY55" s="43"/>
      <c r="JB55" s="44">
        <v>0</v>
      </c>
      <c r="JC55" s="40"/>
      <c r="JF55">
        <v>200</v>
      </c>
      <c r="JG55">
        <v>200</v>
      </c>
      <c r="JH55" s="44">
        <v>0</v>
      </c>
      <c r="JI55" s="40"/>
      <c r="JN55" s="44">
        <v>0</v>
      </c>
      <c r="JO55" s="43"/>
      <c r="JP55">
        <v>96</v>
      </c>
      <c r="JQ55">
        <v>100</v>
      </c>
      <c r="JR55">
        <v>120</v>
      </c>
      <c r="JS55">
        <v>120</v>
      </c>
      <c r="JT55" s="44">
        <v>-4</v>
      </c>
      <c r="JU55" s="43"/>
      <c r="JW55">
        <v>48</v>
      </c>
      <c r="JY55">
        <v>52</v>
      </c>
      <c r="JZ55" s="46">
        <v>-100</v>
      </c>
      <c r="KA55" s="43">
        <v>40</v>
      </c>
      <c r="KB55" s="42"/>
      <c r="KE55">
        <v>56</v>
      </c>
      <c r="KF55">
        <v>60</v>
      </c>
      <c r="KH55">
        <v>60</v>
      </c>
      <c r="KI55" s="46">
        <v>-64</v>
      </c>
      <c r="KJ55" s="43">
        <v>25.6</v>
      </c>
      <c r="KK55" s="47">
        <v>48</v>
      </c>
      <c r="KL55" s="47">
        <v>50</v>
      </c>
      <c r="KM55" s="47">
        <v>96</v>
      </c>
      <c r="KN55" s="47">
        <v>100</v>
      </c>
      <c r="KO55" s="44">
        <v>-6</v>
      </c>
      <c r="KP55" s="43"/>
      <c r="KQ55" s="47">
        <v>0</v>
      </c>
      <c r="KR55" s="47">
        <v>0</v>
      </c>
      <c r="KS55" s="47">
        <v>136</v>
      </c>
      <c r="KT55" s="47">
        <v>135</v>
      </c>
      <c r="KU55" s="44">
        <v>1</v>
      </c>
      <c r="KV55" s="43"/>
      <c r="KW55" s="42">
        <v>0</v>
      </c>
      <c r="KX55" s="47">
        <v>0</v>
      </c>
      <c r="KY55" s="44">
        <v>0</v>
      </c>
      <c r="KZ55" s="43"/>
      <c r="LA55" s="42">
        <v>0</v>
      </c>
      <c r="LB55" s="47">
        <v>0</v>
      </c>
      <c r="LC55" s="47">
        <v>0</v>
      </c>
      <c r="LD55" s="47">
        <v>0</v>
      </c>
      <c r="LE55" s="44">
        <v>0</v>
      </c>
      <c r="LF55" s="43"/>
      <c r="LG55" s="42">
        <v>120</v>
      </c>
      <c r="LH55" s="47">
        <v>120</v>
      </c>
      <c r="LI55" s="47">
        <v>120</v>
      </c>
      <c r="LJ55" s="47">
        <v>120</v>
      </c>
      <c r="LK55" s="44">
        <v>0</v>
      </c>
      <c r="LL55" s="43"/>
      <c r="LM55" s="42">
        <v>24</v>
      </c>
      <c r="LN55" s="47">
        <v>24</v>
      </c>
      <c r="LO55" s="44">
        <v>0</v>
      </c>
      <c r="LP55" s="43"/>
      <c r="LQ55" s="42">
        <v>0</v>
      </c>
      <c r="LR55" s="47">
        <v>0</v>
      </c>
      <c r="LS55" s="47">
        <v>56</v>
      </c>
      <c r="LT55" s="47">
        <v>60</v>
      </c>
      <c r="LU55" s="44">
        <v>-4</v>
      </c>
      <c r="LV55" s="43"/>
      <c r="LW55" s="42">
        <v>40</v>
      </c>
      <c r="LX55" s="47">
        <v>40</v>
      </c>
      <c r="LY55" s="47">
        <v>0</v>
      </c>
      <c r="LZ55" s="47">
        <v>0</v>
      </c>
      <c r="MA55" s="44">
        <v>0</v>
      </c>
      <c r="MB55" s="43"/>
      <c r="MC55" s="42">
        <v>80</v>
      </c>
      <c r="MD55" s="47">
        <v>80</v>
      </c>
      <c r="ME55" s="47">
        <v>0</v>
      </c>
      <c r="MF55" s="47">
        <v>0</v>
      </c>
      <c r="MG55" s="44">
        <v>0</v>
      </c>
      <c r="MH55" s="43"/>
      <c r="MI55" s="42"/>
      <c r="MN55" s="43"/>
      <c r="MO55" s="42"/>
      <c r="MT55" s="43"/>
      <c r="MU55" s="42"/>
      <c r="MZ55" s="43"/>
      <c r="NA55" s="42"/>
      <c r="NF55" s="43"/>
      <c r="NG55" s="42"/>
      <c r="NL55" s="43"/>
      <c r="NM55" s="42"/>
      <c r="NR55" s="43"/>
      <c r="NS55" s="42"/>
      <c r="NX55" s="43"/>
      <c r="NY55" s="42"/>
      <c r="OD55" s="43"/>
      <c r="OE55" s="42"/>
      <c r="OJ55" s="43"/>
      <c r="OK55" s="42"/>
      <c r="OP55" s="43"/>
      <c r="OQ55" s="42"/>
      <c r="OV55" s="43"/>
      <c r="OW55" s="42"/>
      <c r="PB55" s="43"/>
      <c r="PC55" s="42"/>
      <c r="PH55" s="43"/>
      <c r="PI55" s="42"/>
      <c r="PN55" s="43"/>
      <c r="PO55" s="42"/>
      <c r="PT55" s="43"/>
      <c r="PU55" s="42"/>
      <c r="PZ55" s="43"/>
      <c r="QA55" s="42"/>
      <c r="QD55" s="43"/>
      <c r="QE55" s="42"/>
      <c r="QH55" s="43"/>
      <c r="QI55" s="42"/>
      <c r="QL55" s="43"/>
      <c r="QM55" s="42"/>
      <c r="QR55" s="43"/>
      <c r="QS55" s="42"/>
      <c r="QV55" s="43"/>
      <c r="QW55" s="42"/>
      <c r="QY55" s="44"/>
      <c r="QZ55" s="43"/>
    </row>
    <row r="56" spans="1:468" x14ac:dyDescent="0.25">
      <c r="A56" s="47" t="s">
        <v>340</v>
      </c>
      <c r="B56" s="38">
        <v>0.4</v>
      </c>
      <c r="F56">
        <v>16</v>
      </c>
      <c r="I56">
        <v>16</v>
      </c>
      <c r="J56">
        <v>32</v>
      </c>
      <c r="K56">
        <v>32</v>
      </c>
      <c r="N56" s="39"/>
      <c r="O56" s="48"/>
      <c r="P56" s="49">
        <v>32</v>
      </c>
      <c r="Q56" s="49">
        <v>36</v>
      </c>
      <c r="R56" s="48">
        <f t="shared" si="8"/>
        <v>-4</v>
      </c>
      <c r="S56" s="40"/>
      <c r="T56" s="39"/>
      <c r="U56" s="48"/>
      <c r="V56" s="48">
        <f t="shared" si="9"/>
        <v>0</v>
      </c>
      <c r="W56" s="40"/>
      <c r="X56" s="39"/>
      <c r="Y56" s="48"/>
      <c r="Z56" s="48"/>
      <c r="AA56" s="48"/>
      <c r="AB56" s="48">
        <f t="shared" si="10"/>
        <v>0</v>
      </c>
      <c r="AC56" s="40"/>
      <c r="AD56" s="48"/>
      <c r="AF56">
        <v>160</v>
      </c>
      <c r="AG56">
        <v>160</v>
      </c>
      <c r="AH56" s="44">
        <v>0</v>
      </c>
      <c r="AI56" s="40"/>
      <c r="AN56" s="44">
        <v>0</v>
      </c>
      <c r="AO56" s="40"/>
      <c r="AT56" s="44">
        <v>0</v>
      </c>
      <c r="AU56" s="40"/>
      <c r="AV56" s="41">
        <v>104</v>
      </c>
      <c r="AW56">
        <v>106</v>
      </c>
      <c r="AX56" s="44">
        <v>-2</v>
      </c>
      <c r="AY56" s="40"/>
      <c r="AZ56" s="39"/>
      <c r="BB56" s="44">
        <v>0</v>
      </c>
      <c r="BC56" s="40"/>
      <c r="BG56">
        <v>50</v>
      </c>
      <c r="BH56" s="46">
        <v>-50</v>
      </c>
      <c r="BI56" s="40">
        <v>20</v>
      </c>
      <c r="BL56" s="44">
        <v>0</v>
      </c>
      <c r="BM56" s="40"/>
      <c r="BN56" s="39"/>
      <c r="BP56">
        <v>136</v>
      </c>
      <c r="BQ56" s="44">
        <v>141</v>
      </c>
      <c r="BR56" s="44">
        <v>-5</v>
      </c>
      <c r="BS56" s="40"/>
      <c r="BV56" s="44">
        <v>0</v>
      </c>
      <c r="BW56" s="40"/>
      <c r="BX56" s="41">
        <v>32</v>
      </c>
      <c r="BY56">
        <v>30</v>
      </c>
      <c r="BZ56" s="44">
        <v>2</v>
      </c>
      <c r="CA56" s="40"/>
      <c r="CB56" s="41">
        <v>72</v>
      </c>
      <c r="CC56" s="44">
        <v>70</v>
      </c>
      <c r="CE56" s="47"/>
      <c r="CH56" s="44">
        <v>2</v>
      </c>
      <c r="CI56" s="40"/>
      <c r="CM56" s="47"/>
      <c r="CN56" s="44">
        <v>0</v>
      </c>
      <c r="CO56" s="40"/>
      <c r="CP56" s="39"/>
      <c r="CQ56" s="47"/>
      <c r="CT56" s="44">
        <v>0</v>
      </c>
      <c r="CU56" s="40"/>
      <c r="CV56" s="42"/>
      <c r="CZ56" s="44">
        <v>0</v>
      </c>
      <c r="DA56" s="40"/>
      <c r="DB56" s="42"/>
      <c r="DF56" s="44">
        <v>0</v>
      </c>
      <c r="DG56" s="40"/>
      <c r="DO56" s="40"/>
      <c r="DP56" s="41"/>
      <c r="DS56" s="40"/>
      <c r="DT56" s="41"/>
      <c r="DY56" s="40"/>
      <c r="DZ56" s="41"/>
      <c r="EC56" s="40"/>
      <c r="EL56" s="40"/>
      <c r="ET56" s="40"/>
      <c r="EU56" s="39"/>
      <c r="EZ56" s="40"/>
      <c r="FA56" s="39"/>
      <c r="FE56" s="40"/>
      <c r="FI56" s="40"/>
      <c r="FJ56" s="39"/>
      <c r="FR56" s="40"/>
      <c r="FX56" s="40"/>
      <c r="FY56" s="39"/>
      <c r="GD56" s="40"/>
      <c r="GJ56" s="40"/>
      <c r="GN56" s="40"/>
      <c r="GO56" s="39"/>
      <c r="GR56" s="40"/>
      <c r="GY56" s="40"/>
      <c r="HE56" s="40"/>
      <c r="HF56" s="39"/>
      <c r="HK56" s="40"/>
      <c r="HL56" s="39"/>
      <c r="HQ56" s="40"/>
      <c r="HW56" s="43"/>
      <c r="IC56" s="43"/>
      <c r="II56" s="43"/>
      <c r="IO56" s="40"/>
      <c r="IS56" s="40"/>
      <c r="IY56" s="43"/>
      <c r="JC56" s="40"/>
      <c r="JI56" s="40"/>
      <c r="JO56" s="43"/>
      <c r="JU56" s="43"/>
      <c r="KA56" s="43"/>
      <c r="KB56" s="42"/>
      <c r="KJ56" s="43"/>
      <c r="KP56" s="43"/>
      <c r="KV56" s="43"/>
      <c r="KW56" s="42"/>
      <c r="KZ56" s="43"/>
      <c r="LA56" s="42"/>
      <c r="LE56" s="44"/>
      <c r="LF56" s="43"/>
      <c r="LG56" s="42"/>
      <c r="LL56" s="43"/>
      <c r="LM56" s="42"/>
      <c r="LO56" s="44"/>
      <c r="LP56" s="43"/>
      <c r="LQ56" s="42"/>
      <c r="LU56" s="44"/>
      <c r="LV56" s="43"/>
      <c r="LW56" s="42"/>
      <c r="MA56" s="44"/>
      <c r="MB56" s="43"/>
      <c r="MC56" s="42"/>
      <c r="MG56" s="44"/>
      <c r="MH56" s="43"/>
      <c r="MI56" s="42"/>
      <c r="MN56" s="43"/>
      <c r="MO56" s="42"/>
      <c r="MT56" s="43"/>
      <c r="MU56" s="42"/>
      <c r="MZ56" s="43"/>
      <c r="NA56" s="42"/>
      <c r="NF56" s="43"/>
      <c r="NG56" s="42"/>
      <c r="NL56" s="43"/>
      <c r="NM56" s="42"/>
      <c r="NR56" s="43"/>
      <c r="NS56" s="42"/>
      <c r="NX56" s="43"/>
      <c r="NY56" s="42"/>
      <c r="OD56" s="43"/>
      <c r="OE56" s="42"/>
      <c r="OJ56" s="43"/>
      <c r="OK56" s="42"/>
      <c r="OP56" s="43"/>
      <c r="OQ56" s="42"/>
      <c r="OV56" s="43"/>
      <c r="OW56" s="42"/>
      <c r="PB56" s="43"/>
      <c r="PC56" s="42"/>
      <c r="PH56" s="43"/>
      <c r="PI56" s="42"/>
      <c r="PN56" s="43"/>
      <c r="PO56" s="42"/>
      <c r="PT56" s="43"/>
      <c r="PU56" s="42"/>
      <c r="PZ56" s="43"/>
      <c r="QA56" s="42"/>
      <c r="QD56" s="43"/>
      <c r="QE56" s="42"/>
      <c r="QH56" s="43"/>
      <c r="QI56" s="42"/>
      <c r="QL56" s="43"/>
      <c r="QM56" s="42"/>
      <c r="QR56" s="43"/>
      <c r="QS56" s="42"/>
      <c r="QV56" s="43"/>
      <c r="QW56" s="42"/>
      <c r="QY56" s="44"/>
      <c r="QZ56" s="43"/>
    </row>
    <row r="57" spans="1:468" x14ac:dyDescent="0.25">
      <c r="A57" s="47" t="s">
        <v>341</v>
      </c>
      <c r="B57" s="38">
        <v>0.5</v>
      </c>
      <c r="N57" s="39"/>
      <c r="O57" s="48"/>
      <c r="P57" s="48"/>
      <c r="Q57" s="48"/>
      <c r="R57" s="48">
        <f t="shared" si="8"/>
        <v>0</v>
      </c>
      <c r="S57" s="40"/>
      <c r="T57" s="39"/>
      <c r="U57" s="48"/>
      <c r="V57" s="48">
        <f t="shared" si="9"/>
        <v>0</v>
      </c>
      <c r="W57" s="40"/>
      <c r="X57" s="39"/>
      <c r="Y57" s="48"/>
      <c r="Z57" s="48"/>
      <c r="AA57" s="48"/>
      <c r="AB57" s="48">
        <f t="shared" si="10"/>
        <v>0</v>
      </c>
      <c r="AC57" s="40"/>
      <c r="AD57" s="48"/>
      <c r="AH57" s="44">
        <v>0</v>
      </c>
      <c r="AI57" s="40"/>
      <c r="AN57" s="44">
        <v>0</v>
      </c>
      <c r="AO57" s="40"/>
      <c r="AT57" s="44">
        <v>0</v>
      </c>
      <c r="AU57" s="40"/>
      <c r="AV57" s="39"/>
      <c r="AX57" s="44">
        <v>0</v>
      </c>
      <c r="AY57" s="40"/>
      <c r="AZ57" s="39"/>
      <c r="BB57" s="44">
        <v>0</v>
      </c>
      <c r="BC57" s="40"/>
      <c r="BH57" s="44">
        <v>0</v>
      </c>
      <c r="BI57" s="40"/>
      <c r="BL57" s="44">
        <v>0</v>
      </c>
      <c r="BM57" s="40"/>
      <c r="BN57" s="39"/>
      <c r="BR57" s="44">
        <v>0</v>
      </c>
      <c r="BS57" s="40"/>
      <c r="BV57" s="44">
        <v>0</v>
      </c>
      <c r="BW57" s="40"/>
      <c r="BX57" s="39"/>
      <c r="BZ57" s="44">
        <v>0</v>
      </c>
      <c r="CA57" s="40"/>
      <c r="CB57" s="39"/>
      <c r="CH57" s="44">
        <v>0</v>
      </c>
      <c r="CI57" s="40"/>
      <c r="CN57" s="44">
        <v>0</v>
      </c>
      <c r="CO57" s="40"/>
      <c r="CP57" s="39"/>
      <c r="CT57" s="44">
        <v>0</v>
      </c>
      <c r="CU57" s="40"/>
      <c r="CV57" s="39"/>
      <c r="CZ57" s="44">
        <v>0</v>
      </c>
      <c r="DA57" s="40"/>
      <c r="DB57" s="39"/>
      <c r="DF57" s="44">
        <v>0</v>
      </c>
      <c r="DG57" s="40"/>
      <c r="DN57" s="44">
        <v>0</v>
      </c>
      <c r="DO57" s="40"/>
      <c r="DP57" s="39"/>
      <c r="DR57" s="44">
        <v>0</v>
      </c>
      <c r="DS57" s="40"/>
      <c r="DT57" s="39"/>
      <c r="DX57" s="44">
        <v>0</v>
      </c>
      <c r="DY57" s="40"/>
      <c r="DZ57" s="39"/>
      <c r="EB57" s="44">
        <v>0</v>
      </c>
      <c r="EC57" s="40"/>
      <c r="EK57" s="44">
        <v>0</v>
      </c>
      <c r="EL57" s="40"/>
      <c r="ES57" s="44">
        <v>0</v>
      </c>
      <c r="ET57" s="40"/>
      <c r="EU57" s="39"/>
      <c r="EY57" s="44">
        <v>0</v>
      </c>
      <c r="EZ57" s="40"/>
      <c r="FA57" s="39"/>
      <c r="FD57" s="44">
        <v>0</v>
      </c>
      <c r="FE57" s="40"/>
      <c r="FH57" s="44">
        <v>0</v>
      </c>
      <c r="FI57" s="40"/>
      <c r="FJ57" s="39"/>
      <c r="FQ57" s="44">
        <v>0</v>
      </c>
      <c r="FR57" s="40"/>
      <c r="FW57" s="44">
        <v>0</v>
      </c>
      <c r="FX57" s="40"/>
      <c r="FY57" s="39"/>
      <c r="GC57" s="44">
        <v>0</v>
      </c>
      <c r="GD57" s="40"/>
      <c r="GI57" s="44">
        <v>0</v>
      </c>
      <c r="GJ57" s="40"/>
      <c r="GM57" s="44">
        <v>0</v>
      </c>
      <c r="GN57" s="40"/>
      <c r="GO57" s="39"/>
      <c r="GQ57" s="44">
        <v>0</v>
      </c>
      <c r="GR57" s="40"/>
      <c r="GX57" s="44">
        <v>0</v>
      </c>
      <c r="GY57" s="40"/>
      <c r="HD57" s="44">
        <v>0</v>
      </c>
      <c r="HE57" s="40"/>
      <c r="HF57" s="39"/>
      <c r="HJ57" s="44">
        <v>0</v>
      </c>
      <c r="HK57" s="40"/>
      <c r="HL57" s="39"/>
      <c r="HP57" s="44">
        <v>0</v>
      </c>
      <c r="HQ57" s="40"/>
      <c r="HV57" s="44">
        <v>0</v>
      </c>
      <c r="HW57" s="43"/>
      <c r="IB57" s="44">
        <v>0</v>
      </c>
      <c r="IC57" s="43"/>
      <c r="IH57" s="44">
        <v>0</v>
      </c>
      <c r="II57" s="43"/>
      <c r="IN57" s="44">
        <v>0</v>
      </c>
      <c r="IO57" s="40"/>
      <c r="IR57" s="44">
        <v>0</v>
      </c>
      <c r="IS57" s="40"/>
      <c r="IX57" s="44">
        <v>0</v>
      </c>
      <c r="IY57" s="43"/>
      <c r="JB57" s="44">
        <v>0</v>
      </c>
      <c r="JC57" s="40"/>
      <c r="JH57" s="44">
        <v>0</v>
      </c>
      <c r="JI57" s="40"/>
      <c r="JN57" s="44">
        <v>0</v>
      </c>
      <c r="JO57" s="43"/>
      <c r="JT57" s="44">
        <v>0</v>
      </c>
      <c r="JU57" s="43"/>
      <c r="JZ57" s="44">
        <v>0</v>
      </c>
      <c r="KA57" s="43"/>
      <c r="KB57" s="42"/>
      <c r="KI57" s="44">
        <v>0</v>
      </c>
      <c r="KJ57" s="43"/>
      <c r="KK57" s="47">
        <v>0</v>
      </c>
      <c r="KL57" s="47">
        <v>0</v>
      </c>
      <c r="KM57" s="47">
        <v>0</v>
      </c>
      <c r="KN57" s="47">
        <v>0</v>
      </c>
      <c r="KO57" s="44">
        <v>0</v>
      </c>
      <c r="KP57" s="43"/>
      <c r="KQ57" s="47">
        <v>0</v>
      </c>
      <c r="KR57" s="47">
        <v>0</v>
      </c>
      <c r="KS57" s="47">
        <v>0</v>
      </c>
      <c r="KT57" s="47">
        <v>0</v>
      </c>
      <c r="KU57" s="44">
        <v>0</v>
      </c>
      <c r="KV57" s="43"/>
      <c r="KW57" s="42">
        <v>0</v>
      </c>
      <c r="KX57" s="47">
        <v>0</v>
      </c>
      <c r="KY57" s="44">
        <v>0</v>
      </c>
      <c r="KZ57" s="43"/>
      <c r="LA57" s="42">
        <v>0</v>
      </c>
      <c r="LB57" s="47">
        <v>0</v>
      </c>
      <c r="LC57" s="47">
        <v>0</v>
      </c>
      <c r="LD57" s="47">
        <v>0</v>
      </c>
      <c r="LE57" s="44">
        <v>0</v>
      </c>
      <c r="LF57" s="43"/>
      <c r="LG57" s="42">
        <v>0</v>
      </c>
      <c r="LH57" s="47">
        <v>0</v>
      </c>
      <c r="LI57" s="47">
        <v>0</v>
      </c>
      <c r="LJ57" s="47">
        <v>0</v>
      </c>
      <c r="LK57" s="44">
        <v>0</v>
      </c>
      <c r="LL57" s="43"/>
      <c r="LM57" s="42">
        <v>0</v>
      </c>
      <c r="LN57" s="47">
        <v>0</v>
      </c>
      <c r="LO57" s="44">
        <v>0</v>
      </c>
      <c r="LP57" s="43"/>
      <c r="LQ57" s="42">
        <v>0</v>
      </c>
      <c r="LR57" s="47">
        <v>0</v>
      </c>
      <c r="LS57" s="47">
        <v>0</v>
      </c>
      <c r="LT57" s="47">
        <v>0</v>
      </c>
      <c r="LU57" s="44">
        <v>0</v>
      </c>
      <c r="LV57" s="43"/>
      <c r="LW57" s="42">
        <v>0</v>
      </c>
      <c r="LX57" s="47">
        <v>0</v>
      </c>
      <c r="LY57" s="47">
        <v>0</v>
      </c>
      <c r="LZ57" s="47">
        <v>0</v>
      </c>
      <c r="MA57" s="44">
        <v>0</v>
      </c>
      <c r="MB57" s="43"/>
      <c r="MC57" s="42">
        <v>0</v>
      </c>
      <c r="MD57" s="47">
        <v>0</v>
      </c>
      <c r="ME57" s="47">
        <v>0</v>
      </c>
      <c r="MF57" s="47">
        <v>0</v>
      </c>
      <c r="MG57" s="44">
        <v>0</v>
      </c>
      <c r="MH57" s="43"/>
      <c r="MI57" s="42">
        <v>0</v>
      </c>
      <c r="MJ57" s="47">
        <v>0</v>
      </c>
      <c r="MK57" s="47">
        <v>0</v>
      </c>
      <c r="ML57" s="47">
        <v>0</v>
      </c>
      <c r="MM57" s="44">
        <v>0</v>
      </c>
      <c r="MN57" s="43"/>
      <c r="MO57" s="42">
        <v>0</v>
      </c>
      <c r="MP57" s="47">
        <v>0</v>
      </c>
      <c r="MQ57" s="47">
        <v>0</v>
      </c>
      <c r="MR57" s="47">
        <v>0</v>
      </c>
      <c r="MS57" s="44">
        <v>0</v>
      </c>
      <c r="MT57" s="43"/>
      <c r="MU57" s="42">
        <v>0</v>
      </c>
      <c r="MV57" s="47">
        <v>0</v>
      </c>
      <c r="MW57" s="47">
        <v>0</v>
      </c>
      <c r="MX57" s="47">
        <v>0</v>
      </c>
      <c r="MY57" s="44">
        <v>0</v>
      </c>
      <c r="MZ57" s="43"/>
      <c r="NA57" s="42">
        <v>0</v>
      </c>
      <c r="NB57" s="47">
        <v>0</v>
      </c>
      <c r="NC57" s="47">
        <v>0</v>
      </c>
      <c r="ND57" s="47">
        <v>0</v>
      </c>
      <c r="NE57" s="44">
        <v>0</v>
      </c>
      <c r="NF57" s="43"/>
      <c r="NG57" s="42">
        <v>0</v>
      </c>
      <c r="NH57" s="47">
        <v>0</v>
      </c>
      <c r="NI57" s="47">
        <v>0</v>
      </c>
      <c r="NJ57" s="47">
        <v>0</v>
      </c>
      <c r="NK57" s="44">
        <v>0</v>
      </c>
      <c r="NL57" s="43"/>
      <c r="NM57" s="42">
        <v>0</v>
      </c>
      <c r="NN57" s="47">
        <v>0</v>
      </c>
      <c r="NO57" s="47">
        <v>0</v>
      </c>
      <c r="NP57" s="47">
        <v>0</v>
      </c>
      <c r="NQ57" s="44">
        <v>0</v>
      </c>
      <c r="NR57" s="43"/>
      <c r="NS57" s="42">
        <v>0</v>
      </c>
      <c r="NT57" s="47">
        <v>0</v>
      </c>
      <c r="NU57" s="47">
        <v>0</v>
      </c>
      <c r="NV57" s="47">
        <v>0</v>
      </c>
      <c r="NW57" s="44">
        <v>0</v>
      </c>
      <c r="NX57" s="43"/>
      <c r="NY57" s="42">
        <v>0</v>
      </c>
      <c r="NZ57" s="47">
        <v>0</v>
      </c>
      <c r="OA57" s="47">
        <v>0</v>
      </c>
      <c r="OB57" s="47">
        <v>0</v>
      </c>
      <c r="OC57" s="44">
        <v>0</v>
      </c>
      <c r="OD57" s="43"/>
      <c r="OE57" s="42">
        <v>0</v>
      </c>
      <c r="OF57" s="47">
        <v>0</v>
      </c>
      <c r="OG57" s="47">
        <v>0</v>
      </c>
      <c r="OH57" s="47">
        <v>0</v>
      </c>
      <c r="OI57" s="44">
        <v>0</v>
      </c>
      <c r="OJ57" s="43"/>
      <c r="OK57" s="42">
        <v>0</v>
      </c>
      <c r="OL57" s="47">
        <v>0</v>
      </c>
      <c r="OM57" s="47">
        <v>0</v>
      </c>
      <c r="ON57" s="47">
        <v>0</v>
      </c>
      <c r="OO57" s="44">
        <v>0</v>
      </c>
      <c r="OP57" s="43"/>
      <c r="OQ57" s="42">
        <v>0</v>
      </c>
      <c r="OR57" s="47">
        <v>0</v>
      </c>
      <c r="OS57" s="47">
        <v>0</v>
      </c>
      <c r="OT57" s="47">
        <v>0</v>
      </c>
      <c r="OU57" s="44">
        <v>0</v>
      </c>
      <c r="OV57" s="43"/>
      <c r="OW57" s="42">
        <v>0</v>
      </c>
      <c r="OX57" s="47">
        <v>0</v>
      </c>
      <c r="OY57" s="47">
        <v>0</v>
      </c>
      <c r="OZ57" s="47">
        <v>0</v>
      </c>
      <c r="PA57" s="44">
        <v>0</v>
      </c>
      <c r="PB57" s="43"/>
      <c r="PC57" s="42">
        <v>0</v>
      </c>
      <c r="PD57" s="47">
        <v>0</v>
      </c>
      <c r="PE57" s="47">
        <v>0</v>
      </c>
      <c r="PF57" s="47">
        <v>0</v>
      </c>
      <c r="PG57" s="44">
        <v>0</v>
      </c>
      <c r="PH57" s="43"/>
      <c r="PI57" s="42">
        <v>0</v>
      </c>
      <c r="PJ57" s="47">
        <v>0</v>
      </c>
      <c r="PK57" s="47">
        <v>0</v>
      </c>
      <c r="PL57" s="47">
        <v>0</v>
      </c>
      <c r="PM57" s="44">
        <v>0</v>
      </c>
      <c r="PN57" s="43"/>
      <c r="PO57" s="42">
        <v>0</v>
      </c>
      <c r="PP57" s="47">
        <v>0</v>
      </c>
      <c r="PQ57" s="47">
        <v>0</v>
      </c>
      <c r="PR57" s="47">
        <v>0</v>
      </c>
      <c r="PS57" s="44">
        <v>0</v>
      </c>
      <c r="PT57" s="43"/>
      <c r="PU57" s="42">
        <v>0</v>
      </c>
      <c r="PV57" s="47">
        <v>0</v>
      </c>
      <c r="PW57" s="47">
        <v>0</v>
      </c>
      <c r="PX57" s="47">
        <v>0</v>
      </c>
      <c r="PY57" s="44">
        <v>0</v>
      </c>
      <c r="PZ57" s="43"/>
      <c r="QA57" s="42">
        <v>1000</v>
      </c>
      <c r="QB57" s="47">
        <v>1000</v>
      </c>
      <c r="QC57" s="44">
        <v>0</v>
      </c>
      <c r="QD57" s="43"/>
      <c r="QE57" s="42">
        <v>0</v>
      </c>
      <c r="QF57" s="47">
        <v>0</v>
      </c>
      <c r="QG57" s="44">
        <v>0</v>
      </c>
      <c r="QH57" s="43"/>
      <c r="QI57" s="42">
        <v>0</v>
      </c>
      <c r="QJ57" s="47">
        <v>0</v>
      </c>
      <c r="QK57" s="44">
        <v>0</v>
      </c>
      <c r="QL57" s="43"/>
      <c r="QM57" s="42">
        <v>0</v>
      </c>
      <c r="QN57" s="47">
        <v>0</v>
      </c>
      <c r="QO57" s="47">
        <v>0</v>
      </c>
      <c r="QP57" s="47">
        <v>0</v>
      </c>
      <c r="QQ57" s="44">
        <v>0</v>
      </c>
      <c r="QR57" s="43"/>
      <c r="QS57" s="42">
        <v>0</v>
      </c>
      <c r="QT57" s="47">
        <v>0</v>
      </c>
      <c r="QU57" s="44">
        <v>0</v>
      </c>
      <c r="QV57" s="43"/>
      <c r="QW57" s="42">
        <v>0</v>
      </c>
      <c r="QX57" s="47">
        <v>0</v>
      </c>
      <c r="QY57" s="44">
        <v>0</v>
      </c>
      <c r="QZ57" s="43"/>
    </row>
    <row r="58" spans="1:468" x14ac:dyDescent="0.25">
      <c r="A58" s="47" t="s">
        <v>342</v>
      </c>
      <c r="B58" s="38">
        <v>0.4</v>
      </c>
      <c r="E58">
        <v>178</v>
      </c>
      <c r="I58">
        <v>150</v>
      </c>
      <c r="J58">
        <v>56</v>
      </c>
      <c r="K58">
        <v>61</v>
      </c>
      <c r="N58" s="41">
        <v>120</v>
      </c>
      <c r="O58" s="49">
        <v>120</v>
      </c>
      <c r="P58" s="49">
        <v>160</v>
      </c>
      <c r="Q58" s="49">
        <v>160</v>
      </c>
      <c r="R58" s="48">
        <f t="shared" si="8"/>
        <v>0</v>
      </c>
      <c r="S58" s="40"/>
      <c r="T58" s="41">
        <v>472</v>
      </c>
      <c r="U58" s="49">
        <v>475</v>
      </c>
      <c r="V58" s="48">
        <f t="shared" si="9"/>
        <v>-3</v>
      </c>
      <c r="W58" s="40"/>
      <c r="X58" s="41">
        <v>200</v>
      </c>
      <c r="Y58" s="49">
        <v>200</v>
      </c>
      <c r="Z58" s="48"/>
      <c r="AA58" s="48"/>
      <c r="AB58" s="48">
        <f t="shared" si="10"/>
        <v>0</v>
      </c>
      <c r="AC58" s="40"/>
      <c r="AD58" s="49">
        <v>200</v>
      </c>
      <c r="AE58">
        <v>200</v>
      </c>
      <c r="AF58">
        <v>216</v>
      </c>
      <c r="AG58">
        <v>216</v>
      </c>
      <c r="AH58" s="44">
        <v>0</v>
      </c>
      <c r="AI58" s="40"/>
      <c r="AJ58">
        <v>32</v>
      </c>
      <c r="AK58">
        <v>32</v>
      </c>
      <c r="AL58">
        <v>40</v>
      </c>
      <c r="AM58">
        <v>40</v>
      </c>
      <c r="AN58" s="44">
        <v>0</v>
      </c>
      <c r="AO58" s="40"/>
      <c r="AP58">
        <v>216</v>
      </c>
      <c r="AQ58">
        <v>220</v>
      </c>
      <c r="AR58">
        <v>160</v>
      </c>
      <c r="AS58">
        <v>160</v>
      </c>
      <c r="AT58" s="44">
        <v>-4</v>
      </c>
      <c r="AU58" s="40"/>
      <c r="AV58" s="41">
        <v>448</v>
      </c>
      <c r="AW58">
        <v>450</v>
      </c>
      <c r="AX58" s="44">
        <v>-2</v>
      </c>
      <c r="AY58" s="40"/>
      <c r="AZ58" s="41">
        <v>168</v>
      </c>
      <c r="BA58">
        <v>168</v>
      </c>
      <c r="BB58" s="44">
        <v>0</v>
      </c>
      <c r="BC58" s="40"/>
      <c r="BD58">
        <v>120</v>
      </c>
      <c r="BE58">
        <v>120</v>
      </c>
      <c r="BF58">
        <v>104</v>
      </c>
      <c r="BG58">
        <v>103</v>
      </c>
      <c r="BH58" s="44">
        <v>1</v>
      </c>
      <c r="BI58" s="40"/>
      <c r="BJ58">
        <v>80</v>
      </c>
      <c r="BK58">
        <v>80</v>
      </c>
      <c r="BL58" s="44">
        <v>0</v>
      </c>
      <c r="BM58" s="40"/>
      <c r="BN58" s="41">
        <v>248</v>
      </c>
      <c r="BO58">
        <v>250</v>
      </c>
      <c r="BP58">
        <v>640</v>
      </c>
      <c r="BQ58">
        <v>644</v>
      </c>
      <c r="BR58" s="44">
        <v>-6</v>
      </c>
      <c r="BS58" s="40"/>
      <c r="BV58" s="44">
        <v>0</v>
      </c>
      <c r="BW58" s="40"/>
      <c r="BX58" s="39"/>
      <c r="BZ58" s="44">
        <v>0</v>
      </c>
      <c r="CA58" s="40"/>
      <c r="CB58" s="41">
        <v>200</v>
      </c>
      <c r="CC58">
        <v>200</v>
      </c>
      <c r="CD58">
        <v>200</v>
      </c>
      <c r="CE58">
        <v>200</v>
      </c>
      <c r="CF58">
        <v>184</v>
      </c>
      <c r="CG58">
        <v>200</v>
      </c>
      <c r="CH58" s="46">
        <v>-16</v>
      </c>
      <c r="CI58" s="40">
        <v>6.4</v>
      </c>
      <c r="CJ58">
        <v>448</v>
      </c>
      <c r="CK58">
        <v>450</v>
      </c>
      <c r="CL58">
        <v>536</v>
      </c>
      <c r="CM58">
        <v>535</v>
      </c>
      <c r="CN58" s="44">
        <v>-1</v>
      </c>
      <c r="CO58" s="40"/>
      <c r="CP58" s="41">
        <v>96</v>
      </c>
      <c r="CQ58">
        <v>100</v>
      </c>
      <c r="CR58">
        <v>216</v>
      </c>
      <c r="CS58">
        <v>220</v>
      </c>
      <c r="CT58" s="44">
        <v>-8</v>
      </c>
      <c r="CU58" s="40"/>
      <c r="CV58" s="39"/>
      <c r="CX58">
        <v>320</v>
      </c>
      <c r="CY58">
        <v>321</v>
      </c>
      <c r="CZ58" s="44">
        <v>-1</v>
      </c>
      <c r="DA58" s="40"/>
      <c r="DB58" s="41">
        <v>56</v>
      </c>
      <c r="DC58">
        <v>60</v>
      </c>
      <c r="DF58" s="44">
        <v>-4</v>
      </c>
      <c r="DG58" s="40"/>
      <c r="DH58">
        <v>240</v>
      </c>
      <c r="DI58">
        <v>240</v>
      </c>
      <c r="DJ58">
        <v>328</v>
      </c>
      <c r="DK58">
        <v>330</v>
      </c>
      <c r="DL58">
        <v>296</v>
      </c>
      <c r="DM58">
        <v>300</v>
      </c>
      <c r="DN58" s="44">
        <v>-6</v>
      </c>
      <c r="DO58" s="40"/>
      <c r="DP58" s="41">
        <v>400</v>
      </c>
      <c r="DQ58">
        <v>400</v>
      </c>
      <c r="DR58" s="44">
        <v>0</v>
      </c>
      <c r="DS58" s="40"/>
      <c r="DT58" s="39"/>
      <c r="DV58">
        <v>120</v>
      </c>
      <c r="DW58">
        <v>120</v>
      </c>
      <c r="DX58" s="44">
        <v>0</v>
      </c>
      <c r="DY58" s="40"/>
      <c r="DZ58" s="39"/>
      <c r="EB58" s="44">
        <v>0</v>
      </c>
      <c r="EC58" s="40"/>
      <c r="ED58">
        <v>320</v>
      </c>
      <c r="EE58">
        <v>320</v>
      </c>
      <c r="EG58">
        <v>320</v>
      </c>
      <c r="EH58">
        <v>320</v>
      </c>
      <c r="EI58">
        <v>320</v>
      </c>
      <c r="EJ58">
        <v>320</v>
      </c>
      <c r="EK58" s="44">
        <v>0</v>
      </c>
      <c r="EL58" s="40"/>
      <c r="EQ58">
        <v>104</v>
      </c>
      <c r="ER58">
        <v>100</v>
      </c>
      <c r="ES58" s="44">
        <v>4</v>
      </c>
      <c r="ET58" s="40"/>
      <c r="EU58" s="41">
        <v>200</v>
      </c>
      <c r="EV58">
        <v>200</v>
      </c>
      <c r="EW58">
        <v>352</v>
      </c>
      <c r="EX58">
        <v>350</v>
      </c>
      <c r="EY58" s="44">
        <v>2</v>
      </c>
      <c r="EZ58" s="40"/>
      <c r="FA58" s="39"/>
      <c r="FD58" s="44">
        <v>0</v>
      </c>
      <c r="FE58" s="40"/>
      <c r="FH58" s="44">
        <v>0</v>
      </c>
      <c r="FI58" s="40"/>
      <c r="FJ58" s="39"/>
      <c r="FK58">
        <v>400</v>
      </c>
      <c r="FN58">
        <v>150</v>
      </c>
      <c r="FO58">
        <v>352</v>
      </c>
      <c r="FP58">
        <v>350</v>
      </c>
      <c r="FQ58" s="46">
        <v>-548</v>
      </c>
      <c r="FR58" s="40">
        <v>219.2</v>
      </c>
      <c r="FS58">
        <v>8</v>
      </c>
      <c r="FT58">
        <v>8</v>
      </c>
      <c r="FW58" s="44">
        <v>0</v>
      </c>
      <c r="FX58" s="40"/>
      <c r="FY58" s="41">
        <v>200</v>
      </c>
      <c r="FZ58">
        <v>200</v>
      </c>
      <c r="GA58">
        <v>272</v>
      </c>
      <c r="GB58">
        <v>270</v>
      </c>
      <c r="GC58" s="44">
        <v>2</v>
      </c>
      <c r="GD58" s="40"/>
      <c r="GE58">
        <v>120</v>
      </c>
      <c r="GF58">
        <v>120</v>
      </c>
      <c r="GG58">
        <v>128</v>
      </c>
      <c r="GH58">
        <v>130</v>
      </c>
      <c r="GI58" s="44">
        <v>-2</v>
      </c>
      <c r="GJ58" s="40"/>
      <c r="GK58">
        <v>472</v>
      </c>
      <c r="GL58" s="47">
        <v>470</v>
      </c>
      <c r="GM58" s="44">
        <v>2</v>
      </c>
      <c r="GN58" s="40"/>
      <c r="GO58" s="41">
        <v>160</v>
      </c>
      <c r="GP58">
        <v>161</v>
      </c>
      <c r="GQ58" s="44">
        <v>-1</v>
      </c>
      <c r="GR58" s="40"/>
      <c r="GS58">
        <v>96</v>
      </c>
      <c r="GT58">
        <v>100</v>
      </c>
      <c r="GV58">
        <v>160</v>
      </c>
      <c r="GW58">
        <v>160</v>
      </c>
      <c r="GX58" s="44">
        <v>-4</v>
      </c>
      <c r="GY58" s="40"/>
      <c r="HB58">
        <v>88</v>
      </c>
      <c r="HC58">
        <v>93</v>
      </c>
      <c r="HD58" s="44">
        <v>-5</v>
      </c>
      <c r="HE58" s="40"/>
      <c r="HF58" s="39"/>
      <c r="HH58">
        <v>104</v>
      </c>
      <c r="HI58">
        <v>107</v>
      </c>
      <c r="HJ58" s="44">
        <v>-3</v>
      </c>
      <c r="HK58" s="40"/>
      <c r="HL58" s="41">
        <v>496</v>
      </c>
      <c r="HM58">
        <v>500</v>
      </c>
      <c r="HN58">
        <v>504</v>
      </c>
      <c r="HO58">
        <v>500</v>
      </c>
      <c r="HP58" s="44">
        <v>0</v>
      </c>
      <c r="HQ58" s="40"/>
      <c r="HR58">
        <v>152</v>
      </c>
      <c r="HS58">
        <v>150</v>
      </c>
      <c r="HT58">
        <v>200</v>
      </c>
      <c r="HU58">
        <v>200</v>
      </c>
      <c r="HV58" s="44">
        <v>2</v>
      </c>
      <c r="HW58" s="43"/>
      <c r="HX58">
        <v>72</v>
      </c>
      <c r="HY58">
        <v>70</v>
      </c>
      <c r="HZ58">
        <v>96</v>
      </c>
      <c r="IA58">
        <v>100</v>
      </c>
      <c r="IB58" s="44">
        <v>-2</v>
      </c>
      <c r="IC58" s="43"/>
      <c r="ID58">
        <v>400</v>
      </c>
      <c r="IE58">
        <v>400</v>
      </c>
      <c r="IF58">
        <v>304</v>
      </c>
      <c r="IG58">
        <v>310</v>
      </c>
      <c r="IH58" s="44">
        <v>-6</v>
      </c>
      <c r="II58" s="43"/>
      <c r="IJ58">
        <v>200</v>
      </c>
      <c r="IK58">
        <v>200</v>
      </c>
      <c r="IL58">
        <v>168</v>
      </c>
      <c r="IM58">
        <v>170</v>
      </c>
      <c r="IN58" s="44">
        <v>-2</v>
      </c>
      <c r="IO58" s="40"/>
      <c r="IP58">
        <v>288</v>
      </c>
      <c r="IQ58">
        <v>270</v>
      </c>
      <c r="IR58" s="44">
        <v>18</v>
      </c>
      <c r="IS58" s="40"/>
      <c r="IT58">
        <v>352</v>
      </c>
      <c r="IU58">
        <v>350</v>
      </c>
      <c r="IV58">
        <v>304</v>
      </c>
      <c r="IW58">
        <v>306</v>
      </c>
      <c r="IX58" s="44">
        <v>0</v>
      </c>
      <c r="IY58" s="43"/>
      <c r="JB58" s="44">
        <v>0</v>
      </c>
      <c r="JC58" s="40"/>
      <c r="JD58">
        <v>96</v>
      </c>
      <c r="JE58">
        <v>100</v>
      </c>
      <c r="JF58">
        <v>848</v>
      </c>
      <c r="JG58">
        <v>850</v>
      </c>
      <c r="JH58" s="44">
        <v>-6</v>
      </c>
      <c r="JI58" s="40"/>
      <c r="JJ58">
        <v>269</v>
      </c>
      <c r="JK58">
        <v>300</v>
      </c>
      <c r="JL58">
        <v>328</v>
      </c>
      <c r="JM58">
        <v>332</v>
      </c>
      <c r="JN58" s="46">
        <v>-35</v>
      </c>
      <c r="JO58" s="43">
        <v>14</v>
      </c>
      <c r="JP58">
        <v>48</v>
      </c>
      <c r="JQ58">
        <v>50</v>
      </c>
      <c r="JR58">
        <v>152</v>
      </c>
      <c r="JS58">
        <v>150</v>
      </c>
      <c r="JT58" s="44">
        <v>0</v>
      </c>
      <c r="JU58" s="43"/>
      <c r="JZ58" s="44">
        <v>0</v>
      </c>
      <c r="KA58" s="43"/>
      <c r="KB58" s="41">
        <v>296</v>
      </c>
      <c r="KC58">
        <v>300</v>
      </c>
      <c r="KE58">
        <v>448</v>
      </c>
      <c r="KF58">
        <v>450</v>
      </c>
      <c r="KG58">
        <v>288</v>
      </c>
      <c r="KH58">
        <v>300</v>
      </c>
      <c r="KI58" s="46">
        <v>-18</v>
      </c>
      <c r="KJ58" s="43">
        <v>7.2</v>
      </c>
      <c r="KK58" s="47">
        <v>160</v>
      </c>
      <c r="KL58" s="47">
        <v>160</v>
      </c>
      <c r="KM58" s="47">
        <v>168</v>
      </c>
      <c r="KN58" s="47">
        <v>170</v>
      </c>
      <c r="KO58" s="44">
        <v>-2</v>
      </c>
      <c r="KP58" s="43"/>
      <c r="KQ58" s="47">
        <v>296</v>
      </c>
      <c r="KR58" s="47">
        <v>300</v>
      </c>
      <c r="KS58" s="47">
        <v>296</v>
      </c>
      <c r="KT58" s="47">
        <v>300</v>
      </c>
      <c r="KU58" s="44">
        <v>-8</v>
      </c>
      <c r="KV58" s="43"/>
      <c r="KW58" s="42">
        <v>200</v>
      </c>
      <c r="KX58" s="47">
        <v>200</v>
      </c>
      <c r="KY58" s="44">
        <v>0</v>
      </c>
      <c r="KZ58" s="43"/>
      <c r="LA58" s="42">
        <v>296</v>
      </c>
      <c r="LB58" s="47">
        <v>300</v>
      </c>
      <c r="LC58" s="47">
        <v>216</v>
      </c>
      <c r="LD58" s="47">
        <v>220</v>
      </c>
      <c r="LE58" s="44">
        <v>-8</v>
      </c>
      <c r="LF58" s="43"/>
      <c r="LG58" s="42">
        <v>272</v>
      </c>
      <c r="LH58" s="47">
        <v>270</v>
      </c>
      <c r="LI58" s="47">
        <v>280</v>
      </c>
      <c r="LJ58" s="47">
        <v>280</v>
      </c>
      <c r="LK58" s="44">
        <v>2</v>
      </c>
      <c r="LL58" s="43"/>
      <c r="LM58" s="42">
        <v>144</v>
      </c>
      <c r="LN58" s="47">
        <v>142</v>
      </c>
      <c r="LO58" s="44">
        <v>2</v>
      </c>
      <c r="LP58" s="43"/>
      <c r="LQ58" s="42">
        <v>0</v>
      </c>
      <c r="LR58" s="47">
        <v>0</v>
      </c>
      <c r="LS58" s="47">
        <v>0</v>
      </c>
      <c r="LT58" s="47">
        <v>0</v>
      </c>
      <c r="LU58" s="44">
        <v>0</v>
      </c>
      <c r="LV58" s="43"/>
      <c r="LW58" s="42">
        <v>0</v>
      </c>
      <c r="LX58" s="47">
        <v>0</v>
      </c>
      <c r="LY58" s="47">
        <v>0</v>
      </c>
      <c r="LZ58" s="47">
        <v>0</v>
      </c>
      <c r="MA58" s="44">
        <v>0</v>
      </c>
      <c r="MB58" s="43"/>
      <c r="MC58" s="42">
        <v>304</v>
      </c>
      <c r="MD58" s="47">
        <v>300</v>
      </c>
      <c r="ME58" s="47">
        <v>496</v>
      </c>
      <c r="MF58" s="47">
        <v>500</v>
      </c>
      <c r="MG58" s="44">
        <v>0</v>
      </c>
      <c r="MH58" s="43"/>
      <c r="MI58" s="42">
        <v>400</v>
      </c>
      <c r="MJ58" s="47">
        <v>400</v>
      </c>
      <c r="MK58" s="47">
        <v>256</v>
      </c>
      <c r="ML58" s="47">
        <v>250</v>
      </c>
      <c r="MM58" s="44">
        <v>6</v>
      </c>
      <c r="MN58" s="43"/>
      <c r="MO58" s="42">
        <v>96</v>
      </c>
      <c r="MP58" s="47">
        <v>100</v>
      </c>
      <c r="MQ58" s="47">
        <v>248</v>
      </c>
      <c r="MR58" s="47">
        <v>250</v>
      </c>
      <c r="MS58" s="44">
        <v>-6</v>
      </c>
      <c r="MT58" s="43"/>
      <c r="MU58" s="42">
        <v>136</v>
      </c>
      <c r="MV58" s="47">
        <v>150</v>
      </c>
      <c r="MW58" s="47">
        <v>200</v>
      </c>
      <c r="MX58" s="47">
        <v>200</v>
      </c>
      <c r="MY58" s="46">
        <v>-14</v>
      </c>
      <c r="MZ58" s="43">
        <v>5.6000000000000014</v>
      </c>
      <c r="NA58" s="42">
        <v>392</v>
      </c>
      <c r="NB58" s="47">
        <v>390</v>
      </c>
      <c r="NC58" s="47">
        <v>408</v>
      </c>
      <c r="ND58" s="47">
        <v>410</v>
      </c>
      <c r="NE58" s="44">
        <v>0</v>
      </c>
      <c r="NF58" s="43"/>
      <c r="NG58" s="42">
        <v>200</v>
      </c>
      <c r="NH58" s="47">
        <v>200</v>
      </c>
      <c r="NI58" s="47">
        <v>320</v>
      </c>
      <c r="NJ58" s="47">
        <v>320</v>
      </c>
      <c r="NK58" s="44">
        <v>0</v>
      </c>
      <c r="NL58" s="43"/>
      <c r="NM58" s="42">
        <v>96</v>
      </c>
      <c r="NN58" s="47">
        <v>100</v>
      </c>
      <c r="NO58" s="47">
        <v>96</v>
      </c>
      <c r="NP58" s="47">
        <v>100</v>
      </c>
      <c r="NQ58" s="44">
        <v>-8</v>
      </c>
      <c r="NR58" s="43"/>
      <c r="NS58" s="42">
        <v>320</v>
      </c>
      <c r="NT58" s="47">
        <v>320</v>
      </c>
      <c r="NU58" s="47">
        <v>496</v>
      </c>
      <c r="NV58" s="47">
        <v>500</v>
      </c>
      <c r="NW58" s="44">
        <v>-4</v>
      </c>
      <c r="NX58" s="43"/>
      <c r="NY58" s="42">
        <v>520</v>
      </c>
      <c r="NZ58" s="47">
        <v>525</v>
      </c>
      <c r="OA58" s="47">
        <v>520</v>
      </c>
      <c r="OB58" s="47">
        <v>525</v>
      </c>
      <c r="OC58" s="44">
        <v>-10</v>
      </c>
      <c r="OD58" s="43"/>
      <c r="OE58" s="42">
        <v>320</v>
      </c>
      <c r="OF58" s="47">
        <v>320</v>
      </c>
      <c r="OG58" s="47">
        <v>280</v>
      </c>
      <c r="OH58" s="47">
        <v>280</v>
      </c>
      <c r="OI58" s="44">
        <v>0</v>
      </c>
      <c r="OJ58" s="43"/>
      <c r="OK58" s="42">
        <v>696</v>
      </c>
      <c r="OL58" s="47">
        <v>700</v>
      </c>
      <c r="OM58" s="47">
        <v>552</v>
      </c>
      <c r="ON58" s="47">
        <v>550</v>
      </c>
      <c r="OO58" s="44">
        <v>-2</v>
      </c>
      <c r="OP58" s="43"/>
      <c r="OQ58" s="42">
        <v>240</v>
      </c>
      <c r="OR58" s="47">
        <v>240</v>
      </c>
      <c r="OS58" s="47">
        <v>152</v>
      </c>
      <c r="OT58" s="47">
        <v>154</v>
      </c>
      <c r="OU58" s="44">
        <v>-2</v>
      </c>
      <c r="OV58" s="43"/>
      <c r="OW58" s="42">
        <v>296</v>
      </c>
      <c r="OX58" s="47">
        <v>300</v>
      </c>
      <c r="OY58" s="47">
        <v>296</v>
      </c>
      <c r="OZ58" s="47">
        <v>300</v>
      </c>
      <c r="PA58" s="44">
        <v>-8</v>
      </c>
      <c r="PB58" s="43"/>
      <c r="PC58" s="42">
        <v>0</v>
      </c>
      <c r="PD58" s="47">
        <v>0</v>
      </c>
      <c r="PE58" s="47">
        <v>0</v>
      </c>
      <c r="PF58" s="47">
        <v>0</v>
      </c>
      <c r="PG58" s="44">
        <v>0</v>
      </c>
      <c r="PH58" s="43"/>
      <c r="PI58" s="42">
        <v>192</v>
      </c>
      <c r="PJ58" s="47">
        <v>500</v>
      </c>
      <c r="PK58" s="47">
        <v>464</v>
      </c>
      <c r="PL58" s="47">
        <v>462</v>
      </c>
      <c r="PM58" s="46">
        <v>-306</v>
      </c>
      <c r="PN58" s="43">
        <v>122.4</v>
      </c>
      <c r="PO58" s="42">
        <v>0</v>
      </c>
      <c r="PP58" s="47">
        <v>0</v>
      </c>
      <c r="PQ58" s="47">
        <v>0</v>
      </c>
      <c r="PR58" s="47">
        <v>0</v>
      </c>
      <c r="PS58" s="44">
        <v>0</v>
      </c>
      <c r="PT58" s="43"/>
      <c r="PU58" s="42">
        <v>0</v>
      </c>
      <c r="PV58" s="47">
        <v>0</v>
      </c>
      <c r="PW58" s="47">
        <v>432</v>
      </c>
      <c r="PX58" s="47">
        <v>450</v>
      </c>
      <c r="PY58" s="46">
        <v>-18</v>
      </c>
      <c r="PZ58" s="43">
        <v>7.2</v>
      </c>
      <c r="QA58" s="42">
        <v>896</v>
      </c>
      <c r="QB58" s="47">
        <v>900</v>
      </c>
      <c r="QC58" s="44">
        <v>-4</v>
      </c>
      <c r="QD58" s="43"/>
      <c r="QE58" s="42">
        <v>96</v>
      </c>
      <c r="QF58" s="47">
        <v>100</v>
      </c>
      <c r="QG58" s="44">
        <v>-4</v>
      </c>
      <c r="QH58" s="43"/>
      <c r="QI58" s="42">
        <v>800</v>
      </c>
      <c r="QJ58" s="47">
        <v>800</v>
      </c>
      <c r="QK58" s="44">
        <v>0</v>
      </c>
      <c r="QL58" s="43"/>
      <c r="QM58" s="42">
        <v>0</v>
      </c>
      <c r="QN58" s="47">
        <v>0</v>
      </c>
      <c r="QO58" s="47">
        <v>0</v>
      </c>
      <c r="QP58" s="47">
        <v>0</v>
      </c>
      <c r="QQ58" s="44">
        <v>0</v>
      </c>
      <c r="QR58" s="43"/>
      <c r="QS58" s="42">
        <v>0</v>
      </c>
      <c r="QT58" s="47">
        <v>0</v>
      </c>
      <c r="QU58" s="44">
        <v>0</v>
      </c>
      <c r="QV58" s="43"/>
      <c r="QW58" s="42">
        <v>680</v>
      </c>
      <c r="QX58" s="47">
        <v>685</v>
      </c>
      <c r="QY58" s="44">
        <v>-5</v>
      </c>
      <c r="QZ58" s="43"/>
    </row>
    <row r="59" spans="1:468" x14ac:dyDescent="0.25">
      <c r="A59" s="47" t="s">
        <v>343</v>
      </c>
      <c r="B59" s="38">
        <v>0.5</v>
      </c>
      <c r="N59" s="39"/>
      <c r="O59" s="48"/>
      <c r="P59" s="48"/>
      <c r="Q59" s="48"/>
      <c r="R59" s="48">
        <f t="shared" si="8"/>
        <v>0</v>
      </c>
      <c r="S59" s="40"/>
      <c r="T59" s="39"/>
      <c r="U59" s="48"/>
      <c r="V59" s="48">
        <f t="shared" si="9"/>
        <v>0</v>
      </c>
      <c r="W59" s="40"/>
      <c r="X59" s="39"/>
      <c r="Y59" s="48"/>
      <c r="Z59" s="48"/>
      <c r="AA59" s="48"/>
      <c r="AB59" s="48">
        <f t="shared" si="10"/>
        <v>0</v>
      </c>
      <c r="AC59" s="40"/>
      <c r="AD59" s="48"/>
      <c r="AH59" s="44">
        <v>0</v>
      </c>
      <c r="AI59" s="40"/>
      <c r="AN59" s="44">
        <v>0</v>
      </c>
      <c r="AO59" s="40"/>
      <c r="AT59" s="44">
        <v>0</v>
      </c>
      <c r="AU59" s="40"/>
      <c r="AV59" s="39"/>
      <c r="AX59" s="44">
        <v>0</v>
      </c>
      <c r="AY59" s="40"/>
      <c r="AZ59" s="39"/>
      <c r="BB59" s="44">
        <v>0</v>
      </c>
      <c r="BC59" s="40"/>
      <c r="BH59" s="44">
        <v>0</v>
      </c>
      <c r="BI59" s="40"/>
      <c r="BL59" s="44">
        <v>0</v>
      </c>
      <c r="BM59" s="40"/>
      <c r="BN59" s="39"/>
      <c r="BR59" s="44">
        <v>0</v>
      </c>
      <c r="BS59" s="40"/>
      <c r="BV59" s="44">
        <v>0</v>
      </c>
      <c r="BW59" s="40"/>
      <c r="BX59" s="39"/>
      <c r="BZ59" s="44">
        <v>0</v>
      </c>
      <c r="CA59" s="40"/>
      <c r="CB59" s="39"/>
      <c r="CH59" s="44">
        <v>0</v>
      </c>
      <c r="CI59" s="40"/>
      <c r="CN59" s="44">
        <v>0</v>
      </c>
      <c r="CO59" s="40"/>
      <c r="CP59" s="39"/>
      <c r="CT59" s="44">
        <v>0</v>
      </c>
      <c r="CU59" s="40"/>
      <c r="CV59" s="39"/>
      <c r="CZ59" s="44">
        <v>0</v>
      </c>
      <c r="DA59" s="40"/>
      <c r="DB59" s="39"/>
      <c r="DF59" s="44">
        <v>0</v>
      </c>
      <c r="DG59" s="40"/>
      <c r="DN59" s="44">
        <v>0</v>
      </c>
      <c r="DO59" s="40"/>
      <c r="DP59" s="39"/>
      <c r="DR59" s="44">
        <v>0</v>
      </c>
      <c r="DS59" s="40"/>
      <c r="DT59" s="39"/>
      <c r="DX59" s="44">
        <v>0</v>
      </c>
      <c r="DY59" s="40"/>
      <c r="DZ59" s="39"/>
      <c r="EB59" s="44">
        <v>0</v>
      </c>
      <c r="EC59" s="40"/>
      <c r="EK59" s="44">
        <v>0</v>
      </c>
      <c r="EL59" s="40"/>
      <c r="ES59" s="44">
        <v>0</v>
      </c>
      <c r="ET59" s="40"/>
      <c r="EU59" s="39"/>
      <c r="EY59" s="44">
        <v>0</v>
      </c>
      <c r="EZ59" s="40"/>
      <c r="FA59" s="39"/>
      <c r="FD59" s="44">
        <v>0</v>
      </c>
      <c r="FE59" s="40"/>
      <c r="FH59" s="44">
        <v>0</v>
      </c>
      <c r="FI59" s="40"/>
      <c r="FJ59" s="39"/>
      <c r="FQ59" s="44">
        <v>0</v>
      </c>
      <c r="FR59" s="40"/>
      <c r="FW59" s="44">
        <v>0</v>
      </c>
      <c r="FX59" s="40"/>
      <c r="FY59" s="39"/>
      <c r="GC59" s="44">
        <v>0</v>
      </c>
      <c r="GD59" s="40"/>
      <c r="GG59">
        <v>32</v>
      </c>
      <c r="GH59">
        <v>32</v>
      </c>
      <c r="GI59" s="44">
        <v>0</v>
      </c>
      <c r="GJ59" s="40"/>
      <c r="GK59">
        <v>8</v>
      </c>
      <c r="GL59" s="47">
        <v>13</v>
      </c>
      <c r="GM59" s="44">
        <v>-5</v>
      </c>
      <c r="GN59" s="40"/>
      <c r="GO59" s="39"/>
      <c r="GQ59" s="44">
        <v>0</v>
      </c>
      <c r="GR59" s="40"/>
      <c r="GX59" s="44">
        <v>0</v>
      </c>
      <c r="GY59" s="40"/>
      <c r="HD59" s="44">
        <v>0</v>
      </c>
      <c r="HE59" s="40"/>
      <c r="HF59" s="39"/>
      <c r="HJ59" s="44">
        <v>0</v>
      </c>
      <c r="HK59" s="40"/>
      <c r="HL59" s="39"/>
      <c r="HP59" s="44">
        <v>0</v>
      </c>
      <c r="HQ59" s="40"/>
      <c r="HT59">
        <v>80</v>
      </c>
      <c r="HU59">
        <v>80</v>
      </c>
      <c r="HV59" s="44">
        <v>0</v>
      </c>
      <c r="HW59" s="43"/>
      <c r="IB59" s="44">
        <v>0</v>
      </c>
      <c r="IC59" s="43"/>
      <c r="IH59" s="44">
        <v>0</v>
      </c>
      <c r="II59" s="43"/>
      <c r="IN59" s="44">
        <v>0</v>
      </c>
      <c r="IO59" s="40"/>
      <c r="IR59" s="44">
        <v>0</v>
      </c>
      <c r="IS59" s="40"/>
      <c r="IX59" s="44">
        <v>0</v>
      </c>
      <c r="IY59" s="43"/>
      <c r="JB59" s="44">
        <v>0</v>
      </c>
      <c r="JC59" s="40"/>
      <c r="JF59">
        <v>16</v>
      </c>
      <c r="JG59">
        <v>16</v>
      </c>
      <c r="JH59" s="44">
        <v>0</v>
      </c>
      <c r="JI59" s="40"/>
      <c r="JL59">
        <v>80</v>
      </c>
      <c r="JM59">
        <v>40</v>
      </c>
      <c r="JN59" s="44">
        <v>40</v>
      </c>
      <c r="JO59" s="43"/>
      <c r="JR59">
        <v>56</v>
      </c>
      <c r="JS59">
        <v>56</v>
      </c>
      <c r="JT59" s="44">
        <v>0</v>
      </c>
      <c r="JU59" s="43"/>
      <c r="JX59">
        <v>16</v>
      </c>
      <c r="JY59">
        <v>16</v>
      </c>
      <c r="JZ59" s="44">
        <v>0</v>
      </c>
      <c r="KA59" s="43"/>
      <c r="KB59" s="42"/>
      <c r="KE59">
        <v>40</v>
      </c>
      <c r="KF59">
        <v>40</v>
      </c>
      <c r="KG59">
        <v>40</v>
      </c>
      <c r="KH59">
        <v>40</v>
      </c>
      <c r="KI59" s="44">
        <v>0</v>
      </c>
      <c r="KJ59" s="43"/>
      <c r="KK59" s="47">
        <v>0</v>
      </c>
      <c r="KL59" s="47">
        <v>0</v>
      </c>
      <c r="KM59" s="47">
        <v>16</v>
      </c>
      <c r="KN59" s="47">
        <v>16</v>
      </c>
      <c r="KO59" s="44">
        <v>0</v>
      </c>
      <c r="KP59" s="43"/>
      <c r="KQ59" s="47">
        <v>0</v>
      </c>
      <c r="KR59" s="47">
        <v>0</v>
      </c>
      <c r="KS59" s="47">
        <v>0</v>
      </c>
      <c r="KT59" s="47">
        <v>0</v>
      </c>
      <c r="KU59" s="44">
        <v>0</v>
      </c>
      <c r="KV59" s="43"/>
      <c r="KW59" s="42">
        <v>0</v>
      </c>
      <c r="KX59" s="47">
        <v>0</v>
      </c>
      <c r="KY59" s="44">
        <v>0</v>
      </c>
      <c r="KZ59" s="43"/>
      <c r="LA59" s="42">
        <v>0</v>
      </c>
      <c r="LB59" s="47">
        <v>0</v>
      </c>
      <c r="LC59" s="47">
        <v>16</v>
      </c>
      <c r="LD59" s="47">
        <v>20</v>
      </c>
      <c r="LE59" s="44">
        <v>-4</v>
      </c>
      <c r="LF59" s="43"/>
      <c r="LG59" s="42">
        <v>0</v>
      </c>
      <c r="LH59" s="47">
        <v>0</v>
      </c>
      <c r="LI59" s="47">
        <v>0</v>
      </c>
      <c r="LJ59" s="47">
        <v>0</v>
      </c>
      <c r="LK59" s="44">
        <v>0</v>
      </c>
      <c r="LL59" s="43"/>
      <c r="LM59" s="42">
        <v>0</v>
      </c>
      <c r="LN59" s="47">
        <v>0</v>
      </c>
      <c r="LO59" s="44">
        <v>0</v>
      </c>
      <c r="LP59" s="43"/>
      <c r="LQ59" s="42">
        <v>0</v>
      </c>
      <c r="LR59" s="47">
        <v>0</v>
      </c>
      <c r="LS59" s="47">
        <v>0</v>
      </c>
      <c r="LT59" s="47">
        <v>0</v>
      </c>
      <c r="LU59" s="44">
        <v>0</v>
      </c>
      <c r="LV59" s="43"/>
      <c r="LW59" s="42">
        <v>80</v>
      </c>
      <c r="LX59" s="47">
        <v>80</v>
      </c>
      <c r="LY59" s="47">
        <v>0</v>
      </c>
      <c r="LZ59" s="47">
        <v>0</v>
      </c>
      <c r="MA59" s="44">
        <v>0</v>
      </c>
      <c r="MB59" s="43"/>
      <c r="MC59" s="42">
        <v>0</v>
      </c>
      <c r="MD59" s="47">
        <v>0</v>
      </c>
      <c r="ME59" s="47">
        <v>48</v>
      </c>
      <c r="MF59" s="47">
        <v>50</v>
      </c>
      <c r="MG59" s="44">
        <v>-2</v>
      </c>
      <c r="MH59" s="43"/>
      <c r="MI59" s="42">
        <v>0</v>
      </c>
      <c r="MJ59" s="47">
        <v>0</v>
      </c>
      <c r="MK59" s="47">
        <v>40</v>
      </c>
      <c r="ML59" s="47">
        <v>40</v>
      </c>
      <c r="MM59" s="44">
        <v>0</v>
      </c>
      <c r="MN59" s="43"/>
      <c r="MO59" s="42">
        <v>0</v>
      </c>
      <c r="MP59" s="47">
        <v>0</v>
      </c>
      <c r="MQ59" s="47">
        <v>72</v>
      </c>
      <c r="MR59" s="47">
        <v>70</v>
      </c>
      <c r="MS59" s="44">
        <v>2</v>
      </c>
      <c r="MT59" s="43"/>
      <c r="MU59" s="42">
        <v>72</v>
      </c>
      <c r="MV59" s="47">
        <v>20</v>
      </c>
      <c r="MW59" s="47">
        <v>40</v>
      </c>
      <c r="MX59" s="47">
        <v>40</v>
      </c>
      <c r="MY59" s="44">
        <v>52</v>
      </c>
      <c r="MZ59" s="43"/>
      <c r="NA59" s="42">
        <v>0</v>
      </c>
      <c r="NB59" s="47">
        <v>0</v>
      </c>
      <c r="NC59" s="47">
        <v>72</v>
      </c>
      <c r="ND59" s="47">
        <v>70</v>
      </c>
      <c r="NE59" s="44">
        <v>2</v>
      </c>
      <c r="NF59" s="43"/>
      <c r="NG59" s="42">
        <v>0</v>
      </c>
      <c r="NH59" s="47">
        <v>0</v>
      </c>
      <c r="NI59" s="47">
        <v>16</v>
      </c>
      <c r="NJ59" s="47">
        <v>16</v>
      </c>
      <c r="NK59" s="44">
        <v>0</v>
      </c>
      <c r="NL59" s="43"/>
      <c r="NM59" s="42">
        <v>0</v>
      </c>
      <c r="NN59" s="47">
        <v>0</v>
      </c>
      <c r="NO59" s="47">
        <v>48</v>
      </c>
      <c r="NP59" s="47">
        <v>50</v>
      </c>
      <c r="NQ59" s="44">
        <v>-2</v>
      </c>
      <c r="NR59" s="43"/>
      <c r="NS59" s="42">
        <v>0</v>
      </c>
      <c r="NT59" s="47">
        <v>0</v>
      </c>
      <c r="NU59" s="47">
        <v>0</v>
      </c>
      <c r="NV59" s="47">
        <v>0</v>
      </c>
      <c r="NW59" s="44">
        <v>0</v>
      </c>
      <c r="NX59" s="43"/>
      <c r="NY59" s="42">
        <v>0</v>
      </c>
      <c r="NZ59" s="47">
        <v>0</v>
      </c>
      <c r="OA59" s="47">
        <v>0</v>
      </c>
      <c r="OB59" s="47">
        <v>0</v>
      </c>
      <c r="OC59" s="44">
        <v>0</v>
      </c>
      <c r="OD59" s="43"/>
      <c r="OE59" s="42">
        <v>0</v>
      </c>
      <c r="OF59" s="47">
        <v>0</v>
      </c>
      <c r="OG59" s="47">
        <v>0</v>
      </c>
      <c r="OH59" s="47">
        <v>0</v>
      </c>
      <c r="OI59" s="44">
        <v>0</v>
      </c>
      <c r="OJ59" s="43"/>
      <c r="OK59" s="13">
        <v>112</v>
      </c>
      <c r="OL59" s="47">
        <v>0</v>
      </c>
      <c r="OM59" s="12">
        <v>88</v>
      </c>
      <c r="ON59" s="47">
        <v>0</v>
      </c>
      <c r="OO59" s="44">
        <v>0</v>
      </c>
      <c r="OP59" s="43"/>
      <c r="OQ59" s="42">
        <v>0</v>
      </c>
      <c r="OR59" s="47">
        <v>0</v>
      </c>
      <c r="OS59" s="12">
        <v>40</v>
      </c>
      <c r="OT59" s="47">
        <v>0</v>
      </c>
      <c r="OU59" s="44">
        <v>0</v>
      </c>
      <c r="OV59" s="43"/>
      <c r="OW59" s="42"/>
      <c r="PB59" s="43"/>
      <c r="PC59" s="42"/>
      <c r="PH59" s="43"/>
      <c r="PI59" s="42"/>
      <c r="PN59" s="43"/>
      <c r="PO59" s="42"/>
      <c r="PT59" s="43"/>
      <c r="PU59" s="42"/>
      <c r="PZ59" s="43"/>
      <c r="QA59" s="42"/>
      <c r="QD59" s="43"/>
      <c r="QE59" s="42"/>
      <c r="QH59" s="43"/>
      <c r="QI59" s="42"/>
      <c r="QL59" s="43"/>
      <c r="QM59" s="42"/>
      <c r="QR59" s="43"/>
      <c r="QS59" s="42"/>
      <c r="QV59" s="43"/>
      <c r="QW59" s="42"/>
      <c r="QY59" s="44"/>
      <c r="QZ59" s="43"/>
    </row>
    <row r="60" spans="1:468" x14ac:dyDescent="0.25">
      <c r="A60" s="47" t="s">
        <v>344</v>
      </c>
      <c r="B60" s="38">
        <v>0.5</v>
      </c>
      <c r="N60" s="39"/>
      <c r="O60" s="48"/>
      <c r="P60" s="48"/>
      <c r="Q60" s="48"/>
      <c r="R60" s="48">
        <f t="shared" si="8"/>
        <v>0</v>
      </c>
      <c r="S60" s="40"/>
      <c r="T60" s="39"/>
      <c r="U60" s="48"/>
      <c r="V60" s="48">
        <f t="shared" si="9"/>
        <v>0</v>
      </c>
      <c r="W60" s="40"/>
      <c r="X60" s="39"/>
      <c r="Y60" s="48"/>
      <c r="Z60" s="48"/>
      <c r="AA60" s="48"/>
      <c r="AB60" s="48">
        <f t="shared" si="10"/>
        <v>0</v>
      </c>
      <c r="AC60" s="40"/>
      <c r="AD60" s="48"/>
      <c r="AH60" s="44">
        <v>0</v>
      </c>
      <c r="AI60" s="40"/>
      <c r="AN60" s="44">
        <v>0</v>
      </c>
      <c r="AO60" s="40"/>
      <c r="AT60" s="44">
        <v>0</v>
      </c>
      <c r="AU60" s="40"/>
      <c r="AV60" s="39"/>
      <c r="AX60" s="44">
        <v>0</v>
      </c>
      <c r="AY60" s="40"/>
      <c r="AZ60" s="39"/>
      <c r="BB60" s="44">
        <v>0</v>
      </c>
      <c r="BC60" s="40"/>
      <c r="BH60" s="44">
        <v>0</v>
      </c>
      <c r="BI60" s="40"/>
      <c r="BL60" s="44">
        <v>0</v>
      </c>
      <c r="BM60" s="40"/>
      <c r="BN60" s="39"/>
      <c r="BR60" s="44">
        <v>0</v>
      </c>
      <c r="BS60" s="40"/>
      <c r="BV60" s="44">
        <v>0</v>
      </c>
      <c r="BW60" s="40"/>
      <c r="BX60" s="39"/>
      <c r="BZ60" s="44">
        <v>0</v>
      </c>
      <c r="CA60" s="40"/>
      <c r="CB60" s="39"/>
      <c r="CH60" s="44">
        <v>0</v>
      </c>
      <c r="CI60" s="40"/>
      <c r="CN60" s="44">
        <v>0</v>
      </c>
      <c r="CO60" s="40"/>
      <c r="CP60" s="39"/>
      <c r="CT60" s="44">
        <v>0</v>
      </c>
      <c r="CU60" s="40"/>
      <c r="CV60" s="39"/>
      <c r="CZ60" s="44">
        <v>0</v>
      </c>
      <c r="DA60" s="40"/>
      <c r="DB60" s="39"/>
      <c r="DF60" s="44">
        <v>0</v>
      </c>
      <c r="DG60" s="40"/>
      <c r="DN60" s="44">
        <v>0</v>
      </c>
      <c r="DO60" s="40"/>
      <c r="DP60" s="39"/>
      <c r="DR60" s="44">
        <v>0</v>
      </c>
      <c r="DS60" s="40"/>
      <c r="DT60" s="39"/>
      <c r="DX60" s="44">
        <v>0</v>
      </c>
      <c r="DY60" s="40"/>
      <c r="DZ60" s="39"/>
      <c r="EB60" s="44">
        <v>0</v>
      </c>
      <c r="EC60" s="40"/>
      <c r="EK60" s="44">
        <v>0</v>
      </c>
      <c r="EL60" s="40"/>
      <c r="ES60" s="44">
        <v>0</v>
      </c>
      <c r="ET60" s="40"/>
      <c r="EU60" s="39"/>
      <c r="EY60" s="44">
        <v>0</v>
      </c>
      <c r="EZ60" s="40"/>
      <c r="FA60" s="39"/>
      <c r="FB60">
        <v>8</v>
      </c>
      <c r="FC60">
        <v>7</v>
      </c>
      <c r="FD60" s="44">
        <v>1</v>
      </c>
      <c r="FE60" s="40"/>
      <c r="FH60" s="44">
        <v>0</v>
      </c>
      <c r="FI60" s="40"/>
      <c r="FJ60" s="39"/>
      <c r="FQ60" s="44">
        <v>0</v>
      </c>
      <c r="FR60" s="40"/>
      <c r="FW60" s="44">
        <v>0</v>
      </c>
      <c r="FX60" s="40"/>
      <c r="FY60" s="39"/>
      <c r="GA60">
        <v>8</v>
      </c>
      <c r="GB60">
        <v>12</v>
      </c>
      <c r="GC60" s="44">
        <v>-4</v>
      </c>
      <c r="GD60" s="40"/>
      <c r="GI60" s="44">
        <v>0</v>
      </c>
      <c r="GJ60" s="40"/>
      <c r="GM60" s="44">
        <v>0</v>
      </c>
      <c r="GN60" s="40"/>
      <c r="GO60" s="39"/>
      <c r="GQ60" s="44">
        <v>0</v>
      </c>
      <c r="GR60" s="40"/>
      <c r="GX60" s="44">
        <v>0</v>
      </c>
      <c r="GY60" s="40"/>
      <c r="HD60" s="44">
        <v>0</v>
      </c>
      <c r="HE60" s="40"/>
      <c r="HF60" s="39"/>
      <c r="HJ60" s="44">
        <v>0</v>
      </c>
      <c r="HK60" s="40"/>
      <c r="HL60" s="39"/>
      <c r="HN60">
        <v>8</v>
      </c>
      <c r="HO60">
        <v>8</v>
      </c>
      <c r="HP60" s="44">
        <v>0</v>
      </c>
      <c r="HQ60" s="40"/>
      <c r="HT60">
        <v>8</v>
      </c>
      <c r="HU60">
        <v>10</v>
      </c>
      <c r="HV60" s="44">
        <v>-2</v>
      </c>
      <c r="HW60" s="43"/>
      <c r="HZ60">
        <v>8</v>
      </c>
      <c r="IA60">
        <v>4</v>
      </c>
      <c r="IB60" s="44">
        <v>4</v>
      </c>
      <c r="IC60" s="43"/>
      <c r="IF60">
        <v>8</v>
      </c>
      <c r="IG60">
        <v>8</v>
      </c>
      <c r="IH60" s="44">
        <v>0</v>
      </c>
      <c r="II60" s="43"/>
      <c r="IL60">
        <v>8</v>
      </c>
      <c r="IM60">
        <v>11</v>
      </c>
      <c r="IN60" s="44">
        <v>-3</v>
      </c>
      <c r="IO60" s="40"/>
      <c r="IR60" s="44">
        <v>0</v>
      </c>
      <c r="IS60" s="40"/>
      <c r="IV60">
        <v>8</v>
      </c>
      <c r="IW60">
        <v>12</v>
      </c>
      <c r="IX60" s="44">
        <v>-4</v>
      </c>
      <c r="IY60" s="43"/>
      <c r="JB60" s="44">
        <v>0</v>
      </c>
      <c r="JC60" s="40"/>
      <c r="JH60" s="44">
        <v>0</v>
      </c>
      <c r="JI60" s="40"/>
      <c r="JN60" s="44">
        <v>0</v>
      </c>
      <c r="JO60" s="43"/>
      <c r="JT60" s="44">
        <v>0</v>
      </c>
      <c r="JU60" s="43"/>
      <c r="JV60">
        <v>32</v>
      </c>
      <c r="JW60">
        <v>30</v>
      </c>
      <c r="JX60">
        <v>16</v>
      </c>
      <c r="JY60">
        <v>40</v>
      </c>
      <c r="JZ60" s="46">
        <v>-22</v>
      </c>
      <c r="KA60" s="43">
        <v>11</v>
      </c>
      <c r="KB60" s="42"/>
      <c r="KI60" s="44">
        <v>0</v>
      </c>
      <c r="KJ60" s="43"/>
      <c r="KK60" s="47">
        <v>0</v>
      </c>
      <c r="KL60" s="47">
        <v>0</v>
      </c>
      <c r="KM60" s="47">
        <v>16</v>
      </c>
      <c r="KN60" s="47">
        <v>21</v>
      </c>
      <c r="KO60" s="44">
        <v>-5</v>
      </c>
      <c r="KP60" s="43"/>
      <c r="KQ60" s="47">
        <v>0</v>
      </c>
      <c r="KR60" s="47">
        <v>0</v>
      </c>
      <c r="KS60" s="47">
        <v>0</v>
      </c>
      <c r="KT60" s="47">
        <v>0</v>
      </c>
      <c r="KU60" s="44">
        <v>0</v>
      </c>
      <c r="KV60" s="43"/>
      <c r="KW60" s="42">
        <v>0</v>
      </c>
      <c r="KX60" s="47">
        <v>0</v>
      </c>
      <c r="KY60" s="44">
        <v>0</v>
      </c>
      <c r="KZ60" s="43"/>
      <c r="LA60" s="42">
        <v>0</v>
      </c>
      <c r="LB60" s="47">
        <v>0</v>
      </c>
      <c r="LC60" s="47">
        <v>24</v>
      </c>
      <c r="LD60" s="47">
        <v>25</v>
      </c>
      <c r="LE60" s="44">
        <v>-1</v>
      </c>
      <c r="LF60" s="43"/>
      <c r="LG60" s="42">
        <v>0</v>
      </c>
      <c r="LH60" s="47">
        <v>0</v>
      </c>
      <c r="LI60" s="47">
        <v>0</v>
      </c>
      <c r="LJ60" s="47">
        <v>0</v>
      </c>
      <c r="LK60" s="44">
        <v>0</v>
      </c>
      <c r="LL60" s="43"/>
      <c r="LM60" s="42">
        <v>0</v>
      </c>
      <c r="LN60" s="47">
        <v>0</v>
      </c>
      <c r="LO60" s="44">
        <v>0</v>
      </c>
      <c r="LP60" s="43"/>
      <c r="LQ60" s="42">
        <v>0</v>
      </c>
      <c r="LR60" s="47">
        <v>0</v>
      </c>
      <c r="LS60" s="47">
        <v>0</v>
      </c>
      <c r="LT60" s="47">
        <v>0</v>
      </c>
      <c r="LU60" s="44">
        <v>0</v>
      </c>
      <c r="LV60" s="43"/>
      <c r="LW60" s="42">
        <v>32</v>
      </c>
      <c r="LX60" s="47">
        <v>30</v>
      </c>
      <c r="LY60" s="47">
        <v>0</v>
      </c>
      <c r="LZ60" s="47">
        <v>0</v>
      </c>
      <c r="MA60" s="44">
        <v>2</v>
      </c>
      <c r="MB60" s="43"/>
      <c r="MC60" s="42">
        <v>0</v>
      </c>
      <c r="MD60" s="47">
        <v>0</v>
      </c>
      <c r="ME60" s="47">
        <v>56</v>
      </c>
      <c r="MF60" s="47">
        <v>60</v>
      </c>
      <c r="MG60" s="44">
        <v>-4</v>
      </c>
      <c r="MH60" s="43"/>
      <c r="MI60" s="42">
        <v>0</v>
      </c>
      <c r="MJ60" s="47">
        <v>0</v>
      </c>
      <c r="MK60" s="47">
        <v>24</v>
      </c>
      <c r="ML60" s="47">
        <v>25</v>
      </c>
      <c r="MM60" s="44">
        <v>-1</v>
      </c>
      <c r="MN60" s="43"/>
      <c r="MO60" s="42">
        <v>0</v>
      </c>
      <c r="MP60" s="47">
        <v>0</v>
      </c>
      <c r="MQ60" s="47">
        <v>8</v>
      </c>
      <c r="MR60" s="47">
        <v>10</v>
      </c>
      <c r="MS60" s="44">
        <v>-2</v>
      </c>
      <c r="MT60" s="43"/>
      <c r="MU60" s="42">
        <v>0</v>
      </c>
      <c r="MV60" s="47">
        <v>0</v>
      </c>
      <c r="MW60" s="47">
        <v>32</v>
      </c>
      <c r="MX60" s="47">
        <v>35</v>
      </c>
      <c r="MY60" s="44">
        <v>-3</v>
      </c>
      <c r="MZ60" s="43"/>
      <c r="NA60" s="42">
        <v>0</v>
      </c>
      <c r="NB60" s="47">
        <v>0</v>
      </c>
      <c r="NC60" s="47">
        <v>0</v>
      </c>
      <c r="ND60" s="47">
        <v>0</v>
      </c>
      <c r="NE60" s="44">
        <v>0</v>
      </c>
      <c r="NF60" s="43"/>
      <c r="NG60" s="42">
        <v>0</v>
      </c>
      <c r="NH60" s="47">
        <v>0</v>
      </c>
      <c r="NI60" s="47">
        <v>16</v>
      </c>
      <c r="NJ60" s="47">
        <v>18</v>
      </c>
      <c r="NK60" s="44">
        <v>-2</v>
      </c>
      <c r="NL60" s="43"/>
      <c r="NM60" s="42">
        <v>0</v>
      </c>
      <c r="NN60" s="47">
        <v>0</v>
      </c>
      <c r="NO60" s="47">
        <v>0</v>
      </c>
      <c r="NP60" s="47">
        <v>0</v>
      </c>
      <c r="NQ60" s="44">
        <v>0</v>
      </c>
      <c r="NR60" s="43"/>
      <c r="NS60" s="42">
        <v>48</v>
      </c>
      <c r="NT60" s="47">
        <v>50</v>
      </c>
      <c r="NU60" s="47">
        <v>0</v>
      </c>
      <c r="NV60" s="47">
        <v>0</v>
      </c>
      <c r="NW60" s="44">
        <v>-2</v>
      </c>
      <c r="NX60" s="43"/>
      <c r="NY60" s="42">
        <v>0</v>
      </c>
      <c r="NZ60" s="47">
        <v>0</v>
      </c>
      <c r="OA60" s="47">
        <v>88</v>
      </c>
      <c r="OB60" s="47">
        <v>91</v>
      </c>
      <c r="OC60" s="44">
        <v>-3</v>
      </c>
      <c r="OD60" s="43"/>
      <c r="OE60" s="42">
        <v>0</v>
      </c>
      <c r="OF60" s="47">
        <v>0</v>
      </c>
      <c r="OG60" s="47">
        <v>0</v>
      </c>
      <c r="OH60" s="47">
        <v>0</v>
      </c>
      <c r="OI60" s="44">
        <v>0</v>
      </c>
      <c r="OJ60" s="43"/>
      <c r="OK60" s="42">
        <v>0</v>
      </c>
      <c r="OL60" s="47">
        <v>0</v>
      </c>
      <c r="OM60" s="12">
        <v>40</v>
      </c>
      <c r="ON60" s="47">
        <v>0</v>
      </c>
      <c r="OO60" s="44">
        <v>0</v>
      </c>
      <c r="OP60" s="43"/>
      <c r="OQ60" s="42">
        <v>0</v>
      </c>
      <c r="OR60" s="47">
        <v>0</v>
      </c>
      <c r="OS60" s="12">
        <v>16</v>
      </c>
      <c r="OT60" s="47">
        <v>0</v>
      </c>
      <c r="OU60" s="44">
        <v>0</v>
      </c>
      <c r="OV60" s="43"/>
      <c r="OW60" s="42"/>
      <c r="PB60" s="43"/>
      <c r="PC60" s="42"/>
      <c r="PH60" s="43"/>
      <c r="PI60" s="42"/>
      <c r="PN60" s="43"/>
      <c r="PO60" s="42"/>
      <c r="PT60" s="43"/>
      <c r="PU60" s="42"/>
      <c r="PZ60" s="43"/>
      <c r="QA60" s="42"/>
      <c r="QD60" s="43"/>
      <c r="QE60" s="42"/>
      <c r="QH60" s="43"/>
      <c r="QI60" s="42"/>
      <c r="QL60" s="43"/>
      <c r="QM60" s="42"/>
      <c r="QR60" s="43"/>
      <c r="QS60" s="42"/>
      <c r="QV60" s="43"/>
      <c r="QW60" s="42"/>
      <c r="QY60" s="44"/>
      <c r="QZ60" s="43"/>
    </row>
    <row r="61" spans="1:468" x14ac:dyDescent="0.25">
      <c r="A61" s="47" t="s">
        <v>345</v>
      </c>
      <c r="B61" s="38">
        <v>0.5</v>
      </c>
      <c r="N61" s="39"/>
      <c r="O61" s="48"/>
      <c r="P61" s="48"/>
      <c r="Q61" s="48"/>
      <c r="R61" s="48">
        <f t="shared" si="8"/>
        <v>0</v>
      </c>
      <c r="S61" s="40"/>
      <c r="T61" s="39"/>
      <c r="U61" s="48"/>
      <c r="V61" s="48">
        <f t="shared" si="9"/>
        <v>0</v>
      </c>
      <c r="W61" s="40"/>
      <c r="X61" s="39"/>
      <c r="Y61" s="48"/>
      <c r="Z61" s="48"/>
      <c r="AA61" s="48"/>
      <c r="AB61" s="48">
        <f t="shared" si="10"/>
        <v>0</v>
      </c>
      <c r="AC61" s="40"/>
      <c r="AD61" s="48"/>
      <c r="AH61" s="44">
        <v>0</v>
      </c>
      <c r="AI61" s="40"/>
      <c r="AN61" s="44">
        <v>0</v>
      </c>
      <c r="AO61" s="40"/>
      <c r="AT61" s="44">
        <v>0</v>
      </c>
      <c r="AU61" s="40"/>
      <c r="AV61" s="39"/>
      <c r="AX61" s="44">
        <v>0</v>
      </c>
      <c r="AY61" s="40"/>
      <c r="AZ61" s="39"/>
      <c r="BB61" s="44">
        <v>0</v>
      </c>
      <c r="BC61" s="40"/>
      <c r="BH61" s="44">
        <v>0</v>
      </c>
      <c r="BI61" s="40"/>
      <c r="BL61" s="44">
        <v>0</v>
      </c>
      <c r="BM61" s="40"/>
      <c r="BN61" s="39"/>
      <c r="BR61" s="44">
        <v>0</v>
      </c>
      <c r="BS61" s="40"/>
      <c r="BV61" s="44">
        <v>0</v>
      </c>
      <c r="BW61" s="40"/>
      <c r="BX61" s="39"/>
      <c r="BZ61" s="44">
        <v>0</v>
      </c>
      <c r="CA61" s="40"/>
      <c r="CB61" s="39"/>
      <c r="CH61" s="44">
        <v>0</v>
      </c>
      <c r="CI61" s="40"/>
      <c r="CN61" s="44">
        <v>0</v>
      </c>
      <c r="CO61" s="40"/>
      <c r="CP61" s="39"/>
      <c r="CT61" s="44">
        <v>0</v>
      </c>
      <c r="CU61" s="40"/>
      <c r="CV61" s="39"/>
      <c r="CZ61" s="44">
        <v>0</v>
      </c>
      <c r="DA61" s="40"/>
      <c r="DB61" s="39"/>
      <c r="DF61" s="44">
        <v>0</v>
      </c>
      <c r="DG61" s="40"/>
      <c r="DN61" s="44">
        <v>0</v>
      </c>
      <c r="DO61" s="40"/>
      <c r="DP61" s="39"/>
      <c r="DR61" s="44">
        <v>0</v>
      </c>
      <c r="DS61" s="40"/>
      <c r="DT61" s="39"/>
      <c r="DX61" s="44">
        <v>0</v>
      </c>
      <c r="DY61" s="40"/>
      <c r="DZ61" s="39"/>
      <c r="EB61" s="44">
        <v>0</v>
      </c>
      <c r="EC61" s="40"/>
      <c r="EK61" s="44">
        <v>0</v>
      </c>
      <c r="EL61" s="40"/>
      <c r="ES61" s="44">
        <v>0</v>
      </c>
      <c r="ET61" s="40"/>
      <c r="EU61" s="39"/>
      <c r="EY61" s="44">
        <v>0</v>
      </c>
      <c r="EZ61" s="40"/>
      <c r="FA61" s="39"/>
      <c r="FD61" s="44">
        <v>0</v>
      </c>
      <c r="FE61" s="40"/>
      <c r="FH61" s="44">
        <v>0</v>
      </c>
      <c r="FI61" s="40"/>
      <c r="FJ61" s="39"/>
      <c r="FQ61" s="44">
        <v>0</v>
      </c>
      <c r="FR61" s="40"/>
      <c r="FW61" s="44">
        <v>0</v>
      </c>
      <c r="FX61" s="40"/>
      <c r="FY61" s="39"/>
      <c r="GC61" s="44">
        <v>0</v>
      </c>
      <c r="GD61" s="40"/>
      <c r="GI61" s="44">
        <v>0</v>
      </c>
      <c r="GJ61" s="40"/>
      <c r="GM61" s="44">
        <v>0</v>
      </c>
      <c r="GN61" s="40"/>
      <c r="GO61" s="39"/>
      <c r="GQ61" s="44">
        <v>0</v>
      </c>
      <c r="GR61" s="40"/>
      <c r="GX61" s="44">
        <v>0</v>
      </c>
      <c r="GY61" s="40"/>
      <c r="HD61" s="44">
        <v>0</v>
      </c>
      <c r="HE61" s="40"/>
      <c r="HF61" s="39"/>
      <c r="HJ61" s="44">
        <v>0</v>
      </c>
      <c r="HK61" s="40"/>
      <c r="HL61" s="39"/>
      <c r="HP61" s="44">
        <v>0</v>
      </c>
      <c r="HQ61" s="40"/>
      <c r="HV61" s="44">
        <v>0</v>
      </c>
      <c r="HW61" s="43"/>
      <c r="IB61" s="44">
        <v>0</v>
      </c>
      <c r="IC61" s="43"/>
      <c r="IH61" s="44">
        <v>0</v>
      </c>
      <c r="II61" s="43"/>
      <c r="IN61" s="44">
        <v>0</v>
      </c>
      <c r="IO61" s="40"/>
      <c r="IR61" s="44">
        <v>0</v>
      </c>
      <c r="IS61" s="40"/>
      <c r="IX61" s="44">
        <v>0</v>
      </c>
      <c r="IY61" s="43"/>
      <c r="JB61" s="44">
        <v>0</v>
      </c>
      <c r="JC61" s="40"/>
      <c r="JH61" s="44">
        <v>0</v>
      </c>
      <c r="JI61" s="40"/>
      <c r="JN61" s="44">
        <v>0</v>
      </c>
      <c r="JO61" s="43"/>
      <c r="JT61" s="44">
        <v>0</v>
      </c>
      <c r="JU61" s="43"/>
      <c r="JZ61" s="44">
        <v>0</v>
      </c>
      <c r="KA61" s="43"/>
      <c r="KB61" s="42"/>
      <c r="KI61" s="44">
        <v>0</v>
      </c>
      <c r="KJ61" s="43"/>
      <c r="KK61" s="47">
        <v>0</v>
      </c>
      <c r="KL61" s="47">
        <v>0</v>
      </c>
      <c r="KM61" s="47">
        <v>0</v>
      </c>
      <c r="KN61" s="47">
        <v>0</v>
      </c>
      <c r="KO61" s="44">
        <v>0</v>
      </c>
      <c r="KP61" s="43"/>
      <c r="KQ61" s="47">
        <v>0</v>
      </c>
      <c r="KR61" s="47">
        <v>0</v>
      </c>
      <c r="KS61" s="47">
        <v>0</v>
      </c>
      <c r="KT61" s="47">
        <v>0</v>
      </c>
      <c r="KU61" s="44">
        <v>0</v>
      </c>
      <c r="KV61" s="43"/>
      <c r="KW61" s="42">
        <v>0</v>
      </c>
      <c r="KX61" s="47">
        <v>0</v>
      </c>
      <c r="KY61" s="44">
        <v>0</v>
      </c>
      <c r="KZ61" s="43"/>
      <c r="LA61" s="42">
        <v>0</v>
      </c>
      <c r="LB61" s="47">
        <v>0</v>
      </c>
      <c r="LC61" s="47">
        <v>0</v>
      </c>
      <c r="LD61" s="47">
        <v>0</v>
      </c>
      <c r="LE61" s="44">
        <v>0</v>
      </c>
      <c r="LF61" s="43"/>
      <c r="LG61" s="42">
        <v>0</v>
      </c>
      <c r="LH61" s="47">
        <v>0</v>
      </c>
      <c r="LI61" s="47">
        <v>0</v>
      </c>
      <c r="LJ61" s="47">
        <v>0</v>
      </c>
      <c r="LK61" s="44">
        <v>0</v>
      </c>
      <c r="LL61" s="43"/>
      <c r="LM61" s="42">
        <v>0</v>
      </c>
      <c r="LN61" s="47">
        <v>0</v>
      </c>
      <c r="LO61" s="44">
        <v>0</v>
      </c>
      <c r="LP61" s="43"/>
      <c r="LQ61" s="42">
        <v>0</v>
      </c>
      <c r="LR61" s="47">
        <v>0</v>
      </c>
      <c r="LS61" s="47">
        <v>0</v>
      </c>
      <c r="LT61" s="47">
        <v>0</v>
      </c>
      <c r="LU61" s="44">
        <v>0</v>
      </c>
      <c r="LV61" s="43"/>
      <c r="LW61" s="42">
        <v>0</v>
      </c>
      <c r="LX61" s="47">
        <v>0</v>
      </c>
      <c r="LY61" s="47">
        <v>0</v>
      </c>
      <c r="LZ61" s="47">
        <v>0</v>
      </c>
      <c r="MA61" s="44">
        <v>0</v>
      </c>
      <c r="MB61" s="43"/>
      <c r="MC61" s="42">
        <v>0</v>
      </c>
      <c r="MD61" s="47">
        <v>0</v>
      </c>
      <c r="ME61" s="47">
        <v>0</v>
      </c>
      <c r="MF61" s="47">
        <v>0</v>
      </c>
      <c r="MG61" s="44">
        <v>0</v>
      </c>
      <c r="MH61" s="43"/>
      <c r="MI61" s="42">
        <v>0</v>
      </c>
      <c r="MJ61" s="47">
        <v>0</v>
      </c>
      <c r="MK61" s="47">
        <v>0</v>
      </c>
      <c r="ML61" s="47">
        <v>0</v>
      </c>
      <c r="MM61" s="44">
        <v>0</v>
      </c>
      <c r="MN61" s="43"/>
      <c r="MO61" s="42">
        <v>0</v>
      </c>
      <c r="MP61" s="47">
        <v>0</v>
      </c>
      <c r="MQ61" s="47">
        <v>0</v>
      </c>
      <c r="MR61" s="47">
        <v>0</v>
      </c>
      <c r="MS61" s="44">
        <v>0</v>
      </c>
      <c r="MT61" s="43"/>
      <c r="MU61" s="42">
        <v>0</v>
      </c>
      <c r="MV61" s="47">
        <v>0</v>
      </c>
      <c r="MW61" s="47">
        <v>0</v>
      </c>
      <c r="MX61" s="47">
        <v>0</v>
      </c>
      <c r="MY61" s="44">
        <v>0</v>
      </c>
      <c r="MZ61" s="43"/>
      <c r="NA61" s="42">
        <v>0</v>
      </c>
      <c r="NB61" s="47">
        <v>0</v>
      </c>
      <c r="NC61" s="47">
        <v>0</v>
      </c>
      <c r="ND61" s="47">
        <v>0</v>
      </c>
      <c r="NE61" s="44">
        <v>0</v>
      </c>
      <c r="NF61" s="43"/>
      <c r="NG61" s="42">
        <v>0</v>
      </c>
      <c r="NH61" s="47">
        <v>0</v>
      </c>
      <c r="NI61" s="47">
        <v>0</v>
      </c>
      <c r="NJ61" s="47">
        <v>0</v>
      </c>
      <c r="NK61" s="44">
        <v>0</v>
      </c>
      <c r="NL61" s="43"/>
      <c r="NM61" s="42">
        <v>0</v>
      </c>
      <c r="NN61" s="47">
        <v>0</v>
      </c>
      <c r="NO61" s="47">
        <v>0</v>
      </c>
      <c r="NP61" s="47">
        <v>0</v>
      </c>
      <c r="NQ61" s="44">
        <v>0</v>
      </c>
      <c r="NR61" s="43"/>
      <c r="NS61" s="42">
        <v>0</v>
      </c>
      <c r="NT61" s="47">
        <v>0</v>
      </c>
      <c r="NU61" s="47">
        <v>0</v>
      </c>
      <c r="NV61" s="47">
        <v>0</v>
      </c>
      <c r="NW61" s="44">
        <v>0</v>
      </c>
      <c r="NX61" s="43"/>
      <c r="NY61" s="42">
        <v>0</v>
      </c>
      <c r="NZ61" s="47">
        <v>0</v>
      </c>
      <c r="OA61" s="47">
        <v>0</v>
      </c>
      <c r="OB61" s="47">
        <v>0</v>
      </c>
      <c r="OC61" s="44">
        <v>0</v>
      </c>
      <c r="OD61" s="43"/>
      <c r="OE61" s="42">
        <v>0</v>
      </c>
      <c r="OF61" s="47">
        <v>0</v>
      </c>
      <c r="OG61" s="47">
        <v>0</v>
      </c>
      <c r="OH61" s="47">
        <v>0</v>
      </c>
      <c r="OI61" s="44">
        <v>0</v>
      </c>
      <c r="OJ61" s="43"/>
      <c r="OK61" s="42">
        <v>0</v>
      </c>
      <c r="OL61" s="47">
        <v>0</v>
      </c>
      <c r="OM61" s="47">
        <v>0</v>
      </c>
      <c r="ON61" s="47">
        <v>0</v>
      </c>
      <c r="OO61" s="44">
        <v>0</v>
      </c>
      <c r="OP61" s="43"/>
      <c r="OQ61" s="42">
        <v>0</v>
      </c>
      <c r="OR61" s="47">
        <v>0</v>
      </c>
      <c r="OS61" s="47">
        <v>0</v>
      </c>
      <c r="OT61" s="47">
        <v>0</v>
      </c>
      <c r="OU61" s="44">
        <v>0</v>
      </c>
      <c r="OV61" s="43"/>
      <c r="OW61" s="42">
        <v>0</v>
      </c>
      <c r="OX61" s="47">
        <v>0</v>
      </c>
      <c r="OY61" s="47">
        <v>0</v>
      </c>
      <c r="OZ61" s="47">
        <v>0</v>
      </c>
      <c r="PA61" s="44">
        <v>0</v>
      </c>
      <c r="PB61" s="43"/>
      <c r="PC61" s="42">
        <v>0</v>
      </c>
      <c r="PD61" s="47">
        <v>0</v>
      </c>
      <c r="PE61" s="47">
        <v>0</v>
      </c>
      <c r="PF61" s="47">
        <v>0</v>
      </c>
      <c r="PG61" s="44">
        <v>0</v>
      </c>
      <c r="PH61" s="43"/>
      <c r="PI61" s="42">
        <v>0</v>
      </c>
      <c r="PJ61" s="47">
        <v>0</v>
      </c>
      <c r="PK61" s="47">
        <v>0</v>
      </c>
      <c r="PL61" s="47">
        <v>0</v>
      </c>
      <c r="PM61" s="44">
        <v>0</v>
      </c>
      <c r="PN61" s="43"/>
      <c r="PO61" s="42">
        <v>0</v>
      </c>
      <c r="PP61" s="47">
        <v>0</v>
      </c>
      <c r="PQ61" s="47">
        <v>0</v>
      </c>
      <c r="PR61" s="47">
        <v>0</v>
      </c>
      <c r="PS61" s="44">
        <v>0</v>
      </c>
      <c r="PT61" s="43"/>
      <c r="PU61" s="42">
        <v>0</v>
      </c>
      <c r="PV61" s="47">
        <v>0</v>
      </c>
      <c r="PW61" s="47">
        <v>0</v>
      </c>
      <c r="PX61" s="47">
        <v>0</v>
      </c>
      <c r="PY61" s="44">
        <v>0</v>
      </c>
      <c r="PZ61" s="43"/>
      <c r="QA61" s="42">
        <v>984</v>
      </c>
      <c r="QB61" s="47">
        <v>1000</v>
      </c>
      <c r="QC61" s="46">
        <v>-16</v>
      </c>
      <c r="QD61" s="43">
        <v>8</v>
      </c>
      <c r="QE61" s="42">
        <v>0</v>
      </c>
      <c r="QF61" s="47">
        <v>0</v>
      </c>
      <c r="QG61" s="44">
        <v>0</v>
      </c>
      <c r="QH61" s="43"/>
      <c r="QI61" s="42">
        <v>0</v>
      </c>
      <c r="QJ61" s="47">
        <v>0</v>
      </c>
      <c r="QK61" s="44">
        <v>0</v>
      </c>
      <c r="QL61" s="43"/>
      <c r="QM61" s="42">
        <v>0</v>
      </c>
      <c r="QN61" s="47">
        <v>0</v>
      </c>
      <c r="QO61" s="47">
        <v>0</v>
      </c>
      <c r="QP61" s="47">
        <v>0</v>
      </c>
      <c r="QQ61" s="44">
        <v>0</v>
      </c>
      <c r="QR61" s="43"/>
      <c r="QS61" s="42">
        <v>0</v>
      </c>
      <c r="QT61" s="47">
        <v>0</v>
      </c>
      <c r="QU61" s="44">
        <v>0</v>
      </c>
      <c r="QV61" s="43"/>
      <c r="QW61" s="42">
        <v>0</v>
      </c>
      <c r="QX61" s="47">
        <v>0</v>
      </c>
      <c r="QY61" s="44">
        <v>0</v>
      </c>
      <c r="QZ61" s="43"/>
    </row>
    <row r="62" spans="1:468" x14ac:dyDescent="0.25">
      <c r="A62" s="47" t="s">
        <v>346</v>
      </c>
      <c r="B62" s="38">
        <v>0.4</v>
      </c>
      <c r="E62">
        <v>88</v>
      </c>
      <c r="I62">
        <v>240</v>
      </c>
      <c r="J62">
        <v>264</v>
      </c>
      <c r="K62">
        <v>269</v>
      </c>
      <c r="N62" s="41">
        <v>56</v>
      </c>
      <c r="O62" s="49">
        <v>59</v>
      </c>
      <c r="P62" s="48"/>
      <c r="Q62" s="48"/>
      <c r="R62" s="48">
        <f t="shared" si="8"/>
        <v>-3</v>
      </c>
      <c r="S62" s="40"/>
      <c r="T62" s="41">
        <v>384</v>
      </c>
      <c r="U62" s="49">
        <v>386</v>
      </c>
      <c r="V62" s="48">
        <f t="shared" si="9"/>
        <v>-2</v>
      </c>
      <c r="W62" s="40"/>
      <c r="X62" s="39"/>
      <c r="Y62" s="48"/>
      <c r="Z62" s="48"/>
      <c r="AA62" s="48"/>
      <c r="AB62" s="48">
        <f t="shared" si="10"/>
        <v>0</v>
      </c>
      <c r="AC62" s="40"/>
      <c r="AD62" s="49">
        <v>96</v>
      </c>
      <c r="AE62">
        <v>100</v>
      </c>
      <c r="AF62">
        <v>200</v>
      </c>
      <c r="AG62">
        <v>200</v>
      </c>
      <c r="AH62" s="44">
        <v>-4</v>
      </c>
      <c r="AI62" s="40"/>
      <c r="AJ62">
        <v>152</v>
      </c>
      <c r="AK62">
        <v>150</v>
      </c>
      <c r="AL62">
        <v>200</v>
      </c>
      <c r="AM62">
        <v>200</v>
      </c>
      <c r="AN62" s="44">
        <v>2</v>
      </c>
      <c r="AO62" s="40"/>
      <c r="AP62">
        <v>16</v>
      </c>
      <c r="AQ62">
        <v>18</v>
      </c>
      <c r="AT62" s="44">
        <v>-2</v>
      </c>
      <c r="AU62" s="40"/>
      <c r="AV62" s="39"/>
      <c r="AX62" s="44">
        <v>0</v>
      </c>
      <c r="AY62" s="40"/>
      <c r="AZ62" s="41">
        <v>248</v>
      </c>
      <c r="BA62">
        <v>251</v>
      </c>
      <c r="BB62" s="44">
        <v>-3</v>
      </c>
      <c r="BC62" s="40"/>
      <c r="BD62">
        <v>296</v>
      </c>
      <c r="BE62">
        <v>300</v>
      </c>
      <c r="BG62">
        <v>320</v>
      </c>
      <c r="BH62" s="46">
        <v>-324</v>
      </c>
      <c r="BI62" s="40">
        <v>129.6</v>
      </c>
      <c r="BJ62">
        <v>96</v>
      </c>
      <c r="BK62">
        <v>100</v>
      </c>
      <c r="BL62" s="44">
        <v>-4</v>
      </c>
      <c r="BM62" s="40"/>
      <c r="BN62" s="39"/>
      <c r="BO62">
        <v>200</v>
      </c>
      <c r="BP62">
        <v>200</v>
      </c>
      <c r="BQ62">
        <v>347</v>
      </c>
      <c r="BR62" s="46">
        <v>-347</v>
      </c>
      <c r="BS62" s="40">
        <v>138.80000000000001</v>
      </c>
      <c r="BT62">
        <v>32</v>
      </c>
      <c r="BU62">
        <v>30</v>
      </c>
      <c r="BV62" s="44">
        <v>2</v>
      </c>
      <c r="BW62" s="40"/>
      <c r="BX62" s="39"/>
      <c r="BZ62" s="44">
        <v>0</v>
      </c>
      <c r="CA62" s="40"/>
      <c r="CB62" s="41">
        <v>200</v>
      </c>
      <c r="CC62">
        <v>200</v>
      </c>
      <c r="CD62">
        <v>176</v>
      </c>
      <c r="CE62">
        <v>500</v>
      </c>
      <c r="CF62">
        <v>496</v>
      </c>
      <c r="CG62">
        <v>180</v>
      </c>
      <c r="CH62" s="44">
        <v>-8</v>
      </c>
      <c r="CI62" s="40"/>
      <c r="CJ62">
        <v>120</v>
      </c>
      <c r="CK62">
        <v>120</v>
      </c>
      <c r="CL62">
        <v>200</v>
      </c>
      <c r="CM62">
        <v>203</v>
      </c>
      <c r="CN62" s="44">
        <v>-3</v>
      </c>
      <c r="CO62" s="40"/>
      <c r="CP62" s="41">
        <v>96</v>
      </c>
      <c r="CQ62">
        <v>100</v>
      </c>
      <c r="CR62">
        <v>24</v>
      </c>
      <c r="CS62">
        <v>190</v>
      </c>
      <c r="CT62" s="46">
        <v>-170</v>
      </c>
      <c r="CU62" s="40">
        <v>68</v>
      </c>
      <c r="CV62" s="39"/>
      <c r="CX62">
        <v>104</v>
      </c>
      <c r="CY62">
        <v>108</v>
      </c>
      <c r="CZ62" s="44">
        <v>-4</v>
      </c>
      <c r="DA62" s="40"/>
      <c r="DB62" s="41">
        <v>104</v>
      </c>
      <c r="DC62">
        <v>150</v>
      </c>
      <c r="DD62">
        <v>152</v>
      </c>
      <c r="DE62">
        <v>150</v>
      </c>
      <c r="DF62" s="46">
        <v>-44</v>
      </c>
      <c r="DG62" s="40">
        <v>17.600000000000001</v>
      </c>
      <c r="DH62">
        <v>200</v>
      </c>
      <c r="DI62">
        <v>200</v>
      </c>
      <c r="DJ62">
        <v>296</v>
      </c>
      <c r="DK62">
        <v>300</v>
      </c>
      <c r="DL62">
        <v>200</v>
      </c>
      <c r="DM62">
        <v>200</v>
      </c>
      <c r="DN62" s="44">
        <v>-4</v>
      </c>
      <c r="DO62" s="40"/>
      <c r="DP62" s="41">
        <v>152</v>
      </c>
      <c r="DQ62">
        <v>150</v>
      </c>
      <c r="DR62" s="44">
        <v>2</v>
      </c>
      <c r="DS62" s="40"/>
      <c r="DT62" s="41">
        <v>200</v>
      </c>
      <c r="DU62">
        <v>200</v>
      </c>
      <c r="DV62">
        <v>248</v>
      </c>
      <c r="DW62">
        <v>250</v>
      </c>
      <c r="DX62" s="44">
        <v>-2</v>
      </c>
      <c r="DY62" s="40"/>
      <c r="DZ62" s="41">
        <v>256</v>
      </c>
      <c r="EA62">
        <v>260</v>
      </c>
      <c r="EB62" s="44">
        <v>-4</v>
      </c>
      <c r="EC62" s="40"/>
      <c r="ED62">
        <v>96</v>
      </c>
      <c r="EE62">
        <v>100</v>
      </c>
      <c r="EG62">
        <v>120</v>
      </c>
      <c r="EH62">
        <v>120</v>
      </c>
      <c r="EI62">
        <v>152</v>
      </c>
      <c r="EJ62">
        <v>150</v>
      </c>
      <c r="EK62" s="44">
        <v>-2</v>
      </c>
      <c r="EL62" s="40"/>
      <c r="EN62">
        <v>240</v>
      </c>
      <c r="EO62">
        <v>240</v>
      </c>
      <c r="EQ62">
        <v>280</v>
      </c>
      <c r="ER62">
        <v>280</v>
      </c>
      <c r="ES62" s="44">
        <v>0</v>
      </c>
      <c r="ET62" s="40"/>
      <c r="EU62" s="41">
        <v>96</v>
      </c>
      <c r="EV62">
        <v>100</v>
      </c>
      <c r="EW62">
        <v>152</v>
      </c>
      <c r="EX62">
        <v>154</v>
      </c>
      <c r="EY62" s="44">
        <v>-6</v>
      </c>
      <c r="EZ62" s="40"/>
      <c r="FA62" s="39"/>
      <c r="FB62">
        <v>88</v>
      </c>
      <c r="FC62">
        <v>86</v>
      </c>
      <c r="FD62" s="44">
        <v>2</v>
      </c>
      <c r="FE62" s="40"/>
      <c r="FH62" s="44">
        <v>0</v>
      </c>
      <c r="FI62" s="40"/>
      <c r="FJ62" s="41">
        <v>200</v>
      </c>
      <c r="FK62">
        <v>200</v>
      </c>
      <c r="FL62">
        <v>96</v>
      </c>
      <c r="FN62">
        <v>100</v>
      </c>
      <c r="FO62">
        <v>136</v>
      </c>
      <c r="FP62">
        <v>140</v>
      </c>
      <c r="FQ62" s="44">
        <v>-8</v>
      </c>
      <c r="FR62" s="40"/>
      <c r="FS62">
        <v>120</v>
      </c>
      <c r="FT62">
        <v>120</v>
      </c>
      <c r="FU62">
        <v>176</v>
      </c>
      <c r="FV62">
        <v>180</v>
      </c>
      <c r="FW62" s="44">
        <v>-4</v>
      </c>
      <c r="FX62" s="40"/>
      <c r="FY62" s="41">
        <v>200</v>
      </c>
      <c r="FZ62">
        <v>200</v>
      </c>
      <c r="GA62">
        <v>232</v>
      </c>
      <c r="GB62">
        <v>230</v>
      </c>
      <c r="GC62" s="44">
        <v>2</v>
      </c>
      <c r="GD62" s="40"/>
      <c r="GE62">
        <v>96</v>
      </c>
      <c r="GF62">
        <v>100</v>
      </c>
      <c r="GG62">
        <v>136</v>
      </c>
      <c r="GH62">
        <v>140</v>
      </c>
      <c r="GI62" s="44">
        <v>-8</v>
      </c>
      <c r="GJ62" s="40"/>
      <c r="GK62">
        <v>88</v>
      </c>
      <c r="GL62" s="47">
        <v>90</v>
      </c>
      <c r="GM62" s="44">
        <v>-2</v>
      </c>
      <c r="GN62" s="40"/>
      <c r="GO62" s="41">
        <v>168</v>
      </c>
      <c r="GP62">
        <v>170</v>
      </c>
      <c r="GQ62" s="44">
        <v>-2</v>
      </c>
      <c r="GR62" s="40"/>
      <c r="GS62">
        <v>200</v>
      </c>
      <c r="GT62">
        <v>200</v>
      </c>
      <c r="GV62">
        <v>272</v>
      </c>
      <c r="GW62">
        <v>271</v>
      </c>
      <c r="GX62" s="44">
        <v>1</v>
      </c>
      <c r="GY62" s="40"/>
      <c r="GZ62">
        <v>240</v>
      </c>
      <c r="HA62">
        <v>240</v>
      </c>
      <c r="HB62">
        <v>200</v>
      </c>
      <c r="HC62">
        <v>200</v>
      </c>
      <c r="HD62" s="44">
        <v>0</v>
      </c>
      <c r="HE62" s="40"/>
      <c r="HF62" s="39"/>
      <c r="HH62">
        <v>120</v>
      </c>
      <c r="HI62">
        <v>120</v>
      </c>
      <c r="HJ62" s="44">
        <v>0</v>
      </c>
      <c r="HK62" s="40"/>
      <c r="HL62" s="41">
        <v>400</v>
      </c>
      <c r="HM62">
        <v>400</v>
      </c>
      <c r="HN62">
        <v>336</v>
      </c>
      <c r="HO62">
        <v>340</v>
      </c>
      <c r="HP62" s="44">
        <v>-4</v>
      </c>
      <c r="HQ62" s="40"/>
      <c r="HR62">
        <v>96</v>
      </c>
      <c r="HS62">
        <v>100</v>
      </c>
      <c r="HT62">
        <v>152</v>
      </c>
      <c r="HU62">
        <v>150</v>
      </c>
      <c r="HV62" s="44">
        <v>-2</v>
      </c>
      <c r="HW62" s="43"/>
      <c r="HX62">
        <v>48</v>
      </c>
      <c r="HY62">
        <v>50</v>
      </c>
      <c r="HZ62">
        <v>80</v>
      </c>
      <c r="IA62">
        <v>85</v>
      </c>
      <c r="IB62" s="44">
        <v>-7</v>
      </c>
      <c r="IC62" s="43"/>
      <c r="ID62">
        <v>496</v>
      </c>
      <c r="IE62">
        <v>500</v>
      </c>
      <c r="IF62">
        <v>408</v>
      </c>
      <c r="IG62">
        <v>410</v>
      </c>
      <c r="IH62" s="44">
        <v>-6</v>
      </c>
      <c r="II62" s="43"/>
      <c r="IL62">
        <v>32</v>
      </c>
      <c r="IM62">
        <v>30</v>
      </c>
      <c r="IN62" s="44">
        <v>2</v>
      </c>
      <c r="IO62" s="40"/>
      <c r="IP62">
        <v>88</v>
      </c>
      <c r="IQ62">
        <v>90</v>
      </c>
      <c r="IR62" s="44">
        <v>-2</v>
      </c>
      <c r="IS62" s="40"/>
      <c r="IT62">
        <v>400</v>
      </c>
      <c r="IU62">
        <v>400</v>
      </c>
      <c r="IV62">
        <v>400</v>
      </c>
      <c r="IW62">
        <v>400</v>
      </c>
      <c r="IX62" s="44">
        <v>0</v>
      </c>
      <c r="IY62" s="43"/>
      <c r="JB62" s="44">
        <v>0</v>
      </c>
      <c r="JC62" s="40"/>
      <c r="JD62">
        <v>96</v>
      </c>
      <c r="JE62">
        <v>100</v>
      </c>
      <c r="JF62">
        <v>552</v>
      </c>
      <c r="JG62">
        <v>550</v>
      </c>
      <c r="JH62" s="44">
        <v>-2</v>
      </c>
      <c r="JI62" s="40"/>
      <c r="JJ62">
        <v>200</v>
      </c>
      <c r="JK62">
        <v>200</v>
      </c>
      <c r="JL62">
        <v>40</v>
      </c>
      <c r="JM62">
        <v>40</v>
      </c>
      <c r="JN62" s="44">
        <v>0</v>
      </c>
      <c r="JO62" s="43"/>
      <c r="JP62">
        <v>152</v>
      </c>
      <c r="JQ62">
        <v>150</v>
      </c>
      <c r="JR62">
        <v>272</v>
      </c>
      <c r="JS62">
        <v>270</v>
      </c>
      <c r="JT62" s="44">
        <v>4</v>
      </c>
      <c r="JU62" s="43"/>
      <c r="JV62">
        <v>152</v>
      </c>
      <c r="JW62">
        <v>150</v>
      </c>
      <c r="JX62">
        <v>360</v>
      </c>
      <c r="JY62">
        <v>360</v>
      </c>
      <c r="JZ62" s="44">
        <v>2</v>
      </c>
      <c r="KA62" s="43"/>
      <c r="KB62" s="42"/>
      <c r="KE62">
        <v>120</v>
      </c>
      <c r="KF62">
        <v>120</v>
      </c>
      <c r="KG62">
        <v>232</v>
      </c>
      <c r="KH62">
        <v>130</v>
      </c>
      <c r="KI62" s="44">
        <v>102</v>
      </c>
      <c r="KJ62" s="43"/>
      <c r="KK62" s="47">
        <v>152</v>
      </c>
      <c r="KL62" s="47">
        <v>150</v>
      </c>
      <c r="KM62" s="47">
        <v>248</v>
      </c>
      <c r="KN62" s="47">
        <v>250</v>
      </c>
      <c r="KO62" s="44">
        <v>0</v>
      </c>
      <c r="KP62" s="43"/>
      <c r="KQ62" s="47">
        <v>248</v>
      </c>
      <c r="KR62" s="47">
        <v>250</v>
      </c>
      <c r="KS62" s="47">
        <v>272</v>
      </c>
      <c r="KT62" s="47">
        <v>270</v>
      </c>
      <c r="KU62" s="44">
        <v>0</v>
      </c>
      <c r="KV62" s="43"/>
      <c r="KW62" s="42">
        <v>96</v>
      </c>
      <c r="KX62" s="47">
        <v>100</v>
      </c>
      <c r="KY62" s="44">
        <v>-4</v>
      </c>
      <c r="KZ62" s="43"/>
      <c r="LA62" s="42">
        <v>64</v>
      </c>
      <c r="LB62" s="47">
        <v>64</v>
      </c>
      <c r="LC62" s="47">
        <v>0</v>
      </c>
      <c r="LD62" s="47">
        <v>0</v>
      </c>
      <c r="LE62" s="44">
        <v>0</v>
      </c>
      <c r="LF62" s="43"/>
      <c r="LG62" s="42">
        <v>392</v>
      </c>
      <c r="LH62" s="47">
        <v>450</v>
      </c>
      <c r="LI62" s="47">
        <v>496</v>
      </c>
      <c r="LJ62" s="47">
        <v>500</v>
      </c>
      <c r="LK62" s="46">
        <v>-62</v>
      </c>
      <c r="LL62" s="43">
        <v>24.8</v>
      </c>
      <c r="LM62" s="42">
        <v>144</v>
      </c>
      <c r="LN62" s="47">
        <v>146</v>
      </c>
      <c r="LO62" s="44">
        <v>-2</v>
      </c>
      <c r="LP62" s="43"/>
      <c r="LQ62" s="42">
        <v>0</v>
      </c>
      <c r="LR62" s="47">
        <v>0</v>
      </c>
      <c r="LS62" s="47">
        <v>0</v>
      </c>
      <c r="LT62" s="47">
        <v>0</v>
      </c>
      <c r="LU62" s="44">
        <v>0</v>
      </c>
      <c r="LV62" s="43"/>
      <c r="LW62" s="42">
        <v>0</v>
      </c>
      <c r="LX62" s="47">
        <v>0</v>
      </c>
      <c r="LY62" s="47">
        <v>984</v>
      </c>
      <c r="LZ62" s="47">
        <v>1000</v>
      </c>
      <c r="MA62" s="46">
        <v>-16</v>
      </c>
      <c r="MB62" s="43">
        <v>6.4</v>
      </c>
      <c r="MC62" s="42">
        <v>96</v>
      </c>
      <c r="MD62" s="47">
        <v>100</v>
      </c>
      <c r="ME62" s="47">
        <v>120</v>
      </c>
      <c r="MF62" s="47">
        <v>125</v>
      </c>
      <c r="MG62" s="44">
        <v>-9</v>
      </c>
      <c r="MH62" s="43"/>
      <c r="MI62" s="42">
        <v>0</v>
      </c>
      <c r="MJ62" s="47">
        <v>0</v>
      </c>
      <c r="MK62" s="47">
        <v>96</v>
      </c>
      <c r="ML62" s="47">
        <v>100</v>
      </c>
      <c r="MM62" s="44">
        <v>-4</v>
      </c>
      <c r="MN62" s="43"/>
      <c r="MO62" s="42">
        <v>200</v>
      </c>
      <c r="MP62" s="47">
        <v>200</v>
      </c>
      <c r="MQ62" s="47">
        <v>352</v>
      </c>
      <c r="MR62" s="47">
        <v>350</v>
      </c>
      <c r="MS62" s="44">
        <v>2</v>
      </c>
      <c r="MT62" s="43"/>
      <c r="MU62" s="42">
        <v>408</v>
      </c>
      <c r="MV62" s="47">
        <v>130</v>
      </c>
      <c r="MW62" s="47">
        <v>232</v>
      </c>
      <c r="MX62" s="47">
        <v>230</v>
      </c>
      <c r="MY62" s="44">
        <v>280</v>
      </c>
      <c r="MZ62" s="43"/>
      <c r="NA62" s="42">
        <v>296</v>
      </c>
      <c r="NB62" s="47">
        <v>300</v>
      </c>
      <c r="NC62" s="47">
        <v>392</v>
      </c>
      <c r="ND62" s="47">
        <v>390</v>
      </c>
      <c r="NE62" s="44">
        <v>-2</v>
      </c>
      <c r="NF62" s="43"/>
      <c r="NG62" s="42">
        <v>0</v>
      </c>
      <c r="NH62" s="47">
        <v>0</v>
      </c>
      <c r="NI62" s="47">
        <v>200</v>
      </c>
      <c r="NJ62" s="47">
        <v>200</v>
      </c>
      <c r="NK62" s="44">
        <v>0</v>
      </c>
      <c r="NL62" s="43"/>
      <c r="NM62" s="42">
        <v>400</v>
      </c>
      <c r="NN62" s="47">
        <v>400</v>
      </c>
      <c r="NO62" s="47">
        <v>400</v>
      </c>
      <c r="NP62" s="47">
        <v>400</v>
      </c>
      <c r="NQ62" s="44">
        <v>0</v>
      </c>
      <c r="NR62" s="43"/>
      <c r="NS62" s="42">
        <v>128</v>
      </c>
      <c r="NT62" s="47">
        <v>130</v>
      </c>
      <c r="NU62" s="47">
        <v>152</v>
      </c>
      <c r="NV62" s="47">
        <v>150</v>
      </c>
      <c r="NW62" s="44">
        <v>0</v>
      </c>
      <c r="NX62" s="43"/>
      <c r="NY62" s="42">
        <v>352</v>
      </c>
      <c r="NZ62" s="47">
        <v>350</v>
      </c>
      <c r="OA62" s="47">
        <v>352</v>
      </c>
      <c r="OB62" s="47">
        <v>350</v>
      </c>
      <c r="OC62" s="44">
        <v>4</v>
      </c>
      <c r="OD62" s="43"/>
      <c r="OE62" s="42">
        <v>368</v>
      </c>
      <c r="OF62" s="47">
        <v>370</v>
      </c>
      <c r="OG62" s="47">
        <v>232</v>
      </c>
      <c r="OH62" s="47">
        <v>230</v>
      </c>
      <c r="OI62" s="44">
        <v>0</v>
      </c>
      <c r="OJ62" s="43"/>
      <c r="OK62" s="42">
        <v>104</v>
      </c>
      <c r="OL62" s="47">
        <v>350</v>
      </c>
      <c r="OM62" s="47">
        <v>280</v>
      </c>
      <c r="ON62" s="47">
        <v>281</v>
      </c>
      <c r="OO62" s="46">
        <v>-247</v>
      </c>
      <c r="OP62" s="43">
        <v>98.800000000000011</v>
      </c>
      <c r="OQ62" s="42">
        <v>0</v>
      </c>
      <c r="OR62" s="26">
        <v>300</v>
      </c>
      <c r="OS62" s="47">
        <v>48</v>
      </c>
      <c r="OT62" s="47">
        <v>225</v>
      </c>
      <c r="OU62" s="46">
        <v>-477</v>
      </c>
      <c r="OV62" s="43">
        <v>190.8</v>
      </c>
      <c r="OW62" s="42">
        <v>152</v>
      </c>
      <c r="OX62" s="47">
        <v>150</v>
      </c>
      <c r="OY62" s="47">
        <v>152</v>
      </c>
      <c r="OZ62" s="47">
        <v>150</v>
      </c>
      <c r="PA62" s="44">
        <v>4</v>
      </c>
      <c r="PB62" s="43"/>
      <c r="PC62" s="42">
        <v>96</v>
      </c>
      <c r="PD62" s="47">
        <v>140</v>
      </c>
      <c r="PE62" s="47">
        <v>112</v>
      </c>
      <c r="PF62" s="47">
        <v>156</v>
      </c>
      <c r="PG62" s="46">
        <v>-88</v>
      </c>
      <c r="PH62" s="43">
        <v>35.200000000000003</v>
      </c>
      <c r="PI62" s="42">
        <v>448</v>
      </c>
      <c r="PJ62" s="47">
        <v>450</v>
      </c>
      <c r="PK62" s="47">
        <v>384</v>
      </c>
      <c r="PL62" s="47">
        <v>389</v>
      </c>
      <c r="PM62" s="44">
        <v>-7</v>
      </c>
      <c r="PN62" s="43"/>
      <c r="PO62" s="42">
        <v>0</v>
      </c>
      <c r="PP62" s="47">
        <v>0</v>
      </c>
      <c r="PQ62" s="47">
        <v>0</v>
      </c>
      <c r="PR62" s="47">
        <v>0</v>
      </c>
      <c r="PS62" s="44">
        <v>0</v>
      </c>
      <c r="PT62" s="43"/>
      <c r="PU62" s="42">
        <v>0</v>
      </c>
      <c r="PV62" s="47">
        <v>0</v>
      </c>
      <c r="PW62" s="47">
        <v>400</v>
      </c>
      <c r="PX62" s="47">
        <v>400</v>
      </c>
      <c r="PY62" s="44">
        <v>0</v>
      </c>
      <c r="PZ62" s="43"/>
      <c r="QA62" s="42">
        <v>600</v>
      </c>
      <c r="QB62" s="47">
        <v>600</v>
      </c>
      <c r="QC62" s="44">
        <v>0</v>
      </c>
      <c r="QD62" s="43"/>
      <c r="QE62" s="42">
        <v>448</v>
      </c>
      <c r="QF62" s="47">
        <v>450</v>
      </c>
      <c r="QG62" s="44">
        <v>-2</v>
      </c>
      <c r="QH62" s="43"/>
      <c r="QI62" s="42">
        <v>200</v>
      </c>
      <c r="QJ62" s="47">
        <v>200</v>
      </c>
      <c r="QK62" s="44">
        <v>0</v>
      </c>
      <c r="QL62" s="43"/>
      <c r="QM62" s="42">
        <v>152</v>
      </c>
      <c r="QN62" s="47">
        <v>150</v>
      </c>
      <c r="QO62" s="47">
        <v>344</v>
      </c>
      <c r="QP62" s="47">
        <v>350</v>
      </c>
      <c r="QQ62" s="44">
        <v>-4</v>
      </c>
      <c r="QR62" s="43"/>
      <c r="QS62" s="42">
        <v>0</v>
      </c>
      <c r="QT62" s="47">
        <v>0</v>
      </c>
      <c r="QU62" s="44">
        <v>0</v>
      </c>
      <c r="QV62" s="43"/>
      <c r="QW62" s="42">
        <v>440</v>
      </c>
      <c r="QX62" s="47">
        <v>439</v>
      </c>
      <c r="QY62" s="44">
        <v>1</v>
      </c>
      <c r="QZ62" s="43"/>
    </row>
    <row r="63" spans="1:468" x14ac:dyDescent="0.25">
      <c r="A63" s="47" t="s">
        <v>347</v>
      </c>
      <c r="B63" s="38">
        <v>0.4</v>
      </c>
      <c r="E63">
        <v>250</v>
      </c>
      <c r="F63">
        <v>157</v>
      </c>
      <c r="I63">
        <v>260</v>
      </c>
      <c r="J63">
        <v>312</v>
      </c>
      <c r="K63">
        <v>310</v>
      </c>
      <c r="N63" s="41">
        <v>200</v>
      </c>
      <c r="O63" s="49">
        <v>200</v>
      </c>
      <c r="P63" s="48"/>
      <c r="Q63" s="49">
        <v>226</v>
      </c>
      <c r="R63" s="53">
        <f t="shared" si="8"/>
        <v>-226</v>
      </c>
      <c r="S63" s="40">
        <f>-1*R63*B63</f>
        <v>90.4</v>
      </c>
      <c r="T63" s="41">
        <v>240</v>
      </c>
      <c r="U63" s="49">
        <v>242</v>
      </c>
      <c r="V63" s="48">
        <f t="shared" si="9"/>
        <v>-2</v>
      </c>
      <c r="W63" s="40"/>
      <c r="X63" s="41">
        <v>232</v>
      </c>
      <c r="Y63" s="49">
        <v>235</v>
      </c>
      <c r="Z63" s="49">
        <v>296</v>
      </c>
      <c r="AA63" s="49">
        <v>300</v>
      </c>
      <c r="AB63" s="48">
        <f t="shared" si="10"/>
        <v>-7</v>
      </c>
      <c r="AC63" s="40"/>
      <c r="AD63" s="48"/>
      <c r="AF63">
        <v>96</v>
      </c>
      <c r="AG63">
        <v>100</v>
      </c>
      <c r="AH63" s="44">
        <v>-4</v>
      </c>
      <c r="AI63" s="40"/>
      <c r="AJ63">
        <v>320</v>
      </c>
      <c r="AK63">
        <v>320</v>
      </c>
      <c r="AL63">
        <v>376</v>
      </c>
      <c r="AM63">
        <v>380</v>
      </c>
      <c r="AN63" s="44">
        <v>-4</v>
      </c>
      <c r="AO63" s="40"/>
      <c r="AT63" s="44">
        <v>0</v>
      </c>
      <c r="AU63" s="40"/>
      <c r="AV63" s="41">
        <v>80</v>
      </c>
      <c r="AW63">
        <v>80</v>
      </c>
      <c r="AX63" s="44">
        <v>0</v>
      </c>
      <c r="AY63" s="40"/>
      <c r="AZ63" s="41">
        <v>728</v>
      </c>
      <c r="BA63">
        <v>732</v>
      </c>
      <c r="BB63" s="44">
        <v>-4</v>
      </c>
      <c r="BC63" s="40"/>
      <c r="BD63">
        <v>120</v>
      </c>
      <c r="BE63">
        <v>120</v>
      </c>
      <c r="BF63">
        <v>80</v>
      </c>
      <c r="BG63">
        <v>80</v>
      </c>
      <c r="BH63" s="44">
        <v>0</v>
      </c>
      <c r="BI63" s="40"/>
      <c r="BJ63">
        <v>432</v>
      </c>
      <c r="BK63">
        <v>437</v>
      </c>
      <c r="BL63" s="44">
        <v>-5</v>
      </c>
      <c r="BM63" s="40"/>
      <c r="BN63" s="41">
        <v>248</v>
      </c>
      <c r="BO63">
        <v>250</v>
      </c>
      <c r="BP63">
        <v>344</v>
      </c>
      <c r="BQ63">
        <v>346</v>
      </c>
      <c r="BR63" s="44">
        <v>-4</v>
      </c>
      <c r="BS63" s="40"/>
      <c r="BV63" s="44">
        <v>0</v>
      </c>
      <c r="BW63" s="40"/>
      <c r="BX63" s="39"/>
      <c r="BZ63" s="44">
        <v>0</v>
      </c>
      <c r="CA63" s="40"/>
      <c r="CB63" s="41">
        <v>296</v>
      </c>
      <c r="CC63">
        <v>300</v>
      </c>
      <c r="CD63">
        <v>456</v>
      </c>
      <c r="CE63">
        <v>600</v>
      </c>
      <c r="CF63">
        <v>576</v>
      </c>
      <c r="CG63">
        <v>300</v>
      </c>
      <c r="CH63" s="44">
        <v>128</v>
      </c>
      <c r="CI63" s="40"/>
      <c r="CJ63">
        <v>448</v>
      </c>
      <c r="CK63">
        <v>450</v>
      </c>
      <c r="CL63">
        <v>504</v>
      </c>
      <c r="CM63">
        <v>507</v>
      </c>
      <c r="CN63" s="44">
        <v>-5</v>
      </c>
      <c r="CO63" s="40"/>
      <c r="CP63" s="41">
        <v>96</v>
      </c>
      <c r="CQ63">
        <v>100</v>
      </c>
      <c r="CR63">
        <v>232</v>
      </c>
      <c r="CS63">
        <v>230</v>
      </c>
      <c r="CT63" s="44">
        <v>-2</v>
      </c>
      <c r="CU63" s="40"/>
      <c r="CV63" s="39"/>
      <c r="CX63">
        <v>296</v>
      </c>
      <c r="CY63">
        <v>298</v>
      </c>
      <c r="CZ63" s="44">
        <v>-2</v>
      </c>
      <c r="DA63" s="40"/>
      <c r="DB63" s="41">
        <v>120</v>
      </c>
      <c r="DC63">
        <v>120</v>
      </c>
      <c r="DD63">
        <v>80</v>
      </c>
      <c r="DE63">
        <v>80</v>
      </c>
      <c r="DF63" s="44">
        <v>0</v>
      </c>
      <c r="DG63" s="40"/>
      <c r="DH63">
        <v>296</v>
      </c>
      <c r="DI63">
        <v>300</v>
      </c>
      <c r="DJ63">
        <v>352</v>
      </c>
      <c r="DK63">
        <v>350</v>
      </c>
      <c r="DL63">
        <v>296</v>
      </c>
      <c r="DM63">
        <v>300</v>
      </c>
      <c r="DN63" s="44">
        <v>-6</v>
      </c>
      <c r="DO63" s="40"/>
      <c r="DP63" s="41">
        <v>368</v>
      </c>
      <c r="DQ63">
        <v>370</v>
      </c>
      <c r="DR63" s="44">
        <v>-2</v>
      </c>
      <c r="DS63" s="40"/>
      <c r="DT63" s="41">
        <v>200</v>
      </c>
      <c r="DU63">
        <v>200</v>
      </c>
      <c r="DV63">
        <v>192</v>
      </c>
      <c r="DW63">
        <v>190</v>
      </c>
      <c r="DX63" s="44">
        <v>2</v>
      </c>
      <c r="DY63" s="40"/>
      <c r="DZ63" s="39"/>
      <c r="EB63" s="44">
        <v>0</v>
      </c>
      <c r="EC63" s="40"/>
      <c r="ED63">
        <v>360</v>
      </c>
      <c r="EE63">
        <v>360</v>
      </c>
      <c r="EG63">
        <v>360</v>
      </c>
      <c r="EH63">
        <v>360</v>
      </c>
      <c r="EI63">
        <v>376</v>
      </c>
      <c r="EJ63">
        <v>380</v>
      </c>
      <c r="EK63" s="44">
        <v>-4</v>
      </c>
      <c r="EL63" s="40"/>
      <c r="EN63">
        <v>96</v>
      </c>
      <c r="EO63">
        <v>96</v>
      </c>
      <c r="EQ63">
        <v>96</v>
      </c>
      <c r="ER63">
        <v>94</v>
      </c>
      <c r="ES63" s="44">
        <v>2</v>
      </c>
      <c r="ET63" s="40"/>
      <c r="EU63" s="41">
        <v>200</v>
      </c>
      <c r="EV63">
        <v>200</v>
      </c>
      <c r="EW63">
        <v>368</v>
      </c>
      <c r="EX63">
        <v>370</v>
      </c>
      <c r="EY63" s="44">
        <v>-2</v>
      </c>
      <c r="EZ63" s="40"/>
      <c r="FA63" s="39"/>
      <c r="FD63" s="44">
        <v>0</v>
      </c>
      <c r="FE63" s="40"/>
      <c r="FH63" s="44">
        <v>0</v>
      </c>
      <c r="FI63" s="40"/>
      <c r="FJ63" s="41">
        <v>216</v>
      </c>
      <c r="FK63">
        <v>220</v>
      </c>
      <c r="FL63">
        <v>96</v>
      </c>
      <c r="FN63">
        <v>100</v>
      </c>
      <c r="FO63">
        <v>192</v>
      </c>
      <c r="FP63">
        <v>190</v>
      </c>
      <c r="FQ63" s="44">
        <v>-6</v>
      </c>
      <c r="FR63" s="40"/>
      <c r="FW63" s="44">
        <v>0</v>
      </c>
      <c r="FX63" s="40"/>
      <c r="FY63" s="41">
        <v>296</v>
      </c>
      <c r="FZ63">
        <v>300</v>
      </c>
      <c r="GA63">
        <v>360</v>
      </c>
      <c r="GB63">
        <v>360</v>
      </c>
      <c r="GC63" s="44">
        <v>-4</v>
      </c>
      <c r="GD63" s="40"/>
      <c r="GE63">
        <v>176</v>
      </c>
      <c r="GF63">
        <v>180</v>
      </c>
      <c r="GG63">
        <v>200</v>
      </c>
      <c r="GH63">
        <v>200</v>
      </c>
      <c r="GI63" s="44">
        <v>-4</v>
      </c>
      <c r="GJ63" s="40"/>
      <c r="GK63">
        <v>160</v>
      </c>
      <c r="GL63" s="47">
        <v>160</v>
      </c>
      <c r="GM63" s="44">
        <v>0</v>
      </c>
      <c r="GN63" s="40"/>
      <c r="GO63" s="41">
        <v>336</v>
      </c>
      <c r="GP63">
        <v>340</v>
      </c>
      <c r="GQ63" s="44">
        <v>-4</v>
      </c>
      <c r="GR63" s="40"/>
      <c r="GS63">
        <v>200</v>
      </c>
      <c r="GT63">
        <v>200</v>
      </c>
      <c r="GV63">
        <v>280</v>
      </c>
      <c r="GW63">
        <v>280</v>
      </c>
      <c r="GX63" s="44">
        <v>0</v>
      </c>
      <c r="GY63" s="40"/>
      <c r="GZ63">
        <v>128</v>
      </c>
      <c r="HA63">
        <v>130</v>
      </c>
      <c r="HB63">
        <v>96</v>
      </c>
      <c r="HC63">
        <v>100</v>
      </c>
      <c r="HD63" s="44">
        <v>-6</v>
      </c>
      <c r="HE63" s="40"/>
      <c r="HF63" s="39"/>
      <c r="HH63">
        <v>208</v>
      </c>
      <c r="HI63">
        <v>210</v>
      </c>
      <c r="HJ63" s="44">
        <v>-2</v>
      </c>
      <c r="HK63" s="40"/>
      <c r="HL63" s="41">
        <v>248</v>
      </c>
      <c r="HM63">
        <v>250</v>
      </c>
      <c r="HN63">
        <v>248</v>
      </c>
      <c r="HO63">
        <v>250</v>
      </c>
      <c r="HP63" s="44">
        <v>-4</v>
      </c>
      <c r="HQ63" s="40"/>
      <c r="HR63">
        <v>200</v>
      </c>
      <c r="HS63">
        <v>200</v>
      </c>
      <c r="HT63">
        <v>216</v>
      </c>
      <c r="HU63">
        <v>220</v>
      </c>
      <c r="HV63" s="44">
        <v>-4</v>
      </c>
      <c r="HW63" s="43"/>
      <c r="IB63" s="44">
        <v>0</v>
      </c>
      <c r="IC63" s="43"/>
      <c r="ID63">
        <v>600</v>
      </c>
      <c r="IE63">
        <v>600</v>
      </c>
      <c r="IF63">
        <v>432</v>
      </c>
      <c r="IG63">
        <v>430</v>
      </c>
      <c r="IH63" s="44">
        <v>2</v>
      </c>
      <c r="II63" s="43"/>
      <c r="IN63" s="44">
        <v>0</v>
      </c>
      <c r="IO63" s="40"/>
      <c r="IP63">
        <v>96</v>
      </c>
      <c r="IQ63">
        <v>100</v>
      </c>
      <c r="IR63" s="44">
        <v>-4</v>
      </c>
      <c r="IS63" s="40"/>
      <c r="IX63" s="44">
        <v>0</v>
      </c>
      <c r="IY63" s="43"/>
      <c r="JB63" s="44">
        <v>0</v>
      </c>
      <c r="JC63" s="40"/>
      <c r="JD63">
        <v>488</v>
      </c>
      <c r="JE63">
        <v>500</v>
      </c>
      <c r="JF63">
        <v>1536</v>
      </c>
      <c r="JG63">
        <v>1534</v>
      </c>
      <c r="JH63" s="46">
        <v>-10</v>
      </c>
      <c r="JI63" s="40">
        <v>4</v>
      </c>
      <c r="JJ63">
        <v>168</v>
      </c>
      <c r="JK63">
        <v>170</v>
      </c>
      <c r="JL63">
        <v>120</v>
      </c>
      <c r="JM63">
        <v>120</v>
      </c>
      <c r="JN63" s="44">
        <v>-2</v>
      </c>
      <c r="JO63" s="43"/>
      <c r="JP63">
        <v>352</v>
      </c>
      <c r="JQ63">
        <v>350</v>
      </c>
      <c r="JR63">
        <v>528</v>
      </c>
      <c r="JS63">
        <v>530</v>
      </c>
      <c r="JT63" s="44">
        <v>0</v>
      </c>
      <c r="JU63" s="43"/>
      <c r="JV63">
        <v>352</v>
      </c>
      <c r="JW63">
        <v>350</v>
      </c>
      <c r="JX63">
        <v>352</v>
      </c>
      <c r="JY63">
        <v>350</v>
      </c>
      <c r="JZ63" s="44">
        <v>4</v>
      </c>
      <c r="KA63" s="43"/>
      <c r="KB63" s="42"/>
      <c r="KE63">
        <v>152</v>
      </c>
      <c r="KF63">
        <v>150</v>
      </c>
      <c r="KG63">
        <v>248</v>
      </c>
      <c r="KH63">
        <v>250</v>
      </c>
      <c r="KI63" s="44">
        <v>0</v>
      </c>
      <c r="KJ63" s="43"/>
      <c r="KK63" s="47">
        <v>152</v>
      </c>
      <c r="KL63" s="47">
        <v>150</v>
      </c>
      <c r="KM63" s="47">
        <v>168</v>
      </c>
      <c r="KN63" s="47">
        <v>170</v>
      </c>
      <c r="KO63" s="44">
        <v>0</v>
      </c>
      <c r="KP63" s="43"/>
      <c r="KQ63" s="47">
        <v>448</v>
      </c>
      <c r="KR63" s="47">
        <v>450</v>
      </c>
      <c r="KS63" s="47">
        <v>448</v>
      </c>
      <c r="KT63" s="47">
        <v>450</v>
      </c>
      <c r="KU63" s="44">
        <v>-4</v>
      </c>
      <c r="KV63" s="43"/>
      <c r="KW63" s="42">
        <v>32</v>
      </c>
      <c r="KX63" s="47">
        <v>33</v>
      </c>
      <c r="KY63" s="44">
        <v>-1</v>
      </c>
      <c r="KZ63" s="43"/>
      <c r="LA63" s="42">
        <v>0</v>
      </c>
      <c r="LB63" s="47">
        <v>0</v>
      </c>
      <c r="LC63" s="47">
        <v>0</v>
      </c>
      <c r="LD63" s="47">
        <v>0</v>
      </c>
      <c r="LE63" s="44">
        <v>0</v>
      </c>
      <c r="LF63" s="43"/>
      <c r="LG63" s="42">
        <v>400</v>
      </c>
      <c r="LH63" s="47">
        <v>400</v>
      </c>
      <c r="LI63" s="47">
        <v>400</v>
      </c>
      <c r="LJ63" s="47">
        <v>400</v>
      </c>
      <c r="LK63" s="44">
        <v>0</v>
      </c>
      <c r="LL63" s="43"/>
      <c r="LM63" s="42">
        <v>0</v>
      </c>
      <c r="LN63" s="47">
        <v>0</v>
      </c>
      <c r="LO63" s="44">
        <v>0</v>
      </c>
      <c r="LP63" s="43"/>
      <c r="LQ63" s="42">
        <v>0</v>
      </c>
      <c r="LR63" s="47">
        <v>0</v>
      </c>
      <c r="LS63" s="47">
        <v>192</v>
      </c>
      <c r="LT63" s="47">
        <v>200</v>
      </c>
      <c r="LU63" s="46">
        <v>-8</v>
      </c>
      <c r="LV63" s="43">
        <v>3.2</v>
      </c>
      <c r="LW63" s="42">
        <v>520</v>
      </c>
      <c r="LX63" s="47">
        <v>520</v>
      </c>
      <c r="LY63" s="47">
        <v>0</v>
      </c>
      <c r="LZ63" s="47">
        <v>0</v>
      </c>
      <c r="MA63" s="44">
        <v>0</v>
      </c>
      <c r="MB63" s="43"/>
      <c r="MC63" s="42">
        <v>248</v>
      </c>
      <c r="MD63" s="47">
        <v>250</v>
      </c>
      <c r="ME63" s="47">
        <v>248</v>
      </c>
      <c r="MF63" s="47">
        <v>250</v>
      </c>
      <c r="MG63" s="44">
        <v>-4</v>
      </c>
      <c r="MH63" s="43"/>
      <c r="MI63" s="42">
        <v>296</v>
      </c>
      <c r="MJ63" s="47">
        <v>300</v>
      </c>
      <c r="MK63" s="47">
        <v>136</v>
      </c>
      <c r="ML63" s="47">
        <v>140</v>
      </c>
      <c r="MM63" s="44">
        <v>-8</v>
      </c>
      <c r="MN63" s="43"/>
      <c r="MO63" s="42">
        <v>200</v>
      </c>
      <c r="MP63" s="47">
        <v>200</v>
      </c>
      <c r="MQ63" s="47">
        <v>296</v>
      </c>
      <c r="MR63" s="47">
        <v>300</v>
      </c>
      <c r="MS63" s="44">
        <v>-4</v>
      </c>
      <c r="MT63" s="43"/>
      <c r="MU63" s="42">
        <v>120</v>
      </c>
      <c r="MV63" s="47">
        <v>150</v>
      </c>
      <c r="MW63" s="47">
        <v>344</v>
      </c>
      <c r="MX63" s="47">
        <v>350</v>
      </c>
      <c r="MY63" s="46">
        <v>-36</v>
      </c>
      <c r="MZ63" s="43">
        <v>14.4</v>
      </c>
      <c r="NA63" s="42">
        <v>440</v>
      </c>
      <c r="NB63" s="47">
        <v>440</v>
      </c>
      <c r="NC63" s="47">
        <v>464</v>
      </c>
      <c r="ND63" s="47">
        <v>460</v>
      </c>
      <c r="NE63" s="44">
        <v>4</v>
      </c>
      <c r="NF63" s="43"/>
      <c r="NG63" s="42">
        <v>0</v>
      </c>
      <c r="NH63" s="47">
        <v>0</v>
      </c>
      <c r="NI63" s="47">
        <v>200</v>
      </c>
      <c r="NJ63" s="47">
        <v>200</v>
      </c>
      <c r="NK63" s="44">
        <v>0</v>
      </c>
      <c r="NL63" s="43"/>
      <c r="NM63" s="42">
        <v>552</v>
      </c>
      <c r="NN63" s="47">
        <v>550</v>
      </c>
      <c r="NO63" s="47">
        <v>512</v>
      </c>
      <c r="NP63" s="47">
        <v>510</v>
      </c>
      <c r="NQ63" s="44">
        <v>4</v>
      </c>
      <c r="NR63" s="43"/>
      <c r="NS63" s="42">
        <v>152</v>
      </c>
      <c r="NT63" s="47">
        <v>150</v>
      </c>
      <c r="NU63" s="47">
        <v>248</v>
      </c>
      <c r="NV63" s="47">
        <v>250</v>
      </c>
      <c r="NW63" s="44">
        <v>0</v>
      </c>
      <c r="NX63" s="43"/>
      <c r="NY63" s="42">
        <v>248</v>
      </c>
      <c r="NZ63" s="47">
        <v>250</v>
      </c>
      <c r="OA63" s="47">
        <v>248</v>
      </c>
      <c r="OB63" s="47">
        <v>250</v>
      </c>
      <c r="OC63" s="44">
        <v>-4</v>
      </c>
      <c r="OD63" s="43"/>
      <c r="OE63" s="42">
        <v>648</v>
      </c>
      <c r="OF63" s="47">
        <v>650</v>
      </c>
      <c r="OG63" s="47">
        <v>448</v>
      </c>
      <c r="OH63" s="47">
        <v>450</v>
      </c>
      <c r="OI63" s="44">
        <v>-4</v>
      </c>
      <c r="OJ63" s="43"/>
      <c r="OK63" s="42">
        <v>552</v>
      </c>
      <c r="OL63" s="47">
        <v>550</v>
      </c>
      <c r="OM63" s="47">
        <v>0</v>
      </c>
      <c r="ON63" s="26">
        <v>477</v>
      </c>
      <c r="OO63" s="46">
        <v>-475</v>
      </c>
      <c r="OP63" s="43">
        <v>190</v>
      </c>
      <c r="OQ63" s="42">
        <v>552</v>
      </c>
      <c r="OR63" s="47">
        <v>550</v>
      </c>
      <c r="OS63" s="47">
        <v>352</v>
      </c>
      <c r="OT63" s="47">
        <v>350</v>
      </c>
      <c r="OU63" s="44">
        <v>4</v>
      </c>
      <c r="OV63" s="43"/>
      <c r="OW63" s="42">
        <v>96</v>
      </c>
      <c r="OX63" s="47">
        <v>100</v>
      </c>
      <c r="OY63" s="47">
        <v>96</v>
      </c>
      <c r="OZ63" s="47">
        <v>100</v>
      </c>
      <c r="PA63" s="44">
        <v>-8</v>
      </c>
      <c r="PB63" s="43"/>
      <c r="PC63" s="42">
        <v>0</v>
      </c>
      <c r="PD63" s="47">
        <v>0</v>
      </c>
      <c r="PE63" s="47">
        <v>0</v>
      </c>
      <c r="PF63" s="47">
        <v>0</v>
      </c>
      <c r="PG63" s="44">
        <v>0</v>
      </c>
      <c r="PH63" s="43"/>
      <c r="PI63" s="42">
        <v>0</v>
      </c>
      <c r="PJ63" s="47">
        <v>0</v>
      </c>
      <c r="PK63" s="47">
        <v>0</v>
      </c>
      <c r="PL63" s="47">
        <v>0</v>
      </c>
      <c r="PM63" s="44">
        <v>0</v>
      </c>
      <c r="PN63" s="43"/>
      <c r="PO63" s="42">
        <v>600</v>
      </c>
      <c r="PP63" s="47">
        <v>600</v>
      </c>
      <c r="PQ63" s="47">
        <v>496</v>
      </c>
      <c r="PR63" s="47">
        <v>500</v>
      </c>
      <c r="PS63" s="44">
        <v>-4</v>
      </c>
      <c r="PT63" s="43"/>
      <c r="PU63" s="42">
        <v>0</v>
      </c>
      <c r="PV63" s="47">
        <v>0</v>
      </c>
      <c r="PW63" s="47">
        <v>272</v>
      </c>
      <c r="PX63" s="47">
        <v>270</v>
      </c>
      <c r="PY63" s="44">
        <v>2</v>
      </c>
      <c r="PZ63" s="43"/>
      <c r="QA63" s="42">
        <v>488</v>
      </c>
      <c r="QB63" s="47">
        <v>500</v>
      </c>
      <c r="QC63" s="46">
        <v>-12</v>
      </c>
      <c r="QD63" s="43">
        <v>4.8000000000000007</v>
      </c>
      <c r="QE63" s="42">
        <v>648</v>
      </c>
      <c r="QF63" s="47">
        <v>650</v>
      </c>
      <c r="QG63" s="44">
        <v>-2</v>
      </c>
      <c r="QH63" s="43"/>
      <c r="QI63" s="42">
        <v>248</v>
      </c>
      <c r="QJ63" s="47">
        <v>250</v>
      </c>
      <c r="QK63" s="44">
        <v>-2</v>
      </c>
      <c r="QL63" s="43"/>
      <c r="QM63" s="42">
        <v>152</v>
      </c>
      <c r="QN63" s="47">
        <v>150</v>
      </c>
      <c r="QO63" s="47">
        <v>96</v>
      </c>
      <c r="QP63" s="47">
        <v>350</v>
      </c>
      <c r="QQ63" s="46">
        <v>-252</v>
      </c>
      <c r="QR63" s="43">
        <v>100.8</v>
      </c>
      <c r="QS63" s="42">
        <v>48</v>
      </c>
      <c r="QT63" s="47">
        <v>70</v>
      </c>
      <c r="QU63" s="44">
        <v>-22</v>
      </c>
      <c r="QV63" s="43"/>
      <c r="QW63" s="42">
        <v>416</v>
      </c>
      <c r="QX63" s="47">
        <v>417</v>
      </c>
      <c r="QY63" s="44">
        <v>-1</v>
      </c>
      <c r="QZ63" s="43"/>
    </row>
    <row r="64" spans="1:468" x14ac:dyDescent="0.25">
      <c r="A64" s="47" t="s">
        <v>348</v>
      </c>
      <c r="B64" s="38">
        <v>0.84</v>
      </c>
      <c r="N64" s="39"/>
      <c r="O64" s="48"/>
      <c r="P64" s="48"/>
      <c r="Q64" s="48"/>
      <c r="R64" s="48">
        <f t="shared" si="8"/>
        <v>0</v>
      </c>
      <c r="S64" s="40"/>
      <c r="T64" s="39"/>
      <c r="U64" s="48"/>
      <c r="V64" s="48">
        <f t="shared" si="9"/>
        <v>0</v>
      </c>
      <c r="W64" s="40"/>
      <c r="X64" s="39"/>
      <c r="Y64" s="48"/>
      <c r="Z64" s="48"/>
      <c r="AA64" s="48"/>
      <c r="AB64" s="48">
        <f t="shared" si="10"/>
        <v>0</v>
      </c>
      <c r="AC64" s="40"/>
      <c r="AD64" s="48"/>
      <c r="AH64" s="44">
        <v>0</v>
      </c>
      <c r="AI64" s="40"/>
      <c r="AN64" s="44">
        <v>0</v>
      </c>
      <c r="AO64" s="40"/>
      <c r="AT64" s="44">
        <v>0</v>
      </c>
      <c r="AU64" s="40"/>
      <c r="AV64" s="39"/>
      <c r="AX64" s="44">
        <v>0</v>
      </c>
      <c r="AY64" s="40"/>
      <c r="AZ64" s="39"/>
      <c r="BB64" s="44">
        <v>0</v>
      </c>
      <c r="BC64" s="40"/>
      <c r="BH64" s="44">
        <v>0</v>
      </c>
      <c r="BI64" s="40"/>
      <c r="BL64" s="44">
        <v>0</v>
      </c>
      <c r="BM64" s="40"/>
      <c r="BN64" s="39"/>
      <c r="BR64" s="44">
        <v>0</v>
      </c>
      <c r="BS64" s="40"/>
      <c r="BV64" s="44">
        <v>0</v>
      </c>
      <c r="BW64" s="40"/>
      <c r="BX64" s="39"/>
      <c r="BZ64" s="44">
        <v>0</v>
      </c>
      <c r="CA64" s="40"/>
      <c r="CB64" s="39"/>
      <c r="CH64" s="44">
        <v>0</v>
      </c>
      <c r="CI64" s="40"/>
      <c r="CN64" s="44">
        <v>0</v>
      </c>
      <c r="CO64" s="40"/>
      <c r="CP64" s="39"/>
      <c r="CT64" s="44">
        <v>0</v>
      </c>
      <c r="CU64" s="40"/>
      <c r="CV64" s="39"/>
      <c r="CZ64" s="44">
        <v>0</v>
      </c>
      <c r="DA64" s="40"/>
      <c r="DB64" s="39"/>
      <c r="DF64" s="44">
        <v>0</v>
      </c>
      <c r="DG64" s="40"/>
      <c r="DN64" s="44">
        <v>0</v>
      </c>
      <c r="DO64" s="40"/>
      <c r="DP64" s="39"/>
      <c r="DR64" s="44">
        <v>0</v>
      </c>
      <c r="DS64" s="40"/>
      <c r="DT64" s="39"/>
      <c r="DX64" s="44">
        <v>0</v>
      </c>
      <c r="DY64" s="40"/>
      <c r="DZ64" s="39"/>
      <c r="EB64" s="44">
        <v>0</v>
      </c>
      <c r="EC64" s="40"/>
      <c r="EK64" s="44">
        <v>0</v>
      </c>
      <c r="EL64" s="40"/>
      <c r="ES64" s="44">
        <v>0</v>
      </c>
      <c r="ET64" s="40"/>
      <c r="EU64" s="39"/>
      <c r="EY64" s="44">
        <v>0</v>
      </c>
      <c r="EZ64" s="40"/>
      <c r="FA64" s="39"/>
      <c r="FD64" s="44">
        <v>0</v>
      </c>
      <c r="FE64" s="40"/>
      <c r="FH64" s="44">
        <v>0</v>
      </c>
      <c r="FI64" s="40"/>
      <c r="FJ64" s="39"/>
      <c r="FQ64" s="44">
        <v>0</v>
      </c>
      <c r="FR64" s="40"/>
      <c r="FW64" s="44">
        <v>0</v>
      </c>
      <c r="FX64" s="40"/>
      <c r="FY64" s="39"/>
      <c r="GC64" s="44">
        <v>0</v>
      </c>
      <c r="GD64" s="40"/>
      <c r="GI64" s="44">
        <v>0</v>
      </c>
      <c r="GJ64" s="40"/>
      <c r="GM64" s="44">
        <v>0</v>
      </c>
      <c r="GN64" s="40"/>
      <c r="GO64" s="39"/>
      <c r="GQ64" s="44">
        <v>0</v>
      </c>
      <c r="GR64" s="40"/>
      <c r="GX64" s="44">
        <v>0</v>
      </c>
      <c r="GY64" s="40"/>
      <c r="HD64" s="44">
        <v>0</v>
      </c>
      <c r="HE64" s="40"/>
      <c r="HF64" s="39"/>
      <c r="HH64">
        <v>24</v>
      </c>
      <c r="HI64">
        <v>23</v>
      </c>
      <c r="HJ64" s="44">
        <v>1</v>
      </c>
      <c r="HK64" s="40"/>
      <c r="HL64" s="39"/>
      <c r="HP64" s="44">
        <v>0</v>
      </c>
      <c r="HQ64" s="40"/>
      <c r="HV64" s="44">
        <v>0</v>
      </c>
      <c r="HW64" s="43"/>
      <c r="IB64" s="44">
        <v>0</v>
      </c>
      <c r="IC64" s="43"/>
      <c r="ID64">
        <v>18</v>
      </c>
      <c r="IE64">
        <v>16</v>
      </c>
      <c r="IF64">
        <v>18</v>
      </c>
      <c r="IG64">
        <v>16</v>
      </c>
      <c r="IH64" s="44">
        <v>4</v>
      </c>
      <c r="II64" s="43"/>
      <c r="IN64" s="44">
        <v>0</v>
      </c>
      <c r="IO64" s="40"/>
      <c r="IP64">
        <v>24</v>
      </c>
      <c r="IQ64" s="47">
        <v>24</v>
      </c>
      <c r="IR64" s="44">
        <v>0</v>
      </c>
      <c r="IS64" s="40"/>
      <c r="IT64">
        <v>72</v>
      </c>
      <c r="IU64" s="47">
        <v>80</v>
      </c>
      <c r="IX64" s="46">
        <v>-8</v>
      </c>
      <c r="IY64" s="40">
        <v>6.72</v>
      </c>
      <c r="JC64" s="40"/>
      <c r="JI64" s="40"/>
      <c r="JO64" s="43"/>
      <c r="JU64" s="43"/>
      <c r="KA64" s="43"/>
      <c r="KB64" s="42"/>
      <c r="KJ64" s="43"/>
      <c r="KP64" s="43"/>
      <c r="KV64" s="43"/>
      <c r="KW64" s="42"/>
      <c r="KZ64" s="43"/>
      <c r="LA64" s="42"/>
      <c r="LF64" s="43"/>
      <c r="LG64" s="42"/>
      <c r="LL64" s="43"/>
      <c r="LM64" s="42"/>
      <c r="LP64" s="43"/>
      <c r="LQ64" s="42"/>
      <c r="LV64" s="43"/>
      <c r="LW64" s="42"/>
      <c r="MB64" s="43"/>
      <c r="MC64" s="42"/>
      <c r="MH64" s="43"/>
      <c r="MI64" s="42"/>
      <c r="MN64" s="43"/>
      <c r="MO64" s="42"/>
      <c r="MT64" s="43"/>
      <c r="MU64" s="42"/>
      <c r="MZ64" s="43"/>
      <c r="NA64" s="42"/>
      <c r="NF64" s="43"/>
      <c r="NG64" s="42"/>
      <c r="NL64" s="43"/>
      <c r="NM64" s="42"/>
      <c r="NR64" s="43"/>
      <c r="NS64" s="42"/>
      <c r="NX64" s="43"/>
      <c r="NY64" s="42"/>
      <c r="OD64" s="43"/>
      <c r="OE64" s="42"/>
      <c r="OJ64" s="43"/>
      <c r="OK64" s="42"/>
      <c r="OP64" s="43"/>
      <c r="OQ64" s="42"/>
      <c r="OV64" s="43"/>
      <c r="OW64" s="42"/>
      <c r="PB64" s="43"/>
      <c r="PC64" s="42"/>
      <c r="PH64" s="43"/>
      <c r="PI64" s="42"/>
      <c r="PN64" s="43"/>
      <c r="PO64" s="42"/>
      <c r="PT64" s="43"/>
      <c r="PU64" s="42"/>
      <c r="PY64" s="44"/>
      <c r="PZ64" s="43"/>
      <c r="QA64" s="42"/>
      <c r="QC64" s="44"/>
      <c r="QD64" s="43"/>
      <c r="QE64" s="42"/>
      <c r="QG64" s="44"/>
      <c r="QH64" s="43"/>
      <c r="QI64" s="42"/>
      <c r="QK64" s="44"/>
      <c r="QL64" s="43"/>
      <c r="QM64" s="42"/>
      <c r="QQ64" s="44"/>
      <c r="QR64" s="43"/>
      <c r="QS64" s="42"/>
      <c r="QU64" s="44"/>
      <c r="QV64" s="43"/>
      <c r="QW64" s="42"/>
      <c r="QY64" s="44"/>
      <c r="QZ64" s="43"/>
    </row>
    <row r="65" spans="1:468" x14ac:dyDescent="0.25">
      <c r="A65" s="47" t="s">
        <v>349</v>
      </c>
      <c r="B65" s="38">
        <v>0.1</v>
      </c>
      <c r="E65">
        <v>30</v>
      </c>
      <c r="F65">
        <v>47</v>
      </c>
      <c r="N65" s="41">
        <v>80</v>
      </c>
      <c r="O65" s="49">
        <v>80</v>
      </c>
      <c r="P65" s="49">
        <v>120</v>
      </c>
      <c r="Q65" s="49">
        <v>120</v>
      </c>
      <c r="R65" s="48">
        <f t="shared" si="8"/>
        <v>0</v>
      </c>
      <c r="S65" s="40"/>
      <c r="T65" s="41">
        <v>50</v>
      </c>
      <c r="U65" s="49">
        <v>50</v>
      </c>
      <c r="V65" s="48">
        <f t="shared" si="9"/>
        <v>0</v>
      </c>
      <c r="W65" s="40"/>
      <c r="X65" s="39"/>
      <c r="Y65" s="48"/>
      <c r="Z65" s="48"/>
      <c r="AA65" s="48"/>
      <c r="AB65" s="48">
        <f t="shared" si="10"/>
        <v>0</v>
      </c>
      <c r="AC65" s="40"/>
      <c r="AD65" s="48"/>
      <c r="AH65" s="44">
        <v>0</v>
      </c>
      <c r="AI65" s="40"/>
      <c r="AJ65">
        <v>40</v>
      </c>
      <c r="AK65">
        <v>40</v>
      </c>
      <c r="AL65">
        <v>20</v>
      </c>
      <c r="AM65">
        <v>20</v>
      </c>
      <c r="AN65" s="44">
        <v>0</v>
      </c>
      <c r="AO65" s="40"/>
      <c r="AP65">
        <v>70</v>
      </c>
      <c r="AQ65">
        <v>70</v>
      </c>
      <c r="AR65">
        <v>80</v>
      </c>
      <c r="AS65">
        <v>85</v>
      </c>
      <c r="AT65" s="44">
        <v>-5</v>
      </c>
      <c r="AU65" s="40"/>
      <c r="AV65" s="39"/>
      <c r="AX65" s="44">
        <v>0</v>
      </c>
      <c r="AY65" s="40"/>
      <c r="AZ65" s="41">
        <v>30</v>
      </c>
      <c r="BA65">
        <v>32</v>
      </c>
      <c r="BB65" s="44">
        <v>-2</v>
      </c>
      <c r="BC65" s="40"/>
      <c r="BD65">
        <v>60</v>
      </c>
      <c r="BE65">
        <v>60</v>
      </c>
      <c r="BH65" s="44">
        <v>0</v>
      </c>
      <c r="BI65" s="40"/>
      <c r="BJ65">
        <v>150</v>
      </c>
      <c r="BK65">
        <v>150</v>
      </c>
      <c r="BL65" s="44">
        <v>0</v>
      </c>
      <c r="BM65" s="40"/>
      <c r="BN65" s="39"/>
      <c r="BP65">
        <v>40</v>
      </c>
      <c r="BQ65">
        <v>39</v>
      </c>
      <c r="BR65" s="44">
        <v>1</v>
      </c>
      <c r="BS65" s="40"/>
      <c r="BV65" s="44">
        <v>0</v>
      </c>
      <c r="BW65" s="40"/>
      <c r="BX65" s="41">
        <v>20</v>
      </c>
      <c r="BY65">
        <v>25</v>
      </c>
      <c r="BZ65" s="44">
        <v>-5</v>
      </c>
      <c r="CA65" s="40"/>
      <c r="CB65" s="39"/>
      <c r="CD65">
        <v>130</v>
      </c>
      <c r="CG65">
        <v>130</v>
      </c>
      <c r="CH65" s="44">
        <v>0</v>
      </c>
      <c r="CI65" s="40"/>
      <c r="CL65">
        <v>140</v>
      </c>
      <c r="CM65">
        <v>131</v>
      </c>
      <c r="CN65" s="44">
        <v>9</v>
      </c>
      <c r="CO65" s="40"/>
      <c r="CP65" s="39"/>
      <c r="CT65" s="44">
        <v>0</v>
      </c>
      <c r="CU65" s="40"/>
      <c r="CV65" s="39"/>
      <c r="CX65">
        <v>40</v>
      </c>
      <c r="CY65">
        <v>50</v>
      </c>
      <c r="CZ65" s="46">
        <v>-10</v>
      </c>
      <c r="DA65" s="40">
        <v>1</v>
      </c>
      <c r="DB65" s="39"/>
      <c r="DD65">
        <v>140</v>
      </c>
      <c r="DE65">
        <v>140</v>
      </c>
      <c r="DF65" s="44">
        <v>0</v>
      </c>
      <c r="DG65" s="40"/>
      <c r="DJ65">
        <v>70</v>
      </c>
      <c r="DK65">
        <v>70</v>
      </c>
      <c r="DN65" s="44">
        <v>0</v>
      </c>
      <c r="DO65" s="40"/>
      <c r="DP65" s="41">
        <v>60</v>
      </c>
      <c r="DQ65">
        <v>60</v>
      </c>
      <c r="DR65" s="44">
        <v>0</v>
      </c>
      <c r="DS65" s="40"/>
      <c r="DT65" s="41">
        <v>50</v>
      </c>
      <c r="DU65">
        <v>50</v>
      </c>
      <c r="DV65">
        <v>70</v>
      </c>
      <c r="DW65">
        <v>70</v>
      </c>
      <c r="DX65" s="44">
        <v>0</v>
      </c>
      <c r="DY65" s="40"/>
      <c r="DZ65" s="39"/>
      <c r="EB65" s="44">
        <v>0</v>
      </c>
      <c r="EC65" s="40"/>
      <c r="ED65">
        <v>50</v>
      </c>
      <c r="EE65">
        <v>50</v>
      </c>
      <c r="EF65">
        <v>40</v>
      </c>
      <c r="EG65">
        <v>10</v>
      </c>
      <c r="EH65">
        <v>50</v>
      </c>
      <c r="EI65">
        <v>90</v>
      </c>
      <c r="EJ65">
        <v>90</v>
      </c>
      <c r="EK65" s="44">
        <v>0</v>
      </c>
      <c r="EL65" s="40"/>
      <c r="EQ65">
        <v>10</v>
      </c>
      <c r="ER65">
        <v>7</v>
      </c>
      <c r="ES65" s="44">
        <v>3</v>
      </c>
      <c r="ET65" s="40"/>
      <c r="EU65" s="39"/>
      <c r="EY65" s="44">
        <v>0</v>
      </c>
      <c r="EZ65" s="40"/>
      <c r="FA65" s="39"/>
      <c r="FD65" s="44">
        <v>0</v>
      </c>
      <c r="FE65" s="40"/>
      <c r="FH65" s="44">
        <v>0</v>
      </c>
      <c r="FI65" s="40"/>
      <c r="FJ65" s="41">
        <v>70</v>
      </c>
      <c r="FK65">
        <v>70</v>
      </c>
      <c r="FL65">
        <v>30</v>
      </c>
      <c r="FN65">
        <v>30</v>
      </c>
      <c r="FO65">
        <v>110</v>
      </c>
      <c r="FP65">
        <v>110</v>
      </c>
      <c r="FQ65" s="44">
        <v>0</v>
      </c>
      <c r="FR65" s="40"/>
      <c r="FW65" s="44">
        <v>0</v>
      </c>
      <c r="FX65" s="40"/>
      <c r="FY65" s="39"/>
      <c r="GC65" s="44">
        <v>0</v>
      </c>
      <c r="GD65" s="40"/>
      <c r="GG65">
        <v>40</v>
      </c>
      <c r="GH65">
        <v>40</v>
      </c>
      <c r="GI65" s="44">
        <v>0</v>
      </c>
      <c r="GJ65" s="40"/>
      <c r="GM65" s="44">
        <v>0</v>
      </c>
      <c r="GN65" s="40"/>
      <c r="GO65" s="41">
        <v>150</v>
      </c>
      <c r="GP65">
        <v>150</v>
      </c>
      <c r="GQ65" s="44">
        <v>0</v>
      </c>
      <c r="GR65" s="40"/>
      <c r="GX65" s="44">
        <v>0</v>
      </c>
      <c r="GY65" s="40"/>
      <c r="HD65" s="44">
        <v>0</v>
      </c>
      <c r="HE65" s="40"/>
      <c r="HF65" s="39"/>
      <c r="HH65">
        <v>200</v>
      </c>
      <c r="HI65">
        <v>200</v>
      </c>
      <c r="HJ65" s="44">
        <v>0</v>
      </c>
      <c r="HK65" s="40"/>
      <c r="HL65" s="39"/>
      <c r="HP65" s="44">
        <v>0</v>
      </c>
      <c r="HQ65" s="40"/>
      <c r="HT65">
        <v>150</v>
      </c>
      <c r="HU65">
        <v>150</v>
      </c>
      <c r="HV65" s="44">
        <v>0</v>
      </c>
      <c r="HW65" s="43"/>
      <c r="HZ65">
        <v>30</v>
      </c>
      <c r="IA65">
        <v>30</v>
      </c>
      <c r="IB65" s="44">
        <v>0</v>
      </c>
      <c r="IC65" s="43"/>
      <c r="ID65">
        <v>110</v>
      </c>
      <c r="IE65">
        <v>130</v>
      </c>
      <c r="IF65">
        <v>110</v>
      </c>
      <c r="IG65">
        <v>100</v>
      </c>
      <c r="IH65" s="46">
        <v>-10</v>
      </c>
      <c r="II65" s="43">
        <v>1</v>
      </c>
      <c r="IJ65">
        <v>70</v>
      </c>
      <c r="IK65">
        <v>70</v>
      </c>
      <c r="IL65">
        <v>60</v>
      </c>
      <c r="IM65">
        <v>60</v>
      </c>
      <c r="IN65" s="44">
        <v>0</v>
      </c>
      <c r="IO65" s="40"/>
      <c r="IR65" s="44">
        <v>0</v>
      </c>
      <c r="IS65" s="40"/>
      <c r="IT65">
        <v>40</v>
      </c>
      <c r="IU65">
        <v>38</v>
      </c>
      <c r="IX65" s="44">
        <v>2</v>
      </c>
      <c r="IY65" s="43"/>
      <c r="IZ65">
        <v>250</v>
      </c>
      <c r="JA65" s="47">
        <v>250</v>
      </c>
      <c r="JB65" s="44">
        <v>0</v>
      </c>
      <c r="JC65" s="40"/>
      <c r="JG65">
        <v>30</v>
      </c>
      <c r="JH65" s="46">
        <v>-30</v>
      </c>
      <c r="JI65" s="40">
        <v>3</v>
      </c>
      <c r="JJ65">
        <v>30</v>
      </c>
      <c r="JK65">
        <v>70</v>
      </c>
      <c r="JL65">
        <v>80</v>
      </c>
      <c r="JM65">
        <v>80</v>
      </c>
      <c r="JN65" s="46">
        <v>-40</v>
      </c>
      <c r="JO65" s="43">
        <v>4</v>
      </c>
      <c r="JT65" s="44">
        <v>0</v>
      </c>
      <c r="JU65" s="43"/>
      <c r="JV65">
        <v>90</v>
      </c>
      <c r="JW65">
        <v>100</v>
      </c>
      <c r="JX65">
        <v>200</v>
      </c>
      <c r="JY65">
        <v>200</v>
      </c>
      <c r="JZ65" s="46">
        <v>-10</v>
      </c>
      <c r="KA65" s="43">
        <v>1</v>
      </c>
      <c r="KB65" s="41">
        <v>10</v>
      </c>
      <c r="KC65">
        <v>10</v>
      </c>
      <c r="KI65" s="44">
        <v>0</v>
      </c>
      <c r="KJ65" s="43"/>
      <c r="KK65" s="47">
        <v>70</v>
      </c>
      <c r="KL65" s="47">
        <v>70</v>
      </c>
      <c r="KM65" s="47">
        <v>100</v>
      </c>
      <c r="KN65" s="47">
        <v>100</v>
      </c>
      <c r="KO65" s="44">
        <v>0</v>
      </c>
      <c r="KP65" s="43"/>
      <c r="KQ65" s="47">
        <v>0</v>
      </c>
      <c r="KR65" s="47">
        <v>0</v>
      </c>
      <c r="KS65" s="47">
        <v>20</v>
      </c>
      <c r="KT65" s="47">
        <v>20</v>
      </c>
      <c r="KU65" s="44">
        <v>0</v>
      </c>
      <c r="KV65" s="43"/>
      <c r="KW65" s="42">
        <v>20</v>
      </c>
      <c r="KX65" s="47">
        <v>20</v>
      </c>
      <c r="KY65" s="44">
        <v>0</v>
      </c>
      <c r="KZ65" s="43"/>
      <c r="LA65" s="42">
        <v>60</v>
      </c>
      <c r="LB65" s="47">
        <v>60</v>
      </c>
      <c r="LC65" s="47">
        <v>40</v>
      </c>
      <c r="LD65" s="47">
        <v>40</v>
      </c>
      <c r="LE65" s="44">
        <v>0</v>
      </c>
      <c r="LF65" s="43"/>
      <c r="LG65" s="42">
        <v>50</v>
      </c>
      <c r="LH65" s="47">
        <v>50</v>
      </c>
      <c r="LI65" s="47">
        <v>0</v>
      </c>
      <c r="LJ65" s="47">
        <v>0</v>
      </c>
      <c r="LK65" s="44">
        <v>0</v>
      </c>
      <c r="LL65" s="43"/>
      <c r="LM65" s="42">
        <v>0</v>
      </c>
      <c r="LN65" s="47">
        <v>0</v>
      </c>
      <c r="LO65" s="44">
        <v>0</v>
      </c>
      <c r="LP65" s="43"/>
      <c r="LQ65" s="42">
        <v>0</v>
      </c>
      <c r="LR65" s="47">
        <v>0</v>
      </c>
      <c r="LS65" s="47">
        <v>290</v>
      </c>
      <c r="LT65" s="47">
        <v>290</v>
      </c>
      <c r="LU65" s="44">
        <v>0</v>
      </c>
      <c r="LV65" s="43"/>
      <c r="LW65" s="42">
        <v>0</v>
      </c>
      <c r="LX65" s="47">
        <v>0</v>
      </c>
      <c r="LY65" s="47">
        <v>280</v>
      </c>
      <c r="LZ65" s="47">
        <v>280</v>
      </c>
      <c r="MA65" s="44">
        <v>0</v>
      </c>
      <c r="MB65" s="43"/>
      <c r="MC65" s="42">
        <v>0</v>
      </c>
      <c r="MD65" s="47">
        <v>0</v>
      </c>
      <c r="ME65" s="47">
        <v>0</v>
      </c>
      <c r="MF65" s="47">
        <v>0</v>
      </c>
      <c r="MG65" s="44">
        <v>0</v>
      </c>
      <c r="MH65" s="43"/>
      <c r="MI65" s="42">
        <v>250</v>
      </c>
      <c r="MJ65" s="47">
        <v>250</v>
      </c>
      <c r="MK65" s="47">
        <v>110</v>
      </c>
      <c r="ML65" s="47">
        <v>110</v>
      </c>
      <c r="MM65" s="44">
        <v>0</v>
      </c>
      <c r="MN65" s="43"/>
      <c r="MO65" s="42">
        <v>50</v>
      </c>
      <c r="MP65" s="47">
        <v>50</v>
      </c>
      <c r="MQ65" s="47">
        <v>70</v>
      </c>
      <c r="MR65" s="47">
        <v>70</v>
      </c>
      <c r="MS65" s="44">
        <v>0</v>
      </c>
      <c r="MT65" s="43"/>
      <c r="MU65" s="42">
        <v>80</v>
      </c>
      <c r="MV65" s="47">
        <v>80</v>
      </c>
      <c r="MW65" s="47">
        <v>150</v>
      </c>
      <c r="MX65" s="47">
        <v>140</v>
      </c>
      <c r="MY65" s="44">
        <v>10</v>
      </c>
      <c r="MZ65" s="43"/>
      <c r="NA65" s="42">
        <v>0</v>
      </c>
      <c r="NB65" s="47">
        <v>0</v>
      </c>
      <c r="NC65" s="47">
        <v>40</v>
      </c>
      <c r="ND65" s="47">
        <v>40</v>
      </c>
      <c r="NE65" s="44">
        <v>0</v>
      </c>
      <c r="NF65" s="43"/>
      <c r="NG65" s="42">
        <v>250</v>
      </c>
      <c r="NH65" s="47">
        <v>250</v>
      </c>
      <c r="NI65" s="47">
        <v>400</v>
      </c>
      <c r="NJ65" s="47">
        <v>400</v>
      </c>
      <c r="NK65" s="44">
        <v>0</v>
      </c>
      <c r="NL65" s="43"/>
      <c r="NM65" s="42">
        <v>0</v>
      </c>
      <c r="NN65" s="47">
        <v>0</v>
      </c>
      <c r="NO65" s="47">
        <v>120</v>
      </c>
      <c r="NP65" s="47">
        <v>120</v>
      </c>
      <c r="NQ65" s="44">
        <v>0</v>
      </c>
      <c r="NR65" s="43"/>
      <c r="NS65" s="42">
        <v>100</v>
      </c>
      <c r="NT65" s="47">
        <v>100</v>
      </c>
      <c r="NU65" s="47">
        <v>0</v>
      </c>
      <c r="NV65" s="47">
        <v>0</v>
      </c>
      <c r="NW65" s="44">
        <v>0</v>
      </c>
      <c r="NX65" s="43"/>
      <c r="NY65" s="42">
        <v>200</v>
      </c>
      <c r="NZ65" s="47">
        <v>200</v>
      </c>
      <c r="OA65" s="47">
        <v>200</v>
      </c>
      <c r="OB65" s="47">
        <v>200</v>
      </c>
      <c r="OC65" s="44">
        <v>0</v>
      </c>
      <c r="OD65" s="43"/>
      <c r="OE65" s="42">
        <v>30</v>
      </c>
      <c r="OF65" s="47">
        <v>30</v>
      </c>
      <c r="OG65" s="47">
        <v>30</v>
      </c>
      <c r="OH65" s="47">
        <v>30</v>
      </c>
      <c r="OI65" s="44">
        <v>0</v>
      </c>
      <c r="OJ65" s="43"/>
      <c r="OK65" s="42">
        <v>200</v>
      </c>
      <c r="OL65" s="47">
        <v>200</v>
      </c>
      <c r="OM65" s="47">
        <v>150</v>
      </c>
      <c r="ON65" s="47">
        <v>150</v>
      </c>
      <c r="OO65" s="44">
        <v>0</v>
      </c>
      <c r="OP65" s="43"/>
      <c r="OQ65" s="42">
        <v>130</v>
      </c>
      <c r="OR65" s="47">
        <v>130</v>
      </c>
      <c r="OS65" s="47">
        <v>80</v>
      </c>
      <c r="OT65" s="47">
        <v>80</v>
      </c>
      <c r="OU65" s="44">
        <v>0</v>
      </c>
      <c r="OV65" s="43"/>
      <c r="OW65" s="42">
        <v>0</v>
      </c>
      <c r="OX65" s="47">
        <v>0</v>
      </c>
      <c r="OY65" s="47">
        <v>170</v>
      </c>
      <c r="OZ65" s="47">
        <v>170</v>
      </c>
      <c r="PA65" s="44">
        <v>0</v>
      </c>
      <c r="PB65" s="43"/>
      <c r="PC65" s="42">
        <v>50</v>
      </c>
      <c r="PD65" s="47">
        <v>50</v>
      </c>
      <c r="PE65" s="47">
        <v>100</v>
      </c>
      <c r="PF65" s="47">
        <v>100</v>
      </c>
      <c r="PG65" s="44">
        <v>0</v>
      </c>
      <c r="PH65" s="43"/>
      <c r="PI65" s="42">
        <v>50</v>
      </c>
      <c r="PJ65" s="47">
        <v>50</v>
      </c>
      <c r="PK65" s="47">
        <v>70</v>
      </c>
      <c r="PL65" s="47">
        <v>70</v>
      </c>
      <c r="PM65" s="44">
        <v>0</v>
      </c>
      <c r="PN65" s="43"/>
      <c r="PO65" s="42">
        <v>50</v>
      </c>
      <c r="PP65" s="47">
        <v>50</v>
      </c>
      <c r="PQ65" s="47">
        <v>50</v>
      </c>
      <c r="PR65" s="47">
        <v>50</v>
      </c>
      <c r="PS65" s="44">
        <v>0</v>
      </c>
      <c r="PT65" s="43"/>
      <c r="PU65" s="42">
        <v>0</v>
      </c>
      <c r="PV65" s="47">
        <v>0</v>
      </c>
      <c r="PW65" s="47">
        <v>120</v>
      </c>
      <c r="PX65" s="47">
        <v>120</v>
      </c>
      <c r="PY65" s="44">
        <v>0</v>
      </c>
      <c r="PZ65" s="43"/>
      <c r="QA65" s="42">
        <v>0</v>
      </c>
      <c r="QB65" s="47">
        <v>0</v>
      </c>
      <c r="QC65" s="44">
        <v>0</v>
      </c>
      <c r="QD65" s="43"/>
      <c r="QE65" s="42">
        <v>0</v>
      </c>
      <c r="QF65" s="47">
        <v>0</v>
      </c>
      <c r="QG65" s="44">
        <v>0</v>
      </c>
      <c r="QH65" s="43"/>
      <c r="QI65" s="42">
        <v>0</v>
      </c>
      <c r="QJ65" s="47">
        <v>0</v>
      </c>
      <c r="QK65" s="44">
        <v>0</v>
      </c>
      <c r="QL65" s="43"/>
      <c r="QM65" s="42">
        <v>0</v>
      </c>
      <c r="QN65" s="47">
        <v>0</v>
      </c>
      <c r="QO65" s="47">
        <v>0</v>
      </c>
      <c r="QP65" s="47">
        <v>0</v>
      </c>
      <c r="QQ65" s="44">
        <v>0</v>
      </c>
      <c r="QR65" s="43"/>
      <c r="QS65" s="42">
        <v>0</v>
      </c>
      <c r="QT65" s="47">
        <v>0</v>
      </c>
      <c r="QU65" s="44">
        <v>0</v>
      </c>
      <c r="QV65" s="43"/>
      <c r="QW65" s="42">
        <v>0</v>
      </c>
      <c r="QX65" s="47">
        <v>0</v>
      </c>
      <c r="QY65" s="44">
        <v>0</v>
      </c>
      <c r="QZ65" s="43"/>
    </row>
    <row r="66" spans="1:468" x14ac:dyDescent="0.25">
      <c r="A66" s="47" t="s">
        <v>350</v>
      </c>
      <c r="B66" s="38">
        <v>0.1</v>
      </c>
      <c r="I66">
        <v>100</v>
      </c>
      <c r="N66" s="41">
        <v>84</v>
      </c>
      <c r="O66" s="49">
        <v>90</v>
      </c>
      <c r="P66" s="49">
        <v>98</v>
      </c>
      <c r="Q66" s="49">
        <v>102</v>
      </c>
      <c r="R66" s="48">
        <f t="shared" si="8"/>
        <v>-10</v>
      </c>
      <c r="S66" s="40"/>
      <c r="T66" s="39"/>
      <c r="U66" s="48"/>
      <c r="V66" s="48">
        <f t="shared" si="9"/>
        <v>0</v>
      </c>
      <c r="W66" s="40"/>
      <c r="X66" s="41">
        <v>84</v>
      </c>
      <c r="Y66" s="49">
        <v>90</v>
      </c>
      <c r="Z66" s="48"/>
      <c r="AA66" s="48"/>
      <c r="AB66" s="48">
        <f t="shared" si="10"/>
        <v>-6</v>
      </c>
      <c r="AC66" s="40"/>
      <c r="AD66" s="48"/>
      <c r="AF66">
        <v>140</v>
      </c>
      <c r="AG66">
        <v>140</v>
      </c>
      <c r="AH66" s="44">
        <v>0</v>
      </c>
      <c r="AI66" s="40"/>
      <c r="AN66" s="44">
        <v>0</v>
      </c>
      <c r="AO66" s="40"/>
      <c r="AP66">
        <v>42</v>
      </c>
      <c r="AQ66">
        <v>50</v>
      </c>
      <c r="AR66">
        <v>56</v>
      </c>
      <c r="AS66">
        <v>61</v>
      </c>
      <c r="AT66" s="44">
        <v>-13</v>
      </c>
      <c r="AU66" s="40"/>
      <c r="AV66" s="39"/>
      <c r="AX66" s="44">
        <v>0</v>
      </c>
      <c r="AY66" s="40"/>
      <c r="AZ66" s="41">
        <v>28</v>
      </c>
      <c r="BA66">
        <v>28</v>
      </c>
      <c r="BB66" s="44">
        <v>0</v>
      </c>
      <c r="BC66" s="40"/>
      <c r="BD66">
        <v>42</v>
      </c>
      <c r="BE66">
        <v>50</v>
      </c>
      <c r="BH66" s="44">
        <v>-8</v>
      </c>
      <c r="BI66" s="40"/>
      <c r="BK66">
        <v>305</v>
      </c>
      <c r="BL66" s="46">
        <v>-305</v>
      </c>
      <c r="BM66" s="40">
        <v>30.5</v>
      </c>
      <c r="BN66" s="39"/>
      <c r="BR66" s="44">
        <v>0</v>
      </c>
      <c r="BS66" s="40"/>
      <c r="BT66">
        <v>210</v>
      </c>
      <c r="BU66">
        <v>220</v>
      </c>
      <c r="BV66" s="44">
        <v>-10</v>
      </c>
      <c r="BW66" s="40"/>
      <c r="BX66" s="41">
        <v>84</v>
      </c>
      <c r="BY66">
        <v>100</v>
      </c>
      <c r="BZ66" s="46">
        <v>-16</v>
      </c>
      <c r="CA66" s="40">
        <v>1.6</v>
      </c>
      <c r="CB66" s="39"/>
      <c r="CD66">
        <v>42</v>
      </c>
      <c r="CG66">
        <v>50</v>
      </c>
      <c r="CH66" s="44">
        <v>-8</v>
      </c>
      <c r="CI66" s="40"/>
      <c r="CK66">
        <v>200</v>
      </c>
      <c r="CL66">
        <v>210</v>
      </c>
      <c r="CM66">
        <v>210</v>
      </c>
      <c r="CN66" s="46">
        <v>-200</v>
      </c>
      <c r="CO66" s="40">
        <v>20</v>
      </c>
      <c r="CP66" s="39"/>
      <c r="CT66" s="44">
        <v>0</v>
      </c>
      <c r="CU66" s="40"/>
      <c r="CV66" s="39"/>
      <c r="CZ66" s="44">
        <v>0</v>
      </c>
      <c r="DA66" s="40"/>
      <c r="DB66" s="41">
        <v>140</v>
      </c>
      <c r="DC66">
        <v>150</v>
      </c>
      <c r="DD66">
        <v>182</v>
      </c>
      <c r="DE66">
        <v>180</v>
      </c>
      <c r="DF66" s="44">
        <v>-8</v>
      </c>
      <c r="DG66" s="40"/>
      <c r="DJ66">
        <v>42</v>
      </c>
      <c r="DK66">
        <v>40</v>
      </c>
      <c r="DN66" s="44">
        <v>2</v>
      </c>
      <c r="DO66" s="40"/>
      <c r="DP66" s="41">
        <v>126</v>
      </c>
      <c r="DQ66">
        <v>130</v>
      </c>
      <c r="DR66" s="44">
        <v>-4</v>
      </c>
      <c r="DS66" s="40"/>
      <c r="DT66" s="41">
        <v>42</v>
      </c>
      <c r="DU66">
        <v>50</v>
      </c>
      <c r="DV66">
        <v>70</v>
      </c>
      <c r="DW66">
        <v>70</v>
      </c>
      <c r="DX66" s="44">
        <v>-8</v>
      </c>
      <c r="DY66" s="40"/>
      <c r="DZ66" s="39"/>
      <c r="EB66" s="44">
        <v>0</v>
      </c>
      <c r="EC66" s="40"/>
      <c r="ED66">
        <v>42</v>
      </c>
      <c r="EE66">
        <v>42</v>
      </c>
      <c r="EF66">
        <v>42</v>
      </c>
      <c r="EH66">
        <v>42</v>
      </c>
      <c r="EI66">
        <v>112</v>
      </c>
      <c r="EJ66">
        <v>116</v>
      </c>
      <c r="EK66" s="44">
        <v>-4</v>
      </c>
      <c r="EL66" s="40"/>
      <c r="EN66">
        <v>28</v>
      </c>
      <c r="EO66">
        <v>28</v>
      </c>
      <c r="EQ66">
        <v>28</v>
      </c>
      <c r="ER66">
        <v>32</v>
      </c>
      <c r="ES66" s="44">
        <v>-4</v>
      </c>
      <c r="ET66" s="40"/>
      <c r="EU66" s="39"/>
      <c r="EW66">
        <v>14</v>
      </c>
      <c r="EX66">
        <v>24</v>
      </c>
      <c r="EY66" s="44">
        <v>-10</v>
      </c>
      <c r="EZ66" s="40"/>
      <c r="FA66" s="39"/>
      <c r="FB66">
        <v>84</v>
      </c>
      <c r="FC66">
        <v>84</v>
      </c>
      <c r="FD66" s="44">
        <v>0</v>
      </c>
      <c r="FE66" s="40"/>
      <c r="FF66">
        <v>42</v>
      </c>
      <c r="FG66">
        <v>40</v>
      </c>
      <c r="FH66" s="44">
        <v>2</v>
      </c>
      <c r="FI66" s="40"/>
      <c r="FJ66" s="39"/>
      <c r="FO66">
        <v>98</v>
      </c>
      <c r="FP66">
        <v>99</v>
      </c>
      <c r="FQ66" s="44">
        <v>-1</v>
      </c>
      <c r="FR66" s="40"/>
      <c r="FS66">
        <v>42</v>
      </c>
      <c r="FT66">
        <v>50</v>
      </c>
      <c r="FU66">
        <v>70</v>
      </c>
      <c r="FV66">
        <v>80</v>
      </c>
      <c r="FW66" s="46">
        <v>-18</v>
      </c>
      <c r="FX66" s="40">
        <v>1.8</v>
      </c>
      <c r="FY66" s="39"/>
      <c r="GA66">
        <v>14</v>
      </c>
      <c r="GB66">
        <v>14</v>
      </c>
      <c r="GC66" s="44">
        <v>0</v>
      </c>
      <c r="GD66" s="40"/>
      <c r="GE66">
        <v>42</v>
      </c>
      <c r="GF66">
        <v>42</v>
      </c>
      <c r="GG66">
        <v>56</v>
      </c>
      <c r="GH66">
        <v>58</v>
      </c>
      <c r="GI66" s="44">
        <v>-2</v>
      </c>
      <c r="GJ66" s="40"/>
      <c r="GK66">
        <v>14</v>
      </c>
      <c r="GL66" s="47">
        <v>23</v>
      </c>
      <c r="GM66" s="44">
        <v>-9</v>
      </c>
      <c r="GN66" s="40"/>
      <c r="GO66" s="41">
        <v>84</v>
      </c>
      <c r="GP66">
        <v>95</v>
      </c>
      <c r="GQ66" s="44">
        <v>-11</v>
      </c>
      <c r="GR66" s="40"/>
      <c r="GV66">
        <v>28</v>
      </c>
      <c r="GW66">
        <v>28</v>
      </c>
      <c r="GX66" s="44">
        <v>0</v>
      </c>
      <c r="GY66" s="40"/>
      <c r="HD66" s="44">
        <v>0</v>
      </c>
      <c r="HE66" s="40"/>
      <c r="HF66" s="39"/>
      <c r="HH66">
        <v>98</v>
      </c>
      <c r="HI66">
        <v>100</v>
      </c>
      <c r="HJ66" s="44">
        <v>-2</v>
      </c>
      <c r="HK66" s="40"/>
      <c r="HL66" s="39"/>
      <c r="HN66">
        <v>70</v>
      </c>
      <c r="HO66">
        <v>70</v>
      </c>
      <c r="HP66" s="44">
        <v>0</v>
      </c>
      <c r="HQ66" s="40"/>
      <c r="HT66">
        <v>14</v>
      </c>
      <c r="HU66">
        <v>20</v>
      </c>
      <c r="HV66" s="44">
        <v>-6</v>
      </c>
      <c r="HW66" s="43"/>
      <c r="HX66">
        <v>56</v>
      </c>
      <c r="HY66">
        <v>56</v>
      </c>
      <c r="HZ66">
        <v>98</v>
      </c>
      <c r="IA66">
        <v>104</v>
      </c>
      <c r="IB66" s="44">
        <v>-6</v>
      </c>
      <c r="IC66" s="43"/>
      <c r="ID66">
        <v>42</v>
      </c>
      <c r="IE66">
        <v>44</v>
      </c>
      <c r="IH66" s="44">
        <v>-2</v>
      </c>
      <c r="II66" s="43"/>
      <c r="IJ66">
        <v>98</v>
      </c>
      <c r="IK66">
        <v>100</v>
      </c>
      <c r="IL66">
        <v>84</v>
      </c>
      <c r="IM66">
        <v>90</v>
      </c>
      <c r="IN66" s="44">
        <v>-8</v>
      </c>
      <c r="IO66" s="40"/>
      <c r="IP66">
        <v>42</v>
      </c>
      <c r="IQ66">
        <v>50</v>
      </c>
      <c r="IR66" s="44">
        <v>-8</v>
      </c>
      <c r="IS66" s="40"/>
      <c r="IT66">
        <v>112</v>
      </c>
      <c r="IU66">
        <v>120</v>
      </c>
      <c r="IV66">
        <v>168</v>
      </c>
      <c r="IW66">
        <v>166</v>
      </c>
      <c r="IX66" s="44">
        <v>-6</v>
      </c>
      <c r="IY66" s="43"/>
      <c r="JB66" s="44">
        <v>0</v>
      </c>
      <c r="JC66" s="40"/>
      <c r="JF66">
        <v>70</v>
      </c>
      <c r="JG66">
        <v>70</v>
      </c>
      <c r="JH66" s="44">
        <v>0</v>
      </c>
      <c r="JI66" s="40"/>
      <c r="JJ66">
        <v>112</v>
      </c>
      <c r="JK66">
        <v>110</v>
      </c>
      <c r="JL66">
        <v>126</v>
      </c>
      <c r="JM66">
        <v>130</v>
      </c>
      <c r="JN66" s="44">
        <v>-2</v>
      </c>
      <c r="JO66" s="43"/>
      <c r="JR66">
        <v>14</v>
      </c>
      <c r="JS66">
        <v>20</v>
      </c>
      <c r="JT66" s="44">
        <v>-6</v>
      </c>
      <c r="JU66" s="43"/>
      <c r="JV66">
        <v>42</v>
      </c>
      <c r="JW66">
        <v>42</v>
      </c>
      <c r="JX66">
        <v>70</v>
      </c>
      <c r="JY66">
        <v>78</v>
      </c>
      <c r="JZ66" s="44">
        <v>-8</v>
      </c>
      <c r="KA66" s="43"/>
      <c r="KB66" s="42"/>
      <c r="KE66">
        <v>84</v>
      </c>
      <c r="KF66">
        <v>90</v>
      </c>
      <c r="KG66">
        <v>98</v>
      </c>
      <c r="KH66">
        <v>100</v>
      </c>
      <c r="KI66" s="44">
        <v>-8</v>
      </c>
      <c r="KJ66" s="43"/>
      <c r="KK66" s="47">
        <v>0</v>
      </c>
      <c r="KL66" s="47">
        <v>0</v>
      </c>
      <c r="KM66" s="47">
        <v>70</v>
      </c>
      <c r="KN66" s="47">
        <v>80</v>
      </c>
      <c r="KO66" s="44">
        <v>-10</v>
      </c>
      <c r="KP66" s="43"/>
      <c r="KQ66" s="47">
        <v>0</v>
      </c>
      <c r="KR66" s="47">
        <v>0</v>
      </c>
      <c r="KS66" s="47">
        <v>84</v>
      </c>
      <c r="KT66" s="47">
        <v>90</v>
      </c>
      <c r="KU66" s="44">
        <v>-6</v>
      </c>
      <c r="KV66" s="43"/>
      <c r="KW66" s="42">
        <v>112</v>
      </c>
      <c r="KX66" s="47">
        <v>110</v>
      </c>
      <c r="KY66" s="44">
        <v>2</v>
      </c>
      <c r="KZ66" s="43"/>
      <c r="LA66" s="42">
        <v>70</v>
      </c>
      <c r="LB66" s="47">
        <v>80</v>
      </c>
      <c r="LC66" s="47">
        <v>84</v>
      </c>
      <c r="LD66" s="47">
        <v>90</v>
      </c>
      <c r="LE66" s="44">
        <v>-16</v>
      </c>
      <c r="LF66" s="43"/>
      <c r="LG66" s="42">
        <v>70</v>
      </c>
      <c r="LH66" s="47">
        <v>70</v>
      </c>
      <c r="LI66" s="47">
        <v>0</v>
      </c>
      <c r="LJ66" s="47">
        <v>0</v>
      </c>
      <c r="LK66" s="44">
        <v>0</v>
      </c>
      <c r="LL66" s="43"/>
      <c r="LM66" s="42">
        <v>0</v>
      </c>
      <c r="LN66" s="47">
        <v>0</v>
      </c>
      <c r="LO66" s="44">
        <v>0</v>
      </c>
      <c r="LP66" s="43"/>
      <c r="LQ66" s="42">
        <v>0</v>
      </c>
      <c r="LR66" s="47">
        <v>0</v>
      </c>
      <c r="LS66" s="47">
        <v>0</v>
      </c>
      <c r="LT66" s="47">
        <v>0</v>
      </c>
      <c r="LU66" s="44">
        <v>0</v>
      </c>
      <c r="LV66" s="43"/>
      <c r="LW66" s="42">
        <v>140</v>
      </c>
      <c r="LX66" s="47">
        <v>140</v>
      </c>
      <c r="LY66" s="47">
        <v>0</v>
      </c>
      <c r="LZ66" s="47">
        <v>0</v>
      </c>
      <c r="MA66" s="44">
        <v>0</v>
      </c>
      <c r="MB66" s="43"/>
      <c r="MC66" s="42">
        <v>0</v>
      </c>
      <c r="MD66" s="47">
        <v>0</v>
      </c>
      <c r="ME66" s="47">
        <v>84</v>
      </c>
      <c r="MF66" s="47">
        <v>90</v>
      </c>
      <c r="MG66" s="44">
        <v>-6</v>
      </c>
      <c r="MH66" s="43"/>
      <c r="MI66" s="42">
        <v>140</v>
      </c>
      <c r="MJ66" s="47">
        <v>150</v>
      </c>
      <c r="MK66" s="47">
        <v>84</v>
      </c>
      <c r="ML66" s="47">
        <v>90</v>
      </c>
      <c r="MM66" s="44">
        <v>-16</v>
      </c>
      <c r="MN66" s="43"/>
      <c r="MO66" s="42">
        <v>0</v>
      </c>
      <c r="MP66" s="47">
        <v>0</v>
      </c>
      <c r="MQ66" s="47">
        <v>42</v>
      </c>
      <c r="MR66" s="47">
        <v>40</v>
      </c>
      <c r="MS66" s="44">
        <v>2</v>
      </c>
      <c r="MT66" s="43"/>
      <c r="MU66" s="22">
        <v>84</v>
      </c>
      <c r="MV66" s="47">
        <v>0</v>
      </c>
      <c r="MW66" s="47">
        <v>98</v>
      </c>
      <c r="MX66" s="47">
        <v>100</v>
      </c>
      <c r="MY66" s="44">
        <v>82</v>
      </c>
      <c r="MZ66" s="43"/>
      <c r="NA66" s="42">
        <v>70</v>
      </c>
      <c r="NB66" s="47">
        <v>70</v>
      </c>
      <c r="NC66" s="47">
        <v>98</v>
      </c>
      <c r="ND66" s="47">
        <v>100</v>
      </c>
      <c r="NE66" s="44">
        <v>-2</v>
      </c>
      <c r="NF66" s="43"/>
      <c r="NG66" s="42">
        <v>0</v>
      </c>
      <c r="NH66" s="47">
        <v>0</v>
      </c>
      <c r="NI66" s="47">
        <v>140</v>
      </c>
      <c r="NJ66" s="47">
        <v>150</v>
      </c>
      <c r="NK66" s="44">
        <v>-10</v>
      </c>
      <c r="NL66" s="43"/>
      <c r="NM66" s="42">
        <v>0</v>
      </c>
      <c r="NN66" s="47">
        <v>0</v>
      </c>
      <c r="NO66" s="47">
        <v>140</v>
      </c>
      <c r="NP66" s="47">
        <v>150</v>
      </c>
      <c r="NQ66" s="44">
        <v>-10</v>
      </c>
      <c r="NR66" s="43"/>
      <c r="NS66" s="42">
        <v>98</v>
      </c>
      <c r="NT66" s="47">
        <v>100</v>
      </c>
      <c r="NU66" s="47">
        <v>0</v>
      </c>
      <c r="NV66" s="47">
        <v>0</v>
      </c>
      <c r="NW66" s="44">
        <v>-2</v>
      </c>
      <c r="NX66" s="43"/>
      <c r="NY66" s="42">
        <v>0</v>
      </c>
      <c r="NZ66" s="26">
        <v>150</v>
      </c>
      <c r="OA66" s="47">
        <v>70</v>
      </c>
      <c r="OB66" s="47">
        <v>170</v>
      </c>
      <c r="OC66" s="46">
        <v>-250</v>
      </c>
      <c r="OD66" s="43">
        <v>25</v>
      </c>
      <c r="OE66" s="42">
        <v>0</v>
      </c>
      <c r="OF66" s="47">
        <v>0</v>
      </c>
      <c r="OG66" s="47">
        <v>42</v>
      </c>
      <c r="OH66" s="47">
        <v>50</v>
      </c>
      <c r="OI66" s="44">
        <v>-8</v>
      </c>
      <c r="OJ66" s="43"/>
      <c r="OK66" s="42">
        <v>0</v>
      </c>
      <c r="OL66" s="47">
        <v>0</v>
      </c>
      <c r="OM66" s="47">
        <v>56</v>
      </c>
      <c r="ON66" s="47">
        <v>60</v>
      </c>
      <c r="OO66" s="44">
        <v>-4</v>
      </c>
      <c r="OP66" s="43"/>
      <c r="OQ66" s="42">
        <v>112</v>
      </c>
      <c r="OR66" s="47">
        <v>120</v>
      </c>
      <c r="OS66" s="47">
        <v>84</v>
      </c>
      <c r="OT66" s="47">
        <v>86</v>
      </c>
      <c r="OU66" s="44">
        <v>-10</v>
      </c>
      <c r="OV66" s="43"/>
      <c r="OW66" s="42">
        <v>0</v>
      </c>
      <c r="OX66" s="47">
        <v>0</v>
      </c>
      <c r="OY66" s="47">
        <v>0</v>
      </c>
      <c r="OZ66" s="47">
        <v>0</v>
      </c>
      <c r="PA66" s="44">
        <v>0</v>
      </c>
      <c r="PB66" s="43"/>
      <c r="PC66" s="42">
        <v>0</v>
      </c>
      <c r="PD66" s="47">
        <v>0</v>
      </c>
      <c r="PE66" s="47">
        <v>98</v>
      </c>
      <c r="PF66" s="47">
        <v>100</v>
      </c>
      <c r="PG66" s="44">
        <v>-2</v>
      </c>
      <c r="PH66" s="43"/>
      <c r="PI66" s="42">
        <v>0</v>
      </c>
      <c r="PJ66" s="47">
        <v>0</v>
      </c>
      <c r="PK66" s="47">
        <v>28</v>
      </c>
      <c r="PL66" s="47">
        <v>38</v>
      </c>
      <c r="PM66" s="44">
        <v>-10</v>
      </c>
      <c r="PN66" s="43"/>
      <c r="PO66" s="42">
        <v>0</v>
      </c>
      <c r="PP66" s="26">
        <v>50</v>
      </c>
      <c r="PQ66" s="47">
        <v>0</v>
      </c>
      <c r="PR66" s="47">
        <v>0</v>
      </c>
      <c r="PS66" s="46">
        <v>-50</v>
      </c>
      <c r="PT66" s="43">
        <v>5</v>
      </c>
      <c r="PU66" s="42">
        <v>0</v>
      </c>
      <c r="PV66" s="47">
        <v>0</v>
      </c>
      <c r="PW66" s="47">
        <v>56</v>
      </c>
      <c r="PX66" s="47">
        <v>67</v>
      </c>
      <c r="PY66" s="44">
        <v>-11</v>
      </c>
      <c r="PZ66" s="43"/>
      <c r="QA66" s="42">
        <v>14</v>
      </c>
      <c r="QB66" s="47">
        <v>10</v>
      </c>
      <c r="QC66" s="44">
        <v>4</v>
      </c>
      <c r="QD66" s="43"/>
      <c r="QE66" s="42">
        <v>56</v>
      </c>
      <c r="QF66" s="47">
        <v>65</v>
      </c>
      <c r="QG66" s="44">
        <v>-9</v>
      </c>
      <c r="QH66" s="43"/>
      <c r="QI66" s="42">
        <v>28</v>
      </c>
      <c r="QJ66" s="47">
        <v>35</v>
      </c>
      <c r="QK66" s="44">
        <v>-7</v>
      </c>
      <c r="QL66" s="43"/>
      <c r="QM66" s="42">
        <v>42</v>
      </c>
      <c r="QN66" s="47">
        <v>50</v>
      </c>
      <c r="QO66" s="47">
        <v>0</v>
      </c>
      <c r="QP66" s="47">
        <v>0</v>
      </c>
      <c r="QQ66" s="44">
        <v>-8</v>
      </c>
      <c r="QR66" s="43"/>
      <c r="QS66" s="42">
        <v>0</v>
      </c>
      <c r="QT66" s="47">
        <v>0</v>
      </c>
      <c r="QU66" s="44">
        <v>0</v>
      </c>
      <c r="QV66" s="43"/>
      <c r="QW66" s="42">
        <v>0</v>
      </c>
      <c r="QX66" s="47">
        <v>0</v>
      </c>
      <c r="QY66" s="44">
        <v>0</v>
      </c>
      <c r="QZ66" s="43"/>
    </row>
    <row r="67" spans="1:468" x14ac:dyDescent="0.25">
      <c r="A67" s="47" t="s">
        <v>351</v>
      </c>
      <c r="B67" s="38">
        <v>0.1</v>
      </c>
      <c r="I67">
        <v>250</v>
      </c>
      <c r="J67">
        <v>300</v>
      </c>
      <c r="K67">
        <v>298</v>
      </c>
      <c r="N67" s="39"/>
      <c r="O67" s="48"/>
      <c r="P67" s="48"/>
      <c r="Q67" s="48"/>
      <c r="R67" s="48">
        <f t="shared" si="8"/>
        <v>0</v>
      </c>
      <c r="S67" s="40"/>
      <c r="T67" s="41">
        <v>110</v>
      </c>
      <c r="U67" s="49">
        <v>120</v>
      </c>
      <c r="V67" s="53">
        <f t="shared" si="9"/>
        <v>-10</v>
      </c>
      <c r="W67" s="40">
        <f>-1*V67*B67</f>
        <v>1</v>
      </c>
      <c r="X67" s="41">
        <v>200</v>
      </c>
      <c r="Y67" s="49">
        <v>200</v>
      </c>
      <c r="Z67" s="49">
        <v>270</v>
      </c>
      <c r="AA67" s="49">
        <v>270</v>
      </c>
      <c r="AB67" s="48">
        <f t="shared" si="10"/>
        <v>0</v>
      </c>
      <c r="AC67" s="40"/>
      <c r="AD67" s="48"/>
      <c r="AH67" s="44">
        <v>0</v>
      </c>
      <c r="AI67" s="40"/>
      <c r="AJ67">
        <v>150</v>
      </c>
      <c r="AK67">
        <v>150</v>
      </c>
      <c r="AL67">
        <v>170</v>
      </c>
      <c r="AM67">
        <v>170</v>
      </c>
      <c r="AN67" s="44">
        <v>0</v>
      </c>
      <c r="AO67" s="40"/>
      <c r="AT67" s="44">
        <v>0</v>
      </c>
      <c r="AU67" s="40"/>
      <c r="AV67" s="39"/>
      <c r="AX67" s="44">
        <v>0</v>
      </c>
      <c r="AY67" s="40"/>
      <c r="AZ67" s="41">
        <v>350</v>
      </c>
      <c r="BA67">
        <v>355</v>
      </c>
      <c r="BB67" s="44">
        <v>-5</v>
      </c>
      <c r="BC67" s="40"/>
      <c r="BD67">
        <v>30</v>
      </c>
      <c r="BE67">
        <v>30</v>
      </c>
      <c r="BH67" s="44">
        <v>0</v>
      </c>
      <c r="BI67" s="40"/>
      <c r="BJ67">
        <v>250</v>
      </c>
      <c r="BK67">
        <v>250</v>
      </c>
      <c r="BL67" s="44">
        <v>0</v>
      </c>
      <c r="BM67" s="40"/>
      <c r="BN67" s="41">
        <v>100</v>
      </c>
      <c r="BO67">
        <v>100</v>
      </c>
      <c r="BP67">
        <v>140</v>
      </c>
      <c r="BQ67">
        <v>144</v>
      </c>
      <c r="BR67" s="44">
        <v>-4</v>
      </c>
      <c r="BS67" s="40"/>
      <c r="BV67" s="44">
        <v>0</v>
      </c>
      <c r="BW67" s="40"/>
      <c r="BX67" s="39"/>
      <c r="BZ67" s="44">
        <v>0</v>
      </c>
      <c r="CA67" s="40"/>
      <c r="CB67" s="39"/>
      <c r="CD67">
        <v>450</v>
      </c>
      <c r="CG67">
        <v>450</v>
      </c>
      <c r="CH67" s="44">
        <v>0</v>
      </c>
      <c r="CI67" s="40"/>
      <c r="CJ67">
        <v>130</v>
      </c>
      <c r="CK67">
        <v>130</v>
      </c>
      <c r="CL67">
        <v>160</v>
      </c>
      <c r="CM67">
        <v>161</v>
      </c>
      <c r="CN67" s="44">
        <v>-1</v>
      </c>
      <c r="CO67" s="40"/>
      <c r="CP67" s="39"/>
      <c r="CT67" s="44">
        <v>0</v>
      </c>
      <c r="CU67" s="40"/>
      <c r="CV67" s="39"/>
      <c r="CX67">
        <v>70</v>
      </c>
      <c r="CY67">
        <v>70</v>
      </c>
      <c r="CZ67" s="44">
        <v>0</v>
      </c>
      <c r="DA67" s="40"/>
      <c r="DB67" s="41">
        <v>170</v>
      </c>
      <c r="DC67">
        <v>150</v>
      </c>
      <c r="DD67">
        <v>190</v>
      </c>
      <c r="DE67">
        <v>190</v>
      </c>
      <c r="DF67" s="44">
        <v>20</v>
      </c>
      <c r="DG67" s="40"/>
      <c r="DJ67">
        <v>190</v>
      </c>
      <c r="DK67">
        <v>190</v>
      </c>
      <c r="DN67" s="44">
        <v>0</v>
      </c>
      <c r="DO67" s="40"/>
      <c r="DP67" s="39"/>
      <c r="DR67" s="44">
        <v>0</v>
      </c>
      <c r="DS67" s="40"/>
      <c r="DT67" s="41">
        <v>100</v>
      </c>
      <c r="DU67">
        <v>100</v>
      </c>
      <c r="DV67">
        <v>130</v>
      </c>
      <c r="DW67">
        <v>130</v>
      </c>
      <c r="DX67" s="44">
        <v>0</v>
      </c>
      <c r="DY67" s="40"/>
      <c r="DZ67" s="41">
        <v>120</v>
      </c>
      <c r="EA67">
        <v>120</v>
      </c>
      <c r="EB67" s="44">
        <v>0</v>
      </c>
      <c r="EC67" s="40"/>
      <c r="EG67">
        <v>50</v>
      </c>
      <c r="EH67">
        <v>50</v>
      </c>
      <c r="EI67">
        <v>80</v>
      </c>
      <c r="EJ67">
        <v>80</v>
      </c>
      <c r="EK67" s="44">
        <v>0</v>
      </c>
      <c r="EL67" s="40"/>
      <c r="EN67">
        <v>50</v>
      </c>
      <c r="EO67">
        <v>50</v>
      </c>
      <c r="EQ67">
        <v>80</v>
      </c>
      <c r="ER67">
        <v>80</v>
      </c>
      <c r="ES67" s="44">
        <v>0</v>
      </c>
      <c r="ET67" s="40"/>
      <c r="EU67" s="39"/>
      <c r="EW67">
        <v>10</v>
      </c>
      <c r="EX67">
        <v>10</v>
      </c>
      <c r="EY67" s="44">
        <v>0</v>
      </c>
      <c r="EZ67" s="40"/>
      <c r="FA67" s="39"/>
      <c r="FD67" s="44">
        <v>0</v>
      </c>
      <c r="FE67" s="40"/>
      <c r="FF67">
        <v>180</v>
      </c>
      <c r="FG67">
        <v>180</v>
      </c>
      <c r="FH67" s="44">
        <v>0</v>
      </c>
      <c r="FI67" s="40"/>
      <c r="FJ67" s="39"/>
      <c r="FQ67" s="44">
        <v>0</v>
      </c>
      <c r="FR67" s="40"/>
      <c r="FS67">
        <v>50</v>
      </c>
      <c r="FT67">
        <v>50</v>
      </c>
      <c r="FU67">
        <v>80</v>
      </c>
      <c r="FV67">
        <v>80</v>
      </c>
      <c r="FW67" s="44">
        <v>0</v>
      </c>
      <c r="FX67" s="40"/>
      <c r="FY67" s="39"/>
      <c r="GA67">
        <v>90</v>
      </c>
      <c r="GB67">
        <v>90</v>
      </c>
      <c r="GC67" s="44">
        <v>0</v>
      </c>
      <c r="GD67" s="40"/>
      <c r="GG67">
        <v>50</v>
      </c>
      <c r="GH67">
        <v>50</v>
      </c>
      <c r="GI67" s="44">
        <v>0</v>
      </c>
      <c r="GJ67" s="40"/>
      <c r="GM67" s="44">
        <v>0</v>
      </c>
      <c r="GN67" s="40"/>
      <c r="GO67" s="39"/>
      <c r="GQ67" s="44">
        <v>0</v>
      </c>
      <c r="GR67" s="40"/>
      <c r="GV67">
        <v>50</v>
      </c>
      <c r="GW67">
        <v>50</v>
      </c>
      <c r="GX67" s="44">
        <v>0</v>
      </c>
      <c r="GY67" s="40"/>
      <c r="HD67" s="44">
        <v>0</v>
      </c>
      <c r="HE67" s="40"/>
      <c r="HF67" s="39"/>
      <c r="HJ67" s="44">
        <v>0</v>
      </c>
      <c r="HK67" s="40"/>
      <c r="HL67" s="39"/>
      <c r="HP67" s="44">
        <v>0</v>
      </c>
      <c r="HQ67" s="40"/>
      <c r="HV67" s="44">
        <v>0</v>
      </c>
      <c r="HW67" s="43"/>
      <c r="HX67">
        <v>150</v>
      </c>
      <c r="HY67">
        <v>150</v>
      </c>
      <c r="HZ67">
        <v>350</v>
      </c>
      <c r="IA67">
        <v>350</v>
      </c>
      <c r="IB67" s="44">
        <v>0</v>
      </c>
      <c r="IC67" s="43"/>
      <c r="ID67">
        <v>60</v>
      </c>
      <c r="IE67">
        <v>60</v>
      </c>
      <c r="IH67" s="44">
        <v>0</v>
      </c>
      <c r="II67" s="43"/>
      <c r="IJ67">
        <v>230</v>
      </c>
      <c r="IK67">
        <v>230</v>
      </c>
      <c r="IL67">
        <v>170</v>
      </c>
      <c r="IM67">
        <v>170</v>
      </c>
      <c r="IN67" s="44">
        <v>0</v>
      </c>
      <c r="IO67" s="40"/>
      <c r="IR67" s="44">
        <v>0</v>
      </c>
      <c r="IS67" s="40"/>
      <c r="IT67">
        <v>170</v>
      </c>
      <c r="IU67">
        <v>170</v>
      </c>
      <c r="IV67">
        <v>200</v>
      </c>
      <c r="IW67">
        <v>207</v>
      </c>
      <c r="IX67" s="44">
        <v>-7</v>
      </c>
      <c r="IY67" s="43"/>
      <c r="JB67" s="44">
        <v>0</v>
      </c>
      <c r="JC67" s="40"/>
      <c r="JF67">
        <v>70</v>
      </c>
      <c r="JG67">
        <v>70</v>
      </c>
      <c r="JH67" s="44">
        <v>0</v>
      </c>
      <c r="JI67" s="40"/>
      <c r="JJ67">
        <v>180</v>
      </c>
      <c r="JK67">
        <v>180</v>
      </c>
      <c r="JL67">
        <v>210</v>
      </c>
      <c r="JM67">
        <v>210</v>
      </c>
      <c r="JN67" s="44">
        <v>0</v>
      </c>
      <c r="JO67" s="43"/>
      <c r="JT67" s="44">
        <v>0</v>
      </c>
      <c r="JU67" s="43"/>
      <c r="JV67">
        <v>60</v>
      </c>
      <c r="JW67">
        <v>60</v>
      </c>
      <c r="JX67">
        <v>100</v>
      </c>
      <c r="JY67">
        <v>100</v>
      </c>
      <c r="JZ67" s="44">
        <v>0</v>
      </c>
      <c r="KA67" s="43"/>
      <c r="KB67" s="41">
        <v>40</v>
      </c>
      <c r="KC67">
        <v>40</v>
      </c>
      <c r="KE67">
        <v>80</v>
      </c>
      <c r="KF67">
        <v>80</v>
      </c>
      <c r="KG67">
        <v>80</v>
      </c>
      <c r="KH67">
        <v>80</v>
      </c>
      <c r="KI67" s="44">
        <v>0</v>
      </c>
      <c r="KJ67" s="43"/>
      <c r="KK67" s="47">
        <v>80</v>
      </c>
      <c r="KL67" s="47">
        <v>80</v>
      </c>
      <c r="KM67" s="47">
        <v>100</v>
      </c>
      <c r="KN67" s="47">
        <v>100</v>
      </c>
      <c r="KO67" s="44">
        <v>0</v>
      </c>
      <c r="KP67" s="43"/>
      <c r="KQ67" s="47">
        <v>0</v>
      </c>
      <c r="KR67" s="47">
        <v>0</v>
      </c>
      <c r="KS67" s="47">
        <v>0</v>
      </c>
      <c r="KT67" s="47">
        <v>0</v>
      </c>
      <c r="KU67" s="44">
        <v>0</v>
      </c>
      <c r="KV67" s="43"/>
      <c r="KW67" s="42">
        <v>0</v>
      </c>
      <c r="KX67" s="47">
        <v>0</v>
      </c>
      <c r="KY67" s="44">
        <v>0</v>
      </c>
      <c r="KZ67" s="43"/>
      <c r="LA67" s="42">
        <v>170</v>
      </c>
      <c r="LB67" s="47">
        <v>170</v>
      </c>
      <c r="LC67" s="47">
        <v>130</v>
      </c>
      <c r="LD67" s="47">
        <v>130</v>
      </c>
      <c r="LE67" s="44">
        <v>0</v>
      </c>
      <c r="LF67" s="43"/>
      <c r="LG67" s="42">
        <v>50</v>
      </c>
      <c r="LH67" s="47">
        <v>50</v>
      </c>
      <c r="LI67" s="47">
        <v>60</v>
      </c>
      <c r="LJ67" s="47">
        <v>60</v>
      </c>
      <c r="LK67" s="44">
        <v>0</v>
      </c>
      <c r="LL67" s="43"/>
      <c r="LM67" s="42">
        <v>90</v>
      </c>
      <c r="LN67" s="47">
        <v>90</v>
      </c>
      <c r="LO67" s="44">
        <v>0</v>
      </c>
      <c r="LP67" s="43"/>
      <c r="LQ67" s="42">
        <v>0</v>
      </c>
      <c r="LR67" s="47">
        <v>0</v>
      </c>
      <c r="LS67" s="47">
        <v>20</v>
      </c>
      <c r="LT67" s="47">
        <v>20</v>
      </c>
      <c r="LU67" s="44">
        <v>0</v>
      </c>
      <c r="LV67" s="43"/>
      <c r="LW67" s="42">
        <v>120</v>
      </c>
      <c r="LX67" s="47">
        <v>120</v>
      </c>
      <c r="LY67" s="47">
        <v>0</v>
      </c>
      <c r="LZ67" s="47">
        <v>0</v>
      </c>
      <c r="MA67" s="44">
        <v>0</v>
      </c>
      <c r="MB67" s="43"/>
      <c r="MC67" s="42">
        <v>0</v>
      </c>
      <c r="MD67" s="47">
        <v>0</v>
      </c>
      <c r="ME67" s="47">
        <v>80</v>
      </c>
      <c r="MF67" s="47">
        <v>80</v>
      </c>
      <c r="MG67" s="44">
        <v>0</v>
      </c>
      <c r="MH67" s="43"/>
      <c r="MI67" s="42">
        <v>50</v>
      </c>
      <c r="MJ67" s="47">
        <v>50</v>
      </c>
      <c r="MK67" s="47">
        <v>50</v>
      </c>
      <c r="ML67" s="47">
        <v>50</v>
      </c>
      <c r="MM67" s="44">
        <v>0</v>
      </c>
      <c r="MN67" s="43"/>
      <c r="MO67" s="42">
        <v>0</v>
      </c>
      <c r="MP67" s="47">
        <v>0</v>
      </c>
      <c r="MQ67" s="47">
        <v>0</v>
      </c>
      <c r="MR67" s="47">
        <v>0</v>
      </c>
      <c r="MS67" s="44">
        <v>0</v>
      </c>
      <c r="MT67" s="43"/>
      <c r="MU67" s="42">
        <v>120</v>
      </c>
      <c r="MV67" s="47">
        <v>50</v>
      </c>
      <c r="MW67" s="47">
        <v>250</v>
      </c>
      <c r="MX67" s="47">
        <v>250</v>
      </c>
      <c r="MY67" s="44">
        <v>70</v>
      </c>
      <c r="MZ67" s="43"/>
      <c r="NA67" s="42">
        <v>50</v>
      </c>
      <c r="NB67" s="47">
        <v>50</v>
      </c>
      <c r="NC67" s="47">
        <v>150</v>
      </c>
      <c r="ND67" s="47">
        <v>150</v>
      </c>
      <c r="NE67" s="44">
        <v>0</v>
      </c>
      <c r="NF67" s="43"/>
      <c r="NG67" s="42">
        <v>0</v>
      </c>
      <c r="NH67" s="47">
        <v>0</v>
      </c>
      <c r="NI67" s="47">
        <v>100</v>
      </c>
      <c r="NJ67" s="47">
        <v>100</v>
      </c>
      <c r="NK67" s="44">
        <v>0</v>
      </c>
      <c r="NL67" s="43"/>
      <c r="NM67" s="42">
        <v>100</v>
      </c>
      <c r="NN67" s="47">
        <v>100</v>
      </c>
      <c r="NO67" s="47">
        <v>100</v>
      </c>
      <c r="NP67" s="47">
        <v>100</v>
      </c>
      <c r="NQ67" s="44">
        <v>0</v>
      </c>
      <c r="NR67" s="43"/>
      <c r="NS67" s="42">
        <v>0</v>
      </c>
      <c r="NT67" s="26">
        <v>45</v>
      </c>
      <c r="NU67" s="47">
        <v>0</v>
      </c>
      <c r="NV67" s="47">
        <v>0</v>
      </c>
      <c r="NW67" s="46">
        <v>-45</v>
      </c>
      <c r="NX67" s="43">
        <v>4.5</v>
      </c>
      <c r="NY67" s="42">
        <v>0</v>
      </c>
      <c r="NZ67" s="47">
        <v>0</v>
      </c>
      <c r="OA67" s="47">
        <v>180</v>
      </c>
      <c r="OB67" s="47">
        <v>180</v>
      </c>
      <c r="OC67" s="44">
        <v>0</v>
      </c>
      <c r="OD67" s="43"/>
      <c r="OE67" s="42">
        <v>0</v>
      </c>
      <c r="OF67" s="47">
        <v>0</v>
      </c>
      <c r="OG67" s="47">
        <v>20</v>
      </c>
      <c r="OH67" s="47">
        <v>35</v>
      </c>
      <c r="OI67" s="46">
        <v>-15</v>
      </c>
      <c r="OJ67" s="43">
        <v>1.5</v>
      </c>
      <c r="OK67" s="42">
        <v>60</v>
      </c>
      <c r="OL67" s="47">
        <v>60</v>
      </c>
      <c r="OM67" s="47">
        <v>30</v>
      </c>
      <c r="ON67" s="47">
        <v>60</v>
      </c>
      <c r="OO67" s="46">
        <v>-30</v>
      </c>
      <c r="OP67" s="43">
        <v>3</v>
      </c>
      <c r="OQ67" s="42">
        <v>50</v>
      </c>
      <c r="OR67" s="47">
        <v>50</v>
      </c>
      <c r="OS67" s="47">
        <v>0</v>
      </c>
      <c r="OT67" s="47">
        <v>0</v>
      </c>
      <c r="OU67" s="44">
        <v>0</v>
      </c>
      <c r="OV67" s="43"/>
      <c r="OW67" s="42">
        <v>0</v>
      </c>
      <c r="OX67" s="47">
        <v>0</v>
      </c>
      <c r="OY67" s="47">
        <v>0</v>
      </c>
      <c r="OZ67" s="26">
        <v>90</v>
      </c>
      <c r="PA67" s="46">
        <v>-90</v>
      </c>
      <c r="PB67" s="43">
        <v>9</v>
      </c>
      <c r="PC67" s="42">
        <v>0</v>
      </c>
      <c r="PD67" s="47">
        <v>0</v>
      </c>
      <c r="PE67" s="47">
        <v>0</v>
      </c>
      <c r="PF67" s="47">
        <v>0</v>
      </c>
      <c r="PG67" s="44">
        <v>0</v>
      </c>
      <c r="PH67" s="43"/>
      <c r="PI67" s="42">
        <v>0</v>
      </c>
      <c r="PJ67" s="47">
        <v>0</v>
      </c>
      <c r="PK67" s="47">
        <v>10</v>
      </c>
      <c r="PL67" s="47">
        <v>70</v>
      </c>
      <c r="PM67" s="46">
        <v>-60</v>
      </c>
      <c r="PN67" s="43">
        <v>6</v>
      </c>
      <c r="PO67" s="42">
        <v>0</v>
      </c>
      <c r="PP67" s="47">
        <v>0</v>
      </c>
      <c r="PQ67" s="47">
        <v>50</v>
      </c>
      <c r="PR67" s="47">
        <v>50</v>
      </c>
      <c r="PS67" s="44">
        <v>0</v>
      </c>
      <c r="PT67" s="43"/>
      <c r="PU67" s="42">
        <v>0</v>
      </c>
      <c r="PV67" s="47">
        <v>0</v>
      </c>
      <c r="PW67" s="47">
        <v>50</v>
      </c>
      <c r="PX67" s="47">
        <v>50</v>
      </c>
      <c r="PY67" s="44">
        <v>0</v>
      </c>
      <c r="PZ67" s="43"/>
      <c r="QA67" s="42">
        <v>0</v>
      </c>
      <c r="QB67" s="47">
        <v>0</v>
      </c>
      <c r="QC67" s="44">
        <v>0</v>
      </c>
      <c r="QD67" s="43"/>
      <c r="QE67" s="42">
        <v>0</v>
      </c>
      <c r="QF67" s="47">
        <v>0</v>
      </c>
      <c r="QG67" s="44">
        <v>0</v>
      </c>
      <c r="QH67" s="43"/>
      <c r="QI67" s="42">
        <v>0</v>
      </c>
      <c r="QJ67" s="47">
        <v>0</v>
      </c>
      <c r="QK67" s="44">
        <v>0</v>
      </c>
      <c r="QL67" s="43"/>
      <c r="QM67" s="42">
        <v>0</v>
      </c>
      <c r="QN67" s="47">
        <v>0</v>
      </c>
      <c r="QO67" s="47">
        <v>0</v>
      </c>
      <c r="QP67" s="47">
        <v>0</v>
      </c>
      <c r="QQ67" s="44">
        <v>0</v>
      </c>
      <c r="QR67" s="43"/>
      <c r="QS67" s="42">
        <v>0</v>
      </c>
      <c r="QT67" s="47">
        <v>0</v>
      </c>
      <c r="QU67" s="44">
        <v>0</v>
      </c>
      <c r="QV67" s="43"/>
      <c r="QW67" s="42">
        <v>0</v>
      </c>
      <c r="QX67" s="47">
        <v>0</v>
      </c>
      <c r="QY67" s="44">
        <v>0</v>
      </c>
      <c r="QZ67" s="43"/>
    </row>
    <row r="68" spans="1:468" x14ac:dyDescent="0.25">
      <c r="A68" s="47" t="s">
        <v>352</v>
      </c>
      <c r="B68" s="38">
        <v>0.1</v>
      </c>
      <c r="I68">
        <v>70</v>
      </c>
      <c r="J68">
        <v>90</v>
      </c>
      <c r="K68">
        <v>90</v>
      </c>
      <c r="N68" s="39"/>
      <c r="O68" s="48"/>
      <c r="P68" s="49">
        <v>60</v>
      </c>
      <c r="Q68" s="49">
        <v>63</v>
      </c>
      <c r="R68" s="48">
        <f t="shared" ref="R68:R131" si="13">N68+P68-O68-Q68</f>
        <v>-3</v>
      </c>
      <c r="S68" s="40"/>
      <c r="T68" s="39"/>
      <c r="U68" s="48"/>
      <c r="V68" s="48">
        <f t="shared" ref="V68:V131" si="14">T68-U68</f>
        <v>0</v>
      </c>
      <c r="W68" s="40"/>
      <c r="X68" s="39"/>
      <c r="Y68" s="48"/>
      <c r="Z68" s="49">
        <v>70</v>
      </c>
      <c r="AA68" s="49">
        <v>72</v>
      </c>
      <c r="AB68" s="48">
        <f t="shared" ref="AB68:AB131" si="15">X68+Z68-Y68-AA68</f>
        <v>-2</v>
      </c>
      <c r="AC68" s="40"/>
      <c r="AD68" s="48"/>
      <c r="AF68">
        <v>50</v>
      </c>
      <c r="AG68">
        <v>55</v>
      </c>
      <c r="AH68" s="44">
        <v>-5</v>
      </c>
      <c r="AI68" s="40"/>
      <c r="AL68">
        <v>20</v>
      </c>
      <c r="AM68">
        <v>23</v>
      </c>
      <c r="AN68" s="44">
        <v>-3</v>
      </c>
      <c r="AO68" s="40"/>
      <c r="AT68" s="44">
        <v>0</v>
      </c>
      <c r="AU68" s="40"/>
      <c r="AV68" s="39"/>
      <c r="AX68" s="44">
        <v>0</v>
      </c>
      <c r="AY68" s="40"/>
      <c r="AZ68" s="41">
        <v>120</v>
      </c>
      <c r="BA68">
        <v>120</v>
      </c>
      <c r="BB68" s="44">
        <v>0</v>
      </c>
      <c r="BC68" s="40"/>
      <c r="BH68" s="44">
        <v>0</v>
      </c>
      <c r="BI68" s="40"/>
      <c r="BL68" s="44">
        <v>0</v>
      </c>
      <c r="BM68" s="40"/>
      <c r="BN68" s="39"/>
      <c r="BP68">
        <v>120</v>
      </c>
      <c r="BQ68" s="44">
        <v>122</v>
      </c>
      <c r="BR68" s="44">
        <v>-2</v>
      </c>
      <c r="BS68" s="40"/>
      <c r="BV68" s="44">
        <v>0</v>
      </c>
      <c r="BW68" s="40"/>
      <c r="BX68" s="39"/>
      <c r="BZ68" s="44">
        <v>0</v>
      </c>
      <c r="CA68" s="40"/>
      <c r="CB68" s="41">
        <v>70</v>
      </c>
      <c r="CC68" s="44">
        <v>70</v>
      </c>
      <c r="CH68" s="44">
        <v>0</v>
      </c>
      <c r="CI68" s="40"/>
      <c r="CK68" s="47"/>
      <c r="CM68" s="47"/>
      <c r="CN68" s="44">
        <v>0</v>
      </c>
      <c r="CO68" s="40"/>
      <c r="CP68" s="39"/>
      <c r="CT68" s="44">
        <v>0</v>
      </c>
      <c r="CU68" s="40"/>
      <c r="CV68" s="42"/>
      <c r="CZ68" s="44">
        <v>0</v>
      </c>
      <c r="DA68" s="40"/>
      <c r="DB68" s="42"/>
      <c r="DF68" s="44">
        <v>0</v>
      </c>
      <c r="DG68" s="40"/>
      <c r="DO68" s="40"/>
      <c r="DP68" s="39"/>
      <c r="DS68" s="40"/>
      <c r="DT68" s="41"/>
      <c r="DY68" s="40"/>
      <c r="DZ68" s="41"/>
      <c r="EC68" s="40"/>
      <c r="EL68" s="40"/>
      <c r="ET68" s="40"/>
      <c r="EU68" s="39"/>
      <c r="EZ68" s="40"/>
      <c r="FA68" s="39"/>
      <c r="FE68" s="40"/>
      <c r="FI68" s="40"/>
      <c r="FJ68" s="39"/>
      <c r="FR68" s="40"/>
      <c r="FX68" s="40"/>
      <c r="FY68" s="39"/>
      <c r="GD68" s="40"/>
      <c r="GJ68" s="40"/>
      <c r="GN68" s="40"/>
      <c r="GO68" s="39"/>
      <c r="GR68" s="40"/>
      <c r="GY68" s="40"/>
      <c r="HE68" s="40"/>
      <c r="HF68" s="39"/>
      <c r="HK68" s="40"/>
      <c r="HL68" s="39"/>
      <c r="HQ68" s="40"/>
      <c r="HW68" s="43"/>
      <c r="IC68" s="43"/>
      <c r="II68" s="43"/>
      <c r="IO68" s="40"/>
      <c r="IS68" s="40"/>
      <c r="IY68" s="43"/>
      <c r="JC68" s="40"/>
      <c r="JI68" s="40"/>
      <c r="JO68" s="43"/>
      <c r="JU68" s="43"/>
      <c r="KA68" s="43"/>
      <c r="KB68" s="41"/>
      <c r="KJ68" s="43"/>
      <c r="KP68" s="43"/>
      <c r="KV68" s="43"/>
      <c r="KW68" s="42"/>
      <c r="KZ68" s="43"/>
      <c r="LA68" s="42"/>
      <c r="LE68" s="44"/>
      <c r="LF68" s="43"/>
      <c r="LG68" s="42"/>
      <c r="LL68" s="43"/>
      <c r="LM68" s="42"/>
      <c r="LO68" s="44"/>
      <c r="LP68" s="43"/>
      <c r="LQ68" s="42"/>
      <c r="LU68" s="44"/>
      <c r="LV68" s="43"/>
      <c r="LW68" s="42"/>
      <c r="MA68" s="44"/>
      <c r="MB68" s="43"/>
      <c r="MC68" s="42"/>
      <c r="MG68" s="44"/>
      <c r="MH68" s="43"/>
      <c r="MI68" s="42"/>
      <c r="MM68" s="44"/>
      <c r="MN68" s="43"/>
      <c r="MO68" s="42"/>
      <c r="MS68" s="44"/>
      <c r="MT68" s="43"/>
      <c r="MU68" s="42"/>
      <c r="MY68" s="44"/>
      <c r="MZ68" s="43"/>
      <c r="NA68" s="42"/>
      <c r="NE68" s="44"/>
      <c r="NF68" s="43"/>
      <c r="NG68" s="42"/>
      <c r="NK68" s="44"/>
      <c r="NL68" s="43"/>
      <c r="NM68" s="42"/>
      <c r="NQ68" s="44"/>
      <c r="NR68" s="43"/>
      <c r="NS68" s="42"/>
      <c r="NW68" s="44"/>
      <c r="NX68" s="43"/>
      <c r="NY68" s="42"/>
      <c r="OC68" s="44"/>
      <c r="OD68" s="43"/>
      <c r="OE68" s="42"/>
      <c r="OI68" s="44"/>
      <c r="OJ68" s="43"/>
      <c r="OK68" s="42"/>
      <c r="OO68" s="44"/>
      <c r="OP68" s="43"/>
      <c r="OQ68" s="42"/>
      <c r="OU68" s="44"/>
      <c r="OV68" s="43"/>
      <c r="OW68" s="42"/>
      <c r="PA68" s="44"/>
      <c r="PB68" s="43"/>
      <c r="PC68" s="42"/>
      <c r="PG68" s="44"/>
      <c r="PH68" s="43"/>
      <c r="PI68" s="42"/>
      <c r="PM68" s="44"/>
      <c r="PN68" s="43"/>
      <c r="PO68" s="42"/>
      <c r="PS68" s="44"/>
      <c r="PT68" s="43"/>
      <c r="PU68" s="42"/>
      <c r="PY68" s="44"/>
      <c r="PZ68" s="43"/>
      <c r="QA68" s="42"/>
      <c r="QC68" s="44"/>
      <c r="QD68" s="43"/>
      <c r="QE68" s="42"/>
      <c r="QG68" s="44"/>
      <c r="QH68" s="43"/>
      <c r="QI68" s="42"/>
      <c r="QK68" s="44"/>
      <c r="QL68" s="43"/>
      <c r="QM68" s="42"/>
      <c r="QQ68" s="44"/>
      <c r="QR68" s="43"/>
      <c r="QS68" s="42"/>
      <c r="QU68" s="44"/>
      <c r="QV68" s="43"/>
      <c r="QW68" s="42"/>
      <c r="QY68" s="44"/>
      <c r="QZ68" s="43"/>
    </row>
    <row r="69" spans="1:468" x14ac:dyDescent="0.25">
      <c r="A69" s="47" t="s">
        <v>353</v>
      </c>
      <c r="B69" s="38">
        <v>0.4</v>
      </c>
      <c r="E69">
        <v>150</v>
      </c>
      <c r="F69">
        <v>162</v>
      </c>
      <c r="I69">
        <v>120</v>
      </c>
      <c r="J69">
        <v>144</v>
      </c>
      <c r="K69">
        <v>146</v>
      </c>
      <c r="N69" s="41">
        <v>102</v>
      </c>
      <c r="O69" s="49">
        <v>100</v>
      </c>
      <c r="P69" s="48"/>
      <c r="Q69" s="49">
        <v>120</v>
      </c>
      <c r="R69" s="53">
        <f t="shared" si="13"/>
        <v>-118</v>
      </c>
      <c r="S69" s="40">
        <f>-1*R69*B69</f>
        <v>47.2</v>
      </c>
      <c r="T69" s="41">
        <v>96</v>
      </c>
      <c r="U69" s="49">
        <v>94</v>
      </c>
      <c r="V69" s="48">
        <f t="shared" si="14"/>
        <v>2</v>
      </c>
      <c r="W69" s="40"/>
      <c r="X69" s="41">
        <v>138</v>
      </c>
      <c r="Y69" s="49">
        <v>140</v>
      </c>
      <c r="Z69" s="48"/>
      <c r="AA69" s="48"/>
      <c r="AB69" s="48">
        <f t="shared" si="15"/>
        <v>-2</v>
      </c>
      <c r="AC69" s="40"/>
      <c r="AD69" s="49">
        <v>150</v>
      </c>
      <c r="AE69">
        <v>150</v>
      </c>
      <c r="AF69">
        <v>222</v>
      </c>
      <c r="AG69">
        <v>220</v>
      </c>
      <c r="AH69" s="44">
        <v>2</v>
      </c>
      <c r="AI69" s="40"/>
      <c r="AJ69">
        <v>60</v>
      </c>
      <c r="AK69">
        <v>60</v>
      </c>
      <c r="AL69">
        <v>84</v>
      </c>
      <c r="AM69">
        <v>84</v>
      </c>
      <c r="AN69" s="44">
        <v>0</v>
      </c>
      <c r="AO69" s="40"/>
      <c r="AP69">
        <v>78</v>
      </c>
      <c r="AQ69">
        <v>80</v>
      </c>
      <c r="AT69" s="44">
        <v>-2</v>
      </c>
      <c r="AU69" s="40"/>
      <c r="AV69" s="41">
        <v>354</v>
      </c>
      <c r="AW69">
        <v>357</v>
      </c>
      <c r="AX69" s="44">
        <v>-3</v>
      </c>
      <c r="AY69" s="40"/>
      <c r="AZ69" s="39"/>
      <c r="BB69" s="44">
        <v>0</v>
      </c>
      <c r="BC69" s="40"/>
      <c r="BD69">
        <v>150</v>
      </c>
      <c r="BE69">
        <v>150</v>
      </c>
      <c r="BF69">
        <v>168</v>
      </c>
      <c r="BG69">
        <v>170</v>
      </c>
      <c r="BH69" s="44">
        <v>-2</v>
      </c>
      <c r="BI69" s="40"/>
      <c r="BJ69">
        <v>504</v>
      </c>
      <c r="BK69">
        <v>510</v>
      </c>
      <c r="BL69" s="44">
        <v>-6</v>
      </c>
      <c r="BM69" s="40"/>
      <c r="BN69" s="39"/>
      <c r="BP69">
        <v>330</v>
      </c>
      <c r="BQ69">
        <v>328</v>
      </c>
      <c r="BR69" s="44">
        <v>2</v>
      </c>
      <c r="BS69" s="40"/>
      <c r="BT69">
        <v>198</v>
      </c>
      <c r="BU69">
        <v>200</v>
      </c>
      <c r="BV69" s="44">
        <v>-2</v>
      </c>
      <c r="BW69" s="40"/>
      <c r="BX69" s="39"/>
      <c r="BZ69" s="44">
        <v>0</v>
      </c>
      <c r="CA69" s="40"/>
      <c r="CB69" s="39"/>
      <c r="CD69">
        <v>204</v>
      </c>
      <c r="CE69">
        <v>300</v>
      </c>
      <c r="CF69">
        <v>300</v>
      </c>
      <c r="CG69">
        <v>200</v>
      </c>
      <c r="CH69" s="44">
        <v>4</v>
      </c>
      <c r="CI69" s="40"/>
      <c r="CJ69">
        <v>150</v>
      </c>
      <c r="CK69">
        <v>150</v>
      </c>
      <c r="CL69">
        <v>222</v>
      </c>
      <c r="CM69">
        <v>220</v>
      </c>
      <c r="CN69" s="44">
        <v>2</v>
      </c>
      <c r="CO69" s="40"/>
      <c r="CP69" s="39"/>
      <c r="CR69">
        <v>120</v>
      </c>
      <c r="CS69">
        <v>120</v>
      </c>
      <c r="CT69" s="44">
        <v>0</v>
      </c>
      <c r="CU69" s="40"/>
      <c r="CV69" s="39"/>
      <c r="CZ69" s="44">
        <v>0</v>
      </c>
      <c r="DA69" s="40"/>
      <c r="DB69" s="41">
        <v>102</v>
      </c>
      <c r="DC69">
        <v>100</v>
      </c>
      <c r="DD69">
        <v>132</v>
      </c>
      <c r="DE69">
        <v>130</v>
      </c>
      <c r="DF69" s="44">
        <v>4</v>
      </c>
      <c r="DG69" s="40"/>
      <c r="DH69">
        <v>102</v>
      </c>
      <c r="DI69">
        <v>100</v>
      </c>
      <c r="DJ69">
        <v>108</v>
      </c>
      <c r="DK69">
        <v>110</v>
      </c>
      <c r="DL69">
        <v>252</v>
      </c>
      <c r="DM69">
        <v>250</v>
      </c>
      <c r="DN69" s="44">
        <v>2</v>
      </c>
      <c r="DO69" s="40"/>
      <c r="DP69" s="39"/>
      <c r="DR69" s="44">
        <v>0</v>
      </c>
      <c r="DS69" s="40"/>
      <c r="DT69" s="41">
        <v>102</v>
      </c>
      <c r="DU69">
        <v>100</v>
      </c>
      <c r="DV69">
        <v>150</v>
      </c>
      <c r="DW69">
        <v>150</v>
      </c>
      <c r="DX69" s="44">
        <v>2</v>
      </c>
      <c r="DY69" s="40"/>
      <c r="DZ69" s="41">
        <v>288</v>
      </c>
      <c r="EA69">
        <v>290</v>
      </c>
      <c r="EB69" s="44">
        <v>-2</v>
      </c>
      <c r="EC69" s="40"/>
      <c r="EG69">
        <v>48</v>
      </c>
      <c r="EH69">
        <v>50</v>
      </c>
      <c r="EI69">
        <v>78</v>
      </c>
      <c r="EJ69">
        <v>80</v>
      </c>
      <c r="EK69" s="44">
        <v>-4</v>
      </c>
      <c r="EL69" s="40"/>
      <c r="EN69">
        <v>90</v>
      </c>
      <c r="EO69">
        <v>90</v>
      </c>
      <c r="EQ69">
        <v>102</v>
      </c>
      <c r="ER69">
        <v>100</v>
      </c>
      <c r="ES69" s="44">
        <v>2</v>
      </c>
      <c r="ET69" s="40"/>
      <c r="EU69" s="39"/>
      <c r="EW69">
        <v>66</v>
      </c>
      <c r="EX69">
        <v>68</v>
      </c>
      <c r="EY69" s="44">
        <v>-2</v>
      </c>
      <c r="EZ69" s="40"/>
      <c r="FA69" s="39"/>
      <c r="FB69">
        <v>138</v>
      </c>
      <c r="FC69">
        <v>138</v>
      </c>
      <c r="FD69" s="44">
        <v>0</v>
      </c>
      <c r="FE69" s="40"/>
      <c r="FH69" s="44">
        <v>0</v>
      </c>
      <c r="FI69" s="40"/>
      <c r="FJ69" s="41">
        <v>48</v>
      </c>
      <c r="FK69">
        <v>50</v>
      </c>
      <c r="FO69">
        <v>78</v>
      </c>
      <c r="FP69">
        <v>80</v>
      </c>
      <c r="FQ69" s="44">
        <v>-4</v>
      </c>
      <c r="FR69" s="40"/>
      <c r="FS69">
        <v>48</v>
      </c>
      <c r="FT69">
        <v>50</v>
      </c>
      <c r="FU69">
        <v>102</v>
      </c>
      <c r="FV69">
        <v>100</v>
      </c>
      <c r="FW69" s="44">
        <v>0</v>
      </c>
      <c r="FX69" s="40"/>
      <c r="FY69" s="39"/>
      <c r="GA69">
        <v>18</v>
      </c>
      <c r="GB69">
        <v>16</v>
      </c>
      <c r="GC69" s="44">
        <v>2</v>
      </c>
      <c r="GD69" s="40"/>
      <c r="GG69">
        <v>30</v>
      </c>
      <c r="GH69">
        <v>30</v>
      </c>
      <c r="GI69" s="44">
        <v>0</v>
      </c>
      <c r="GJ69" s="40"/>
      <c r="GM69" s="44">
        <v>0</v>
      </c>
      <c r="GN69" s="40"/>
      <c r="GO69" s="41">
        <v>288</v>
      </c>
      <c r="GP69">
        <v>290</v>
      </c>
      <c r="GQ69" s="44">
        <v>-2</v>
      </c>
      <c r="GR69" s="40"/>
      <c r="GS69">
        <v>102</v>
      </c>
      <c r="GT69">
        <v>100</v>
      </c>
      <c r="GV69">
        <v>150</v>
      </c>
      <c r="GW69">
        <v>150</v>
      </c>
      <c r="GX69" s="44">
        <v>2</v>
      </c>
      <c r="GY69" s="40"/>
      <c r="HD69" s="44">
        <v>0</v>
      </c>
      <c r="HE69" s="40"/>
      <c r="HF69" s="39"/>
      <c r="HH69">
        <v>222</v>
      </c>
      <c r="HI69">
        <v>223</v>
      </c>
      <c r="HJ69" s="44">
        <v>-1</v>
      </c>
      <c r="HK69" s="40"/>
      <c r="HL69" s="41">
        <v>102</v>
      </c>
      <c r="HM69">
        <v>100</v>
      </c>
      <c r="HN69">
        <v>108</v>
      </c>
      <c r="HO69">
        <v>110</v>
      </c>
      <c r="HP69" s="44">
        <v>0</v>
      </c>
      <c r="HQ69" s="40"/>
      <c r="HR69">
        <v>102</v>
      </c>
      <c r="HS69">
        <v>100</v>
      </c>
      <c r="HT69">
        <v>162</v>
      </c>
      <c r="HU69">
        <v>160</v>
      </c>
      <c r="HV69" s="44">
        <v>4</v>
      </c>
      <c r="HW69" s="43"/>
      <c r="HX69">
        <v>102</v>
      </c>
      <c r="HY69">
        <v>100</v>
      </c>
      <c r="HZ69">
        <v>96</v>
      </c>
      <c r="IA69">
        <v>100</v>
      </c>
      <c r="IB69" s="44">
        <v>-2</v>
      </c>
      <c r="IC69" s="43"/>
      <c r="ID69">
        <v>198</v>
      </c>
      <c r="IE69">
        <v>200</v>
      </c>
      <c r="IF69">
        <v>150</v>
      </c>
      <c r="IG69">
        <v>150</v>
      </c>
      <c r="IH69" s="44">
        <v>-2</v>
      </c>
      <c r="II69" s="43"/>
      <c r="IJ69">
        <v>102</v>
      </c>
      <c r="IK69">
        <v>100</v>
      </c>
      <c r="IL69">
        <v>90</v>
      </c>
      <c r="IM69">
        <v>90</v>
      </c>
      <c r="IN69" s="44">
        <v>2</v>
      </c>
      <c r="IO69" s="40"/>
      <c r="IP69">
        <v>150</v>
      </c>
      <c r="IQ69">
        <v>150</v>
      </c>
      <c r="IR69" s="44">
        <v>0</v>
      </c>
      <c r="IS69" s="40"/>
      <c r="IT69">
        <v>102</v>
      </c>
      <c r="IU69">
        <v>100</v>
      </c>
      <c r="IV69">
        <v>102</v>
      </c>
      <c r="IW69">
        <v>104</v>
      </c>
      <c r="IX69" s="44">
        <v>0</v>
      </c>
      <c r="IY69" s="43"/>
      <c r="IZ69">
        <v>102</v>
      </c>
      <c r="JA69" s="47">
        <v>100</v>
      </c>
      <c r="JB69" s="44">
        <v>2</v>
      </c>
      <c r="JC69" s="40"/>
      <c r="JF69">
        <v>102</v>
      </c>
      <c r="JG69">
        <v>101</v>
      </c>
      <c r="JH69" s="44">
        <v>1</v>
      </c>
      <c r="JI69" s="40"/>
      <c r="JJ69">
        <v>48</v>
      </c>
      <c r="JK69">
        <v>50</v>
      </c>
      <c r="JL69">
        <v>42</v>
      </c>
      <c r="JM69">
        <v>40</v>
      </c>
      <c r="JN69" s="44">
        <v>0</v>
      </c>
      <c r="JO69" s="43"/>
      <c r="JR69">
        <v>60</v>
      </c>
      <c r="JS69">
        <v>60</v>
      </c>
      <c r="JT69" s="44">
        <v>0</v>
      </c>
      <c r="JU69" s="43"/>
      <c r="JV69">
        <v>102</v>
      </c>
      <c r="JW69">
        <v>100</v>
      </c>
      <c r="JX69">
        <v>258</v>
      </c>
      <c r="JY69">
        <v>260</v>
      </c>
      <c r="JZ69" s="44">
        <v>0</v>
      </c>
      <c r="KA69" s="43"/>
      <c r="KB69" s="41">
        <v>48</v>
      </c>
      <c r="KC69">
        <v>50</v>
      </c>
      <c r="KE69">
        <v>48</v>
      </c>
      <c r="KF69">
        <v>50</v>
      </c>
      <c r="KI69" s="44">
        <v>-4</v>
      </c>
      <c r="KJ69" s="43"/>
      <c r="KK69" s="47">
        <v>102</v>
      </c>
      <c r="KL69" s="47">
        <v>100</v>
      </c>
      <c r="KM69" s="47">
        <v>108</v>
      </c>
      <c r="KN69" s="47">
        <v>110</v>
      </c>
      <c r="KO69" s="44">
        <v>0</v>
      </c>
      <c r="KP69" s="43"/>
      <c r="KQ69" s="47">
        <v>150</v>
      </c>
      <c r="KR69" s="47">
        <v>150</v>
      </c>
      <c r="KS69" s="47">
        <v>150</v>
      </c>
      <c r="KT69" s="47">
        <v>150</v>
      </c>
      <c r="KU69" s="44">
        <v>0</v>
      </c>
      <c r="KV69" s="43"/>
      <c r="KW69" s="42">
        <v>72</v>
      </c>
      <c r="KX69" s="47">
        <v>70</v>
      </c>
      <c r="KY69" s="44">
        <v>2</v>
      </c>
      <c r="KZ69" s="43"/>
      <c r="LA69" s="42">
        <v>228</v>
      </c>
      <c r="LB69" s="47">
        <v>240</v>
      </c>
      <c r="LC69" s="47">
        <v>180</v>
      </c>
      <c r="LD69" s="47">
        <v>180</v>
      </c>
      <c r="LE69" s="44">
        <v>-12</v>
      </c>
      <c r="LF69" s="43"/>
      <c r="LG69" s="42">
        <v>0</v>
      </c>
      <c r="LH69" s="47">
        <v>0</v>
      </c>
      <c r="LI69" s="47">
        <v>0</v>
      </c>
      <c r="LJ69" s="47">
        <v>0</v>
      </c>
      <c r="LK69" s="44">
        <v>0</v>
      </c>
      <c r="LL69" s="43"/>
      <c r="LM69" s="42">
        <v>0</v>
      </c>
      <c r="LN69" s="47">
        <v>0</v>
      </c>
      <c r="LO69" s="44">
        <v>0</v>
      </c>
      <c r="LP69" s="43"/>
      <c r="LQ69" s="42">
        <v>0</v>
      </c>
      <c r="LR69" s="47">
        <v>0</v>
      </c>
      <c r="LS69" s="47">
        <v>0</v>
      </c>
      <c r="LT69" s="47">
        <v>0</v>
      </c>
      <c r="LU69" s="44">
        <v>0</v>
      </c>
      <c r="LV69" s="43"/>
      <c r="LW69" s="42">
        <v>372</v>
      </c>
      <c r="LX69" s="47">
        <v>370</v>
      </c>
      <c r="LY69" s="47">
        <v>102</v>
      </c>
      <c r="LZ69" s="47">
        <v>100</v>
      </c>
      <c r="MA69" s="44">
        <v>4</v>
      </c>
      <c r="MB69" s="43"/>
      <c r="MC69" s="42">
        <v>0</v>
      </c>
      <c r="MD69" s="47">
        <v>0</v>
      </c>
      <c r="ME69" s="47">
        <v>0</v>
      </c>
      <c r="MF69" s="47">
        <v>0</v>
      </c>
      <c r="MG69" s="44">
        <v>0</v>
      </c>
      <c r="MH69" s="43"/>
      <c r="MI69" s="42">
        <v>300</v>
      </c>
      <c r="MJ69" s="47">
        <v>300</v>
      </c>
      <c r="MK69" s="47">
        <v>174</v>
      </c>
      <c r="ML69" s="47">
        <v>170</v>
      </c>
      <c r="MM69" s="44">
        <v>4</v>
      </c>
      <c r="MN69" s="43"/>
      <c r="MO69" s="42">
        <v>0</v>
      </c>
      <c r="MP69" s="47">
        <v>0</v>
      </c>
      <c r="MQ69" s="47">
        <v>0</v>
      </c>
      <c r="MR69" s="47">
        <v>0</v>
      </c>
      <c r="MS69" s="44">
        <v>0</v>
      </c>
      <c r="MT69" s="43"/>
      <c r="MU69" s="42">
        <v>78</v>
      </c>
      <c r="MV69" s="47">
        <v>70</v>
      </c>
      <c r="MW69" s="47">
        <v>210</v>
      </c>
      <c r="MX69" s="47">
        <v>210</v>
      </c>
      <c r="MY69" s="44">
        <v>8</v>
      </c>
      <c r="MZ69" s="43"/>
      <c r="NA69" s="42">
        <v>240</v>
      </c>
      <c r="NB69" s="47">
        <v>240</v>
      </c>
      <c r="NC69" s="47">
        <v>258</v>
      </c>
      <c r="ND69" s="47">
        <v>260</v>
      </c>
      <c r="NE69" s="44">
        <v>-2</v>
      </c>
      <c r="NF69" s="43"/>
      <c r="NG69" s="42">
        <v>78</v>
      </c>
      <c r="NH69" s="47">
        <v>80</v>
      </c>
      <c r="NI69" s="47">
        <v>138</v>
      </c>
      <c r="NJ69" s="47">
        <v>140</v>
      </c>
      <c r="NK69" s="44">
        <v>-4</v>
      </c>
      <c r="NL69" s="43"/>
      <c r="NM69" s="42">
        <v>282</v>
      </c>
      <c r="NN69" s="47">
        <v>280</v>
      </c>
      <c r="NO69" s="47">
        <v>0</v>
      </c>
      <c r="NP69" s="26">
        <v>220</v>
      </c>
      <c r="NQ69" s="46">
        <v>-218</v>
      </c>
      <c r="NR69" s="43">
        <v>87.2</v>
      </c>
      <c r="NS69" s="42">
        <v>102</v>
      </c>
      <c r="NT69" s="47">
        <v>100</v>
      </c>
      <c r="NU69" s="47">
        <v>198</v>
      </c>
      <c r="NV69" s="47">
        <v>200</v>
      </c>
      <c r="NW69" s="44">
        <v>0</v>
      </c>
      <c r="NX69" s="43"/>
      <c r="NY69" s="42">
        <v>0</v>
      </c>
      <c r="NZ69" s="47">
        <v>0</v>
      </c>
      <c r="OA69" s="47">
        <v>90</v>
      </c>
      <c r="OB69" s="47">
        <v>90</v>
      </c>
      <c r="OC69" s="44">
        <v>0</v>
      </c>
      <c r="OD69" s="43"/>
      <c r="OE69" s="42">
        <v>240</v>
      </c>
      <c r="OF69" s="47">
        <v>240</v>
      </c>
      <c r="OG69" s="47">
        <v>162</v>
      </c>
      <c r="OH69" s="47">
        <v>160</v>
      </c>
      <c r="OI69" s="44">
        <v>2</v>
      </c>
      <c r="OJ69" s="43"/>
      <c r="OK69" s="42">
        <v>222</v>
      </c>
      <c r="OL69" s="47">
        <v>220</v>
      </c>
      <c r="OM69" s="47">
        <v>180</v>
      </c>
      <c r="ON69" s="47">
        <v>180</v>
      </c>
      <c r="OO69" s="44">
        <v>2</v>
      </c>
      <c r="OP69" s="43"/>
      <c r="OQ69" s="42">
        <v>78</v>
      </c>
      <c r="OR69" s="47">
        <v>80</v>
      </c>
      <c r="OS69" s="47">
        <v>48</v>
      </c>
      <c r="OT69" s="47">
        <v>50</v>
      </c>
      <c r="OU69" s="44">
        <v>-4</v>
      </c>
      <c r="OV69" s="43"/>
      <c r="OW69" s="42">
        <v>318</v>
      </c>
      <c r="OX69" s="47">
        <v>300</v>
      </c>
      <c r="OY69" s="47">
        <v>222</v>
      </c>
      <c r="OZ69" s="47">
        <v>220</v>
      </c>
      <c r="PA69" s="44">
        <v>20</v>
      </c>
      <c r="PB69" s="43"/>
      <c r="PC69" s="42">
        <v>0</v>
      </c>
      <c r="PD69" s="47">
        <v>0</v>
      </c>
      <c r="PE69" s="47">
        <v>90</v>
      </c>
      <c r="PF69" s="47">
        <v>90</v>
      </c>
      <c r="PG69" s="44">
        <v>0</v>
      </c>
      <c r="PH69" s="43"/>
      <c r="PI69" s="42">
        <v>0</v>
      </c>
      <c r="PJ69" s="47">
        <v>0</v>
      </c>
      <c r="PK69" s="47">
        <v>0</v>
      </c>
      <c r="PL69" s="47">
        <v>0</v>
      </c>
      <c r="PM69" s="44">
        <v>0</v>
      </c>
      <c r="PN69" s="43"/>
      <c r="PO69" s="42">
        <v>168</v>
      </c>
      <c r="PP69" s="47">
        <v>170</v>
      </c>
      <c r="PQ69" s="47">
        <v>198</v>
      </c>
      <c r="PR69" s="47">
        <v>200</v>
      </c>
      <c r="PS69" s="44">
        <v>-4</v>
      </c>
      <c r="PT69" s="43"/>
      <c r="PU69" s="42">
        <v>0</v>
      </c>
      <c r="PV69" s="47">
        <v>0</v>
      </c>
      <c r="PW69" s="47">
        <v>198</v>
      </c>
      <c r="PX69" s="47">
        <v>200</v>
      </c>
      <c r="PY69" s="44">
        <v>-2</v>
      </c>
      <c r="PZ69" s="43"/>
      <c r="QA69" s="42">
        <v>252</v>
      </c>
      <c r="QB69" s="47">
        <v>250</v>
      </c>
      <c r="QC69" s="44">
        <v>2</v>
      </c>
      <c r="QD69" s="43"/>
      <c r="QE69" s="42">
        <v>48</v>
      </c>
      <c r="QF69" s="47">
        <v>50</v>
      </c>
      <c r="QG69" s="44">
        <v>-2</v>
      </c>
      <c r="QH69" s="43"/>
      <c r="QI69" s="42">
        <v>0</v>
      </c>
      <c r="QJ69" s="47">
        <v>500</v>
      </c>
      <c r="QK69" s="46">
        <v>-500</v>
      </c>
      <c r="QL69" s="43">
        <v>200</v>
      </c>
      <c r="QM69" s="42">
        <v>48</v>
      </c>
      <c r="QN69" s="47">
        <v>50</v>
      </c>
      <c r="QO69" s="47">
        <v>0</v>
      </c>
      <c r="QP69" s="47">
        <v>0</v>
      </c>
      <c r="QQ69" s="44">
        <v>-2</v>
      </c>
      <c r="QR69" s="43"/>
      <c r="QS69" s="42">
        <v>0</v>
      </c>
      <c r="QT69" s="47">
        <v>0</v>
      </c>
      <c r="QU69" s="44">
        <v>0</v>
      </c>
      <c r="QV69" s="43"/>
      <c r="QW69" s="42">
        <v>0</v>
      </c>
      <c r="QX69" s="47">
        <v>0</v>
      </c>
      <c r="QY69" s="44">
        <v>0</v>
      </c>
      <c r="QZ69" s="43"/>
    </row>
    <row r="70" spans="1:468" x14ac:dyDescent="0.25">
      <c r="A70" s="47" t="s">
        <v>354</v>
      </c>
      <c r="B70" s="38">
        <v>0.3</v>
      </c>
      <c r="N70" s="39"/>
      <c r="O70" s="48"/>
      <c r="P70" s="48"/>
      <c r="Q70" s="48"/>
      <c r="R70" s="48">
        <f t="shared" si="13"/>
        <v>0</v>
      </c>
      <c r="S70" s="40"/>
      <c r="T70" s="39"/>
      <c r="U70" s="48"/>
      <c r="V70" s="48">
        <f t="shared" si="14"/>
        <v>0</v>
      </c>
      <c r="W70" s="40"/>
      <c r="X70" s="39"/>
      <c r="Y70" s="48"/>
      <c r="Z70" s="48"/>
      <c r="AA70" s="48"/>
      <c r="AB70" s="48">
        <f t="shared" si="15"/>
        <v>0</v>
      </c>
      <c r="AC70" s="40"/>
      <c r="AD70" s="48"/>
      <c r="AH70" s="44">
        <v>0</v>
      </c>
      <c r="AI70" s="40"/>
      <c r="AN70" s="44">
        <v>0</v>
      </c>
      <c r="AO70" s="40"/>
      <c r="AT70" s="44">
        <v>0</v>
      </c>
      <c r="AU70" s="40"/>
      <c r="AV70" s="39"/>
      <c r="AX70" s="44">
        <v>0</v>
      </c>
      <c r="AY70" s="40"/>
      <c r="AZ70" s="39"/>
      <c r="BB70" s="44">
        <v>0</v>
      </c>
      <c r="BC70" s="40"/>
      <c r="BH70" s="44">
        <v>0</v>
      </c>
      <c r="BI70" s="40"/>
      <c r="BL70" s="44">
        <v>0</v>
      </c>
      <c r="BM70" s="40"/>
      <c r="BN70" s="39"/>
      <c r="BR70" s="44">
        <v>0</v>
      </c>
      <c r="BS70" s="40"/>
      <c r="BV70" s="44">
        <v>0</v>
      </c>
      <c r="BW70" s="40"/>
      <c r="BX70" s="39"/>
      <c r="BZ70" s="44">
        <v>0</v>
      </c>
      <c r="CA70" s="40"/>
      <c r="CB70" s="39"/>
      <c r="CH70" s="44">
        <v>0</v>
      </c>
      <c r="CI70" s="40"/>
      <c r="CN70" s="44">
        <v>0</v>
      </c>
      <c r="CO70" s="40"/>
      <c r="CP70" s="39"/>
      <c r="CT70" s="44">
        <v>0</v>
      </c>
      <c r="CU70" s="40"/>
      <c r="CV70" s="39"/>
      <c r="CZ70" s="44">
        <v>0</v>
      </c>
      <c r="DA70" s="40"/>
      <c r="DB70" s="39"/>
      <c r="DF70" s="44">
        <v>0</v>
      </c>
      <c r="DG70" s="40"/>
      <c r="DN70" s="44">
        <v>0</v>
      </c>
      <c r="DO70" s="40"/>
      <c r="DP70" s="39"/>
      <c r="DR70" s="44">
        <v>0</v>
      </c>
      <c r="DS70" s="40"/>
      <c r="DT70" s="39"/>
      <c r="DX70" s="44">
        <v>0</v>
      </c>
      <c r="DY70" s="40"/>
      <c r="DZ70" s="39"/>
      <c r="EB70" s="44">
        <v>0</v>
      </c>
      <c r="EC70" s="40"/>
      <c r="EK70" s="44">
        <v>0</v>
      </c>
      <c r="EL70" s="40"/>
      <c r="ES70" s="44">
        <v>0</v>
      </c>
      <c r="ET70" s="40"/>
      <c r="EU70" s="39"/>
      <c r="EY70" s="44">
        <v>0</v>
      </c>
      <c r="EZ70" s="40"/>
      <c r="FA70" s="39"/>
      <c r="FD70" s="44">
        <v>0</v>
      </c>
      <c r="FE70" s="40"/>
      <c r="FF70">
        <v>102</v>
      </c>
      <c r="FG70">
        <v>100</v>
      </c>
      <c r="FH70" s="44">
        <v>2</v>
      </c>
      <c r="FI70" s="40"/>
      <c r="FJ70" s="39"/>
      <c r="FQ70" s="44">
        <v>0</v>
      </c>
      <c r="FR70" s="40"/>
      <c r="FW70" s="44">
        <v>0</v>
      </c>
      <c r="FX70" s="40"/>
      <c r="FY70" s="39"/>
      <c r="GC70" s="44">
        <v>0</v>
      </c>
      <c r="GD70" s="40"/>
      <c r="GG70">
        <v>30</v>
      </c>
      <c r="GH70">
        <v>30</v>
      </c>
      <c r="GI70" s="44">
        <v>0</v>
      </c>
      <c r="GJ70" s="40"/>
      <c r="GM70" s="44">
        <v>0</v>
      </c>
      <c r="GN70" s="40"/>
      <c r="GO70" s="41">
        <v>30</v>
      </c>
      <c r="GP70">
        <v>30</v>
      </c>
      <c r="GQ70" s="44">
        <v>0</v>
      </c>
      <c r="GR70" s="40"/>
      <c r="GU70" s="35">
        <v>96</v>
      </c>
      <c r="GV70">
        <v>90</v>
      </c>
      <c r="GW70">
        <v>90</v>
      </c>
      <c r="GX70" s="44">
        <v>96</v>
      </c>
      <c r="GY70" s="40"/>
      <c r="HB70">
        <v>54</v>
      </c>
      <c r="HC70">
        <v>57</v>
      </c>
      <c r="HD70" s="44">
        <v>-3</v>
      </c>
      <c r="HE70" s="40"/>
      <c r="HF70" s="39"/>
      <c r="HJ70" s="44">
        <v>0</v>
      </c>
      <c r="HK70" s="40"/>
      <c r="HL70" s="39"/>
      <c r="HP70" s="44">
        <v>0</v>
      </c>
      <c r="HQ70" s="40"/>
      <c r="HT70">
        <v>48</v>
      </c>
      <c r="HU70">
        <v>50</v>
      </c>
      <c r="HV70" s="44">
        <v>-2</v>
      </c>
      <c r="HW70" s="43"/>
      <c r="HX70">
        <v>18</v>
      </c>
      <c r="HY70">
        <v>20</v>
      </c>
      <c r="IB70" s="44">
        <v>-2</v>
      </c>
      <c r="IC70" s="43"/>
      <c r="IF70">
        <v>42</v>
      </c>
      <c r="IG70">
        <v>40</v>
      </c>
      <c r="IH70" s="44">
        <v>2</v>
      </c>
      <c r="II70" s="43"/>
      <c r="IN70" s="44">
        <v>0</v>
      </c>
      <c r="IO70" s="40"/>
      <c r="IP70">
        <v>36</v>
      </c>
      <c r="IQ70">
        <v>36</v>
      </c>
      <c r="IR70" s="44">
        <v>0</v>
      </c>
      <c r="IS70" s="40"/>
      <c r="IT70">
        <v>24</v>
      </c>
      <c r="IU70">
        <v>26</v>
      </c>
      <c r="IX70" s="44">
        <v>-2</v>
      </c>
      <c r="IY70" s="43"/>
      <c r="JB70" s="44">
        <v>0</v>
      </c>
      <c r="JC70" s="40"/>
      <c r="JH70" s="44">
        <v>0</v>
      </c>
      <c r="JI70" s="40"/>
      <c r="JJ70">
        <v>30</v>
      </c>
      <c r="JK70">
        <v>30</v>
      </c>
      <c r="JL70">
        <v>30</v>
      </c>
      <c r="JM70">
        <v>30</v>
      </c>
      <c r="JN70" s="44">
        <v>0</v>
      </c>
      <c r="JO70" s="43"/>
      <c r="JR70">
        <v>42</v>
      </c>
      <c r="JS70">
        <v>40</v>
      </c>
      <c r="JT70" s="44">
        <v>2</v>
      </c>
      <c r="JU70" s="43"/>
      <c r="JV70">
        <v>42</v>
      </c>
      <c r="JW70">
        <v>42</v>
      </c>
      <c r="JX70">
        <v>48</v>
      </c>
      <c r="JY70">
        <v>48</v>
      </c>
      <c r="JZ70" s="44">
        <v>0</v>
      </c>
      <c r="KA70" s="43"/>
      <c r="KB70" s="42"/>
      <c r="KE70">
        <v>42</v>
      </c>
      <c r="KF70">
        <v>40</v>
      </c>
      <c r="KG70">
        <v>30</v>
      </c>
      <c r="KH70">
        <v>30</v>
      </c>
      <c r="KI70" s="44">
        <v>2</v>
      </c>
      <c r="KJ70" s="43"/>
      <c r="KK70" s="47">
        <v>0</v>
      </c>
      <c r="KL70" s="47">
        <v>0</v>
      </c>
      <c r="KM70" s="47">
        <v>0</v>
      </c>
      <c r="KN70" s="47">
        <v>0</v>
      </c>
      <c r="KO70" s="44">
        <v>0</v>
      </c>
      <c r="KP70" s="43"/>
      <c r="KQ70" s="47">
        <v>0</v>
      </c>
      <c r="KR70" s="47">
        <v>0</v>
      </c>
      <c r="KS70" s="47">
        <v>168</v>
      </c>
      <c r="KT70" s="47">
        <v>167</v>
      </c>
      <c r="KU70" s="44">
        <v>1</v>
      </c>
      <c r="KV70" s="43"/>
      <c r="KW70" s="42">
        <v>66</v>
      </c>
      <c r="KX70" s="47">
        <v>270</v>
      </c>
      <c r="KY70" s="46">
        <v>-204</v>
      </c>
      <c r="KZ70" s="43">
        <v>61.2</v>
      </c>
      <c r="LA70" s="42">
        <v>42</v>
      </c>
      <c r="LB70" s="47">
        <v>40</v>
      </c>
      <c r="LC70" s="47">
        <v>0</v>
      </c>
      <c r="LD70" s="47">
        <v>0</v>
      </c>
      <c r="LE70" s="44">
        <v>2</v>
      </c>
      <c r="LF70" s="43"/>
      <c r="LG70" s="42">
        <v>102</v>
      </c>
      <c r="LH70" s="47">
        <v>100</v>
      </c>
      <c r="LI70" s="47">
        <v>0</v>
      </c>
      <c r="LJ70" s="47">
        <v>0</v>
      </c>
      <c r="LK70" s="44">
        <v>2</v>
      </c>
      <c r="LL70" s="43"/>
      <c r="LM70" s="42">
        <v>198</v>
      </c>
      <c r="LN70" s="47">
        <v>200</v>
      </c>
      <c r="LO70" s="44">
        <v>-2</v>
      </c>
      <c r="LP70" s="43"/>
      <c r="LQ70" s="42">
        <v>0</v>
      </c>
      <c r="LR70" s="47">
        <v>0</v>
      </c>
      <c r="LS70" s="47">
        <v>0</v>
      </c>
      <c r="LT70" s="47">
        <v>0</v>
      </c>
      <c r="LU70" s="44">
        <v>0</v>
      </c>
      <c r="LV70" s="43"/>
      <c r="LW70" s="42"/>
      <c r="MB70" s="43"/>
      <c r="MC70" s="42"/>
      <c r="MH70" s="43"/>
      <c r="MI70" s="42"/>
      <c r="MN70" s="43"/>
      <c r="MO70" s="42"/>
      <c r="MT70" s="43"/>
      <c r="MU70" s="42"/>
      <c r="MZ70" s="43"/>
      <c r="NA70" s="42"/>
      <c r="NF70" s="43"/>
      <c r="NG70" s="42"/>
      <c r="NL70" s="43"/>
      <c r="NM70" s="42"/>
      <c r="NP70" s="26"/>
      <c r="NQ70" s="46"/>
      <c r="NR70" s="43"/>
      <c r="NS70" s="42"/>
      <c r="NX70" s="43"/>
      <c r="NY70" s="42"/>
      <c r="OD70" s="43"/>
      <c r="OE70" s="42"/>
      <c r="OJ70" s="43"/>
      <c r="OK70" s="42"/>
      <c r="OP70" s="43"/>
      <c r="OQ70" s="42"/>
      <c r="OV70" s="43"/>
      <c r="OW70" s="42"/>
      <c r="PB70" s="43"/>
      <c r="PC70" s="42"/>
      <c r="PH70" s="43"/>
      <c r="PI70" s="42"/>
      <c r="PN70" s="43"/>
      <c r="PO70" s="42"/>
      <c r="PT70" s="43"/>
      <c r="PU70" s="42"/>
      <c r="PZ70" s="43"/>
      <c r="QA70" s="42"/>
      <c r="QD70" s="43"/>
      <c r="QE70" s="42"/>
      <c r="QH70" s="43"/>
      <c r="QI70" s="42"/>
      <c r="QK70" s="46"/>
      <c r="QL70" s="43"/>
      <c r="QM70" s="42"/>
      <c r="QR70" s="43"/>
      <c r="QS70" s="42"/>
      <c r="QV70" s="43"/>
      <c r="QW70" s="42"/>
      <c r="QY70" s="44"/>
      <c r="QZ70" s="43"/>
    </row>
    <row r="71" spans="1:468" x14ac:dyDescent="0.25">
      <c r="A71" s="47" t="s">
        <v>355</v>
      </c>
      <c r="B71" s="38">
        <v>1</v>
      </c>
      <c r="I71">
        <v>70</v>
      </c>
      <c r="J71">
        <v>100</v>
      </c>
      <c r="K71">
        <v>98</v>
      </c>
      <c r="N71" s="41">
        <v>72</v>
      </c>
      <c r="O71" s="49">
        <v>70</v>
      </c>
      <c r="P71" s="49">
        <v>92</v>
      </c>
      <c r="Q71" s="49">
        <v>90</v>
      </c>
      <c r="R71" s="48">
        <f t="shared" si="13"/>
        <v>4</v>
      </c>
      <c r="S71" s="40"/>
      <c r="T71" s="41">
        <v>134</v>
      </c>
      <c r="U71" s="49">
        <v>130</v>
      </c>
      <c r="V71" s="48">
        <f t="shared" si="14"/>
        <v>4</v>
      </c>
      <c r="W71" s="40"/>
      <c r="X71" s="39"/>
      <c r="Y71" s="48"/>
      <c r="Z71" s="48"/>
      <c r="AA71" s="48"/>
      <c r="AB71" s="48">
        <f t="shared" si="15"/>
        <v>0</v>
      </c>
      <c r="AC71" s="40"/>
      <c r="AD71" s="49">
        <v>102</v>
      </c>
      <c r="AE71">
        <v>100</v>
      </c>
      <c r="AF71">
        <v>121</v>
      </c>
      <c r="AG71">
        <v>120</v>
      </c>
      <c r="AH71" s="44">
        <v>3</v>
      </c>
      <c r="AI71" s="40"/>
      <c r="AJ71">
        <v>60</v>
      </c>
      <c r="AK71">
        <v>60</v>
      </c>
      <c r="AL71">
        <v>88</v>
      </c>
      <c r="AM71">
        <v>87</v>
      </c>
      <c r="AN71" s="44">
        <v>1</v>
      </c>
      <c r="AO71" s="40"/>
      <c r="AP71">
        <v>59</v>
      </c>
      <c r="AQ71">
        <v>60</v>
      </c>
      <c r="AR71">
        <v>64</v>
      </c>
      <c r="AS71">
        <v>64</v>
      </c>
      <c r="AT71" s="44">
        <v>-1</v>
      </c>
      <c r="AU71" s="40"/>
      <c r="AV71" s="41">
        <v>69</v>
      </c>
      <c r="AW71">
        <v>69</v>
      </c>
      <c r="AX71" s="44">
        <v>0</v>
      </c>
      <c r="AY71" s="40"/>
      <c r="AZ71" s="41">
        <v>129</v>
      </c>
      <c r="BA71">
        <v>126</v>
      </c>
      <c r="BB71" s="44">
        <v>3</v>
      </c>
      <c r="BC71" s="40"/>
      <c r="BD71">
        <v>32</v>
      </c>
      <c r="BE71">
        <v>30</v>
      </c>
      <c r="BG71">
        <v>49</v>
      </c>
      <c r="BH71" s="46">
        <v>-47</v>
      </c>
      <c r="BI71" s="40">
        <v>47</v>
      </c>
      <c r="BJ71">
        <v>49</v>
      </c>
      <c r="BK71">
        <v>50</v>
      </c>
      <c r="BL71" s="44">
        <v>-1</v>
      </c>
      <c r="BM71" s="40"/>
      <c r="BN71" s="41">
        <v>100</v>
      </c>
      <c r="BO71">
        <v>100</v>
      </c>
      <c r="BP71">
        <v>140</v>
      </c>
      <c r="BQ71">
        <v>139</v>
      </c>
      <c r="BR71" s="44">
        <v>1</v>
      </c>
      <c r="BS71" s="40"/>
      <c r="BV71" s="44">
        <v>0</v>
      </c>
      <c r="BW71" s="40"/>
      <c r="BX71" s="41">
        <v>76</v>
      </c>
      <c r="BY71">
        <v>75</v>
      </c>
      <c r="BZ71" s="44">
        <v>1</v>
      </c>
      <c r="CA71" s="40"/>
      <c r="CB71" s="39"/>
      <c r="CD71">
        <v>201</v>
      </c>
      <c r="CE71">
        <v>200</v>
      </c>
      <c r="CF71">
        <v>204</v>
      </c>
      <c r="CG71">
        <v>200</v>
      </c>
      <c r="CH71" s="44">
        <v>5</v>
      </c>
      <c r="CI71" s="40"/>
      <c r="CL71">
        <v>44</v>
      </c>
      <c r="CM71">
        <v>42</v>
      </c>
      <c r="CN71" s="44">
        <v>2</v>
      </c>
      <c r="CO71" s="40"/>
      <c r="CP71" s="39"/>
      <c r="CR71">
        <v>132</v>
      </c>
      <c r="CS71">
        <v>130</v>
      </c>
      <c r="CT71" s="44">
        <v>2</v>
      </c>
      <c r="CU71" s="40"/>
      <c r="CV71" s="41">
        <v>52</v>
      </c>
      <c r="CW71">
        <v>50</v>
      </c>
      <c r="CX71">
        <v>96</v>
      </c>
      <c r="CY71">
        <v>96</v>
      </c>
      <c r="CZ71" s="44">
        <v>2</v>
      </c>
      <c r="DA71" s="40"/>
      <c r="DB71" s="41">
        <v>32</v>
      </c>
      <c r="DC71">
        <v>30</v>
      </c>
      <c r="DD71">
        <v>32</v>
      </c>
      <c r="DE71">
        <v>30</v>
      </c>
      <c r="DF71" s="44">
        <v>4</v>
      </c>
      <c r="DG71" s="40"/>
      <c r="DJ71">
        <v>141</v>
      </c>
      <c r="DK71">
        <v>140</v>
      </c>
      <c r="DL71">
        <v>100</v>
      </c>
      <c r="DM71">
        <v>100</v>
      </c>
      <c r="DN71" s="44">
        <v>1</v>
      </c>
      <c r="DO71" s="40"/>
      <c r="DP71" s="41">
        <v>20</v>
      </c>
      <c r="DQ71">
        <v>20</v>
      </c>
      <c r="DR71" s="44">
        <v>0</v>
      </c>
      <c r="DS71" s="40"/>
      <c r="DT71" s="39"/>
      <c r="DV71">
        <v>20</v>
      </c>
      <c r="DW71">
        <v>20</v>
      </c>
      <c r="DX71" s="44">
        <v>0</v>
      </c>
      <c r="DY71" s="40"/>
      <c r="DZ71" s="41">
        <v>133</v>
      </c>
      <c r="EA71">
        <v>130</v>
      </c>
      <c r="EB71" s="44">
        <v>3</v>
      </c>
      <c r="EC71" s="40"/>
      <c r="ED71">
        <v>52</v>
      </c>
      <c r="EE71">
        <v>50</v>
      </c>
      <c r="EG71">
        <v>53</v>
      </c>
      <c r="EH71">
        <v>50</v>
      </c>
      <c r="EI71">
        <v>93</v>
      </c>
      <c r="EJ71">
        <v>90</v>
      </c>
      <c r="EK71" s="44">
        <v>8</v>
      </c>
      <c r="EL71" s="40"/>
      <c r="EN71">
        <v>39</v>
      </c>
      <c r="EO71">
        <v>40</v>
      </c>
      <c r="EQ71">
        <v>40</v>
      </c>
      <c r="ER71">
        <v>40</v>
      </c>
      <c r="ES71" s="44">
        <v>-1</v>
      </c>
      <c r="ET71" s="40"/>
      <c r="EU71" s="39"/>
      <c r="EW71">
        <v>84</v>
      </c>
      <c r="EX71">
        <v>83</v>
      </c>
      <c r="EY71" s="44">
        <v>1</v>
      </c>
      <c r="EZ71" s="40"/>
      <c r="FA71" s="39"/>
      <c r="FB71">
        <v>56</v>
      </c>
      <c r="FC71">
        <v>57</v>
      </c>
      <c r="FD71" s="44">
        <v>-1</v>
      </c>
      <c r="FE71" s="40"/>
      <c r="FH71" s="44">
        <v>0</v>
      </c>
      <c r="FI71" s="40"/>
      <c r="FJ71" s="41">
        <v>52</v>
      </c>
      <c r="FK71">
        <v>50</v>
      </c>
      <c r="FO71">
        <v>92</v>
      </c>
      <c r="FP71">
        <v>90</v>
      </c>
      <c r="FQ71" s="44">
        <v>4</v>
      </c>
      <c r="FR71" s="40"/>
      <c r="FS71">
        <v>52</v>
      </c>
      <c r="FT71">
        <v>50</v>
      </c>
      <c r="FU71">
        <v>52</v>
      </c>
      <c r="FV71">
        <v>50</v>
      </c>
      <c r="FW71" s="44">
        <v>4</v>
      </c>
      <c r="FX71" s="40"/>
      <c r="FY71" s="39"/>
      <c r="GA71">
        <v>12</v>
      </c>
      <c r="GB71">
        <v>10</v>
      </c>
      <c r="GC71" s="44">
        <v>2</v>
      </c>
      <c r="GD71" s="40"/>
      <c r="GE71">
        <v>80</v>
      </c>
      <c r="GF71">
        <v>70</v>
      </c>
      <c r="GG71">
        <v>80</v>
      </c>
      <c r="GH71">
        <v>80</v>
      </c>
      <c r="GI71" s="44">
        <v>10</v>
      </c>
      <c r="GJ71" s="40"/>
      <c r="GK71">
        <v>48</v>
      </c>
      <c r="GL71" s="47">
        <v>47.197800000000001</v>
      </c>
      <c r="GM71" s="44">
        <v>0.80219999999999914</v>
      </c>
      <c r="GN71" s="40"/>
      <c r="GO71" s="41">
        <v>20</v>
      </c>
      <c r="GP71">
        <v>20</v>
      </c>
      <c r="GQ71" s="44">
        <v>0</v>
      </c>
      <c r="GR71" s="40"/>
      <c r="GV71">
        <v>92</v>
      </c>
      <c r="GW71">
        <v>91</v>
      </c>
      <c r="GX71" s="44">
        <v>1</v>
      </c>
      <c r="GY71" s="40"/>
      <c r="HB71">
        <v>40</v>
      </c>
      <c r="HC71">
        <v>40</v>
      </c>
      <c r="HD71" s="44">
        <v>0</v>
      </c>
      <c r="HE71" s="40"/>
      <c r="HF71" s="39"/>
      <c r="HH71">
        <v>251</v>
      </c>
      <c r="HI71">
        <v>250</v>
      </c>
      <c r="HJ71" s="44">
        <v>1</v>
      </c>
      <c r="HK71" s="40"/>
      <c r="HL71" s="41">
        <v>60</v>
      </c>
      <c r="HM71">
        <v>60</v>
      </c>
      <c r="HN71">
        <v>73</v>
      </c>
      <c r="HO71">
        <v>70</v>
      </c>
      <c r="HP71" s="44">
        <v>3</v>
      </c>
      <c r="HQ71" s="40"/>
      <c r="HT71">
        <v>72</v>
      </c>
      <c r="HU71">
        <v>70</v>
      </c>
      <c r="HV71" s="44">
        <v>2</v>
      </c>
      <c r="HW71" s="43"/>
      <c r="HX71">
        <v>80</v>
      </c>
      <c r="HY71">
        <v>80</v>
      </c>
      <c r="HZ71">
        <v>100</v>
      </c>
      <c r="IA71">
        <v>100</v>
      </c>
      <c r="IB71" s="44">
        <v>0</v>
      </c>
      <c r="IC71" s="43"/>
      <c r="ID71">
        <v>151</v>
      </c>
      <c r="IE71">
        <v>150</v>
      </c>
      <c r="IF71">
        <v>112</v>
      </c>
      <c r="IG71">
        <v>110</v>
      </c>
      <c r="IH71" s="44">
        <v>3</v>
      </c>
      <c r="II71" s="43"/>
      <c r="IJ71">
        <v>32</v>
      </c>
      <c r="IK71">
        <v>30</v>
      </c>
      <c r="IN71" s="44">
        <v>2</v>
      </c>
      <c r="IO71" s="40"/>
      <c r="IP71">
        <v>250</v>
      </c>
      <c r="IQ71">
        <v>250</v>
      </c>
      <c r="IR71" s="44">
        <v>0</v>
      </c>
      <c r="IS71" s="40"/>
      <c r="IT71">
        <v>100</v>
      </c>
      <c r="IU71">
        <v>100</v>
      </c>
      <c r="IV71">
        <v>72</v>
      </c>
      <c r="IW71">
        <v>70</v>
      </c>
      <c r="IX71" s="44">
        <v>2</v>
      </c>
      <c r="IY71" s="43"/>
      <c r="JB71" s="44">
        <v>0</v>
      </c>
      <c r="JC71" s="40"/>
      <c r="JD71">
        <v>60</v>
      </c>
      <c r="JE71">
        <v>60</v>
      </c>
      <c r="JF71">
        <v>294</v>
      </c>
      <c r="JG71">
        <v>290</v>
      </c>
      <c r="JH71" s="44">
        <v>4</v>
      </c>
      <c r="JI71" s="40"/>
      <c r="JJ71">
        <v>120</v>
      </c>
      <c r="JK71">
        <v>120</v>
      </c>
      <c r="JL71">
        <v>148</v>
      </c>
      <c r="JM71">
        <v>140</v>
      </c>
      <c r="JN71" s="44">
        <v>8</v>
      </c>
      <c r="JO71" s="43"/>
      <c r="JT71" s="44">
        <v>0</v>
      </c>
      <c r="JU71" s="43"/>
      <c r="JZ71" s="44">
        <v>0</v>
      </c>
      <c r="KA71" s="43"/>
      <c r="KB71" s="41">
        <v>152</v>
      </c>
      <c r="KC71">
        <v>150</v>
      </c>
      <c r="KE71">
        <v>200</v>
      </c>
      <c r="KF71">
        <v>200</v>
      </c>
      <c r="KG71">
        <v>201</v>
      </c>
      <c r="KH71">
        <v>200</v>
      </c>
      <c r="KI71" s="44">
        <v>3</v>
      </c>
      <c r="KJ71" s="43"/>
      <c r="KK71" s="47">
        <v>51.628</v>
      </c>
      <c r="KL71" s="47">
        <v>50</v>
      </c>
      <c r="KM71" s="47">
        <v>80.182000000000002</v>
      </c>
      <c r="KN71" s="47">
        <v>80</v>
      </c>
      <c r="KO71" s="44">
        <v>1.8100000000000021</v>
      </c>
      <c r="KP71" s="43"/>
      <c r="KQ71" s="47">
        <v>0</v>
      </c>
      <c r="KR71" s="47">
        <v>0</v>
      </c>
      <c r="KS71" s="47">
        <v>180.42500000000001</v>
      </c>
      <c r="KT71" s="47">
        <v>180</v>
      </c>
      <c r="KU71" s="44">
        <v>0.42500000000001142</v>
      </c>
      <c r="KV71" s="43"/>
      <c r="KW71" s="42">
        <v>0</v>
      </c>
      <c r="KX71" s="47">
        <v>0</v>
      </c>
      <c r="KY71" s="44">
        <v>0</v>
      </c>
      <c r="KZ71" s="43"/>
      <c r="LA71" s="42">
        <v>199.26599999999999</v>
      </c>
      <c r="LB71" s="47">
        <v>200</v>
      </c>
      <c r="LC71" s="47">
        <v>199.518</v>
      </c>
      <c r="LD71" s="47">
        <v>200</v>
      </c>
      <c r="LE71" s="44">
        <v>-1.216000000000008</v>
      </c>
      <c r="LF71" s="43"/>
      <c r="LG71" s="42">
        <v>0</v>
      </c>
      <c r="LH71" s="47">
        <v>0</v>
      </c>
      <c r="LI71" s="47">
        <v>0</v>
      </c>
      <c r="LJ71" s="47">
        <v>0</v>
      </c>
      <c r="LK71" s="44">
        <v>0</v>
      </c>
      <c r="LL71" s="43"/>
      <c r="LM71" s="42">
        <v>0</v>
      </c>
      <c r="LN71" s="47">
        <v>0</v>
      </c>
      <c r="LO71" s="44">
        <v>0</v>
      </c>
      <c r="LP71" s="43"/>
      <c r="LQ71" s="42">
        <v>52.201000000000001</v>
      </c>
      <c r="LR71" s="47">
        <v>50</v>
      </c>
      <c r="LS71" s="47">
        <v>99.965999999999994</v>
      </c>
      <c r="LT71" s="47">
        <v>100</v>
      </c>
      <c r="LU71" s="44">
        <v>2.167000000000002</v>
      </c>
      <c r="LV71" s="43"/>
      <c r="LW71" s="42">
        <v>83.756</v>
      </c>
      <c r="LX71" s="47">
        <v>85</v>
      </c>
      <c r="LY71" s="47">
        <v>0</v>
      </c>
      <c r="LZ71" s="47">
        <v>0</v>
      </c>
      <c r="MA71" s="44">
        <v>-1.244</v>
      </c>
      <c r="MB71" s="43"/>
      <c r="MC71" s="42">
        <v>59.97</v>
      </c>
      <c r="MD71" s="47">
        <v>60</v>
      </c>
      <c r="ME71" s="47">
        <v>121.042</v>
      </c>
      <c r="MF71" s="47">
        <v>120</v>
      </c>
      <c r="MG71" s="44">
        <v>1.012</v>
      </c>
      <c r="MH71" s="43"/>
      <c r="MI71" s="42">
        <v>99.867000000000004</v>
      </c>
      <c r="MJ71" s="47">
        <v>100</v>
      </c>
      <c r="MK71" s="47">
        <v>60.14</v>
      </c>
      <c r="ML71" s="47">
        <v>60</v>
      </c>
      <c r="MM71" s="44">
        <v>7.0000000000050022E-3</v>
      </c>
      <c r="MN71" s="43"/>
      <c r="MO71" s="42">
        <v>52.24</v>
      </c>
      <c r="MP71" s="47">
        <v>50</v>
      </c>
      <c r="MQ71" s="47">
        <v>71.733000000000004</v>
      </c>
      <c r="MR71" s="47">
        <v>70</v>
      </c>
      <c r="MS71" s="44">
        <v>3.9730000000000132</v>
      </c>
      <c r="MT71" s="43"/>
      <c r="MU71" s="42">
        <v>40.222999999999999</v>
      </c>
      <c r="MV71" s="47">
        <v>50</v>
      </c>
      <c r="MW71" s="47">
        <v>100.49</v>
      </c>
      <c r="MX71" s="47">
        <v>100</v>
      </c>
      <c r="MY71" s="46">
        <v>-9.2870000000000061</v>
      </c>
      <c r="MZ71" s="43">
        <v>9.2870000000000061</v>
      </c>
      <c r="NA71" s="42">
        <v>52.277000000000001</v>
      </c>
      <c r="NB71" s="47">
        <v>50</v>
      </c>
      <c r="NC71" s="47">
        <v>119.07599999999999</v>
      </c>
      <c r="ND71" s="47">
        <v>120</v>
      </c>
      <c r="NE71" s="44">
        <v>1.3530000000000091</v>
      </c>
      <c r="NF71" s="43"/>
      <c r="NG71" s="42">
        <v>0</v>
      </c>
      <c r="NH71" s="47">
        <v>0</v>
      </c>
      <c r="NI71" s="47">
        <v>84.628</v>
      </c>
      <c r="NJ71" s="47">
        <v>85</v>
      </c>
      <c r="NK71" s="44">
        <v>-0.37199999999999989</v>
      </c>
      <c r="NL71" s="43"/>
      <c r="NM71" s="42">
        <v>0</v>
      </c>
      <c r="NN71" s="47">
        <v>0</v>
      </c>
      <c r="NO71" s="47">
        <v>20.062000000000001</v>
      </c>
      <c r="NP71" s="47">
        <v>20</v>
      </c>
      <c r="NQ71" s="44">
        <v>6.2000000000001172E-2</v>
      </c>
      <c r="NR71" s="43"/>
      <c r="NS71" s="42">
        <v>80.167000000000002</v>
      </c>
      <c r="NT71" s="47">
        <v>80</v>
      </c>
      <c r="NU71" s="47">
        <v>0</v>
      </c>
      <c r="NV71" s="47">
        <v>0</v>
      </c>
      <c r="NW71" s="44">
        <v>0.16700000000000159</v>
      </c>
      <c r="NX71" s="43"/>
      <c r="NY71" s="42">
        <v>152.24700000000001</v>
      </c>
      <c r="NZ71" s="47">
        <v>150</v>
      </c>
      <c r="OA71" s="47">
        <v>176.179</v>
      </c>
      <c r="OB71" s="47">
        <v>176</v>
      </c>
      <c r="OC71" s="44">
        <v>2.426000000000045</v>
      </c>
      <c r="OD71" s="43"/>
      <c r="OE71" s="42">
        <v>0</v>
      </c>
      <c r="OF71" s="47">
        <v>0</v>
      </c>
      <c r="OG71" s="47">
        <v>0</v>
      </c>
      <c r="OH71" s="47">
        <v>0</v>
      </c>
      <c r="OI71" s="44">
        <v>0</v>
      </c>
      <c r="OJ71" s="43"/>
      <c r="OK71" s="42">
        <v>52.598999999999997</v>
      </c>
      <c r="OL71" s="47">
        <v>50</v>
      </c>
      <c r="OM71" s="47">
        <v>92.156999999999996</v>
      </c>
      <c r="ON71" s="47">
        <v>90</v>
      </c>
      <c r="OO71" s="44">
        <v>4.7560000000000002</v>
      </c>
      <c r="OP71" s="43"/>
      <c r="OQ71" s="42">
        <v>119.185</v>
      </c>
      <c r="OR71" s="47">
        <v>120</v>
      </c>
      <c r="OS71" s="47">
        <v>92.756</v>
      </c>
      <c r="OT71" s="47">
        <v>91</v>
      </c>
      <c r="OU71" s="44">
        <v>0.9410000000000025</v>
      </c>
      <c r="OV71" s="43"/>
      <c r="OW71" s="42">
        <v>28.106999999999999</v>
      </c>
      <c r="OX71" s="47">
        <v>0</v>
      </c>
      <c r="OY71" s="47">
        <v>20.03</v>
      </c>
      <c r="OZ71" s="47">
        <v>20</v>
      </c>
      <c r="PA71" s="44">
        <v>28.137</v>
      </c>
      <c r="PB71" s="43"/>
      <c r="PC71" s="42">
        <v>0</v>
      </c>
      <c r="PD71" s="47">
        <v>0</v>
      </c>
      <c r="PE71" s="47">
        <v>59.975000000000001</v>
      </c>
      <c r="PF71" s="47">
        <v>60</v>
      </c>
      <c r="PG71" s="44">
        <v>-2.4999999999998579E-2</v>
      </c>
      <c r="PH71" s="43"/>
      <c r="PI71" s="42">
        <v>0</v>
      </c>
      <c r="PJ71" s="47">
        <v>0</v>
      </c>
      <c r="PK71" s="47">
        <v>92.106999999999999</v>
      </c>
      <c r="PL71" s="47">
        <v>90</v>
      </c>
      <c r="PM71" s="44">
        <v>2.1069999999999989</v>
      </c>
      <c r="PN71" s="43"/>
      <c r="PO71" s="42">
        <v>0</v>
      </c>
      <c r="PP71" s="47">
        <v>0</v>
      </c>
      <c r="PQ71" s="47">
        <v>52.064999999999998</v>
      </c>
      <c r="PR71" s="47">
        <v>50</v>
      </c>
      <c r="PS71" s="44">
        <v>2.0649999999999982</v>
      </c>
      <c r="PT71" s="43"/>
      <c r="PU71" s="42">
        <v>52.305</v>
      </c>
      <c r="PV71" s="47">
        <v>50</v>
      </c>
      <c r="PW71" s="47">
        <v>0</v>
      </c>
      <c r="PX71" s="47">
        <v>0</v>
      </c>
      <c r="PY71" s="44">
        <v>2.3050000000000002</v>
      </c>
      <c r="PZ71" s="43"/>
      <c r="QA71" s="42">
        <v>0</v>
      </c>
      <c r="QB71" s="47">
        <v>0</v>
      </c>
      <c r="QC71" s="44">
        <v>0</v>
      </c>
      <c r="QD71" s="43"/>
      <c r="QE71" s="42">
        <v>0</v>
      </c>
      <c r="QF71" s="47">
        <v>0</v>
      </c>
      <c r="QG71" s="44">
        <v>0</v>
      </c>
      <c r="QH71" s="43"/>
      <c r="QI71" s="42">
        <v>0</v>
      </c>
      <c r="QJ71" s="47">
        <v>0</v>
      </c>
      <c r="QK71" s="44">
        <v>0</v>
      </c>
      <c r="QL71" s="43"/>
      <c r="QM71" s="42">
        <v>0</v>
      </c>
      <c r="QN71" s="47">
        <v>0</v>
      </c>
      <c r="QO71" s="47">
        <v>0</v>
      </c>
      <c r="QP71" s="47">
        <v>0</v>
      </c>
      <c r="QQ71" s="44">
        <v>0</v>
      </c>
      <c r="QR71" s="43"/>
      <c r="QS71" s="42">
        <v>0</v>
      </c>
      <c r="QT71" s="47">
        <v>0</v>
      </c>
      <c r="QU71" s="44">
        <v>0</v>
      </c>
      <c r="QV71" s="43"/>
      <c r="QW71" s="42">
        <v>0</v>
      </c>
      <c r="QX71" s="47">
        <v>0</v>
      </c>
      <c r="QY71" s="44">
        <v>0</v>
      </c>
      <c r="QZ71" s="43"/>
    </row>
    <row r="72" spans="1:468" x14ac:dyDescent="0.25">
      <c r="A72" s="47" t="s">
        <v>356</v>
      </c>
      <c r="B72" s="38">
        <v>1</v>
      </c>
      <c r="I72">
        <v>90</v>
      </c>
      <c r="J72">
        <v>125</v>
      </c>
      <c r="K72">
        <v>118</v>
      </c>
      <c r="N72" s="41">
        <v>37</v>
      </c>
      <c r="O72" s="49">
        <v>34</v>
      </c>
      <c r="P72" s="48"/>
      <c r="Q72" s="48"/>
      <c r="R72" s="48">
        <f t="shared" si="13"/>
        <v>3</v>
      </c>
      <c r="S72" s="40"/>
      <c r="T72" s="41">
        <v>63</v>
      </c>
      <c r="U72" s="49">
        <v>59</v>
      </c>
      <c r="V72" s="48">
        <f t="shared" si="14"/>
        <v>4</v>
      </c>
      <c r="W72" s="40"/>
      <c r="X72" s="41">
        <v>46</v>
      </c>
      <c r="Y72" s="49">
        <v>45</v>
      </c>
      <c r="Z72" s="49">
        <v>53</v>
      </c>
      <c r="AA72" s="49">
        <v>51</v>
      </c>
      <c r="AB72" s="48">
        <f t="shared" si="15"/>
        <v>3</v>
      </c>
      <c r="AC72" s="40"/>
      <c r="AD72" s="48"/>
      <c r="AH72" s="44">
        <v>0</v>
      </c>
      <c r="AI72" s="40"/>
      <c r="AJ72">
        <v>54</v>
      </c>
      <c r="AK72">
        <v>50</v>
      </c>
      <c r="AL72">
        <v>74</v>
      </c>
      <c r="AM72">
        <v>70</v>
      </c>
      <c r="AN72" s="44">
        <v>8</v>
      </c>
      <c r="AO72" s="40"/>
      <c r="AP72">
        <v>74</v>
      </c>
      <c r="AQ72">
        <v>70</v>
      </c>
      <c r="AR72">
        <v>81</v>
      </c>
      <c r="AS72">
        <v>77</v>
      </c>
      <c r="AT72" s="44">
        <v>8</v>
      </c>
      <c r="AU72" s="40"/>
      <c r="AV72" s="39"/>
      <c r="AX72" s="44">
        <v>0</v>
      </c>
      <c r="AY72" s="40"/>
      <c r="AZ72" s="41">
        <v>118</v>
      </c>
      <c r="BA72">
        <v>113</v>
      </c>
      <c r="BB72" s="44">
        <v>5</v>
      </c>
      <c r="BC72" s="40"/>
      <c r="BD72">
        <v>31</v>
      </c>
      <c r="BE72">
        <v>30</v>
      </c>
      <c r="BH72" s="44">
        <v>1</v>
      </c>
      <c r="BI72" s="40"/>
      <c r="BJ72">
        <v>52</v>
      </c>
      <c r="BK72">
        <v>50</v>
      </c>
      <c r="BL72" s="44">
        <v>2</v>
      </c>
      <c r="BM72" s="40"/>
      <c r="BN72" s="39"/>
      <c r="BP72">
        <v>106</v>
      </c>
      <c r="BQ72">
        <v>100</v>
      </c>
      <c r="BR72" s="44">
        <v>6</v>
      </c>
      <c r="BS72" s="40"/>
      <c r="BT72">
        <v>107</v>
      </c>
      <c r="BU72">
        <v>100</v>
      </c>
      <c r="BV72" s="44">
        <v>7</v>
      </c>
      <c r="BW72" s="40"/>
      <c r="BX72" s="39"/>
      <c r="BZ72" s="44">
        <v>0</v>
      </c>
      <c r="CA72" s="40"/>
      <c r="CB72" s="39"/>
      <c r="CD72">
        <v>106</v>
      </c>
      <c r="CG72">
        <v>100</v>
      </c>
      <c r="CH72" s="44">
        <v>6</v>
      </c>
      <c r="CI72" s="40"/>
      <c r="CJ72">
        <v>107</v>
      </c>
      <c r="CK72">
        <v>100</v>
      </c>
      <c r="CL72">
        <v>137</v>
      </c>
      <c r="CM72">
        <v>130</v>
      </c>
      <c r="CN72" s="44">
        <v>14</v>
      </c>
      <c r="CO72" s="40"/>
      <c r="CP72" s="39"/>
      <c r="CR72">
        <v>53</v>
      </c>
      <c r="CS72">
        <v>50</v>
      </c>
      <c r="CT72" s="44">
        <v>3</v>
      </c>
      <c r="CU72" s="40"/>
      <c r="CV72" s="39"/>
      <c r="CX72">
        <v>75</v>
      </c>
      <c r="CY72">
        <v>70</v>
      </c>
      <c r="CZ72" s="44">
        <v>5</v>
      </c>
      <c r="DA72" s="40"/>
      <c r="DB72" s="41">
        <v>50</v>
      </c>
      <c r="DC72">
        <v>50</v>
      </c>
      <c r="DD72">
        <v>53</v>
      </c>
      <c r="DE72">
        <v>50</v>
      </c>
      <c r="DF72" s="44">
        <v>3</v>
      </c>
      <c r="DG72" s="40"/>
      <c r="DJ72">
        <v>124</v>
      </c>
      <c r="DK72">
        <v>120</v>
      </c>
      <c r="DN72" s="44">
        <v>4</v>
      </c>
      <c r="DO72" s="40"/>
      <c r="DP72" s="39"/>
      <c r="DR72" s="44">
        <v>0</v>
      </c>
      <c r="DS72" s="40"/>
      <c r="DT72" s="41">
        <v>63</v>
      </c>
      <c r="DU72">
        <v>60</v>
      </c>
      <c r="DV72">
        <v>62</v>
      </c>
      <c r="DW72">
        <v>60</v>
      </c>
      <c r="DX72" s="44">
        <v>5</v>
      </c>
      <c r="DY72" s="40"/>
      <c r="DZ72" s="39"/>
      <c r="EB72" s="44">
        <v>0</v>
      </c>
      <c r="EC72" s="40"/>
      <c r="ED72">
        <v>53</v>
      </c>
      <c r="EE72">
        <v>50</v>
      </c>
      <c r="EG72">
        <v>47</v>
      </c>
      <c r="EH72">
        <v>50</v>
      </c>
      <c r="EI72">
        <v>83</v>
      </c>
      <c r="EJ72">
        <v>80</v>
      </c>
      <c r="EK72" s="44">
        <v>3</v>
      </c>
      <c r="EL72" s="40"/>
      <c r="EN72">
        <v>31</v>
      </c>
      <c r="EO72">
        <v>30</v>
      </c>
      <c r="EQ72">
        <v>43</v>
      </c>
      <c r="ER72">
        <v>40</v>
      </c>
      <c r="ES72" s="44">
        <v>4</v>
      </c>
      <c r="ET72" s="40"/>
      <c r="EU72" s="39"/>
      <c r="EW72">
        <v>77</v>
      </c>
      <c r="EX72">
        <v>74</v>
      </c>
      <c r="EY72" s="44">
        <v>3</v>
      </c>
      <c r="EZ72" s="40"/>
      <c r="FA72" s="39"/>
      <c r="FB72">
        <v>28</v>
      </c>
      <c r="FC72">
        <v>26</v>
      </c>
      <c r="FD72" s="44">
        <v>2</v>
      </c>
      <c r="FE72" s="40"/>
      <c r="FH72" s="44">
        <v>0</v>
      </c>
      <c r="FI72" s="40"/>
      <c r="FJ72" s="41">
        <v>53</v>
      </c>
      <c r="FK72">
        <v>50</v>
      </c>
      <c r="FO72">
        <v>92</v>
      </c>
      <c r="FP72">
        <v>90</v>
      </c>
      <c r="FQ72" s="44">
        <v>5</v>
      </c>
      <c r="FR72" s="40"/>
      <c r="FS72">
        <v>22</v>
      </c>
      <c r="FT72">
        <v>20</v>
      </c>
      <c r="FU72">
        <v>22</v>
      </c>
      <c r="FV72">
        <v>20</v>
      </c>
      <c r="FW72" s="44">
        <v>4</v>
      </c>
      <c r="FX72" s="40"/>
      <c r="FY72" s="39"/>
      <c r="GA72">
        <v>123</v>
      </c>
      <c r="GB72">
        <v>120</v>
      </c>
      <c r="GC72" s="44">
        <v>3</v>
      </c>
      <c r="GD72" s="40"/>
      <c r="GG72">
        <v>43</v>
      </c>
      <c r="GH72">
        <v>40</v>
      </c>
      <c r="GI72" s="44">
        <v>3</v>
      </c>
      <c r="GJ72" s="40"/>
      <c r="GM72" s="44">
        <v>0</v>
      </c>
      <c r="GN72" s="40"/>
      <c r="GO72" s="41">
        <v>92</v>
      </c>
      <c r="GP72">
        <v>90</v>
      </c>
      <c r="GQ72" s="44">
        <v>2</v>
      </c>
      <c r="GR72" s="40"/>
      <c r="GV72">
        <v>100</v>
      </c>
      <c r="GW72">
        <v>94</v>
      </c>
      <c r="GX72" s="44">
        <v>6</v>
      </c>
      <c r="GY72" s="40"/>
      <c r="HB72">
        <v>52</v>
      </c>
      <c r="HC72">
        <v>50</v>
      </c>
      <c r="HD72" s="44">
        <v>2</v>
      </c>
      <c r="HE72" s="40"/>
      <c r="HF72" s="39"/>
      <c r="HH72">
        <v>118</v>
      </c>
      <c r="HI72">
        <v>120</v>
      </c>
      <c r="HJ72" s="44">
        <v>-2</v>
      </c>
      <c r="HK72" s="40"/>
      <c r="HL72" s="41">
        <v>51</v>
      </c>
      <c r="HM72">
        <v>50</v>
      </c>
      <c r="HN72">
        <v>56</v>
      </c>
      <c r="HO72">
        <v>55</v>
      </c>
      <c r="HP72" s="44">
        <v>2</v>
      </c>
      <c r="HQ72" s="40"/>
      <c r="HV72" s="44">
        <v>0</v>
      </c>
      <c r="HW72" s="43"/>
      <c r="HX72">
        <v>50</v>
      </c>
      <c r="HY72">
        <v>50</v>
      </c>
      <c r="HZ72">
        <v>51</v>
      </c>
      <c r="IA72">
        <v>50</v>
      </c>
      <c r="IB72" s="44">
        <v>1</v>
      </c>
      <c r="IC72" s="43"/>
      <c r="ID72">
        <v>80</v>
      </c>
      <c r="IE72">
        <v>80</v>
      </c>
      <c r="IF72">
        <v>50</v>
      </c>
      <c r="IG72">
        <v>50</v>
      </c>
      <c r="IH72" s="44">
        <v>0</v>
      </c>
      <c r="II72" s="43"/>
      <c r="IJ72">
        <v>51</v>
      </c>
      <c r="IK72">
        <v>50</v>
      </c>
      <c r="IN72" s="44">
        <v>1</v>
      </c>
      <c r="IO72" s="40"/>
      <c r="IP72">
        <v>135</v>
      </c>
      <c r="IQ72">
        <v>137</v>
      </c>
      <c r="IR72" s="44">
        <v>-2</v>
      </c>
      <c r="IS72" s="40"/>
      <c r="IX72" s="44">
        <v>0</v>
      </c>
      <c r="IY72" s="43"/>
      <c r="IZ72">
        <v>81</v>
      </c>
      <c r="JA72" s="47">
        <v>80</v>
      </c>
      <c r="JB72" s="44">
        <v>1</v>
      </c>
      <c r="JC72" s="40"/>
      <c r="JF72">
        <v>12</v>
      </c>
      <c r="JG72">
        <v>10</v>
      </c>
      <c r="JH72" s="44">
        <v>2</v>
      </c>
      <c r="JI72" s="40"/>
      <c r="JJ72">
        <v>42</v>
      </c>
      <c r="JK72">
        <v>40</v>
      </c>
      <c r="JL72">
        <v>80</v>
      </c>
      <c r="JM72">
        <v>80</v>
      </c>
      <c r="JN72" s="44">
        <v>2</v>
      </c>
      <c r="JO72" s="43"/>
      <c r="JR72">
        <v>73</v>
      </c>
      <c r="JS72">
        <v>70</v>
      </c>
      <c r="JT72" s="44">
        <v>3</v>
      </c>
      <c r="JU72" s="43"/>
      <c r="JX72">
        <v>21</v>
      </c>
      <c r="JY72">
        <v>20</v>
      </c>
      <c r="JZ72" s="44">
        <v>1</v>
      </c>
      <c r="KA72" s="43"/>
      <c r="KB72" s="41">
        <v>81</v>
      </c>
      <c r="KC72">
        <v>80</v>
      </c>
      <c r="KE72">
        <v>102</v>
      </c>
      <c r="KF72">
        <v>100</v>
      </c>
      <c r="KG72">
        <v>81</v>
      </c>
      <c r="KH72">
        <v>80</v>
      </c>
      <c r="KI72" s="44">
        <v>4</v>
      </c>
      <c r="KJ72" s="43"/>
      <c r="KK72" s="47">
        <v>0</v>
      </c>
      <c r="KL72" s="47">
        <v>0</v>
      </c>
      <c r="KM72" s="47">
        <v>51.597000000000001</v>
      </c>
      <c r="KN72" s="47">
        <v>50</v>
      </c>
      <c r="KO72" s="44">
        <v>1.5970000000000011</v>
      </c>
      <c r="KP72" s="43"/>
      <c r="KQ72" s="47">
        <v>0</v>
      </c>
      <c r="KR72" s="47">
        <v>0</v>
      </c>
      <c r="KS72" s="47">
        <v>80.759</v>
      </c>
      <c r="KT72" s="47">
        <v>80</v>
      </c>
      <c r="KU72" s="44">
        <v>0.75900000000000034</v>
      </c>
      <c r="KV72" s="43"/>
      <c r="KW72" s="42">
        <v>50.411000000000001</v>
      </c>
      <c r="KX72" s="47">
        <v>50</v>
      </c>
      <c r="KY72" s="44">
        <v>0.41100000000000142</v>
      </c>
      <c r="KZ72" s="43"/>
      <c r="LA72" s="42">
        <v>50.816000000000003</v>
      </c>
      <c r="LB72" s="47">
        <v>50</v>
      </c>
      <c r="LC72" s="47">
        <v>42.767000000000003</v>
      </c>
      <c r="LD72" s="47">
        <v>40</v>
      </c>
      <c r="LE72" s="44">
        <v>3.582999999999998</v>
      </c>
      <c r="LF72" s="43"/>
      <c r="LG72" s="42">
        <v>116.687</v>
      </c>
      <c r="LH72" s="47">
        <v>120</v>
      </c>
      <c r="LI72" s="47">
        <v>132.35</v>
      </c>
      <c r="LJ72" s="47">
        <v>130</v>
      </c>
      <c r="LK72" s="44">
        <v>-0.96300000000002228</v>
      </c>
      <c r="LL72" s="43"/>
      <c r="LM72" s="42">
        <v>0</v>
      </c>
      <c r="LN72" s="47">
        <v>0</v>
      </c>
      <c r="LO72" s="44">
        <v>0</v>
      </c>
      <c r="LP72" s="43"/>
      <c r="LQ72" s="42">
        <v>0</v>
      </c>
      <c r="LR72" s="47">
        <v>0</v>
      </c>
      <c r="LS72" s="47">
        <v>0</v>
      </c>
      <c r="LT72" s="47">
        <v>0</v>
      </c>
      <c r="LU72" s="44">
        <v>0</v>
      </c>
      <c r="LV72" s="43"/>
      <c r="LW72" s="42">
        <v>228.501</v>
      </c>
      <c r="LX72" s="47">
        <v>230</v>
      </c>
      <c r="LY72" s="47">
        <v>0</v>
      </c>
      <c r="LZ72" s="47">
        <v>0</v>
      </c>
      <c r="MA72" s="44">
        <v>-1.498999999999995</v>
      </c>
      <c r="MB72" s="43"/>
      <c r="MC72" s="42">
        <v>0</v>
      </c>
      <c r="MD72" s="47">
        <v>0</v>
      </c>
      <c r="ME72" s="47">
        <v>302.12299999999999</v>
      </c>
      <c r="MF72" s="47">
        <v>300</v>
      </c>
      <c r="MG72" s="44">
        <v>2.12299999999999</v>
      </c>
      <c r="MH72" s="43"/>
      <c r="MI72" s="42">
        <v>0</v>
      </c>
      <c r="MJ72" s="47">
        <v>0</v>
      </c>
      <c r="MK72" s="47">
        <v>102.566</v>
      </c>
      <c r="ML72" s="47">
        <v>100</v>
      </c>
      <c r="MM72" s="44">
        <v>2.5660000000000029</v>
      </c>
      <c r="MN72" s="43"/>
      <c r="MO72" s="42">
        <v>0</v>
      </c>
      <c r="MP72" s="47">
        <v>0</v>
      </c>
      <c r="MQ72" s="47">
        <v>59.326000000000001</v>
      </c>
      <c r="MR72" s="47">
        <v>60</v>
      </c>
      <c r="MS72" s="44">
        <v>-0.67399999999999949</v>
      </c>
      <c r="MT72" s="43"/>
      <c r="MU72" s="42">
        <v>29.978000000000002</v>
      </c>
      <c r="MV72" s="47">
        <v>50</v>
      </c>
      <c r="MW72" s="47">
        <v>164.483</v>
      </c>
      <c r="MX72" s="47">
        <v>160</v>
      </c>
      <c r="MY72" s="46">
        <v>-15.538999999999991</v>
      </c>
      <c r="MZ72" s="43">
        <v>15.538999999999991</v>
      </c>
      <c r="NA72" s="42">
        <v>103.595</v>
      </c>
      <c r="NB72" s="47">
        <v>100</v>
      </c>
      <c r="NC72" s="47">
        <v>100.52</v>
      </c>
      <c r="ND72" s="47">
        <v>110</v>
      </c>
      <c r="NE72" s="44">
        <v>-5.8849999999999909</v>
      </c>
      <c r="NF72" s="43"/>
      <c r="NG72" s="42">
        <v>0</v>
      </c>
      <c r="NH72" s="47">
        <v>0</v>
      </c>
      <c r="NI72" s="47">
        <v>151.28</v>
      </c>
      <c r="NJ72" s="47">
        <v>150</v>
      </c>
      <c r="NK72" s="44">
        <v>1.2800000000000009</v>
      </c>
      <c r="NL72" s="43"/>
      <c r="NM72" s="42">
        <v>0</v>
      </c>
      <c r="NN72" s="47">
        <v>0</v>
      </c>
      <c r="NO72" s="47">
        <v>161.17400000000001</v>
      </c>
      <c r="NP72" s="47">
        <v>160</v>
      </c>
      <c r="NQ72" s="44">
        <v>1.174000000000007</v>
      </c>
      <c r="NR72" s="43"/>
      <c r="NS72" s="42">
        <v>150.03899999999999</v>
      </c>
      <c r="NT72" s="47">
        <v>149</v>
      </c>
      <c r="NU72" s="47">
        <v>151.53</v>
      </c>
      <c r="NV72" s="47">
        <v>150</v>
      </c>
      <c r="NW72" s="44">
        <v>2.56899999999996</v>
      </c>
      <c r="NX72" s="43"/>
      <c r="NY72" s="42">
        <v>0</v>
      </c>
      <c r="NZ72" s="47">
        <v>0</v>
      </c>
      <c r="OA72" s="47">
        <v>119.63500000000001</v>
      </c>
      <c r="OB72" s="47">
        <v>120</v>
      </c>
      <c r="OC72" s="44">
        <v>-0.36499999999999488</v>
      </c>
      <c r="OD72" s="43"/>
      <c r="OE72" s="42">
        <v>141.22200000000001</v>
      </c>
      <c r="OF72" s="47">
        <v>140</v>
      </c>
      <c r="OG72" s="47">
        <v>101.306</v>
      </c>
      <c r="OH72" s="47">
        <v>101</v>
      </c>
      <c r="OI72" s="44">
        <v>1.52800000000002</v>
      </c>
      <c r="OJ72" s="43"/>
      <c r="OK72" s="42">
        <v>121.52800000000001</v>
      </c>
      <c r="OL72" s="47">
        <v>120</v>
      </c>
      <c r="OM72" s="47">
        <v>89.194999999999993</v>
      </c>
      <c r="ON72" s="47">
        <v>90</v>
      </c>
      <c r="OO72" s="44">
        <v>0.72300000000001319</v>
      </c>
      <c r="OP72" s="43"/>
      <c r="OQ72" s="42">
        <v>41.945</v>
      </c>
      <c r="OR72" s="47">
        <v>40</v>
      </c>
      <c r="OS72" s="47">
        <v>42.207000000000001</v>
      </c>
      <c r="OT72" s="47">
        <v>40</v>
      </c>
      <c r="OU72" s="44">
        <v>4.152000000000001</v>
      </c>
      <c r="OV72" s="43"/>
      <c r="OW72" s="42">
        <v>0</v>
      </c>
      <c r="OX72" s="47">
        <v>0</v>
      </c>
      <c r="OY72" s="47">
        <v>89.655000000000001</v>
      </c>
      <c r="OZ72" s="47">
        <v>90</v>
      </c>
      <c r="PA72" s="44">
        <v>-0.34499999999999892</v>
      </c>
      <c r="PB72" s="43"/>
      <c r="PC72" s="42">
        <v>150.32300000000001</v>
      </c>
      <c r="PD72" s="47">
        <v>150</v>
      </c>
      <c r="PE72" s="47">
        <v>198.49100000000001</v>
      </c>
      <c r="PF72" s="47">
        <v>196</v>
      </c>
      <c r="PG72" s="44">
        <v>2.8140000000000209</v>
      </c>
      <c r="PH72" s="43"/>
      <c r="PI72" s="42">
        <v>51.031999999999996</v>
      </c>
      <c r="PJ72" s="47">
        <v>50</v>
      </c>
      <c r="PK72" s="47">
        <v>65.688999999999993</v>
      </c>
      <c r="PL72" s="47">
        <v>65</v>
      </c>
      <c r="PM72" s="44">
        <v>1.720999999999989</v>
      </c>
      <c r="PN72" s="43"/>
      <c r="PO72" s="42">
        <v>0</v>
      </c>
      <c r="PP72" s="47">
        <v>0</v>
      </c>
      <c r="PQ72" s="47">
        <v>0</v>
      </c>
      <c r="PR72" s="47">
        <v>0</v>
      </c>
      <c r="PS72" s="44">
        <v>0</v>
      </c>
      <c r="PT72" s="43"/>
      <c r="PU72" s="42">
        <v>250.87799999999999</v>
      </c>
      <c r="PV72" s="47">
        <v>250</v>
      </c>
      <c r="PW72" s="47">
        <v>126.947</v>
      </c>
      <c r="PX72" s="47">
        <v>124</v>
      </c>
      <c r="PY72" s="44">
        <v>3.8249999999999891</v>
      </c>
      <c r="PZ72" s="43"/>
      <c r="QA72" s="42">
        <v>209.69399999999999</v>
      </c>
      <c r="QB72" s="47">
        <v>208</v>
      </c>
      <c r="QC72" s="44">
        <v>1.693999999999988</v>
      </c>
      <c r="QD72" s="43"/>
      <c r="QE72" s="42">
        <v>150.57400000000001</v>
      </c>
      <c r="QF72" s="47">
        <v>150</v>
      </c>
      <c r="QG72" s="44">
        <v>0.57400000000001228</v>
      </c>
      <c r="QH72" s="43"/>
      <c r="QI72" s="42">
        <v>100.584</v>
      </c>
      <c r="QJ72" s="47">
        <v>100</v>
      </c>
      <c r="QK72" s="44">
        <v>0.58400000000000318</v>
      </c>
      <c r="QL72" s="43"/>
      <c r="QM72" s="42">
        <v>94.61</v>
      </c>
      <c r="QN72" s="47">
        <v>100</v>
      </c>
      <c r="QO72" s="47">
        <v>0</v>
      </c>
      <c r="QP72" s="47">
        <v>150</v>
      </c>
      <c r="QQ72" s="46">
        <v>-155.38999999999999</v>
      </c>
      <c r="QR72" s="43">
        <v>155.38999999999999</v>
      </c>
      <c r="QS72" s="42">
        <v>0</v>
      </c>
      <c r="QT72" s="47">
        <v>0</v>
      </c>
      <c r="QU72" s="44">
        <v>0</v>
      </c>
      <c r="QV72" s="43"/>
      <c r="QW72" s="42">
        <v>294.27800000000002</v>
      </c>
      <c r="QX72" s="47">
        <v>300</v>
      </c>
      <c r="QY72" s="44">
        <v>-5.72199999999998</v>
      </c>
      <c r="QZ72" s="43"/>
    </row>
    <row r="73" spans="1:468" x14ac:dyDescent="0.25">
      <c r="A73" s="47" t="s">
        <v>357</v>
      </c>
      <c r="B73" s="38">
        <v>1</v>
      </c>
      <c r="E73">
        <v>30</v>
      </c>
      <c r="F73">
        <v>33</v>
      </c>
      <c r="N73" s="39"/>
      <c r="O73" s="48"/>
      <c r="P73" s="48"/>
      <c r="Q73" s="49">
        <v>50</v>
      </c>
      <c r="R73" s="53">
        <f t="shared" si="13"/>
        <v>-50</v>
      </c>
      <c r="S73" s="40">
        <f>-1*R73*B73</f>
        <v>50</v>
      </c>
      <c r="T73" s="41">
        <v>38</v>
      </c>
      <c r="U73" s="49">
        <v>36</v>
      </c>
      <c r="V73" s="48">
        <f t="shared" si="14"/>
        <v>2</v>
      </c>
      <c r="W73" s="40"/>
      <c r="X73" s="41">
        <v>22</v>
      </c>
      <c r="Y73" s="49">
        <v>20</v>
      </c>
      <c r="Z73" s="48"/>
      <c r="AA73" s="48"/>
      <c r="AB73" s="48">
        <f t="shared" si="15"/>
        <v>2</v>
      </c>
      <c r="AC73" s="40"/>
      <c r="AD73" s="48"/>
      <c r="AF73">
        <v>37</v>
      </c>
      <c r="AG73">
        <v>36</v>
      </c>
      <c r="AH73" s="44">
        <v>1</v>
      </c>
      <c r="AI73" s="40"/>
      <c r="AN73" s="44">
        <v>0</v>
      </c>
      <c r="AO73" s="40"/>
      <c r="AP73">
        <v>44</v>
      </c>
      <c r="AQ73">
        <v>40</v>
      </c>
      <c r="AR73">
        <v>43</v>
      </c>
      <c r="AS73">
        <v>40</v>
      </c>
      <c r="AT73" s="44">
        <v>7</v>
      </c>
      <c r="AU73" s="40"/>
      <c r="AV73" s="41">
        <v>13</v>
      </c>
      <c r="AW73">
        <v>10</v>
      </c>
      <c r="AX73" s="44">
        <v>3</v>
      </c>
      <c r="AY73" s="40"/>
      <c r="AZ73" s="41">
        <v>28</v>
      </c>
      <c r="BA73">
        <v>27</v>
      </c>
      <c r="BB73" s="44">
        <v>1</v>
      </c>
      <c r="BC73" s="40"/>
      <c r="BD73">
        <v>31</v>
      </c>
      <c r="BE73">
        <v>30</v>
      </c>
      <c r="BF73">
        <v>31</v>
      </c>
      <c r="BG73">
        <v>30</v>
      </c>
      <c r="BH73" s="44">
        <v>2</v>
      </c>
      <c r="BI73" s="40"/>
      <c r="BJ73">
        <v>19</v>
      </c>
      <c r="BK73">
        <v>18</v>
      </c>
      <c r="BL73" s="44">
        <v>1</v>
      </c>
      <c r="BM73" s="40"/>
      <c r="BN73" s="39"/>
      <c r="BP73">
        <v>90</v>
      </c>
      <c r="BQ73">
        <v>87</v>
      </c>
      <c r="BR73" s="44">
        <v>3</v>
      </c>
      <c r="BS73" s="40"/>
      <c r="BV73" s="44">
        <v>0</v>
      </c>
      <c r="BW73" s="40"/>
      <c r="BX73" s="39"/>
      <c r="BZ73" s="44">
        <v>0</v>
      </c>
      <c r="CA73" s="40"/>
      <c r="CB73" s="39"/>
      <c r="CD73">
        <v>156</v>
      </c>
      <c r="CG73">
        <v>150</v>
      </c>
      <c r="CH73" s="44">
        <v>6</v>
      </c>
      <c r="CI73" s="40"/>
      <c r="CL73">
        <v>25</v>
      </c>
      <c r="CM73">
        <v>22</v>
      </c>
      <c r="CN73" s="44">
        <v>3</v>
      </c>
      <c r="CO73" s="40"/>
      <c r="CP73" s="39"/>
      <c r="CT73" s="44">
        <v>0</v>
      </c>
      <c r="CU73" s="40"/>
      <c r="CV73" s="39"/>
      <c r="CX73">
        <v>31</v>
      </c>
      <c r="CY73">
        <v>30</v>
      </c>
      <c r="CZ73" s="44">
        <v>1</v>
      </c>
      <c r="DA73" s="40"/>
      <c r="DB73" s="41">
        <v>75</v>
      </c>
      <c r="DC73">
        <v>70</v>
      </c>
      <c r="DD73">
        <v>74</v>
      </c>
      <c r="DE73">
        <v>70</v>
      </c>
      <c r="DF73" s="44">
        <v>9</v>
      </c>
      <c r="DG73" s="40"/>
      <c r="DJ73">
        <v>50</v>
      </c>
      <c r="DK73">
        <v>45</v>
      </c>
      <c r="DN73" s="44">
        <v>5</v>
      </c>
      <c r="DO73" s="40"/>
      <c r="DP73" s="39"/>
      <c r="DR73" s="44">
        <v>0</v>
      </c>
      <c r="DS73" s="40"/>
      <c r="DT73" s="41">
        <v>53</v>
      </c>
      <c r="DU73">
        <v>50</v>
      </c>
      <c r="DV73">
        <v>53</v>
      </c>
      <c r="DW73">
        <v>50</v>
      </c>
      <c r="DX73" s="44">
        <v>6</v>
      </c>
      <c r="DY73" s="40"/>
      <c r="DZ73" s="39"/>
      <c r="EB73" s="44">
        <v>0</v>
      </c>
      <c r="EC73" s="40"/>
      <c r="EG73">
        <v>53</v>
      </c>
      <c r="EH73">
        <v>50</v>
      </c>
      <c r="EI73">
        <v>53</v>
      </c>
      <c r="EJ73">
        <v>50</v>
      </c>
      <c r="EK73" s="44">
        <v>6</v>
      </c>
      <c r="EL73" s="40"/>
      <c r="EN73">
        <v>16</v>
      </c>
      <c r="EO73">
        <v>15</v>
      </c>
      <c r="EQ73">
        <v>16</v>
      </c>
      <c r="ER73">
        <v>15</v>
      </c>
      <c r="ES73" s="44">
        <v>2</v>
      </c>
      <c r="ET73" s="40"/>
      <c r="EU73" s="39"/>
      <c r="EW73">
        <v>53</v>
      </c>
      <c r="EX73">
        <v>49</v>
      </c>
      <c r="EY73" s="44">
        <v>4</v>
      </c>
      <c r="EZ73" s="40"/>
      <c r="FA73" s="39"/>
      <c r="FB73">
        <v>34</v>
      </c>
      <c r="FC73">
        <v>32</v>
      </c>
      <c r="FD73" s="44">
        <v>2</v>
      </c>
      <c r="FE73" s="40"/>
      <c r="FH73" s="44">
        <v>0</v>
      </c>
      <c r="FI73" s="40"/>
      <c r="FJ73" s="39"/>
      <c r="FL73">
        <v>53</v>
      </c>
      <c r="FN73">
        <v>50</v>
      </c>
      <c r="FO73">
        <v>63</v>
      </c>
      <c r="FP73">
        <v>60</v>
      </c>
      <c r="FQ73" s="44">
        <v>6</v>
      </c>
      <c r="FR73" s="40"/>
      <c r="FW73" s="44">
        <v>0</v>
      </c>
      <c r="FX73" s="40"/>
      <c r="FY73" s="39"/>
      <c r="GA73">
        <v>116</v>
      </c>
      <c r="GB73">
        <v>110</v>
      </c>
      <c r="GC73" s="44">
        <v>6</v>
      </c>
      <c r="GD73" s="40"/>
      <c r="GG73">
        <v>52</v>
      </c>
      <c r="GH73">
        <v>50</v>
      </c>
      <c r="GI73" s="44">
        <v>2</v>
      </c>
      <c r="GJ73" s="40"/>
      <c r="GM73" s="44">
        <v>0</v>
      </c>
      <c r="GN73" s="40"/>
      <c r="GO73" s="39"/>
      <c r="GQ73" s="44">
        <v>0</v>
      </c>
      <c r="GR73" s="40"/>
      <c r="GV73">
        <v>134</v>
      </c>
      <c r="GW73">
        <v>128</v>
      </c>
      <c r="GX73" s="44">
        <v>6</v>
      </c>
      <c r="GY73" s="40"/>
      <c r="HD73" s="44">
        <v>0</v>
      </c>
      <c r="HE73" s="40"/>
      <c r="HF73" s="39"/>
      <c r="HH73">
        <v>38</v>
      </c>
      <c r="HI73">
        <v>40</v>
      </c>
      <c r="HJ73" s="44">
        <v>-2</v>
      </c>
      <c r="HK73" s="40"/>
      <c r="HL73" s="39"/>
      <c r="HN73">
        <v>117</v>
      </c>
      <c r="HO73">
        <v>120</v>
      </c>
      <c r="HP73" s="44">
        <v>-3</v>
      </c>
      <c r="HQ73" s="40"/>
      <c r="HV73" s="44">
        <v>0</v>
      </c>
      <c r="HW73" s="43"/>
      <c r="IB73" s="44">
        <v>0</v>
      </c>
      <c r="IC73" s="43"/>
      <c r="ID73">
        <v>79</v>
      </c>
      <c r="IE73">
        <v>80</v>
      </c>
      <c r="IF73">
        <v>80</v>
      </c>
      <c r="IG73">
        <v>80</v>
      </c>
      <c r="IH73" s="44">
        <v>-1</v>
      </c>
      <c r="II73" s="43"/>
      <c r="IJ73">
        <v>30</v>
      </c>
      <c r="IK73">
        <v>30</v>
      </c>
      <c r="IN73" s="44">
        <v>0</v>
      </c>
      <c r="IO73" s="40"/>
      <c r="IP73">
        <v>36</v>
      </c>
      <c r="IQ73">
        <v>37</v>
      </c>
      <c r="IR73" s="44">
        <v>-1</v>
      </c>
      <c r="IS73" s="40"/>
      <c r="IT73">
        <v>24</v>
      </c>
      <c r="IU73">
        <v>24</v>
      </c>
      <c r="IX73" s="44">
        <v>0</v>
      </c>
      <c r="IY73" s="43"/>
      <c r="IZ73">
        <v>50</v>
      </c>
      <c r="JA73" s="47">
        <v>50</v>
      </c>
      <c r="JB73" s="44">
        <v>0</v>
      </c>
      <c r="JC73" s="40"/>
      <c r="JH73" s="44">
        <v>0</v>
      </c>
      <c r="JI73" s="40"/>
      <c r="JL73">
        <v>51</v>
      </c>
      <c r="JM73">
        <v>50</v>
      </c>
      <c r="JN73" s="44">
        <v>1</v>
      </c>
      <c r="JO73" s="43"/>
      <c r="JR73">
        <v>86</v>
      </c>
      <c r="JS73">
        <v>85</v>
      </c>
      <c r="JT73" s="44">
        <v>1</v>
      </c>
      <c r="JU73" s="43"/>
      <c r="JZ73" s="44">
        <v>0</v>
      </c>
      <c r="KA73" s="43"/>
      <c r="KB73" s="42"/>
      <c r="KE73">
        <v>73</v>
      </c>
      <c r="KF73">
        <v>70</v>
      </c>
      <c r="KG73">
        <v>54</v>
      </c>
      <c r="KH73">
        <v>60</v>
      </c>
      <c r="KI73" s="44">
        <v>-3</v>
      </c>
      <c r="KJ73" s="43"/>
      <c r="KK73" s="47">
        <v>0</v>
      </c>
      <c r="KL73" s="47">
        <v>0</v>
      </c>
      <c r="KM73" s="47">
        <v>26.855</v>
      </c>
      <c r="KN73" s="47">
        <v>25</v>
      </c>
      <c r="KO73" s="44">
        <v>1.855</v>
      </c>
      <c r="KP73" s="43"/>
      <c r="KQ73" s="47">
        <v>0</v>
      </c>
      <c r="KR73" s="47">
        <v>0</v>
      </c>
      <c r="KS73" s="47">
        <v>27.064</v>
      </c>
      <c r="KT73" s="47">
        <v>25</v>
      </c>
      <c r="KU73" s="44">
        <v>2.0640000000000001</v>
      </c>
      <c r="KV73" s="43"/>
      <c r="KW73" s="42">
        <v>41.975000000000001</v>
      </c>
      <c r="KX73" s="47">
        <v>40</v>
      </c>
      <c r="KY73" s="44">
        <v>1.975000000000001</v>
      </c>
      <c r="KZ73" s="43"/>
      <c r="LA73" s="42">
        <v>0</v>
      </c>
      <c r="LB73" s="47">
        <v>0</v>
      </c>
      <c r="LC73" s="47">
        <v>0</v>
      </c>
      <c r="LD73" s="47">
        <v>0</v>
      </c>
      <c r="LE73" s="44">
        <v>0</v>
      </c>
      <c r="LF73" s="43"/>
      <c r="LG73" s="42">
        <v>50.622999999999998</v>
      </c>
      <c r="LH73" s="47">
        <v>50</v>
      </c>
      <c r="LI73" s="47">
        <v>101.538</v>
      </c>
      <c r="LJ73" s="47">
        <v>100</v>
      </c>
      <c r="LK73" s="44">
        <v>2.1610000000000009</v>
      </c>
      <c r="LL73" s="43"/>
      <c r="LM73" s="42">
        <v>0</v>
      </c>
      <c r="LN73" s="47">
        <v>0</v>
      </c>
      <c r="LO73" s="44">
        <v>0</v>
      </c>
      <c r="LP73" s="43"/>
      <c r="LQ73" s="42">
        <v>51.789000000000001</v>
      </c>
      <c r="LR73" s="47">
        <v>50</v>
      </c>
      <c r="LS73" s="47">
        <v>111.54600000000001</v>
      </c>
      <c r="LT73" s="47">
        <v>110</v>
      </c>
      <c r="LU73" s="44">
        <v>3.335000000000008</v>
      </c>
      <c r="LV73" s="43"/>
      <c r="LW73" s="42">
        <v>11.923</v>
      </c>
      <c r="LX73" s="47">
        <v>12</v>
      </c>
      <c r="LY73" s="47">
        <v>0</v>
      </c>
      <c r="LZ73" s="47">
        <v>0</v>
      </c>
      <c r="MA73" s="44">
        <v>-7.6999999999999957E-2</v>
      </c>
      <c r="MB73" s="43"/>
      <c r="MC73" s="42">
        <v>0</v>
      </c>
      <c r="MD73" s="47">
        <v>0</v>
      </c>
      <c r="ME73" s="47">
        <v>56.936</v>
      </c>
      <c r="MF73" s="47">
        <v>55</v>
      </c>
      <c r="MG73" s="44">
        <v>1.9359999999999999</v>
      </c>
      <c r="MH73" s="43"/>
      <c r="MI73" s="42">
        <v>0</v>
      </c>
      <c r="MJ73" s="47">
        <v>0</v>
      </c>
      <c r="MK73" s="47">
        <v>0</v>
      </c>
      <c r="ML73" s="47">
        <v>0</v>
      </c>
      <c r="MM73" s="44">
        <v>0</v>
      </c>
      <c r="MN73" s="43"/>
      <c r="MO73" s="42">
        <v>0</v>
      </c>
      <c r="MP73" s="47">
        <v>0</v>
      </c>
      <c r="MQ73" s="47">
        <v>60.158999999999999</v>
      </c>
      <c r="MR73" s="47">
        <v>60</v>
      </c>
      <c r="MS73" s="44">
        <v>0.15899999999999889</v>
      </c>
      <c r="MT73" s="43"/>
      <c r="MU73" s="22">
        <v>60.091000000000001</v>
      </c>
      <c r="MV73" s="47">
        <v>0</v>
      </c>
      <c r="MW73" s="47">
        <v>26.757000000000001</v>
      </c>
      <c r="MX73" s="47">
        <v>25</v>
      </c>
      <c r="MY73" s="44">
        <v>61.847999999999999</v>
      </c>
      <c r="MZ73" s="43"/>
      <c r="NA73" s="42">
        <v>0</v>
      </c>
      <c r="NB73" s="47">
        <v>0</v>
      </c>
      <c r="NC73" s="47">
        <v>0</v>
      </c>
      <c r="ND73" s="47">
        <v>0</v>
      </c>
      <c r="NE73" s="44">
        <v>0</v>
      </c>
      <c r="NF73" s="43"/>
      <c r="NG73" s="42">
        <v>0</v>
      </c>
      <c r="NH73" s="47">
        <v>0</v>
      </c>
      <c r="NI73" s="47">
        <v>201.30699999999999</v>
      </c>
      <c r="NJ73" s="47">
        <v>200</v>
      </c>
      <c r="NK73" s="44">
        <v>1.3069999999999879</v>
      </c>
      <c r="NL73" s="43"/>
      <c r="NM73" s="42">
        <v>0</v>
      </c>
      <c r="NN73" s="47">
        <v>0</v>
      </c>
      <c r="NO73" s="47">
        <v>51.109000000000002</v>
      </c>
      <c r="NP73" s="47">
        <v>50</v>
      </c>
      <c r="NQ73" s="44">
        <v>1.109000000000002</v>
      </c>
      <c r="NR73" s="43"/>
      <c r="NS73" s="42">
        <v>0</v>
      </c>
      <c r="NT73" s="26">
        <v>40</v>
      </c>
      <c r="NU73" s="47">
        <v>0</v>
      </c>
      <c r="NV73" s="47">
        <v>0</v>
      </c>
      <c r="NW73" s="46">
        <v>-40</v>
      </c>
      <c r="NX73" s="43">
        <v>40</v>
      </c>
      <c r="NY73" s="42">
        <v>0</v>
      </c>
      <c r="NZ73" s="47">
        <v>0</v>
      </c>
      <c r="OA73" s="47">
        <v>132.21899999999999</v>
      </c>
      <c r="OB73" s="47">
        <v>130</v>
      </c>
      <c r="OC73" s="44">
        <v>2.2189999999999941</v>
      </c>
      <c r="OD73" s="43"/>
      <c r="OE73" s="42">
        <v>0</v>
      </c>
      <c r="OF73" s="47">
        <v>0</v>
      </c>
      <c r="OG73" s="47">
        <v>12.146000000000001</v>
      </c>
      <c r="OH73" s="47">
        <v>10</v>
      </c>
      <c r="OI73" s="44">
        <v>2.1460000000000008</v>
      </c>
      <c r="OJ73" s="43"/>
      <c r="OK73" s="42">
        <v>0</v>
      </c>
      <c r="OL73" s="47">
        <v>0</v>
      </c>
      <c r="OM73" s="47">
        <v>90.314999999999998</v>
      </c>
      <c r="ON73" s="47">
        <v>90</v>
      </c>
      <c r="OO73" s="44">
        <v>0.31499999999999773</v>
      </c>
      <c r="OP73" s="43"/>
      <c r="OQ73" s="42">
        <v>41.768000000000001</v>
      </c>
      <c r="OR73" s="47">
        <v>40</v>
      </c>
      <c r="OS73" s="47">
        <v>42.021999999999998</v>
      </c>
      <c r="OT73" s="47">
        <v>40</v>
      </c>
      <c r="OU73" s="44">
        <v>3.789999999999992</v>
      </c>
      <c r="OV73" s="43"/>
      <c r="OW73" s="42">
        <v>5.9989999999999997</v>
      </c>
      <c r="OX73" s="47">
        <v>0</v>
      </c>
      <c r="OY73" s="47">
        <v>60.128</v>
      </c>
      <c r="OZ73" s="47">
        <v>60</v>
      </c>
      <c r="PA73" s="44">
        <v>6.1269999999999953</v>
      </c>
      <c r="PB73" s="43"/>
      <c r="PC73" s="42">
        <v>0</v>
      </c>
      <c r="PD73" s="47">
        <v>0</v>
      </c>
      <c r="PE73" s="47">
        <v>0</v>
      </c>
      <c r="PF73" s="47">
        <v>0</v>
      </c>
      <c r="PG73" s="44">
        <v>0</v>
      </c>
      <c r="PH73" s="43"/>
      <c r="PI73" s="42">
        <v>0</v>
      </c>
      <c r="PJ73" s="47">
        <v>0</v>
      </c>
      <c r="PK73" s="47">
        <v>65.977000000000004</v>
      </c>
      <c r="PL73" s="47">
        <v>64</v>
      </c>
      <c r="PM73" s="44">
        <v>1.9770000000000041</v>
      </c>
      <c r="PN73" s="43"/>
      <c r="PO73" s="42">
        <v>0</v>
      </c>
      <c r="PP73" s="47">
        <v>0</v>
      </c>
      <c r="PQ73" s="47">
        <v>42.134999999999998</v>
      </c>
      <c r="PR73" s="47">
        <v>40</v>
      </c>
      <c r="PS73" s="44">
        <v>2.134999999999998</v>
      </c>
      <c r="PT73" s="43"/>
      <c r="PU73" s="42">
        <v>0</v>
      </c>
      <c r="PV73" s="47">
        <v>0</v>
      </c>
      <c r="PW73" s="47">
        <v>41.982999999999997</v>
      </c>
      <c r="PX73" s="47">
        <v>40</v>
      </c>
      <c r="PY73" s="44">
        <v>1.982999999999997</v>
      </c>
      <c r="PZ73" s="43"/>
      <c r="QA73" s="42">
        <v>0</v>
      </c>
      <c r="QB73" s="47">
        <v>0</v>
      </c>
      <c r="QC73" s="44">
        <v>0</v>
      </c>
      <c r="QD73" s="43"/>
      <c r="QE73" s="42">
        <v>0</v>
      </c>
      <c r="QF73" s="47">
        <v>0</v>
      </c>
      <c r="QG73" s="44">
        <v>0</v>
      </c>
      <c r="QH73" s="43"/>
      <c r="QI73" s="42">
        <v>0</v>
      </c>
      <c r="QJ73" s="47">
        <v>0</v>
      </c>
      <c r="QK73" s="44">
        <v>0</v>
      </c>
      <c r="QL73" s="43"/>
      <c r="QM73" s="42">
        <v>0</v>
      </c>
      <c r="QN73" s="47">
        <v>0</v>
      </c>
      <c r="QO73" s="47">
        <v>0</v>
      </c>
      <c r="QP73" s="47">
        <v>0</v>
      </c>
      <c r="QQ73" s="44">
        <v>0</v>
      </c>
      <c r="QR73" s="43"/>
      <c r="QS73" s="42">
        <v>0</v>
      </c>
      <c r="QT73" s="47">
        <v>0</v>
      </c>
      <c r="QU73" s="44">
        <v>0</v>
      </c>
      <c r="QV73" s="43"/>
      <c r="QW73" s="42">
        <v>0</v>
      </c>
      <c r="QX73" s="47">
        <v>0</v>
      </c>
      <c r="QY73" s="44">
        <v>0</v>
      </c>
      <c r="QZ73" s="43"/>
    </row>
    <row r="74" spans="1:468" x14ac:dyDescent="0.25">
      <c r="A74" s="47" t="s">
        <v>358</v>
      </c>
      <c r="B74" s="38">
        <v>0.1</v>
      </c>
      <c r="N74" s="39"/>
      <c r="O74" s="48"/>
      <c r="P74" s="48"/>
      <c r="Q74" s="48"/>
      <c r="R74" s="48">
        <f t="shared" si="13"/>
        <v>0</v>
      </c>
      <c r="S74" s="40"/>
      <c r="T74" s="39"/>
      <c r="U74" s="48"/>
      <c r="V74" s="48">
        <f t="shared" si="14"/>
        <v>0</v>
      </c>
      <c r="W74" s="40"/>
      <c r="X74" s="39"/>
      <c r="Y74" s="48"/>
      <c r="Z74" s="48"/>
      <c r="AA74" s="48"/>
      <c r="AB74" s="48">
        <f t="shared" si="15"/>
        <v>0</v>
      </c>
      <c r="AC74" s="40"/>
      <c r="AD74" s="48"/>
      <c r="AH74" s="44">
        <v>0</v>
      </c>
      <c r="AI74" s="40"/>
      <c r="AN74" s="44">
        <v>0</v>
      </c>
      <c r="AO74" s="40"/>
      <c r="AT74" s="44">
        <v>0</v>
      </c>
      <c r="AU74" s="40"/>
      <c r="AV74" s="39"/>
      <c r="AX74" s="44">
        <v>0</v>
      </c>
      <c r="AY74" s="40"/>
      <c r="AZ74" s="39"/>
      <c r="BB74" s="44">
        <v>0</v>
      </c>
      <c r="BC74" s="40"/>
      <c r="BH74" s="44">
        <v>0</v>
      </c>
      <c r="BI74" s="40"/>
      <c r="BL74" s="44">
        <v>0</v>
      </c>
      <c r="BM74" s="40"/>
      <c r="BN74" s="39"/>
      <c r="BR74" s="44">
        <v>0</v>
      </c>
      <c r="BS74" s="40"/>
      <c r="BV74" s="44">
        <v>0</v>
      </c>
      <c r="BW74" s="40"/>
      <c r="BX74" s="39"/>
      <c r="BZ74" s="44">
        <v>0</v>
      </c>
      <c r="CA74" s="40"/>
      <c r="CB74" s="39"/>
      <c r="CH74" s="44">
        <v>0</v>
      </c>
      <c r="CI74" s="40"/>
      <c r="CN74" s="44">
        <v>0</v>
      </c>
      <c r="CO74" s="40"/>
      <c r="CP74" s="39"/>
      <c r="CT74" s="44">
        <v>0</v>
      </c>
      <c r="CU74" s="40"/>
      <c r="CV74" s="39"/>
      <c r="CZ74" s="44">
        <v>0</v>
      </c>
      <c r="DA74" s="40"/>
      <c r="DB74" s="39"/>
      <c r="DF74" s="44">
        <v>0</v>
      </c>
      <c r="DG74" s="40"/>
      <c r="DN74" s="44">
        <v>0</v>
      </c>
      <c r="DO74" s="40"/>
      <c r="DP74" s="39"/>
      <c r="DR74" s="44">
        <v>0</v>
      </c>
      <c r="DS74" s="40"/>
      <c r="DT74" s="39"/>
      <c r="DX74" s="44">
        <v>0</v>
      </c>
      <c r="DY74" s="40"/>
      <c r="DZ74" s="39"/>
      <c r="EB74" s="44">
        <v>0</v>
      </c>
      <c r="EC74" s="40"/>
      <c r="EK74" s="44">
        <v>0</v>
      </c>
      <c r="EL74" s="40"/>
      <c r="ES74" s="44">
        <v>0</v>
      </c>
      <c r="ET74" s="40"/>
      <c r="EU74" s="39"/>
      <c r="EY74" s="44">
        <v>0</v>
      </c>
      <c r="EZ74" s="40"/>
      <c r="FA74" s="39"/>
      <c r="FD74" s="44">
        <v>0</v>
      </c>
      <c r="FE74" s="40"/>
      <c r="FH74" s="44">
        <v>0</v>
      </c>
      <c r="FI74" s="40"/>
      <c r="FJ74" s="39"/>
      <c r="FQ74" s="44">
        <v>0</v>
      </c>
      <c r="FR74" s="40"/>
      <c r="FW74" s="44">
        <v>0</v>
      </c>
      <c r="FX74" s="40"/>
      <c r="FY74" s="39"/>
      <c r="GC74" s="44">
        <v>0</v>
      </c>
      <c r="GD74" s="40"/>
      <c r="GI74" s="44">
        <v>0</v>
      </c>
      <c r="GJ74" s="40"/>
      <c r="GM74" s="44">
        <v>0</v>
      </c>
      <c r="GN74" s="40"/>
      <c r="GO74" s="39"/>
      <c r="GQ74" s="44">
        <v>0</v>
      </c>
      <c r="GR74" s="40"/>
      <c r="GX74" s="44">
        <v>0</v>
      </c>
      <c r="GY74" s="40"/>
      <c r="HD74" s="44">
        <v>0</v>
      </c>
      <c r="HE74" s="40"/>
      <c r="HF74" s="39"/>
      <c r="HJ74" s="44">
        <v>0</v>
      </c>
      <c r="HK74" s="40"/>
      <c r="HL74" s="39"/>
      <c r="HP74" s="44">
        <v>0</v>
      </c>
      <c r="HQ74" s="40"/>
      <c r="HV74" s="44">
        <v>0</v>
      </c>
      <c r="HW74" s="43"/>
      <c r="IB74" s="44">
        <v>0</v>
      </c>
      <c r="IC74" s="43"/>
      <c r="IH74" s="44">
        <v>0</v>
      </c>
      <c r="II74" s="43"/>
      <c r="IN74" s="44">
        <v>0</v>
      </c>
      <c r="IO74" s="40"/>
      <c r="IR74" s="44">
        <v>0</v>
      </c>
      <c r="IS74" s="40"/>
      <c r="IX74" s="44">
        <v>0</v>
      </c>
      <c r="IY74" s="43"/>
      <c r="JB74" s="44">
        <v>0</v>
      </c>
      <c r="JC74" s="40"/>
      <c r="JH74" s="44">
        <v>0</v>
      </c>
      <c r="JI74" s="40"/>
      <c r="JN74" s="44">
        <v>0</v>
      </c>
      <c r="JO74" s="43"/>
      <c r="JT74" s="44">
        <v>0</v>
      </c>
      <c r="JU74" s="43"/>
      <c r="JZ74" s="44">
        <v>0</v>
      </c>
      <c r="KA74" s="43"/>
      <c r="KB74" s="42"/>
      <c r="KI74" s="44">
        <v>0</v>
      </c>
      <c r="KJ74" s="43"/>
      <c r="KK74" s="47">
        <v>0</v>
      </c>
      <c r="KL74" s="47">
        <v>0</v>
      </c>
      <c r="KM74" s="47">
        <v>0</v>
      </c>
      <c r="KN74" s="47">
        <v>0</v>
      </c>
      <c r="KO74" s="44">
        <v>0</v>
      </c>
      <c r="KP74" s="43"/>
      <c r="KQ74" s="47">
        <v>0</v>
      </c>
      <c r="KR74" s="47">
        <v>0</v>
      </c>
      <c r="KS74" s="47">
        <v>0</v>
      </c>
      <c r="KT74" s="47">
        <v>0</v>
      </c>
      <c r="KU74" s="44">
        <v>0</v>
      </c>
      <c r="KV74" s="43"/>
      <c r="KW74" s="42">
        <v>0</v>
      </c>
      <c r="KX74" s="47">
        <v>0</v>
      </c>
      <c r="KY74" s="44">
        <v>0</v>
      </c>
      <c r="KZ74" s="43"/>
      <c r="LA74" s="42">
        <v>0</v>
      </c>
      <c r="LB74" s="47">
        <v>0</v>
      </c>
      <c r="LC74" s="47">
        <v>0</v>
      </c>
      <c r="LD74" s="47">
        <v>0</v>
      </c>
      <c r="LE74" s="44">
        <v>0</v>
      </c>
      <c r="LF74" s="43"/>
      <c r="LG74" s="42">
        <v>0</v>
      </c>
      <c r="LH74" s="47">
        <v>0</v>
      </c>
      <c r="LI74" s="47">
        <v>0</v>
      </c>
      <c r="LJ74" s="47">
        <v>0</v>
      </c>
      <c r="LK74" s="44">
        <v>0</v>
      </c>
      <c r="LL74" s="43"/>
      <c r="LM74" s="42">
        <v>0</v>
      </c>
      <c r="LN74" s="47">
        <v>0</v>
      </c>
      <c r="LO74" s="44">
        <v>0</v>
      </c>
      <c r="LP74" s="43"/>
      <c r="LQ74" s="42">
        <v>0</v>
      </c>
      <c r="LR74" s="47">
        <v>0</v>
      </c>
      <c r="LS74" s="47">
        <v>0</v>
      </c>
      <c r="LT74" s="47">
        <v>0</v>
      </c>
      <c r="LU74" s="44">
        <v>0</v>
      </c>
      <c r="LV74" s="43"/>
      <c r="LW74" s="42">
        <v>0</v>
      </c>
      <c r="LX74" s="47">
        <v>0</v>
      </c>
      <c r="LY74" s="47">
        <v>0</v>
      </c>
      <c r="LZ74" s="47">
        <v>0</v>
      </c>
      <c r="MA74" s="44">
        <v>0</v>
      </c>
      <c r="MB74" s="43"/>
      <c r="MC74" s="42">
        <v>0</v>
      </c>
      <c r="MD74" s="47">
        <v>0</v>
      </c>
      <c r="ME74" s="47">
        <v>0</v>
      </c>
      <c r="MF74" s="47">
        <v>0</v>
      </c>
      <c r="MG74" s="44">
        <v>0</v>
      </c>
      <c r="MH74" s="43"/>
      <c r="MI74" s="42">
        <v>0</v>
      </c>
      <c r="MJ74" s="47">
        <v>0</v>
      </c>
      <c r="MK74" s="47">
        <v>0</v>
      </c>
      <c r="ML74" s="47">
        <v>0</v>
      </c>
      <c r="MM74" s="44">
        <v>0</v>
      </c>
      <c r="MN74" s="43"/>
      <c r="MO74" s="42">
        <v>0</v>
      </c>
      <c r="MP74" s="47">
        <v>0</v>
      </c>
      <c r="MQ74" s="47">
        <v>0</v>
      </c>
      <c r="MR74" s="47">
        <v>0</v>
      </c>
      <c r="MS74" s="44">
        <v>0</v>
      </c>
      <c r="MT74" s="43"/>
      <c r="MU74" s="42">
        <v>0</v>
      </c>
      <c r="MV74" s="47">
        <v>0</v>
      </c>
      <c r="MW74" s="47">
        <v>0</v>
      </c>
      <c r="MX74" s="47">
        <v>0</v>
      </c>
      <c r="MY74" s="44">
        <v>0</v>
      </c>
      <c r="MZ74" s="43"/>
      <c r="NA74" s="42">
        <v>0</v>
      </c>
      <c r="NB74" s="47">
        <v>0</v>
      </c>
      <c r="NC74" s="47">
        <v>0</v>
      </c>
      <c r="ND74" s="47">
        <v>0</v>
      </c>
      <c r="NE74" s="44">
        <v>0</v>
      </c>
      <c r="NF74" s="43"/>
      <c r="NG74" s="42">
        <v>0</v>
      </c>
      <c r="NH74" s="47">
        <v>0</v>
      </c>
      <c r="NI74" s="47">
        <v>0</v>
      </c>
      <c r="NJ74" s="47">
        <v>0</v>
      </c>
      <c r="NK74" s="44">
        <v>0</v>
      </c>
      <c r="NL74" s="43"/>
      <c r="NM74" s="42">
        <v>0</v>
      </c>
      <c r="NN74" s="47">
        <v>0</v>
      </c>
      <c r="NO74" s="47">
        <v>0</v>
      </c>
      <c r="NP74" s="47">
        <v>0</v>
      </c>
      <c r="NQ74" s="44">
        <v>0</v>
      </c>
      <c r="NR74" s="43"/>
      <c r="NS74" s="42">
        <v>0</v>
      </c>
      <c r="NT74" s="47">
        <v>0</v>
      </c>
      <c r="NU74" s="47">
        <v>0</v>
      </c>
      <c r="NV74" s="47">
        <v>0</v>
      </c>
      <c r="NW74" s="44">
        <v>0</v>
      </c>
      <c r="NX74" s="43"/>
      <c r="NY74" s="42">
        <v>0</v>
      </c>
      <c r="NZ74" s="47">
        <v>0</v>
      </c>
      <c r="OA74" s="47">
        <v>0</v>
      </c>
      <c r="OB74" s="47">
        <v>0</v>
      </c>
      <c r="OC74" s="44">
        <v>0</v>
      </c>
      <c r="OD74" s="43"/>
      <c r="OE74" s="42">
        <v>0</v>
      </c>
      <c r="OF74" s="47">
        <v>0</v>
      </c>
      <c r="OG74" s="47">
        <v>0</v>
      </c>
      <c r="OH74" s="47">
        <v>0</v>
      </c>
      <c r="OI74" s="44">
        <v>0</v>
      </c>
      <c r="OJ74" s="43"/>
      <c r="OK74" s="42">
        <v>0</v>
      </c>
      <c r="OL74" s="47">
        <v>0</v>
      </c>
      <c r="OM74" s="47">
        <v>0</v>
      </c>
      <c r="ON74" s="47">
        <v>0</v>
      </c>
      <c r="OO74" s="44">
        <v>0</v>
      </c>
      <c r="OP74" s="43"/>
      <c r="OQ74" s="42">
        <v>0</v>
      </c>
      <c r="OR74" s="47">
        <v>0</v>
      </c>
      <c r="OS74" s="47">
        <v>0</v>
      </c>
      <c r="OT74" s="47">
        <v>0</v>
      </c>
      <c r="OU74" s="44">
        <v>0</v>
      </c>
      <c r="OV74" s="43"/>
      <c r="OW74" s="42">
        <v>0</v>
      </c>
      <c r="OX74" s="47">
        <v>0</v>
      </c>
      <c r="OY74" s="47">
        <v>0</v>
      </c>
      <c r="OZ74" s="47">
        <v>0</v>
      </c>
      <c r="PA74" s="44">
        <v>0</v>
      </c>
      <c r="PB74" s="43"/>
      <c r="PC74" s="42">
        <v>50</v>
      </c>
      <c r="PD74" s="47">
        <v>50</v>
      </c>
      <c r="PE74" s="47">
        <v>100</v>
      </c>
      <c r="PF74" s="47">
        <v>100</v>
      </c>
      <c r="PG74" s="44">
        <v>0</v>
      </c>
      <c r="PH74" s="43"/>
      <c r="PI74" s="42">
        <v>0</v>
      </c>
      <c r="PJ74" s="47">
        <v>0</v>
      </c>
      <c r="PK74" s="47">
        <v>0</v>
      </c>
      <c r="PL74" s="47">
        <v>0</v>
      </c>
      <c r="PM74" s="44">
        <v>0</v>
      </c>
      <c r="PN74" s="43"/>
      <c r="PO74" s="42">
        <v>70</v>
      </c>
      <c r="PP74" s="47">
        <v>70</v>
      </c>
      <c r="PQ74" s="47">
        <v>80</v>
      </c>
      <c r="PR74" s="47">
        <v>80</v>
      </c>
      <c r="PS74" s="44">
        <v>0</v>
      </c>
      <c r="PT74" s="43"/>
      <c r="PU74" s="42">
        <v>0</v>
      </c>
      <c r="PV74" s="47">
        <v>0</v>
      </c>
      <c r="PW74" s="47">
        <v>80</v>
      </c>
      <c r="PX74" s="47">
        <v>85</v>
      </c>
      <c r="PY74" s="44">
        <v>-5</v>
      </c>
      <c r="PZ74" s="43"/>
      <c r="QA74" s="42">
        <v>60</v>
      </c>
      <c r="QB74" s="47">
        <v>63</v>
      </c>
      <c r="QC74" s="44">
        <v>-3</v>
      </c>
      <c r="QD74" s="43"/>
      <c r="QE74" s="42">
        <v>40</v>
      </c>
      <c r="QF74" s="47">
        <v>40</v>
      </c>
      <c r="QG74" s="44">
        <v>0</v>
      </c>
      <c r="QH74" s="43"/>
      <c r="QI74" s="42">
        <v>50</v>
      </c>
      <c r="QJ74" s="47">
        <v>53</v>
      </c>
      <c r="QK74" s="44">
        <v>-3</v>
      </c>
      <c r="QL74" s="43"/>
      <c r="QM74" s="42">
        <v>60</v>
      </c>
      <c r="QN74" s="47">
        <v>60</v>
      </c>
      <c r="QO74" s="47">
        <v>0</v>
      </c>
      <c r="QP74" s="47">
        <v>0</v>
      </c>
      <c r="QQ74" s="44">
        <v>0</v>
      </c>
      <c r="QR74" s="43"/>
      <c r="QS74" s="42">
        <v>0</v>
      </c>
      <c r="QT74" s="47">
        <v>0</v>
      </c>
      <c r="QU74" s="44">
        <v>0</v>
      </c>
      <c r="QV74" s="43"/>
      <c r="QW74" s="42">
        <v>0</v>
      </c>
      <c r="QX74" s="47">
        <v>0</v>
      </c>
      <c r="QY74" s="44">
        <v>0</v>
      </c>
      <c r="QZ74" s="43"/>
    </row>
    <row r="75" spans="1:468" x14ac:dyDescent="0.25">
      <c r="A75" s="47" t="s">
        <v>359</v>
      </c>
      <c r="B75" s="38">
        <v>1</v>
      </c>
      <c r="N75" s="39"/>
      <c r="O75" s="48"/>
      <c r="P75" s="48"/>
      <c r="Q75" s="48"/>
      <c r="R75" s="48">
        <f t="shared" si="13"/>
        <v>0</v>
      </c>
      <c r="S75" s="40"/>
      <c r="T75" s="39"/>
      <c r="U75" s="48"/>
      <c r="V75" s="48">
        <f t="shared" si="14"/>
        <v>0</v>
      </c>
      <c r="W75" s="40"/>
      <c r="X75" s="39"/>
      <c r="Y75" s="48"/>
      <c r="Z75" s="48"/>
      <c r="AA75" s="48"/>
      <c r="AB75" s="48">
        <f t="shared" si="15"/>
        <v>0</v>
      </c>
      <c r="AC75" s="40"/>
      <c r="AD75" s="48"/>
      <c r="AH75" s="44">
        <v>0</v>
      </c>
      <c r="AI75" s="40"/>
      <c r="AN75" s="44">
        <v>0</v>
      </c>
      <c r="AO75" s="40"/>
      <c r="AT75" s="44">
        <v>0</v>
      </c>
      <c r="AU75" s="40"/>
      <c r="AV75" s="39"/>
      <c r="AX75" s="44">
        <v>0</v>
      </c>
      <c r="AY75" s="40"/>
      <c r="AZ75" s="39"/>
      <c r="BB75" s="44">
        <v>0</v>
      </c>
      <c r="BC75" s="40"/>
      <c r="BH75" s="44">
        <v>0</v>
      </c>
      <c r="BI75" s="40"/>
      <c r="BL75" s="44">
        <v>0</v>
      </c>
      <c r="BM75" s="40"/>
      <c r="BN75" s="39"/>
      <c r="BR75" s="44">
        <v>0</v>
      </c>
      <c r="BS75" s="40"/>
      <c r="BV75" s="44">
        <v>0</v>
      </c>
      <c r="BW75" s="40"/>
      <c r="BX75" s="39"/>
      <c r="BZ75" s="44">
        <v>0</v>
      </c>
      <c r="CA75" s="40"/>
      <c r="CB75" s="39"/>
      <c r="CH75" s="44">
        <v>0</v>
      </c>
      <c r="CI75" s="40"/>
      <c r="CN75" s="44">
        <v>0</v>
      </c>
      <c r="CO75" s="40"/>
      <c r="CP75" s="39"/>
      <c r="CT75" s="44">
        <v>0</v>
      </c>
      <c r="CU75" s="40"/>
      <c r="CV75" s="39"/>
      <c r="CZ75" s="44">
        <v>0</v>
      </c>
      <c r="DA75" s="40"/>
      <c r="DB75" s="39"/>
      <c r="DF75" s="44">
        <v>0</v>
      </c>
      <c r="DG75" s="40"/>
      <c r="DN75" s="44">
        <v>0</v>
      </c>
      <c r="DO75" s="40"/>
      <c r="DP75" s="39"/>
      <c r="DR75" s="44">
        <v>0</v>
      </c>
      <c r="DS75" s="40"/>
      <c r="DT75" s="39"/>
      <c r="DX75" s="44">
        <v>0</v>
      </c>
      <c r="DY75" s="40"/>
      <c r="DZ75" s="39"/>
      <c r="EB75" s="44">
        <v>0</v>
      </c>
      <c r="EC75" s="40"/>
      <c r="EK75" s="44">
        <v>0</v>
      </c>
      <c r="EL75" s="40"/>
      <c r="ES75" s="44">
        <v>0</v>
      </c>
      <c r="ET75" s="40"/>
      <c r="EU75" s="39"/>
      <c r="EY75" s="44">
        <v>0</v>
      </c>
      <c r="EZ75" s="40"/>
      <c r="FA75" s="39"/>
      <c r="FD75" s="44">
        <v>0</v>
      </c>
      <c r="FE75" s="40"/>
      <c r="FH75" s="44">
        <v>0</v>
      </c>
      <c r="FI75" s="40"/>
      <c r="FJ75" s="39"/>
      <c r="FQ75" s="44">
        <v>0</v>
      </c>
      <c r="FR75" s="40"/>
      <c r="FW75" s="44">
        <v>0</v>
      </c>
      <c r="FX75" s="40"/>
      <c r="FY75" s="39"/>
      <c r="GC75" s="44">
        <v>0</v>
      </c>
      <c r="GD75" s="40"/>
      <c r="GI75" s="44">
        <v>0</v>
      </c>
      <c r="GJ75" s="40"/>
      <c r="GM75" s="44">
        <v>0</v>
      </c>
      <c r="GN75" s="40"/>
      <c r="GO75" s="39"/>
      <c r="GQ75" s="44">
        <v>0</v>
      </c>
      <c r="GR75" s="40"/>
      <c r="GX75" s="44">
        <v>0</v>
      </c>
      <c r="GY75" s="40"/>
      <c r="HD75" s="44">
        <v>0</v>
      </c>
      <c r="HE75" s="40"/>
      <c r="HF75" s="39"/>
      <c r="HJ75" s="44">
        <v>0</v>
      </c>
      <c r="HK75" s="40"/>
      <c r="HL75" s="39"/>
      <c r="HP75" s="44">
        <v>0</v>
      </c>
      <c r="HQ75" s="40"/>
      <c r="HV75" s="44">
        <v>0</v>
      </c>
      <c r="HW75" s="43"/>
      <c r="IB75" s="44">
        <v>0</v>
      </c>
      <c r="IC75" s="43"/>
      <c r="IH75" s="44">
        <v>0</v>
      </c>
      <c r="II75" s="43"/>
      <c r="IN75" s="44">
        <v>0</v>
      </c>
      <c r="IO75" s="40"/>
      <c r="IR75" s="44">
        <v>0</v>
      </c>
      <c r="IS75" s="40"/>
      <c r="IX75" s="44">
        <v>0</v>
      </c>
      <c r="IY75" s="43"/>
      <c r="JB75" s="44">
        <v>0</v>
      </c>
      <c r="JC75" s="40"/>
      <c r="JH75" s="44">
        <v>0</v>
      </c>
      <c r="JI75" s="40"/>
      <c r="JN75" s="44">
        <v>0</v>
      </c>
      <c r="JO75" s="43"/>
      <c r="JT75" s="44">
        <v>0</v>
      </c>
      <c r="JU75" s="43"/>
      <c r="JZ75" s="44">
        <v>0</v>
      </c>
      <c r="KA75" s="43"/>
      <c r="KB75" s="42"/>
      <c r="KI75" s="44">
        <v>0</v>
      </c>
      <c r="KJ75" s="43"/>
      <c r="KK75" s="47">
        <v>0</v>
      </c>
      <c r="KL75" s="47">
        <v>0</v>
      </c>
      <c r="KM75" s="47">
        <v>0</v>
      </c>
      <c r="KN75" s="47">
        <v>0</v>
      </c>
      <c r="KO75" s="44">
        <v>0</v>
      </c>
      <c r="KP75" s="43"/>
      <c r="KQ75" s="47">
        <v>0</v>
      </c>
      <c r="KR75" s="47">
        <v>0</v>
      </c>
      <c r="KS75" s="47">
        <v>0</v>
      </c>
      <c r="KT75" s="47">
        <v>0</v>
      </c>
      <c r="KU75" s="44">
        <v>0</v>
      </c>
      <c r="KV75" s="43"/>
      <c r="KW75" s="42">
        <v>0</v>
      </c>
      <c r="KX75" s="47">
        <v>0</v>
      </c>
      <c r="KY75" s="44">
        <v>0</v>
      </c>
      <c r="KZ75" s="43"/>
      <c r="LA75" s="42">
        <v>0</v>
      </c>
      <c r="LB75" s="47">
        <v>0</v>
      </c>
      <c r="LC75" s="47">
        <v>0</v>
      </c>
      <c r="LD75" s="47">
        <v>0</v>
      </c>
      <c r="LE75" s="44">
        <v>0</v>
      </c>
      <c r="LF75" s="43"/>
      <c r="LG75" s="42">
        <v>0</v>
      </c>
      <c r="LH75" s="47">
        <v>0</v>
      </c>
      <c r="LI75" s="47">
        <v>0</v>
      </c>
      <c r="LJ75" s="47">
        <v>0</v>
      </c>
      <c r="LK75" s="44">
        <v>0</v>
      </c>
      <c r="LL75" s="43"/>
      <c r="LM75" s="42">
        <v>0</v>
      </c>
      <c r="LN75" s="47">
        <v>0</v>
      </c>
      <c r="LO75" s="44">
        <v>0</v>
      </c>
      <c r="LP75" s="43"/>
      <c r="LQ75" s="42">
        <v>0</v>
      </c>
      <c r="LR75" s="47">
        <v>0</v>
      </c>
      <c r="LS75" s="47">
        <v>0</v>
      </c>
      <c r="LT75" s="47">
        <v>0</v>
      </c>
      <c r="LU75" s="44">
        <v>0</v>
      </c>
      <c r="LV75" s="43"/>
      <c r="LW75" s="42">
        <v>0</v>
      </c>
      <c r="LX75" s="47">
        <v>0</v>
      </c>
      <c r="LY75" s="47">
        <v>0</v>
      </c>
      <c r="LZ75" s="47">
        <v>0</v>
      </c>
      <c r="MA75" s="44">
        <v>0</v>
      </c>
      <c r="MB75" s="43"/>
      <c r="MC75" s="42">
        <v>0</v>
      </c>
      <c r="MD75" s="47">
        <v>0</v>
      </c>
      <c r="ME75" s="47">
        <v>0</v>
      </c>
      <c r="MF75" s="47">
        <v>0</v>
      </c>
      <c r="MG75" s="44">
        <v>0</v>
      </c>
      <c r="MH75" s="43"/>
      <c r="MI75" s="42">
        <v>0</v>
      </c>
      <c r="MJ75" s="47">
        <v>0</v>
      </c>
      <c r="MK75" s="47">
        <v>0</v>
      </c>
      <c r="ML75" s="47">
        <v>0</v>
      </c>
      <c r="MM75" s="44">
        <v>0</v>
      </c>
      <c r="MN75" s="43"/>
      <c r="MO75" s="42">
        <v>0</v>
      </c>
      <c r="MP75" s="47">
        <v>0</v>
      </c>
      <c r="MQ75" s="47">
        <v>0</v>
      </c>
      <c r="MR75" s="47">
        <v>0</v>
      </c>
      <c r="MS75" s="44">
        <v>0</v>
      </c>
      <c r="MT75" s="43"/>
      <c r="MU75" s="42">
        <v>0</v>
      </c>
      <c r="MV75" s="47">
        <v>0</v>
      </c>
      <c r="MW75" s="47">
        <v>0</v>
      </c>
      <c r="MX75" s="47">
        <v>0</v>
      </c>
      <c r="MY75" s="44">
        <v>0</v>
      </c>
      <c r="MZ75" s="43"/>
      <c r="NA75" s="42">
        <v>0</v>
      </c>
      <c r="NB75" s="47">
        <v>0</v>
      </c>
      <c r="NC75" s="47">
        <v>0</v>
      </c>
      <c r="ND75" s="47">
        <v>0</v>
      </c>
      <c r="NE75" s="44">
        <v>0</v>
      </c>
      <c r="NF75" s="43"/>
      <c r="NG75" s="42">
        <v>0</v>
      </c>
      <c r="NH75" s="47">
        <v>0</v>
      </c>
      <c r="NI75" s="47">
        <v>0</v>
      </c>
      <c r="NJ75" s="47">
        <v>0</v>
      </c>
      <c r="NK75" s="44">
        <v>0</v>
      </c>
      <c r="NL75" s="43"/>
      <c r="NM75" s="42">
        <v>0</v>
      </c>
      <c r="NN75" s="47">
        <v>0</v>
      </c>
      <c r="NO75" s="47">
        <v>0</v>
      </c>
      <c r="NP75" s="47">
        <v>0</v>
      </c>
      <c r="NQ75" s="44">
        <v>0</v>
      </c>
      <c r="NR75" s="43"/>
      <c r="NS75" s="42">
        <v>0</v>
      </c>
      <c r="NT75" s="47">
        <v>0</v>
      </c>
      <c r="NU75" s="47">
        <v>0</v>
      </c>
      <c r="NV75" s="47">
        <v>0</v>
      </c>
      <c r="NW75" s="44">
        <v>0</v>
      </c>
      <c r="NX75" s="43"/>
      <c r="NY75" s="42">
        <v>0</v>
      </c>
      <c r="NZ75" s="47">
        <v>0</v>
      </c>
      <c r="OA75" s="47">
        <v>0</v>
      </c>
      <c r="OB75" s="47">
        <v>0</v>
      </c>
      <c r="OC75" s="44">
        <v>0</v>
      </c>
      <c r="OD75" s="43"/>
      <c r="OE75" s="42">
        <v>0</v>
      </c>
      <c r="OF75" s="47">
        <v>0</v>
      </c>
      <c r="OG75" s="47">
        <v>0</v>
      </c>
      <c r="OH75" s="47">
        <v>0</v>
      </c>
      <c r="OI75" s="44">
        <v>0</v>
      </c>
      <c r="OJ75" s="43"/>
      <c r="OK75" s="42">
        <v>0</v>
      </c>
      <c r="OL75" s="47">
        <v>0</v>
      </c>
      <c r="OM75" s="47">
        <v>0</v>
      </c>
      <c r="ON75" s="47">
        <v>0</v>
      </c>
      <c r="OO75" s="44">
        <v>0</v>
      </c>
      <c r="OP75" s="43"/>
      <c r="OQ75" s="42">
        <v>0</v>
      </c>
      <c r="OR75" s="47">
        <v>0</v>
      </c>
      <c r="OS75" s="47">
        <v>0</v>
      </c>
      <c r="OT75" s="47">
        <v>0</v>
      </c>
      <c r="OU75" s="44">
        <v>0</v>
      </c>
      <c r="OV75" s="43"/>
      <c r="OW75" s="42">
        <v>0</v>
      </c>
      <c r="OX75" s="47">
        <v>0</v>
      </c>
      <c r="OY75" s="47">
        <v>0</v>
      </c>
      <c r="OZ75" s="47">
        <v>0</v>
      </c>
      <c r="PA75" s="44">
        <v>0</v>
      </c>
      <c r="PB75" s="43"/>
      <c r="PC75" s="42">
        <v>0</v>
      </c>
      <c r="PD75" s="47">
        <v>0</v>
      </c>
      <c r="PE75" s="47">
        <v>0</v>
      </c>
      <c r="PF75" s="47">
        <v>0</v>
      </c>
      <c r="PG75" s="44">
        <v>0</v>
      </c>
      <c r="PH75" s="43"/>
      <c r="PI75" s="42">
        <v>0</v>
      </c>
      <c r="PJ75" s="47">
        <v>0</v>
      </c>
      <c r="PK75" s="47">
        <v>0</v>
      </c>
      <c r="PL75" s="47">
        <v>0</v>
      </c>
      <c r="PM75" s="44">
        <v>0</v>
      </c>
      <c r="PN75" s="43"/>
      <c r="PO75" s="42">
        <v>0</v>
      </c>
      <c r="PP75" s="47">
        <v>0</v>
      </c>
      <c r="PQ75" s="47">
        <v>0</v>
      </c>
      <c r="PR75" s="47">
        <v>0</v>
      </c>
      <c r="PS75" s="44">
        <v>0</v>
      </c>
      <c r="PT75" s="43"/>
      <c r="PU75" s="42">
        <v>0</v>
      </c>
      <c r="PV75" s="47">
        <v>0</v>
      </c>
      <c r="PW75" s="47">
        <v>0</v>
      </c>
      <c r="PX75" s="47">
        <v>0</v>
      </c>
      <c r="PY75" s="44">
        <v>0</v>
      </c>
      <c r="PZ75" s="43"/>
      <c r="QA75" s="42">
        <v>0</v>
      </c>
      <c r="QB75" s="47">
        <v>0</v>
      </c>
      <c r="QC75" s="44">
        <v>0</v>
      </c>
      <c r="QD75" s="43"/>
      <c r="QE75" s="42">
        <v>0</v>
      </c>
      <c r="QF75" s="47">
        <v>0</v>
      </c>
      <c r="QG75" s="44">
        <v>0</v>
      </c>
      <c r="QH75" s="43"/>
      <c r="QI75" s="42">
        <v>0</v>
      </c>
      <c r="QJ75" s="47">
        <v>0</v>
      </c>
      <c r="QK75" s="44">
        <v>0</v>
      </c>
      <c r="QL75" s="43"/>
      <c r="QM75" s="42">
        <v>0</v>
      </c>
      <c r="QN75" s="47">
        <v>0</v>
      </c>
      <c r="QO75" s="47">
        <v>0</v>
      </c>
      <c r="QP75" s="47">
        <v>0</v>
      </c>
      <c r="QQ75" s="44">
        <v>0</v>
      </c>
      <c r="QR75" s="43"/>
      <c r="QS75" s="42">
        <v>0</v>
      </c>
      <c r="QT75" s="47">
        <v>0</v>
      </c>
      <c r="QU75" s="44">
        <v>0</v>
      </c>
      <c r="QV75" s="43"/>
      <c r="QW75" s="42">
        <v>0</v>
      </c>
      <c r="QX75" s="47">
        <v>0</v>
      </c>
      <c r="QY75" s="44">
        <v>0</v>
      </c>
      <c r="QZ75" s="43"/>
    </row>
    <row r="76" spans="1:468" x14ac:dyDescent="0.25">
      <c r="A76" s="47" t="s">
        <v>360</v>
      </c>
      <c r="B76" s="38">
        <v>0.09</v>
      </c>
      <c r="N76" s="39"/>
      <c r="O76" s="48"/>
      <c r="P76" s="48"/>
      <c r="Q76" s="48"/>
      <c r="R76" s="48">
        <f t="shared" si="13"/>
        <v>0</v>
      </c>
      <c r="S76" s="40"/>
      <c r="T76" s="39"/>
      <c r="U76" s="48"/>
      <c r="V76" s="48">
        <f t="shared" si="14"/>
        <v>0</v>
      </c>
      <c r="W76" s="40"/>
      <c r="X76" s="39"/>
      <c r="Y76" s="48"/>
      <c r="Z76" s="48"/>
      <c r="AA76" s="48"/>
      <c r="AB76" s="48">
        <f t="shared" si="15"/>
        <v>0</v>
      </c>
      <c r="AC76" s="40"/>
      <c r="AD76" s="48"/>
      <c r="AH76" s="44">
        <v>0</v>
      </c>
      <c r="AI76" s="40"/>
      <c r="AM76">
        <v>30</v>
      </c>
      <c r="AN76" s="46">
        <v>-30</v>
      </c>
      <c r="AO76" s="40">
        <v>2.7</v>
      </c>
      <c r="AT76" s="44">
        <v>0</v>
      </c>
      <c r="AU76" s="40"/>
      <c r="AV76" s="39"/>
      <c r="AX76" s="44">
        <v>0</v>
      </c>
      <c r="AY76" s="40"/>
      <c r="AZ76" s="39"/>
      <c r="BB76" s="44">
        <v>0</v>
      </c>
      <c r="BC76" s="40"/>
      <c r="BE76">
        <v>50</v>
      </c>
      <c r="BG76">
        <v>90</v>
      </c>
      <c r="BH76" s="46">
        <v>-140</v>
      </c>
      <c r="BI76" s="40">
        <v>12.6</v>
      </c>
      <c r="BK76">
        <v>9</v>
      </c>
      <c r="BL76" s="46">
        <v>-9</v>
      </c>
      <c r="BM76" s="40">
        <v>0.80999999999999994</v>
      </c>
      <c r="BN76" s="39"/>
      <c r="BR76" s="44">
        <v>0</v>
      </c>
      <c r="BS76" s="40"/>
      <c r="BV76" s="44">
        <v>0</v>
      </c>
      <c r="BW76" s="40"/>
      <c r="BX76" s="39"/>
      <c r="BZ76" s="44">
        <v>0</v>
      </c>
      <c r="CA76" s="40"/>
      <c r="CB76" s="39"/>
      <c r="CD76">
        <v>90</v>
      </c>
      <c r="CG76">
        <v>90</v>
      </c>
      <c r="CH76" s="44">
        <v>0</v>
      </c>
      <c r="CI76" s="40"/>
      <c r="CN76" s="44">
        <v>0</v>
      </c>
      <c r="CO76" s="40"/>
      <c r="CP76" s="39"/>
      <c r="CT76" s="44">
        <v>0</v>
      </c>
      <c r="CU76" s="40"/>
      <c r="CV76" s="39"/>
      <c r="CZ76" s="44">
        <v>0</v>
      </c>
      <c r="DA76" s="40"/>
      <c r="DB76" s="39"/>
      <c r="DD76">
        <v>60</v>
      </c>
      <c r="DE76">
        <v>60</v>
      </c>
      <c r="DF76" s="44">
        <v>0</v>
      </c>
      <c r="DG76" s="40"/>
      <c r="DN76" s="44">
        <v>0</v>
      </c>
      <c r="DO76" s="40"/>
      <c r="DP76" s="39"/>
      <c r="DR76" s="44">
        <v>0</v>
      </c>
      <c r="DS76" s="40"/>
      <c r="DT76" s="39"/>
      <c r="DV76">
        <v>60</v>
      </c>
      <c r="DW76">
        <v>60</v>
      </c>
      <c r="DX76" s="44">
        <v>0</v>
      </c>
      <c r="DY76" s="40"/>
      <c r="DZ76" s="39"/>
      <c r="EB76" s="44">
        <v>0</v>
      </c>
      <c r="EC76" s="40"/>
      <c r="EK76" s="44">
        <v>0</v>
      </c>
      <c r="EL76" s="40"/>
      <c r="ES76" s="44">
        <v>0</v>
      </c>
      <c r="ET76" s="40"/>
      <c r="EU76" s="39"/>
      <c r="EY76" s="44">
        <v>0</v>
      </c>
      <c r="EZ76" s="40"/>
      <c r="FA76" s="39"/>
      <c r="FD76" s="44">
        <v>0</v>
      </c>
      <c r="FE76" s="40"/>
      <c r="FH76" s="44">
        <v>0</v>
      </c>
      <c r="FI76" s="40"/>
      <c r="FJ76" s="39"/>
      <c r="FO76">
        <v>10</v>
      </c>
      <c r="FP76">
        <v>10</v>
      </c>
      <c r="FQ76" s="44">
        <v>0</v>
      </c>
      <c r="FR76" s="40"/>
      <c r="FW76" s="44">
        <v>0</v>
      </c>
      <c r="FX76" s="40"/>
      <c r="FY76" s="39"/>
      <c r="GC76" s="44">
        <v>0</v>
      </c>
      <c r="GD76" s="40"/>
      <c r="GI76" s="44">
        <v>0</v>
      </c>
      <c r="GJ76" s="40"/>
      <c r="GM76" s="44">
        <v>0</v>
      </c>
      <c r="GN76" s="40"/>
      <c r="GO76" s="39"/>
      <c r="GQ76" s="44">
        <v>0</v>
      </c>
      <c r="GR76" s="40"/>
      <c r="GV76">
        <v>50</v>
      </c>
      <c r="GW76">
        <v>50</v>
      </c>
      <c r="GX76" s="44">
        <v>0</v>
      </c>
      <c r="GY76" s="40"/>
      <c r="HD76" s="44">
        <v>0</v>
      </c>
      <c r="HE76" s="40"/>
      <c r="HF76" s="39"/>
      <c r="HI76">
        <v>20</v>
      </c>
      <c r="HJ76" s="46">
        <v>-20</v>
      </c>
      <c r="HK76" s="40">
        <v>1.8</v>
      </c>
      <c r="HL76" s="39"/>
      <c r="HP76" s="44">
        <v>0</v>
      </c>
      <c r="HQ76" s="40"/>
      <c r="HT76">
        <v>10</v>
      </c>
      <c r="HU76">
        <v>10</v>
      </c>
      <c r="HV76" s="44">
        <v>0</v>
      </c>
      <c r="HW76" s="43"/>
      <c r="HZ76">
        <v>10</v>
      </c>
      <c r="IA76">
        <v>10</v>
      </c>
      <c r="IB76" s="44">
        <v>0</v>
      </c>
      <c r="IC76" s="43"/>
      <c r="IF76">
        <v>10</v>
      </c>
      <c r="IG76">
        <v>6</v>
      </c>
      <c r="IH76" s="44">
        <v>4</v>
      </c>
      <c r="II76" s="43"/>
      <c r="IN76" s="44">
        <v>0</v>
      </c>
      <c r="IO76" s="40"/>
      <c r="IR76" s="44">
        <v>0</v>
      </c>
      <c r="IS76" s="40"/>
      <c r="IX76" s="44">
        <v>0</v>
      </c>
      <c r="IY76" s="43"/>
      <c r="JB76" s="44">
        <v>0</v>
      </c>
      <c r="JC76" s="40"/>
      <c r="JF76">
        <v>10</v>
      </c>
      <c r="JG76">
        <v>10</v>
      </c>
      <c r="JH76" s="44">
        <v>0</v>
      </c>
      <c r="JI76" s="40"/>
      <c r="JN76" s="44">
        <v>0</v>
      </c>
      <c r="JO76" s="43"/>
      <c r="JT76" s="44">
        <v>0</v>
      </c>
      <c r="JU76" s="43"/>
      <c r="JX76">
        <v>10</v>
      </c>
      <c r="JY76">
        <v>10</v>
      </c>
      <c r="JZ76" s="44">
        <v>0</v>
      </c>
      <c r="KA76" s="43"/>
      <c r="KB76" s="42"/>
      <c r="KI76" s="44">
        <v>0</v>
      </c>
      <c r="KJ76" s="43"/>
      <c r="KK76" s="47">
        <v>0</v>
      </c>
      <c r="KL76" s="47">
        <v>0</v>
      </c>
      <c r="KM76" s="47">
        <v>0</v>
      </c>
      <c r="KN76" s="26">
        <v>10</v>
      </c>
      <c r="KO76" s="46">
        <v>-10</v>
      </c>
      <c r="KP76" s="43">
        <v>0.89999999999999991</v>
      </c>
      <c r="KQ76" s="47">
        <v>0</v>
      </c>
      <c r="KR76" s="47">
        <v>0</v>
      </c>
      <c r="KS76" s="47">
        <v>0</v>
      </c>
      <c r="KT76" s="26">
        <v>10</v>
      </c>
      <c r="KU76" s="46">
        <v>-10</v>
      </c>
      <c r="KV76" s="43">
        <v>0.89999999999999991</v>
      </c>
      <c r="KW76" s="42">
        <v>0</v>
      </c>
      <c r="KX76" s="47">
        <v>0</v>
      </c>
      <c r="KY76" s="44">
        <v>0</v>
      </c>
      <c r="KZ76" s="43"/>
      <c r="LA76" s="42">
        <v>0</v>
      </c>
      <c r="LB76" s="47">
        <v>0</v>
      </c>
      <c r="LC76" s="47">
        <v>0</v>
      </c>
      <c r="LD76" s="47">
        <v>0</v>
      </c>
      <c r="LE76" s="44">
        <v>0</v>
      </c>
      <c r="LF76" s="43"/>
      <c r="LG76" s="42">
        <v>0</v>
      </c>
      <c r="LH76" s="47">
        <v>0</v>
      </c>
      <c r="LI76" s="47">
        <v>0</v>
      </c>
      <c r="LJ76" s="47">
        <v>0</v>
      </c>
      <c r="LK76" s="44">
        <v>0</v>
      </c>
      <c r="LL76" s="43"/>
      <c r="LM76" s="42">
        <v>0</v>
      </c>
      <c r="LN76" s="47">
        <v>0</v>
      </c>
      <c r="LO76" s="44">
        <v>0</v>
      </c>
      <c r="LP76" s="43"/>
      <c r="LQ76" s="42">
        <v>0</v>
      </c>
      <c r="LR76" s="47">
        <v>0</v>
      </c>
      <c r="LS76" s="47">
        <v>0</v>
      </c>
      <c r="LT76" s="47">
        <v>0</v>
      </c>
      <c r="LU76" s="44">
        <v>0</v>
      </c>
      <c r="LV76" s="43"/>
      <c r="LW76" s="42">
        <v>0</v>
      </c>
      <c r="LX76" s="47">
        <v>0</v>
      </c>
      <c r="LY76" s="47">
        <v>0</v>
      </c>
      <c r="LZ76" s="47">
        <v>0</v>
      </c>
      <c r="MA76" s="44">
        <v>0</v>
      </c>
      <c r="MB76" s="43"/>
      <c r="MC76" s="42">
        <v>0</v>
      </c>
      <c r="MD76" s="47">
        <v>0</v>
      </c>
      <c r="ME76" s="47">
        <v>0</v>
      </c>
      <c r="MF76" s="47">
        <v>0</v>
      </c>
      <c r="MG76" s="44">
        <v>0</v>
      </c>
      <c r="MH76" s="43"/>
      <c r="MI76" s="42">
        <v>0</v>
      </c>
      <c r="MJ76" s="47">
        <v>0</v>
      </c>
      <c r="MK76" s="47">
        <v>0</v>
      </c>
      <c r="ML76" s="47">
        <v>0</v>
      </c>
      <c r="MM76" s="44">
        <v>0</v>
      </c>
      <c r="MN76" s="43"/>
      <c r="MO76" s="42">
        <v>0</v>
      </c>
      <c r="MP76" s="47">
        <v>0</v>
      </c>
      <c r="MQ76" s="47">
        <v>20</v>
      </c>
      <c r="MR76" s="47">
        <v>20</v>
      </c>
      <c r="MS76" s="44">
        <v>0</v>
      </c>
      <c r="MT76" s="43"/>
      <c r="MU76" s="42">
        <v>0</v>
      </c>
      <c r="MV76" s="47">
        <v>0</v>
      </c>
      <c r="MW76" s="47">
        <v>90</v>
      </c>
      <c r="MX76" s="47">
        <v>95</v>
      </c>
      <c r="MY76" s="44">
        <v>-5</v>
      </c>
      <c r="MZ76" s="43"/>
      <c r="NA76" s="42">
        <v>0</v>
      </c>
      <c r="NB76" s="47">
        <v>0</v>
      </c>
      <c r="NC76" s="47">
        <v>20</v>
      </c>
      <c r="ND76" s="47">
        <v>20</v>
      </c>
      <c r="NE76" s="44">
        <v>0</v>
      </c>
      <c r="NF76" s="43"/>
      <c r="NG76" s="42">
        <v>0</v>
      </c>
      <c r="NH76" s="47">
        <v>0</v>
      </c>
      <c r="NI76" s="47">
        <v>30</v>
      </c>
      <c r="NJ76" s="47">
        <v>30</v>
      </c>
      <c r="NK76" s="44">
        <v>0</v>
      </c>
      <c r="NL76" s="43"/>
      <c r="NM76" s="42">
        <v>0</v>
      </c>
      <c r="NN76" s="47">
        <v>0</v>
      </c>
      <c r="NO76" s="47">
        <v>80</v>
      </c>
      <c r="NP76" s="47">
        <v>80</v>
      </c>
      <c r="NQ76" s="44">
        <v>0</v>
      </c>
      <c r="NR76" s="43"/>
      <c r="NS76" s="42">
        <v>80</v>
      </c>
      <c r="NT76" s="47">
        <v>80</v>
      </c>
      <c r="NU76" s="47">
        <v>0</v>
      </c>
      <c r="NV76" s="47">
        <v>0</v>
      </c>
      <c r="NW76" s="44">
        <v>0</v>
      </c>
      <c r="NX76" s="43"/>
      <c r="NY76" s="42">
        <v>0</v>
      </c>
      <c r="NZ76" s="47">
        <v>0</v>
      </c>
      <c r="OA76" s="47">
        <v>0</v>
      </c>
      <c r="OB76" s="47">
        <v>0</v>
      </c>
      <c r="OC76" s="44">
        <v>0</v>
      </c>
      <c r="OD76" s="43"/>
      <c r="OE76" s="42">
        <v>0</v>
      </c>
      <c r="OF76" s="47">
        <v>0</v>
      </c>
      <c r="OG76" s="47">
        <v>0</v>
      </c>
      <c r="OH76" s="47">
        <v>0</v>
      </c>
      <c r="OI76" s="44">
        <v>0</v>
      </c>
      <c r="OJ76" s="43"/>
      <c r="OK76" s="42">
        <v>0</v>
      </c>
      <c r="OL76" s="47">
        <v>0</v>
      </c>
      <c r="OM76" s="47">
        <v>0</v>
      </c>
      <c r="ON76" s="47">
        <v>0</v>
      </c>
      <c r="OO76" s="44">
        <v>0</v>
      </c>
      <c r="OP76" s="43"/>
      <c r="OQ76" s="42">
        <v>0</v>
      </c>
      <c r="OR76" s="47">
        <v>0</v>
      </c>
      <c r="OS76" s="47">
        <v>0</v>
      </c>
      <c r="OT76" s="47">
        <v>0</v>
      </c>
      <c r="OU76" s="44">
        <v>0</v>
      </c>
      <c r="OV76" s="43"/>
      <c r="OW76" s="42">
        <v>0</v>
      </c>
      <c r="OX76" s="47">
        <v>0</v>
      </c>
      <c r="OY76" s="47">
        <v>0</v>
      </c>
      <c r="OZ76" s="47">
        <v>0</v>
      </c>
      <c r="PA76" s="44">
        <v>0</v>
      </c>
      <c r="PB76" s="43"/>
      <c r="PC76" s="42">
        <v>0</v>
      </c>
      <c r="PD76" s="47">
        <v>0</v>
      </c>
      <c r="PE76" s="47">
        <v>0</v>
      </c>
      <c r="PF76" s="47">
        <v>0</v>
      </c>
      <c r="PG76" s="44">
        <v>0</v>
      </c>
      <c r="PH76" s="43"/>
      <c r="PI76" s="42">
        <v>0</v>
      </c>
      <c r="PJ76" s="47">
        <v>0</v>
      </c>
      <c r="PK76" s="47">
        <v>0</v>
      </c>
      <c r="PL76" s="47">
        <v>0</v>
      </c>
      <c r="PM76" s="44">
        <v>0</v>
      </c>
      <c r="PN76" s="43"/>
      <c r="PO76" s="42">
        <v>0</v>
      </c>
      <c r="PP76" s="47">
        <v>0</v>
      </c>
      <c r="PQ76" s="47">
        <v>0</v>
      </c>
      <c r="PR76" s="47">
        <v>0</v>
      </c>
      <c r="PS76" s="44">
        <v>0</v>
      </c>
      <c r="PT76" s="43"/>
      <c r="PU76" s="42">
        <v>0</v>
      </c>
      <c r="PV76" s="47">
        <v>0</v>
      </c>
      <c r="PW76" s="47">
        <v>0</v>
      </c>
      <c r="PX76" s="47">
        <v>0</v>
      </c>
      <c r="PY76" s="44">
        <v>0</v>
      </c>
      <c r="PZ76" s="43"/>
      <c r="QA76" s="42">
        <v>0</v>
      </c>
      <c r="QB76" s="47">
        <v>0</v>
      </c>
      <c r="QC76" s="44">
        <v>0</v>
      </c>
      <c r="QD76" s="43"/>
      <c r="QE76" s="42">
        <v>0</v>
      </c>
      <c r="QF76" s="47">
        <v>0</v>
      </c>
      <c r="QG76" s="44">
        <v>0</v>
      </c>
      <c r="QH76" s="43"/>
      <c r="QI76" s="42">
        <v>20</v>
      </c>
      <c r="QJ76" s="47">
        <v>20</v>
      </c>
      <c r="QK76" s="44">
        <v>0</v>
      </c>
      <c r="QL76" s="43"/>
      <c r="QM76" s="42">
        <v>20</v>
      </c>
      <c r="QN76" s="47">
        <v>20</v>
      </c>
      <c r="QO76" s="47">
        <v>0</v>
      </c>
      <c r="QP76" s="47">
        <v>0</v>
      </c>
      <c r="QQ76" s="44">
        <v>0</v>
      </c>
      <c r="QR76" s="43"/>
      <c r="QS76" s="42">
        <v>0</v>
      </c>
      <c r="QT76" s="47">
        <v>0</v>
      </c>
      <c r="QU76" s="44">
        <v>0</v>
      </c>
      <c r="QV76" s="43"/>
      <c r="QW76" s="42">
        <v>60</v>
      </c>
      <c r="QX76" s="47">
        <v>59</v>
      </c>
      <c r="QY76" s="44">
        <v>1</v>
      </c>
      <c r="QZ76" s="43"/>
    </row>
    <row r="77" spans="1:468" x14ac:dyDescent="0.25">
      <c r="A77" s="47" t="s">
        <v>361</v>
      </c>
      <c r="B77" s="38">
        <v>0.35</v>
      </c>
      <c r="N77" s="39"/>
      <c r="O77" s="48"/>
      <c r="P77" s="48"/>
      <c r="Q77" s="48"/>
      <c r="R77" s="48">
        <f t="shared" si="13"/>
        <v>0</v>
      </c>
      <c r="S77" s="40"/>
      <c r="T77" s="39"/>
      <c r="U77" s="48"/>
      <c r="V77" s="48">
        <f t="shared" si="14"/>
        <v>0</v>
      </c>
      <c r="W77" s="40"/>
      <c r="X77" s="39"/>
      <c r="Y77" s="48"/>
      <c r="Z77" s="48"/>
      <c r="AA77" s="48"/>
      <c r="AB77" s="48">
        <f t="shared" si="15"/>
        <v>0</v>
      </c>
      <c r="AC77" s="40"/>
      <c r="AD77" s="48"/>
      <c r="AH77" s="44">
        <v>0</v>
      </c>
      <c r="AI77" s="40"/>
      <c r="AN77" s="44">
        <v>0</v>
      </c>
      <c r="AO77" s="40"/>
      <c r="AT77" s="44">
        <v>0</v>
      </c>
      <c r="AU77" s="40"/>
      <c r="AV77" s="39"/>
      <c r="AX77" s="44">
        <v>0</v>
      </c>
      <c r="AY77" s="40"/>
      <c r="AZ77" s="41">
        <v>376</v>
      </c>
      <c r="BA77">
        <v>380</v>
      </c>
      <c r="BB77" s="44">
        <v>-4</v>
      </c>
      <c r="BC77" s="40"/>
      <c r="BD77">
        <v>120</v>
      </c>
      <c r="BE77">
        <v>120</v>
      </c>
      <c r="BF77">
        <v>88</v>
      </c>
      <c r="BG77">
        <v>90</v>
      </c>
      <c r="BH77" s="44">
        <v>-2</v>
      </c>
      <c r="BI77" s="40"/>
      <c r="BJ77">
        <v>128</v>
      </c>
      <c r="BK77">
        <v>132</v>
      </c>
      <c r="BL77" s="44">
        <v>-4</v>
      </c>
      <c r="BM77" s="40"/>
      <c r="BN77" s="41">
        <v>96</v>
      </c>
      <c r="BO77">
        <v>100</v>
      </c>
      <c r="BP77">
        <v>208</v>
      </c>
      <c r="BQ77">
        <v>210</v>
      </c>
      <c r="BR77" s="44">
        <v>-6</v>
      </c>
      <c r="BS77" s="40"/>
      <c r="BT77">
        <v>152</v>
      </c>
      <c r="BU77">
        <v>150</v>
      </c>
      <c r="BV77" s="44">
        <v>2</v>
      </c>
      <c r="BW77" s="40"/>
      <c r="BX77" s="41">
        <v>16</v>
      </c>
      <c r="BY77">
        <v>34</v>
      </c>
      <c r="BZ77" s="46">
        <v>-18</v>
      </c>
      <c r="CA77" s="40">
        <v>6.3</v>
      </c>
      <c r="CB77" s="39"/>
      <c r="CD77">
        <v>128</v>
      </c>
      <c r="CE77">
        <v>200</v>
      </c>
      <c r="CF77">
        <v>200</v>
      </c>
      <c r="CG77">
        <v>130</v>
      </c>
      <c r="CH77" s="44">
        <v>-2</v>
      </c>
      <c r="CI77" s="40"/>
      <c r="CN77" s="44">
        <v>0</v>
      </c>
      <c r="CO77" s="40"/>
      <c r="CP77" s="39"/>
      <c r="CR77">
        <v>32</v>
      </c>
      <c r="CS77">
        <v>30</v>
      </c>
      <c r="CT77" s="44">
        <v>2</v>
      </c>
      <c r="CU77" s="40"/>
      <c r="CV77" s="39"/>
      <c r="CX77">
        <v>256</v>
      </c>
      <c r="CY77">
        <v>260</v>
      </c>
      <c r="CZ77" s="44">
        <v>-4</v>
      </c>
      <c r="DA77" s="40"/>
      <c r="DB77" s="41">
        <v>80</v>
      </c>
      <c r="DC77">
        <v>80</v>
      </c>
      <c r="DD77">
        <v>88</v>
      </c>
      <c r="DE77">
        <v>90</v>
      </c>
      <c r="DF77" s="44">
        <v>-2</v>
      </c>
      <c r="DG77" s="40"/>
      <c r="DJ77">
        <v>96</v>
      </c>
      <c r="DK77">
        <v>100</v>
      </c>
      <c r="DN77" s="44">
        <v>-4</v>
      </c>
      <c r="DO77" s="40"/>
      <c r="DP77" s="39"/>
      <c r="DR77" s="44">
        <v>0</v>
      </c>
      <c r="DS77" s="40"/>
      <c r="DT77" s="41">
        <v>80</v>
      </c>
      <c r="DU77">
        <v>80</v>
      </c>
      <c r="DV77">
        <v>96</v>
      </c>
      <c r="DW77">
        <v>100</v>
      </c>
      <c r="DX77" s="44">
        <v>-4</v>
      </c>
      <c r="DY77" s="40"/>
      <c r="DZ77" s="39"/>
      <c r="EB77" s="44">
        <v>0</v>
      </c>
      <c r="EC77" s="40"/>
      <c r="ED77">
        <v>48</v>
      </c>
      <c r="EE77">
        <v>48</v>
      </c>
      <c r="EG77">
        <v>64</v>
      </c>
      <c r="EH77">
        <v>64</v>
      </c>
      <c r="EI77">
        <v>88</v>
      </c>
      <c r="EJ77">
        <v>88</v>
      </c>
      <c r="EK77" s="44">
        <v>0</v>
      </c>
      <c r="EL77" s="40"/>
      <c r="ES77" s="44">
        <v>0</v>
      </c>
      <c r="ET77" s="40"/>
      <c r="EU77" s="39"/>
      <c r="EW77">
        <v>24</v>
      </c>
      <c r="EX77">
        <v>27</v>
      </c>
      <c r="EY77" s="44">
        <v>-3</v>
      </c>
      <c r="EZ77" s="40"/>
      <c r="FA77" s="39"/>
      <c r="FB77">
        <v>32</v>
      </c>
      <c r="FC77">
        <v>35</v>
      </c>
      <c r="FD77" s="44">
        <v>-3</v>
      </c>
      <c r="FE77" s="40"/>
      <c r="FF77">
        <v>32</v>
      </c>
      <c r="FG77">
        <v>32</v>
      </c>
      <c r="FH77" s="44">
        <v>0</v>
      </c>
      <c r="FI77" s="40"/>
      <c r="FJ77" s="39"/>
      <c r="FO77">
        <v>128</v>
      </c>
      <c r="FP77">
        <v>126</v>
      </c>
      <c r="FQ77" s="44">
        <v>2</v>
      </c>
      <c r="FR77" s="40"/>
      <c r="FW77" s="44">
        <v>0</v>
      </c>
      <c r="FX77" s="40"/>
      <c r="FY77" s="39"/>
      <c r="GA77">
        <v>152</v>
      </c>
      <c r="GB77">
        <v>150</v>
      </c>
      <c r="GC77" s="44">
        <v>2</v>
      </c>
      <c r="GD77" s="40"/>
      <c r="GG77">
        <v>72</v>
      </c>
      <c r="GH77">
        <v>72</v>
      </c>
      <c r="GI77" s="44">
        <v>0</v>
      </c>
      <c r="GJ77" s="40"/>
      <c r="GK77">
        <v>16</v>
      </c>
      <c r="GL77" s="47">
        <v>20</v>
      </c>
      <c r="GM77" s="44">
        <v>-4</v>
      </c>
      <c r="GN77" s="40"/>
      <c r="GO77" s="41">
        <v>80</v>
      </c>
      <c r="GP77">
        <v>80</v>
      </c>
      <c r="GQ77" s="44">
        <v>0</v>
      </c>
      <c r="GR77" s="40"/>
      <c r="GS77">
        <v>48</v>
      </c>
      <c r="GT77">
        <v>50</v>
      </c>
      <c r="GV77">
        <v>96</v>
      </c>
      <c r="GW77">
        <v>100</v>
      </c>
      <c r="GX77" s="44">
        <v>-6</v>
      </c>
      <c r="GY77" s="40"/>
      <c r="HD77" s="44">
        <v>0</v>
      </c>
      <c r="HE77" s="40"/>
      <c r="HF77" s="39"/>
      <c r="HH77">
        <v>128</v>
      </c>
      <c r="HI77">
        <v>130</v>
      </c>
      <c r="HJ77" s="44">
        <v>-2</v>
      </c>
      <c r="HK77" s="40"/>
      <c r="HL77" s="39"/>
      <c r="HN77">
        <v>32</v>
      </c>
      <c r="HO77">
        <v>32</v>
      </c>
      <c r="HP77" s="44">
        <v>0</v>
      </c>
      <c r="HQ77" s="40"/>
      <c r="HT77">
        <v>88</v>
      </c>
      <c r="HU77">
        <v>90</v>
      </c>
      <c r="HV77" s="44">
        <v>-2</v>
      </c>
      <c r="HW77" s="43"/>
      <c r="IB77" s="44">
        <v>0</v>
      </c>
      <c r="IC77" s="43"/>
      <c r="ID77">
        <v>40</v>
      </c>
      <c r="IE77">
        <v>40</v>
      </c>
      <c r="IF77">
        <v>40</v>
      </c>
      <c r="IG77">
        <v>40</v>
      </c>
      <c r="IH77" s="44">
        <v>0</v>
      </c>
      <c r="II77" s="43"/>
      <c r="IN77" s="44">
        <v>0</v>
      </c>
      <c r="IO77" s="40"/>
      <c r="IP77">
        <v>48</v>
      </c>
      <c r="IQ77">
        <v>50</v>
      </c>
      <c r="IR77" s="44">
        <v>-2</v>
      </c>
      <c r="IS77" s="40"/>
      <c r="IV77">
        <v>32</v>
      </c>
      <c r="IW77">
        <v>36</v>
      </c>
      <c r="IX77" s="44">
        <v>-4</v>
      </c>
      <c r="IY77" s="43"/>
      <c r="JB77" s="44">
        <v>0</v>
      </c>
      <c r="JC77" s="40"/>
      <c r="JH77" s="44">
        <v>0</v>
      </c>
      <c r="JI77" s="40"/>
      <c r="JN77" s="44">
        <v>0</v>
      </c>
      <c r="JO77" s="43"/>
      <c r="JR77">
        <v>48</v>
      </c>
      <c r="JS77">
        <v>50</v>
      </c>
      <c r="JT77" s="44">
        <v>-2</v>
      </c>
      <c r="JU77" s="43"/>
      <c r="JZ77" s="44">
        <v>0</v>
      </c>
      <c r="KA77" s="43"/>
      <c r="KB77" s="42"/>
      <c r="KE77">
        <v>40</v>
      </c>
      <c r="KF77">
        <v>40</v>
      </c>
      <c r="KG77">
        <v>40</v>
      </c>
      <c r="KH77">
        <v>40</v>
      </c>
      <c r="KI77" s="44">
        <v>0</v>
      </c>
      <c r="KJ77" s="43"/>
      <c r="KK77" s="47">
        <v>0</v>
      </c>
      <c r="KL77" s="47">
        <v>0</v>
      </c>
      <c r="KM77" s="47">
        <v>0</v>
      </c>
      <c r="KN77" s="47">
        <v>0</v>
      </c>
      <c r="KO77" s="44">
        <v>0</v>
      </c>
      <c r="KP77" s="43"/>
      <c r="KQ77" s="47">
        <v>0</v>
      </c>
      <c r="KR77" s="47">
        <v>0</v>
      </c>
      <c r="KS77" s="47">
        <v>0</v>
      </c>
      <c r="KT77" s="47">
        <v>0</v>
      </c>
      <c r="KU77" s="44">
        <v>0</v>
      </c>
      <c r="KV77" s="43"/>
      <c r="KW77" s="42">
        <v>0</v>
      </c>
      <c r="KX77" s="47">
        <v>0</v>
      </c>
      <c r="KY77" s="44">
        <v>0</v>
      </c>
      <c r="KZ77" s="43"/>
      <c r="LA77" s="42">
        <v>0</v>
      </c>
      <c r="LB77" s="47">
        <v>0</v>
      </c>
      <c r="LC77" s="47">
        <v>0</v>
      </c>
      <c r="LD77" s="47">
        <v>0</v>
      </c>
      <c r="LE77" s="44">
        <v>0</v>
      </c>
      <c r="LF77" s="43"/>
      <c r="LG77" s="42">
        <v>0</v>
      </c>
      <c r="LH77" s="47">
        <v>0</v>
      </c>
      <c r="LI77" s="47">
        <v>0</v>
      </c>
      <c r="LJ77" s="47">
        <v>0</v>
      </c>
      <c r="LK77" s="44">
        <v>0</v>
      </c>
      <c r="LL77" s="43"/>
      <c r="LM77" s="42">
        <v>0</v>
      </c>
      <c r="LN77" s="47">
        <v>0</v>
      </c>
      <c r="LO77" s="44">
        <v>0</v>
      </c>
      <c r="LP77" s="43"/>
      <c r="LQ77" s="42">
        <v>0</v>
      </c>
      <c r="LR77" s="47">
        <v>0</v>
      </c>
      <c r="LS77" s="47">
        <v>0</v>
      </c>
      <c r="LT77" s="47">
        <v>0</v>
      </c>
      <c r="LU77" s="44">
        <v>0</v>
      </c>
      <c r="LV77" s="43"/>
      <c r="LW77" s="42">
        <v>0</v>
      </c>
      <c r="LX77" s="47">
        <v>0</v>
      </c>
      <c r="LY77" s="47">
        <v>0</v>
      </c>
      <c r="LZ77" s="47">
        <v>0</v>
      </c>
      <c r="MA77" s="44">
        <v>0</v>
      </c>
      <c r="MB77" s="43"/>
      <c r="MC77" s="42">
        <v>0</v>
      </c>
      <c r="MD77" s="47">
        <v>0</v>
      </c>
      <c r="ME77" s="47">
        <v>0</v>
      </c>
      <c r="MF77" s="47">
        <v>0</v>
      </c>
      <c r="MG77" s="44">
        <v>0</v>
      </c>
      <c r="MH77" s="43"/>
      <c r="MI77" s="42">
        <v>0</v>
      </c>
      <c r="MJ77" s="47">
        <v>0</v>
      </c>
      <c r="MK77" s="47">
        <v>56</v>
      </c>
      <c r="ML77" s="47">
        <v>60</v>
      </c>
      <c r="MM77" s="44">
        <v>-4</v>
      </c>
      <c r="MN77" s="43"/>
      <c r="MO77" s="42">
        <v>0</v>
      </c>
      <c r="MP77" s="47">
        <v>0</v>
      </c>
      <c r="MQ77" s="47">
        <v>0</v>
      </c>
      <c r="MR77" s="47">
        <v>0</v>
      </c>
      <c r="MS77" s="44">
        <v>0</v>
      </c>
      <c r="MT77" s="43"/>
      <c r="MU77" s="42">
        <v>0</v>
      </c>
      <c r="MV77" s="47">
        <v>0</v>
      </c>
      <c r="MW77" s="47">
        <v>88</v>
      </c>
      <c r="MX77" s="47">
        <v>90</v>
      </c>
      <c r="MY77" s="44">
        <v>-2</v>
      </c>
      <c r="MZ77" s="43"/>
      <c r="NA77" s="42">
        <v>0</v>
      </c>
      <c r="NB77" s="47">
        <v>0</v>
      </c>
      <c r="NC77" s="47">
        <v>0</v>
      </c>
      <c r="ND77" s="47">
        <v>0</v>
      </c>
      <c r="NE77" s="44">
        <v>0</v>
      </c>
      <c r="NF77" s="43"/>
      <c r="NG77" s="42">
        <v>0</v>
      </c>
      <c r="NH77" s="47">
        <v>0</v>
      </c>
      <c r="NI77" s="47">
        <v>48</v>
      </c>
      <c r="NJ77" s="47">
        <v>50</v>
      </c>
      <c r="NK77" s="44">
        <v>-2</v>
      </c>
      <c r="NL77" s="43"/>
      <c r="NM77" s="42">
        <v>0</v>
      </c>
      <c r="NN77" s="47">
        <v>0</v>
      </c>
      <c r="NO77" s="47">
        <v>152</v>
      </c>
      <c r="NP77" s="47">
        <v>150</v>
      </c>
      <c r="NQ77" s="44">
        <v>2</v>
      </c>
      <c r="NR77" s="43"/>
      <c r="NS77" s="42">
        <v>16</v>
      </c>
      <c r="NT77" s="47">
        <v>20</v>
      </c>
      <c r="NU77" s="47">
        <v>0</v>
      </c>
      <c r="NV77" s="47">
        <v>0</v>
      </c>
      <c r="NW77" s="44">
        <v>-4</v>
      </c>
      <c r="NX77" s="43"/>
      <c r="NY77" s="42">
        <v>0</v>
      </c>
      <c r="NZ77" s="47">
        <v>0</v>
      </c>
      <c r="OA77" s="47">
        <v>200</v>
      </c>
      <c r="OB77" s="47">
        <v>200</v>
      </c>
      <c r="OC77" s="44">
        <v>0</v>
      </c>
      <c r="OD77" s="43"/>
      <c r="OE77" s="42">
        <v>48</v>
      </c>
      <c r="OF77" s="47">
        <v>50</v>
      </c>
      <c r="OG77" s="47">
        <v>40</v>
      </c>
      <c r="OH77" s="47">
        <v>40</v>
      </c>
      <c r="OI77" s="44">
        <v>-2</v>
      </c>
      <c r="OJ77" s="43"/>
      <c r="OK77" s="42">
        <v>0</v>
      </c>
      <c r="OL77" s="47">
        <v>0</v>
      </c>
      <c r="OM77" s="47">
        <v>88</v>
      </c>
      <c r="ON77" s="47">
        <v>91</v>
      </c>
      <c r="OO77" s="44">
        <v>-3</v>
      </c>
      <c r="OP77" s="43"/>
      <c r="OQ77" s="42">
        <v>48</v>
      </c>
      <c r="OR77" s="47">
        <v>50</v>
      </c>
      <c r="OS77" s="47">
        <v>40</v>
      </c>
      <c r="OT77" s="47">
        <v>42</v>
      </c>
      <c r="OU77" s="44">
        <v>-4</v>
      </c>
      <c r="OV77" s="43"/>
      <c r="OW77" s="42">
        <v>0</v>
      </c>
      <c r="OX77" s="47">
        <v>0</v>
      </c>
      <c r="OY77" s="47">
        <v>64</v>
      </c>
      <c r="OZ77" s="47">
        <v>65</v>
      </c>
      <c r="PA77" s="44">
        <v>-1</v>
      </c>
      <c r="PB77" s="43"/>
      <c r="PC77" s="42">
        <v>0</v>
      </c>
      <c r="PD77" s="47">
        <v>0</v>
      </c>
      <c r="PE77" s="47">
        <v>48</v>
      </c>
      <c r="PF77" s="47">
        <v>50</v>
      </c>
      <c r="PG77" s="44">
        <v>-2</v>
      </c>
      <c r="PH77" s="43"/>
      <c r="PI77" s="42">
        <v>0</v>
      </c>
      <c r="PJ77" s="47">
        <v>0</v>
      </c>
      <c r="PK77" s="47">
        <v>96</v>
      </c>
      <c r="PL77" s="47">
        <v>100</v>
      </c>
      <c r="PM77" s="44">
        <v>-4</v>
      </c>
      <c r="PN77" s="43"/>
      <c r="PO77" s="42">
        <v>72</v>
      </c>
      <c r="PP77" s="47">
        <v>70</v>
      </c>
      <c r="PQ77" s="47">
        <v>0</v>
      </c>
      <c r="PR77" s="47">
        <v>0</v>
      </c>
      <c r="PS77" s="44">
        <v>2</v>
      </c>
      <c r="PT77" s="43"/>
      <c r="PU77" s="42">
        <v>0</v>
      </c>
      <c r="PV77" s="47">
        <v>0</v>
      </c>
      <c r="PW77" s="47">
        <v>56</v>
      </c>
      <c r="PX77" s="47">
        <v>60</v>
      </c>
      <c r="PY77" s="44">
        <v>-4</v>
      </c>
      <c r="PZ77" s="43"/>
      <c r="QA77" s="42">
        <v>0</v>
      </c>
      <c r="QB77" s="47">
        <v>0</v>
      </c>
      <c r="QC77" s="44">
        <v>0</v>
      </c>
      <c r="QD77" s="43"/>
      <c r="QE77" s="42">
        <v>0</v>
      </c>
      <c r="QF77" s="47">
        <v>0</v>
      </c>
      <c r="QG77" s="44">
        <v>0</v>
      </c>
      <c r="QH77" s="43"/>
      <c r="QI77" s="42">
        <v>296</v>
      </c>
      <c r="QJ77" s="47">
        <v>300</v>
      </c>
      <c r="QK77" s="44">
        <v>-4</v>
      </c>
      <c r="QL77" s="43"/>
      <c r="QM77" s="42">
        <v>184</v>
      </c>
      <c r="QN77" s="47">
        <v>182</v>
      </c>
      <c r="QO77" s="47">
        <v>0</v>
      </c>
      <c r="QP77" s="47">
        <v>0</v>
      </c>
      <c r="QQ77" s="44">
        <v>2</v>
      </c>
      <c r="QR77" s="43"/>
      <c r="QS77" s="42">
        <v>0</v>
      </c>
      <c r="QT77" s="47">
        <v>0</v>
      </c>
      <c r="QU77" s="44">
        <v>0</v>
      </c>
      <c r="QV77" s="43"/>
      <c r="QW77" s="42">
        <v>144</v>
      </c>
      <c r="QX77" s="47">
        <v>179</v>
      </c>
      <c r="QY77" s="44">
        <v>-35</v>
      </c>
      <c r="QZ77" s="43"/>
    </row>
    <row r="78" spans="1:468" x14ac:dyDescent="0.25">
      <c r="A78" s="47" t="s">
        <v>362</v>
      </c>
      <c r="B78" s="38">
        <v>1</v>
      </c>
      <c r="N78" s="39"/>
      <c r="O78" s="48"/>
      <c r="P78" s="48"/>
      <c r="Q78" s="48"/>
      <c r="R78" s="48">
        <f t="shared" si="13"/>
        <v>0</v>
      </c>
      <c r="S78" s="40"/>
      <c r="T78" s="39"/>
      <c r="U78" s="48"/>
      <c r="V78" s="48">
        <f t="shared" si="14"/>
        <v>0</v>
      </c>
      <c r="W78" s="40"/>
      <c r="X78" s="39"/>
      <c r="Y78" s="48"/>
      <c r="Z78" s="48"/>
      <c r="AA78" s="48"/>
      <c r="AB78" s="48">
        <f t="shared" si="15"/>
        <v>0</v>
      </c>
      <c r="AC78" s="40"/>
      <c r="AD78" s="48"/>
      <c r="AH78" s="44">
        <v>0</v>
      </c>
      <c r="AI78" s="40"/>
      <c r="AN78" s="44">
        <v>0</v>
      </c>
      <c r="AO78" s="40"/>
      <c r="AT78" s="44">
        <v>0</v>
      </c>
      <c r="AU78" s="40"/>
      <c r="AV78" s="39"/>
      <c r="AX78" s="44">
        <v>0</v>
      </c>
      <c r="AY78" s="40"/>
      <c r="AZ78" s="39"/>
      <c r="BB78" s="44">
        <v>0</v>
      </c>
      <c r="BC78" s="40"/>
      <c r="BH78" s="44">
        <v>0</v>
      </c>
      <c r="BI78" s="40"/>
      <c r="BL78" s="44">
        <v>0</v>
      </c>
      <c r="BM78" s="40"/>
      <c r="BN78" s="39"/>
      <c r="BR78" s="44">
        <v>0</v>
      </c>
      <c r="BS78" s="40"/>
      <c r="BV78" s="44">
        <v>0</v>
      </c>
      <c r="BW78" s="40"/>
      <c r="BX78" s="39"/>
      <c r="BZ78" s="44">
        <v>0</v>
      </c>
      <c r="CA78" s="40"/>
      <c r="CB78" s="39"/>
      <c r="CH78" s="44">
        <v>0</v>
      </c>
      <c r="CI78" s="40"/>
      <c r="CN78" s="44">
        <v>0</v>
      </c>
      <c r="CO78" s="40"/>
      <c r="CP78" s="39"/>
      <c r="CT78" s="44">
        <v>0</v>
      </c>
      <c r="CU78" s="40"/>
      <c r="CV78" s="39"/>
      <c r="CZ78" s="44">
        <v>0</v>
      </c>
      <c r="DA78" s="40"/>
      <c r="DB78" s="39"/>
      <c r="DF78" s="44">
        <v>0</v>
      </c>
      <c r="DG78" s="40"/>
      <c r="DN78" s="44">
        <v>0</v>
      </c>
      <c r="DO78" s="40"/>
      <c r="DP78" s="39"/>
      <c r="DR78" s="44">
        <v>0</v>
      </c>
      <c r="DS78" s="40"/>
      <c r="DT78" s="39"/>
      <c r="DX78" s="44">
        <v>0</v>
      </c>
      <c r="DY78" s="40"/>
      <c r="DZ78" s="39"/>
      <c r="EB78" s="44">
        <v>0</v>
      </c>
      <c r="EC78" s="40"/>
      <c r="EK78" s="44">
        <v>0</v>
      </c>
      <c r="EL78" s="40"/>
      <c r="ES78" s="44">
        <v>0</v>
      </c>
      <c r="ET78" s="40"/>
      <c r="EU78" s="39"/>
      <c r="EY78" s="44">
        <v>0</v>
      </c>
      <c r="EZ78" s="40"/>
      <c r="FA78" s="39"/>
      <c r="FD78" s="44">
        <v>0</v>
      </c>
      <c r="FE78" s="40"/>
      <c r="FH78" s="44">
        <v>0</v>
      </c>
      <c r="FI78" s="40"/>
      <c r="FJ78" s="39"/>
      <c r="FQ78" s="44">
        <v>0</v>
      </c>
      <c r="FR78" s="40"/>
      <c r="FW78" s="44">
        <v>0</v>
      </c>
      <c r="FX78" s="40"/>
      <c r="FY78" s="39"/>
      <c r="GC78" s="44">
        <v>0</v>
      </c>
      <c r="GD78" s="40"/>
      <c r="GI78" s="44">
        <v>0</v>
      </c>
      <c r="GJ78" s="40"/>
      <c r="GM78" s="44">
        <v>0</v>
      </c>
      <c r="GN78" s="40"/>
      <c r="GO78" s="39"/>
      <c r="GQ78" s="44">
        <v>0</v>
      </c>
      <c r="GR78" s="40"/>
      <c r="GX78" s="44">
        <v>0</v>
      </c>
      <c r="GY78" s="40"/>
      <c r="HD78" s="44">
        <v>0</v>
      </c>
      <c r="HE78" s="40"/>
      <c r="HF78" s="39"/>
      <c r="HJ78" s="44">
        <v>0</v>
      </c>
      <c r="HK78" s="40"/>
      <c r="HL78" s="39"/>
      <c r="HP78" s="44">
        <v>0</v>
      </c>
      <c r="HQ78" s="40"/>
      <c r="HV78" s="44">
        <v>0</v>
      </c>
      <c r="HW78" s="43"/>
      <c r="IB78" s="44">
        <v>0</v>
      </c>
      <c r="IC78" s="43"/>
      <c r="IH78" s="44">
        <v>0</v>
      </c>
      <c r="II78" s="43"/>
      <c r="IN78" s="44">
        <v>0</v>
      </c>
      <c r="IO78" s="40"/>
      <c r="IR78" s="44">
        <v>0</v>
      </c>
      <c r="IS78" s="40"/>
      <c r="IX78" s="44">
        <v>0</v>
      </c>
      <c r="IY78" s="43"/>
      <c r="JB78" s="44">
        <v>0</v>
      </c>
      <c r="JC78" s="40"/>
      <c r="JH78" s="44">
        <v>0</v>
      </c>
      <c r="JI78" s="40"/>
      <c r="JN78" s="44">
        <v>0</v>
      </c>
      <c r="JO78" s="43"/>
      <c r="JT78" s="44">
        <v>0</v>
      </c>
      <c r="JU78" s="43"/>
      <c r="JZ78" s="44">
        <v>0</v>
      </c>
      <c r="KA78" s="43"/>
      <c r="KB78" s="42"/>
      <c r="KI78" s="44">
        <v>0</v>
      </c>
      <c r="KJ78" s="43"/>
      <c r="KK78" s="47">
        <v>0</v>
      </c>
      <c r="KL78" s="47">
        <v>0</v>
      </c>
      <c r="KM78" s="47">
        <v>0</v>
      </c>
      <c r="KN78" s="47">
        <v>0</v>
      </c>
      <c r="KO78" s="44">
        <v>0</v>
      </c>
      <c r="KP78" s="43"/>
      <c r="KQ78" s="47">
        <v>0</v>
      </c>
      <c r="KR78" s="47">
        <v>0</v>
      </c>
      <c r="KS78" s="47">
        <v>27.167999999999999</v>
      </c>
      <c r="KT78" s="47">
        <v>25</v>
      </c>
      <c r="KU78" s="44">
        <v>2.1679999999999988</v>
      </c>
      <c r="KV78" s="43"/>
      <c r="KW78" s="42">
        <v>44.682000000000002</v>
      </c>
      <c r="KX78" s="47">
        <v>45</v>
      </c>
      <c r="KY78" s="44">
        <v>-0.31799999999999778</v>
      </c>
      <c r="KZ78" s="43"/>
      <c r="LA78" s="42">
        <v>0</v>
      </c>
      <c r="LB78" s="47">
        <v>0</v>
      </c>
      <c r="LC78" s="47">
        <v>0</v>
      </c>
      <c r="LD78" s="47">
        <v>0</v>
      </c>
      <c r="LE78" s="44">
        <v>0</v>
      </c>
      <c r="LF78" s="43"/>
      <c r="LG78" s="42">
        <v>72.948999999999998</v>
      </c>
      <c r="LH78" s="47">
        <v>70</v>
      </c>
      <c r="LI78" s="47">
        <v>101.78</v>
      </c>
      <c r="LJ78" s="47">
        <v>100</v>
      </c>
      <c r="LK78" s="44">
        <v>4.728999999999985</v>
      </c>
      <c r="LL78" s="43"/>
      <c r="LM78" s="42">
        <v>0</v>
      </c>
      <c r="LN78" s="47">
        <v>0</v>
      </c>
      <c r="LO78" s="44">
        <v>0</v>
      </c>
      <c r="LP78" s="43"/>
      <c r="LQ78" s="42">
        <v>21.23</v>
      </c>
      <c r="LR78" s="47">
        <v>20</v>
      </c>
      <c r="LS78" s="47">
        <v>57.265999999999998</v>
      </c>
      <c r="LT78" s="47">
        <v>55</v>
      </c>
      <c r="LU78" s="44">
        <v>3.4959999999999951</v>
      </c>
      <c r="LV78" s="43"/>
      <c r="LW78" s="42">
        <v>60.046999999999997</v>
      </c>
      <c r="LX78" s="47">
        <v>60</v>
      </c>
      <c r="LY78" s="47">
        <v>0</v>
      </c>
      <c r="LZ78" s="47">
        <v>0</v>
      </c>
      <c r="MA78" s="44">
        <v>4.6999999999997037E-2</v>
      </c>
      <c r="MB78" s="43"/>
      <c r="MC78" s="42">
        <v>0</v>
      </c>
      <c r="MD78" s="47">
        <v>0</v>
      </c>
      <c r="ME78" s="47">
        <v>57.28</v>
      </c>
      <c r="MF78" s="47">
        <v>55</v>
      </c>
      <c r="MG78" s="44">
        <v>2.2800000000000011</v>
      </c>
      <c r="MH78" s="43"/>
      <c r="MI78" s="42">
        <v>0</v>
      </c>
      <c r="MJ78" s="47">
        <v>0</v>
      </c>
      <c r="MK78" s="47">
        <v>0</v>
      </c>
      <c r="ML78" s="47">
        <v>0</v>
      </c>
      <c r="MM78" s="44">
        <v>0</v>
      </c>
      <c r="MN78" s="43"/>
      <c r="MO78" s="42">
        <v>50.746000000000002</v>
      </c>
      <c r="MP78" s="47">
        <v>50</v>
      </c>
      <c r="MQ78" s="47">
        <v>103.43600000000001</v>
      </c>
      <c r="MR78" s="47">
        <v>100</v>
      </c>
      <c r="MS78" s="44">
        <v>4.1820000000000164</v>
      </c>
      <c r="MT78" s="43"/>
      <c r="MU78" s="22">
        <v>30.268999999999998</v>
      </c>
      <c r="MV78" s="47">
        <v>0</v>
      </c>
      <c r="MW78" s="47">
        <v>20.74</v>
      </c>
      <c r="MX78" s="47">
        <v>20</v>
      </c>
      <c r="MY78" s="44">
        <v>31.009</v>
      </c>
      <c r="MZ78" s="43"/>
      <c r="NA78" s="42">
        <v>51.179000000000002</v>
      </c>
      <c r="NB78" s="47">
        <v>50</v>
      </c>
      <c r="NC78" s="47">
        <v>101.908</v>
      </c>
      <c r="ND78" s="47">
        <v>100</v>
      </c>
      <c r="NE78" s="44">
        <v>3.0869999999999891</v>
      </c>
      <c r="NF78" s="43"/>
      <c r="NG78" s="42">
        <v>0</v>
      </c>
      <c r="NH78" s="47">
        <v>0</v>
      </c>
      <c r="NI78" s="47">
        <v>161.56</v>
      </c>
      <c r="NJ78" s="47">
        <v>160</v>
      </c>
      <c r="NK78" s="44">
        <v>1.5600000000000021</v>
      </c>
      <c r="NL78" s="43"/>
      <c r="NM78" s="42">
        <v>0</v>
      </c>
      <c r="NN78" s="47">
        <v>0</v>
      </c>
      <c r="NO78" s="47">
        <v>71.84</v>
      </c>
      <c r="NP78" s="47">
        <v>70</v>
      </c>
      <c r="NQ78" s="44">
        <v>1.840000000000003</v>
      </c>
      <c r="NR78" s="43"/>
      <c r="NS78" s="42">
        <v>36.07</v>
      </c>
      <c r="NT78" s="47">
        <v>40</v>
      </c>
      <c r="NU78" s="47">
        <v>0</v>
      </c>
      <c r="NV78" s="47">
        <v>0</v>
      </c>
      <c r="NW78" s="44">
        <v>-3.93</v>
      </c>
      <c r="NX78" s="43"/>
      <c r="NY78" s="42">
        <v>0</v>
      </c>
      <c r="NZ78" s="47">
        <v>0</v>
      </c>
      <c r="OA78" s="47">
        <v>281.46600000000001</v>
      </c>
      <c r="OB78" s="47">
        <v>280</v>
      </c>
      <c r="OC78" s="44">
        <v>1.466000000000008</v>
      </c>
      <c r="OD78" s="43"/>
      <c r="OE78" s="42">
        <v>0</v>
      </c>
      <c r="OF78" s="47">
        <v>0</v>
      </c>
      <c r="OG78" s="47">
        <v>21.184000000000001</v>
      </c>
      <c r="OH78" s="47">
        <v>20</v>
      </c>
      <c r="OI78" s="44">
        <v>1.1840000000000011</v>
      </c>
      <c r="OJ78" s="43"/>
      <c r="OK78" s="42">
        <v>0</v>
      </c>
      <c r="OL78" s="47">
        <v>0</v>
      </c>
      <c r="OM78" s="47">
        <v>26.882999999999999</v>
      </c>
      <c r="ON78" s="47">
        <v>25</v>
      </c>
      <c r="OO78" s="44">
        <v>1.8829999999999989</v>
      </c>
      <c r="OP78" s="43"/>
      <c r="OQ78" s="42">
        <v>102.265</v>
      </c>
      <c r="OR78" s="47">
        <v>100</v>
      </c>
      <c r="OS78" s="47">
        <v>93.525000000000006</v>
      </c>
      <c r="OT78" s="47">
        <v>91</v>
      </c>
      <c r="OU78" s="44">
        <v>4.7900000000000196</v>
      </c>
      <c r="OV78" s="43"/>
      <c r="OW78" s="42">
        <v>11.997</v>
      </c>
      <c r="OX78" s="47">
        <v>0</v>
      </c>
      <c r="OY78" s="47">
        <v>50.853999999999999</v>
      </c>
      <c r="OZ78" s="47">
        <v>50</v>
      </c>
      <c r="PA78" s="44">
        <v>12.851000000000001</v>
      </c>
      <c r="PB78" s="43"/>
      <c r="PC78" s="42">
        <v>0</v>
      </c>
      <c r="PD78" s="47">
        <v>0</v>
      </c>
      <c r="PE78" s="47">
        <v>36.381999999999998</v>
      </c>
      <c r="PF78" s="47">
        <v>36</v>
      </c>
      <c r="PG78" s="44">
        <v>0.3819999999999979</v>
      </c>
      <c r="PH78" s="43"/>
      <c r="PI78" s="42">
        <v>0</v>
      </c>
      <c r="PJ78" s="47">
        <v>0</v>
      </c>
      <c r="PK78" s="47">
        <v>87.78</v>
      </c>
      <c r="PL78" s="47">
        <v>85</v>
      </c>
      <c r="PM78" s="44">
        <v>2.7800000000000011</v>
      </c>
      <c r="PN78" s="43"/>
      <c r="PO78" s="42">
        <v>0</v>
      </c>
      <c r="PP78" s="47">
        <v>0</v>
      </c>
      <c r="PQ78" s="47">
        <v>51.072000000000003</v>
      </c>
      <c r="PR78" s="47">
        <v>50</v>
      </c>
      <c r="PS78" s="44">
        <v>1.072000000000003</v>
      </c>
      <c r="PT78" s="43"/>
      <c r="PU78" s="42">
        <v>50.753999999999998</v>
      </c>
      <c r="PV78" s="47">
        <v>50</v>
      </c>
      <c r="PW78" s="47">
        <v>0</v>
      </c>
      <c r="PX78" s="47">
        <v>0</v>
      </c>
      <c r="PY78" s="44">
        <v>0.75399999999999778</v>
      </c>
      <c r="PZ78" s="43"/>
      <c r="QA78" s="42">
        <v>0</v>
      </c>
      <c r="QB78" s="47">
        <v>0</v>
      </c>
      <c r="QC78" s="44">
        <v>0</v>
      </c>
      <c r="QD78" s="43"/>
      <c r="QE78" s="42">
        <v>0</v>
      </c>
      <c r="QF78" s="47">
        <v>0</v>
      </c>
      <c r="QG78" s="44">
        <v>0</v>
      </c>
      <c r="QH78" s="43"/>
      <c r="QI78" s="42">
        <v>0</v>
      </c>
      <c r="QJ78" s="47">
        <v>0</v>
      </c>
      <c r="QK78" s="44">
        <v>0</v>
      </c>
      <c r="QL78" s="43"/>
      <c r="QM78" s="42">
        <v>0</v>
      </c>
      <c r="QN78" s="47">
        <v>0</v>
      </c>
      <c r="QO78" s="47">
        <v>0</v>
      </c>
      <c r="QP78" s="47">
        <v>0</v>
      </c>
      <c r="QQ78" s="44">
        <v>0</v>
      </c>
      <c r="QR78" s="43"/>
      <c r="QS78" s="42">
        <v>0</v>
      </c>
      <c r="QT78" s="47">
        <v>0</v>
      </c>
      <c r="QU78" s="44">
        <v>0</v>
      </c>
      <c r="QV78" s="43"/>
      <c r="QW78" s="42">
        <v>0</v>
      </c>
      <c r="QX78" s="47">
        <v>0</v>
      </c>
      <c r="QY78" s="44">
        <v>0</v>
      </c>
      <c r="QZ78" s="43"/>
    </row>
    <row r="79" spans="1:468" x14ac:dyDescent="0.25">
      <c r="A79" s="47" t="s">
        <v>363</v>
      </c>
      <c r="B79" s="38">
        <v>1</v>
      </c>
      <c r="I79">
        <v>100</v>
      </c>
      <c r="J79">
        <v>131</v>
      </c>
      <c r="K79">
        <v>124</v>
      </c>
      <c r="N79" s="39"/>
      <c r="O79" s="48"/>
      <c r="P79" s="48"/>
      <c r="Q79" s="48"/>
      <c r="R79" s="48">
        <f t="shared" si="13"/>
        <v>0</v>
      </c>
      <c r="S79" s="40"/>
      <c r="T79" s="41">
        <v>106</v>
      </c>
      <c r="U79" s="49">
        <v>100</v>
      </c>
      <c r="V79" s="48">
        <f t="shared" si="14"/>
        <v>6</v>
      </c>
      <c r="W79" s="40"/>
      <c r="X79" s="39"/>
      <c r="Y79" s="48"/>
      <c r="Z79" s="49">
        <v>142</v>
      </c>
      <c r="AA79" s="49">
        <v>135</v>
      </c>
      <c r="AB79" s="48">
        <f t="shared" si="15"/>
        <v>7</v>
      </c>
      <c r="AC79" s="40"/>
      <c r="AD79" s="48"/>
      <c r="AH79" s="44">
        <v>0</v>
      </c>
      <c r="AI79" s="40"/>
      <c r="AL79">
        <v>6</v>
      </c>
      <c r="AM79">
        <v>4</v>
      </c>
      <c r="AN79" s="44">
        <v>2</v>
      </c>
      <c r="AO79" s="40"/>
      <c r="AP79">
        <v>53</v>
      </c>
      <c r="AQ79">
        <v>50</v>
      </c>
      <c r="AR79">
        <v>66</v>
      </c>
      <c r="AS79">
        <v>63</v>
      </c>
      <c r="AT79" s="44">
        <v>6</v>
      </c>
      <c r="AU79" s="40"/>
      <c r="AV79" s="39"/>
      <c r="AX79" s="44">
        <v>0</v>
      </c>
      <c r="AY79" s="40"/>
      <c r="AZ79" s="41">
        <v>82</v>
      </c>
      <c r="BA79">
        <v>79</v>
      </c>
      <c r="BB79" s="44">
        <v>3</v>
      </c>
      <c r="BC79" s="40"/>
      <c r="BH79" s="44">
        <v>0</v>
      </c>
      <c r="BI79" s="40"/>
      <c r="BL79" s="44">
        <v>0</v>
      </c>
      <c r="BM79" s="40"/>
      <c r="BN79" s="39"/>
      <c r="BP79">
        <v>40</v>
      </c>
      <c r="BQ79">
        <v>37</v>
      </c>
      <c r="BR79" s="44">
        <v>3</v>
      </c>
      <c r="BS79" s="40"/>
      <c r="BT79">
        <v>123</v>
      </c>
      <c r="BU79">
        <v>120</v>
      </c>
      <c r="BV79" s="44">
        <v>3</v>
      </c>
      <c r="BW79" s="40"/>
      <c r="BX79" s="39"/>
      <c r="BZ79" s="44">
        <v>0</v>
      </c>
      <c r="CA79" s="40"/>
      <c r="CB79" s="39"/>
      <c r="CD79">
        <v>31</v>
      </c>
      <c r="CG79">
        <v>30</v>
      </c>
      <c r="CH79" s="44">
        <v>1</v>
      </c>
      <c r="CI79" s="40"/>
      <c r="CJ79">
        <v>22</v>
      </c>
      <c r="CK79">
        <v>20</v>
      </c>
      <c r="CL79">
        <v>155</v>
      </c>
      <c r="CM79">
        <v>150</v>
      </c>
      <c r="CN79" s="44">
        <v>7</v>
      </c>
      <c r="CO79" s="40"/>
      <c r="CP79" s="39"/>
      <c r="CT79" s="44">
        <v>0</v>
      </c>
      <c r="CU79" s="40"/>
      <c r="CV79" s="39"/>
      <c r="CX79">
        <v>19</v>
      </c>
      <c r="CY79">
        <v>16</v>
      </c>
      <c r="CZ79" s="44">
        <v>3</v>
      </c>
      <c r="DA79" s="40"/>
      <c r="DB79" s="41">
        <v>53</v>
      </c>
      <c r="DC79">
        <v>50</v>
      </c>
      <c r="DD79">
        <v>63</v>
      </c>
      <c r="DE79">
        <v>60</v>
      </c>
      <c r="DF79" s="44">
        <v>6</v>
      </c>
      <c r="DG79" s="40"/>
      <c r="DJ79">
        <v>69</v>
      </c>
      <c r="DK79">
        <v>66</v>
      </c>
      <c r="DN79" s="44">
        <v>3</v>
      </c>
      <c r="DO79" s="40"/>
      <c r="DP79" s="41">
        <v>40</v>
      </c>
      <c r="DQ79">
        <v>39</v>
      </c>
      <c r="DR79" s="44">
        <v>1</v>
      </c>
      <c r="DS79" s="40"/>
      <c r="DT79" s="39"/>
      <c r="DX79" s="44">
        <v>0</v>
      </c>
      <c r="DY79" s="40"/>
      <c r="DZ79" s="39"/>
      <c r="EB79" s="44">
        <v>0</v>
      </c>
      <c r="EC79" s="40"/>
      <c r="ED79">
        <v>53</v>
      </c>
      <c r="EE79">
        <v>50</v>
      </c>
      <c r="EG79">
        <v>53</v>
      </c>
      <c r="EH79">
        <v>50</v>
      </c>
      <c r="EI79">
        <v>62</v>
      </c>
      <c r="EJ79">
        <v>60</v>
      </c>
      <c r="EK79" s="44">
        <v>8</v>
      </c>
      <c r="EL79" s="40"/>
      <c r="ES79" s="44">
        <v>0</v>
      </c>
      <c r="ET79" s="40"/>
      <c r="EU79" s="39"/>
      <c r="EW79">
        <v>41</v>
      </c>
      <c r="EX79">
        <v>38</v>
      </c>
      <c r="EY79" s="44">
        <v>3</v>
      </c>
      <c r="EZ79" s="40"/>
      <c r="FA79" s="39"/>
      <c r="FD79" s="44">
        <v>0</v>
      </c>
      <c r="FE79" s="40"/>
      <c r="FH79" s="44">
        <v>0</v>
      </c>
      <c r="FI79" s="40"/>
      <c r="FJ79" s="39"/>
      <c r="FL79">
        <v>53</v>
      </c>
      <c r="FN79">
        <v>50</v>
      </c>
      <c r="FO79">
        <v>74</v>
      </c>
      <c r="FP79">
        <v>70</v>
      </c>
      <c r="FQ79" s="44">
        <v>7</v>
      </c>
      <c r="FR79" s="40"/>
      <c r="FW79" s="44">
        <v>0</v>
      </c>
      <c r="FX79" s="40"/>
      <c r="FY79" s="39"/>
      <c r="GA79">
        <v>63</v>
      </c>
      <c r="GB79">
        <v>60</v>
      </c>
      <c r="GC79" s="44">
        <v>3</v>
      </c>
      <c r="GD79" s="40"/>
      <c r="GG79">
        <v>9</v>
      </c>
      <c r="GH79">
        <v>7</v>
      </c>
      <c r="GI79" s="44">
        <v>2</v>
      </c>
      <c r="GJ79" s="40"/>
      <c r="GM79" s="44">
        <v>0</v>
      </c>
      <c r="GN79" s="40"/>
      <c r="GO79" s="39"/>
      <c r="GQ79" s="44">
        <v>0</v>
      </c>
      <c r="GR79" s="40"/>
      <c r="GV79">
        <v>75</v>
      </c>
      <c r="GW79">
        <v>70</v>
      </c>
      <c r="GX79" s="44">
        <v>5</v>
      </c>
      <c r="GY79" s="40"/>
      <c r="HB79">
        <v>12</v>
      </c>
      <c r="HC79">
        <v>10</v>
      </c>
      <c r="HD79" s="44">
        <v>2</v>
      </c>
      <c r="HE79" s="40"/>
      <c r="HF79" s="39"/>
      <c r="HH79">
        <v>79</v>
      </c>
      <c r="HI79">
        <v>80</v>
      </c>
      <c r="HJ79" s="44">
        <v>-1</v>
      </c>
      <c r="HK79" s="40"/>
      <c r="HL79" s="39"/>
      <c r="HP79" s="44">
        <v>0</v>
      </c>
      <c r="HQ79" s="40"/>
      <c r="HT79">
        <v>51</v>
      </c>
      <c r="HU79">
        <v>50</v>
      </c>
      <c r="HV79" s="44">
        <v>1</v>
      </c>
      <c r="HW79" s="43"/>
      <c r="HZ79">
        <v>89</v>
      </c>
      <c r="IA79">
        <v>90</v>
      </c>
      <c r="IB79" s="44">
        <v>-1</v>
      </c>
      <c r="IC79" s="43"/>
      <c r="IH79" s="44">
        <v>0</v>
      </c>
      <c r="II79" s="43"/>
      <c r="IJ79">
        <v>111</v>
      </c>
      <c r="IK79">
        <v>110</v>
      </c>
      <c r="IL79">
        <v>90</v>
      </c>
      <c r="IM79">
        <v>90</v>
      </c>
      <c r="IN79" s="44">
        <v>1</v>
      </c>
      <c r="IO79" s="40"/>
      <c r="IR79" s="44">
        <v>0</v>
      </c>
      <c r="IS79" s="40"/>
      <c r="IT79">
        <v>6</v>
      </c>
      <c r="IU79">
        <v>4</v>
      </c>
      <c r="IX79" s="44">
        <v>2</v>
      </c>
      <c r="IY79" s="43"/>
      <c r="IZ79">
        <v>89</v>
      </c>
      <c r="JA79" s="47">
        <v>90</v>
      </c>
      <c r="JB79" s="44">
        <v>-1</v>
      </c>
      <c r="JC79" s="40"/>
      <c r="JF79">
        <v>90</v>
      </c>
      <c r="JG79">
        <v>90</v>
      </c>
      <c r="JH79" s="44">
        <v>0</v>
      </c>
      <c r="JI79" s="40"/>
      <c r="JN79" s="44">
        <v>0</v>
      </c>
      <c r="JO79" s="43"/>
      <c r="JT79" s="44">
        <v>0</v>
      </c>
      <c r="JU79" s="43"/>
      <c r="JX79">
        <v>59</v>
      </c>
      <c r="JY79">
        <v>60</v>
      </c>
      <c r="JZ79" s="44">
        <v>-1</v>
      </c>
      <c r="KA79" s="43"/>
      <c r="KB79" s="42"/>
      <c r="KE79">
        <v>60</v>
      </c>
      <c r="KF79" s="47">
        <v>60</v>
      </c>
      <c r="KG79">
        <v>75</v>
      </c>
      <c r="KH79" s="47">
        <v>75</v>
      </c>
      <c r="KI79" s="44">
        <v>0</v>
      </c>
      <c r="KJ79" s="43"/>
      <c r="KK79" s="47">
        <v>0</v>
      </c>
      <c r="KL79" s="47">
        <v>0</v>
      </c>
      <c r="KM79" s="47">
        <v>29.893000000000001</v>
      </c>
      <c r="KN79" s="47">
        <v>30</v>
      </c>
      <c r="KO79" s="44">
        <v>-0.1069999999999993</v>
      </c>
      <c r="KP79" s="43"/>
      <c r="KV79" s="43"/>
      <c r="KW79" s="42"/>
      <c r="KZ79" s="43"/>
      <c r="LA79" s="42"/>
      <c r="LF79" s="43"/>
      <c r="LG79" s="42"/>
      <c r="LL79" s="43"/>
      <c r="LM79" s="42"/>
      <c r="LP79" s="43"/>
      <c r="LQ79" s="42"/>
      <c r="LV79" s="43"/>
      <c r="LW79" s="42"/>
      <c r="MB79" s="43"/>
      <c r="MC79" s="42"/>
      <c r="MH79" s="43"/>
      <c r="MI79" s="42"/>
      <c r="MN79" s="43"/>
      <c r="MO79" s="42"/>
      <c r="MT79" s="43"/>
      <c r="MU79" s="42"/>
      <c r="MZ79" s="43"/>
      <c r="NA79" s="42"/>
      <c r="NF79" s="43"/>
      <c r="NG79" s="42"/>
      <c r="NL79" s="43"/>
      <c r="NM79" s="42"/>
      <c r="NR79" s="43"/>
      <c r="NS79" s="42"/>
      <c r="NX79" s="43"/>
      <c r="NY79" s="42"/>
      <c r="OD79" s="43"/>
      <c r="OE79" s="42"/>
      <c r="OJ79" s="43"/>
      <c r="OK79" s="42"/>
      <c r="OP79" s="43"/>
      <c r="OQ79" s="42"/>
      <c r="OV79" s="43"/>
      <c r="OW79" s="42"/>
      <c r="PB79" s="43"/>
      <c r="PC79" s="42"/>
      <c r="PH79" s="43"/>
      <c r="PI79" s="42"/>
      <c r="PN79" s="43"/>
      <c r="PO79" s="42"/>
      <c r="PT79" s="43"/>
      <c r="PU79" s="42"/>
      <c r="PZ79" s="43"/>
      <c r="QA79" s="42"/>
      <c r="QD79" s="43"/>
      <c r="QE79" s="42"/>
      <c r="QH79" s="43"/>
      <c r="QI79" s="42"/>
      <c r="QL79" s="43"/>
      <c r="QM79" s="42"/>
      <c r="QR79" s="43"/>
      <c r="QS79" s="42"/>
      <c r="QV79" s="43"/>
      <c r="QW79" s="42"/>
      <c r="QY79" s="44"/>
      <c r="QZ79" s="43"/>
    </row>
    <row r="80" spans="1:468" x14ac:dyDescent="0.25">
      <c r="A80" s="47" t="s">
        <v>364</v>
      </c>
      <c r="B80" s="38">
        <v>0.4</v>
      </c>
      <c r="K80">
        <v>30</v>
      </c>
      <c r="N80" s="39"/>
      <c r="O80" s="48"/>
      <c r="P80" s="48"/>
      <c r="Q80" s="48"/>
      <c r="R80" s="48">
        <f t="shared" si="13"/>
        <v>0</v>
      </c>
      <c r="S80" s="40"/>
      <c r="T80" s="39"/>
      <c r="U80" s="49">
        <v>220</v>
      </c>
      <c r="V80" s="53">
        <f t="shared" si="14"/>
        <v>-220</v>
      </c>
      <c r="W80" s="40">
        <f>-1*V80*B80</f>
        <v>88</v>
      </c>
      <c r="X80" s="39"/>
      <c r="Y80" s="48"/>
      <c r="Z80" s="48"/>
      <c r="AA80" s="48"/>
      <c r="AB80" s="48">
        <f t="shared" si="15"/>
        <v>0</v>
      </c>
      <c r="AC80" s="40"/>
      <c r="AD80" s="48"/>
      <c r="AH80" s="44">
        <v>0</v>
      </c>
      <c r="AI80" s="40"/>
      <c r="AN80" s="44">
        <v>0</v>
      </c>
      <c r="AO80" s="40"/>
      <c r="AT80" s="44">
        <v>0</v>
      </c>
      <c r="AU80" s="40"/>
      <c r="AV80" s="39"/>
      <c r="AX80" s="44">
        <v>0</v>
      </c>
      <c r="AY80" s="40"/>
      <c r="AZ80" s="39"/>
      <c r="BB80" s="44">
        <v>0</v>
      </c>
      <c r="BC80" s="40"/>
      <c r="BD80">
        <v>42</v>
      </c>
      <c r="BE80">
        <v>40</v>
      </c>
      <c r="BF80">
        <v>42</v>
      </c>
      <c r="BG80">
        <v>40</v>
      </c>
      <c r="BH80" s="44">
        <v>4</v>
      </c>
      <c r="BI80" s="40"/>
      <c r="BJ80">
        <v>48</v>
      </c>
      <c r="BK80">
        <v>50</v>
      </c>
      <c r="BL80" s="44">
        <v>-2</v>
      </c>
      <c r="BM80" s="40"/>
      <c r="BN80" s="41">
        <v>102</v>
      </c>
      <c r="BO80" s="44">
        <v>100</v>
      </c>
      <c r="BP80">
        <v>252</v>
      </c>
      <c r="BQ80" s="44">
        <v>250</v>
      </c>
      <c r="BR80" s="44">
        <v>4</v>
      </c>
      <c r="BS80" s="40"/>
      <c r="BV80" s="44">
        <v>0</v>
      </c>
      <c r="BW80" s="40"/>
      <c r="BX80" s="41">
        <v>66</v>
      </c>
      <c r="BY80">
        <v>70</v>
      </c>
      <c r="BZ80" s="44">
        <v>-4</v>
      </c>
      <c r="CA80" s="40"/>
      <c r="CB80" s="41">
        <v>150</v>
      </c>
      <c r="CC80" s="44">
        <v>150</v>
      </c>
      <c r="CH80" s="44">
        <v>0</v>
      </c>
      <c r="CI80" s="40"/>
      <c r="CK80" s="47"/>
      <c r="CM80" s="47"/>
      <c r="CN80" s="44">
        <v>0</v>
      </c>
      <c r="CO80" s="40"/>
      <c r="CP80" s="39"/>
      <c r="CT80" s="44">
        <v>0</v>
      </c>
      <c r="CU80" s="40"/>
      <c r="CV80" s="42"/>
      <c r="CZ80" s="44">
        <v>0</v>
      </c>
      <c r="DA80" s="40"/>
      <c r="DB80" s="42"/>
      <c r="DF80" s="44">
        <v>0</v>
      </c>
      <c r="DG80" s="40"/>
      <c r="DO80" s="40"/>
      <c r="DP80" s="41"/>
      <c r="DS80" s="40"/>
      <c r="DT80" s="39"/>
      <c r="DY80" s="40"/>
      <c r="DZ80" s="39"/>
      <c r="EC80" s="40"/>
      <c r="EL80" s="40"/>
      <c r="ET80" s="40"/>
      <c r="EU80" s="39"/>
      <c r="EZ80" s="40"/>
      <c r="FA80" s="39"/>
      <c r="FE80" s="40"/>
      <c r="FI80" s="40"/>
      <c r="FJ80" s="39"/>
      <c r="FR80" s="40"/>
      <c r="FX80" s="40"/>
      <c r="FY80" s="39"/>
      <c r="GD80" s="40"/>
      <c r="GJ80" s="40"/>
      <c r="GN80" s="40"/>
      <c r="GO80" s="39"/>
      <c r="GR80" s="40"/>
      <c r="GY80" s="40"/>
      <c r="HE80" s="40"/>
      <c r="HF80" s="39"/>
      <c r="HK80" s="40"/>
      <c r="HL80" s="39"/>
      <c r="HQ80" s="40"/>
      <c r="HW80" s="43"/>
      <c r="IC80" s="43"/>
      <c r="II80" s="43"/>
      <c r="IO80" s="40"/>
      <c r="IS80" s="40"/>
      <c r="IY80" s="43"/>
      <c r="JC80" s="40"/>
      <c r="JI80" s="40"/>
      <c r="JO80" s="43"/>
      <c r="JU80" s="43"/>
      <c r="KA80" s="43"/>
      <c r="KB80" s="42"/>
      <c r="KJ80" s="43"/>
      <c r="KP80" s="43"/>
      <c r="KV80" s="43"/>
      <c r="KW80" s="42"/>
      <c r="KZ80" s="43"/>
      <c r="LA80" s="42"/>
      <c r="LE80" s="44"/>
      <c r="LF80" s="43"/>
      <c r="LG80" s="42"/>
      <c r="LL80" s="43"/>
      <c r="LM80" s="42"/>
      <c r="LO80" s="44"/>
      <c r="LP80" s="43"/>
      <c r="LQ80" s="42"/>
      <c r="LS80" s="44"/>
      <c r="LV80" s="43"/>
      <c r="LW80" s="42"/>
      <c r="MB80" s="43"/>
      <c r="MC80" s="42"/>
      <c r="MH80" s="43"/>
      <c r="MI80" s="42"/>
      <c r="MN80" s="43"/>
      <c r="MO80" s="42"/>
      <c r="MT80" s="43"/>
      <c r="MU80" s="42"/>
      <c r="MZ80" s="43"/>
      <c r="NA80" s="42"/>
      <c r="NF80" s="43"/>
      <c r="NG80" s="42"/>
      <c r="NL80" s="43"/>
      <c r="NM80" s="42"/>
      <c r="NR80" s="43"/>
      <c r="NS80" s="42"/>
      <c r="NX80" s="43"/>
      <c r="NY80" s="42"/>
      <c r="OD80" s="43"/>
      <c r="OE80" s="42"/>
      <c r="OJ80" s="43"/>
      <c r="OK80" s="42"/>
      <c r="OP80" s="43"/>
      <c r="OQ80" s="42"/>
      <c r="OV80" s="43"/>
      <c r="OW80" s="42"/>
      <c r="PB80" s="43"/>
      <c r="PC80" s="42"/>
      <c r="PH80" s="43"/>
      <c r="PI80" s="42"/>
      <c r="PN80" s="43"/>
      <c r="PO80" s="42"/>
      <c r="PT80" s="43"/>
      <c r="PU80" s="42"/>
      <c r="PZ80" s="43"/>
      <c r="QA80" s="42"/>
      <c r="QD80" s="43"/>
      <c r="QE80" s="42"/>
      <c r="QH80" s="43"/>
      <c r="QI80" s="42"/>
      <c r="QL80" s="43"/>
      <c r="QM80" s="42"/>
      <c r="QR80" s="43"/>
      <c r="QS80" s="42"/>
      <c r="QV80" s="43"/>
      <c r="QW80" s="42"/>
      <c r="QY80" s="44"/>
      <c r="QZ80" s="43"/>
    </row>
    <row r="81" spans="1:468" x14ac:dyDescent="0.25">
      <c r="A81" s="47" t="s">
        <v>365</v>
      </c>
      <c r="B81" s="38">
        <v>0.3</v>
      </c>
      <c r="I81">
        <v>150</v>
      </c>
      <c r="J81">
        <v>176</v>
      </c>
      <c r="K81">
        <v>181</v>
      </c>
      <c r="N81" s="41">
        <v>56</v>
      </c>
      <c r="O81" s="49">
        <v>60</v>
      </c>
      <c r="P81" s="49">
        <v>88</v>
      </c>
      <c r="Q81" s="49">
        <v>86</v>
      </c>
      <c r="R81" s="48">
        <f t="shared" si="13"/>
        <v>-2</v>
      </c>
      <c r="S81" s="40"/>
      <c r="T81" s="39"/>
      <c r="U81" s="48"/>
      <c r="V81" s="48">
        <f t="shared" si="14"/>
        <v>0</v>
      </c>
      <c r="W81" s="40"/>
      <c r="X81" s="41">
        <v>96</v>
      </c>
      <c r="Y81" s="49">
        <v>100</v>
      </c>
      <c r="Z81" s="49">
        <v>128</v>
      </c>
      <c r="AA81" s="49">
        <v>131</v>
      </c>
      <c r="AB81" s="48">
        <f t="shared" si="15"/>
        <v>-7</v>
      </c>
      <c r="AC81" s="40"/>
      <c r="AD81" s="49">
        <v>96</v>
      </c>
      <c r="AE81">
        <v>100</v>
      </c>
      <c r="AF81">
        <v>256</v>
      </c>
      <c r="AG81">
        <v>254</v>
      </c>
      <c r="AH81" s="44">
        <v>-2</v>
      </c>
      <c r="AI81" s="40"/>
      <c r="AN81" s="44">
        <v>0</v>
      </c>
      <c r="AO81" s="40"/>
      <c r="AP81">
        <v>40</v>
      </c>
      <c r="AQ81">
        <v>50</v>
      </c>
      <c r="AT81" s="46">
        <v>-10</v>
      </c>
      <c r="AU81" s="40">
        <v>3</v>
      </c>
      <c r="AV81" s="41">
        <v>360</v>
      </c>
      <c r="AW81">
        <v>360</v>
      </c>
      <c r="AX81" s="44">
        <v>0</v>
      </c>
      <c r="AY81" s="40"/>
      <c r="AZ81" s="41">
        <v>160</v>
      </c>
      <c r="BA81">
        <v>160</v>
      </c>
      <c r="BB81" s="44">
        <v>0</v>
      </c>
      <c r="BC81" s="40"/>
      <c r="BH81" s="44">
        <v>0</v>
      </c>
      <c r="BI81" s="40"/>
      <c r="BL81" s="44">
        <v>0</v>
      </c>
      <c r="BM81" s="40"/>
      <c r="BN81" s="41">
        <v>96</v>
      </c>
      <c r="BO81">
        <v>100</v>
      </c>
      <c r="BP81">
        <v>424</v>
      </c>
      <c r="BQ81">
        <v>427</v>
      </c>
      <c r="BR81" s="44">
        <v>-7</v>
      </c>
      <c r="BS81" s="40"/>
      <c r="BV81" s="44">
        <v>0</v>
      </c>
      <c r="BW81" s="40"/>
      <c r="BX81" s="39"/>
      <c r="BZ81" s="44">
        <v>0</v>
      </c>
      <c r="CA81" s="40"/>
      <c r="CB81" s="39"/>
      <c r="CD81">
        <v>88</v>
      </c>
      <c r="CG81">
        <v>90</v>
      </c>
      <c r="CH81" s="44">
        <v>-2</v>
      </c>
      <c r="CI81" s="40"/>
      <c r="CJ81">
        <v>200</v>
      </c>
      <c r="CK81">
        <v>200</v>
      </c>
      <c r="CL81">
        <v>400</v>
      </c>
      <c r="CM81">
        <v>400</v>
      </c>
      <c r="CN81" s="44">
        <v>0</v>
      </c>
      <c r="CO81" s="40"/>
      <c r="CP81" s="39"/>
      <c r="CR81">
        <v>69</v>
      </c>
      <c r="CS81">
        <v>100</v>
      </c>
      <c r="CT81" s="46">
        <v>-31</v>
      </c>
      <c r="CU81" s="40">
        <v>9.2999999999999989</v>
      </c>
      <c r="CV81" s="39"/>
      <c r="CX81">
        <v>248</v>
      </c>
      <c r="CY81">
        <v>250</v>
      </c>
      <c r="CZ81" s="44">
        <v>-2</v>
      </c>
      <c r="DA81" s="40"/>
      <c r="DB81" s="41">
        <v>80</v>
      </c>
      <c r="DC81">
        <v>80</v>
      </c>
      <c r="DD81">
        <v>80</v>
      </c>
      <c r="DE81">
        <v>80</v>
      </c>
      <c r="DF81" s="44">
        <v>0</v>
      </c>
      <c r="DG81" s="40"/>
      <c r="DH81">
        <v>96</v>
      </c>
      <c r="DI81">
        <v>100</v>
      </c>
      <c r="DJ81">
        <v>216</v>
      </c>
      <c r="DK81">
        <v>220</v>
      </c>
      <c r="DL81">
        <v>96</v>
      </c>
      <c r="DM81">
        <v>100</v>
      </c>
      <c r="DN81" s="44">
        <v>-12</v>
      </c>
      <c r="DO81" s="40"/>
      <c r="DP81" s="41">
        <v>96</v>
      </c>
      <c r="DQ81">
        <v>100</v>
      </c>
      <c r="DR81" s="44">
        <v>-4</v>
      </c>
      <c r="DS81" s="40"/>
      <c r="DT81" s="41">
        <v>96</v>
      </c>
      <c r="DU81">
        <v>100</v>
      </c>
      <c r="DV81">
        <v>160</v>
      </c>
      <c r="DW81">
        <v>160</v>
      </c>
      <c r="DX81" s="44">
        <v>-4</v>
      </c>
      <c r="DY81" s="40"/>
      <c r="DZ81" s="39"/>
      <c r="EB81" s="44">
        <v>0</v>
      </c>
      <c r="EC81" s="40"/>
      <c r="ED81">
        <v>96</v>
      </c>
      <c r="EE81">
        <v>100</v>
      </c>
      <c r="EG81">
        <v>96</v>
      </c>
      <c r="EH81">
        <v>100</v>
      </c>
      <c r="EI81">
        <v>128</v>
      </c>
      <c r="EJ81">
        <v>130</v>
      </c>
      <c r="EK81" s="44">
        <v>-10</v>
      </c>
      <c r="EL81" s="40"/>
      <c r="EQ81">
        <v>48</v>
      </c>
      <c r="ER81">
        <v>50</v>
      </c>
      <c r="ES81" s="44">
        <v>-2</v>
      </c>
      <c r="ET81" s="40"/>
      <c r="EU81" s="41">
        <v>152</v>
      </c>
      <c r="EV81">
        <v>150</v>
      </c>
      <c r="EX81">
        <v>200</v>
      </c>
      <c r="EY81" s="46">
        <v>-198</v>
      </c>
      <c r="EZ81" s="40">
        <v>59.4</v>
      </c>
      <c r="FA81" s="39"/>
      <c r="FB81">
        <v>88</v>
      </c>
      <c r="FC81">
        <v>86</v>
      </c>
      <c r="FD81" s="44">
        <v>2</v>
      </c>
      <c r="FE81" s="40"/>
      <c r="FF81">
        <v>96</v>
      </c>
      <c r="FG81">
        <v>210</v>
      </c>
      <c r="FH81" s="46">
        <v>-114</v>
      </c>
      <c r="FI81" s="40">
        <v>34.200000000000003</v>
      </c>
      <c r="FJ81" s="39"/>
      <c r="FO81">
        <v>152</v>
      </c>
      <c r="FP81">
        <v>150</v>
      </c>
      <c r="FQ81" s="44">
        <v>2</v>
      </c>
      <c r="FR81" s="40"/>
      <c r="FS81">
        <v>56</v>
      </c>
      <c r="FT81">
        <v>60</v>
      </c>
      <c r="FU81">
        <v>56</v>
      </c>
      <c r="FV81">
        <v>60</v>
      </c>
      <c r="FW81" s="44">
        <v>-8</v>
      </c>
      <c r="FX81" s="40"/>
      <c r="FY81" s="39"/>
      <c r="GC81" s="44">
        <v>0</v>
      </c>
      <c r="GD81" s="40"/>
      <c r="GG81" s="47">
        <v>96</v>
      </c>
      <c r="GH81">
        <v>100</v>
      </c>
      <c r="GI81" s="44">
        <v>-4</v>
      </c>
      <c r="GJ81" s="40"/>
      <c r="GM81" s="44">
        <v>0</v>
      </c>
      <c r="GN81" s="40"/>
      <c r="GO81" s="39"/>
      <c r="GQ81" s="44">
        <v>0</v>
      </c>
      <c r="GR81" s="43"/>
      <c r="GX81" s="44">
        <v>0</v>
      </c>
      <c r="GY81" s="40"/>
      <c r="HE81" s="40"/>
      <c r="HF81" s="39"/>
      <c r="HK81" s="40"/>
      <c r="HL81" s="39"/>
      <c r="HQ81" s="40"/>
      <c r="HW81" s="43"/>
      <c r="IC81" s="43"/>
      <c r="II81" s="43"/>
      <c r="IO81" s="40"/>
      <c r="IS81" s="40"/>
      <c r="IY81" s="43"/>
      <c r="JC81" s="40"/>
      <c r="JI81" s="40"/>
      <c r="JO81" s="43"/>
      <c r="JU81" s="43"/>
      <c r="KA81" s="43"/>
      <c r="KB81" s="42"/>
      <c r="KJ81" s="43"/>
      <c r="KP81" s="43"/>
      <c r="KV81" s="43"/>
      <c r="KW81" s="42"/>
      <c r="KZ81" s="43"/>
      <c r="LA81" s="42"/>
      <c r="LF81" s="43"/>
      <c r="LG81" s="42"/>
      <c r="LL81" s="43"/>
      <c r="LM81" s="42"/>
      <c r="LP81" s="43"/>
      <c r="LQ81" s="42"/>
      <c r="LV81" s="43"/>
      <c r="LW81" s="42"/>
      <c r="MB81" s="43"/>
      <c r="MC81" s="42"/>
      <c r="MH81" s="43"/>
      <c r="MI81" s="42"/>
      <c r="MN81" s="43"/>
      <c r="MO81" s="42"/>
      <c r="MT81" s="43"/>
      <c r="MU81" s="42"/>
      <c r="MZ81" s="43"/>
      <c r="NA81" s="42"/>
      <c r="NF81" s="43"/>
      <c r="NG81" s="42"/>
      <c r="NL81" s="43"/>
      <c r="NM81" s="42"/>
      <c r="NR81" s="43"/>
      <c r="NS81" s="42"/>
      <c r="NX81" s="43"/>
      <c r="NY81" s="42"/>
      <c r="OD81" s="43"/>
      <c r="OE81" s="42"/>
      <c r="OJ81" s="43"/>
      <c r="OK81" s="42"/>
      <c r="OP81" s="43"/>
      <c r="OQ81" s="42"/>
      <c r="OV81" s="43"/>
      <c r="OW81" s="42"/>
      <c r="PB81" s="43"/>
      <c r="PC81" s="42"/>
      <c r="PH81" s="43"/>
      <c r="PI81" s="42"/>
      <c r="PN81" s="43"/>
      <c r="PO81" s="42"/>
      <c r="PT81" s="43"/>
      <c r="PU81" s="42"/>
      <c r="PZ81" s="43"/>
      <c r="QA81" s="42"/>
      <c r="QD81" s="43"/>
      <c r="QE81" s="42"/>
      <c r="QH81" s="43"/>
      <c r="QI81" s="42"/>
      <c r="QL81" s="43"/>
      <c r="QM81" s="42"/>
      <c r="QR81" s="43"/>
      <c r="QS81" s="42"/>
      <c r="QV81" s="43"/>
      <c r="QW81" s="42"/>
      <c r="QY81" s="44"/>
      <c r="QZ81" s="43"/>
    </row>
    <row r="82" spans="1:468" x14ac:dyDescent="0.25">
      <c r="A82" s="47" t="s">
        <v>366</v>
      </c>
      <c r="B82" s="38">
        <v>1</v>
      </c>
      <c r="N82" s="39"/>
      <c r="O82" s="48"/>
      <c r="P82" s="48"/>
      <c r="Q82" s="48"/>
      <c r="R82" s="48">
        <f t="shared" si="13"/>
        <v>0</v>
      </c>
      <c r="S82" s="40"/>
      <c r="T82" s="39"/>
      <c r="U82" s="48"/>
      <c r="V82" s="48">
        <f t="shared" si="14"/>
        <v>0</v>
      </c>
      <c r="W82" s="40"/>
      <c r="X82" s="39"/>
      <c r="Y82" s="48"/>
      <c r="Z82" s="48"/>
      <c r="AA82" s="48"/>
      <c r="AB82" s="48">
        <f t="shared" si="15"/>
        <v>0</v>
      </c>
      <c r="AC82" s="40"/>
      <c r="AD82" s="48"/>
      <c r="AH82" s="44">
        <v>0</v>
      </c>
      <c r="AI82" s="40"/>
      <c r="AN82" s="44">
        <v>0</v>
      </c>
      <c r="AO82" s="40"/>
      <c r="AT82" s="44">
        <v>0</v>
      </c>
      <c r="AU82" s="40"/>
      <c r="AV82" s="39"/>
      <c r="AX82" s="44">
        <v>0</v>
      </c>
      <c r="AY82" s="40"/>
      <c r="AZ82" s="39"/>
      <c r="BB82" s="44">
        <v>0</v>
      </c>
      <c r="BC82" s="40"/>
      <c r="BH82" s="44">
        <v>0</v>
      </c>
      <c r="BI82" s="40"/>
      <c r="BL82" s="44">
        <v>0</v>
      </c>
      <c r="BM82" s="40"/>
      <c r="BN82" s="39"/>
      <c r="BR82" s="44">
        <v>0</v>
      </c>
      <c r="BS82" s="40"/>
      <c r="BV82" s="44">
        <v>0</v>
      </c>
      <c r="BW82" s="40"/>
      <c r="BX82" s="39"/>
      <c r="BZ82" s="44">
        <v>0</v>
      </c>
      <c r="CA82" s="40"/>
      <c r="CB82" s="39"/>
      <c r="CH82" s="44">
        <v>0</v>
      </c>
      <c r="CI82" s="40"/>
      <c r="CL82">
        <v>7</v>
      </c>
      <c r="CM82">
        <v>4</v>
      </c>
      <c r="CN82" s="44">
        <v>3</v>
      </c>
      <c r="CO82" s="40"/>
      <c r="CP82" s="39"/>
      <c r="CT82" s="44">
        <v>0</v>
      </c>
      <c r="CU82" s="40"/>
      <c r="CV82" s="39"/>
      <c r="CZ82" s="44">
        <v>0</v>
      </c>
      <c r="DA82" s="40"/>
      <c r="DB82" s="39"/>
      <c r="DD82">
        <v>55</v>
      </c>
      <c r="DE82">
        <v>50</v>
      </c>
      <c r="DF82" s="44">
        <v>5</v>
      </c>
      <c r="DG82" s="40"/>
      <c r="DN82" s="44">
        <v>0</v>
      </c>
      <c r="DO82" s="40"/>
      <c r="DP82" s="39"/>
      <c r="DR82" s="44">
        <v>0</v>
      </c>
      <c r="DS82" s="40"/>
      <c r="DT82" s="39"/>
      <c r="DV82">
        <v>24</v>
      </c>
      <c r="DW82">
        <v>20</v>
      </c>
      <c r="DX82" s="44">
        <v>4</v>
      </c>
      <c r="DY82" s="40"/>
      <c r="DZ82" s="41">
        <v>7</v>
      </c>
      <c r="EA82">
        <v>4</v>
      </c>
      <c r="EB82" s="44">
        <v>3</v>
      </c>
      <c r="EC82" s="40"/>
      <c r="EK82" s="44">
        <v>0</v>
      </c>
      <c r="EL82" s="40"/>
      <c r="EQ82">
        <v>27</v>
      </c>
      <c r="ER82">
        <v>24</v>
      </c>
      <c r="ES82" s="44">
        <v>3</v>
      </c>
      <c r="ET82" s="40"/>
      <c r="EU82" s="39"/>
      <c r="EY82" s="44">
        <v>0</v>
      </c>
      <c r="EZ82" s="40"/>
      <c r="FA82" s="39"/>
      <c r="FD82" s="44">
        <v>0</v>
      </c>
      <c r="FE82" s="40"/>
      <c r="FH82" s="44">
        <v>0</v>
      </c>
      <c r="FI82" s="40"/>
      <c r="FJ82" s="39">
        <v>35</v>
      </c>
      <c r="FK82" s="44">
        <v>30</v>
      </c>
      <c r="FQ82" s="44">
        <v>5</v>
      </c>
      <c r="FR82" s="40"/>
      <c r="FW82" s="44">
        <v>0</v>
      </c>
      <c r="FX82" s="40"/>
      <c r="FY82" s="42"/>
      <c r="GD82" s="40"/>
      <c r="GJ82" s="40"/>
      <c r="GN82" s="40"/>
      <c r="GO82" s="39"/>
      <c r="GR82" s="43"/>
      <c r="GY82" s="40"/>
      <c r="HE82" s="40"/>
      <c r="HF82" s="39"/>
      <c r="HK82" s="40"/>
      <c r="HL82" s="39"/>
      <c r="HQ82" s="40"/>
      <c r="HW82" s="43"/>
      <c r="IC82" s="43"/>
      <c r="II82" s="43"/>
      <c r="IO82" s="40"/>
      <c r="IS82" s="40"/>
      <c r="IY82" s="43"/>
      <c r="JC82" s="40"/>
      <c r="JI82" s="40"/>
      <c r="JO82" s="43"/>
      <c r="JU82" s="43"/>
      <c r="KA82" s="43"/>
      <c r="KB82" s="42"/>
      <c r="KJ82" s="43"/>
      <c r="KP82" s="43"/>
      <c r="KV82" s="43"/>
      <c r="KW82" s="42"/>
      <c r="KZ82" s="43"/>
      <c r="LA82" s="42"/>
      <c r="LF82" s="43"/>
      <c r="LG82" s="42"/>
      <c r="LL82" s="43"/>
      <c r="LM82" s="42"/>
      <c r="LP82" s="43"/>
      <c r="LQ82" s="42"/>
      <c r="LV82" s="43"/>
      <c r="LW82" s="42"/>
      <c r="MB82" s="43"/>
      <c r="MC82" s="42"/>
      <c r="MH82" s="43"/>
      <c r="MI82" s="42"/>
      <c r="MN82" s="43"/>
      <c r="MO82" s="42"/>
      <c r="MT82" s="43"/>
      <c r="MU82" s="42"/>
      <c r="MZ82" s="43"/>
      <c r="NA82" s="42"/>
      <c r="NF82" s="43"/>
      <c r="NG82" s="42"/>
      <c r="NL82" s="43"/>
      <c r="NM82" s="42"/>
      <c r="NR82" s="43"/>
      <c r="NS82" s="42"/>
      <c r="NU82" s="44"/>
      <c r="NX82" s="43"/>
      <c r="NY82" s="42"/>
      <c r="OD82" s="43"/>
      <c r="OE82" s="42"/>
      <c r="OJ82" s="43"/>
      <c r="OK82" s="42"/>
      <c r="OP82" s="43"/>
      <c r="OQ82" s="42"/>
      <c r="OV82" s="43"/>
      <c r="OW82" s="42"/>
      <c r="PB82" s="43"/>
      <c r="PC82" s="42"/>
      <c r="PH82" s="43"/>
      <c r="PI82" s="42"/>
      <c r="PN82" s="43"/>
      <c r="PO82" s="42"/>
      <c r="PT82" s="43"/>
      <c r="PU82" s="42"/>
      <c r="PZ82" s="43"/>
      <c r="QA82" s="42"/>
      <c r="QD82" s="43"/>
      <c r="QE82" s="42"/>
      <c r="QH82" s="43"/>
      <c r="QI82" s="42"/>
      <c r="QL82" s="43"/>
      <c r="QM82" s="42"/>
      <c r="QR82" s="43"/>
      <c r="QS82" s="42"/>
      <c r="QV82" s="43"/>
      <c r="QW82" s="42"/>
      <c r="QY82" s="44"/>
      <c r="QZ82" s="43"/>
    </row>
    <row r="83" spans="1:468" x14ac:dyDescent="0.25">
      <c r="A83" s="47" t="s">
        <v>367</v>
      </c>
      <c r="B83" s="38">
        <v>1</v>
      </c>
      <c r="N83" s="39"/>
      <c r="O83" s="48"/>
      <c r="P83" s="48"/>
      <c r="Q83" s="48"/>
      <c r="R83" s="48">
        <f t="shared" si="13"/>
        <v>0</v>
      </c>
      <c r="S83" s="40"/>
      <c r="T83" s="39"/>
      <c r="U83" s="48"/>
      <c r="V83" s="48">
        <f t="shared" si="14"/>
        <v>0</v>
      </c>
      <c r="W83" s="40"/>
      <c r="X83" s="39"/>
      <c r="Y83" s="48"/>
      <c r="Z83" s="48"/>
      <c r="AA83" s="48"/>
      <c r="AB83" s="48">
        <f t="shared" si="15"/>
        <v>0</v>
      </c>
      <c r="AC83" s="40"/>
      <c r="AD83" s="48"/>
      <c r="AH83" s="44">
        <v>0</v>
      </c>
      <c r="AI83" s="40"/>
      <c r="AN83" s="44">
        <v>0</v>
      </c>
      <c r="AO83" s="40"/>
      <c r="AT83" s="44">
        <v>0</v>
      </c>
      <c r="AU83" s="40"/>
      <c r="AV83" s="39"/>
      <c r="AX83" s="44">
        <v>0</v>
      </c>
      <c r="AY83" s="40"/>
      <c r="AZ83" s="39"/>
      <c r="BB83" s="44">
        <v>0</v>
      </c>
      <c r="BC83" s="40"/>
      <c r="BH83" s="44">
        <v>0</v>
      </c>
      <c r="BI83" s="40"/>
      <c r="BL83" s="44">
        <v>0</v>
      </c>
      <c r="BM83" s="40"/>
      <c r="BN83" s="39"/>
      <c r="BR83" s="44">
        <v>0</v>
      </c>
      <c r="BS83" s="40"/>
      <c r="BV83" s="44">
        <v>0</v>
      </c>
      <c r="BW83" s="40"/>
      <c r="BX83" s="39"/>
      <c r="BZ83" s="44">
        <v>0</v>
      </c>
      <c r="CA83" s="40"/>
      <c r="CB83" s="39"/>
      <c r="CH83" s="44">
        <v>0</v>
      </c>
      <c r="CI83" s="40"/>
      <c r="CN83" s="44">
        <v>0</v>
      </c>
      <c r="CO83" s="40"/>
      <c r="CP83" s="39"/>
      <c r="CT83" s="44">
        <v>0</v>
      </c>
      <c r="CU83" s="40"/>
      <c r="CV83" s="39"/>
      <c r="CZ83" s="44">
        <v>0</v>
      </c>
      <c r="DA83" s="40"/>
      <c r="DB83" s="39"/>
      <c r="DF83" s="44">
        <v>0</v>
      </c>
      <c r="DG83" s="40"/>
      <c r="DN83" s="44">
        <v>0</v>
      </c>
      <c r="DO83" s="40"/>
      <c r="DP83" s="39"/>
      <c r="DR83" s="44">
        <v>0</v>
      </c>
      <c r="DS83" s="40"/>
      <c r="DT83" s="39"/>
      <c r="DX83" s="44">
        <v>0</v>
      </c>
      <c r="DY83" s="40"/>
      <c r="DZ83" s="39"/>
      <c r="EB83" s="44">
        <v>0</v>
      </c>
      <c r="EC83" s="40"/>
      <c r="EK83" s="44">
        <v>0</v>
      </c>
      <c r="EL83" s="40"/>
      <c r="ES83" s="44">
        <v>0</v>
      </c>
      <c r="ET83" s="40"/>
      <c r="EU83" s="39"/>
      <c r="EY83" s="44">
        <v>0</v>
      </c>
      <c r="EZ83" s="40"/>
      <c r="FA83" s="39"/>
      <c r="FD83" s="44">
        <v>0</v>
      </c>
      <c r="FE83" s="40"/>
      <c r="FH83" s="44">
        <v>0</v>
      </c>
      <c r="FI83" s="40"/>
      <c r="FJ83" s="39"/>
      <c r="FQ83" s="44">
        <v>0</v>
      </c>
      <c r="FR83" s="40"/>
      <c r="FW83" s="44">
        <v>0</v>
      </c>
      <c r="FX83" s="40"/>
      <c r="FY83" s="39"/>
      <c r="GC83" s="44">
        <v>0</v>
      </c>
      <c r="GD83" s="40"/>
      <c r="GI83" s="44">
        <v>0</v>
      </c>
      <c r="GJ83" s="40"/>
      <c r="GM83" s="44">
        <v>0</v>
      </c>
      <c r="GN83" s="40"/>
      <c r="GO83" s="39"/>
      <c r="GQ83" s="44">
        <v>0</v>
      </c>
      <c r="GR83" s="40"/>
      <c r="GX83" s="44">
        <v>0</v>
      </c>
      <c r="GY83" s="40"/>
      <c r="HD83" s="44">
        <v>0</v>
      </c>
      <c r="HE83" s="40"/>
      <c r="HF83" s="39"/>
      <c r="HJ83" s="44">
        <v>0</v>
      </c>
      <c r="HK83" s="40"/>
      <c r="HL83" s="39"/>
      <c r="HP83" s="44">
        <v>0</v>
      </c>
      <c r="HQ83" s="40"/>
      <c r="HV83" s="44">
        <v>0</v>
      </c>
      <c r="HW83" s="43"/>
      <c r="IB83" s="44">
        <v>0</v>
      </c>
      <c r="IC83" s="43"/>
      <c r="IH83" s="44">
        <v>0</v>
      </c>
      <c r="II83" s="43"/>
      <c r="IN83" s="44">
        <v>0</v>
      </c>
      <c r="IO83" s="40"/>
      <c r="IR83" s="44">
        <v>0</v>
      </c>
      <c r="IS83" s="40"/>
      <c r="IX83" s="44">
        <v>0</v>
      </c>
      <c r="IY83" s="43"/>
      <c r="JB83" s="44">
        <v>0</v>
      </c>
      <c r="JC83" s="40"/>
      <c r="JH83" s="44">
        <v>0</v>
      </c>
      <c r="JI83" s="40"/>
      <c r="JN83" s="44">
        <v>0</v>
      </c>
      <c r="JO83" s="43"/>
      <c r="JT83" s="44">
        <v>0</v>
      </c>
      <c r="JU83" s="43"/>
      <c r="JZ83" s="44">
        <v>0</v>
      </c>
      <c r="KA83" s="43"/>
      <c r="KB83" s="42"/>
      <c r="KI83" s="44">
        <v>0</v>
      </c>
      <c r="KJ83" s="43"/>
      <c r="KK83" s="47">
        <v>0</v>
      </c>
      <c r="KL83" s="47">
        <v>0</v>
      </c>
      <c r="KM83" s="47">
        <v>0</v>
      </c>
      <c r="KN83" s="47">
        <v>0</v>
      </c>
      <c r="KO83" s="44">
        <v>0</v>
      </c>
      <c r="KP83" s="43"/>
      <c r="KQ83" s="47">
        <v>0</v>
      </c>
      <c r="KR83" s="47">
        <v>0</v>
      </c>
      <c r="KS83" s="47">
        <v>0</v>
      </c>
      <c r="KT83" s="47">
        <v>0</v>
      </c>
      <c r="KU83" s="44">
        <v>0</v>
      </c>
      <c r="KV83" s="43"/>
      <c r="KW83" s="42">
        <v>0</v>
      </c>
      <c r="KX83" s="47">
        <v>0</v>
      </c>
      <c r="KY83" s="44">
        <v>0</v>
      </c>
      <c r="KZ83" s="43"/>
      <c r="LA83" s="42">
        <v>0</v>
      </c>
      <c r="LB83" s="47">
        <v>0</v>
      </c>
      <c r="LC83" s="47">
        <v>0</v>
      </c>
      <c r="LD83" s="47">
        <v>0</v>
      </c>
      <c r="LE83" s="44">
        <v>0</v>
      </c>
      <c r="LF83" s="43"/>
      <c r="LG83" s="42">
        <v>0</v>
      </c>
      <c r="LH83" s="47">
        <v>0</v>
      </c>
      <c r="LI83" s="47">
        <v>0</v>
      </c>
      <c r="LJ83" s="47">
        <v>0</v>
      </c>
      <c r="LK83" s="44">
        <v>0</v>
      </c>
      <c r="LL83" s="43"/>
      <c r="LM83" s="42">
        <v>0</v>
      </c>
      <c r="LN83" s="47">
        <v>0</v>
      </c>
      <c r="LO83" s="44">
        <v>0</v>
      </c>
      <c r="LP83" s="43"/>
      <c r="LQ83" s="42">
        <v>0</v>
      </c>
      <c r="LR83" s="47">
        <v>0</v>
      </c>
      <c r="LS83" s="47">
        <v>0</v>
      </c>
      <c r="LT83" s="47">
        <v>0</v>
      </c>
      <c r="LU83" s="44">
        <v>0</v>
      </c>
      <c r="LV83" s="43"/>
      <c r="LW83" s="42">
        <v>0</v>
      </c>
      <c r="LX83" s="47">
        <v>0</v>
      </c>
      <c r="LY83" s="47">
        <v>0</v>
      </c>
      <c r="LZ83" s="47">
        <v>0</v>
      </c>
      <c r="MA83" s="44">
        <v>0</v>
      </c>
      <c r="MB83" s="43"/>
      <c r="MC83" s="42">
        <v>0</v>
      </c>
      <c r="MD83" s="47">
        <v>0</v>
      </c>
      <c r="ME83" s="47">
        <v>0</v>
      </c>
      <c r="MF83" s="47">
        <v>0</v>
      </c>
      <c r="MG83" s="44">
        <v>0</v>
      </c>
      <c r="MH83" s="43"/>
      <c r="MI83" s="42">
        <v>0</v>
      </c>
      <c r="MJ83" s="47">
        <v>0</v>
      </c>
      <c r="MK83" s="47">
        <v>0</v>
      </c>
      <c r="ML83" s="47">
        <v>0</v>
      </c>
      <c r="MM83" s="44">
        <v>0</v>
      </c>
      <c r="MN83" s="43"/>
      <c r="MO83" s="42">
        <v>0</v>
      </c>
      <c r="MP83" s="47">
        <v>0</v>
      </c>
      <c r="MQ83" s="47">
        <v>0</v>
      </c>
      <c r="MR83" s="47">
        <v>0</v>
      </c>
      <c r="MS83" s="44">
        <v>0</v>
      </c>
      <c r="MT83" s="43"/>
      <c r="MU83" s="42">
        <v>0</v>
      </c>
      <c r="MV83" s="47">
        <v>0</v>
      </c>
      <c r="MW83" s="47">
        <v>0</v>
      </c>
      <c r="MX83" s="47">
        <v>0</v>
      </c>
      <c r="MY83" s="44">
        <v>0</v>
      </c>
      <c r="MZ83" s="43"/>
      <c r="NA83" s="42">
        <v>0</v>
      </c>
      <c r="NB83" s="47">
        <v>0</v>
      </c>
      <c r="NC83" s="47">
        <v>0</v>
      </c>
      <c r="ND83" s="47">
        <v>0</v>
      </c>
      <c r="NE83" s="44">
        <v>0</v>
      </c>
      <c r="NF83" s="43"/>
      <c r="NG83" s="42">
        <v>0</v>
      </c>
      <c r="NH83" s="47">
        <v>0</v>
      </c>
      <c r="NI83" s="47">
        <v>0</v>
      </c>
      <c r="NJ83" s="47">
        <v>0</v>
      </c>
      <c r="NK83" s="44">
        <v>0</v>
      </c>
      <c r="NL83" s="43"/>
      <c r="NM83" s="42">
        <v>0</v>
      </c>
      <c r="NN83" s="47">
        <v>0</v>
      </c>
      <c r="NO83" s="47">
        <v>0</v>
      </c>
      <c r="NP83" s="47">
        <v>0</v>
      </c>
      <c r="NQ83" s="44">
        <v>0</v>
      </c>
      <c r="NR83" s="43"/>
      <c r="NS83" s="42">
        <v>0</v>
      </c>
      <c r="NT83" s="47">
        <v>0</v>
      </c>
      <c r="NU83" s="47">
        <v>0</v>
      </c>
      <c r="NV83" s="47">
        <v>0</v>
      </c>
      <c r="NW83" s="44">
        <v>0</v>
      </c>
      <c r="NX83" s="43"/>
      <c r="NY83" s="42">
        <v>0</v>
      </c>
      <c r="NZ83" s="47">
        <v>0</v>
      </c>
      <c r="OA83" s="47">
        <v>0</v>
      </c>
      <c r="OB83" s="47">
        <v>0</v>
      </c>
      <c r="OC83" s="44">
        <v>0</v>
      </c>
      <c r="OD83" s="43"/>
      <c r="OE83" s="42">
        <v>0</v>
      </c>
      <c r="OF83" s="47">
        <v>0</v>
      </c>
      <c r="OG83" s="47">
        <v>0</v>
      </c>
      <c r="OH83" s="47">
        <v>0</v>
      </c>
      <c r="OI83" s="44">
        <v>0</v>
      </c>
      <c r="OJ83" s="43"/>
      <c r="OK83" s="42">
        <v>0</v>
      </c>
      <c r="OL83" s="47">
        <v>0</v>
      </c>
      <c r="OM83" s="47">
        <v>0</v>
      </c>
      <c r="ON83" s="47">
        <v>0</v>
      </c>
      <c r="OO83" s="44">
        <v>0</v>
      </c>
      <c r="OP83" s="43"/>
      <c r="OQ83" s="42">
        <v>0</v>
      </c>
      <c r="OR83" s="47">
        <v>0</v>
      </c>
      <c r="OS83" s="47">
        <v>0</v>
      </c>
      <c r="OT83" s="47">
        <v>0</v>
      </c>
      <c r="OU83" s="44">
        <v>0</v>
      </c>
      <c r="OV83" s="43"/>
      <c r="OW83" s="42">
        <v>0</v>
      </c>
      <c r="OX83" s="47">
        <v>0</v>
      </c>
      <c r="OY83" s="47">
        <v>0</v>
      </c>
      <c r="OZ83" s="47">
        <v>0</v>
      </c>
      <c r="PA83" s="44">
        <v>0</v>
      </c>
      <c r="PB83" s="43"/>
      <c r="PC83" s="42">
        <v>0</v>
      </c>
      <c r="PD83" s="47">
        <v>0</v>
      </c>
      <c r="PE83" s="47">
        <v>0</v>
      </c>
      <c r="PF83" s="47">
        <v>0</v>
      </c>
      <c r="PG83" s="44">
        <v>0</v>
      </c>
      <c r="PH83" s="43"/>
      <c r="PI83" s="42">
        <v>0</v>
      </c>
      <c r="PJ83" s="47">
        <v>0</v>
      </c>
      <c r="PK83" s="47">
        <v>0</v>
      </c>
      <c r="PL83" s="47">
        <v>0</v>
      </c>
      <c r="PM83" s="44">
        <v>0</v>
      </c>
      <c r="PN83" s="43"/>
      <c r="PO83" s="42">
        <v>0</v>
      </c>
      <c r="PP83" s="47">
        <v>0</v>
      </c>
      <c r="PQ83" s="47">
        <v>0</v>
      </c>
      <c r="PR83" s="47">
        <v>0</v>
      </c>
      <c r="PS83" s="44">
        <v>0</v>
      </c>
      <c r="PT83" s="43"/>
      <c r="PU83" s="42">
        <v>0</v>
      </c>
      <c r="PV83" s="47">
        <v>0</v>
      </c>
      <c r="PW83" s="47">
        <v>0</v>
      </c>
      <c r="PX83" s="47">
        <v>0</v>
      </c>
      <c r="PY83" s="44">
        <v>0</v>
      </c>
      <c r="PZ83" s="43"/>
      <c r="QA83" s="42">
        <v>0</v>
      </c>
      <c r="QB83" s="47">
        <v>0</v>
      </c>
      <c r="QC83" s="44">
        <v>0</v>
      </c>
      <c r="QD83" s="43"/>
      <c r="QE83" s="42">
        <v>0</v>
      </c>
      <c r="QF83" s="47">
        <v>0</v>
      </c>
      <c r="QG83" s="44">
        <v>0</v>
      </c>
      <c r="QH83" s="43"/>
      <c r="QI83" s="42">
        <v>82.02</v>
      </c>
      <c r="QJ83" s="47">
        <v>80</v>
      </c>
      <c r="QK83" s="44">
        <v>2.019999999999996</v>
      </c>
      <c r="QL83" s="43"/>
      <c r="QM83" s="42">
        <v>103.00700000000001</v>
      </c>
      <c r="QN83" s="47">
        <v>100</v>
      </c>
      <c r="QO83" s="47">
        <v>151.08099999999999</v>
      </c>
      <c r="QP83" s="47">
        <v>150</v>
      </c>
      <c r="QQ83" s="44">
        <v>4.0879999999999939</v>
      </c>
      <c r="QR83" s="43"/>
      <c r="QS83" s="42">
        <v>0</v>
      </c>
      <c r="QT83" s="47">
        <v>0</v>
      </c>
      <c r="QU83" s="44">
        <v>0</v>
      </c>
      <c r="QV83" s="43"/>
      <c r="QW83" s="42">
        <v>150.87</v>
      </c>
      <c r="QX83" s="47">
        <v>150</v>
      </c>
      <c r="QY83" s="44">
        <v>0.87000000000000455</v>
      </c>
      <c r="QZ83" s="43"/>
    </row>
    <row r="84" spans="1:468" x14ac:dyDescent="0.25">
      <c r="A84" s="47" t="s">
        <v>368</v>
      </c>
      <c r="B84" s="38">
        <v>1</v>
      </c>
      <c r="I84">
        <v>20</v>
      </c>
      <c r="J84">
        <v>24</v>
      </c>
      <c r="K84">
        <v>25</v>
      </c>
      <c r="N84" s="39"/>
      <c r="O84" s="48"/>
      <c r="P84" s="48"/>
      <c r="Q84" s="48"/>
      <c r="R84" s="48">
        <f t="shared" si="13"/>
        <v>0</v>
      </c>
      <c r="S84" s="40"/>
      <c r="T84" s="39"/>
      <c r="U84" s="48"/>
      <c r="V84" s="48">
        <f t="shared" si="14"/>
        <v>0</v>
      </c>
      <c r="W84" s="40"/>
      <c r="X84" s="39"/>
      <c r="Y84" s="48"/>
      <c r="Z84" s="49">
        <v>31</v>
      </c>
      <c r="AA84" s="49">
        <v>30</v>
      </c>
      <c r="AB84" s="48">
        <f t="shared" si="15"/>
        <v>1</v>
      </c>
      <c r="AC84" s="40"/>
      <c r="AD84" s="48"/>
      <c r="AH84" s="44">
        <v>0</v>
      </c>
      <c r="AI84" s="40"/>
      <c r="AL84">
        <v>25</v>
      </c>
      <c r="AM84">
        <v>24</v>
      </c>
      <c r="AN84" s="44">
        <v>1</v>
      </c>
      <c r="AO84" s="40"/>
      <c r="AT84" s="44">
        <v>0</v>
      </c>
      <c r="AU84" s="40"/>
      <c r="AV84" s="39"/>
      <c r="AX84" s="44">
        <v>0</v>
      </c>
      <c r="AY84" s="40"/>
      <c r="AZ84" s="39"/>
      <c r="BB84" s="44">
        <v>0</v>
      </c>
      <c r="BC84" s="40"/>
      <c r="BD84">
        <v>43</v>
      </c>
      <c r="BE84">
        <v>40</v>
      </c>
      <c r="BF84">
        <v>61</v>
      </c>
      <c r="BG84">
        <v>60</v>
      </c>
      <c r="BH84" s="44">
        <v>4</v>
      </c>
      <c r="BI84" s="40"/>
      <c r="BJ84">
        <v>6</v>
      </c>
      <c r="BK84">
        <v>5</v>
      </c>
      <c r="BL84" s="44">
        <v>1</v>
      </c>
      <c r="BM84" s="40"/>
      <c r="BN84" s="39"/>
      <c r="BP84">
        <v>13</v>
      </c>
      <c r="BQ84">
        <v>15</v>
      </c>
      <c r="BR84" s="44">
        <v>-2</v>
      </c>
      <c r="BS84" s="40"/>
      <c r="BT84">
        <v>51</v>
      </c>
      <c r="BU84">
        <v>50</v>
      </c>
      <c r="BV84" s="44">
        <v>1</v>
      </c>
      <c r="BW84" s="40"/>
      <c r="BX84" s="39"/>
      <c r="BZ84" s="44">
        <v>0</v>
      </c>
      <c r="CA84" s="40"/>
      <c r="CB84" s="39"/>
      <c r="CD84">
        <v>13</v>
      </c>
      <c r="CG84">
        <v>12</v>
      </c>
      <c r="CH84" s="44">
        <v>1</v>
      </c>
      <c r="CI84" s="40"/>
      <c r="CL84">
        <v>44</v>
      </c>
      <c r="CM84">
        <v>42</v>
      </c>
      <c r="CN84" s="44">
        <v>2</v>
      </c>
      <c r="CO84" s="40"/>
      <c r="CP84" s="39"/>
      <c r="CT84" s="44">
        <v>0</v>
      </c>
      <c r="CU84" s="40"/>
      <c r="CV84" s="39"/>
      <c r="CX84">
        <v>19</v>
      </c>
      <c r="CY84">
        <v>18</v>
      </c>
      <c r="CZ84" s="44">
        <v>1</v>
      </c>
      <c r="DA84" s="40"/>
      <c r="DB84" s="39"/>
      <c r="DD84">
        <v>31</v>
      </c>
      <c r="DE84">
        <v>30</v>
      </c>
      <c r="DF84" s="44">
        <v>1</v>
      </c>
      <c r="DG84" s="40"/>
      <c r="DN84" s="44">
        <v>0</v>
      </c>
      <c r="DO84" s="40"/>
      <c r="DP84" s="41">
        <v>37</v>
      </c>
      <c r="DQ84">
        <v>39</v>
      </c>
      <c r="DR84" s="44">
        <v>-2</v>
      </c>
      <c r="DS84" s="40"/>
      <c r="DT84" s="39"/>
      <c r="DX84" s="44">
        <v>0</v>
      </c>
      <c r="DY84" s="40"/>
      <c r="DZ84" s="39"/>
      <c r="EB84" s="44">
        <v>0</v>
      </c>
      <c r="EC84" s="40"/>
      <c r="EG84">
        <v>18</v>
      </c>
      <c r="EH84">
        <v>20</v>
      </c>
      <c r="EI84">
        <v>31</v>
      </c>
      <c r="EJ84">
        <v>32</v>
      </c>
      <c r="EK84" s="44">
        <v>-3</v>
      </c>
      <c r="EL84" s="40"/>
      <c r="EQ84">
        <v>6</v>
      </c>
      <c r="ER84">
        <v>6</v>
      </c>
      <c r="ES84" s="44">
        <v>0</v>
      </c>
      <c r="ET84" s="40"/>
      <c r="EU84" s="39"/>
      <c r="EW84">
        <v>6</v>
      </c>
      <c r="EX84">
        <v>7</v>
      </c>
      <c r="EY84" s="44">
        <v>-1</v>
      </c>
      <c r="EZ84" s="40"/>
      <c r="FA84" s="39"/>
      <c r="FD84" s="44">
        <v>0</v>
      </c>
      <c r="FE84" s="40"/>
      <c r="FH84" s="44">
        <v>0</v>
      </c>
      <c r="FI84" s="40"/>
      <c r="FJ84" s="39"/>
      <c r="FO84">
        <v>43</v>
      </c>
      <c r="FP84">
        <v>40</v>
      </c>
      <c r="FQ84" s="44">
        <v>3</v>
      </c>
      <c r="FR84" s="40"/>
      <c r="FW84" s="44">
        <v>0</v>
      </c>
      <c r="FX84" s="40"/>
      <c r="FY84" s="39"/>
      <c r="GA84">
        <v>12</v>
      </c>
      <c r="GB84">
        <v>12</v>
      </c>
      <c r="GC84" s="44">
        <v>0</v>
      </c>
      <c r="GD84" s="40"/>
      <c r="GG84">
        <v>31</v>
      </c>
      <c r="GH84">
        <v>32</v>
      </c>
      <c r="GI84" s="44">
        <v>-1</v>
      </c>
      <c r="GJ84" s="40"/>
      <c r="GM84" s="44">
        <v>0</v>
      </c>
      <c r="GN84" s="40"/>
      <c r="GO84" s="39"/>
      <c r="GQ84" s="44">
        <v>0</v>
      </c>
      <c r="GR84" s="40"/>
      <c r="GX84" s="44">
        <v>0</v>
      </c>
      <c r="GY84" s="40"/>
      <c r="HD84" s="44">
        <v>0</v>
      </c>
      <c r="HE84" s="40"/>
      <c r="HF84" s="39"/>
      <c r="HH84">
        <v>19</v>
      </c>
      <c r="HI84">
        <v>20</v>
      </c>
      <c r="HJ84" s="44">
        <v>-1</v>
      </c>
      <c r="HK84" s="40"/>
      <c r="HL84" s="39"/>
      <c r="HN84">
        <v>88</v>
      </c>
      <c r="HO84">
        <v>85</v>
      </c>
      <c r="HP84" s="44">
        <v>3</v>
      </c>
      <c r="HQ84" s="40"/>
      <c r="HT84">
        <v>62</v>
      </c>
      <c r="HU84">
        <v>60</v>
      </c>
      <c r="HV84" s="44">
        <v>2</v>
      </c>
      <c r="HW84" s="43"/>
      <c r="IB84" s="44">
        <v>0</v>
      </c>
      <c r="IC84" s="43"/>
      <c r="ID84">
        <v>80</v>
      </c>
      <c r="IE84">
        <v>80</v>
      </c>
      <c r="IF84">
        <v>61</v>
      </c>
      <c r="IG84">
        <v>64</v>
      </c>
      <c r="IH84" s="44">
        <v>-3</v>
      </c>
      <c r="II84" s="43"/>
      <c r="IN84" s="44">
        <v>0</v>
      </c>
      <c r="IO84" s="40"/>
      <c r="IR84" s="44">
        <v>0</v>
      </c>
      <c r="IS84" s="40"/>
      <c r="IT84">
        <v>24</v>
      </c>
      <c r="IU84">
        <v>25</v>
      </c>
      <c r="IX84" s="44">
        <v>-1</v>
      </c>
      <c r="IY84" s="43"/>
      <c r="JB84" s="44">
        <v>0</v>
      </c>
      <c r="JC84" s="40"/>
      <c r="JH84" s="44">
        <v>0</v>
      </c>
      <c r="JI84" s="40"/>
      <c r="JJ84">
        <v>164</v>
      </c>
      <c r="JK84">
        <v>170</v>
      </c>
      <c r="JL84">
        <v>191</v>
      </c>
      <c r="JM84">
        <v>190</v>
      </c>
      <c r="JN84" s="44">
        <v>-5</v>
      </c>
      <c r="JO84" s="43"/>
      <c r="JR84">
        <v>18</v>
      </c>
      <c r="JS84">
        <v>20</v>
      </c>
      <c r="JT84" s="44">
        <v>-2</v>
      </c>
      <c r="JU84" s="43"/>
      <c r="JZ84" s="44">
        <v>0</v>
      </c>
      <c r="KA84" s="43"/>
      <c r="KB84" s="41">
        <v>50</v>
      </c>
      <c r="KC84">
        <v>50</v>
      </c>
      <c r="KE84">
        <v>63</v>
      </c>
      <c r="KF84">
        <v>60</v>
      </c>
      <c r="KG84">
        <v>49</v>
      </c>
      <c r="KH84">
        <v>50</v>
      </c>
      <c r="KI84" s="44">
        <v>2</v>
      </c>
      <c r="KJ84" s="43"/>
      <c r="KK84" s="47">
        <v>0</v>
      </c>
      <c r="KL84" s="47">
        <v>0</v>
      </c>
      <c r="KM84" s="47">
        <v>30.731000000000002</v>
      </c>
      <c r="KN84" s="47">
        <v>32</v>
      </c>
      <c r="KO84" s="44">
        <v>-1.2689999999999979</v>
      </c>
      <c r="KP84" s="43"/>
      <c r="KQ84" s="47">
        <v>0</v>
      </c>
      <c r="KR84" s="47">
        <v>0</v>
      </c>
      <c r="KS84" s="47">
        <v>0</v>
      </c>
      <c r="KT84" s="47">
        <v>0</v>
      </c>
      <c r="KU84" s="44">
        <v>0</v>
      </c>
      <c r="KV84" s="43"/>
      <c r="KW84" s="42">
        <v>0</v>
      </c>
      <c r="KX84" s="47">
        <v>0</v>
      </c>
      <c r="KY84" s="44">
        <v>0</v>
      </c>
      <c r="KZ84" s="43"/>
      <c r="LA84" s="42">
        <v>98.382999999999996</v>
      </c>
      <c r="LB84" s="47">
        <v>100</v>
      </c>
      <c r="LC84" s="47">
        <v>86.896000000000001</v>
      </c>
      <c r="LD84" s="47">
        <v>90</v>
      </c>
      <c r="LE84" s="46">
        <v>-4.7210000000000036</v>
      </c>
      <c r="LF84" s="43">
        <v>4.7210000000000036</v>
      </c>
      <c r="LG84" s="42">
        <v>18.798999999999999</v>
      </c>
      <c r="LH84" s="47">
        <v>20</v>
      </c>
      <c r="LI84" s="47">
        <v>0</v>
      </c>
      <c r="LJ84" s="47">
        <v>0</v>
      </c>
      <c r="LK84" s="44">
        <v>-1.201000000000001</v>
      </c>
      <c r="LL84" s="43"/>
      <c r="LM84" s="42">
        <v>0</v>
      </c>
      <c r="LN84" s="47">
        <v>0</v>
      </c>
      <c r="LO84" s="44">
        <v>0</v>
      </c>
      <c r="LP84" s="43"/>
      <c r="LQ84" s="42">
        <v>0</v>
      </c>
      <c r="LR84" s="47">
        <v>0</v>
      </c>
      <c r="LS84" s="47">
        <v>0</v>
      </c>
      <c r="LT84" s="47">
        <v>0</v>
      </c>
      <c r="LU84" s="44">
        <v>0</v>
      </c>
      <c r="LV84" s="43"/>
      <c r="LW84" s="42">
        <v>49.898000000000003</v>
      </c>
      <c r="LX84" s="47">
        <v>50</v>
      </c>
      <c r="LY84" s="47">
        <v>0</v>
      </c>
      <c r="LZ84" s="47">
        <v>0</v>
      </c>
      <c r="MA84" s="44">
        <v>-0.1019999999999968</v>
      </c>
      <c r="MB84" s="43"/>
      <c r="MC84" s="42">
        <v>0</v>
      </c>
      <c r="MD84" s="47">
        <v>0</v>
      </c>
      <c r="ME84" s="47">
        <v>62.029000000000003</v>
      </c>
      <c r="MF84" s="47">
        <v>62</v>
      </c>
      <c r="MG84" s="44">
        <v>2.9000000000003471E-2</v>
      </c>
      <c r="MH84" s="43"/>
      <c r="MI84" s="42">
        <v>0</v>
      </c>
      <c r="MJ84" s="47">
        <v>0</v>
      </c>
      <c r="MK84" s="47">
        <v>18.363</v>
      </c>
      <c r="ML84" s="47">
        <v>20</v>
      </c>
      <c r="MM84" s="44">
        <v>-1.637</v>
      </c>
      <c r="MN84" s="43"/>
      <c r="MO84" s="42">
        <v>0</v>
      </c>
      <c r="MP84" s="47">
        <v>0</v>
      </c>
      <c r="MQ84" s="47">
        <v>55.395000000000003</v>
      </c>
      <c r="MR84" s="47">
        <v>55</v>
      </c>
      <c r="MS84" s="44">
        <v>0.39500000000000313</v>
      </c>
      <c r="MT84" s="43"/>
      <c r="MU84" s="22">
        <v>49.847999999999999</v>
      </c>
      <c r="MV84" s="47">
        <v>0</v>
      </c>
      <c r="MW84" s="47">
        <v>131.25800000000001</v>
      </c>
      <c r="MX84" s="47">
        <v>130</v>
      </c>
      <c r="MY84" s="44">
        <v>51.105999999999987</v>
      </c>
      <c r="MZ84" s="43"/>
      <c r="NA84" s="42">
        <v>0</v>
      </c>
      <c r="NB84" s="47">
        <v>0</v>
      </c>
      <c r="NC84" s="47">
        <v>110.815</v>
      </c>
      <c r="ND84" s="47">
        <v>112</v>
      </c>
      <c r="NE84" s="44">
        <v>-1.1850000000000021</v>
      </c>
      <c r="NF84" s="43"/>
      <c r="NG84" s="42">
        <v>0</v>
      </c>
      <c r="NH84" s="47">
        <v>0</v>
      </c>
      <c r="NI84" s="47">
        <v>12.335000000000001</v>
      </c>
      <c r="NJ84" s="47">
        <v>10</v>
      </c>
      <c r="NK84" s="44">
        <v>2.3350000000000009</v>
      </c>
      <c r="NL84" s="43"/>
      <c r="NM84" s="42">
        <v>0</v>
      </c>
      <c r="NN84" s="47">
        <v>0</v>
      </c>
      <c r="NO84" s="47">
        <v>0</v>
      </c>
      <c r="NP84" s="26">
        <v>40</v>
      </c>
      <c r="NQ84" s="46">
        <v>-40</v>
      </c>
      <c r="NR84" s="43">
        <v>40</v>
      </c>
      <c r="NS84" s="42">
        <v>143.196</v>
      </c>
      <c r="NT84" s="47">
        <v>140</v>
      </c>
      <c r="NU84" s="47">
        <v>0</v>
      </c>
      <c r="NV84" s="47">
        <v>0</v>
      </c>
      <c r="NW84" s="44">
        <v>3.195999999999998</v>
      </c>
      <c r="NX84" s="43"/>
      <c r="NY84" s="42">
        <v>0</v>
      </c>
      <c r="NZ84" s="47">
        <v>0</v>
      </c>
      <c r="OA84" s="47">
        <v>99.31</v>
      </c>
      <c r="OB84" s="47">
        <v>100</v>
      </c>
      <c r="OC84" s="44">
        <v>-0.68999999999999773</v>
      </c>
      <c r="OD84" s="43"/>
      <c r="OE84" s="42">
        <v>0</v>
      </c>
      <c r="OF84" s="47">
        <v>0</v>
      </c>
      <c r="OG84" s="47">
        <v>49.451000000000001</v>
      </c>
      <c r="OH84" s="47">
        <v>50</v>
      </c>
      <c r="OI84" s="44">
        <v>-0.54899999999999949</v>
      </c>
      <c r="OJ84" s="43"/>
      <c r="OK84" s="42">
        <v>0</v>
      </c>
      <c r="OL84" s="47">
        <v>0</v>
      </c>
      <c r="OM84" s="47">
        <v>36.851999999999997</v>
      </c>
      <c r="ON84" s="47">
        <v>40</v>
      </c>
      <c r="OO84" s="44">
        <v>-3.1480000000000028</v>
      </c>
      <c r="OP84" s="43"/>
      <c r="OQ84" s="42">
        <v>0</v>
      </c>
      <c r="OR84" s="26">
        <v>100</v>
      </c>
      <c r="OS84" s="47">
        <v>86.391000000000005</v>
      </c>
      <c r="OT84" s="47">
        <v>90</v>
      </c>
      <c r="OU84" s="46">
        <v>-103.60899999999999</v>
      </c>
      <c r="OV84" s="43">
        <v>103.60899999999999</v>
      </c>
      <c r="OW84" s="42">
        <v>6.25</v>
      </c>
      <c r="OX84" s="47">
        <v>0</v>
      </c>
      <c r="OY84" s="47">
        <v>31.145</v>
      </c>
      <c r="OZ84" s="47">
        <v>30</v>
      </c>
      <c r="PA84" s="44">
        <v>7.394999999999996</v>
      </c>
      <c r="PB84" s="43"/>
      <c r="PC84" s="42">
        <v>0</v>
      </c>
      <c r="PD84" s="47">
        <v>0</v>
      </c>
      <c r="PE84" s="47">
        <v>86.418999999999997</v>
      </c>
      <c r="PF84" s="47">
        <v>90</v>
      </c>
      <c r="PG84" s="44">
        <v>-3.5810000000000031</v>
      </c>
      <c r="PH84" s="43"/>
      <c r="PI84" s="42">
        <v>0</v>
      </c>
      <c r="PJ84" s="47">
        <v>0</v>
      </c>
      <c r="PK84" s="47">
        <v>61.817</v>
      </c>
      <c r="PL84" s="47">
        <v>63</v>
      </c>
      <c r="PM84" s="44">
        <v>-1.1830000000000001</v>
      </c>
      <c r="PN84" s="43"/>
      <c r="PO84" s="42">
        <v>0</v>
      </c>
      <c r="PP84" s="47">
        <v>0</v>
      </c>
      <c r="PQ84" s="47">
        <v>61.884</v>
      </c>
      <c r="PR84" s="47">
        <v>60</v>
      </c>
      <c r="PS84" s="44">
        <v>1.8839999999999999</v>
      </c>
      <c r="PT84" s="43"/>
      <c r="PU84" s="42">
        <v>0</v>
      </c>
      <c r="PV84" s="47">
        <v>0</v>
      </c>
      <c r="PW84" s="47">
        <v>68.415000000000006</v>
      </c>
      <c r="PX84" s="47">
        <v>70</v>
      </c>
      <c r="PY84" s="44">
        <v>-1.584999999999994</v>
      </c>
      <c r="PZ84" s="43"/>
      <c r="QA84" s="42">
        <v>0</v>
      </c>
      <c r="QB84" s="47">
        <v>0</v>
      </c>
      <c r="QC84" s="44">
        <v>0</v>
      </c>
      <c r="QD84" s="43"/>
      <c r="QE84" s="42">
        <v>0</v>
      </c>
      <c r="QF84" s="47">
        <v>0</v>
      </c>
      <c r="QG84" s="44">
        <v>0</v>
      </c>
      <c r="QH84" s="43"/>
      <c r="QI84" s="42">
        <v>0</v>
      </c>
      <c r="QJ84" s="47">
        <v>0</v>
      </c>
      <c r="QK84" s="44">
        <v>0</v>
      </c>
      <c r="QL84" s="43"/>
      <c r="QM84" s="42">
        <v>0</v>
      </c>
      <c r="QN84" s="47">
        <v>0</v>
      </c>
      <c r="QO84" s="47">
        <v>0</v>
      </c>
      <c r="QP84" s="47">
        <v>0</v>
      </c>
      <c r="QQ84" s="44">
        <v>0</v>
      </c>
      <c r="QR84" s="43"/>
      <c r="QS84" s="42">
        <v>0</v>
      </c>
      <c r="QT84" s="47">
        <v>0</v>
      </c>
      <c r="QU84" s="44">
        <v>0</v>
      </c>
      <c r="QV84" s="43"/>
      <c r="QW84" s="42">
        <v>0</v>
      </c>
      <c r="QX84" s="47">
        <v>0</v>
      </c>
      <c r="QY84" s="44">
        <v>0</v>
      </c>
      <c r="QZ84" s="43"/>
    </row>
    <row r="85" spans="1:468" x14ac:dyDescent="0.25">
      <c r="A85" s="47" t="s">
        <v>369</v>
      </c>
      <c r="B85" s="38">
        <v>0.28000000000000003</v>
      </c>
      <c r="N85" s="39"/>
      <c r="O85" s="48"/>
      <c r="P85" s="48"/>
      <c r="Q85" s="48"/>
      <c r="R85" s="48">
        <f t="shared" si="13"/>
        <v>0</v>
      </c>
      <c r="S85" s="40"/>
      <c r="T85" s="39"/>
      <c r="U85" s="48"/>
      <c r="V85" s="48">
        <f t="shared" si="14"/>
        <v>0</v>
      </c>
      <c r="W85" s="40"/>
      <c r="X85" s="39"/>
      <c r="Y85" s="48"/>
      <c r="Z85" s="48"/>
      <c r="AA85" s="48"/>
      <c r="AB85" s="48">
        <f t="shared" si="15"/>
        <v>0</v>
      </c>
      <c r="AC85" s="40"/>
      <c r="AD85" s="48"/>
      <c r="AH85" s="44">
        <v>0</v>
      </c>
      <c r="AI85" s="40"/>
      <c r="AN85" s="44">
        <v>0</v>
      </c>
      <c r="AO85" s="40"/>
      <c r="AT85" s="44">
        <v>0</v>
      </c>
      <c r="AU85" s="40"/>
      <c r="AV85" s="39"/>
      <c r="AX85" s="44">
        <v>0</v>
      </c>
      <c r="AY85" s="40"/>
      <c r="AZ85" s="39"/>
      <c r="BB85" s="44">
        <v>0</v>
      </c>
      <c r="BC85" s="40"/>
      <c r="BH85" s="44">
        <v>0</v>
      </c>
      <c r="BI85" s="40"/>
      <c r="BL85" s="44">
        <v>0</v>
      </c>
      <c r="BM85" s="40"/>
      <c r="BN85" s="39"/>
      <c r="BR85" s="44">
        <v>0</v>
      </c>
      <c r="BS85" s="40"/>
      <c r="BV85" s="44">
        <v>0</v>
      </c>
      <c r="BW85" s="40"/>
      <c r="BX85" s="39"/>
      <c r="BZ85" s="44">
        <v>0</v>
      </c>
      <c r="CA85" s="40"/>
      <c r="CB85" s="39"/>
      <c r="CH85" s="44">
        <v>0</v>
      </c>
      <c r="CI85" s="40"/>
      <c r="CN85" s="44">
        <v>0</v>
      </c>
      <c r="CO85" s="40"/>
      <c r="CP85" s="39"/>
      <c r="CT85" s="44">
        <v>0</v>
      </c>
      <c r="CU85" s="40"/>
      <c r="CV85" s="39"/>
      <c r="CZ85" s="44">
        <v>0</v>
      </c>
      <c r="DA85" s="40"/>
      <c r="DB85" s="39"/>
      <c r="DF85" s="44">
        <v>0</v>
      </c>
      <c r="DG85" s="40"/>
      <c r="DN85" s="44">
        <v>0</v>
      </c>
      <c r="DO85" s="40"/>
      <c r="DP85" s="39"/>
      <c r="DR85" s="44">
        <v>0</v>
      </c>
      <c r="DS85" s="40"/>
      <c r="DT85" s="39"/>
      <c r="DX85" s="44">
        <v>0</v>
      </c>
      <c r="DY85" s="40"/>
      <c r="DZ85" s="39"/>
      <c r="EB85" s="44">
        <v>0</v>
      </c>
      <c r="EC85" s="40"/>
      <c r="EK85" s="44">
        <v>0</v>
      </c>
      <c r="EL85" s="40"/>
      <c r="ES85" s="44">
        <v>0</v>
      </c>
      <c r="ET85" s="40"/>
      <c r="EU85" s="39"/>
      <c r="EY85" s="44">
        <v>0</v>
      </c>
      <c r="EZ85" s="40"/>
      <c r="FA85" s="39"/>
      <c r="FD85" s="44">
        <v>0</v>
      </c>
      <c r="FE85" s="40"/>
      <c r="FH85" s="44">
        <v>0</v>
      </c>
      <c r="FI85" s="40"/>
      <c r="FJ85" s="39"/>
      <c r="FQ85" s="44">
        <v>0</v>
      </c>
      <c r="FR85" s="40"/>
      <c r="FW85" s="44">
        <v>0</v>
      </c>
      <c r="FX85" s="40"/>
      <c r="FY85" s="39"/>
      <c r="GC85" s="44">
        <v>0</v>
      </c>
      <c r="GD85" s="40"/>
      <c r="GI85" s="44">
        <v>0</v>
      </c>
      <c r="GJ85" s="40"/>
      <c r="GM85" s="44">
        <v>0</v>
      </c>
      <c r="GN85" s="40"/>
      <c r="GO85" s="39"/>
      <c r="GQ85" s="44">
        <v>0</v>
      </c>
      <c r="GR85" s="40"/>
      <c r="GX85" s="44">
        <v>0</v>
      </c>
      <c r="GY85" s="40"/>
      <c r="HD85" s="44">
        <v>0</v>
      </c>
      <c r="HE85" s="40"/>
      <c r="HF85" s="39"/>
      <c r="HJ85" s="44">
        <v>0</v>
      </c>
      <c r="HK85" s="40"/>
      <c r="HL85" s="41">
        <v>400</v>
      </c>
      <c r="HM85">
        <v>400</v>
      </c>
      <c r="HN85">
        <v>400</v>
      </c>
      <c r="HO85">
        <v>400</v>
      </c>
      <c r="HP85" s="44">
        <v>0</v>
      </c>
      <c r="HQ85" s="40"/>
      <c r="HR85">
        <v>152</v>
      </c>
      <c r="HS85">
        <v>150</v>
      </c>
      <c r="HT85">
        <v>152</v>
      </c>
      <c r="HU85">
        <v>150</v>
      </c>
      <c r="HV85" s="44">
        <v>4</v>
      </c>
      <c r="HW85" s="43"/>
      <c r="HZ85">
        <v>288</v>
      </c>
      <c r="IA85">
        <v>290</v>
      </c>
      <c r="IB85" s="44">
        <v>-2</v>
      </c>
      <c r="IC85" s="43"/>
      <c r="ID85">
        <v>320</v>
      </c>
      <c r="IE85">
        <v>320</v>
      </c>
      <c r="IF85">
        <v>280</v>
      </c>
      <c r="IG85">
        <v>280</v>
      </c>
      <c r="IH85" s="44">
        <v>0</v>
      </c>
      <c r="II85" s="43"/>
      <c r="IJ85">
        <v>80</v>
      </c>
      <c r="IK85">
        <v>80</v>
      </c>
      <c r="IL85">
        <v>56</v>
      </c>
      <c r="IM85">
        <v>60</v>
      </c>
      <c r="IN85" s="44">
        <v>-4</v>
      </c>
      <c r="IO85" s="40"/>
      <c r="IP85">
        <v>96</v>
      </c>
      <c r="IQ85">
        <v>100</v>
      </c>
      <c r="IR85" s="44">
        <v>-4</v>
      </c>
      <c r="IS85" s="40"/>
      <c r="IT85">
        <v>320</v>
      </c>
      <c r="IU85">
        <v>320</v>
      </c>
      <c r="IV85">
        <v>376</v>
      </c>
      <c r="IW85">
        <v>376</v>
      </c>
      <c r="IX85" s="44">
        <v>0</v>
      </c>
      <c r="IY85" s="43"/>
      <c r="IZ85">
        <v>376</v>
      </c>
      <c r="JA85" s="47">
        <v>380</v>
      </c>
      <c r="JB85" s="44">
        <v>-4</v>
      </c>
      <c r="JC85" s="40"/>
      <c r="JF85">
        <v>288</v>
      </c>
      <c r="JG85">
        <v>290</v>
      </c>
      <c r="JH85" s="44">
        <v>-2</v>
      </c>
      <c r="JI85" s="40"/>
      <c r="JJ85">
        <v>248</v>
      </c>
      <c r="JK85">
        <v>250</v>
      </c>
      <c r="JL85">
        <v>96</v>
      </c>
      <c r="JM85">
        <v>100</v>
      </c>
      <c r="JN85" s="44">
        <v>-6</v>
      </c>
      <c r="JO85" s="43"/>
      <c r="JP85">
        <v>96</v>
      </c>
      <c r="JQ85">
        <v>100</v>
      </c>
      <c r="JS85">
        <v>50</v>
      </c>
      <c r="JT85" s="46">
        <v>-54</v>
      </c>
      <c r="JU85" s="43">
        <v>15.12</v>
      </c>
      <c r="JZ85" s="44">
        <v>0</v>
      </c>
      <c r="KA85" s="43"/>
      <c r="KB85" s="41">
        <v>296</v>
      </c>
      <c r="KC85">
        <v>300</v>
      </c>
      <c r="KE85">
        <v>448</v>
      </c>
      <c r="KF85">
        <v>450</v>
      </c>
      <c r="KG85">
        <v>400</v>
      </c>
      <c r="KH85">
        <v>400</v>
      </c>
      <c r="KI85" s="44">
        <v>-6</v>
      </c>
      <c r="KJ85" s="43"/>
      <c r="KK85" s="47">
        <v>48</v>
      </c>
      <c r="KL85" s="47">
        <v>50</v>
      </c>
      <c r="KM85" s="47">
        <v>0</v>
      </c>
      <c r="KN85" s="47">
        <v>0</v>
      </c>
      <c r="KO85" s="44">
        <v>-2</v>
      </c>
      <c r="KP85" s="43"/>
      <c r="KQ85" s="47">
        <v>256</v>
      </c>
      <c r="KR85" s="47">
        <v>250</v>
      </c>
      <c r="KS85" s="47">
        <v>296</v>
      </c>
      <c r="KT85" s="47">
        <v>300</v>
      </c>
      <c r="KU85" s="44">
        <v>2</v>
      </c>
      <c r="KV85" s="43"/>
      <c r="KW85" s="42">
        <v>288</v>
      </c>
      <c r="KX85" s="47">
        <v>290</v>
      </c>
      <c r="KY85" s="44">
        <v>-2</v>
      </c>
      <c r="KZ85" s="43"/>
      <c r="LA85" s="42">
        <v>296</v>
      </c>
      <c r="LB85" s="47">
        <v>300</v>
      </c>
      <c r="LC85" s="47">
        <v>208</v>
      </c>
      <c r="LD85" s="47">
        <v>210</v>
      </c>
      <c r="LE85" s="44">
        <v>-6</v>
      </c>
      <c r="LF85" s="43"/>
      <c r="LG85" s="42">
        <v>208</v>
      </c>
      <c r="LH85" s="47">
        <v>210</v>
      </c>
      <c r="LI85" s="47">
        <v>240</v>
      </c>
      <c r="LJ85" s="47">
        <v>240</v>
      </c>
      <c r="LK85" s="44">
        <v>-2</v>
      </c>
      <c r="LL85" s="43"/>
      <c r="LM85" s="42">
        <v>176</v>
      </c>
      <c r="LN85" s="47">
        <v>180</v>
      </c>
      <c r="LO85" s="44">
        <v>-4</v>
      </c>
      <c r="LP85" s="43"/>
      <c r="LQ85" s="42">
        <v>0</v>
      </c>
      <c r="LR85" s="47">
        <v>0</v>
      </c>
      <c r="LS85" s="47">
        <v>152</v>
      </c>
      <c r="LT85" s="47">
        <v>150</v>
      </c>
      <c r="LU85" s="44">
        <v>2</v>
      </c>
      <c r="LV85" s="43"/>
      <c r="LW85" s="42">
        <v>0</v>
      </c>
      <c r="LX85" s="47">
        <v>0</v>
      </c>
      <c r="LY85" s="47">
        <v>448</v>
      </c>
      <c r="LZ85" s="47">
        <v>450</v>
      </c>
      <c r="MA85" s="44">
        <v>-2</v>
      </c>
      <c r="MB85" s="43"/>
      <c r="MC85" s="42">
        <v>0</v>
      </c>
      <c r="MD85" s="47">
        <v>0</v>
      </c>
      <c r="ME85" s="47">
        <v>560</v>
      </c>
      <c r="MF85" s="47">
        <v>560</v>
      </c>
      <c r="MG85" s="44">
        <v>0</v>
      </c>
      <c r="MH85" s="43"/>
      <c r="MI85" s="42">
        <v>352</v>
      </c>
      <c r="MJ85" s="47">
        <v>350</v>
      </c>
      <c r="MK85" s="47">
        <v>208</v>
      </c>
      <c r="ML85" s="47">
        <v>210</v>
      </c>
      <c r="MM85" s="44">
        <v>0</v>
      </c>
      <c r="MN85" s="43"/>
      <c r="MO85" s="42">
        <v>48</v>
      </c>
      <c r="MP85" s="47">
        <v>50</v>
      </c>
      <c r="MQ85" s="47">
        <v>72</v>
      </c>
      <c r="MR85" s="47">
        <v>77</v>
      </c>
      <c r="MS85" s="44">
        <v>-7</v>
      </c>
      <c r="MT85" s="43"/>
      <c r="MU85" s="42">
        <v>152</v>
      </c>
      <c r="MV85" s="47">
        <v>100</v>
      </c>
      <c r="MW85" s="47">
        <v>512</v>
      </c>
      <c r="MX85" s="47">
        <v>510</v>
      </c>
      <c r="MY85" s="44">
        <v>54</v>
      </c>
      <c r="MZ85" s="43"/>
      <c r="NA85" s="42">
        <v>48</v>
      </c>
      <c r="NB85" s="47">
        <v>50</v>
      </c>
      <c r="NC85" s="47">
        <v>96</v>
      </c>
      <c r="ND85" s="47">
        <v>100</v>
      </c>
      <c r="NE85" s="44">
        <v>-6</v>
      </c>
      <c r="NF85" s="43"/>
      <c r="NG85" s="42">
        <v>248</v>
      </c>
      <c r="NH85" s="47">
        <v>250</v>
      </c>
      <c r="NI85" s="47">
        <v>448</v>
      </c>
      <c r="NJ85" s="47">
        <v>450</v>
      </c>
      <c r="NK85" s="44">
        <v>-4</v>
      </c>
      <c r="NL85" s="43"/>
      <c r="NM85" s="42">
        <v>96</v>
      </c>
      <c r="NN85" s="47">
        <v>100</v>
      </c>
      <c r="NO85" s="47">
        <v>152</v>
      </c>
      <c r="NP85" s="47">
        <v>150</v>
      </c>
      <c r="NQ85" s="44">
        <v>-2</v>
      </c>
      <c r="NR85" s="43"/>
      <c r="NS85" s="42">
        <v>248</v>
      </c>
      <c r="NT85" s="47">
        <v>250</v>
      </c>
      <c r="NU85" s="47">
        <v>352</v>
      </c>
      <c r="NV85" s="47">
        <v>350</v>
      </c>
      <c r="NW85" s="44">
        <v>0</v>
      </c>
      <c r="NX85" s="43"/>
      <c r="NY85" s="42">
        <v>352</v>
      </c>
      <c r="NZ85" s="47">
        <v>350</v>
      </c>
      <c r="OA85" s="47">
        <v>360</v>
      </c>
      <c r="OB85" s="47">
        <v>350</v>
      </c>
      <c r="OC85" s="44">
        <v>12</v>
      </c>
      <c r="OD85" s="43"/>
      <c r="OE85" s="42">
        <v>168</v>
      </c>
      <c r="OF85" s="47">
        <v>170</v>
      </c>
      <c r="OG85" s="47">
        <v>128</v>
      </c>
      <c r="OH85" s="47">
        <v>130</v>
      </c>
      <c r="OI85" s="44">
        <v>-4</v>
      </c>
      <c r="OJ85" s="43"/>
      <c r="OK85" s="42">
        <v>368</v>
      </c>
      <c r="OL85" s="47">
        <v>370</v>
      </c>
      <c r="OM85" s="47">
        <v>328</v>
      </c>
      <c r="ON85" s="47">
        <v>330</v>
      </c>
      <c r="OO85" s="44">
        <v>-4</v>
      </c>
      <c r="OP85" s="43"/>
      <c r="OQ85" s="42">
        <v>96</v>
      </c>
      <c r="OR85" s="47">
        <v>100</v>
      </c>
      <c r="OS85" s="47">
        <v>0</v>
      </c>
      <c r="OT85" s="47">
        <v>0</v>
      </c>
      <c r="OU85" s="44">
        <v>-4</v>
      </c>
      <c r="OV85" s="43"/>
      <c r="OW85" s="42">
        <v>400</v>
      </c>
      <c r="OX85" s="47">
        <v>400</v>
      </c>
      <c r="OY85" s="47">
        <v>296</v>
      </c>
      <c r="OZ85" s="47">
        <v>304</v>
      </c>
      <c r="PA85" s="44">
        <v>-8</v>
      </c>
      <c r="PB85" s="43"/>
      <c r="PC85" s="42">
        <v>0</v>
      </c>
      <c r="PD85" s="47">
        <v>0</v>
      </c>
      <c r="PE85" s="47">
        <v>0</v>
      </c>
      <c r="PF85" s="47">
        <v>0</v>
      </c>
      <c r="PG85" s="44">
        <v>0</v>
      </c>
      <c r="PH85" s="43"/>
      <c r="PI85" s="42">
        <v>0</v>
      </c>
      <c r="PJ85" s="47">
        <v>0</v>
      </c>
      <c r="PK85" s="47">
        <v>88</v>
      </c>
      <c r="PL85" s="47">
        <v>90</v>
      </c>
      <c r="PM85" s="44">
        <v>-2</v>
      </c>
      <c r="PN85" s="43"/>
      <c r="PO85" s="42">
        <v>352</v>
      </c>
      <c r="PP85" s="47">
        <v>350</v>
      </c>
      <c r="PQ85" s="47">
        <v>200</v>
      </c>
      <c r="PR85" s="47">
        <v>200</v>
      </c>
      <c r="PS85" s="44">
        <v>2</v>
      </c>
      <c r="PT85" s="43"/>
      <c r="PU85" s="42">
        <v>0</v>
      </c>
      <c r="PV85" s="47">
        <v>0</v>
      </c>
      <c r="PW85" s="47">
        <v>320</v>
      </c>
      <c r="PX85" s="47">
        <v>318</v>
      </c>
      <c r="PY85" s="44">
        <v>2</v>
      </c>
      <c r="PZ85" s="43"/>
      <c r="QA85" s="42">
        <v>128</v>
      </c>
      <c r="QB85" s="47">
        <v>133</v>
      </c>
      <c r="QC85" s="44">
        <v>-5</v>
      </c>
      <c r="QD85" s="43"/>
      <c r="QE85" s="42">
        <v>720</v>
      </c>
      <c r="QF85" s="47">
        <v>760</v>
      </c>
      <c r="QG85" s="46">
        <v>-40</v>
      </c>
      <c r="QH85" s="43">
        <v>11.2</v>
      </c>
      <c r="QI85" s="42">
        <v>96</v>
      </c>
      <c r="QJ85" s="47">
        <v>100</v>
      </c>
      <c r="QK85" s="44">
        <v>-4</v>
      </c>
      <c r="QL85" s="43"/>
      <c r="QM85" s="42">
        <v>152</v>
      </c>
      <c r="QN85" s="47">
        <v>150</v>
      </c>
      <c r="QO85" s="47">
        <v>248</v>
      </c>
      <c r="QP85" s="47">
        <v>250</v>
      </c>
      <c r="QQ85" s="44">
        <v>0</v>
      </c>
      <c r="QR85" s="43"/>
      <c r="QS85" s="42">
        <v>0</v>
      </c>
      <c r="QT85" s="47">
        <v>0</v>
      </c>
      <c r="QU85" s="44">
        <v>0</v>
      </c>
      <c r="QV85" s="43"/>
      <c r="QW85" s="42">
        <v>512</v>
      </c>
      <c r="QX85" s="47">
        <v>470</v>
      </c>
      <c r="QY85" s="44">
        <v>42</v>
      </c>
      <c r="QZ85" s="43"/>
    </row>
    <row r="86" spans="1:468" x14ac:dyDescent="0.25">
      <c r="A86" s="47" t="s">
        <v>370</v>
      </c>
      <c r="B86" s="38">
        <v>0.28000000000000003</v>
      </c>
      <c r="N86" s="39"/>
      <c r="O86" s="48"/>
      <c r="P86" s="48"/>
      <c r="Q86" s="48"/>
      <c r="R86" s="48">
        <f t="shared" si="13"/>
        <v>0</v>
      </c>
      <c r="S86" s="40"/>
      <c r="T86" s="39"/>
      <c r="U86" s="48"/>
      <c r="V86" s="48">
        <f t="shared" si="14"/>
        <v>0</v>
      </c>
      <c r="W86" s="40"/>
      <c r="X86" s="39"/>
      <c r="Y86" s="48"/>
      <c r="Z86" s="48"/>
      <c r="AA86" s="48"/>
      <c r="AB86" s="48">
        <f t="shared" si="15"/>
        <v>0</v>
      </c>
      <c r="AC86" s="40"/>
      <c r="AD86" s="48"/>
      <c r="AH86" s="44">
        <v>0</v>
      </c>
      <c r="AI86" s="40"/>
      <c r="AN86" s="44">
        <v>0</v>
      </c>
      <c r="AO86" s="40"/>
      <c r="AT86" s="44">
        <v>0</v>
      </c>
      <c r="AU86" s="40"/>
      <c r="AV86" s="39"/>
      <c r="AX86" s="44">
        <v>0</v>
      </c>
      <c r="AY86" s="40"/>
      <c r="AZ86" s="39"/>
      <c r="BB86" s="44">
        <v>0</v>
      </c>
      <c r="BC86" s="40"/>
      <c r="BH86" s="44">
        <v>0</v>
      </c>
      <c r="BI86" s="40"/>
      <c r="BL86" s="44">
        <v>0</v>
      </c>
      <c r="BM86" s="40"/>
      <c r="BN86" s="39"/>
      <c r="BR86" s="44">
        <v>0</v>
      </c>
      <c r="BS86" s="40"/>
      <c r="BV86" s="44">
        <v>0</v>
      </c>
      <c r="BW86" s="40"/>
      <c r="BX86" s="39"/>
      <c r="BZ86" s="44">
        <v>0</v>
      </c>
      <c r="CA86" s="40"/>
      <c r="CB86" s="39"/>
      <c r="CH86" s="44">
        <v>0</v>
      </c>
      <c r="CI86" s="40"/>
      <c r="CN86" s="44">
        <v>0</v>
      </c>
      <c r="CO86" s="40"/>
      <c r="CP86" s="39"/>
      <c r="CT86" s="44">
        <v>0</v>
      </c>
      <c r="CU86" s="40"/>
      <c r="CV86" s="39"/>
      <c r="CZ86" s="44">
        <v>0</v>
      </c>
      <c r="DA86" s="40"/>
      <c r="DB86" s="39"/>
      <c r="DF86" s="44">
        <v>0</v>
      </c>
      <c r="DG86" s="40"/>
      <c r="DN86" s="44">
        <v>0</v>
      </c>
      <c r="DO86" s="40"/>
      <c r="DP86" s="39"/>
      <c r="DR86" s="44">
        <v>0</v>
      </c>
      <c r="DS86" s="40"/>
      <c r="DT86" s="39"/>
      <c r="DX86" s="44">
        <v>0</v>
      </c>
      <c r="DY86" s="40"/>
      <c r="DZ86" s="39"/>
      <c r="EB86" s="44">
        <v>0</v>
      </c>
      <c r="EC86" s="40"/>
      <c r="EK86" s="44">
        <v>0</v>
      </c>
      <c r="EL86" s="40"/>
      <c r="ES86" s="44">
        <v>0</v>
      </c>
      <c r="ET86" s="40"/>
      <c r="EU86" s="39"/>
      <c r="EY86" s="44">
        <v>0</v>
      </c>
      <c r="EZ86" s="40"/>
      <c r="FA86" s="39"/>
      <c r="FD86" s="44">
        <v>0</v>
      </c>
      <c r="FE86" s="40"/>
      <c r="FH86" s="44">
        <v>0</v>
      </c>
      <c r="FI86" s="40"/>
      <c r="FJ86" s="39"/>
      <c r="FQ86" s="44">
        <v>0</v>
      </c>
      <c r="FR86" s="40"/>
      <c r="FW86" s="44">
        <v>0</v>
      </c>
      <c r="FX86" s="40"/>
      <c r="FY86" s="39"/>
      <c r="GC86" s="44">
        <v>0</v>
      </c>
      <c r="GD86" s="40"/>
      <c r="GI86" s="44">
        <v>0</v>
      </c>
      <c r="GJ86" s="40"/>
      <c r="GM86" s="44">
        <v>0</v>
      </c>
      <c r="GN86" s="40"/>
      <c r="GO86" s="39"/>
      <c r="GQ86" s="44">
        <v>0</v>
      </c>
      <c r="GR86" s="40"/>
      <c r="GX86" s="44">
        <v>0</v>
      </c>
      <c r="GY86" s="40"/>
      <c r="HD86" s="44">
        <v>0</v>
      </c>
      <c r="HE86" s="40"/>
      <c r="HF86" s="39"/>
      <c r="HJ86" s="44">
        <v>0</v>
      </c>
      <c r="HK86" s="40"/>
      <c r="HL86" s="39"/>
      <c r="HP86" s="44">
        <v>0</v>
      </c>
      <c r="HQ86" s="40"/>
      <c r="HV86" s="44">
        <v>0</v>
      </c>
      <c r="HW86" s="43"/>
      <c r="IB86" s="44">
        <v>0</v>
      </c>
      <c r="IC86" s="43"/>
      <c r="IH86" s="44">
        <v>0</v>
      </c>
      <c r="II86" s="43"/>
      <c r="IN86" s="44">
        <v>0</v>
      </c>
      <c r="IO86" s="40"/>
      <c r="IR86" s="44">
        <v>0</v>
      </c>
      <c r="IS86" s="40"/>
      <c r="IX86" s="44">
        <v>0</v>
      </c>
      <c r="IY86" s="43"/>
      <c r="JB86" s="44">
        <v>0</v>
      </c>
      <c r="JC86" s="40"/>
      <c r="JH86" s="44">
        <v>0</v>
      </c>
      <c r="JI86" s="40"/>
      <c r="JN86" s="44">
        <v>0</v>
      </c>
      <c r="JO86" s="43"/>
      <c r="JT86" s="44">
        <v>0</v>
      </c>
      <c r="JU86" s="43"/>
      <c r="JZ86" s="44">
        <v>0</v>
      </c>
      <c r="KA86" s="43"/>
      <c r="KB86" s="42"/>
      <c r="KI86" s="44">
        <v>0</v>
      </c>
      <c r="KJ86" s="43"/>
      <c r="KK86" s="47">
        <v>0</v>
      </c>
      <c r="KL86" s="47">
        <v>0</v>
      </c>
      <c r="KM86" s="47">
        <v>0</v>
      </c>
      <c r="KN86" s="47">
        <v>0</v>
      </c>
      <c r="KO86" s="44">
        <v>0</v>
      </c>
      <c r="KP86" s="43"/>
      <c r="KQ86" s="47">
        <v>0</v>
      </c>
      <c r="KR86" s="47">
        <v>0</v>
      </c>
      <c r="KS86" s="47">
        <v>0</v>
      </c>
      <c r="KT86" s="47">
        <v>0</v>
      </c>
      <c r="KU86" s="44">
        <v>0</v>
      </c>
      <c r="KV86" s="43"/>
      <c r="KW86" s="42">
        <v>0</v>
      </c>
      <c r="KX86" s="47">
        <v>0</v>
      </c>
      <c r="KY86" s="44">
        <v>0</v>
      </c>
      <c r="KZ86" s="43"/>
      <c r="LA86" s="42">
        <v>0</v>
      </c>
      <c r="LB86" s="47">
        <v>0</v>
      </c>
      <c r="LC86" s="47">
        <v>0</v>
      </c>
      <c r="LD86" s="47">
        <v>0</v>
      </c>
      <c r="LE86" s="44">
        <v>0</v>
      </c>
      <c r="LF86" s="43"/>
      <c r="LG86" s="42">
        <v>0</v>
      </c>
      <c r="LH86" s="47">
        <v>0</v>
      </c>
      <c r="LI86" s="47">
        <v>0</v>
      </c>
      <c r="LJ86" s="47">
        <v>0</v>
      </c>
      <c r="LK86" s="44">
        <v>0</v>
      </c>
      <c r="LL86" s="43"/>
      <c r="LM86" s="42">
        <v>0</v>
      </c>
      <c r="LN86" s="47">
        <v>0</v>
      </c>
      <c r="LO86" s="44">
        <v>0</v>
      </c>
      <c r="LP86" s="43"/>
      <c r="LQ86" s="42">
        <v>0</v>
      </c>
      <c r="LR86" s="47">
        <v>0</v>
      </c>
      <c r="LS86" s="47">
        <v>0</v>
      </c>
      <c r="LT86" s="47">
        <v>0</v>
      </c>
      <c r="LU86" s="44">
        <v>0</v>
      </c>
      <c r="LV86" s="43"/>
      <c r="LW86" s="42">
        <v>0</v>
      </c>
      <c r="LX86" s="47">
        <v>0</v>
      </c>
      <c r="LY86" s="47">
        <v>0</v>
      </c>
      <c r="LZ86" s="47">
        <v>0</v>
      </c>
      <c r="MA86" s="44">
        <v>0</v>
      </c>
      <c r="MB86" s="43"/>
      <c r="MC86" s="42">
        <v>0</v>
      </c>
      <c r="MD86" s="47">
        <v>0</v>
      </c>
      <c r="ME86" s="47">
        <v>0</v>
      </c>
      <c r="MF86" s="47">
        <v>0</v>
      </c>
      <c r="MG86" s="44">
        <v>0</v>
      </c>
      <c r="MH86" s="43"/>
      <c r="MI86" s="42">
        <v>0</v>
      </c>
      <c r="MJ86" s="47">
        <v>0</v>
      </c>
      <c r="MK86" s="47">
        <v>0</v>
      </c>
      <c r="ML86" s="47">
        <v>0</v>
      </c>
      <c r="MM86" s="44">
        <v>0</v>
      </c>
      <c r="MN86" s="43"/>
      <c r="MO86" s="42">
        <v>0</v>
      </c>
      <c r="MP86" s="47">
        <v>0</v>
      </c>
      <c r="MQ86" s="47">
        <v>0</v>
      </c>
      <c r="MR86" s="47">
        <v>0</v>
      </c>
      <c r="MS86" s="44">
        <v>0</v>
      </c>
      <c r="MT86" s="43"/>
      <c r="MU86" s="42">
        <v>0</v>
      </c>
      <c r="MV86" s="47">
        <v>0</v>
      </c>
      <c r="MW86" s="47">
        <v>0</v>
      </c>
      <c r="MX86" s="47">
        <v>0</v>
      </c>
      <c r="MY86" s="44">
        <v>0</v>
      </c>
      <c r="MZ86" s="43"/>
      <c r="NA86" s="42">
        <v>0</v>
      </c>
      <c r="NB86" s="47">
        <v>0</v>
      </c>
      <c r="NC86" s="47">
        <v>0</v>
      </c>
      <c r="ND86" s="47">
        <v>0</v>
      </c>
      <c r="NE86" s="44">
        <v>0</v>
      </c>
      <c r="NF86" s="43"/>
      <c r="NG86" s="42">
        <v>0</v>
      </c>
      <c r="NH86" s="47">
        <v>0</v>
      </c>
      <c r="NI86" s="47">
        <v>0</v>
      </c>
      <c r="NJ86" s="47">
        <v>0</v>
      </c>
      <c r="NK86" s="44">
        <v>0</v>
      </c>
      <c r="NL86" s="43"/>
      <c r="NM86" s="42">
        <v>0</v>
      </c>
      <c r="NN86" s="47">
        <v>0</v>
      </c>
      <c r="NO86" s="47">
        <v>0</v>
      </c>
      <c r="NP86" s="47">
        <v>0</v>
      </c>
      <c r="NQ86" s="44">
        <v>0</v>
      </c>
      <c r="NR86" s="43"/>
      <c r="NS86" s="42">
        <v>0</v>
      </c>
      <c r="NT86" s="47">
        <v>0</v>
      </c>
      <c r="NU86" s="47">
        <v>0</v>
      </c>
      <c r="NV86" s="47">
        <v>0</v>
      </c>
      <c r="NW86" s="44">
        <v>0</v>
      </c>
      <c r="NX86" s="43"/>
      <c r="NY86" s="42">
        <v>0</v>
      </c>
      <c r="NZ86" s="47">
        <v>0</v>
      </c>
      <c r="OA86" s="47">
        <v>0</v>
      </c>
      <c r="OB86" s="47">
        <v>0</v>
      </c>
      <c r="OC86" s="44">
        <v>0</v>
      </c>
      <c r="OD86" s="43"/>
      <c r="OE86" s="42">
        <v>0</v>
      </c>
      <c r="OF86" s="47">
        <v>0</v>
      </c>
      <c r="OG86" s="47">
        <v>0</v>
      </c>
      <c r="OH86" s="47">
        <v>0</v>
      </c>
      <c r="OI86" s="44">
        <v>0</v>
      </c>
      <c r="OJ86" s="43"/>
      <c r="OK86" s="42">
        <v>0</v>
      </c>
      <c r="OL86" s="47">
        <v>0</v>
      </c>
      <c r="OM86" s="47">
        <v>0</v>
      </c>
      <c r="ON86" s="47">
        <v>0</v>
      </c>
      <c r="OO86" s="44">
        <v>0</v>
      </c>
      <c r="OP86" s="43"/>
      <c r="OQ86" s="42">
        <v>0</v>
      </c>
      <c r="OR86" s="47">
        <v>0</v>
      </c>
      <c r="OS86" s="47">
        <v>0</v>
      </c>
      <c r="OT86" s="47">
        <v>0</v>
      </c>
      <c r="OU86" s="44">
        <v>0</v>
      </c>
      <c r="OV86" s="43"/>
      <c r="OW86" s="42">
        <v>0</v>
      </c>
      <c r="OX86" s="47">
        <v>0</v>
      </c>
      <c r="OY86" s="47">
        <v>0</v>
      </c>
      <c r="OZ86" s="47">
        <v>0</v>
      </c>
      <c r="PA86" s="44">
        <v>0</v>
      </c>
      <c r="PB86" s="43"/>
      <c r="PC86" s="42">
        <v>0</v>
      </c>
      <c r="PD86" s="47">
        <v>0</v>
      </c>
      <c r="PE86" s="47">
        <v>0</v>
      </c>
      <c r="PF86" s="47">
        <v>0</v>
      </c>
      <c r="PG86" s="44">
        <v>0</v>
      </c>
      <c r="PH86" s="43"/>
      <c r="PI86" s="42">
        <v>0</v>
      </c>
      <c r="PJ86" s="47">
        <v>0</v>
      </c>
      <c r="PK86" s="47">
        <v>0</v>
      </c>
      <c r="PL86" s="47">
        <v>0</v>
      </c>
      <c r="PM86" s="44">
        <v>0</v>
      </c>
      <c r="PN86" s="43"/>
      <c r="PO86" s="42">
        <v>0</v>
      </c>
      <c r="PP86" s="47">
        <v>0</v>
      </c>
      <c r="PQ86" s="47">
        <v>0</v>
      </c>
      <c r="PR86" s="47">
        <v>0</v>
      </c>
      <c r="PS86" s="44">
        <v>0</v>
      </c>
      <c r="PT86" s="43"/>
      <c r="PU86" s="42">
        <v>0</v>
      </c>
      <c r="PV86" s="47">
        <v>0</v>
      </c>
      <c r="PW86" s="47">
        <v>0</v>
      </c>
      <c r="PX86" s="47">
        <v>0</v>
      </c>
      <c r="PY86" s="44">
        <v>0</v>
      </c>
      <c r="PZ86" s="43"/>
      <c r="QA86" s="42">
        <v>0</v>
      </c>
      <c r="QB86" s="47">
        <v>0</v>
      </c>
      <c r="QC86" s="44">
        <v>0</v>
      </c>
      <c r="QD86" s="43"/>
      <c r="QE86" s="42">
        <v>0</v>
      </c>
      <c r="QF86" s="47">
        <v>0</v>
      </c>
      <c r="QG86" s="44">
        <v>0</v>
      </c>
      <c r="QH86" s="43"/>
      <c r="QI86" s="42">
        <v>0</v>
      </c>
      <c r="QJ86" s="47">
        <v>0</v>
      </c>
      <c r="QK86" s="44">
        <v>0</v>
      </c>
      <c r="QL86" s="43"/>
      <c r="QM86" s="42">
        <v>0</v>
      </c>
      <c r="QN86" s="10">
        <v>200</v>
      </c>
      <c r="QO86" s="47">
        <v>0</v>
      </c>
      <c r="QP86" s="10">
        <v>350</v>
      </c>
      <c r="QQ86" s="44">
        <v>-6</v>
      </c>
      <c r="QR86" s="43"/>
      <c r="QS86" s="42">
        <v>0</v>
      </c>
      <c r="QT86" s="47">
        <v>0</v>
      </c>
      <c r="QU86" s="44">
        <v>0</v>
      </c>
      <c r="QV86" s="43"/>
      <c r="QW86" s="42">
        <v>264</v>
      </c>
      <c r="QX86" s="47">
        <v>266</v>
      </c>
      <c r="QY86" s="44">
        <v>-2</v>
      </c>
      <c r="QZ86" s="43"/>
    </row>
    <row r="87" spans="1:468" x14ac:dyDescent="0.25">
      <c r="A87" s="47" t="s">
        <v>371</v>
      </c>
      <c r="B87" s="38">
        <v>0.35</v>
      </c>
      <c r="N87" s="39"/>
      <c r="O87" s="48"/>
      <c r="P87" s="48"/>
      <c r="Q87" s="48"/>
      <c r="R87" s="48">
        <f t="shared" si="13"/>
        <v>0</v>
      </c>
      <c r="S87" s="40"/>
      <c r="T87" s="39"/>
      <c r="U87" s="48"/>
      <c r="V87" s="48">
        <f t="shared" si="14"/>
        <v>0</v>
      </c>
      <c r="W87" s="40"/>
      <c r="X87" s="39"/>
      <c r="Y87" s="48"/>
      <c r="Z87" s="48"/>
      <c r="AA87" s="48"/>
      <c r="AB87" s="48">
        <f t="shared" si="15"/>
        <v>0</v>
      </c>
      <c r="AC87" s="40"/>
      <c r="AD87" s="48"/>
      <c r="AH87" s="44">
        <v>0</v>
      </c>
      <c r="AI87" s="40"/>
      <c r="AN87" s="44">
        <v>0</v>
      </c>
      <c r="AO87" s="40"/>
      <c r="AT87" s="44">
        <v>0</v>
      </c>
      <c r="AU87" s="40"/>
      <c r="AV87" s="39"/>
      <c r="AX87" s="44">
        <v>0</v>
      </c>
      <c r="AY87" s="40"/>
      <c r="AZ87" s="39"/>
      <c r="BB87" s="44">
        <v>0</v>
      </c>
      <c r="BC87" s="40"/>
      <c r="BH87" s="44">
        <v>0</v>
      </c>
      <c r="BI87" s="40"/>
      <c r="BL87" s="44">
        <v>0</v>
      </c>
      <c r="BM87" s="40"/>
      <c r="BN87" s="39"/>
      <c r="BR87" s="44">
        <v>0</v>
      </c>
      <c r="BS87" s="40"/>
      <c r="BV87" s="44">
        <v>0</v>
      </c>
      <c r="BW87" s="40"/>
      <c r="BX87" s="39"/>
      <c r="BZ87" s="44">
        <v>0</v>
      </c>
      <c r="CA87" s="40"/>
      <c r="CB87" s="39"/>
      <c r="CH87" s="44">
        <v>0</v>
      </c>
      <c r="CI87" s="40"/>
      <c r="CN87" s="44">
        <v>0</v>
      </c>
      <c r="CO87" s="40"/>
      <c r="CP87" s="39"/>
      <c r="CT87" s="44">
        <v>0</v>
      </c>
      <c r="CU87" s="40"/>
      <c r="CV87" s="39"/>
      <c r="CZ87" s="44">
        <v>0</v>
      </c>
      <c r="DA87" s="40"/>
      <c r="DB87" s="39"/>
      <c r="DF87" s="44">
        <v>0</v>
      </c>
      <c r="DG87" s="40"/>
      <c r="DN87" s="44">
        <v>0</v>
      </c>
      <c r="DO87" s="40"/>
      <c r="DP87" s="39"/>
      <c r="DR87" s="44">
        <v>0</v>
      </c>
      <c r="DS87" s="40"/>
      <c r="DT87" s="39"/>
      <c r="DX87" s="44">
        <v>0</v>
      </c>
      <c r="DY87" s="40"/>
      <c r="DZ87" s="39"/>
      <c r="EB87" s="44">
        <v>0</v>
      </c>
      <c r="EC87" s="40"/>
      <c r="EK87" s="44">
        <v>0</v>
      </c>
      <c r="EL87" s="40"/>
      <c r="ES87" s="44">
        <v>0</v>
      </c>
      <c r="ET87" s="40"/>
      <c r="EU87" s="39"/>
      <c r="EY87" s="44">
        <v>0</v>
      </c>
      <c r="EZ87" s="40"/>
      <c r="FA87" s="39"/>
      <c r="FD87" s="44">
        <v>0</v>
      </c>
      <c r="FE87" s="40"/>
      <c r="FH87" s="44">
        <v>0</v>
      </c>
      <c r="FI87" s="40"/>
      <c r="FJ87" s="39"/>
      <c r="FQ87" s="44">
        <v>0</v>
      </c>
      <c r="FR87" s="40"/>
      <c r="FW87" s="44">
        <v>0</v>
      </c>
      <c r="FX87" s="40"/>
      <c r="FY87" s="39"/>
      <c r="GC87" s="44">
        <v>0</v>
      </c>
      <c r="GD87" s="40"/>
      <c r="GI87" s="44">
        <v>0</v>
      </c>
      <c r="GJ87" s="40"/>
      <c r="GM87" s="44">
        <v>0</v>
      </c>
      <c r="GN87" s="40"/>
      <c r="GO87" s="39"/>
      <c r="GQ87" s="44">
        <v>0</v>
      </c>
      <c r="GR87" s="40"/>
      <c r="GX87" s="44">
        <v>0</v>
      </c>
      <c r="GY87" s="40"/>
      <c r="HD87" s="44">
        <v>0</v>
      </c>
      <c r="HE87" s="40"/>
      <c r="HF87" s="39"/>
      <c r="HH87">
        <v>216</v>
      </c>
      <c r="HI87">
        <v>219</v>
      </c>
      <c r="HJ87" s="44">
        <v>-3</v>
      </c>
      <c r="HK87" s="40"/>
      <c r="HL87" s="41">
        <v>600</v>
      </c>
      <c r="HM87">
        <v>600</v>
      </c>
      <c r="HN87">
        <v>448</v>
      </c>
      <c r="HO87">
        <v>450</v>
      </c>
      <c r="HP87" s="44">
        <v>-2</v>
      </c>
      <c r="HQ87" s="40"/>
      <c r="HR87">
        <v>152</v>
      </c>
      <c r="HS87">
        <v>150</v>
      </c>
      <c r="HT87">
        <v>176</v>
      </c>
      <c r="HU87">
        <v>180</v>
      </c>
      <c r="HV87" s="44">
        <v>-2</v>
      </c>
      <c r="HW87" s="43"/>
      <c r="HZ87">
        <v>448</v>
      </c>
      <c r="IA87">
        <v>450</v>
      </c>
      <c r="IB87" s="44">
        <v>-2</v>
      </c>
      <c r="IC87" s="43"/>
      <c r="ID87">
        <v>296</v>
      </c>
      <c r="IE87">
        <v>300</v>
      </c>
      <c r="IF87">
        <v>248</v>
      </c>
      <c r="IG87">
        <v>250</v>
      </c>
      <c r="IH87" s="44">
        <v>-6</v>
      </c>
      <c r="II87" s="43"/>
      <c r="IN87" s="44">
        <v>0</v>
      </c>
      <c r="IO87" s="40"/>
      <c r="IP87">
        <v>96</v>
      </c>
      <c r="IQ87">
        <v>100</v>
      </c>
      <c r="IR87" s="44">
        <v>-4</v>
      </c>
      <c r="IS87" s="40"/>
      <c r="IT87">
        <v>752</v>
      </c>
      <c r="IU87">
        <v>750</v>
      </c>
      <c r="IV87">
        <v>664</v>
      </c>
      <c r="IW87">
        <v>665</v>
      </c>
      <c r="IX87" s="44">
        <v>1</v>
      </c>
      <c r="IY87" s="43"/>
      <c r="IZ87">
        <v>272</v>
      </c>
      <c r="JA87" s="47">
        <v>270</v>
      </c>
      <c r="JB87" s="44">
        <v>2</v>
      </c>
      <c r="JC87" s="40"/>
      <c r="JD87">
        <v>96</v>
      </c>
      <c r="JE87">
        <v>100</v>
      </c>
      <c r="JF87">
        <v>248</v>
      </c>
      <c r="JG87">
        <v>250</v>
      </c>
      <c r="JH87" s="44">
        <v>-6</v>
      </c>
      <c r="JI87" s="40"/>
      <c r="JJ87">
        <v>320</v>
      </c>
      <c r="JK87">
        <v>320</v>
      </c>
      <c r="JL87">
        <v>344</v>
      </c>
      <c r="JM87">
        <v>340</v>
      </c>
      <c r="JN87" s="44">
        <v>4</v>
      </c>
      <c r="JO87" s="43"/>
      <c r="JP87">
        <v>120</v>
      </c>
      <c r="JQ87">
        <v>120</v>
      </c>
      <c r="JT87" s="44">
        <v>0</v>
      </c>
      <c r="JU87" s="43"/>
      <c r="JV87">
        <v>240</v>
      </c>
      <c r="JW87">
        <v>240</v>
      </c>
      <c r="JX87">
        <v>416</v>
      </c>
      <c r="JY87">
        <v>420</v>
      </c>
      <c r="JZ87" s="44">
        <v>-4</v>
      </c>
      <c r="KA87" s="43"/>
      <c r="KB87" s="42"/>
      <c r="KE87">
        <v>400</v>
      </c>
      <c r="KF87">
        <v>400</v>
      </c>
      <c r="KG87">
        <v>456</v>
      </c>
      <c r="KH87">
        <v>460</v>
      </c>
      <c r="KI87" s="44">
        <v>-4</v>
      </c>
      <c r="KJ87" s="43"/>
      <c r="KK87" s="47">
        <v>96</v>
      </c>
      <c r="KL87" s="47">
        <v>96</v>
      </c>
      <c r="KM87" s="47">
        <v>64</v>
      </c>
      <c r="KN87" s="47">
        <v>64</v>
      </c>
      <c r="KO87" s="44">
        <v>0</v>
      </c>
      <c r="KP87" s="43"/>
      <c r="KQ87" s="47">
        <v>400</v>
      </c>
      <c r="KR87" s="47">
        <v>400</v>
      </c>
      <c r="KS87" s="47">
        <v>440</v>
      </c>
      <c r="KT87" s="47">
        <v>440</v>
      </c>
      <c r="KU87" s="44">
        <v>0</v>
      </c>
      <c r="KV87" s="43"/>
      <c r="KW87" s="42">
        <v>176</v>
      </c>
      <c r="KX87" s="47">
        <v>180</v>
      </c>
      <c r="KY87" s="44">
        <v>-4</v>
      </c>
      <c r="KZ87" s="43"/>
      <c r="LA87" s="42">
        <v>200</v>
      </c>
      <c r="LB87" s="47">
        <v>200</v>
      </c>
      <c r="LC87" s="47">
        <v>176</v>
      </c>
      <c r="LD87" s="47">
        <v>180</v>
      </c>
      <c r="LE87" s="44">
        <v>-4</v>
      </c>
      <c r="LF87" s="43"/>
      <c r="LG87" s="42">
        <v>416</v>
      </c>
      <c r="LH87" s="47">
        <v>400</v>
      </c>
      <c r="LI87" s="47">
        <v>472</v>
      </c>
      <c r="LJ87" s="47">
        <v>470</v>
      </c>
      <c r="LK87" s="44">
        <v>18</v>
      </c>
      <c r="LL87" s="43"/>
      <c r="LM87" s="42">
        <v>160</v>
      </c>
      <c r="LN87" s="47">
        <v>160</v>
      </c>
      <c r="LO87" s="44">
        <v>0</v>
      </c>
      <c r="LP87" s="43"/>
      <c r="LQ87" s="42">
        <v>0</v>
      </c>
      <c r="LR87" s="47">
        <v>0</v>
      </c>
      <c r="LS87" s="47">
        <v>0</v>
      </c>
      <c r="LT87" s="47">
        <v>0</v>
      </c>
      <c r="LU87" s="44">
        <v>0</v>
      </c>
      <c r="LV87" s="43"/>
      <c r="LW87" s="42">
        <v>0</v>
      </c>
      <c r="LX87" s="47">
        <v>0</v>
      </c>
      <c r="LY87" s="47">
        <v>448</v>
      </c>
      <c r="LZ87" s="47">
        <v>450</v>
      </c>
      <c r="MA87" s="44">
        <v>-2</v>
      </c>
      <c r="MB87" s="43"/>
      <c r="MC87" s="42">
        <v>0</v>
      </c>
      <c r="MD87" s="47">
        <v>0</v>
      </c>
      <c r="ME87" s="47">
        <v>448</v>
      </c>
      <c r="MF87" s="47">
        <v>450</v>
      </c>
      <c r="MG87" s="44">
        <v>-2</v>
      </c>
      <c r="MH87" s="43"/>
      <c r="MI87" s="42">
        <v>696</v>
      </c>
      <c r="MJ87" s="47">
        <v>700</v>
      </c>
      <c r="MK87" s="47">
        <v>296</v>
      </c>
      <c r="ML87" s="47">
        <v>300</v>
      </c>
      <c r="MM87" s="44">
        <v>-8</v>
      </c>
      <c r="MN87" s="43"/>
      <c r="MO87" s="42">
        <v>96</v>
      </c>
      <c r="MP87" s="47">
        <v>100</v>
      </c>
      <c r="MQ87" s="47">
        <v>80</v>
      </c>
      <c r="MR87" s="47">
        <v>80</v>
      </c>
      <c r="MS87" s="44">
        <v>-4</v>
      </c>
      <c r="MT87" s="43"/>
      <c r="MU87" s="42">
        <v>96</v>
      </c>
      <c r="MV87" s="47">
        <v>140</v>
      </c>
      <c r="MW87" s="47">
        <v>160</v>
      </c>
      <c r="MX87" s="47">
        <v>160</v>
      </c>
      <c r="MY87" s="46">
        <v>-44</v>
      </c>
      <c r="MZ87" s="43">
        <v>15.4</v>
      </c>
      <c r="NA87" s="42">
        <v>488</v>
      </c>
      <c r="NB87" s="47">
        <v>490</v>
      </c>
      <c r="NC87" s="47">
        <v>512</v>
      </c>
      <c r="ND87" s="47">
        <v>510</v>
      </c>
      <c r="NE87" s="44">
        <v>0</v>
      </c>
      <c r="NF87" s="43"/>
      <c r="NG87" s="42">
        <v>96</v>
      </c>
      <c r="NH87" s="47">
        <v>100</v>
      </c>
      <c r="NI87" s="47">
        <v>248</v>
      </c>
      <c r="NJ87" s="47">
        <v>250</v>
      </c>
      <c r="NK87" s="44">
        <v>-6</v>
      </c>
      <c r="NL87" s="43"/>
      <c r="NM87" s="42">
        <v>248</v>
      </c>
      <c r="NN87" s="47">
        <v>250</v>
      </c>
      <c r="NO87" s="47">
        <v>248</v>
      </c>
      <c r="NP87" s="47">
        <v>250</v>
      </c>
      <c r="NQ87" s="44">
        <v>-4</v>
      </c>
      <c r="NR87" s="43"/>
      <c r="NS87" s="42">
        <v>400</v>
      </c>
      <c r="NT87" s="47">
        <v>400</v>
      </c>
      <c r="NU87" s="47">
        <v>600</v>
      </c>
      <c r="NV87" s="47">
        <v>600</v>
      </c>
      <c r="NW87" s="44">
        <v>0</v>
      </c>
      <c r="NX87" s="43"/>
      <c r="NY87" s="42">
        <v>400</v>
      </c>
      <c r="NZ87" s="47">
        <v>400</v>
      </c>
      <c r="OA87" s="47">
        <v>400</v>
      </c>
      <c r="OB87" s="47">
        <v>400</v>
      </c>
      <c r="OC87" s="44">
        <v>0</v>
      </c>
      <c r="OD87" s="43"/>
      <c r="OE87" s="42">
        <v>80</v>
      </c>
      <c r="OF87" s="47">
        <v>80</v>
      </c>
      <c r="OG87" s="47">
        <v>72</v>
      </c>
      <c r="OH87" s="47">
        <v>70</v>
      </c>
      <c r="OI87" s="44">
        <v>2</v>
      </c>
      <c r="OJ87" s="43"/>
      <c r="OK87" s="42">
        <v>800</v>
      </c>
      <c r="OL87" s="47">
        <v>800</v>
      </c>
      <c r="OM87" s="47">
        <v>600</v>
      </c>
      <c r="ON87" s="47">
        <v>600</v>
      </c>
      <c r="OO87" s="44">
        <v>0</v>
      </c>
      <c r="OP87" s="43"/>
      <c r="OQ87" s="42">
        <v>96</v>
      </c>
      <c r="OR87" s="47">
        <v>100</v>
      </c>
      <c r="OS87" s="47">
        <v>0</v>
      </c>
      <c r="OT87" s="47">
        <v>0</v>
      </c>
      <c r="OU87" s="44">
        <v>-4</v>
      </c>
      <c r="OV87" s="43"/>
      <c r="OW87" s="42">
        <v>512</v>
      </c>
      <c r="OX87" s="47">
        <v>500</v>
      </c>
      <c r="OY87" s="47">
        <v>472</v>
      </c>
      <c r="OZ87" s="47">
        <v>476</v>
      </c>
      <c r="PA87" s="44">
        <v>8</v>
      </c>
      <c r="PB87" s="43"/>
      <c r="PC87" s="42">
        <v>0</v>
      </c>
      <c r="PD87" s="26">
        <v>250</v>
      </c>
      <c r="PE87" s="47">
        <v>360</v>
      </c>
      <c r="PF87" s="47">
        <v>265</v>
      </c>
      <c r="PG87" s="46">
        <v>-155</v>
      </c>
      <c r="PH87" s="43">
        <v>54.25</v>
      </c>
      <c r="PI87" s="42">
        <v>88</v>
      </c>
      <c r="PJ87" s="47">
        <v>90</v>
      </c>
      <c r="PK87" s="47">
        <v>104</v>
      </c>
      <c r="PL87" s="47">
        <v>106</v>
      </c>
      <c r="PM87" s="44">
        <v>-4</v>
      </c>
      <c r="PN87" s="43"/>
      <c r="PO87" s="42">
        <v>224</v>
      </c>
      <c r="PP87" s="47">
        <v>240</v>
      </c>
      <c r="PQ87" s="47">
        <v>296</v>
      </c>
      <c r="PR87" s="47">
        <v>300</v>
      </c>
      <c r="PS87" s="46">
        <v>-20</v>
      </c>
      <c r="PT87" s="43">
        <v>7</v>
      </c>
      <c r="PU87" s="42">
        <v>0</v>
      </c>
      <c r="PV87" s="47">
        <v>0</v>
      </c>
      <c r="PW87" s="47">
        <v>536</v>
      </c>
      <c r="PX87" s="47">
        <v>536</v>
      </c>
      <c r="PY87" s="44">
        <v>0</v>
      </c>
      <c r="PZ87" s="43"/>
      <c r="QA87" s="42">
        <v>736</v>
      </c>
      <c r="QB87" s="47">
        <v>738</v>
      </c>
      <c r="QC87" s="44">
        <v>-2</v>
      </c>
      <c r="QD87" s="43"/>
      <c r="QE87" s="42">
        <v>192</v>
      </c>
      <c r="QF87" s="47">
        <v>190</v>
      </c>
      <c r="QG87" s="44">
        <v>2</v>
      </c>
      <c r="QH87" s="43"/>
      <c r="QI87" s="42">
        <v>472</v>
      </c>
      <c r="QJ87" s="47">
        <v>475</v>
      </c>
      <c r="QK87" s="44">
        <v>-3</v>
      </c>
      <c r="QL87" s="43"/>
      <c r="QM87" s="42">
        <v>248</v>
      </c>
      <c r="QN87" s="47">
        <v>250</v>
      </c>
      <c r="QO87" s="47">
        <v>448</v>
      </c>
      <c r="QP87" s="47">
        <v>450</v>
      </c>
      <c r="QQ87" s="44">
        <v>-4</v>
      </c>
      <c r="QR87" s="43"/>
      <c r="QS87" s="42">
        <v>0</v>
      </c>
      <c r="QT87" s="47">
        <v>0</v>
      </c>
      <c r="QU87" s="44">
        <v>0</v>
      </c>
      <c r="QV87" s="43"/>
      <c r="QW87" s="42">
        <v>488</v>
      </c>
      <c r="QX87" s="47">
        <v>492</v>
      </c>
      <c r="QY87" s="44">
        <v>-4</v>
      </c>
      <c r="QZ87" s="43"/>
    </row>
    <row r="88" spans="1:468" x14ac:dyDescent="0.25">
      <c r="A88" s="47" t="s">
        <v>372</v>
      </c>
      <c r="B88" s="38">
        <v>0.28000000000000003</v>
      </c>
      <c r="N88" s="39"/>
      <c r="O88" s="48"/>
      <c r="P88" s="48"/>
      <c r="Q88" s="48"/>
      <c r="R88" s="48">
        <f t="shared" si="13"/>
        <v>0</v>
      </c>
      <c r="S88" s="40"/>
      <c r="T88" s="39"/>
      <c r="U88" s="48"/>
      <c r="V88" s="48">
        <f t="shared" si="14"/>
        <v>0</v>
      </c>
      <c r="W88" s="40"/>
      <c r="X88" s="39"/>
      <c r="Y88" s="48"/>
      <c r="Z88" s="48"/>
      <c r="AA88" s="48"/>
      <c r="AB88" s="48">
        <f t="shared" si="15"/>
        <v>0</v>
      </c>
      <c r="AC88" s="40"/>
      <c r="AD88" s="48"/>
      <c r="AH88" s="44">
        <v>0</v>
      </c>
      <c r="AI88" s="40"/>
      <c r="AN88" s="44">
        <v>0</v>
      </c>
      <c r="AO88" s="40"/>
      <c r="AT88" s="44">
        <v>0</v>
      </c>
      <c r="AU88" s="40"/>
      <c r="AV88" s="39"/>
      <c r="AX88" s="44">
        <v>0</v>
      </c>
      <c r="AY88" s="40"/>
      <c r="AZ88" s="39"/>
      <c r="BB88" s="44">
        <v>0</v>
      </c>
      <c r="BC88" s="40"/>
      <c r="BH88" s="44">
        <v>0</v>
      </c>
      <c r="BI88" s="40"/>
      <c r="BL88" s="44">
        <v>0</v>
      </c>
      <c r="BM88" s="40"/>
      <c r="BN88" s="39"/>
      <c r="BR88" s="44">
        <v>0</v>
      </c>
      <c r="BS88" s="40"/>
      <c r="BV88" s="44">
        <v>0</v>
      </c>
      <c r="BW88" s="40"/>
      <c r="BX88" s="39"/>
      <c r="BZ88" s="44">
        <v>0</v>
      </c>
      <c r="CA88" s="40"/>
      <c r="CB88" s="39"/>
      <c r="CH88" s="44">
        <v>0</v>
      </c>
      <c r="CI88" s="40"/>
      <c r="CN88" s="44">
        <v>0</v>
      </c>
      <c r="CO88" s="40"/>
      <c r="CP88" s="39"/>
      <c r="CT88" s="44">
        <v>0</v>
      </c>
      <c r="CU88" s="40"/>
      <c r="CV88" s="39"/>
      <c r="CZ88" s="44">
        <v>0</v>
      </c>
      <c r="DA88" s="40"/>
      <c r="DB88" s="39"/>
      <c r="DF88" s="44">
        <v>0</v>
      </c>
      <c r="DG88" s="40"/>
      <c r="DN88" s="44">
        <v>0</v>
      </c>
      <c r="DO88" s="40"/>
      <c r="DP88" s="39"/>
      <c r="DR88" s="44">
        <v>0</v>
      </c>
      <c r="DS88" s="40"/>
      <c r="DT88" s="39"/>
      <c r="DX88" s="44">
        <v>0</v>
      </c>
      <c r="DY88" s="40"/>
      <c r="DZ88" s="39"/>
      <c r="EB88" s="44">
        <v>0</v>
      </c>
      <c r="EC88" s="40"/>
      <c r="EK88" s="44">
        <v>0</v>
      </c>
      <c r="EL88" s="40"/>
      <c r="ES88" s="44">
        <v>0</v>
      </c>
      <c r="ET88" s="40"/>
      <c r="EU88" s="39"/>
      <c r="EY88" s="44">
        <v>0</v>
      </c>
      <c r="EZ88" s="40"/>
      <c r="FA88" s="39"/>
      <c r="FC88">
        <v>127</v>
      </c>
      <c r="FD88" s="44">
        <v>1</v>
      </c>
      <c r="FE88" s="40"/>
      <c r="FH88" s="44">
        <v>0</v>
      </c>
      <c r="FI88" s="40"/>
      <c r="FJ88" s="39"/>
      <c r="FK88">
        <v>300</v>
      </c>
      <c r="FN88">
        <v>170</v>
      </c>
      <c r="FP88">
        <v>200</v>
      </c>
      <c r="FQ88" s="44">
        <v>-6</v>
      </c>
      <c r="FR88" s="40"/>
      <c r="FS88">
        <v>176</v>
      </c>
      <c r="FT88">
        <v>180</v>
      </c>
      <c r="FU88">
        <v>176</v>
      </c>
      <c r="FV88">
        <v>180</v>
      </c>
      <c r="FW88" s="44">
        <v>-8</v>
      </c>
      <c r="FX88" s="40"/>
      <c r="FY88" s="41">
        <v>16</v>
      </c>
      <c r="FZ88">
        <v>20</v>
      </c>
      <c r="GA88">
        <v>96</v>
      </c>
      <c r="GB88">
        <v>100</v>
      </c>
      <c r="GC88" s="44">
        <v>-8</v>
      </c>
      <c r="GD88" s="40"/>
      <c r="GE88">
        <v>328</v>
      </c>
      <c r="GF88">
        <v>330</v>
      </c>
      <c r="GG88">
        <v>352</v>
      </c>
      <c r="GH88">
        <v>350</v>
      </c>
      <c r="GI88" s="44">
        <v>0</v>
      </c>
      <c r="GJ88" s="40"/>
      <c r="GK88">
        <v>88</v>
      </c>
      <c r="GL88" s="47">
        <v>90</v>
      </c>
      <c r="GM88" s="44">
        <v>-2</v>
      </c>
      <c r="GN88" s="40"/>
      <c r="GO88" s="41">
        <v>456</v>
      </c>
      <c r="GP88">
        <v>460</v>
      </c>
      <c r="GQ88" s="44">
        <v>-4</v>
      </c>
      <c r="GR88" s="40"/>
      <c r="GS88">
        <v>96</v>
      </c>
      <c r="GT88">
        <v>100</v>
      </c>
      <c r="GV88">
        <v>200</v>
      </c>
      <c r="GW88">
        <v>200</v>
      </c>
      <c r="GX88" s="44">
        <v>-4</v>
      </c>
      <c r="GY88" s="40"/>
      <c r="GZ88">
        <v>56</v>
      </c>
      <c r="HA88">
        <v>60</v>
      </c>
      <c r="HD88" s="44">
        <v>-4</v>
      </c>
      <c r="HE88" s="40"/>
      <c r="HF88" s="39"/>
      <c r="HH88">
        <v>360</v>
      </c>
      <c r="HI88">
        <v>360</v>
      </c>
      <c r="HJ88" s="44">
        <v>0</v>
      </c>
      <c r="HK88" s="40"/>
      <c r="HL88" s="41">
        <v>408</v>
      </c>
      <c r="HM88">
        <v>400</v>
      </c>
      <c r="HN88">
        <v>328</v>
      </c>
      <c r="HO88">
        <v>330</v>
      </c>
      <c r="HP88" s="44">
        <v>6</v>
      </c>
      <c r="HQ88" s="40"/>
      <c r="HR88">
        <v>96</v>
      </c>
      <c r="HS88">
        <v>100</v>
      </c>
      <c r="HT88">
        <v>168</v>
      </c>
      <c r="HU88">
        <v>170</v>
      </c>
      <c r="HV88" s="44">
        <v>-6</v>
      </c>
      <c r="HW88" s="43"/>
      <c r="HZ88">
        <v>176</v>
      </c>
      <c r="IA88">
        <v>180</v>
      </c>
      <c r="IB88" s="44">
        <v>-4</v>
      </c>
      <c r="IC88" s="43"/>
      <c r="ID88">
        <v>496</v>
      </c>
      <c r="IE88">
        <v>500</v>
      </c>
      <c r="IF88">
        <v>400</v>
      </c>
      <c r="IG88">
        <v>400</v>
      </c>
      <c r="IH88" s="44">
        <v>-4</v>
      </c>
      <c r="II88" s="43"/>
      <c r="IJ88">
        <v>160</v>
      </c>
      <c r="IK88">
        <v>160</v>
      </c>
      <c r="IL88">
        <v>136</v>
      </c>
      <c r="IM88">
        <v>140</v>
      </c>
      <c r="IN88" s="44">
        <v>-4</v>
      </c>
      <c r="IO88" s="40"/>
      <c r="IP88">
        <v>96</v>
      </c>
      <c r="IQ88">
        <v>100</v>
      </c>
      <c r="IR88" s="44">
        <v>-4</v>
      </c>
      <c r="IS88" s="40"/>
      <c r="IT88">
        <v>296</v>
      </c>
      <c r="IU88">
        <v>300</v>
      </c>
      <c r="IV88">
        <v>224</v>
      </c>
      <c r="IW88">
        <v>224</v>
      </c>
      <c r="IX88" s="44">
        <v>-4</v>
      </c>
      <c r="IY88" s="43"/>
      <c r="IZ88">
        <v>408</v>
      </c>
      <c r="JA88" s="47">
        <v>410</v>
      </c>
      <c r="JB88" s="44">
        <v>-2</v>
      </c>
      <c r="JC88" s="40"/>
      <c r="JF88">
        <v>440</v>
      </c>
      <c r="JG88">
        <v>440</v>
      </c>
      <c r="JH88" s="44">
        <v>0</v>
      </c>
      <c r="JI88" s="40"/>
      <c r="JJ88">
        <v>248</v>
      </c>
      <c r="JK88">
        <v>250</v>
      </c>
      <c r="JL88">
        <v>112</v>
      </c>
      <c r="JM88">
        <v>110</v>
      </c>
      <c r="JN88" s="44">
        <v>0</v>
      </c>
      <c r="JO88" s="43"/>
      <c r="JP88">
        <v>128</v>
      </c>
      <c r="JQ88">
        <v>130</v>
      </c>
      <c r="JT88" s="44">
        <v>-2</v>
      </c>
      <c r="JU88" s="43"/>
      <c r="JV88">
        <v>152</v>
      </c>
      <c r="JW88">
        <v>150</v>
      </c>
      <c r="JZ88" s="44">
        <v>2</v>
      </c>
      <c r="KA88" s="43"/>
      <c r="KB88" s="42"/>
      <c r="KE88">
        <v>464</v>
      </c>
      <c r="KF88">
        <v>250</v>
      </c>
      <c r="KG88">
        <v>360</v>
      </c>
      <c r="KH88">
        <v>360</v>
      </c>
      <c r="KI88" s="44">
        <v>214</v>
      </c>
      <c r="KJ88" s="43"/>
      <c r="KK88" s="47">
        <v>56</v>
      </c>
      <c r="KL88" s="47">
        <v>60</v>
      </c>
      <c r="KM88" s="47">
        <v>40</v>
      </c>
      <c r="KN88" s="47">
        <v>40</v>
      </c>
      <c r="KO88" s="44">
        <v>-4</v>
      </c>
      <c r="KP88" s="43"/>
      <c r="KQ88" s="47">
        <v>400</v>
      </c>
      <c r="KR88" s="47">
        <v>400</v>
      </c>
      <c r="KS88" s="47">
        <v>400</v>
      </c>
      <c r="KT88" s="47">
        <v>400</v>
      </c>
      <c r="KU88" s="44">
        <v>0</v>
      </c>
      <c r="KV88" s="43"/>
      <c r="KW88" s="42">
        <v>96</v>
      </c>
      <c r="KX88" s="47">
        <v>100</v>
      </c>
      <c r="KY88" s="44">
        <v>-4</v>
      </c>
      <c r="KZ88" s="43"/>
      <c r="LA88" s="42">
        <v>0</v>
      </c>
      <c r="LB88" s="47">
        <v>190</v>
      </c>
      <c r="LC88" s="47">
        <v>168</v>
      </c>
      <c r="LD88" s="47">
        <v>170</v>
      </c>
      <c r="LE88" s="46">
        <v>-192</v>
      </c>
      <c r="LF88" s="43">
        <v>53.760000000000012</v>
      </c>
      <c r="LG88" s="42">
        <v>320</v>
      </c>
      <c r="LH88" s="47">
        <v>320</v>
      </c>
      <c r="LI88" s="47">
        <v>368</v>
      </c>
      <c r="LJ88" s="47">
        <v>370</v>
      </c>
      <c r="LK88" s="44">
        <v>-2</v>
      </c>
      <c r="LL88" s="43"/>
      <c r="LM88" s="42">
        <v>56</v>
      </c>
      <c r="LN88" s="47">
        <v>60</v>
      </c>
      <c r="LO88" s="44">
        <v>-4</v>
      </c>
      <c r="LP88" s="43"/>
      <c r="LQ88" s="42">
        <v>0</v>
      </c>
      <c r="LR88" s="47">
        <v>0</v>
      </c>
      <c r="LS88" s="47">
        <v>0</v>
      </c>
      <c r="LT88" s="47">
        <v>0</v>
      </c>
      <c r="LU88" s="44">
        <v>0</v>
      </c>
      <c r="LV88" s="43"/>
      <c r="LW88" s="42">
        <v>0</v>
      </c>
      <c r="LX88" s="47">
        <v>0</v>
      </c>
      <c r="LY88" s="47">
        <v>440</v>
      </c>
      <c r="LZ88" s="47">
        <v>440</v>
      </c>
      <c r="MA88" s="44">
        <v>0</v>
      </c>
      <c r="MB88" s="43"/>
      <c r="MC88" s="42">
        <v>0</v>
      </c>
      <c r="MD88" s="47">
        <v>0</v>
      </c>
      <c r="ME88" s="47">
        <v>408</v>
      </c>
      <c r="MF88" s="47">
        <v>410</v>
      </c>
      <c r="MG88" s="44">
        <v>-2</v>
      </c>
      <c r="MH88" s="43"/>
      <c r="MI88" s="42">
        <v>296</v>
      </c>
      <c r="MJ88" s="47">
        <v>300</v>
      </c>
      <c r="MK88" s="47">
        <v>152</v>
      </c>
      <c r="ML88" s="47">
        <v>150</v>
      </c>
      <c r="MM88" s="44">
        <v>-2</v>
      </c>
      <c r="MN88" s="43"/>
      <c r="MO88" s="42">
        <v>200</v>
      </c>
      <c r="MP88" s="47">
        <v>200</v>
      </c>
      <c r="MQ88" s="47">
        <v>248</v>
      </c>
      <c r="MR88" s="47">
        <v>250</v>
      </c>
      <c r="MS88" s="44">
        <v>-2</v>
      </c>
      <c r="MT88" s="43"/>
      <c r="MU88" s="42">
        <v>152</v>
      </c>
      <c r="MV88" s="47">
        <v>130</v>
      </c>
      <c r="MW88" s="47">
        <v>176</v>
      </c>
      <c r="MX88" s="47">
        <v>180</v>
      </c>
      <c r="MY88" s="44">
        <v>18</v>
      </c>
      <c r="MZ88" s="43"/>
      <c r="NA88" s="42">
        <v>200</v>
      </c>
      <c r="NB88" s="47">
        <v>200</v>
      </c>
      <c r="NC88" s="47">
        <v>352</v>
      </c>
      <c r="ND88" s="47">
        <v>350</v>
      </c>
      <c r="NE88" s="44">
        <v>2</v>
      </c>
      <c r="NF88" s="43"/>
      <c r="NG88" s="42">
        <v>200</v>
      </c>
      <c r="NH88" s="47">
        <v>200</v>
      </c>
      <c r="NI88" s="47">
        <v>496</v>
      </c>
      <c r="NJ88" s="47">
        <v>491</v>
      </c>
      <c r="NK88" s="44">
        <v>5</v>
      </c>
      <c r="NL88" s="43"/>
      <c r="NM88" s="42">
        <v>296</v>
      </c>
      <c r="NN88" s="47">
        <v>300</v>
      </c>
      <c r="NO88" s="47">
        <v>288</v>
      </c>
      <c r="NP88" s="47">
        <v>300</v>
      </c>
      <c r="NQ88" s="46">
        <v>-16</v>
      </c>
      <c r="NR88" s="43">
        <v>4.4800000000000004</v>
      </c>
      <c r="NS88" s="42">
        <v>200</v>
      </c>
      <c r="NT88" s="47">
        <v>200</v>
      </c>
      <c r="NU88" s="47">
        <v>296</v>
      </c>
      <c r="NV88" s="47">
        <v>300</v>
      </c>
      <c r="NW88" s="44">
        <v>-4</v>
      </c>
      <c r="NX88" s="43"/>
      <c r="NY88" s="42">
        <v>376</v>
      </c>
      <c r="NZ88" s="47">
        <v>375</v>
      </c>
      <c r="OA88" s="47">
        <v>376</v>
      </c>
      <c r="OB88" s="47">
        <v>375</v>
      </c>
      <c r="OC88" s="44">
        <v>2</v>
      </c>
      <c r="OD88" s="43"/>
      <c r="OE88" s="42">
        <v>80</v>
      </c>
      <c r="OF88" s="47">
        <v>80</v>
      </c>
      <c r="OG88" s="47">
        <v>72</v>
      </c>
      <c r="OH88" s="47">
        <v>70</v>
      </c>
      <c r="OI88" s="44">
        <v>2</v>
      </c>
      <c r="OJ88" s="43"/>
      <c r="OK88" s="42">
        <v>400</v>
      </c>
      <c r="OL88" s="47">
        <v>400</v>
      </c>
      <c r="OM88" s="47">
        <v>496</v>
      </c>
      <c r="ON88" s="47">
        <v>500</v>
      </c>
      <c r="OO88" s="44">
        <v>-4</v>
      </c>
      <c r="OP88" s="43"/>
      <c r="OQ88" s="42">
        <v>248</v>
      </c>
      <c r="OR88" s="47">
        <v>250</v>
      </c>
      <c r="OS88" s="47">
        <v>216</v>
      </c>
      <c r="OT88" s="47">
        <v>215</v>
      </c>
      <c r="OU88" s="44">
        <v>-1</v>
      </c>
      <c r="OV88" s="43"/>
      <c r="OW88" s="42">
        <v>296</v>
      </c>
      <c r="OX88" s="47">
        <v>300</v>
      </c>
      <c r="OY88" s="47">
        <v>312</v>
      </c>
      <c r="OZ88" s="47">
        <v>316</v>
      </c>
      <c r="PA88" s="44">
        <v>-8</v>
      </c>
      <c r="PB88" s="43"/>
      <c r="PC88" s="42">
        <v>128</v>
      </c>
      <c r="PD88" s="47">
        <v>150</v>
      </c>
      <c r="PE88" s="47">
        <v>160</v>
      </c>
      <c r="PF88" s="47">
        <v>194</v>
      </c>
      <c r="PG88" s="46">
        <v>-56</v>
      </c>
      <c r="PH88" s="43">
        <v>15.68</v>
      </c>
      <c r="PI88" s="42">
        <v>200</v>
      </c>
      <c r="PJ88" s="47">
        <v>200</v>
      </c>
      <c r="PK88" s="47">
        <v>32</v>
      </c>
      <c r="PL88" s="47">
        <v>182</v>
      </c>
      <c r="PM88" s="46">
        <v>-150</v>
      </c>
      <c r="PN88" s="43">
        <v>42.000000000000007</v>
      </c>
      <c r="PO88" s="42">
        <v>216</v>
      </c>
      <c r="PP88" s="47">
        <v>220</v>
      </c>
      <c r="PQ88" s="47">
        <v>200</v>
      </c>
      <c r="PR88" s="47">
        <v>200</v>
      </c>
      <c r="PS88" s="44">
        <v>-4</v>
      </c>
      <c r="PT88" s="43"/>
      <c r="PU88" s="42">
        <v>0</v>
      </c>
      <c r="PV88" s="47">
        <v>0</v>
      </c>
      <c r="PW88" s="47">
        <v>440</v>
      </c>
      <c r="PX88" s="47">
        <v>438</v>
      </c>
      <c r="PY88" s="44">
        <v>2</v>
      </c>
      <c r="PZ88" s="43"/>
      <c r="QA88" s="42">
        <v>520</v>
      </c>
      <c r="QB88" s="47">
        <v>519</v>
      </c>
      <c r="QC88" s="44">
        <v>1</v>
      </c>
      <c r="QD88" s="43"/>
      <c r="QE88" s="42">
        <v>0</v>
      </c>
      <c r="QF88" s="47">
        <v>0</v>
      </c>
      <c r="QG88" s="44">
        <v>0</v>
      </c>
      <c r="QH88" s="43"/>
      <c r="QI88" s="42">
        <v>696</v>
      </c>
      <c r="QJ88" s="47">
        <v>697</v>
      </c>
      <c r="QK88" s="44">
        <v>-1</v>
      </c>
      <c r="QL88" s="43"/>
      <c r="QM88" s="42">
        <v>296</v>
      </c>
      <c r="QN88" s="47">
        <v>300</v>
      </c>
      <c r="QO88" s="47">
        <v>496</v>
      </c>
      <c r="QP88" s="47">
        <v>500</v>
      </c>
      <c r="QQ88" s="44">
        <v>-8</v>
      </c>
      <c r="QR88" s="43"/>
      <c r="QS88" s="42">
        <v>0</v>
      </c>
      <c r="QT88" s="47">
        <v>0</v>
      </c>
      <c r="QU88" s="44">
        <v>0</v>
      </c>
      <c r="QV88" s="43"/>
      <c r="QW88" s="42">
        <v>240</v>
      </c>
      <c r="QX88" s="47">
        <v>240</v>
      </c>
      <c r="QY88" s="44">
        <v>0</v>
      </c>
      <c r="QZ88" s="43"/>
    </row>
    <row r="89" spans="1:468" x14ac:dyDescent="0.25">
      <c r="A89" s="47" t="s">
        <v>373</v>
      </c>
      <c r="B89" s="38">
        <v>0.35</v>
      </c>
      <c r="N89" s="39"/>
      <c r="O89" s="48"/>
      <c r="P89" s="48"/>
      <c r="Q89" s="48"/>
      <c r="R89" s="48">
        <f t="shared" si="13"/>
        <v>0</v>
      </c>
      <c r="S89" s="40"/>
      <c r="T89" s="39"/>
      <c r="U89" s="48"/>
      <c r="V89" s="48">
        <f t="shared" si="14"/>
        <v>0</v>
      </c>
      <c r="W89" s="40"/>
      <c r="X89" s="39"/>
      <c r="Y89" s="48"/>
      <c r="Z89" s="48"/>
      <c r="AA89" s="48"/>
      <c r="AB89" s="48">
        <f t="shared" si="15"/>
        <v>0</v>
      </c>
      <c r="AC89" s="40"/>
      <c r="AD89" s="48"/>
      <c r="AH89" s="44">
        <v>0</v>
      </c>
      <c r="AI89" s="40"/>
      <c r="AN89" s="44">
        <v>0</v>
      </c>
      <c r="AO89" s="40"/>
      <c r="AT89" s="44">
        <v>0</v>
      </c>
      <c r="AU89" s="40"/>
      <c r="AV89" s="39"/>
      <c r="AX89" s="44">
        <v>0</v>
      </c>
      <c r="AY89" s="40"/>
      <c r="AZ89" s="39"/>
      <c r="BB89" s="44">
        <v>0</v>
      </c>
      <c r="BC89" s="40"/>
      <c r="BH89" s="44">
        <v>0</v>
      </c>
      <c r="BI89" s="40"/>
      <c r="BL89" s="44">
        <v>0</v>
      </c>
      <c r="BM89" s="40"/>
      <c r="BN89" s="39"/>
      <c r="BR89" s="44">
        <v>0</v>
      </c>
      <c r="BS89" s="40"/>
      <c r="BV89" s="44">
        <v>0</v>
      </c>
      <c r="BW89" s="40"/>
      <c r="BX89" s="39"/>
      <c r="BZ89" s="44">
        <v>0</v>
      </c>
      <c r="CA89" s="40"/>
      <c r="CB89" s="39"/>
      <c r="CH89" s="44">
        <v>0</v>
      </c>
      <c r="CI89" s="40"/>
      <c r="CN89" s="44">
        <v>0</v>
      </c>
      <c r="CO89" s="40"/>
      <c r="CP89" s="39"/>
      <c r="CT89" s="44">
        <v>0</v>
      </c>
      <c r="CU89" s="40"/>
      <c r="CV89" s="39"/>
      <c r="CZ89" s="44">
        <v>0</v>
      </c>
      <c r="DA89" s="40"/>
      <c r="DB89" s="39"/>
      <c r="DF89" s="44">
        <v>0</v>
      </c>
      <c r="DG89" s="40"/>
      <c r="DN89" s="44">
        <v>0</v>
      </c>
      <c r="DO89" s="40"/>
      <c r="DP89" s="39"/>
      <c r="DR89" s="44">
        <v>0</v>
      </c>
      <c r="DS89" s="40"/>
      <c r="DT89" s="39"/>
      <c r="DX89" s="44">
        <v>0</v>
      </c>
      <c r="DY89" s="40"/>
      <c r="DZ89" s="39"/>
      <c r="EB89" s="44">
        <v>0</v>
      </c>
      <c r="EC89" s="40"/>
      <c r="EK89" s="44">
        <v>0</v>
      </c>
      <c r="EL89" s="40"/>
      <c r="ES89" s="44">
        <v>0</v>
      </c>
      <c r="ET89" s="40"/>
      <c r="EU89" s="39"/>
      <c r="EY89" s="44">
        <v>0</v>
      </c>
      <c r="EZ89" s="40"/>
      <c r="FA89" s="39"/>
      <c r="FD89" s="44">
        <v>0</v>
      </c>
      <c r="FE89" s="40"/>
      <c r="FH89" s="44">
        <v>0</v>
      </c>
      <c r="FI89" s="40"/>
      <c r="FJ89" s="39"/>
      <c r="FQ89" s="44">
        <v>0</v>
      </c>
      <c r="FR89" s="40"/>
      <c r="FW89" s="44">
        <v>0</v>
      </c>
      <c r="FX89" s="40"/>
      <c r="FY89" s="39"/>
      <c r="GC89" s="44">
        <v>0</v>
      </c>
      <c r="GD89" s="40"/>
      <c r="GI89" s="44">
        <v>0</v>
      </c>
      <c r="GJ89" s="40"/>
      <c r="GM89" s="44">
        <v>0</v>
      </c>
      <c r="GN89" s="40"/>
      <c r="GO89" s="39"/>
      <c r="GQ89" s="44">
        <v>0</v>
      </c>
      <c r="GR89" s="40"/>
      <c r="GX89" s="44">
        <v>0</v>
      </c>
      <c r="GY89" s="40"/>
      <c r="HD89" s="44">
        <v>0</v>
      </c>
      <c r="HE89" s="40"/>
      <c r="HF89" s="39"/>
      <c r="HH89">
        <v>944</v>
      </c>
      <c r="HI89">
        <v>951</v>
      </c>
      <c r="HJ89" s="44">
        <v>-7</v>
      </c>
      <c r="HK89" s="40"/>
      <c r="HL89" s="39"/>
      <c r="HP89" s="44">
        <v>0</v>
      </c>
      <c r="HQ89" s="40"/>
      <c r="HR89">
        <v>400</v>
      </c>
      <c r="HS89">
        <v>400</v>
      </c>
      <c r="HT89">
        <v>552</v>
      </c>
      <c r="HU89">
        <v>550</v>
      </c>
      <c r="HV89" s="44">
        <v>2</v>
      </c>
      <c r="HW89" s="43"/>
      <c r="HZ89">
        <v>200</v>
      </c>
      <c r="IA89">
        <v>200</v>
      </c>
      <c r="IB89" s="44">
        <v>0</v>
      </c>
      <c r="IC89" s="43"/>
      <c r="IE89">
        <v>700</v>
      </c>
      <c r="IF89">
        <v>488</v>
      </c>
      <c r="IG89">
        <v>490</v>
      </c>
      <c r="IH89" s="46">
        <v>-702</v>
      </c>
      <c r="II89" s="43">
        <v>245.7</v>
      </c>
      <c r="IJ89">
        <v>64</v>
      </c>
      <c r="IK89">
        <v>65</v>
      </c>
      <c r="IN89" s="44">
        <v>-1</v>
      </c>
      <c r="IO89" s="40"/>
      <c r="IP89">
        <v>288</v>
      </c>
      <c r="IQ89">
        <v>290</v>
      </c>
      <c r="IR89" s="44">
        <v>-2</v>
      </c>
      <c r="IS89" s="40"/>
      <c r="IT89">
        <v>416</v>
      </c>
      <c r="IU89">
        <v>420</v>
      </c>
      <c r="IV89">
        <v>448</v>
      </c>
      <c r="IW89">
        <v>450</v>
      </c>
      <c r="IX89" s="44">
        <v>-6</v>
      </c>
      <c r="IY89" s="43"/>
      <c r="JB89" s="44">
        <v>0</v>
      </c>
      <c r="JC89" s="40"/>
      <c r="JD89">
        <v>96</v>
      </c>
      <c r="JE89">
        <v>100</v>
      </c>
      <c r="JF89">
        <v>192</v>
      </c>
      <c r="JG89">
        <v>190</v>
      </c>
      <c r="JH89" s="44">
        <v>-2</v>
      </c>
      <c r="JI89" s="40"/>
      <c r="JJ89">
        <v>576</v>
      </c>
      <c r="JK89">
        <v>580</v>
      </c>
      <c r="JL89">
        <v>608</v>
      </c>
      <c r="JM89">
        <v>620</v>
      </c>
      <c r="JN89" s="46">
        <v>-16</v>
      </c>
      <c r="JO89" s="43">
        <v>5.6</v>
      </c>
      <c r="JP89">
        <v>96</v>
      </c>
      <c r="JQ89">
        <v>100</v>
      </c>
      <c r="JR89">
        <v>200</v>
      </c>
      <c r="JS89">
        <v>210</v>
      </c>
      <c r="JT89" s="46">
        <v>-14</v>
      </c>
      <c r="JU89" s="43">
        <v>4.8999999999999986</v>
      </c>
      <c r="JZ89" s="44">
        <v>0</v>
      </c>
      <c r="KA89" s="43"/>
      <c r="KB89" s="41">
        <v>400</v>
      </c>
      <c r="KC89">
        <v>400</v>
      </c>
      <c r="KE89">
        <v>496</v>
      </c>
      <c r="KF89">
        <v>500</v>
      </c>
      <c r="KG89">
        <v>176</v>
      </c>
      <c r="KH89">
        <v>400</v>
      </c>
      <c r="KI89" s="46">
        <v>-228</v>
      </c>
      <c r="KJ89" s="43">
        <v>79.8</v>
      </c>
      <c r="KK89" s="47">
        <v>72</v>
      </c>
      <c r="KL89" s="47">
        <v>70</v>
      </c>
      <c r="KM89" s="47">
        <v>72</v>
      </c>
      <c r="KN89" s="47">
        <v>70</v>
      </c>
      <c r="KO89" s="44">
        <v>4</v>
      </c>
      <c r="KP89" s="43"/>
      <c r="KQ89" s="47">
        <v>296</v>
      </c>
      <c r="KR89" s="47">
        <v>300</v>
      </c>
      <c r="KS89" s="47">
        <v>296</v>
      </c>
      <c r="KT89" s="47">
        <v>300</v>
      </c>
      <c r="KU89" s="44">
        <v>-8</v>
      </c>
      <c r="KV89" s="43"/>
      <c r="KW89" s="42">
        <v>96</v>
      </c>
      <c r="KX89" s="47">
        <v>100</v>
      </c>
      <c r="KY89" s="44">
        <v>-4</v>
      </c>
      <c r="KZ89" s="43"/>
      <c r="LA89" s="42">
        <v>400</v>
      </c>
      <c r="LB89" s="47">
        <v>400</v>
      </c>
      <c r="LC89" s="47">
        <v>328</v>
      </c>
      <c r="LD89" s="47">
        <v>330</v>
      </c>
      <c r="LE89" s="44">
        <v>-2</v>
      </c>
      <c r="LF89" s="43"/>
      <c r="LG89" s="42">
        <v>360</v>
      </c>
      <c r="LH89" s="47">
        <v>350</v>
      </c>
      <c r="LI89" s="47">
        <v>360</v>
      </c>
      <c r="LJ89" s="47">
        <v>360</v>
      </c>
      <c r="LK89" s="44">
        <v>10</v>
      </c>
      <c r="LL89" s="43"/>
      <c r="LM89" s="42">
        <v>0</v>
      </c>
      <c r="LN89" s="47">
        <v>0</v>
      </c>
      <c r="LO89" s="44">
        <v>0</v>
      </c>
      <c r="LP89" s="43"/>
      <c r="LQ89" s="42">
        <v>0</v>
      </c>
      <c r="LR89" s="47">
        <v>0</v>
      </c>
      <c r="LS89" s="47">
        <v>208</v>
      </c>
      <c r="LT89" s="47">
        <v>210</v>
      </c>
      <c r="LU89" s="44">
        <v>-2</v>
      </c>
      <c r="LV89" s="43"/>
      <c r="LW89" s="42">
        <v>256</v>
      </c>
      <c r="LX89" s="47">
        <v>260</v>
      </c>
      <c r="LY89" s="47">
        <v>0</v>
      </c>
      <c r="LZ89" s="47">
        <v>0</v>
      </c>
      <c r="MA89" s="44">
        <v>-4</v>
      </c>
      <c r="MB89" s="43"/>
      <c r="MC89" s="42">
        <v>96</v>
      </c>
      <c r="MD89" s="47">
        <v>100</v>
      </c>
      <c r="ME89" s="47">
        <v>656</v>
      </c>
      <c r="MF89" s="47">
        <v>660</v>
      </c>
      <c r="MG89" s="44">
        <v>-8</v>
      </c>
      <c r="MH89" s="43"/>
      <c r="MI89" s="42">
        <v>496</v>
      </c>
      <c r="MJ89" s="47">
        <v>500</v>
      </c>
      <c r="MK89" s="47">
        <v>248</v>
      </c>
      <c r="ML89" s="47">
        <v>250</v>
      </c>
      <c r="MM89" s="44">
        <v>-6</v>
      </c>
      <c r="MN89" s="43"/>
      <c r="MO89" s="42">
        <v>48</v>
      </c>
      <c r="MP89" s="47">
        <v>50</v>
      </c>
      <c r="MQ89" s="47">
        <v>72</v>
      </c>
      <c r="MR89" s="47">
        <v>70</v>
      </c>
      <c r="MS89" s="44">
        <v>0</v>
      </c>
      <c r="MT89" s="43"/>
      <c r="MU89" s="42">
        <v>200</v>
      </c>
      <c r="MV89" s="47">
        <v>300</v>
      </c>
      <c r="MW89" s="47">
        <v>496</v>
      </c>
      <c r="MX89" s="47">
        <v>500</v>
      </c>
      <c r="MY89" s="46">
        <v>-104</v>
      </c>
      <c r="MZ89" s="43">
        <v>36.4</v>
      </c>
      <c r="NA89" s="42">
        <v>296</v>
      </c>
      <c r="NB89" s="47">
        <v>300</v>
      </c>
      <c r="NC89" s="47">
        <v>288</v>
      </c>
      <c r="ND89" s="47">
        <v>300</v>
      </c>
      <c r="NE89" s="44">
        <v>-16</v>
      </c>
      <c r="NF89" s="43"/>
      <c r="NG89" s="42">
        <v>96</v>
      </c>
      <c r="NH89" s="47">
        <v>100</v>
      </c>
      <c r="NI89" s="47">
        <v>200</v>
      </c>
      <c r="NJ89" s="47">
        <v>200</v>
      </c>
      <c r="NK89" s="44">
        <v>-4</v>
      </c>
      <c r="NL89" s="43"/>
      <c r="NM89" s="42">
        <v>552</v>
      </c>
      <c r="NN89" s="47">
        <v>550</v>
      </c>
      <c r="NO89" s="47">
        <v>448</v>
      </c>
      <c r="NP89" s="47">
        <v>450</v>
      </c>
      <c r="NQ89" s="44">
        <v>0</v>
      </c>
      <c r="NR89" s="43"/>
      <c r="NS89" s="42">
        <v>120</v>
      </c>
      <c r="NT89" s="47">
        <v>120</v>
      </c>
      <c r="NU89" s="47">
        <v>96</v>
      </c>
      <c r="NV89" s="47">
        <v>100</v>
      </c>
      <c r="NW89" s="44">
        <v>-4</v>
      </c>
      <c r="NX89" s="43"/>
      <c r="NY89" s="42">
        <v>472</v>
      </c>
      <c r="NZ89" s="47">
        <v>475</v>
      </c>
      <c r="OA89" s="47">
        <v>472</v>
      </c>
      <c r="OB89" s="47">
        <v>474</v>
      </c>
      <c r="OC89" s="44">
        <v>-5</v>
      </c>
      <c r="OD89" s="43"/>
      <c r="OE89" s="42">
        <v>488</v>
      </c>
      <c r="OF89" s="47">
        <v>490</v>
      </c>
      <c r="OG89" s="47">
        <v>376</v>
      </c>
      <c r="OH89" s="47">
        <v>380</v>
      </c>
      <c r="OI89" s="44">
        <v>-6</v>
      </c>
      <c r="OJ89" s="43"/>
      <c r="OK89" s="42">
        <v>0</v>
      </c>
      <c r="OL89" s="26">
        <v>390</v>
      </c>
      <c r="OM89" s="47">
        <v>296</v>
      </c>
      <c r="ON89" s="47">
        <v>300</v>
      </c>
      <c r="OO89" s="46">
        <v>-394</v>
      </c>
      <c r="OP89" s="43">
        <v>137.9</v>
      </c>
      <c r="OQ89" s="42">
        <v>352</v>
      </c>
      <c r="OR89" s="47">
        <v>350</v>
      </c>
      <c r="OS89" s="47">
        <v>272</v>
      </c>
      <c r="OT89" s="47">
        <v>272</v>
      </c>
      <c r="OU89" s="44">
        <v>2</v>
      </c>
      <c r="OV89" s="43"/>
      <c r="OW89" s="42">
        <v>456</v>
      </c>
      <c r="OX89" s="47">
        <v>450</v>
      </c>
      <c r="OY89" s="47">
        <v>424</v>
      </c>
      <c r="OZ89" s="47">
        <v>409</v>
      </c>
      <c r="PA89" s="44">
        <v>21</v>
      </c>
      <c r="PB89" s="43"/>
      <c r="PC89" s="42">
        <v>152</v>
      </c>
      <c r="PD89" s="47">
        <v>150</v>
      </c>
      <c r="PE89" s="47">
        <v>176</v>
      </c>
      <c r="PF89" s="47">
        <v>180</v>
      </c>
      <c r="PG89" s="44">
        <v>-2</v>
      </c>
      <c r="PH89" s="43"/>
      <c r="PI89" s="42">
        <v>200</v>
      </c>
      <c r="PJ89" s="47">
        <v>200</v>
      </c>
      <c r="PK89" s="47">
        <v>224</v>
      </c>
      <c r="PL89" s="47">
        <v>228</v>
      </c>
      <c r="PM89" s="44">
        <v>-4</v>
      </c>
      <c r="PN89" s="43"/>
      <c r="PO89" s="42">
        <v>280</v>
      </c>
      <c r="PP89" s="47">
        <v>280</v>
      </c>
      <c r="PQ89" s="47">
        <v>200</v>
      </c>
      <c r="PR89" s="47">
        <v>200</v>
      </c>
      <c r="PS89" s="44">
        <v>0</v>
      </c>
      <c r="PT89" s="43"/>
      <c r="PU89" s="42">
        <v>0</v>
      </c>
      <c r="PV89" s="47">
        <v>0</v>
      </c>
      <c r="PW89" s="47">
        <v>520</v>
      </c>
      <c r="PX89" s="47">
        <v>521</v>
      </c>
      <c r="PY89" s="44">
        <v>-1</v>
      </c>
      <c r="PZ89" s="43"/>
      <c r="QA89" s="42">
        <v>640</v>
      </c>
      <c r="QB89" s="47">
        <v>644</v>
      </c>
      <c r="QC89" s="44">
        <v>-4</v>
      </c>
      <c r="QD89" s="43"/>
      <c r="QE89" s="42">
        <v>400</v>
      </c>
      <c r="QF89" s="47">
        <v>400</v>
      </c>
      <c r="QG89" s="44">
        <v>0</v>
      </c>
      <c r="QH89" s="43"/>
      <c r="QI89" s="42">
        <v>248</v>
      </c>
      <c r="QJ89" s="47">
        <v>248</v>
      </c>
      <c r="QK89" s="44">
        <v>0</v>
      </c>
      <c r="QL89" s="43"/>
      <c r="QM89" s="42">
        <v>240</v>
      </c>
      <c r="QN89" s="47">
        <v>250</v>
      </c>
      <c r="QO89" s="47">
        <v>496</v>
      </c>
      <c r="QP89" s="47">
        <v>500</v>
      </c>
      <c r="QQ89" s="46">
        <v>-14</v>
      </c>
      <c r="QR89" s="43">
        <v>4.8999999999999986</v>
      </c>
      <c r="QS89" s="42">
        <v>0</v>
      </c>
      <c r="QT89" s="47">
        <v>0</v>
      </c>
      <c r="QU89" s="44">
        <v>0</v>
      </c>
      <c r="QV89" s="43"/>
      <c r="QW89" s="42">
        <v>448</v>
      </c>
      <c r="QX89" s="47">
        <v>446</v>
      </c>
      <c r="QY89" s="44">
        <v>2</v>
      </c>
      <c r="QZ89" s="43"/>
    </row>
    <row r="90" spans="1:468" x14ac:dyDescent="0.25">
      <c r="A90" s="47" t="s">
        <v>374</v>
      </c>
      <c r="B90" s="38">
        <v>0.28000000000000003</v>
      </c>
      <c r="N90" s="39"/>
      <c r="O90" s="48"/>
      <c r="P90" s="48"/>
      <c r="Q90" s="48"/>
      <c r="R90" s="48">
        <f t="shared" si="13"/>
        <v>0</v>
      </c>
      <c r="S90" s="40"/>
      <c r="T90" s="39"/>
      <c r="U90" s="48"/>
      <c r="V90" s="48">
        <f t="shared" si="14"/>
        <v>0</v>
      </c>
      <c r="W90" s="40"/>
      <c r="X90" s="39"/>
      <c r="Y90" s="48"/>
      <c r="Z90" s="48"/>
      <c r="AA90" s="48"/>
      <c r="AB90" s="48">
        <f t="shared" si="15"/>
        <v>0</v>
      </c>
      <c r="AC90" s="40"/>
      <c r="AD90" s="48"/>
      <c r="AH90" s="44">
        <v>0</v>
      </c>
      <c r="AI90" s="40"/>
      <c r="AN90" s="44">
        <v>0</v>
      </c>
      <c r="AO90" s="40"/>
      <c r="AT90" s="44">
        <v>0</v>
      </c>
      <c r="AU90" s="40"/>
      <c r="AV90" s="39"/>
      <c r="AX90" s="44">
        <v>0</v>
      </c>
      <c r="AY90" s="40"/>
      <c r="AZ90" s="39"/>
      <c r="BB90" s="44">
        <v>0</v>
      </c>
      <c r="BC90" s="40"/>
      <c r="BH90" s="44">
        <v>0</v>
      </c>
      <c r="BI90" s="40"/>
      <c r="BL90" s="44">
        <v>0</v>
      </c>
      <c r="BM90" s="40"/>
      <c r="BN90" s="39"/>
      <c r="BR90" s="44">
        <v>0</v>
      </c>
      <c r="BS90" s="40"/>
      <c r="BV90" s="44">
        <v>0</v>
      </c>
      <c r="BW90" s="40"/>
      <c r="BX90" s="39"/>
      <c r="BZ90" s="44">
        <v>0</v>
      </c>
      <c r="CA90" s="40"/>
      <c r="CB90" s="39"/>
      <c r="CH90" s="44">
        <v>0</v>
      </c>
      <c r="CI90" s="40"/>
      <c r="CN90" s="44">
        <v>0</v>
      </c>
      <c r="CO90" s="40"/>
      <c r="CP90" s="39"/>
      <c r="CT90" s="44">
        <v>0</v>
      </c>
      <c r="CU90" s="40"/>
      <c r="CV90" s="39"/>
      <c r="CZ90" s="44">
        <v>0</v>
      </c>
      <c r="DA90" s="40"/>
      <c r="DB90" s="39"/>
      <c r="DF90" s="44">
        <v>0</v>
      </c>
      <c r="DG90" s="40"/>
      <c r="DN90" s="44">
        <v>0</v>
      </c>
      <c r="DO90" s="40"/>
      <c r="DP90" s="39"/>
      <c r="DR90" s="44">
        <v>0</v>
      </c>
      <c r="DS90" s="40"/>
      <c r="DT90" s="39"/>
      <c r="DX90" s="44">
        <v>0</v>
      </c>
      <c r="DY90" s="40"/>
      <c r="DZ90" s="39"/>
      <c r="EB90" s="44">
        <v>0</v>
      </c>
      <c r="EC90" s="40"/>
      <c r="EK90" s="44">
        <v>0</v>
      </c>
      <c r="EL90" s="40"/>
      <c r="ES90" s="44">
        <v>0</v>
      </c>
      <c r="ET90" s="40"/>
      <c r="EU90" s="39"/>
      <c r="EY90" s="44">
        <v>0</v>
      </c>
      <c r="EZ90" s="40"/>
      <c r="FA90" s="39"/>
      <c r="FD90" s="44">
        <v>0</v>
      </c>
      <c r="FE90" s="40"/>
      <c r="FH90" s="44">
        <v>0</v>
      </c>
      <c r="FI90" s="40"/>
      <c r="FJ90" s="39"/>
      <c r="FQ90" s="44">
        <v>0</v>
      </c>
      <c r="FR90" s="40"/>
      <c r="FW90" s="44">
        <v>0</v>
      </c>
      <c r="FX90" s="40"/>
      <c r="FY90" s="39"/>
      <c r="GC90" s="44">
        <v>0</v>
      </c>
      <c r="GD90" s="40"/>
      <c r="GI90" s="44">
        <v>0</v>
      </c>
      <c r="GJ90" s="40"/>
      <c r="GM90" s="44">
        <v>0</v>
      </c>
      <c r="GN90" s="40"/>
      <c r="GO90" s="39"/>
      <c r="GQ90" s="44">
        <v>0</v>
      </c>
      <c r="GR90" s="40"/>
      <c r="GX90" s="44">
        <v>0</v>
      </c>
      <c r="GY90" s="40"/>
      <c r="HD90" s="44">
        <v>0</v>
      </c>
      <c r="HE90" s="40"/>
      <c r="HF90" s="39"/>
      <c r="HJ90" s="44">
        <v>0</v>
      </c>
      <c r="HK90" s="40"/>
      <c r="HL90" s="39"/>
      <c r="HP90" s="44">
        <v>0</v>
      </c>
      <c r="HQ90" s="40"/>
      <c r="HV90" s="44">
        <v>0</v>
      </c>
      <c r="HW90" s="43"/>
      <c r="IB90" s="44">
        <v>0</v>
      </c>
      <c r="IC90" s="43"/>
      <c r="IH90" s="44">
        <v>0</v>
      </c>
      <c r="II90" s="43"/>
      <c r="IN90" s="44">
        <v>0</v>
      </c>
      <c r="IO90" s="40"/>
      <c r="IR90" s="44">
        <v>0</v>
      </c>
      <c r="IS90" s="40"/>
      <c r="IX90" s="44">
        <v>0</v>
      </c>
      <c r="IY90" s="43"/>
      <c r="JB90" s="44">
        <v>0</v>
      </c>
      <c r="JC90" s="40"/>
      <c r="JH90" s="44">
        <v>0</v>
      </c>
      <c r="JI90" s="40"/>
      <c r="JN90" s="44">
        <v>0</v>
      </c>
      <c r="JO90" s="43"/>
      <c r="JT90" s="44">
        <v>0</v>
      </c>
      <c r="JU90" s="43"/>
      <c r="JZ90" s="44">
        <v>0</v>
      </c>
      <c r="KA90" s="43"/>
      <c r="KB90" s="42"/>
      <c r="KI90" s="44">
        <v>0</v>
      </c>
      <c r="KJ90" s="43"/>
      <c r="KK90" s="47">
        <v>0</v>
      </c>
      <c r="KL90" s="47">
        <v>0</v>
      </c>
      <c r="KM90" s="47">
        <v>0</v>
      </c>
      <c r="KN90" s="47">
        <v>0</v>
      </c>
      <c r="KO90" s="44">
        <v>0</v>
      </c>
      <c r="KP90" s="43"/>
      <c r="KQ90" s="47">
        <v>0</v>
      </c>
      <c r="KR90" s="47">
        <v>0</v>
      </c>
      <c r="KS90" s="47">
        <v>0</v>
      </c>
      <c r="KT90" s="47">
        <v>0</v>
      </c>
      <c r="KU90" s="44">
        <v>0</v>
      </c>
      <c r="KV90" s="43"/>
      <c r="KW90" s="42">
        <v>0</v>
      </c>
      <c r="KX90" s="47">
        <v>0</v>
      </c>
      <c r="KY90" s="44">
        <v>0</v>
      </c>
      <c r="KZ90" s="43"/>
      <c r="LA90" s="42">
        <v>0</v>
      </c>
      <c r="LB90" s="47">
        <v>0</v>
      </c>
      <c r="LC90" s="47">
        <v>0</v>
      </c>
      <c r="LD90" s="47">
        <v>0</v>
      </c>
      <c r="LE90" s="44">
        <v>0</v>
      </c>
      <c r="LF90" s="43"/>
      <c r="LG90" s="42">
        <v>0</v>
      </c>
      <c r="LH90" s="47">
        <v>0</v>
      </c>
      <c r="LI90" s="47">
        <v>0</v>
      </c>
      <c r="LJ90" s="47">
        <v>0</v>
      </c>
      <c r="LK90" s="44">
        <v>0</v>
      </c>
      <c r="LL90" s="43"/>
      <c r="LM90" s="42">
        <v>0</v>
      </c>
      <c r="LN90" s="47">
        <v>0</v>
      </c>
      <c r="LO90" s="44">
        <v>0</v>
      </c>
      <c r="LP90" s="43"/>
      <c r="LQ90" s="42">
        <v>0</v>
      </c>
      <c r="LR90" s="47">
        <v>0</v>
      </c>
      <c r="LS90" s="47">
        <v>0</v>
      </c>
      <c r="LT90" s="47">
        <v>0</v>
      </c>
      <c r="LU90" s="44">
        <v>0</v>
      </c>
      <c r="LV90" s="43"/>
      <c r="LW90" s="42">
        <v>0</v>
      </c>
      <c r="LX90" s="47">
        <v>0</v>
      </c>
      <c r="LY90" s="47">
        <v>0</v>
      </c>
      <c r="LZ90" s="47">
        <v>0</v>
      </c>
      <c r="MA90" s="44">
        <v>0</v>
      </c>
      <c r="MB90" s="43"/>
      <c r="MC90" s="42">
        <v>0</v>
      </c>
      <c r="MD90" s="47">
        <v>0</v>
      </c>
      <c r="ME90" s="47">
        <v>0</v>
      </c>
      <c r="MF90" s="47">
        <v>0</v>
      </c>
      <c r="MG90" s="44">
        <v>0</v>
      </c>
      <c r="MH90" s="43"/>
      <c r="MI90" s="42">
        <v>0</v>
      </c>
      <c r="MJ90" s="47">
        <v>0</v>
      </c>
      <c r="MK90" s="47">
        <v>0</v>
      </c>
      <c r="ML90" s="47">
        <v>0</v>
      </c>
      <c r="MM90" s="44">
        <v>0</v>
      </c>
      <c r="MN90" s="43"/>
      <c r="MO90" s="42">
        <v>0</v>
      </c>
      <c r="MP90" s="47">
        <v>0</v>
      </c>
      <c r="MQ90" s="47">
        <v>0</v>
      </c>
      <c r="MR90" s="47">
        <v>0</v>
      </c>
      <c r="MS90" s="44">
        <v>0</v>
      </c>
      <c r="MT90" s="43"/>
      <c r="MU90" s="42">
        <v>0</v>
      </c>
      <c r="MV90" s="47">
        <v>0</v>
      </c>
      <c r="MW90" s="47">
        <v>0</v>
      </c>
      <c r="MX90" s="47">
        <v>0</v>
      </c>
      <c r="MY90" s="44">
        <v>0</v>
      </c>
      <c r="MZ90" s="43"/>
      <c r="NA90" s="42">
        <v>0</v>
      </c>
      <c r="NB90" s="47">
        <v>0</v>
      </c>
      <c r="NC90" s="47">
        <v>0</v>
      </c>
      <c r="ND90" s="47">
        <v>0</v>
      </c>
      <c r="NE90" s="44">
        <v>0</v>
      </c>
      <c r="NF90" s="43"/>
      <c r="NG90" s="42">
        <v>0</v>
      </c>
      <c r="NH90" s="47">
        <v>0</v>
      </c>
      <c r="NI90" s="47">
        <v>0</v>
      </c>
      <c r="NJ90" s="47">
        <v>0</v>
      </c>
      <c r="NK90" s="44">
        <v>0</v>
      </c>
      <c r="NL90" s="43"/>
      <c r="NM90" s="42">
        <v>0</v>
      </c>
      <c r="NN90" s="47">
        <v>0</v>
      </c>
      <c r="NO90" s="47">
        <v>0</v>
      </c>
      <c r="NP90" s="47">
        <v>0</v>
      </c>
      <c r="NQ90" s="44">
        <v>0</v>
      </c>
      <c r="NR90" s="43"/>
      <c r="NS90" s="42">
        <v>0</v>
      </c>
      <c r="NT90" s="47">
        <v>0</v>
      </c>
      <c r="NU90" s="47">
        <v>0</v>
      </c>
      <c r="NV90" s="47">
        <v>0</v>
      </c>
      <c r="NW90" s="44">
        <v>0</v>
      </c>
      <c r="NX90" s="43"/>
      <c r="NY90" s="42">
        <v>0</v>
      </c>
      <c r="NZ90" s="47">
        <v>0</v>
      </c>
      <c r="OA90" s="47">
        <v>0</v>
      </c>
      <c r="OB90" s="47">
        <v>0</v>
      </c>
      <c r="OC90" s="44">
        <v>0</v>
      </c>
      <c r="OD90" s="43"/>
      <c r="OE90" s="42">
        <v>0</v>
      </c>
      <c r="OF90" s="47">
        <v>0</v>
      </c>
      <c r="OG90" s="47">
        <v>0</v>
      </c>
      <c r="OH90" s="47">
        <v>0</v>
      </c>
      <c r="OI90" s="44">
        <v>0</v>
      </c>
      <c r="OJ90" s="43"/>
      <c r="OK90" s="42">
        <v>0</v>
      </c>
      <c r="OL90" s="47">
        <v>0</v>
      </c>
      <c r="OM90" s="47">
        <v>0</v>
      </c>
      <c r="ON90" s="47">
        <v>0</v>
      </c>
      <c r="OO90" s="44">
        <v>0</v>
      </c>
      <c r="OP90" s="43"/>
      <c r="OQ90" s="42">
        <v>0</v>
      </c>
      <c r="OR90" s="26">
        <v>50</v>
      </c>
      <c r="OS90" s="47">
        <v>0</v>
      </c>
      <c r="OT90" s="26">
        <v>50</v>
      </c>
      <c r="OU90" s="46">
        <v>-100</v>
      </c>
      <c r="OV90" s="43">
        <v>28</v>
      </c>
      <c r="OW90" s="42">
        <v>200</v>
      </c>
      <c r="OX90" s="47">
        <v>200</v>
      </c>
      <c r="OY90" s="47">
        <v>160</v>
      </c>
      <c r="OZ90" s="47">
        <v>162</v>
      </c>
      <c r="PA90" s="44">
        <v>-2</v>
      </c>
      <c r="PB90" s="43"/>
      <c r="PC90" s="42">
        <v>96</v>
      </c>
      <c r="PD90" s="47">
        <v>100</v>
      </c>
      <c r="PE90" s="47">
        <v>120</v>
      </c>
      <c r="PF90" s="47">
        <v>120</v>
      </c>
      <c r="PG90" s="44">
        <v>-4</v>
      </c>
      <c r="PH90" s="43"/>
      <c r="PI90" s="42">
        <v>48</v>
      </c>
      <c r="PJ90" s="47">
        <v>50</v>
      </c>
      <c r="PK90" s="47">
        <v>48</v>
      </c>
      <c r="PL90" s="47">
        <v>56</v>
      </c>
      <c r="PM90" s="46">
        <v>-10</v>
      </c>
      <c r="PN90" s="43">
        <v>2.8</v>
      </c>
      <c r="PO90" s="42">
        <v>96</v>
      </c>
      <c r="PP90" s="47">
        <v>100</v>
      </c>
      <c r="PQ90" s="47">
        <v>128</v>
      </c>
      <c r="PR90" s="47">
        <v>130</v>
      </c>
      <c r="PS90" s="44">
        <v>-6</v>
      </c>
      <c r="PT90" s="43"/>
      <c r="PU90" s="42">
        <v>0</v>
      </c>
      <c r="PV90" s="47">
        <v>0</v>
      </c>
      <c r="PW90" s="47">
        <v>320</v>
      </c>
      <c r="PX90" s="47">
        <v>342</v>
      </c>
      <c r="PY90" s="46">
        <v>-22</v>
      </c>
      <c r="PZ90" s="43">
        <v>6.16</v>
      </c>
      <c r="QA90" s="42">
        <v>240</v>
      </c>
      <c r="QB90" s="47">
        <v>238</v>
      </c>
      <c r="QC90" s="44">
        <v>2</v>
      </c>
      <c r="QD90" s="43"/>
      <c r="QE90" s="42">
        <v>48</v>
      </c>
      <c r="QF90" s="47">
        <v>50</v>
      </c>
      <c r="QG90" s="44">
        <v>-2</v>
      </c>
      <c r="QH90" s="43"/>
      <c r="QI90" s="42">
        <v>592</v>
      </c>
      <c r="QJ90" s="47">
        <v>594</v>
      </c>
      <c r="QK90" s="44">
        <v>-2</v>
      </c>
      <c r="QL90" s="43"/>
      <c r="QM90" s="42">
        <v>0</v>
      </c>
      <c r="QN90" s="47">
        <v>0</v>
      </c>
      <c r="QO90" s="47">
        <v>0</v>
      </c>
      <c r="QP90" s="47">
        <v>0</v>
      </c>
      <c r="QQ90" s="44">
        <v>0</v>
      </c>
      <c r="QR90" s="43"/>
      <c r="QS90" s="42">
        <v>0</v>
      </c>
      <c r="QT90" s="47">
        <v>0</v>
      </c>
      <c r="QU90" s="44">
        <v>0</v>
      </c>
      <c r="QV90" s="43"/>
      <c r="QW90" s="42">
        <v>40</v>
      </c>
      <c r="QX90" s="47">
        <v>45</v>
      </c>
      <c r="QY90" s="44">
        <v>-5</v>
      </c>
      <c r="QZ90" s="43"/>
    </row>
    <row r="91" spans="1:468" x14ac:dyDescent="0.25">
      <c r="A91" s="47" t="s">
        <v>375</v>
      </c>
      <c r="B91" s="38">
        <v>0.35</v>
      </c>
      <c r="E91">
        <v>280</v>
      </c>
      <c r="F91">
        <v>179</v>
      </c>
      <c r="I91">
        <v>230</v>
      </c>
      <c r="J91">
        <v>272</v>
      </c>
      <c r="K91">
        <v>277</v>
      </c>
      <c r="N91" s="41">
        <v>200</v>
      </c>
      <c r="O91" s="49">
        <v>200</v>
      </c>
      <c r="P91" s="49">
        <v>280</v>
      </c>
      <c r="Q91" s="49">
        <v>280</v>
      </c>
      <c r="R91" s="48">
        <f t="shared" si="13"/>
        <v>0</v>
      </c>
      <c r="S91" s="40"/>
      <c r="T91" s="39"/>
      <c r="U91" s="48"/>
      <c r="V91" s="48">
        <f t="shared" si="14"/>
        <v>0</v>
      </c>
      <c r="W91" s="40"/>
      <c r="X91" s="41">
        <v>352</v>
      </c>
      <c r="Y91" s="49">
        <v>350</v>
      </c>
      <c r="Z91" s="49">
        <v>400</v>
      </c>
      <c r="AA91" s="49">
        <v>400</v>
      </c>
      <c r="AB91" s="48">
        <f t="shared" si="15"/>
        <v>2</v>
      </c>
      <c r="AC91" s="40"/>
      <c r="AD91" s="48"/>
      <c r="AF91">
        <v>152</v>
      </c>
      <c r="AG91">
        <v>155</v>
      </c>
      <c r="AH91" s="44">
        <v>-3</v>
      </c>
      <c r="AI91" s="40"/>
      <c r="AJ91">
        <v>192</v>
      </c>
      <c r="AK91">
        <v>192</v>
      </c>
      <c r="AL91">
        <v>208</v>
      </c>
      <c r="AM91">
        <v>208</v>
      </c>
      <c r="AN91" s="44">
        <v>0</v>
      </c>
      <c r="AO91" s="40"/>
      <c r="AP91">
        <v>200</v>
      </c>
      <c r="AQ91">
        <v>200</v>
      </c>
      <c r="AR91">
        <v>152</v>
      </c>
      <c r="AS91">
        <v>150</v>
      </c>
      <c r="AT91" s="44">
        <v>2</v>
      </c>
      <c r="AU91" s="40"/>
      <c r="AV91" s="41">
        <v>448</v>
      </c>
      <c r="AW91">
        <v>450</v>
      </c>
      <c r="AX91" s="44">
        <v>-2</v>
      </c>
      <c r="AY91" s="40"/>
      <c r="AZ91" s="41">
        <v>448</v>
      </c>
      <c r="BA91">
        <v>450</v>
      </c>
      <c r="BB91" s="44">
        <v>-2</v>
      </c>
      <c r="BC91" s="40"/>
      <c r="BD91">
        <v>176</v>
      </c>
      <c r="BE91">
        <v>180</v>
      </c>
      <c r="BF91">
        <v>96</v>
      </c>
      <c r="BG91">
        <v>100</v>
      </c>
      <c r="BH91" s="44">
        <v>-8</v>
      </c>
      <c r="BI91" s="40"/>
      <c r="BJ91">
        <v>648</v>
      </c>
      <c r="BK91">
        <v>650</v>
      </c>
      <c r="BL91" s="44">
        <v>-2</v>
      </c>
      <c r="BM91" s="40"/>
      <c r="BN91" s="41">
        <v>288</v>
      </c>
      <c r="BO91">
        <v>290</v>
      </c>
      <c r="BP91">
        <v>488</v>
      </c>
      <c r="BQ91">
        <v>490</v>
      </c>
      <c r="BR91" s="44">
        <v>-4</v>
      </c>
      <c r="BS91" s="40"/>
      <c r="BT91">
        <v>120</v>
      </c>
      <c r="BU91">
        <v>120</v>
      </c>
      <c r="BV91" s="44">
        <v>0</v>
      </c>
      <c r="BW91" s="40"/>
      <c r="BX91" s="41">
        <v>200</v>
      </c>
      <c r="BY91">
        <v>200</v>
      </c>
      <c r="BZ91" s="44">
        <v>0</v>
      </c>
      <c r="CA91" s="40"/>
      <c r="CB91" s="41">
        <v>296</v>
      </c>
      <c r="CC91">
        <v>300</v>
      </c>
      <c r="CD91">
        <v>400</v>
      </c>
      <c r="CE91">
        <v>700</v>
      </c>
      <c r="CF91">
        <v>696</v>
      </c>
      <c r="CG91">
        <v>400</v>
      </c>
      <c r="CH91" s="44">
        <v>-8</v>
      </c>
      <c r="CI91" s="40"/>
      <c r="CL91">
        <v>200</v>
      </c>
      <c r="CM91">
        <v>200</v>
      </c>
      <c r="CN91" s="44">
        <v>0</v>
      </c>
      <c r="CO91" s="40"/>
      <c r="CP91" s="39"/>
      <c r="CR91">
        <v>216</v>
      </c>
      <c r="CS91">
        <v>220</v>
      </c>
      <c r="CT91" s="44">
        <v>-4</v>
      </c>
      <c r="CU91" s="40"/>
      <c r="CV91" s="39"/>
      <c r="CX91">
        <v>840</v>
      </c>
      <c r="CY91">
        <v>840</v>
      </c>
      <c r="CZ91" s="44">
        <v>0</v>
      </c>
      <c r="DA91" s="40"/>
      <c r="DB91" s="41">
        <v>40</v>
      </c>
      <c r="DC91">
        <v>40</v>
      </c>
      <c r="DD91">
        <v>88</v>
      </c>
      <c r="DE91">
        <v>90</v>
      </c>
      <c r="DF91" s="44">
        <v>-2</v>
      </c>
      <c r="DG91" s="40"/>
      <c r="DH91">
        <v>200</v>
      </c>
      <c r="DI91">
        <v>200</v>
      </c>
      <c r="DJ91">
        <v>240</v>
      </c>
      <c r="DK91">
        <v>240</v>
      </c>
      <c r="DL91">
        <v>200</v>
      </c>
      <c r="DM91">
        <v>200</v>
      </c>
      <c r="DN91" s="44">
        <v>0</v>
      </c>
      <c r="DO91" s="40"/>
      <c r="DP91" s="41">
        <v>760</v>
      </c>
      <c r="DQ91">
        <v>760</v>
      </c>
      <c r="DR91" s="44">
        <v>0</v>
      </c>
      <c r="DS91" s="40"/>
      <c r="DT91" s="39"/>
      <c r="DX91" s="44">
        <v>0</v>
      </c>
      <c r="DY91" s="40"/>
      <c r="DZ91" s="39"/>
      <c r="EB91" s="44">
        <v>0</v>
      </c>
      <c r="EC91" s="40"/>
      <c r="ED91">
        <v>360</v>
      </c>
      <c r="EE91">
        <v>360</v>
      </c>
      <c r="EG91">
        <v>360</v>
      </c>
      <c r="EH91">
        <v>360</v>
      </c>
      <c r="EI91">
        <v>512</v>
      </c>
      <c r="EJ91">
        <v>510</v>
      </c>
      <c r="EK91" s="44">
        <v>2</v>
      </c>
      <c r="EL91" s="40"/>
      <c r="ES91" s="44">
        <v>0</v>
      </c>
      <c r="ET91" s="40"/>
      <c r="EU91" s="41">
        <v>248</v>
      </c>
      <c r="EV91">
        <v>250</v>
      </c>
      <c r="EW91">
        <v>456</v>
      </c>
      <c r="EX91">
        <v>461</v>
      </c>
      <c r="EY91" s="44">
        <v>-7</v>
      </c>
      <c r="EZ91" s="40"/>
      <c r="FA91" s="39"/>
      <c r="FB91">
        <v>272</v>
      </c>
      <c r="FC91">
        <v>275</v>
      </c>
      <c r="FD91" s="44">
        <v>-3</v>
      </c>
      <c r="FE91" s="40"/>
      <c r="FH91" s="44">
        <v>0</v>
      </c>
      <c r="FI91" s="40"/>
      <c r="FJ91" s="41">
        <v>296</v>
      </c>
      <c r="FK91">
        <v>300</v>
      </c>
      <c r="FL91">
        <v>192</v>
      </c>
      <c r="FN91">
        <v>200</v>
      </c>
      <c r="FO91">
        <v>312</v>
      </c>
      <c r="FP91">
        <v>310</v>
      </c>
      <c r="FQ91" s="46">
        <v>-10</v>
      </c>
      <c r="FR91" s="40">
        <v>3.5</v>
      </c>
      <c r="FW91" s="44">
        <v>0</v>
      </c>
      <c r="FX91" s="40"/>
      <c r="FY91" s="41">
        <v>248</v>
      </c>
      <c r="FZ91">
        <v>250</v>
      </c>
      <c r="GA91">
        <v>256</v>
      </c>
      <c r="GB91">
        <v>320</v>
      </c>
      <c r="GC91" s="46">
        <v>-66</v>
      </c>
      <c r="GD91" s="43">
        <v>23.1</v>
      </c>
      <c r="GE91">
        <v>352</v>
      </c>
      <c r="GF91">
        <v>350</v>
      </c>
      <c r="GG91">
        <v>352</v>
      </c>
      <c r="GH91">
        <v>350</v>
      </c>
      <c r="GI91" s="44">
        <v>4</v>
      </c>
      <c r="GJ91" s="40"/>
      <c r="GK91">
        <v>120</v>
      </c>
      <c r="GL91" s="47">
        <v>120</v>
      </c>
      <c r="GM91" s="44">
        <v>0</v>
      </c>
      <c r="GN91" s="40"/>
      <c r="GO91" s="41">
        <v>616</v>
      </c>
      <c r="GP91">
        <v>617</v>
      </c>
      <c r="GQ91" s="44">
        <v>-1</v>
      </c>
      <c r="GR91" s="40"/>
      <c r="GS91">
        <v>152</v>
      </c>
      <c r="GT91">
        <v>150</v>
      </c>
      <c r="GV91">
        <v>208</v>
      </c>
      <c r="GW91">
        <v>212</v>
      </c>
      <c r="GX91" s="44">
        <v>-2</v>
      </c>
      <c r="GY91" s="40"/>
      <c r="GZ91">
        <v>120</v>
      </c>
      <c r="HA91">
        <v>120</v>
      </c>
      <c r="HB91">
        <v>96</v>
      </c>
      <c r="HC91">
        <v>100</v>
      </c>
      <c r="HD91" s="44">
        <v>-4</v>
      </c>
      <c r="HE91" s="40"/>
      <c r="HF91" s="39"/>
      <c r="HH91">
        <v>296</v>
      </c>
      <c r="HI91">
        <v>300</v>
      </c>
      <c r="HJ91" s="44">
        <v>-4</v>
      </c>
      <c r="HK91" s="40"/>
      <c r="HL91" s="41">
        <v>352</v>
      </c>
      <c r="HM91">
        <v>350</v>
      </c>
      <c r="HN91">
        <v>376</v>
      </c>
      <c r="HO91">
        <v>350</v>
      </c>
      <c r="HP91" s="44">
        <v>28</v>
      </c>
      <c r="HQ91" s="40"/>
      <c r="HR91">
        <v>152</v>
      </c>
      <c r="HS91">
        <v>150</v>
      </c>
      <c r="HT91">
        <v>240</v>
      </c>
      <c r="HU91">
        <v>240</v>
      </c>
      <c r="HV91" s="44">
        <v>2</v>
      </c>
      <c r="HW91" s="43"/>
      <c r="HZ91">
        <v>312</v>
      </c>
      <c r="IA91">
        <v>310</v>
      </c>
      <c r="IB91" s="44">
        <v>2</v>
      </c>
      <c r="IC91" s="43"/>
      <c r="ID91">
        <v>400</v>
      </c>
      <c r="IE91">
        <v>400</v>
      </c>
      <c r="IF91">
        <v>352</v>
      </c>
      <c r="IG91">
        <v>350</v>
      </c>
      <c r="IH91" s="44">
        <v>2</v>
      </c>
      <c r="II91" s="43"/>
      <c r="IN91" s="44">
        <v>0</v>
      </c>
      <c r="IO91" s="40"/>
      <c r="IR91" s="44">
        <v>0</v>
      </c>
      <c r="IS91" s="40"/>
      <c r="IT91">
        <v>640</v>
      </c>
      <c r="IU91">
        <v>640</v>
      </c>
      <c r="IV91">
        <v>648</v>
      </c>
      <c r="IW91">
        <v>651</v>
      </c>
      <c r="IX91" s="44">
        <v>-3</v>
      </c>
      <c r="IY91" s="43"/>
      <c r="JB91" s="44">
        <v>0</v>
      </c>
      <c r="JC91" s="40"/>
      <c r="JD91">
        <v>200</v>
      </c>
      <c r="JE91">
        <v>200</v>
      </c>
      <c r="JF91">
        <v>1000</v>
      </c>
      <c r="JG91">
        <v>1000</v>
      </c>
      <c r="JH91" s="44">
        <v>0</v>
      </c>
      <c r="JI91" s="40"/>
      <c r="JJ91">
        <v>216</v>
      </c>
      <c r="JK91">
        <v>220</v>
      </c>
      <c r="JL91">
        <v>360</v>
      </c>
      <c r="JM91">
        <v>200</v>
      </c>
      <c r="JN91" s="44">
        <v>156</v>
      </c>
      <c r="JO91" s="43"/>
      <c r="JP91">
        <v>400</v>
      </c>
      <c r="JQ91">
        <v>400</v>
      </c>
      <c r="JR91">
        <v>568</v>
      </c>
      <c r="JS91">
        <v>570</v>
      </c>
      <c r="JT91" s="44">
        <v>-2</v>
      </c>
      <c r="JU91" s="43"/>
      <c r="JV91">
        <v>152</v>
      </c>
      <c r="JW91">
        <v>150</v>
      </c>
      <c r="JX91">
        <v>80</v>
      </c>
      <c r="JY91">
        <v>80</v>
      </c>
      <c r="JZ91" s="44">
        <v>2</v>
      </c>
      <c r="KA91" s="43"/>
      <c r="KB91" s="42"/>
      <c r="KE91">
        <v>400</v>
      </c>
      <c r="KF91">
        <v>400</v>
      </c>
      <c r="KG91">
        <v>520</v>
      </c>
      <c r="KH91">
        <v>520</v>
      </c>
      <c r="KI91" s="44">
        <v>0</v>
      </c>
      <c r="KJ91" s="43"/>
      <c r="KK91" s="47">
        <v>0</v>
      </c>
      <c r="KL91" s="47">
        <v>0</v>
      </c>
      <c r="KM91" s="47">
        <v>0</v>
      </c>
      <c r="KN91" s="47">
        <v>0</v>
      </c>
      <c r="KO91" s="44">
        <v>0</v>
      </c>
      <c r="KP91" s="43"/>
      <c r="KQ91" s="47">
        <v>496</v>
      </c>
      <c r="KR91" s="47">
        <v>500</v>
      </c>
      <c r="KS91" s="47">
        <v>616</v>
      </c>
      <c r="KT91" s="47">
        <v>620</v>
      </c>
      <c r="KU91" s="44">
        <v>-8</v>
      </c>
      <c r="KV91" s="43"/>
      <c r="KW91" s="42">
        <v>152</v>
      </c>
      <c r="KX91" s="47">
        <v>150</v>
      </c>
      <c r="KY91" s="44">
        <v>2</v>
      </c>
      <c r="KZ91" s="43"/>
      <c r="LA91" s="42">
        <v>272</v>
      </c>
      <c r="LB91" s="47">
        <v>270</v>
      </c>
      <c r="LC91" s="47">
        <v>216</v>
      </c>
      <c r="LD91" s="47">
        <v>220</v>
      </c>
      <c r="LE91" s="44">
        <v>-2</v>
      </c>
      <c r="LF91" s="43"/>
      <c r="LG91" s="42">
        <v>368</v>
      </c>
      <c r="LH91" s="47">
        <v>370</v>
      </c>
      <c r="LI91" s="47">
        <v>376</v>
      </c>
      <c r="LJ91" s="47">
        <v>380</v>
      </c>
      <c r="LK91" s="44">
        <v>-6</v>
      </c>
      <c r="LL91" s="43"/>
      <c r="LM91" s="42">
        <v>48</v>
      </c>
      <c r="LN91" s="47">
        <v>50</v>
      </c>
      <c r="LO91" s="44">
        <v>-2</v>
      </c>
      <c r="LP91" s="43"/>
      <c r="LQ91" s="42">
        <v>0</v>
      </c>
      <c r="LR91" s="47">
        <v>0</v>
      </c>
      <c r="LS91" s="47">
        <v>0</v>
      </c>
      <c r="LT91" s="47">
        <v>0</v>
      </c>
      <c r="LU91" s="44">
        <v>0</v>
      </c>
      <c r="LV91" s="43"/>
      <c r="LW91" s="42">
        <v>0</v>
      </c>
      <c r="LX91" s="47">
        <v>0</v>
      </c>
      <c r="LY91" s="47">
        <v>648</v>
      </c>
      <c r="LZ91" s="47">
        <v>650</v>
      </c>
      <c r="MA91" s="44">
        <v>-2</v>
      </c>
      <c r="MB91" s="43"/>
      <c r="MC91" s="42">
        <v>48</v>
      </c>
      <c r="MD91" s="47">
        <v>50</v>
      </c>
      <c r="ME91" s="47">
        <v>280</v>
      </c>
      <c r="MF91" s="47">
        <v>280</v>
      </c>
      <c r="MG91" s="44">
        <v>-2</v>
      </c>
      <c r="MH91" s="43"/>
      <c r="MI91" s="42">
        <v>392</v>
      </c>
      <c r="MJ91" s="47">
        <v>400</v>
      </c>
      <c r="MK91" s="47">
        <v>248</v>
      </c>
      <c r="ML91" s="47">
        <v>250</v>
      </c>
      <c r="MM91" s="46">
        <v>-10</v>
      </c>
      <c r="MN91" s="43">
        <v>3.5</v>
      </c>
      <c r="MO91" s="42">
        <v>208</v>
      </c>
      <c r="MP91" s="47">
        <v>200</v>
      </c>
      <c r="MQ91" s="47">
        <v>432</v>
      </c>
      <c r="MR91" s="47">
        <v>430</v>
      </c>
      <c r="MS91" s="44">
        <v>10</v>
      </c>
      <c r="MT91" s="43"/>
      <c r="MU91" s="42">
        <v>152</v>
      </c>
      <c r="MV91" s="47">
        <v>150</v>
      </c>
      <c r="MW91" s="47">
        <v>448</v>
      </c>
      <c r="MX91" s="47">
        <v>450</v>
      </c>
      <c r="MY91" s="44">
        <v>0</v>
      </c>
      <c r="MZ91" s="43"/>
      <c r="NA91" s="42">
        <v>152</v>
      </c>
      <c r="NB91" s="47">
        <v>150</v>
      </c>
      <c r="NC91" s="47">
        <v>248</v>
      </c>
      <c r="ND91" s="47">
        <v>250</v>
      </c>
      <c r="NE91" s="44">
        <v>0</v>
      </c>
      <c r="NF91" s="43"/>
      <c r="NG91" s="42">
        <v>248</v>
      </c>
      <c r="NH91" s="47">
        <v>250</v>
      </c>
      <c r="NI91" s="47">
        <v>400</v>
      </c>
      <c r="NJ91" s="47">
        <v>400</v>
      </c>
      <c r="NK91" s="44">
        <v>-2</v>
      </c>
      <c r="NL91" s="43"/>
      <c r="NM91" s="42">
        <v>152</v>
      </c>
      <c r="NN91" s="47">
        <v>150</v>
      </c>
      <c r="NO91" s="47">
        <v>200</v>
      </c>
      <c r="NP91" s="47">
        <v>200</v>
      </c>
      <c r="NQ91" s="44">
        <v>2</v>
      </c>
      <c r="NR91" s="43"/>
      <c r="NS91" s="42">
        <v>200</v>
      </c>
      <c r="NT91" s="47">
        <v>200</v>
      </c>
      <c r="NU91" s="47">
        <v>296</v>
      </c>
      <c r="NV91" s="47">
        <v>300</v>
      </c>
      <c r="NW91" s="44">
        <v>-4</v>
      </c>
      <c r="NX91" s="43"/>
      <c r="NY91" s="42">
        <v>712</v>
      </c>
      <c r="NZ91" s="47">
        <v>710</v>
      </c>
      <c r="OA91" s="47">
        <v>704</v>
      </c>
      <c r="OB91" s="47">
        <v>709</v>
      </c>
      <c r="OC91" s="44">
        <v>-3</v>
      </c>
      <c r="OD91" s="43"/>
      <c r="OE91" s="42">
        <v>88</v>
      </c>
      <c r="OF91" s="47">
        <v>90</v>
      </c>
      <c r="OG91" s="47">
        <v>72</v>
      </c>
      <c r="OH91" s="47">
        <v>70</v>
      </c>
      <c r="OI91" s="44">
        <v>0</v>
      </c>
      <c r="OJ91" s="43"/>
      <c r="OK91" s="42">
        <v>416</v>
      </c>
      <c r="OL91" s="47">
        <v>420</v>
      </c>
      <c r="OM91" s="47">
        <v>288</v>
      </c>
      <c r="ON91" s="47">
        <v>289</v>
      </c>
      <c r="OO91" s="44">
        <v>-5</v>
      </c>
      <c r="OP91" s="43"/>
      <c r="OQ91" s="42">
        <v>600</v>
      </c>
      <c r="OR91" s="47">
        <v>600</v>
      </c>
      <c r="OS91" s="47">
        <v>440</v>
      </c>
      <c r="OT91" s="47">
        <v>441</v>
      </c>
      <c r="OU91" s="44">
        <v>-1</v>
      </c>
      <c r="OV91" s="43"/>
      <c r="OW91" s="42">
        <v>192</v>
      </c>
      <c r="OX91" s="47">
        <v>180</v>
      </c>
      <c r="OY91" s="47">
        <v>168</v>
      </c>
      <c r="OZ91" s="47">
        <v>170</v>
      </c>
      <c r="PA91" s="44">
        <v>10</v>
      </c>
      <c r="PB91" s="43"/>
      <c r="PC91" s="42">
        <v>248</v>
      </c>
      <c r="PD91" s="47">
        <v>250</v>
      </c>
      <c r="PE91" s="47">
        <v>272</v>
      </c>
      <c r="PF91" s="47">
        <v>270</v>
      </c>
      <c r="PG91" s="44">
        <v>0</v>
      </c>
      <c r="PH91" s="43"/>
      <c r="PI91" s="42">
        <v>200</v>
      </c>
      <c r="PJ91" s="47">
        <v>200</v>
      </c>
      <c r="PK91" s="47">
        <v>392</v>
      </c>
      <c r="PL91" s="47">
        <v>395</v>
      </c>
      <c r="PM91" s="44">
        <v>-3</v>
      </c>
      <c r="PN91" s="43"/>
      <c r="PO91" s="42">
        <v>96</v>
      </c>
      <c r="PP91" s="47">
        <v>100</v>
      </c>
      <c r="PQ91" s="47">
        <v>96</v>
      </c>
      <c r="PR91" s="47">
        <v>100</v>
      </c>
      <c r="PS91" s="44">
        <v>-8</v>
      </c>
      <c r="PT91" s="43"/>
      <c r="PU91" s="42">
        <v>0</v>
      </c>
      <c r="PV91" s="47">
        <v>0</v>
      </c>
      <c r="PW91" s="47">
        <v>552</v>
      </c>
      <c r="PX91" s="47">
        <v>550</v>
      </c>
      <c r="PY91" s="44">
        <v>2</v>
      </c>
      <c r="PZ91" s="43"/>
      <c r="QA91" s="42">
        <v>680</v>
      </c>
      <c r="QB91" s="47">
        <v>684</v>
      </c>
      <c r="QC91" s="44">
        <v>-4</v>
      </c>
      <c r="QD91" s="43"/>
      <c r="QE91" s="42">
        <v>0</v>
      </c>
      <c r="QF91" s="47">
        <v>0</v>
      </c>
      <c r="QG91" s="44">
        <v>0</v>
      </c>
      <c r="QH91" s="43"/>
      <c r="QI91" s="42">
        <v>824</v>
      </c>
      <c r="QJ91" s="47">
        <v>822</v>
      </c>
      <c r="QK91" s="44">
        <v>2</v>
      </c>
      <c r="QL91" s="43"/>
      <c r="QM91" s="42">
        <v>96</v>
      </c>
      <c r="QN91" s="47">
        <v>100</v>
      </c>
      <c r="QO91" s="47">
        <v>144</v>
      </c>
      <c r="QP91" s="47">
        <v>150</v>
      </c>
      <c r="QQ91" s="44">
        <v>-10</v>
      </c>
      <c r="QR91" s="43"/>
      <c r="QS91" s="42">
        <v>0</v>
      </c>
      <c r="QT91" s="47">
        <v>0</v>
      </c>
      <c r="QU91" s="44">
        <v>0</v>
      </c>
      <c r="QV91" s="43"/>
      <c r="QW91" s="42">
        <v>0</v>
      </c>
      <c r="QX91" s="47">
        <v>0</v>
      </c>
      <c r="QY91" s="44">
        <v>0</v>
      </c>
      <c r="QZ91" s="43"/>
    </row>
    <row r="92" spans="1:468" x14ac:dyDescent="0.25">
      <c r="A92" s="47" t="s">
        <v>376</v>
      </c>
      <c r="B92" s="38">
        <v>0.28000000000000003</v>
      </c>
      <c r="N92" s="39"/>
      <c r="O92" s="48"/>
      <c r="P92" s="48"/>
      <c r="Q92" s="48"/>
      <c r="R92" s="48">
        <f t="shared" si="13"/>
        <v>0</v>
      </c>
      <c r="S92" s="40"/>
      <c r="T92" s="39"/>
      <c r="U92" s="48"/>
      <c r="V92" s="48">
        <f t="shared" si="14"/>
        <v>0</v>
      </c>
      <c r="W92" s="40"/>
      <c r="X92" s="39"/>
      <c r="Y92" s="48"/>
      <c r="Z92" s="48"/>
      <c r="AA92" s="48"/>
      <c r="AB92" s="48">
        <f t="shared" si="15"/>
        <v>0</v>
      </c>
      <c r="AC92" s="40"/>
      <c r="AD92" s="48"/>
      <c r="AH92" s="44">
        <v>0</v>
      </c>
      <c r="AI92" s="40"/>
      <c r="AN92" s="44">
        <v>0</v>
      </c>
      <c r="AO92" s="40"/>
      <c r="AT92" s="44">
        <v>0</v>
      </c>
      <c r="AU92" s="40"/>
      <c r="AV92" s="39"/>
      <c r="AX92" s="44">
        <v>0</v>
      </c>
      <c r="AY92" s="40"/>
      <c r="AZ92" s="39"/>
      <c r="BB92" s="44">
        <v>0</v>
      </c>
      <c r="BC92" s="40"/>
      <c r="BH92" s="44">
        <v>0</v>
      </c>
      <c r="BI92" s="40"/>
      <c r="BL92" s="44">
        <v>0</v>
      </c>
      <c r="BM92" s="40"/>
      <c r="BN92" s="39"/>
      <c r="BR92" s="44">
        <v>0</v>
      </c>
      <c r="BS92" s="40"/>
      <c r="BV92" s="44">
        <v>0</v>
      </c>
      <c r="BW92" s="40"/>
      <c r="BX92" s="39"/>
      <c r="BZ92" s="44">
        <v>0</v>
      </c>
      <c r="CA92" s="40"/>
      <c r="CB92" s="39"/>
      <c r="CH92" s="44">
        <v>0</v>
      </c>
      <c r="CI92" s="40"/>
      <c r="CN92" s="44">
        <v>0</v>
      </c>
      <c r="CO92" s="40"/>
      <c r="CP92" s="39"/>
      <c r="CT92" s="44">
        <v>0</v>
      </c>
      <c r="CU92" s="40"/>
      <c r="CV92" s="39"/>
      <c r="CZ92" s="44">
        <v>0</v>
      </c>
      <c r="DA92" s="40"/>
      <c r="DB92" s="39"/>
      <c r="DF92" s="44">
        <v>0</v>
      </c>
      <c r="DG92" s="40"/>
      <c r="DN92" s="44">
        <v>0</v>
      </c>
      <c r="DO92" s="40"/>
      <c r="DP92" s="39"/>
      <c r="DR92" s="44">
        <v>0</v>
      </c>
      <c r="DS92" s="40"/>
      <c r="DT92" s="39"/>
      <c r="DX92" s="44">
        <v>0</v>
      </c>
      <c r="DY92" s="40"/>
      <c r="DZ92" s="39"/>
      <c r="EB92" s="44">
        <v>0</v>
      </c>
      <c r="EC92" s="40"/>
      <c r="EK92" s="44">
        <v>0</v>
      </c>
      <c r="EL92" s="40"/>
      <c r="ES92" s="44">
        <v>0</v>
      </c>
      <c r="ET92" s="40"/>
      <c r="EU92" s="39"/>
      <c r="EY92" s="44">
        <v>0</v>
      </c>
      <c r="EZ92" s="40"/>
      <c r="FA92" s="39"/>
      <c r="FD92" s="44">
        <v>0</v>
      </c>
      <c r="FE92" s="40"/>
      <c r="FH92" s="44">
        <v>0</v>
      </c>
      <c r="FI92" s="40"/>
      <c r="FJ92" s="39"/>
      <c r="FK92">
        <v>150</v>
      </c>
      <c r="FP92">
        <v>250</v>
      </c>
      <c r="FQ92" s="44">
        <v>0</v>
      </c>
      <c r="FR92" s="40"/>
      <c r="FT92" s="35">
        <v>40</v>
      </c>
      <c r="FV92" s="35">
        <v>60</v>
      </c>
      <c r="FW92" s="46">
        <v>-60</v>
      </c>
      <c r="FX92" s="40">
        <v>16.8</v>
      </c>
      <c r="FY92" s="39"/>
      <c r="GC92" s="44">
        <v>0</v>
      </c>
      <c r="GD92" s="40"/>
      <c r="GE92">
        <v>96</v>
      </c>
      <c r="GF92">
        <v>100</v>
      </c>
      <c r="GG92">
        <v>120</v>
      </c>
      <c r="GH92">
        <v>120</v>
      </c>
      <c r="GI92" s="44">
        <v>-4</v>
      </c>
      <c r="GJ92" s="40"/>
      <c r="GK92">
        <v>152</v>
      </c>
      <c r="GL92" s="47">
        <v>160</v>
      </c>
      <c r="GM92" s="46">
        <v>-8</v>
      </c>
      <c r="GN92" s="40">
        <v>2.2400000000000002</v>
      </c>
      <c r="GO92" s="41">
        <v>24</v>
      </c>
      <c r="GP92">
        <v>24</v>
      </c>
      <c r="GQ92" s="44">
        <v>0</v>
      </c>
      <c r="GR92" s="40"/>
      <c r="GS92">
        <v>96</v>
      </c>
      <c r="GT92">
        <v>100</v>
      </c>
      <c r="GV92">
        <v>152</v>
      </c>
      <c r="GW92">
        <v>150</v>
      </c>
      <c r="GX92" s="44">
        <v>-2</v>
      </c>
      <c r="GY92" s="40"/>
      <c r="HB92">
        <v>112</v>
      </c>
      <c r="HC92">
        <v>110</v>
      </c>
      <c r="HD92" s="44">
        <v>2</v>
      </c>
      <c r="HE92" s="40"/>
      <c r="HF92" s="39"/>
      <c r="HH92">
        <v>200</v>
      </c>
      <c r="HI92">
        <v>200</v>
      </c>
      <c r="HJ92" s="44">
        <v>0</v>
      </c>
      <c r="HK92" s="40"/>
      <c r="HL92" s="39"/>
      <c r="HN92">
        <v>128</v>
      </c>
      <c r="HO92">
        <v>130</v>
      </c>
      <c r="HP92" s="44">
        <v>-2</v>
      </c>
      <c r="HQ92" s="40"/>
      <c r="HT92">
        <v>72</v>
      </c>
      <c r="HU92">
        <v>70</v>
      </c>
      <c r="HV92" s="44">
        <v>2</v>
      </c>
      <c r="HW92" s="43"/>
      <c r="HZ92">
        <v>256</v>
      </c>
      <c r="IA92">
        <v>260</v>
      </c>
      <c r="IB92" s="44">
        <v>-4</v>
      </c>
      <c r="IC92" s="43"/>
      <c r="ID92">
        <v>80</v>
      </c>
      <c r="IE92">
        <v>80</v>
      </c>
      <c r="IF92">
        <v>72</v>
      </c>
      <c r="IG92">
        <v>70</v>
      </c>
      <c r="IH92" s="44">
        <v>2</v>
      </c>
      <c r="II92" s="43"/>
      <c r="IN92" s="44">
        <v>0</v>
      </c>
      <c r="IO92" s="40"/>
      <c r="IP92">
        <v>88</v>
      </c>
      <c r="IQ92">
        <v>90</v>
      </c>
      <c r="IR92" s="44">
        <v>-2</v>
      </c>
      <c r="IS92" s="40"/>
      <c r="IT92">
        <v>72</v>
      </c>
      <c r="IU92">
        <v>70</v>
      </c>
      <c r="IV92">
        <v>96</v>
      </c>
      <c r="IW92">
        <v>101</v>
      </c>
      <c r="IX92" s="44">
        <v>-3</v>
      </c>
      <c r="IY92" s="43"/>
      <c r="IZ92">
        <v>88</v>
      </c>
      <c r="JA92" s="47">
        <v>90</v>
      </c>
      <c r="JB92" s="44">
        <v>-2</v>
      </c>
      <c r="JC92" s="40"/>
      <c r="JF92">
        <v>72</v>
      </c>
      <c r="JG92">
        <v>210</v>
      </c>
      <c r="JH92" s="46">
        <v>-138</v>
      </c>
      <c r="JI92" s="40">
        <v>38.64</v>
      </c>
      <c r="JJ92">
        <v>40</v>
      </c>
      <c r="JK92">
        <v>40</v>
      </c>
      <c r="JN92" s="44">
        <v>0</v>
      </c>
      <c r="JO92" s="43"/>
      <c r="JP92">
        <v>48</v>
      </c>
      <c r="JQ92">
        <v>48</v>
      </c>
      <c r="JR92">
        <v>72</v>
      </c>
      <c r="JS92">
        <v>72</v>
      </c>
      <c r="JT92" s="44">
        <v>0</v>
      </c>
      <c r="JU92" s="43"/>
      <c r="JX92">
        <v>72</v>
      </c>
      <c r="JY92">
        <v>70</v>
      </c>
      <c r="JZ92" s="44">
        <v>2</v>
      </c>
      <c r="KA92" s="43"/>
      <c r="KB92" s="42"/>
      <c r="KE92">
        <v>72</v>
      </c>
      <c r="KF92">
        <v>70</v>
      </c>
      <c r="KG92">
        <v>80</v>
      </c>
      <c r="KH92">
        <v>85</v>
      </c>
      <c r="KI92" s="44">
        <v>-3</v>
      </c>
      <c r="KJ92" s="43"/>
      <c r="KK92" s="47">
        <v>96</v>
      </c>
      <c r="KL92" s="47">
        <v>100</v>
      </c>
      <c r="KM92" s="47">
        <v>168</v>
      </c>
      <c r="KN92" s="47">
        <v>170</v>
      </c>
      <c r="KO92" s="44">
        <v>-6</v>
      </c>
      <c r="KP92" s="43"/>
      <c r="KQ92" s="47">
        <v>0</v>
      </c>
      <c r="KR92" s="47">
        <v>0</v>
      </c>
      <c r="KS92" s="47">
        <v>112</v>
      </c>
      <c r="KT92" s="47">
        <v>110</v>
      </c>
      <c r="KU92" s="44">
        <v>2</v>
      </c>
      <c r="KV92" s="43"/>
      <c r="KW92" s="42">
        <v>48</v>
      </c>
      <c r="KX92" s="47">
        <v>50</v>
      </c>
      <c r="KY92" s="44">
        <v>-2</v>
      </c>
      <c r="KZ92" s="43"/>
      <c r="LA92" s="42">
        <v>152</v>
      </c>
      <c r="LB92" s="47">
        <v>150</v>
      </c>
      <c r="LC92" s="47">
        <v>136</v>
      </c>
      <c r="LD92" s="47">
        <v>140</v>
      </c>
      <c r="LE92" s="44">
        <v>-2</v>
      </c>
      <c r="LF92" s="43"/>
      <c r="LG92" s="42">
        <v>48</v>
      </c>
      <c r="LH92" s="47">
        <v>48</v>
      </c>
      <c r="LI92" s="47">
        <v>64</v>
      </c>
      <c r="LJ92" s="47">
        <v>62</v>
      </c>
      <c r="LK92" s="44">
        <v>2</v>
      </c>
      <c r="LL92" s="43"/>
      <c r="LM92" s="42">
        <v>16</v>
      </c>
      <c r="LN92" s="47">
        <v>20</v>
      </c>
      <c r="LO92" s="44">
        <v>-4</v>
      </c>
      <c r="LP92" s="43"/>
      <c r="LQ92" s="42">
        <v>0</v>
      </c>
      <c r="LR92" s="47">
        <v>0</v>
      </c>
      <c r="LS92" s="47">
        <v>0</v>
      </c>
      <c r="LT92" s="47">
        <v>0</v>
      </c>
      <c r="LU92" s="44">
        <v>0</v>
      </c>
      <c r="LV92" s="43"/>
      <c r="LW92" s="42">
        <v>224</v>
      </c>
      <c r="LX92" s="47">
        <v>225</v>
      </c>
      <c r="LY92" s="47">
        <v>0</v>
      </c>
      <c r="LZ92" s="47">
        <v>0</v>
      </c>
      <c r="MA92" s="44">
        <v>-1</v>
      </c>
      <c r="MB92" s="43"/>
      <c r="MC92" s="42">
        <v>0</v>
      </c>
      <c r="MD92" s="47">
        <v>0</v>
      </c>
      <c r="ME92" s="47">
        <v>88</v>
      </c>
      <c r="MF92" s="47">
        <v>90</v>
      </c>
      <c r="MG92" s="44">
        <v>-2</v>
      </c>
      <c r="MH92" s="43"/>
      <c r="MI92" s="42">
        <v>0</v>
      </c>
      <c r="MJ92" s="47">
        <v>0</v>
      </c>
      <c r="MK92" s="47">
        <v>152</v>
      </c>
      <c r="ML92" s="47">
        <v>150</v>
      </c>
      <c r="MM92" s="44">
        <v>2</v>
      </c>
      <c r="MN92" s="43"/>
      <c r="MO92" s="42">
        <v>0</v>
      </c>
      <c r="MP92" s="47">
        <v>0</v>
      </c>
      <c r="MQ92" s="47">
        <v>136</v>
      </c>
      <c r="MR92" s="47">
        <v>135</v>
      </c>
      <c r="MS92" s="44">
        <v>1</v>
      </c>
      <c r="MT92" s="43"/>
      <c r="MU92" s="22">
        <v>48</v>
      </c>
      <c r="MV92" s="47">
        <v>0</v>
      </c>
      <c r="MW92" s="47">
        <v>0</v>
      </c>
      <c r="MX92" s="47">
        <v>0</v>
      </c>
      <c r="MY92" s="44">
        <v>48</v>
      </c>
      <c r="MZ92" s="43"/>
      <c r="NA92" s="42">
        <v>0</v>
      </c>
      <c r="NB92" s="47">
        <v>0</v>
      </c>
      <c r="NC92" s="47">
        <v>128</v>
      </c>
      <c r="ND92" s="47">
        <v>130</v>
      </c>
      <c r="NE92" s="44">
        <v>-2</v>
      </c>
      <c r="NF92" s="43"/>
      <c r="NG92" s="42">
        <v>96</v>
      </c>
      <c r="NH92" s="47">
        <v>100</v>
      </c>
      <c r="NI92" s="47">
        <v>272</v>
      </c>
      <c r="NJ92" s="47">
        <v>270</v>
      </c>
      <c r="NK92" s="44">
        <v>-2</v>
      </c>
      <c r="NL92" s="43"/>
      <c r="NM92" s="42">
        <v>0</v>
      </c>
      <c r="NN92" s="47">
        <v>0</v>
      </c>
      <c r="NO92" s="47">
        <v>48</v>
      </c>
      <c r="NP92" s="47">
        <v>50</v>
      </c>
      <c r="NQ92" s="44">
        <v>-2</v>
      </c>
      <c r="NR92" s="43"/>
      <c r="NS92" s="42">
        <v>48</v>
      </c>
      <c r="NT92" s="47">
        <v>50</v>
      </c>
      <c r="NU92" s="47">
        <v>0</v>
      </c>
      <c r="NV92" s="47">
        <v>0</v>
      </c>
      <c r="NW92" s="44">
        <v>-2</v>
      </c>
      <c r="NX92" s="43"/>
      <c r="NY92" s="42">
        <v>192</v>
      </c>
      <c r="NZ92" s="47">
        <v>190</v>
      </c>
      <c r="OA92" s="47">
        <v>208</v>
      </c>
      <c r="OB92" s="47">
        <v>210</v>
      </c>
      <c r="OC92" s="44">
        <v>0</v>
      </c>
      <c r="OD92" s="43"/>
      <c r="OE92" s="42">
        <v>32</v>
      </c>
      <c r="OF92" s="47">
        <v>33</v>
      </c>
      <c r="OG92" s="47">
        <v>32</v>
      </c>
      <c r="OH92" s="47">
        <v>32</v>
      </c>
      <c r="OI92" s="44">
        <v>-1</v>
      </c>
      <c r="OJ92" s="43"/>
      <c r="OK92" s="42">
        <v>0</v>
      </c>
      <c r="OL92" s="47">
        <v>0</v>
      </c>
      <c r="OM92" s="47">
        <v>0</v>
      </c>
      <c r="ON92" s="47">
        <v>0</v>
      </c>
      <c r="OO92" s="44">
        <v>0</v>
      </c>
      <c r="OP92" s="43"/>
      <c r="OQ92" s="42">
        <v>168</v>
      </c>
      <c r="OR92" s="47">
        <v>170</v>
      </c>
      <c r="OS92" s="47">
        <v>128</v>
      </c>
      <c r="OT92" s="47">
        <v>130</v>
      </c>
      <c r="OU92" s="44">
        <v>-4</v>
      </c>
      <c r="OV92" s="43"/>
      <c r="OW92" s="42">
        <v>0</v>
      </c>
      <c r="OX92" s="47">
        <v>0</v>
      </c>
      <c r="OY92" s="47">
        <v>0</v>
      </c>
      <c r="OZ92" s="47">
        <v>0</v>
      </c>
      <c r="PA92" s="44">
        <v>0</v>
      </c>
      <c r="PB92" s="43"/>
      <c r="PC92" s="42">
        <v>0</v>
      </c>
      <c r="PD92" s="47">
        <v>0</v>
      </c>
      <c r="PE92" s="47">
        <v>72</v>
      </c>
      <c r="PF92" s="47">
        <v>70</v>
      </c>
      <c r="PG92" s="44">
        <v>2</v>
      </c>
      <c r="PH92" s="43"/>
      <c r="PI92" s="42">
        <v>0</v>
      </c>
      <c r="PJ92" s="47">
        <v>0</v>
      </c>
      <c r="PK92" s="47">
        <v>80</v>
      </c>
      <c r="PL92" s="47">
        <v>85</v>
      </c>
      <c r="PM92" s="44">
        <v>-5</v>
      </c>
      <c r="PN92" s="43"/>
      <c r="PO92" s="42">
        <v>0</v>
      </c>
      <c r="PP92" s="47">
        <v>0</v>
      </c>
      <c r="PQ92" s="47">
        <v>40</v>
      </c>
      <c r="PR92" s="47">
        <v>40</v>
      </c>
      <c r="PS92" s="44">
        <v>0</v>
      </c>
      <c r="PT92" s="43"/>
      <c r="PU92" s="42">
        <v>0</v>
      </c>
      <c r="PV92" s="47">
        <v>0</v>
      </c>
      <c r="PW92" s="47">
        <v>48</v>
      </c>
      <c r="PX92" s="47">
        <v>50</v>
      </c>
      <c r="PY92" s="44">
        <v>-2</v>
      </c>
      <c r="PZ92" s="43"/>
      <c r="QA92" s="42">
        <v>0</v>
      </c>
      <c r="QB92" s="47">
        <v>0</v>
      </c>
      <c r="QC92" s="44">
        <v>0</v>
      </c>
      <c r="QD92" s="43"/>
      <c r="QE92" s="42">
        <v>0</v>
      </c>
      <c r="QF92" s="47">
        <v>0</v>
      </c>
      <c r="QG92" s="44">
        <v>0</v>
      </c>
      <c r="QH92" s="43"/>
      <c r="QI92" s="42">
        <v>0</v>
      </c>
      <c r="QJ92" s="47">
        <v>0</v>
      </c>
      <c r="QK92" s="44">
        <v>0</v>
      </c>
      <c r="QL92" s="43"/>
      <c r="QM92" s="42">
        <v>0</v>
      </c>
      <c r="QN92" s="47">
        <v>0</v>
      </c>
      <c r="QO92" s="47">
        <v>0</v>
      </c>
      <c r="QP92" s="47">
        <v>0</v>
      </c>
      <c r="QQ92" s="44">
        <v>0</v>
      </c>
      <c r="QR92" s="43"/>
      <c r="QS92" s="42">
        <v>0</v>
      </c>
      <c r="QT92" s="47">
        <v>0</v>
      </c>
      <c r="QU92" s="44">
        <v>0</v>
      </c>
      <c r="QV92" s="43"/>
      <c r="QW92" s="42">
        <v>0</v>
      </c>
      <c r="QX92" s="47">
        <v>0</v>
      </c>
      <c r="QY92" s="44">
        <v>0</v>
      </c>
      <c r="QZ92" s="43"/>
    </row>
    <row r="93" spans="1:468" x14ac:dyDescent="0.25">
      <c r="A93" s="47" t="s">
        <v>377</v>
      </c>
      <c r="B93" s="38">
        <v>0.41</v>
      </c>
      <c r="E93">
        <v>300</v>
      </c>
      <c r="F93">
        <v>314</v>
      </c>
      <c r="I93">
        <v>10</v>
      </c>
      <c r="N93" s="41">
        <v>200</v>
      </c>
      <c r="O93" s="49">
        <v>200</v>
      </c>
      <c r="P93" s="49">
        <v>256</v>
      </c>
      <c r="Q93" s="49">
        <v>260</v>
      </c>
      <c r="R93" s="48">
        <f t="shared" si="13"/>
        <v>-4</v>
      </c>
      <c r="S93" s="40"/>
      <c r="T93" s="39"/>
      <c r="U93" s="48"/>
      <c r="V93" s="48">
        <f t="shared" si="14"/>
        <v>0</v>
      </c>
      <c r="W93" s="40"/>
      <c r="X93" s="41">
        <v>248</v>
      </c>
      <c r="Y93" s="49">
        <v>250</v>
      </c>
      <c r="Z93" s="49">
        <v>272</v>
      </c>
      <c r="AA93" s="49">
        <v>276</v>
      </c>
      <c r="AB93" s="48">
        <f t="shared" si="15"/>
        <v>-6</v>
      </c>
      <c r="AC93" s="40"/>
      <c r="AD93" s="48"/>
      <c r="AH93" s="44">
        <v>0</v>
      </c>
      <c r="AI93" s="40"/>
      <c r="AN93" s="44">
        <v>0</v>
      </c>
      <c r="AO93" s="40"/>
      <c r="AP93">
        <v>456</v>
      </c>
      <c r="AQ93">
        <v>460</v>
      </c>
      <c r="AR93">
        <v>536</v>
      </c>
      <c r="AS93">
        <v>540</v>
      </c>
      <c r="AT93" s="44">
        <v>-8</v>
      </c>
      <c r="AU93" s="40"/>
      <c r="AV93" s="41">
        <v>48</v>
      </c>
      <c r="AW93">
        <v>50</v>
      </c>
      <c r="AX93" s="44">
        <v>-2</v>
      </c>
      <c r="AY93" s="40"/>
      <c r="AZ93" s="39"/>
      <c r="BB93" s="44">
        <v>0</v>
      </c>
      <c r="BC93" s="40"/>
      <c r="BD93">
        <v>400</v>
      </c>
      <c r="BE93">
        <v>400</v>
      </c>
      <c r="BF93">
        <v>520</v>
      </c>
      <c r="BG93">
        <v>520</v>
      </c>
      <c r="BH93" s="44">
        <v>0</v>
      </c>
      <c r="BI93" s="40"/>
      <c r="BJ93">
        <v>120</v>
      </c>
      <c r="BK93">
        <v>120</v>
      </c>
      <c r="BL93" s="44">
        <v>0</v>
      </c>
      <c r="BM93" s="40"/>
      <c r="BN93" s="41">
        <v>296</v>
      </c>
      <c r="BO93">
        <v>300</v>
      </c>
      <c r="BP93">
        <v>400</v>
      </c>
      <c r="BQ93">
        <v>400</v>
      </c>
      <c r="BR93" s="44">
        <v>-4</v>
      </c>
      <c r="BS93" s="40"/>
      <c r="BV93" s="44">
        <v>0</v>
      </c>
      <c r="BW93" s="40"/>
      <c r="BX93" s="39"/>
      <c r="BZ93" s="44">
        <v>0</v>
      </c>
      <c r="CA93" s="40"/>
      <c r="CB93" s="41">
        <v>400</v>
      </c>
      <c r="CC93">
        <v>400</v>
      </c>
      <c r="CD93">
        <v>496</v>
      </c>
      <c r="CE93">
        <v>1200</v>
      </c>
      <c r="CF93">
        <v>1200</v>
      </c>
      <c r="CG93">
        <v>500</v>
      </c>
      <c r="CH93" s="44">
        <v>-4</v>
      </c>
      <c r="CI93" s="40"/>
      <c r="CJ93">
        <v>440</v>
      </c>
      <c r="CK93">
        <v>440</v>
      </c>
      <c r="CL93">
        <v>536</v>
      </c>
      <c r="CM93">
        <v>540</v>
      </c>
      <c r="CN93" s="44">
        <v>-4</v>
      </c>
      <c r="CO93" s="40"/>
      <c r="CP93" s="41">
        <v>96</v>
      </c>
      <c r="CQ93">
        <v>100</v>
      </c>
      <c r="CR93">
        <v>400</v>
      </c>
      <c r="CS93">
        <v>400</v>
      </c>
      <c r="CT93" s="44">
        <v>-4</v>
      </c>
      <c r="CU93" s="40"/>
      <c r="CV93" s="39"/>
      <c r="CX93">
        <v>248</v>
      </c>
      <c r="CY93">
        <v>250</v>
      </c>
      <c r="CZ93" s="44">
        <v>-2</v>
      </c>
      <c r="DA93" s="40"/>
      <c r="DB93" s="41">
        <v>448</v>
      </c>
      <c r="DC93">
        <v>450</v>
      </c>
      <c r="DD93">
        <v>472</v>
      </c>
      <c r="DE93">
        <v>470</v>
      </c>
      <c r="DF93" s="44">
        <v>0</v>
      </c>
      <c r="DG93" s="40"/>
      <c r="DH93">
        <v>496</v>
      </c>
      <c r="DI93">
        <v>500</v>
      </c>
      <c r="DJ93">
        <v>600</v>
      </c>
      <c r="DK93">
        <v>600</v>
      </c>
      <c r="DL93">
        <v>496</v>
      </c>
      <c r="DM93">
        <v>500</v>
      </c>
      <c r="DN93" s="44">
        <v>-8</v>
      </c>
      <c r="DO93" s="40"/>
      <c r="DP93" s="41">
        <v>400</v>
      </c>
      <c r="DQ93">
        <v>400</v>
      </c>
      <c r="DR93" s="44">
        <v>0</v>
      </c>
      <c r="DS93" s="40"/>
      <c r="DT93" s="41">
        <v>400</v>
      </c>
      <c r="DU93">
        <v>400</v>
      </c>
      <c r="DV93">
        <v>496</v>
      </c>
      <c r="DW93">
        <v>500</v>
      </c>
      <c r="DX93" s="44">
        <v>-4</v>
      </c>
      <c r="DY93" s="40"/>
      <c r="DZ93" s="41">
        <v>480</v>
      </c>
      <c r="EA93">
        <v>480</v>
      </c>
      <c r="EB93" s="44">
        <v>0</v>
      </c>
      <c r="EC93" s="40"/>
      <c r="ED93">
        <v>280</v>
      </c>
      <c r="EE93">
        <v>280</v>
      </c>
      <c r="EG93">
        <v>288</v>
      </c>
      <c r="EH93">
        <v>280</v>
      </c>
      <c r="EI93">
        <v>328</v>
      </c>
      <c r="EJ93">
        <v>330</v>
      </c>
      <c r="EK93" s="44">
        <v>6</v>
      </c>
      <c r="EL93" s="40"/>
      <c r="EN93">
        <v>200</v>
      </c>
      <c r="EO93">
        <v>200</v>
      </c>
      <c r="EQ93">
        <v>216</v>
      </c>
      <c r="ER93">
        <v>220</v>
      </c>
      <c r="ES93" s="44">
        <v>-4</v>
      </c>
      <c r="ET93" s="40"/>
      <c r="EU93" s="41">
        <v>200</v>
      </c>
      <c r="EV93">
        <v>200</v>
      </c>
      <c r="EW93">
        <v>456</v>
      </c>
      <c r="EX93">
        <v>460</v>
      </c>
      <c r="EY93" s="44">
        <v>-4</v>
      </c>
      <c r="EZ93" s="40"/>
      <c r="FA93" s="39"/>
      <c r="FB93">
        <v>304</v>
      </c>
      <c r="FC93">
        <v>308</v>
      </c>
      <c r="FD93" s="44">
        <v>-4</v>
      </c>
      <c r="FE93" s="40"/>
      <c r="FH93" s="44">
        <v>0</v>
      </c>
      <c r="FI93" s="40"/>
      <c r="FJ93" s="41">
        <v>208</v>
      </c>
      <c r="FK93">
        <v>200</v>
      </c>
      <c r="FL93">
        <v>96</v>
      </c>
      <c r="FN93">
        <v>100</v>
      </c>
      <c r="FO93">
        <v>208</v>
      </c>
      <c r="FP93">
        <v>210</v>
      </c>
      <c r="FQ93" s="44">
        <v>2</v>
      </c>
      <c r="FR93" s="40"/>
      <c r="FS93">
        <v>464</v>
      </c>
      <c r="FT93">
        <v>464</v>
      </c>
      <c r="FU93">
        <v>488</v>
      </c>
      <c r="FV93">
        <v>486</v>
      </c>
      <c r="FW93" s="44">
        <v>2</v>
      </c>
      <c r="FX93" s="40"/>
      <c r="FY93" s="41">
        <v>96</v>
      </c>
      <c r="FZ93">
        <v>100</v>
      </c>
      <c r="GA93">
        <v>128</v>
      </c>
      <c r="GB93">
        <v>130</v>
      </c>
      <c r="GC93" s="44">
        <v>-6</v>
      </c>
      <c r="GD93" s="40"/>
      <c r="GE93">
        <v>352</v>
      </c>
      <c r="GF93">
        <v>350</v>
      </c>
      <c r="GG93">
        <v>368</v>
      </c>
      <c r="GH93">
        <v>370</v>
      </c>
      <c r="GI93" s="44">
        <v>0</v>
      </c>
      <c r="GJ93" s="40"/>
      <c r="GK93">
        <v>608</v>
      </c>
      <c r="GL93" s="47">
        <v>610</v>
      </c>
      <c r="GM93" s="44">
        <v>-2</v>
      </c>
      <c r="GN93" s="40"/>
      <c r="GO93" s="41">
        <v>112</v>
      </c>
      <c r="GP93">
        <v>115</v>
      </c>
      <c r="GQ93" s="44">
        <v>-3</v>
      </c>
      <c r="GR93" s="40"/>
      <c r="GS93">
        <v>448</v>
      </c>
      <c r="GT93">
        <v>450</v>
      </c>
      <c r="GV93">
        <v>448</v>
      </c>
      <c r="GW93">
        <v>450</v>
      </c>
      <c r="GX93" s="44">
        <v>-4</v>
      </c>
      <c r="GY93" s="40"/>
      <c r="GZ93">
        <v>376</v>
      </c>
      <c r="HA93">
        <v>380</v>
      </c>
      <c r="HB93">
        <v>296</v>
      </c>
      <c r="HC93">
        <v>300</v>
      </c>
      <c r="HD93" s="44">
        <v>-8</v>
      </c>
      <c r="HE93" s="40"/>
      <c r="HF93" s="39"/>
      <c r="HH93">
        <v>184</v>
      </c>
      <c r="HI93">
        <v>184</v>
      </c>
      <c r="HJ93" s="44">
        <v>0</v>
      </c>
      <c r="HK93" s="40"/>
      <c r="HL93" s="39"/>
      <c r="HM93">
        <v>500</v>
      </c>
      <c r="HN93">
        <v>400</v>
      </c>
      <c r="HO93">
        <v>400</v>
      </c>
      <c r="HP93" s="46">
        <v>-500</v>
      </c>
      <c r="HQ93" s="40">
        <v>205</v>
      </c>
      <c r="HR93">
        <v>400</v>
      </c>
      <c r="HS93">
        <v>400</v>
      </c>
      <c r="HT93">
        <v>496</v>
      </c>
      <c r="HU93">
        <v>500</v>
      </c>
      <c r="HV93" s="44">
        <v>-4</v>
      </c>
      <c r="HW93" s="43"/>
      <c r="HX93">
        <v>96</v>
      </c>
      <c r="HY93">
        <v>100</v>
      </c>
      <c r="HZ93">
        <v>96</v>
      </c>
      <c r="IA93">
        <v>100</v>
      </c>
      <c r="IB93" s="44">
        <v>-8</v>
      </c>
      <c r="IC93" s="43"/>
      <c r="ID93">
        <v>648</v>
      </c>
      <c r="IE93">
        <v>650</v>
      </c>
      <c r="IF93">
        <v>520</v>
      </c>
      <c r="IG93">
        <v>520</v>
      </c>
      <c r="IH93" s="44">
        <v>-2</v>
      </c>
      <c r="II93" s="43"/>
      <c r="IJ93">
        <v>376</v>
      </c>
      <c r="IK93">
        <v>380</v>
      </c>
      <c r="IL93">
        <v>336</v>
      </c>
      <c r="IM93">
        <v>340</v>
      </c>
      <c r="IN93" s="44">
        <v>-8</v>
      </c>
      <c r="IO93" s="40"/>
      <c r="IP93">
        <v>552</v>
      </c>
      <c r="IQ93">
        <v>557</v>
      </c>
      <c r="IR93" s="44">
        <v>-5</v>
      </c>
      <c r="IS93" s="40"/>
      <c r="IT93">
        <v>360</v>
      </c>
      <c r="IU93">
        <v>360</v>
      </c>
      <c r="IV93">
        <v>360</v>
      </c>
      <c r="IW93">
        <v>362</v>
      </c>
      <c r="IX93" s="44">
        <v>-2</v>
      </c>
      <c r="IY93" s="43"/>
      <c r="IZ93">
        <v>200</v>
      </c>
      <c r="JA93" s="47">
        <v>200</v>
      </c>
      <c r="JB93" s="44">
        <v>0</v>
      </c>
      <c r="JC93" s="40"/>
      <c r="JF93">
        <v>240</v>
      </c>
      <c r="JG93">
        <v>240</v>
      </c>
      <c r="JH93" s="44">
        <v>0</v>
      </c>
      <c r="JI93" s="40"/>
      <c r="JJ93">
        <v>576</v>
      </c>
      <c r="JK93">
        <v>580</v>
      </c>
      <c r="JL93">
        <v>616</v>
      </c>
      <c r="JM93">
        <v>620</v>
      </c>
      <c r="JN93" s="44">
        <v>-8</v>
      </c>
      <c r="JO93" s="43"/>
      <c r="JP93">
        <v>96</v>
      </c>
      <c r="JQ93">
        <v>96</v>
      </c>
      <c r="JR93">
        <v>56</v>
      </c>
      <c r="JS93">
        <v>54</v>
      </c>
      <c r="JT93" s="44">
        <v>2</v>
      </c>
      <c r="JU93" s="43"/>
      <c r="JV93">
        <v>248</v>
      </c>
      <c r="JW93">
        <v>250</v>
      </c>
      <c r="JX93">
        <v>296</v>
      </c>
      <c r="JY93">
        <v>300</v>
      </c>
      <c r="JZ93" s="44">
        <v>-6</v>
      </c>
      <c r="KA93" s="43"/>
      <c r="KB93" s="41">
        <v>352</v>
      </c>
      <c r="KC93">
        <v>350</v>
      </c>
      <c r="KE93">
        <v>496</v>
      </c>
      <c r="KF93">
        <v>500</v>
      </c>
      <c r="KG93">
        <v>400</v>
      </c>
      <c r="KH93">
        <v>400</v>
      </c>
      <c r="KI93" s="44">
        <v>-2</v>
      </c>
      <c r="KJ93" s="43"/>
      <c r="KK93" s="47">
        <v>0</v>
      </c>
      <c r="KL93" s="47">
        <v>0</v>
      </c>
      <c r="KM93" s="47">
        <v>80</v>
      </c>
      <c r="KN93" s="47">
        <v>80</v>
      </c>
      <c r="KO93" s="44">
        <v>0</v>
      </c>
      <c r="KP93" s="43"/>
      <c r="KQ93" s="47">
        <v>384</v>
      </c>
      <c r="KR93" s="47">
        <v>400</v>
      </c>
      <c r="KS93" s="47">
        <v>424</v>
      </c>
      <c r="KT93" s="47">
        <v>430</v>
      </c>
      <c r="KU93" s="46">
        <v>-22</v>
      </c>
      <c r="KV93" s="43">
        <v>9.02</v>
      </c>
      <c r="KW93" s="42">
        <v>448</v>
      </c>
      <c r="KX93" s="47">
        <v>450</v>
      </c>
      <c r="KY93" s="44">
        <v>-2</v>
      </c>
      <c r="KZ93" s="43"/>
      <c r="LA93" s="42">
        <v>400</v>
      </c>
      <c r="LB93" s="47">
        <v>400</v>
      </c>
      <c r="LC93" s="47">
        <v>336</v>
      </c>
      <c r="LD93" s="47">
        <v>340</v>
      </c>
      <c r="LE93" s="44">
        <v>-4</v>
      </c>
      <c r="LF93" s="43"/>
      <c r="LG93" s="42">
        <v>320</v>
      </c>
      <c r="LH93" s="47">
        <v>320</v>
      </c>
      <c r="LI93" s="47">
        <v>408</v>
      </c>
      <c r="LJ93" s="47">
        <v>410</v>
      </c>
      <c r="LK93" s="44">
        <v>-2</v>
      </c>
      <c r="LL93" s="43"/>
      <c r="LM93" s="42">
        <v>0</v>
      </c>
      <c r="LN93" s="47">
        <v>0</v>
      </c>
      <c r="LO93" s="44">
        <v>0</v>
      </c>
      <c r="LP93" s="43"/>
      <c r="LQ93" s="42">
        <v>0</v>
      </c>
      <c r="LR93" s="47">
        <v>0</v>
      </c>
      <c r="LS93" s="47">
        <v>536</v>
      </c>
      <c r="LT93" s="47">
        <v>540</v>
      </c>
      <c r="LU93" s="44">
        <v>-4</v>
      </c>
      <c r="LV93" s="43"/>
      <c r="LW93" s="42">
        <v>0</v>
      </c>
      <c r="LX93" s="47">
        <v>0</v>
      </c>
      <c r="LY93" s="47">
        <v>984</v>
      </c>
      <c r="LZ93" s="47">
        <v>980</v>
      </c>
      <c r="MA93" s="44">
        <v>4</v>
      </c>
      <c r="MB93" s="43"/>
      <c r="MC93" s="42">
        <v>0</v>
      </c>
      <c r="MD93" s="47">
        <v>0</v>
      </c>
      <c r="ME93" s="47">
        <v>80</v>
      </c>
      <c r="MF93" s="47">
        <v>80</v>
      </c>
      <c r="MG93" s="44">
        <v>0</v>
      </c>
      <c r="MH93" s="43"/>
      <c r="MI93" s="42">
        <v>800</v>
      </c>
      <c r="MJ93" s="47">
        <v>800</v>
      </c>
      <c r="MK93" s="47">
        <v>296</v>
      </c>
      <c r="ML93" s="47">
        <v>300</v>
      </c>
      <c r="MM93" s="44">
        <v>-4</v>
      </c>
      <c r="MN93" s="43"/>
      <c r="MO93" s="42">
        <v>200</v>
      </c>
      <c r="MP93" s="47">
        <v>200</v>
      </c>
      <c r="MQ93" s="47">
        <v>696</v>
      </c>
      <c r="MR93" s="47">
        <v>700</v>
      </c>
      <c r="MS93" s="44">
        <v>-4</v>
      </c>
      <c r="MT93" s="43"/>
      <c r="MU93" s="22">
        <v>56</v>
      </c>
      <c r="MV93" s="47">
        <v>0</v>
      </c>
      <c r="MW93" s="47">
        <v>48</v>
      </c>
      <c r="MX93" s="47">
        <v>51.599999999999909</v>
      </c>
      <c r="MY93" s="44">
        <v>52.400000000000091</v>
      </c>
      <c r="MZ93" s="43"/>
      <c r="NA93" s="42">
        <v>496</v>
      </c>
      <c r="NB93" s="47">
        <v>500</v>
      </c>
      <c r="NC93" s="47">
        <v>504</v>
      </c>
      <c r="ND93" s="47">
        <v>500</v>
      </c>
      <c r="NE93" s="44">
        <v>0</v>
      </c>
      <c r="NF93" s="43"/>
      <c r="NG93" s="42">
        <v>496</v>
      </c>
      <c r="NH93" s="47">
        <v>500</v>
      </c>
      <c r="NI93" s="47">
        <v>800</v>
      </c>
      <c r="NJ93" s="47">
        <v>800</v>
      </c>
      <c r="NK93" s="44">
        <v>-4</v>
      </c>
      <c r="NL93" s="43"/>
      <c r="NM93" s="42">
        <v>352</v>
      </c>
      <c r="NN93" s="47">
        <v>350</v>
      </c>
      <c r="NO93" s="47">
        <v>0</v>
      </c>
      <c r="NP93" s="26">
        <v>300</v>
      </c>
      <c r="NQ93" s="46">
        <v>-298</v>
      </c>
      <c r="NR93" s="43">
        <v>122.18</v>
      </c>
      <c r="NS93" s="42">
        <v>248</v>
      </c>
      <c r="NT93" s="47">
        <v>250</v>
      </c>
      <c r="NU93" s="47">
        <v>352</v>
      </c>
      <c r="NV93" s="47">
        <v>350</v>
      </c>
      <c r="NW93" s="44">
        <v>0</v>
      </c>
      <c r="NX93" s="43"/>
      <c r="NY93" s="42">
        <v>424</v>
      </c>
      <c r="NZ93" s="47">
        <v>425</v>
      </c>
      <c r="OA93" s="47">
        <v>424</v>
      </c>
      <c r="OB93" s="47">
        <v>425</v>
      </c>
      <c r="OC93" s="44">
        <v>-2</v>
      </c>
      <c r="OD93" s="43"/>
      <c r="OE93" s="42">
        <v>1096</v>
      </c>
      <c r="OF93" s="47">
        <v>1100</v>
      </c>
      <c r="OG93" s="47">
        <v>600</v>
      </c>
      <c r="OH93" s="47">
        <v>600</v>
      </c>
      <c r="OI93" s="44">
        <v>-4</v>
      </c>
      <c r="OJ93" s="43"/>
      <c r="OK93" s="42">
        <v>672</v>
      </c>
      <c r="OL93" s="47">
        <v>670</v>
      </c>
      <c r="OM93" s="47">
        <v>576</v>
      </c>
      <c r="ON93" s="47">
        <v>580</v>
      </c>
      <c r="OO93" s="44">
        <v>-2</v>
      </c>
      <c r="OP93" s="43"/>
      <c r="OQ93" s="42">
        <v>88</v>
      </c>
      <c r="OR93" s="47">
        <v>90</v>
      </c>
      <c r="OS93" s="47">
        <v>56</v>
      </c>
      <c r="OT93" s="47">
        <v>60</v>
      </c>
      <c r="OU93" s="44">
        <v>-6</v>
      </c>
      <c r="OV93" s="43"/>
      <c r="OW93" s="42">
        <v>640</v>
      </c>
      <c r="OX93" s="47">
        <v>600</v>
      </c>
      <c r="OY93" s="47">
        <v>552</v>
      </c>
      <c r="OZ93" s="47">
        <v>550</v>
      </c>
      <c r="PA93" s="44">
        <v>42</v>
      </c>
      <c r="PB93" s="43"/>
      <c r="PC93" s="42">
        <v>696</v>
      </c>
      <c r="PD93" s="47">
        <v>700</v>
      </c>
      <c r="PE93" s="47">
        <v>696</v>
      </c>
      <c r="PF93" s="47">
        <v>700</v>
      </c>
      <c r="PG93" s="44">
        <v>-8</v>
      </c>
      <c r="PH93" s="43"/>
      <c r="PI93" s="42">
        <v>0</v>
      </c>
      <c r="PJ93" s="47">
        <v>0</v>
      </c>
      <c r="PK93" s="47">
        <v>0</v>
      </c>
      <c r="PL93" s="47">
        <v>0</v>
      </c>
      <c r="PM93" s="44">
        <v>0</v>
      </c>
      <c r="PN93" s="43"/>
      <c r="PO93" s="42">
        <v>600</v>
      </c>
      <c r="PP93" s="47">
        <v>600</v>
      </c>
      <c r="PQ93" s="47">
        <v>600</v>
      </c>
      <c r="PR93" s="47">
        <v>600</v>
      </c>
      <c r="PS93" s="44">
        <v>0</v>
      </c>
      <c r="PT93" s="43"/>
      <c r="PU93" s="42">
        <v>0</v>
      </c>
      <c r="PV93" s="47">
        <v>0</v>
      </c>
      <c r="PW93" s="47">
        <v>936</v>
      </c>
      <c r="PX93" s="47">
        <v>940</v>
      </c>
      <c r="PY93" s="44">
        <v>-4</v>
      </c>
      <c r="PZ93" s="43"/>
      <c r="QA93" s="42">
        <v>632</v>
      </c>
      <c r="QB93" s="47">
        <v>949</v>
      </c>
      <c r="QC93" s="46">
        <v>-317</v>
      </c>
      <c r="QD93" s="43">
        <v>129.97</v>
      </c>
      <c r="QE93" s="42">
        <v>776</v>
      </c>
      <c r="QF93" s="47">
        <v>1000</v>
      </c>
      <c r="QG93" s="46">
        <v>-224</v>
      </c>
      <c r="QH93" s="43">
        <v>91.839999999999989</v>
      </c>
      <c r="QI93" s="42">
        <v>0</v>
      </c>
      <c r="QJ93" s="47">
        <v>0</v>
      </c>
      <c r="QK93" s="44">
        <v>0</v>
      </c>
      <c r="QL93" s="43"/>
      <c r="QM93" s="42">
        <v>400</v>
      </c>
      <c r="QN93" s="47">
        <v>400</v>
      </c>
      <c r="QO93" s="47">
        <v>544</v>
      </c>
      <c r="QP93" s="47">
        <v>550</v>
      </c>
      <c r="QQ93" s="44">
        <v>-6</v>
      </c>
      <c r="QR93" s="43"/>
      <c r="QS93" s="42">
        <v>0</v>
      </c>
      <c r="QT93" s="47">
        <v>0</v>
      </c>
      <c r="QU93" s="44">
        <v>0</v>
      </c>
      <c r="QV93" s="43"/>
      <c r="QW93" s="42">
        <v>1056</v>
      </c>
      <c r="QX93" s="47">
        <v>1059</v>
      </c>
      <c r="QY93" s="44">
        <v>-3</v>
      </c>
      <c r="QZ93" s="43"/>
    </row>
    <row r="94" spans="1:468" x14ac:dyDescent="0.25">
      <c r="A94" s="47" t="s">
        <v>378</v>
      </c>
      <c r="B94" s="38">
        <v>0.5</v>
      </c>
      <c r="N94" s="39"/>
      <c r="O94" s="48"/>
      <c r="P94" s="48"/>
      <c r="Q94" s="48"/>
      <c r="R94" s="48">
        <f t="shared" si="13"/>
        <v>0</v>
      </c>
      <c r="S94" s="40"/>
      <c r="T94" s="39"/>
      <c r="U94" s="48"/>
      <c r="V94" s="48">
        <f t="shared" si="14"/>
        <v>0</v>
      </c>
      <c r="W94" s="40"/>
      <c r="X94" s="39"/>
      <c r="Y94" s="48"/>
      <c r="Z94" s="48"/>
      <c r="AA94" s="48"/>
      <c r="AB94" s="48">
        <f t="shared" si="15"/>
        <v>0</v>
      </c>
      <c r="AC94" s="40"/>
      <c r="AD94" s="48"/>
      <c r="AH94" s="44">
        <v>0</v>
      </c>
      <c r="AI94" s="40"/>
      <c r="AN94" s="44">
        <v>0</v>
      </c>
      <c r="AO94" s="40"/>
      <c r="AT94" s="44">
        <v>0</v>
      </c>
      <c r="AU94" s="40"/>
      <c r="AV94" s="39"/>
      <c r="AX94" s="44">
        <v>0</v>
      </c>
      <c r="AY94" s="40"/>
      <c r="AZ94" s="39"/>
      <c r="BB94" s="44">
        <v>0</v>
      </c>
      <c r="BC94" s="40"/>
      <c r="BH94" s="44">
        <v>0</v>
      </c>
      <c r="BI94" s="40"/>
      <c r="BL94" s="44">
        <v>0</v>
      </c>
      <c r="BM94" s="40"/>
      <c r="BN94" s="39"/>
      <c r="BR94" s="44">
        <v>0</v>
      </c>
      <c r="BS94" s="40"/>
      <c r="BV94" s="44">
        <v>0</v>
      </c>
      <c r="BW94" s="40"/>
      <c r="BX94" s="39"/>
      <c r="BZ94" s="44">
        <v>0</v>
      </c>
      <c r="CA94" s="40"/>
      <c r="CB94" s="39"/>
      <c r="CH94" s="44">
        <v>0</v>
      </c>
      <c r="CI94" s="40"/>
      <c r="CN94" s="44">
        <v>0</v>
      </c>
      <c r="CO94" s="40"/>
      <c r="CP94" s="39"/>
      <c r="CT94" s="44">
        <v>0</v>
      </c>
      <c r="CU94" s="40"/>
      <c r="CV94" s="39"/>
      <c r="CZ94" s="44">
        <v>0</v>
      </c>
      <c r="DA94" s="40"/>
      <c r="DB94" s="39"/>
      <c r="DF94" s="44">
        <v>0</v>
      </c>
      <c r="DG94" s="40"/>
      <c r="DN94" s="44">
        <v>0</v>
      </c>
      <c r="DO94" s="40"/>
      <c r="DP94" s="39"/>
      <c r="DR94" s="44">
        <v>0</v>
      </c>
      <c r="DS94" s="40"/>
      <c r="DT94" s="39"/>
      <c r="DX94" s="44">
        <v>0</v>
      </c>
      <c r="DY94" s="40"/>
      <c r="DZ94" s="39"/>
      <c r="EB94" s="44">
        <v>0</v>
      </c>
      <c r="EC94" s="40"/>
      <c r="EK94" s="44">
        <v>0</v>
      </c>
      <c r="EL94" s="40"/>
      <c r="ES94" s="44">
        <v>0</v>
      </c>
      <c r="ET94" s="40"/>
      <c r="EU94" s="39"/>
      <c r="EY94" s="44">
        <v>0</v>
      </c>
      <c r="EZ94" s="40"/>
      <c r="FA94" s="39"/>
      <c r="FD94" s="44">
        <v>0</v>
      </c>
      <c r="FE94" s="40"/>
      <c r="FH94" s="44">
        <v>0</v>
      </c>
      <c r="FI94" s="40"/>
      <c r="FJ94" s="39"/>
      <c r="FQ94" s="44">
        <v>0</v>
      </c>
      <c r="FR94" s="40"/>
      <c r="FW94" s="44">
        <v>0</v>
      </c>
      <c r="FX94" s="40"/>
      <c r="FY94" s="39"/>
      <c r="GC94" s="44">
        <v>0</v>
      </c>
      <c r="GD94" s="40"/>
      <c r="GI94" s="44">
        <v>0</v>
      </c>
      <c r="GJ94" s="40"/>
      <c r="GM94" s="44">
        <v>0</v>
      </c>
      <c r="GN94" s="40"/>
      <c r="GO94" s="39"/>
      <c r="GQ94" s="44">
        <v>0</v>
      </c>
      <c r="GR94" s="40"/>
      <c r="GX94" s="44">
        <v>0</v>
      </c>
      <c r="GY94" s="40"/>
      <c r="HD94" s="44">
        <v>0</v>
      </c>
      <c r="HE94" s="40"/>
      <c r="HF94" s="39"/>
      <c r="HJ94" s="44">
        <v>0</v>
      </c>
      <c r="HK94" s="40"/>
      <c r="HL94" s="39"/>
      <c r="HP94" s="44">
        <v>0</v>
      </c>
      <c r="HQ94" s="40"/>
      <c r="HV94" s="44">
        <v>0</v>
      </c>
      <c r="HW94" s="43"/>
      <c r="IB94" s="44">
        <v>0</v>
      </c>
      <c r="IC94" s="43"/>
      <c r="IH94" s="44">
        <v>0</v>
      </c>
      <c r="II94" s="43"/>
      <c r="IN94" s="44">
        <v>0</v>
      </c>
      <c r="IO94" s="40"/>
      <c r="IR94" s="44">
        <v>0</v>
      </c>
      <c r="IS94" s="40"/>
      <c r="IX94" s="44">
        <v>0</v>
      </c>
      <c r="IY94" s="43"/>
      <c r="JB94" s="44">
        <v>0</v>
      </c>
      <c r="JC94" s="40"/>
      <c r="JH94" s="44">
        <v>0</v>
      </c>
      <c r="JI94" s="40"/>
      <c r="JN94" s="44">
        <v>0</v>
      </c>
      <c r="JO94" s="43"/>
      <c r="JT94" s="44">
        <v>0</v>
      </c>
      <c r="JU94" s="43"/>
      <c r="JZ94" s="44">
        <v>0</v>
      </c>
      <c r="KA94" s="43"/>
      <c r="KB94" s="42"/>
      <c r="KI94" s="44">
        <v>0</v>
      </c>
      <c r="KJ94" s="43"/>
      <c r="KK94" s="47">
        <v>0</v>
      </c>
      <c r="KL94" s="47">
        <v>0</v>
      </c>
      <c r="KM94" s="47">
        <v>0</v>
      </c>
      <c r="KN94" s="47">
        <v>0</v>
      </c>
      <c r="KO94" s="44">
        <v>0</v>
      </c>
      <c r="KP94" s="43"/>
      <c r="KQ94" s="47">
        <v>0</v>
      </c>
      <c r="KR94" s="47">
        <v>0</v>
      </c>
      <c r="KS94" s="47">
        <v>0</v>
      </c>
      <c r="KT94" s="47">
        <v>0</v>
      </c>
      <c r="KU94" s="44">
        <v>0</v>
      </c>
      <c r="KV94" s="43"/>
      <c r="KW94" s="42">
        <v>0</v>
      </c>
      <c r="KX94" s="47">
        <v>0</v>
      </c>
      <c r="KY94" s="44">
        <v>0</v>
      </c>
      <c r="KZ94" s="43"/>
      <c r="LA94" s="42">
        <v>0</v>
      </c>
      <c r="LB94" s="47">
        <v>0</v>
      </c>
      <c r="LC94" s="47">
        <v>0</v>
      </c>
      <c r="LD94" s="47">
        <v>0</v>
      </c>
      <c r="LE94" s="44">
        <v>0</v>
      </c>
      <c r="LF94" s="43"/>
      <c r="LG94" s="42">
        <v>0</v>
      </c>
      <c r="LH94" s="47">
        <v>0</v>
      </c>
      <c r="LI94" s="47">
        <v>0</v>
      </c>
      <c r="LJ94" s="47">
        <v>0</v>
      </c>
      <c r="LK94" s="44">
        <v>0</v>
      </c>
      <c r="LL94" s="43"/>
      <c r="LM94" s="42">
        <v>0</v>
      </c>
      <c r="LN94" s="47">
        <v>0</v>
      </c>
      <c r="LO94" s="44">
        <v>0</v>
      </c>
      <c r="LP94" s="43"/>
      <c r="LQ94" s="42">
        <v>0</v>
      </c>
      <c r="LR94" s="47">
        <v>0</v>
      </c>
      <c r="LS94" s="47">
        <v>0</v>
      </c>
      <c r="LT94" s="47">
        <v>0</v>
      </c>
      <c r="LU94" s="44">
        <v>0</v>
      </c>
      <c r="LV94" s="43"/>
      <c r="LW94" s="42">
        <v>0</v>
      </c>
      <c r="LX94" s="47">
        <v>0</v>
      </c>
      <c r="LY94" s="47">
        <v>0</v>
      </c>
      <c r="LZ94" s="47">
        <v>0</v>
      </c>
      <c r="MA94" s="44">
        <v>0</v>
      </c>
      <c r="MB94" s="43"/>
      <c r="MC94" s="42">
        <v>0</v>
      </c>
      <c r="MD94" s="47">
        <v>0</v>
      </c>
      <c r="ME94" s="47">
        <v>0</v>
      </c>
      <c r="MF94" s="47">
        <v>0</v>
      </c>
      <c r="MG94" s="44">
        <v>0</v>
      </c>
      <c r="MH94" s="43"/>
      <c r="MI94" s="42">
        <v>0</v>
      </c>
      <c r="MJ94" s="47">
        <v>0</v>
      </c>
      <c r="MK94" s="47">
        <v>0</v>
      </c>
      <c r="ML94" s="47">
        <v>0</v>
      </c>
      <c r="MM94" s="44">
        <v>0</v>
      </c>
      <c r="MN94" s="43"/>
      <c r="MO94" s="42">
        <v>0</v>
      </c>
      <c r="MP94" s="47">
        <v>0</v>
      </c>
      <c r="MQ94" s="47">
        <v>0</v>
      </c>
      <c r="MR94" s="47">
        <v>0</v>
      </c>
      <c r="MS94" s="44">
        <v>0</v>
      </c>
      <c r="MT94" s="43"/>
      <c r="MU94" s="42">
        <v>0</v>
      </c>
      <c r="MV94" s="47">
        <v>0</v>
      </c>
      <c r="MW94" s="47">
        <v>0</v>
      </c>
      <c r="MX94" s="47">
        <v>0</v>
      </c>
      <c r="MY94" s="44">
        <v>0</v>
      </c>
      <c r="MZ94" s="43"/>
      <c r="NA94" s="42">
        <v>0</v>
      </c>
      <c r="NB94" s="47">
        <v>0</v>
      </c>
      <c r="NC94" s="47">
        <v>0</v>
      </c>
      <c r="ND94" s="47">
        <v>0</v>
      </c>
      <c r="NE94" s="44">
        <v>0</v>
      </c>
      <c r="NF94" s="43"/>
      <c r="NG94" s="42">
        <v>0</v>
      </c>
      <c r="NH94" s="47">
        <v>0</v>
      </c>
      <c r="NI94" s="47">
        <v>0</v>
      </c>
      <c r="NJ94" s="47">
        <v>0</v>
      </c>
      <c r="NK94" s="44">
        <v>0</v>
      </c>
      <c r="NL94" s="43"/>
      <c r="NM94" s="42">
        <v>0</v>
      </c>
      <c r="NN94" s="47">
        <v>0</v>
      </c>
      <c r="NO94" s="47">
        <v>0</v>
      </c>
      <c r="NP94" s="47">
        <v>0</v>
      </c>
      <c r="NQ94" s="44">
        <v>0</v>
      </c>
      <c r="NR94" s="43"/>
      <c r="NS94" s="42">
        <v>0</v>
      </c>
      <c r="NT94" s="47">
        <v>0</v>
      </c>
      <c r="NU94" s="47">
        <v>0</v>
      </c>
      <c r="NV94" s="47">
        <v>0</v>
      </c>
      <c r="NW94" s="44">
        <v>0</v>
      </c>
      <c r="NX94" s="43"/>
      <c r="NY94" s="42">
        <v>0</v>
      </c>
      <c r="NZ94" s="47">
        <v>0</v>
      </c>
      <c r="OA94" s="47">
        <v>0</v>
      </c>
      <c r="OB94" s="47">
        <v>0</v>
      </c>
      <c r="OC94" s="44">
        <v>0</v>
      </c>
      <c r="OD94" s="43"/>
      <c r="OE94" s="42">
        <v>0</v>
      </c>
      <c r="OF94" s="47">
        <v>0</v>
      </c>
      <c r="OG94" s="47">
        <v>0</v>
      </c>
      <c r="OH94" s="47">
        <v>0</v>
      </c>
      <c r="OI94" s="44">
        <v>0</v>
      </c>
      <c r="OJ94" s="43"/>
      <c r="OK94" s="42">
        <v>0</v>
      </c>
      <c r="OL94" s="12">
        <v>110</v>
      </c>
      <c r="OM94" s="47">
        <v>0</v>
      </c>
      <c r="ON94" s="12">
        <v>90</v>
      </c>
      <c r="OO94" s="44">
        <v>0</v>
      </c>
      <c r="OP94" s="43"/>
      <c r="OQ94" s="42">
        <v>0</v>
      </c>
      <c r="OR94" s="26">
        <v>60</v>
      </c>
      <c r="OS94" s="47">
        <v>0</v>
      </c>
      <c r="OT94" s="12">
        <v>40</v>
      </c>
      <c r="OU94" s="46">
        <v>-60</v>
      </c>
      <c r="OV94" s="43">
        <v>30</v>
      </c>
      <c r="OW94" s="42">
        <v>0</v>
      </c>
      <c r="OX94" s="26">
        <v>150</v>
      </c>
      <c r="OY94" s="47">
        <v>0</v>
      </c>
      <c r="OZ94" s="26">
        <v>150</v>
      </c>
      <c r="PA94" s="46">
        <v>-300</v>
      </c>
      <c r="PB94" s="43">
        <v>150</v>
      </c>
      <c r="PC94" s="42">
        <v>0</v>
      </c>
      <c r="PD94" s="47">
        <v>0</v>
      </c>
      <c r="PE94" s="47">
        <v>0</v>
      </c>
      <c r="PF94" s="47">
        <v>0</v>
      </c>
      <c r="PG94" s="44">
        <v>0</v>
      </c>
      <c r="PH94" s="43"/>
      <c r="PI94" s="42">
        <v>0</v>
      </c>
      <c r="PJ94" s="47">
        <v>0</v>
      </c>
      <c r="PK94" s="47">
        <v>0</v>
      </c>
      <c r="PL94" s="47">
        <v>0</v>
      </c>
      <c r="PM94" s="44">
        <v>0</v>
      </c>
      <c r="PN94" s="43"/>
      <c r="PO94" s="42">
        <v>96</v>
      </c>
      <c r="PP94" s="47">
        <v>160</v>
      </c>
      <c r="PQ94" s="47">
        <v>88</v>
      </c>
      <c r="PR94" s="47">
        <v>160</v>
      </c>
      <c r="PS94" s="46">
        <v>-136</v>
      </c>
      <c r="PT94" s="43">
        <v>68</v>
      </c>
      <c r="PU94" s="42">
        <v>0</v>
      </c>
      <c r="PV94" s="47">
        <v>0</v>
      </c>
      <c r="PW94" s="47">
        <v>152</v>
      </c>
      <c r="PX94" s="47">
        <v>154</v>
      </c>
      <c r="PY94" s="44">
        <v>-2</v>
      </c>
      <c r="PZ94" s="43"/>
      <c r="QA94" s="42">
        <v>0</v>
      </c>
      <c r="QB94" s="47">
        <v>0</v>
      </c>
      <c r="QC94" s="44">
        <v>0</v>
      </c>
      <c r="QD94" s="43"/>
      <c r="QE94" s="42">
        <v>240</v>
      </c>
      <c r="QF94" s="47">
        <v>350</v>
      </c>
      <c r="QG94" s="46">
        <v>-110</v>
      </c>
      <c r="QH94" s="43">
        <v>55</v>
      </c>
      <c r="QI94" s="42">
        <v>0</v>
      </c>
      <c r="QJ94" s="47">
        <v>0</v>
      </c>
      <c r="QK94" s="44">
        <v>0</v>
      </c>
      <c r="QL94" s="43"/>
      <c r="QM94" s="42">
        <v>152</v>
      </c>
      <c r="QN94" s="47">
        <v>150</v>
      </c>
      <c r="QO94" s="47">
        <v>0</v>
      </c>
      <c r="QP94" s="47">
        <v>0</v>
      </c>
      <c r="QQ94" s="44">
        <v>2</v>
      </c>
      <c r="QR94" s="43"/>
      <c r="QS94" s="42">
        <v>0</v>
      </c>
      <c r="QT94" s="47">
        <v>0</v>
      </c>
      <c r="QU94" s="44">
        <v>0</v>
      </c>
      <c r="QV94" s="43"/>
      <c r="QW94" s="42">
        <v>200</v>
      </c>
      <c r="QX94" s="47">
        <v>199</v>
      </c>
      <c r="QY94" s="44">
        <v>1</v>
      </c>
      <c r="QZ94" s="43"/>
    </row>
    <row r="95" spans="1:468" x14ac:dyDescent="0.25">
      <c r="A95" s="47" t="s">
        <v>379</v>
      </c>
      <c r="B95" s="38">
        <v>0.41</v>
      </c>
      <c r="N95" s="39"/>
      <c r="O95" s="48"/>
      <c r="P95" s="48"/>
      <c r="Q95" s="48"/>
      <c r="R95" s="48">
        <f t="shared" si="13"/>
        <v>0</v>
      </c>
      <c r="S95" s="40"/>
      <c r="T95" s="39"/>
      <c r="U95" s="48"/>
      <c r="V95" s="48">
        <f t="shared" si="14"/>
        <v>0</v>
      </c>
      <c r="W95" s="40"/>
      <c r="X95" s="39"/>
      <c r="Y95" s="48"/>
      <c r="Z95" s="48"/>
      <c r="AA95" s="48"/>
      <c r="AB95" s="48">
        <f t="shared" si="15"/>
        <v>0</v>
      </c>
      <c r="AC95" s="40"/>
      <c r="AD95" s="48"/>
      <c r="AH95" s="44">
        <v>0</v>
      </c>
      <c r="AI95" s="40"/>
      <c r="AN95" s="44">
        <v>0</v>
      </c>
      <c r="AO95" s="40"/>
      <c r="AT95" s="44">
        <v>0</v>
      </c>
      <c r="AU95" s="40"/>
      <c r="AV95" s="39"/>
      <c r="AX95" s="44">
        <v>0</v>
      </c>
      <c r="AY95" s="40"/>
      <c r="AZ95" s="39"/>
      <c r="BB95" s="44">
        <v>0</v>
      </c>
      <c r="BC95" s="40"/>
      <c r="BH95" s="44">
        <v>0</v>
      </c>
      <c r="BI95" s="40"/>
      <c r="BL95" s="44">
        <v>0</v>
      </c>
      <c r="BM95" s="40"/>
      <c r="BN95" s="39"/>
      <c r="BR95" s="44">
        <v>0</v>
      </c>
      <c r="BS95" s="40"/>
      <c r="BV95" s="44">
        <v>0</v>
      </c>
      <c r="BW95" s="40"/>
      <c r="BX95" s="39"/>
      <c r="BZ95" s="44">
        <v>0</v>
      </c>
      <c r="CA95" s="40"/>
      <c r="CB95" s="39"/>
      <c r="CH95" s="44">
        <v>0</v>
      </c>
      <c r="CI95" s="40"/>
      <c r="CN95" s="44">
        <v>0</v>
      </c>
      <c r="CO95" s="40"/>
      <c r="CP95" s="39"/>
      <c r="CT95" s="44">
        <v>0</v>
      </c>
      <c r="CU95" s="40"/>
      <c r="CV95" s="39"/>
      <c r="CZ95" s="44">
        <v>0</v>
      </c>
      <c r="DA95" s="40"/>
      <c r="DB95" s="39"/>
      <c r="DF95" s="44">
        <v>0</v>
      </c>
      <c r="DG95" s="40"/>
      <c r="DN95" s="44">
        <v>0</v>
      </c>
      <c r="DO95" s="40"/>
      <c r="DP95" s="39"/>
      <c r="DR95" s="44">
        <v>0</v>
      </c>
      <c r="DS95" s="40"/>
      <c r="DT95" s="39"/>
      <c r="DX95" s="44">
        <v>0</v>
      </c>
      <c r="DY95" s="40"/>
      <c r="DZ95" s="39"/>
      <c r="EB95" s="44">
        <v>0</v>
      </c>
      <c r="EC95" s="40"/>
      <c r="EK95" s="44">
        <v>0</v>
      </c>
      <c r="EL95" s="40"/>
      <c r="ES95" s="44">
        <v>0</v>
      </c>
      <c r="ET95" s="40"/>
      <c r="EU95" s="39"/>
      <c r="EY95" s="44">
        <v>0</v>
      </c>
      <c r="EZ95" s="40"/>
      <c r="FA95" s="39"/>
      <c r="FD95" s="44">
        <v>0</v>
      </c>
      <c r="FE95" s="40"/>
      <c r="FH95" s="44">
        <v>0</v>
      </c>
      <c r="FI95" s="40"/>
      <c r="FJ95" s="39"/>
      <c r="FQ95" s="44">
        <v>0</v>
      </c>
      <c r="FR95" s="40"/>
      <c r="FW95" s="44">
        <v>0</v>
      </c>
      <c r="FX95" s="40"/>
      <c r="FY95" s="39"/>
      <c r="GC95" s="44">
        <v>0</v>
      </c>
      <c r="GD95" s="40"/>
      <c r="GI95" s="44">
        <v>0</v>
      </c>
      <c r="GJ95" s="40"/>
      <c r="GM95" s="44">
        <v>0</v>
      </c>
      <c r="GN95" s="40"/>
      <c r="GO95" s="39"/>
      <c r="GQ95" s="44">
        <v>0</v>
      </c>
      <c r="GR95" s="40"/>
      <c r="GX95" s="44">
        <v>0</v>
      </c>
      <c r="GY95" s="40"/>
      <c r="HD95" s="44">
        <v>0</v>
      </c>
      <c r="HE95" s="40"/>
      <c r="HF95" s="39"/>
      <c r="HJ95" s="44">
        <v>0</v>
      </c>
      <c r="HK95" s="40"/>
      <c r="HL95" s="39"/>
      <c r="HP95" s="44">
        <v>0</v>
      </c>
      <c r="HQ95" s="40"/>
      <c r="HV95" s="44">
        <v>0</v>
      </c>
      <c r="HW95" s="43"/>
      <c r="IB95" s="44">
        <v>0</v>
      </c>
      <c r="IC95" s="43"/>
      <c r="ID95">
        <v>700</v>
      </c>
      <c r="IE95">
        <v>700</v>
      </c>
      <c r="IF95">
        <v>520</v>
      </c>
      <c r="IG95">
        <v>520</v>
      </c>
      <c r="IH95" s="44">
        <v>0</v>
      </c>
      <c r="II95" s="43"/>
      <c r="IJ95">
        <v>370</v>
      </c>
      <c r="IK95">
        <v>360</v>
      </c>
      <c r="IL95">
        <v>330</v>
      </c>
      <c r="IM95">
        <v>330</v>
      </c>
      <c r="IN95" s="44">
        <v>10</v>
      </c>
      <c r="IO95" s="40"/>
      <c r="IP95">
        <v>430</v>
      </c>
      <c r="IQ95">
        <v>430</v>
      </c>
      <c r="IR95" s="44">
        <v>0</v>
      </c>
      <c r="IS95" s="40"/>
      <c r="IT95">
        <v>280</v>
      </c>
      <c r="IU95">
        <v>280</v>
      </c>
      <c r="IV95">
        <v>300</v>
      </c>
      <c r="IW95">
        <v>300</v>
      </c>
      <c r="IX95" s="44">
        <v>0</v>
      </c>
      <c r="IY95" s="43"/>
      <c r="IZ95">
        <v>100</v>
      </c>
      <c r="JA95" s="47">
        <v>100</v>
      </c>
      <c r="JB95" s="44">
        <v>0</v>
      </c>
      <c r="JC95" s="40"/>
      <c r="JF95">
        <v>480</v>
      </c>
      <c r="JG95">
        <v>483</v>
      </c>
      <c r="JH95" s="44">
        <v>-3</v>
      </c>
      <c r="JI95" s="40"/>
      <c r="JN95" s="44">
        <v>0</v>
      </c>
      <c r="JO95" s="43"/>
      <c r="JT95" s="44">
        <v>0</v>
      </c>
      <c r="JU95" s="43"/>
      <c r="JV95">
        <v>100</v>
      </c>
      <c r="JW95">
        <v>100</v>
      </c>
      <c r="JX95">
        <v>450</v>
      </c>
      <c r="JY95">
        <v>450</v>
      </c>
      <c r="JZ95" s="44">
        <v>0</v>
      </c>
      <c r="KA95" s="43"/>
      <c r="KB95" s="41">
        <v>350</v>
      </c>
      <c r="KC95">
        <v>350</v>
      </c>
      <c r="KE95">
        <v>400</v>
      </c>
      <c r="KF95">
        <v>400</v>
      </c>
      <c r="KG95">
        <v>470</v>
      </c>
      <c r="KH95">
        <v>300</v>
      </c>
      <c r="KI95" s="44">
        <v>170</v>
      </c>
      <c r="KJ95" s="43"/>
      <c r="KK95" s="47">
        <v>0</v>
      </c>
      <c r="KL95" s="47">
        <v>0</v>
      </c>
      <c r="KM95" s="47">
        <v>0</v>
      </c>
      <c r="KN95" s="47">
        <v>0</v>
      </c>
      <c r="KO95" s="44">
        <v>0</v>
      </c>
      <c r="KP95" s="43"/>
      <c r="KQ95" s="47">
        <v>400</v>
      </c>
      <c r="KR95" s="47">
        <v>400</v>
      </c>
      <c r="KS95" s="47">
        <v>450</v>
      </c>
      <c r="KT95" s="47">
        <v>450</v>
      </c>
      <c r="KU95" s="44">
        <v>0</v>
      </c>
      <c r="KV95" s="43"/>
      <c r="KW95" s="42">
        <v>100</v>
      </c>
      <c r="KX95" s="47">
        <v>100</v>
      </c>
      <c r="KY95" s="44">
        <v>0</v>
      </c>
      <c r="KZ95" s="43"/>
      <c r="LA95" s="42">
        <v>400</v>
      </c>
      <c r="LB95" s="47">
        <v>400</v>
      </c>
      <c r="LC95" s="47">
        <v>340</v>
      </c>
      <c r="LD95" s="47">
        <v>340</v>
      </c>
      <c r="LE95" s="44">
        <v>0</v>
      </c>
      <c r="LF95" s="43"/>
      <c r="LG95" s="42">
        <v>430</v>
      </c>
      <c r="LH95" s="47">
        <v>430</v>
      </c>
      <c r="LI95" s="47">
        <v>480</v>
      </c>
      <c r="LJ95" s="47">
        <v>480</v>
      </c>
      <c r="LK95" s="44">
        <v>0</v>
      </c>
      <c r="LL95" s="43"/>
      <c r="LM95" s="42">
        <v>0</v>
      </c>
      <c r="LN95" s="47">
        <v>0</v>
      </c>
      <c r="LO95" s="44">
        <v>0</v>
      </c>
      <c r="LP95" s="43"/>
      <c r="LQ95" s="42">
        <v>0</v>
      </c>
      <c r="LR95" s="47">
        <v>0</v>
      </c>
      <c r="LS95" s="47">
        <v>250</v>
      </c>
      <c r="LT95" s="47">
        <v>251</v>
      </c>
      <c r="LU95" s="44">
        <v>-1</v>
      </c>
      <c r="LV95" s="43"/>
      <c r="LW95" s="42">
        <v>0</v>
      </c>
      <c r="LX95" s="47">
        <v>0</v>
      </c>
      <c r="LY95" s="47">
        <v>1050</v>
      </c>
      <c r="LZ95" s="47">
        <v>1050</v>
      </c>
      <c r="MA95" s="44">
        <v>0</v>
      </c>
      <c r="MB95" s="43"/>
      <c r="MC95" s="42">
        <v>80</v>
      </c>
      <c r="MD95" s="47">
        <v>80</v>
      </c>
      <c r="ME95" s="47">
        <v>80</v>
      </c>
      <c r="MF95" s="47">
        <v>80</v>
      </c>
      <c r="MG95" s="44">
        <v>0</v>
      </c>
      <c r="MH95" s="43"/>
      <c r="MI95" s="42">
        <v>450</v>
      </c>
      <c r="MJ95" s="47">
        <v>450</v>
      </c>
      <c r="MK95" s="47">
        <v>250</v>
      </c>
      <c r="ML95" s="47">
        <v>250</v>
      </c>
      <c r="MM95" s="44">
        <v>0</v>
      </c>
      <c r="MN95" s="43"/>
      <c r="MO95" s="42">
        <v>210</v>
      </c>
      <c r="MP95" s="47">
        <v>200</v>
      </c>
      <c r="MQ95" s="47">
        <v>100</v>
      </c>
      <c r="MR95" s="47">
        <v>100</v>
      </c>
      <c r="MS95" s="44">
        <v>10</v>
      </c>
      <c r="MT95" s="43"/>
      <c r="MU95" s="42">
        <v>150</v>
      </c>
      <c r="MV95" s="47">
        <v>350</v>
      </c>
      <c r="MW95" s="47">
        <v>450</v>
      </c>
      <c r="MX95" s="47">
        <v>450</v>
      </c>
      <c r="MY95" s="46">
        <v>-200</v>
      </c>
      <c r="MZ95" s="43">
        <v>82</v>
      </c>
      <c r="NA95" s="42">
        <v>500</v>
      </c>
      <c r="NB95" s="47">
        <v>500</v>
      </c>
      <c r="NC95" s="12">
        <v>990</v>
      </c>
      <c r="ND95" s="47">
        <v>500</v>
      </c>
      <c r="NE95" s="44">
        <v>490</v>
      </c>
      <c r="NF95" s="43"/>
      <c r="NG95" s="42">
        <v>400</v>
      </c>
      <c r="NH95" s="47">
        <v>400</v>
      </c>
      <c r="NI95" s="47">
        <v>800</v>
      </c>
      <c r="NJ95" s="47">
        <v>800</v>
      </c>
      <c r="NK95" s="44">
        <v>0</v>
      </c>
      <c r="NL95" s="43"/>
      <c r="NM95" s="42">
        <v>100</v>
      </c>
      <c r="NN95" s="47">
        <v>100</v>
      </c>
      <c r="NO95" s="47">
        <v>210</v>
      </c>
      <c r="NP95" s="47">
        <v>200</v>
      </c>
      <c r="NQ95" s="44">
        <v>10</v>
      </c>
      <c r="NR95" s="43"/>
      <c r="NS95" s="42">
        <v>0</v>
      </c>
      <c r="NT95" s="26">
        <v>100</v>
      </c>
      <c r="NU95" s="47">
        <v>150</v>
      </c>
      <c r="NV95" s="47">
        <v>150</v>
      </c>
      <c r="NW95" s="46">
        <v>-100</v>
      </c>
      <c r="NX95" s="43">
        <v>41</v>
      </c>
      <c r="NY95" s="42">
        <v>900</v>
      </c>
      <c r="NZ95" s="47">
        <v>900</v>
      </c>
      <c r="OA95" s="47">
        <v>900</v>
      </c>
      <c r="OB95" s="47">
        <v>900</v>
      </c>
      <c r="OC95" s="44">
        <v>0</v>
      </c>
      <c r="OD95" s="43"/>
      <c r="OE95" s="42">
        <v>0</v>
      </c>
      <c r="OF95" s="47">
        <v>0</v>
      </c>
      <c r="OG95" s="47">
        <v>0</v>
      </c>
      <c r="OH95" s="47">
        <v>0</v>
      </c>
      <c r="OI95" s="44">
        <v>0</v>
      </c>
      <c r="OJ95" s="43"/>
      <c r="OK95" s="42">
        <v>0</v>
      </c>
      <c r="OL95" s="26">
        <v>1120</v>
      </c>
      <c r="OM95" s="47">
        <v>950</v>
      </c>
      <c r="ON95" s="47">
        <v>952</v>
      </c>
      <c r="OO95" s="46">
        <v>-1122</v>
      </c>
      <c r="OP95" s="43">
        <v>460.02</v>
      </c>
      <c r="OQ95" s="42">
        <v>0</v>
      </c>
      <c r="OR95" s="12">
        <v>160</v>
      </c>
      <c r="OS95" s="47">
        <v>0</v>
      </c>
      <c r="OT95" s="12">
        <v>90</v>
      </c>
      <c r="OU95" s="44">
        <v>0</v>
      </c>
      <c r="OV95" s="43"/>
      <c r="OW95" s="42">
        <v>0</v>
      </c>
      <c r="OX95" s="12">
        <v>500</v>
      </c>
      <c r="OY95" s="47">
        <v>0</v>
      </c>
      <c r="OZ95" s="26">
        <v>400</v>
      </c>
      <c r="PA95" s="46">
        <v>-890</v>
      </c>
      <c r="PB95" s="43">
        <v>364.9</v>
      </c>
      <c r="PC95" s="42">
        <v>700</v>
      </c>
      <c r="PD95" s="47">
        <v>700</v>
      </c>
      <c r="PE95" s="47">
        <v>700</v>
      </c>
      <c r="PF95" s="47">
        <v>700</v>
      </c>
      <c r="PG95" s="44">
        <v>0</v>
      </c>
      <c r="PH95" s="43"/>
      <c r="PI95" s="42">
        <v>0</v>
      </c>
      <c r="PJ95" s="47">
        <v>0</v>
      </c>
      <c r="PK95" s="47">
        <v>0</v>
      </c>
      <c r="PL95" s="47">
        <v>0</v>
      </c>
      <c r="PM95" s="44">
        <v>0</v>
      </c>
      <c r="PN95" s="43"/>
      <c r="PO95" s="42">
        <v>390</v>
      </c>
      <c r="PP95" s="47">
        <v>390</v>
      </c>
      <c r="PQ95" s="47">
        <v>360</v>
      </c>
      <c r="PR95" s="47">
        <v>360</v>
      </c>
      <c r="PS95" s="44">
        <v>0</v>
      </c>
      <c r="PT95" s="43"/>
      <c r="PU95" s="42">
        <v>0</v>
      </c>
      <c r="PV95" s="47">
        <v>0</v>
      </c>
      <c r="PW95" s="47">
        <v>1010</v>
      </c>
      <c r="PX95" s="47">
        <v>1010</v>
      </c>
      <c r="PY95" s="44">
        <v>0</v>
      </c>
      <c r="PZ95" s="43"/>
      <c r="QA95" s="42">
        <v>370</v>
      </c>
      <c r="QB95" s="47">
        <v>373</v>
      </c>
      <c r="QC95" s="44">
        <v>-3</v>
      </c>
      <c r="QD95" s="43"/>
      <c r="QE95" s="42">
        <v>900</v>
      </c>
      <c r="QF95" s="47">
        <v>900</v>
      </c>
      <c r="QG95" s="44">
        <v>0</v>
      </c>
      <c r="QH95" s="43"/>
      <c r="QI95" s="42">
        <v>0</v>
      </c>
      <c r="QJ95" s="47">
        <v>0</v>
      </c>
      <c r="QK95" s="44">
        <v>0</v>
      </c>
      <c r="QL95" s="43"/>
      <c r="QM95" s="42">
        <v>200</v>
      </c>
      <c r="QN95" s="47">
        <v>200</v>
      </c>
      <c r="QO95" s="47">
        <v>310</v>
      </c>
      <c r="QP95" s="47">
        <v>310</v>
      </c>
      <c r="QQ95" s="44">
        <v>0</v>
      </c>
      <c r="QR95" s="43"/>
      <c r="QS95" s="42">
        <v>0</v>
      </c>
      <c r="QT95" s="47">
        <v>0</v>
      </c>
      <c r="QU95" s="44">
        <v>0</v>
      </c>
      <c r="QV95" s="43"/>
      <c r="QW95" s="42">
        <v>800</v>
      </c>
      <c r="QX95" s="47">
        <v>805</v>
      </c>
      <c r="QY95" s="44">
        <v>-5</v>
      </c>
      <c r="QZ95" s="43"/>
    </row>
    <row r="96" spans="1:468" x14ac:dyDescent="0.25">
      <c r="A96" s="47" t="s">
        <v>380</v>
      </c>
      <c r="B96" s="38">
        <v>0.41</v>
      </c>
      <c r="N96" s="41">
        <v>100</v>
      </c>
      <c r="O96" s="49">
        <v>100</v>
      </c>
      <c r="P96" s="49">
        <v>190</v>
      </c>
      <c r="Q96" s="49">
        <v>190</v>
      </c>
      <c r="R96" s="48">
        <f t="shared" si="13"/>
        <v>0</v>
      </c>
      <c r="S96" s="40"/>
      <c r="T96" s="39"/>
      <c r="U96" s="48"/>
      <c r="V96" s="48">
        <f t="shared" si="14"/>
        <v>0</v>
      </c>
      <c r="W96" s="40"/>
      <c r="X96" s="39"/>
      <c r="Y96" s="48"/>
      <c r="Z96" s="48"/>
      <c r="AA96" s="48"/>
      <c r="AB96" s="48">
        <f t="shared" si="15"/>
        <v>0</v>
      </c>
      <c r="AC96" s="40"/>
      <c r="AD96" s="49">
        <v>60</v>
      </c>
      <c r="AE96">
        <v>60</v>
      </c>
      <c r="AF96">
        <v>120</v>
      </c>
      <c r="AG96">
        <v>120</v>
      </c>
      <c r="AH96" s="44">
        <v>0</v>
      </c>
      <c r="AI96" s="40"/>
      <c r="AN96" s="44">
        <v>0</v>
      </c>
      <c r="AO96" s="40"/>
      <c r="AT96" s="44">
        <v>0</v>
      </c>
      <c r="AU96" s="40"/>
      <c r="AV96" s="41">
        <v>160</v>
      </c>
      <c r="AW96">
        <v>164</v>
      </c>
      <c r="AX96" s="44">
        <v>-4</v>
      </c>
      <c r="AY96" s="40"/>
      <c r="AZ96" s="39"/>
      <c r="BA96">
        <v>41</v>
      </c>
      <c r="BB96" s="46">
        <v>-41</v>
      </c>
      <c r="BC96" s="40">
        <v>16.809999999999999</v>
      </c>
      <c r="BH96" s="44">
        <v>0</v>
      </c>
      <c r="BI96" s="40"/>
      <c r="BJ96">
        <v>120</v>
      </c>
      <c r="BK96">
        <v>121</v>
      </c>
      <c r="BL96" s="44">
        <v>-1</v>
      </c>
      <c r="BM96" s="40"/>
      <c r="BN96" s="39"/>
      <c r="BP96">
        <v>90</v>
      </c>
      <c r="BQ96" s="44">
        <v>97</v>
      </c>
      <c r="BR96" s="44">
        <v>-7</v>
      </c>
      <c r="BS96" s="40"/>
      <c r="BV96" s="44">
        <v>0</v>
      </c>
      <c r="BW96" s="40"/>
      <c r="BX96" s="41">
        <v>50</v>
      </c>
      <c r="BY96">
        <v>50</v>
      </c>
      <c r="BZ96" s="44">
        <v>0</v>
      </c>
      <c r="CA96" s="40"/>
      <c r="CB96" s="41">
        <v>100</v>
      </c>
      <c r="CC96" s="44">
        <v>100</v>
      </c>
      <c r="CH96" s="44">
        <v>0</v>
      </c>
      <c r="CI96" s="40"/>
      <c r="CN96" s="44">
        <v>0</v>
      </c>
      <c r="CO96" s="40"/>
      <c r="CP96" s="39"/>
      <c r="CT96" s="44">
        <v>0</v>
      </c>
      <c r="CU96" s="40"/>
      <c r="CV96" s="42"/>
      <c r="CZ96" s="44">
        <v>0</v>
      </c>
      <c r="DA96" s="40"/>
      <c r="DB96" s="42"/>
      <c r="DF96" s="44">
        <v>0</v>
      </c>
      <c r="DG96" s="40"/>
      <c r="DO96" s="40"/>
      <c r="DP96" s="39"/>
      <c r="DS96" s="40"/>
      <c r="DT96" s="39"/>
      <c r="DY96" s="40"/>
      <c r="DZ96" s="39"/>
      <c r="EC96" s="40"/>
      <c r="EL96" s="40"/>
      <c r="ET96" s="40"/>
      <c r="EU96" s="39"/>
      <c r="EZ96" s="40"/>
      <c r="FA96" s="39"/>
      <c r="FE96" s="40"/>
      <c r="FI96" s="40"/>
      <c r="FJ96" s="39"/>
      <c r="FR96" s="40"/>
      <c r="FX96" s="40"/>
      <c r="FY96" s="39"/>
      <c r="GD96" s="40"/>
      <c r="GJ96" s="40"/>
      <c r="GN96" s="40"/>
      <c r="GO96" s="39"/>
      <c r="GR96" s="40"/>
      <c r="GY96" s="40"/>
      <c r="HE96" s="40"/>
      <c r="HF96" s="39"/>
      <c r="HK96" s="40"/>
      <c r="HL96" s="39"/>
      <c r="HQ96" s="40"/>
      <c r="HW96" s="43"/>
      <c r="IC96" s="43"/>
      <c r="II96" s="43"/>
      <c r="IO96" s="40"/>
      <c r="IS96" s="40"/>
      <c r="IY96" s="43"/>
      <c r="JC96" s="40"/>
      <c r="JI96" s="40"/>
      <c r="JO96" s="43"/>
      <c r="JU96" s="43"/>
      <c r="KA96" s="43"/>
      <c r="KB96" s="41"/>
      <c r="KJ96" s="43"/>
      <c r="KP96" s="43"/>
      <c r="KV96" s="43"/>
      <c r="KW96" s="42"/>
      <c r="KZ96" s="43"/>
      <c r="LA96" s="42"/>
      <c r="LE96" s="44"/>
      <c r="LF96" s="43"/>
      <c r="LG96" s="42"/>
      <c r="LL96" s="43"/>
      <c r="LM96" s="42"/>
      <c r="LO96" s="44"/>
      <c r="LP96" s="43"/>
      <c r="LQ96" s="42"/>
      <c r="LU96" s="44"/>
      <c r="LV96" s="43"/>
      <c r="LW96" s="42"/>
      <c r="MA96" s="44"/>
      <c r="MB96" s="43"/>
      <c r="MC96" s="42"/>
      <c r="MG96" s="44"/>
      <c r="MH96" s="43"/>
      <c r="MI96" s="42"/>
      <c r="MM96" s="44"/>
      <c r="MN96" s="43"/>
      <c r="MO96" s="42"/>
      <c r="MS96" s="44"/>
      <c r="MT96" s="43"/>
      <c r="MU96" s="42"/>
      <c r="MY96" s="44"/>
      <c r="MZ96" s="43"/>
      <c r="NA96" s="42"/>
      <c r="NE96" s="44"/>
      <c r="NF96" s="43"/>
      <c r="NG96" s="42"/>
      <c r="NK96" s="44"/>
      <c r="NL96" s="43"/>
      <c r="NM96" s="42"/>
      <c r="NQ96" s="44"/>
      <c r="NR96" s="43"/>
      <c r="NS96" s="42"/>
      <c r="NW96" s="44"/>
      <c r="NX96" s="43"/>
      <c r="NY96" s="42"/>
      <c r="OC96" s="44"/>
      <c r="OD96" s="43"/>
      <c r="OE96" s="42"/>
      <c r="OI96" s="44"/>
      <c r="OJ96" s="43"/>
      <c r="OK96" s="42"/>
      <c r="OO96" s="44"/>
      <c r="OP96" s="43"/>
      <c r="OQ96" s="42"/>
      <c r="OU96" s="44"/>
      <c r="OV96" s="43"/>
      <c r="OW96" s="42"/>
      <c r="PA96" s="44"/>
      <c r="PB96" s="43"/>
      <c r="PC96" s="42"/>
      <c r="PG96" s="44"/>
      <c r="PH96" s="43"/>
      <c r="PI96" s="42"/>
      <c r="PM96" s="44"/>
      <c r="PN96" s="43"/>
      <c r="PO96" s="42"/>
      <c r="PS96" s="44"/>
      <c r="PT96" s="43"/>
      <c r="PU96" s="42"/>
      <c r="PY96" s="44"/>
      <c r="PZ96" s="43"/>
      <c r="QA96" s="42"/>
      <c r="QC96" s="44"/>
      <c r="QD96" s="43"/>
      <c r="QE96" s="42"/>
      <c r="QG96" s="44"/>
      <c r="QH96" s="43"/>
      <c r="QI96" s="42"/>
      <c r="QK96" s="44"/>
      <c r="QL96" s="43"/>
      <c r="QM96" s="42"/>
      <c r="QQ96" s="44"/>
      <c r="QR96" s="43"/>
      <c r="QS96" s="42"/>
      <c r="QU96" s="44"/>
      <c r="QV96" s="43"/>
      <c r="QW96" s="42"/>
      <c r="QY96" s="44"/>
      <c r="QZ96" s="43"/>
    </row>
    <row r="97" spans="1:468" x14ac:dyDescent="0.25">
      <c r="A97" s="47" t="s">
        <v>381</v>
      </c>
      <c r="B97" s="38">
        <v>0.41</v>
      </c>
      <c r="N97" s="39"/>
      <c r="O97" s="48"/>
      <c r="P97" s="48"/>
      <c r="Q97" s="48"/>
      <c r="R97" s="48">
        <f t="shared" si="13"/>
        <v>0</v>
      </c>
      <c r="S97" s="40"/>
      <c r="T97" s="39"/>
      <c r="U97" s="48"/>
      <c r="V97" s="48">
        <f t="shared" si="14"/>
        <v>0</v>
      </c>
      <c r="W97" s="40"/>
      <c r="X97" s="39"/>
      <c r="Y97" s="48"/>
      <c r="Z97" s="48"/>
      <c r="AA97" s="48"/>
      <c r="AB97" s="48">
        <f t="shared" si="15"/>
        <v>0</v>
      </c>
      <c r="AC97" s="40"/>
      <c r="AD97" s="48"/>
      <c r="AH97" s="44">
        <v>0</v>
      </c>
      <c r="AI97" s="40"/>
      <c r="AN97" s="44">
        <v>0</v>
      </c>
      <c r="AO97" s="40"/>
      <c r="AT97" s="44">
        <v>0</v>
      </c>
      <c r="AU97" s="40"/>
      <c r="AV97" s="39"/>
      <c r="AX97" s="44">
        <v>0</v>
      </c>
      <c r="AY97" s="40"/>
      <c r="AZ97" s="39"/>
      <c r="BB97" s="44">
        <v>0</v>
      </c>
      <c r="BC97" s="40"/>
      <c r="BH97" s="44">
        <v>0</v>
      </c>
      <c r="BI97" s="40"/>
      <c r="BL97" s="44">
        <v>0</v>
      </c>
      <c r="BM97" s="40"/>
      <c r="BN97" s="39"/>
      <c r="BR97" s="44">
        <v>0</v>
      </c>
      <c r="BS97" s="40"/>
      <c r="BV97" s="44">
        <v>0</v>
      </c>
      <c r="BW97" s="40"/>
      <c r="BX97" s="39"/>
      <c r="BZ97" s="44">
        <v>0</v>
      </c>
      <c r="CA97" s="40"/>
      <c r="CB97" s="39"/>
      <c r="CH97" s="44">
        <v>0</v>
      </c>
      <c r="CI97" s="40"/>
      <c r="CN97" s="44">
        <v>0</v>
      </c>
      <c r="CO97" s="40"/>
      <c r="CP97" s="39"/>
      <c r="CT97" s="44">
        <v>0</v>
      </c>
      <c r="CU97" s="40"/>
      <c r="CV97" s="39"/>
      <c r="CZ97" s="44">
        <v>0</v>
      </c>
      <c r="DA97" s="40"/>
      <c r="DB97" s="39"/>
      <c r="DF97" s="44">
        <v>0</v>
      </c>
      <c r="DG97" s="40"/>
      <c r="DN97" s="44">
        <v>0</v>
      </c>
      <c r="DO97" s="40"/>
      <c r="DP97" s="39"/>
      <c r="DR97" s="44">
        <v>0</v>
      </c>
      <c r="DS97" s="40"/>
      <c r="DT97" s="39"/>
      <c r="DX97" s="44">
        <v>0</v>
      </c>
      <c r="DY97" s="40"/>
      <c r="DZ97" s="39"/>
      <c r="EB97" s="44">
        <v>0</v>
      </c>
      <c r="EC97" s="40"/>
      <c r="EK97" s="44">
        <v>0</v>
      </c>
      <c r="EL97" s="40"/>
      <c r="ES97" s="44">
        <v>0</v>
      </c>
      <c r="ET97" s="40"/>
      <c r="EU97" s="39"/>
      <c r="EY97" s="44">
        <v>0</v>
      </c>
      <c r="EZ97" s="40"/>
      <c r="FA97" s="39"/>
      <c r="FD97" s="44">
        <v>0</v>
      </c>
      <c r="FE97" s="40"/>
      <c r="FH97" s="44">
        <v>0</v>
      </c>
      <c r="FI97" s="40"/>
      <c r="FJ97" s="39"/>
      <c r="FQ97" s="44">
        <v>0</v>
      </c>
      <c r="FR97" s="40"/>
      <c r="FW97" s="44">
        <v>0</v>
      </c>
      <c r="FX97" s="40"/>
      <c r="FY97" s="39"/>
      <c r="GC97" s="44">
        <v>0</v>
      </c>
      <c r="GD97" s="40"/>
      <c r="GI97" s="44">
        <v>0</v>
      </c>
      <c r="GJ97" s="40"/>
      <c r="GM97" s="44">
        <v>0</v>
      </c>
      <c r="GN97" s="40"/>
      <c r="GO97" s="39"/>
      <c r="GQ97" s="44">
        <v>0</v>
      </c>
      <c r="GR97" s="40"/>
      <c r="GX97" s="44">
        <v>0</v>
      </c>
      <c r="GY97" s="40"/>
      <c r="HD97" s="44">
        <v>0</v>
      </c>
      <c r="HE97" s="40"/>
      <c r="HF97" s="39"/>
      <c r="HJ97" s="44">
        <v>0</v>
      </c>
      <c r="HK97" s="40"/>
      <c r="HL97" s="39"/>
      <c r="HP97" s="44">
        <v>0</v>
      </c>
      <c r="HQ97" s="40"/>
      <c r="HV97" s="44">
        <v>0</v>
      </c>
      <c r="HW97" s="43"/>
      <c r="IB97" s="44">
        <v>0</v>
      </c>
      <c r="IC97" s="43"/>
      <c r="ID97">
        <v>500</v>
      </c>
      <c r="IE97">
        <v>500</v>
      </c>
      <c r="IF97">
        <v>450</v>
      </c>
      <c r="IG97">
        <v>450</v>
      </c>
      <c r="IH97" s="44">
        <v>0</v>
      </c>
      <c r="II97" s="43"/>
      <c r="IK97">
        <v>200</v>
      </c>
      <c r="IL97">
        <v>170</v>
      </c>
      <c r="IM97">
        <v>170</v>
      </c>
      <c r="IN97" s="46">
        <v>-200</v>
      </c>
      <c r="IO97" s="40">
        <v>82</v>
      </c>
      <c r="IP97">
        <v>350</v>
      </c>
      <c r="IQ97">
        <v>350</v>
      </c>
      <c r="IR97" s="44">
        <v>0</v>
      </c>
      <c r="IS97" s="40"/>
      <c r="IT97">
        <v>300</v>
      </c>
      <c r="IU97">
        <v>300</v>
      </c>
      <c r="IV97">
        <v>320</v>
      </c>
      <c r="IW97">
        <v>319</v>
      </c>
      <c r="IX97" s="44">
        <v>1</v>
      </c>
      <c r="IY97" s="43"/>
      <c r="IZ97">
        <v>170</v>
      </c>
      <c r="JA97" s="47">
        <v>170</v>
      </c>
      <c r="JB97" s="44">
        <v>0</v>
      </c>
      <c r="JC97" s="40"/>
      <c r="JH97" s="44">
        <v>0</v>
      </c>
      <c r="JI97" s="40"/>
      <c r="JJ97">
        <v>350</v>
      </c>
      <c r="JK97">
        <v>350</v>
      </c>
      <c r="JL97">
        <v>370</v>
      </c>
      <c r="JM97">
        <v>370</v>
      </c>
      <c r="JN97" s="44">
        <v>0</v>
      </c>
      <c r="JO97" s="43"/>
      <c r="JT97" s="44">
        <v>0</v>
      </c>
      <c r="JU97" s="43"/>
      <c r="JV97">
        <v>300</v>
      </c>
      <c r="JW97">
        <v>300</v>
      </c>
      <c r="JX97">
        <v>420</v>
      </c>
      <c r="JY97">
        <v>420</v>
      </c>
      <c r="JZ97" s="44">
        <v>0</v>
      </c>
      <c r="KA97" s="43"/>
      <c r="KB97" s="41">
        <v>200</v>
      </c>
      <c r="KC97">
        <v>200</v>
      </c>
      <c r="KE97">
        <v>220</v>
      </c>
      <c r="KF97">
        <v>220</v>
      </c>
      <c r="KG97">
        <v>180</v>
      </c>
      <c r="KH97">
        <v>200</v>
      </c>
      <c r="KI97" s="46">
        <v>-20</v>
      </c>
      <c r="KJ97" s="43">
        <v>8.1999999999999993</v>
      </c>
      <c r="KK97" s="47">
        <v>0</v>
      </c>
      <c r="KL97" s="47">
        <v>0</v>
      </c>
      <c r="KM97" s="47">
        <v>0</v>
      </c>
      <c r="KN97" s="47">
        <v>0</v>
      </c>
      <c r="KO97" s="44">
        <v>0</v>
      </c>
      <c r="KP97" s="43"/>
      <c r="KQ97" s="47">
        <v>350</v>
      </c>
      <c r="KR97" s="47">
        <v>350</v>
      </c>
      <c r="KS97" s="47">
        <v>350</v>
      </c>
      <c r="KT97" s="47">
        <v>350</v>
      </c>
      <c r="KU97" s="44">
        <v>0</v>
      </c>
      <c r="KV97" s="43"/>
      <c r="KW97" s="42">
        <v>30</v>
      </c>
      <c r="KX97" s="47">
        <v>30</v>
      </c>
      <c r="KY97" s="44">
        <v>0</v>
      </c>
      <c r="KZ97" s="43"/>
      <c r="LA97" s="42">
        <v>260</v>
      </c>
      <c r="LB97" s="47">
        <v>260</v>
      </c>
      <c r="LC97" s="47">
        <v>200</v>
      </c>
      <c r="LD97" s="47">
        <v>200</v>
      </c>
      <c r="LE97" s="44">
        <v>0</v>
      </c>
      <c r="LF97" s="43"/>
      <c r="LG97" s="42">
        <v>330</v>
      </c>
      <c r="LH97" s="47">
        <v>330</v>
      </c>
      <c r="LI97" s="47">
        <v>370</v>
      </c>
      <c r="LJ97" s="47">
        <v>370</v>
      </c>
      <c r="LK97" s="44">
        <v>0</v>
      </c>
      <c r="LL97" s="43"/>
      <c r="LM97" s="42">
        <v>50</v>
      </c>
      <c r="LN97" s="47">
        <v>56</v>
      </c>
      <c r="LO97" s="44">
        <v>-6</v>
      </c>
      <c r="LP97" s="43"/>
      <c r="LQ97" s="42">
        <v>0</v>
      </c>
      <c r="LR97" s="47">
        <v>0</v>
      </c>
      <c r="LS97" s="47">
        <v>0</v>
      </c>
      <c r="LT97" s="47">
        <v>0</v>
      </c>
      <c r="LU97" s="44">
        <v>0</v>
      </c>
      <c r="LV97" s="43"/>
      <c r="LW97" s="42">
        <v>0</v>
      </c>
      <c r="LX97" s="47">
        <v>0</v>
      </c>
      <c r="LY97" s="47">
        <v>780</v>
      </c>
      <c r="LZ97" s="47">
        <v>780</v>
      </c>
      <c r="MA97" s="44">
        <v>0</v>
      </c>
      <c r="MB97" s="43"/>
      <c r="MC97" s="42">
        <v>20</v>
      </c>
      <c r="MD97" s="47">
        <v>20</v>
      </c>
      <c r="ME97" s="47">
        <v>20</v>
      </c>
      <c r="MF97" s="47">
        <v>20</v>
      </c>
      <c r="MG97" s="44">
        <v>0</v>
      </c>
      <c r="MH97" s="43"/>
      <c r="MI97" s="42">
        <v>400</v>
      </c>
      <c r="MJ97" s="47">
        <v>400</v>
      </c>
      <c r="MK97" s="47">
        <v>200</v>
      </c>
      <c r="ML97" s="47">
        <v>200</v>
      </c>
      <c r="MM97" s="44">
        <v>0</v>
      </c>
      <c r="MN97" s="43"/>
      <c r="MO97" s="42">
        <v>100</v>
      </c>
      <c r="MP97" s="47">
        <v>100</v>
      </c>
      <c r="MQ97" s="47">
        <v>200</v>
      </c>
      <c r="MR97" s="47">
        <v>200</v>
      </c>
      <c r="MS97" s="44">
        <v>0</v>
      </c>
      <c r="MT97" s="43"/>
      <c r="MU97" s="42">
        <v>100</v>
      </c>
      <c r="MV97" s="47">
        <v>100</v>
      </c>
      <c r="MW97" s="47">
        <v>150</v>
      </c>
      <c r="MX97" s="47">
        <v>150</v>
      </c>
      <c r="MY97" s="44">
        <v>0</v>
      </c>
      <c r="MZ97" s="43"/>
      <c r="NA97" s="42">
        <v>600</v>
      </c>
      <c r="NB97" s="47">
        <v>600</v>
      </c>
      <c r="NC97" s="47">
        <v>650</v>
      </c>
      <c r="ND97" s="47">
        <v>650</v>
      </c>
      <c r="NE97" s="44">
        <v>0</v>
      </c>
      <c r="NF97" s="43"/>
      <c r="NG97" s="42">
        <v>0</v>
      </c>
      <c r="NH97" s="47">
        <v>0</v>
      </c>
      <c r="NI97" s="47">
        <v>350</v>
      </c>
      <c r="NJ97" s="47">
        <v>350</v>
      </c>
      <c r="NK97" s="44">
        <v>0</v>
      </c>
      <c r="NL97" s="43"/>
      <c r="NM97" s="42">
        <v>450</v>
      </c>
      <c r="NN97" s="47">
        <v>450</v>
      </c>
      <c r="NO97" s="47">
        <v>0</v>
      </c>
      <c r="NP97" s="26">
        <v>400</v>
      </c>
      <c r="NQ97" s="46">
        <v>-400</v>
      </c>
      <c r="NR97" s="43">
        <v>164</v>
      </c>
      <c r="NS97" s="42">
        <v>300</v>
      </c>
      <c r="NT97" s="47">
        <v>300</v>
      </c>
      <c r="NU97" s="47">
        <v>500</v>
      </c>
      <c r="NV97" s="47">
        <v>500</v>
      </c>
      <c r="NW97" s="44">
        <v>0</v>
      </c>
      <c r="NX97" s="43"/>
      <c r="NY97" s="42">
        <v>200</v>
      </c>
      <c r="NZ97" s="47">
        <v>205</v>
      </c>
      <c r="OA97" s="47">
        <v>200</v>
      </c>
      <c r="OB97" s="47">
        <v>205</v>
      </c>
      <c r="OC97" s="44">
        <v>-10</v>
      </c>
      <c r="OD97" s="43"/>
      <c r="OE97" s="42">
        <v>570</v>
      </c>
      <c r="OF97" s="47">
        <v>570</v>
      </c>
      <c r="OG97" s="47">
        <v>430</v>
      </c>
      <c r="OH97" s="47">
        <v>430</v>
      </c>
      <c r="OI97" s="44">
        <v>0</v>
      </c>
      <c r="OJ97" s="43"/>
      <c r="OK97" s="42">
        <v>350</v>
      </c>
      <c r="OL97" s="47">
        <v>350</v>
      </c>
      <c r="OM97" s="47">
        <v>300</v>
      </c>
      <c r="ON97" s="47">
        <v>300</v>
      </c>
      <c r="OO97" s="44">
        <v>0</v>
      </c>
      <c r="OP97" s="43"/>
      <c r="OQ97" s="42">
        <v>160</v>
      </c>
      <c r="OR97" s="47">
        <v>160</v>
      </c>
      <c r="OS97" s="47">
        <v>90</v>
      </c>
      <c r="OT97" s="47">
        <v>90</v>
      </c>
      <c r="OU97" s="44">
        <v>0</v>
      </c>
      <c r="OV97" s="43"/>
      <c r="OW97" s="42">
        <v>500</v>
      </c>
      <c r="OX97" s="47">
        <v>500</v>
      </c>
      <c r="OY97" s="47">
        <v>400</v>
      </c>
      <c r="OZ97" s="47">
        <v>400</v>
      </c>
      <c r="PA97" s="44">
        <v>0</v>
      </c>
      <c r="PB97" s="43"/>
      <c r="PC97" s="42">
        <v>0</v>
      </c>
      <c r="PD97" s="47">
        <v>0</v>
      </c>
      <c r="PE97" s="47">
        <v>0</v>
      </c>
      <c r="PF97" s="47">
        <v>0</v>
      </c>
      <c r="PG97" s="44">
        <v>0</v>
      </c>
      <c r="PH97" s="43"/>
      <c r="PI97" s="42">
        <v>150</v>
      </c>
      <c r="PJ97" s="47">
        <v>150</v>
      </c>
      <c r="PK97" s="47">
        <v>100</v>
      </c>
      <c r="PL97" s="47">
        <v>100</v>
      </c>
      <c r="PM97" s="44">
        <v>0</v>
      </c>
      <c r="PN97" s="43"/>
      <c r="PO97" s="42">
        <v>360</v>
      </c>
      <c r="PP97" s="47">
        <v>360</v>
      </c>
      <c r="PQ97" s="47">
        <v>300</v>
      </c>
      <c r="PR97" s="47">
        <v>300</v>
      </c>
      <c r="PS97" s="44">
        <v>0</v>
      </c>
      <c r="PT97" s="43"/>
      <c r="PU97" s="42">
        <v>0</v>
      </c>
      <c r="PV97" s="47">
        <v>0</v>
      </c>
      <c r="PW97" s="47">
        <v>150</v>
      </c>
      <c r="PX97" s="47">
        <v>150</v>
      </c>
      <c r="PY97" s="44">
        <v>0</v>
      </c>
      <c r="PZ97" s="43"/>
      <c r="QA97" s="42">
        <v>490</v>
      </c>
      <c r="QB97" s="47">
        <v>504</v>
      </c>
      <c r="QC97" s="46">
        <v>-14</v>
      </c>
      <c r="QD97" s="43">
        <v>5.7399999999999993</v>
      </c>
      <c r="QE97" s="42">
        <v>150</v>
      </c>
      <c r="QF97" s="47">
        <v>150</v>
      </c>
      <c r="QG97" s="44">
        <v>0</v>
      </c>
      <c r="QH97" s="43"/>
      <c r="QI97" s="42">
        <v>300</v>
      </c>
      <c r="QJ97" s="47">
        <v>300</v>
      </c>
      <c r="QK97" s="44">
        <v>0</v>
      </c>
      <c r="QL97" s="43"/>
      <c r="QM97" s="42">
        <v>100</v>
      </c>
      <c r="QN97" s="47">
        <v>100</v>
      </c>
      <c r="QO97" s="47">
        <v>0</v>
      </c>
      <c r="QP97" s="47">
        <v>0</v>
      </c>
      <c r="QQ97" s="44">
        <v>0</v>
      </c>
      <c r="QR97" s="43"/>
      <c r="QS97" s="42">
        <v>50</v>
      </c>
      <c r="QT97" s="47">
        <v>50</v>
      </c>
      <c r="QU97" s="44">
        <v>0</v>
      </c>
      <c r="QV97" s="43"/>
      <c r="QW97" s="42">
        <v>200</v>
      </c>
      <c r="QX97" s="47">
        <v>200</v>
      </c>
      <c r="QY97" s="44">
        <v>0</v>
      </c>
      <c r="QZ97" s="43"/>
    </row>
    <row r="98" spans="1:468" x14ac:dyDescent="0.25">
      <c r="A98" s="47" t="s">
        <v>382</v>
      </c>
      <c r="B98" s="38">
        <v>0.5</v>
      </c>
      <c r="N98" s="39"/>
      <c r="O98" s="48"/>
      <c r="P98" s="48"/>
      <c r="Q98" s="48"/>
      <c r="R98" s="48">
        <f t="shared" si="13"/>
        <v>0</v>
      </c>
      <c r="S98" s="40"/>
      <c r="T98" s="39"/>
      <c r="U98" s="48"/>
      <c r="V98" s="48">
        <f t="shared" si="14"/>
        <v>0</v>
      </c>
      <c r="W98" s="40"/>
      <c r="X98" s="39"/>
      <c r="Y98" s="48"/>
      <c r="Z98" s="48"/>
      <c r="AA98" s="48"/>
      <c r="AB98" s="48">
        <f t="shared" si="15"/>
        <v>0</v>
      </c>
      <c r="AC98" s="40"/>
      <c r="AD98" s="48"/>
      <c r="AH98" s="44">
        <v>0</v>
      </c>
      <c r="AI98" s="40"/>
      <c r="AN98" s="44">
        <v>0</v>
      </c>
      <c r="AO98" s="40"/>
      <c r="AT98" s="44">
        <v>0</v>
      </c>
      <c r="AU98" s="40"/>
      <c r="AV98" s="39"/>
      <c r="AX98" s="44">
        <v>0</v>
      </c>
      <c r="AY98" s="40"/>
      <c r="AZ98" s="39"/>
      <c r="BB98" s="44">
        <v>0</v>
      </c>
      <c r="BC98" s="40"/>
      <c r="BH98" s="44">
        <v>0</v>
      </c>
      <c r="BI98" s="40"/>
      <c r="BL98" s="44">
        <v>0</v>
      </c>
      <c r="BM98" s="40"/>
      <c r="BN98" s="39"/>
      <c r="BR98" s="44">
        <v>0</v>
      </c>
      <c r="BS98" s="40"/>
      <c r="BV98" s="44">
        <v>0</v>
      </c>
      <c r="BW98" s="40"/>
      <c r="BX98" s="39"/>
      <c r="BZ98" s="44">
        <v>0</v>
      </c>
      <c r="CA98" s="40"/>
      <c r="CB98" s="39"/>
      <c r="CH98" s="44">
        <v>0</v>
      </c>
      <c r="CI98" s="40"/>
      <c r="CN98" s="44">
        <v>0</v>
      </c>
      <c r="CO98" s="40"/>
      <c r="CP98" s="39"/>
      <c r="CT98" s="44">
        <v>0</v>
      </c>
      <c r="CU98" s="40"/>
      <c r="CV98" s="39"/>
      <c r="CZ98" s="44">
        <v>0</v>
      </c>
      <c r="DA98" s="40"/>
      <c r="DB98" s="39"/>
      <c r="DF98" s="44">
        <v>0</v>
      </c>
      <c r="DG98" s="40"/>
      <c r="DN98" s="44">
        <v>0</v>
      </c>
      <c r="DO98" s="40"/>
      <c r="DP98" s="39"/>
      <c r="DR98" s="44">
        <v>0</v>
      </c>
      <c r="DS98" s="40"/>
      <c r="DT98" s="39"/>
      <c r="DX98" s="44">
        <v>0</v>
      </c>
      <c r="DY98" s="40"/>
      <c r="DZ98" s="39"/>
      <c r="EB98" s="44">
        <v>0</v>
      </c>
      <c r="EC98" s="40"/>
      <c r="EK98" s="44">
        <v>0</v>
      </c>
      <c r="EL98" s="40"/>
      <c r="ES98" s="44">
        <v>0</v>
      </c>
      <c r="ET98" s="40"/>
      <c r="EU98" s="39"/>
      <c r="EY98" s="44">
        <v>0</v>
      </c>
      <c r="EZ98" s="40"/>
      <c r="FA98" s="39"/>
      <c r="FD98" s="44">
        <v>0</v>
      </c>
      <c r="FE98" s="40"/>
      <c r="FH98" s="44">
        <v>0</v>
      </c>
      <c r="FI98" s="40"/>
      <c r="FJ98" s="39"/>
      <c r="FQ98" s="44">
        <v>0</v>
      </c>
      <c r="FR98" s="40"/>
      <c r="FW98" s="44">
        <v>0</v>
      </c>
      <c r="FX98" s="40"/>
      <c r="FY98" s="39"/>
      <c r="GC98" s="44">
        <v>0</v>
      </c>
      <c r="GD98" s="40"/>
      <c r="GI98" s="44">
        <v>0</v>
      </c>
      <c r="GJ98" s="40"/>
      <c r="GM98" s="44">
        <v>0</v>
      </c>
      <c r="GN98" s="40"/>
      <c r="GO98" s="39"/>
      <c r="GQ98" s="44">
        <v>0</v>
      </c>
      <c r="GR98" s="40"/>
      <c r="GX98" s="44">
        <v>0</v>
      </c>
      <c r="GY98" s="40"/>
      <c r="HD98" s="44">
        <v>0</v>
      </c>
      <c r="HE98" s="40"/>
      <c r="HF98" s="39"/>
      <c r="HJ98" s="44">
        <v>0</v>
      </c>
      <c r="HK98" s="40"/>
      <c r="HL98" s="39"/>
      <c r="HP98" s="44">
        <v>0</v>
      </c>
      <c r="HQ98" s="40"/>
      <c r="HV98" s="44">
        <v>0</v>
      </c>
      <c r="HW98" s="43"/>
      <c r="IB98" s="44">
        <v>0</v>
      </c>
      <c r="IC98" s="43"/>
      <c r="IH98" s="44">
        <v>0</v>
      </c>
      <c r="II98" s="43"/>
      <c r="IN98" s="44">
        <v>0</v>
      </c>
      <c r="IO98" s="40"/>
      <c r="IR98" s="44">
        <v>0</v>
      </c>
      <c r="IS98" s="40"/>
      <c r="IX98" s="44">
        <v>0</v>
      </c>
      <c r="IY98" s="43"/>
      <c r="JB98" s="44">
        <v>0</v>
      </c>
      <c r="JC98" s="40"/>
      <c r="JH98" s="44">
        <v>0</v>
      </c>
      <c r="JI98" s="40"/>
      <c r="JN98" s="44">
        <v>0</v>
      </c>
      <c r="JO98" s="43"/>
      <c r="JT98" s="44">
        <v>0</v>
      </c>
      <c r="JU98" s="43"/>
      <c r="JZ98" s="44">
        <v>0</v>
      </c>
      <c r="KA98" s="43"/>
      <c r="KB98" s="42"/>
      <c r="KI98" s="44">
        <v>0</v>
      </c>
      <c r="KJ98" s="43"/>
      <c r="KK98" s="47">
        <v>0</v>
      </c>
      <c r="KL98" s="47">
        <v>0</v>
      </c>
      <c r="KM98" s="47">
        <v>0</v>
      </c>
      <c r="KN98" s="47">
        <v>0</v>
      </c>
      <c r="KO98" s="44">
        <v>0</v>
      </c>
      <c r="KP98" s="43"/>
      <c r="KQ98" s="47">
        <v>0</v>
      </c>
      <c r="KR98" s="47">
        <v>0</v>
      </c>
      <c r="KS98" s="47">
        <v>0</v>
      </c>
      <c r="KT98" s="47">
        <v>0</v>
      </c>
      <c r="KU98" s="44">
        <v>0</v>
      </c>
      <c r="KV98" s="43"/>
      <c r="KW98" s="42">
        <v>0</v>
      </c>
      <c r="KX98" s="47">
        <v>0</v>
      </c>
      <c r="KY98" s="44">
        <v>0</v>
      </c>
      <c r="KZ98" s="43"/>
      <c r="LA98" s="42">
        <v>0</v>
      </c>
      <c r="LB98" s="47">
        <v>0</v>
      </c>
      <c r="LC98" s="47">
        <v>0</v>
      </c>
      <c r="LD98" s="47">
        <v>0</v>
      </c>
      <c r="LE98" s="44">
        <v>0</v>
      </c>
      <c r="LF98" s="43"/>
      <c r="LG98" s="42">
        <v>0</v>
      </c>
      <c r="LH98" s="47">
        <v>0</v>
      </c>
      <c r="LI98" s="47">
        <v>0</v>
      </c>
      <c r="LJ98" s="47">
        <v>0</v>
      </c>
      <c r="LK98" s="44">
        <v>0</v>
      </c>
      <c r="LL98" s="43"/>
      <c r="LM98" s="42">
        <v>0</v>
      </c>
      <c r="LN98" s="47">
        <v>0</v>
      </c>
      <c r="LO98" s="44">
        <v>0</v>
      </c>
      <c r="LP98" s="43"/>
      <c r="LQ98" s="42">
        <v>0</v>
      </c>
      <c r="LR98" s="47">
        <v>0</v>
      </c>
      <c r="LS98" s="47">
        <v>0</v>
      </c>
      <c r="LT98" s="47">
        <v>0</v>
      </c>
      <c r="LU98" s="44">
        <v>0</v>
      </c>
      <c r="LV98" s="43"/>
      <c r="LW98" s="42">
        <v>0</v>
      </c>
      <c r="LX98" s="47">
        <v>0</v>
      </c>
      <c r="LY98" s="47">
        <v>0</v>
      </c>
      <c r="LZ98" s="47">
        <v>0</v>
      </c>
      <c r="MA98" s="44">
        <v>0</v>
      </c>
      <c r="MB98" s="43"/>
      <c r="MC98" s="42">
        <v>0</v>
      </c>
      <c r="MD98" s="47">
        <v>0</v>
      </c>
      <c r="ME98" s="47">
        <v>0</v>
      </c>
      <c r="MF98" s="47">
        <v>0</v>
      </c>
      <c r="MG98" s="44">
        <v>0</v>
      </c>
      <c r="MH98" s="43"/>
      <c r="MI98" s="42">
        <v>0</v>
      </c>
      <c r="MJ98" s="47">
        <v>0</v>
      </c>
      <c r="MK98" s="47">
        <v>0</v>
      </c>
      <c r="ML98" s="47">
        <v>0</v>
      </c>
      <c r="MM98" s="44">
        <v>0</v>
      </c>
      <c r="MN98" s="43"/>
      <c r="MO98" s="42">
        <v>0</v>
      </c>
      <c r="MP98" s="47">
        <v>0</v>
      </c>
      <c r="MQ98" s="47">
        <v>0</v>
      </c>
      <c r="MR98" s="47">
        <v>0</v>
      </c>
      <c r="MS98" s="44">
        <v>0</v>
      </c>
      <c r="MT98" s="43"/>
      <c r="MU98" s="42">
        <v>0</v>
      </c>
      <c r="MV98" s="47">
        <v>0</v>
      </c>
      <c r="MW98" s="47">
        <v>0</v>
      </c>
      <c r="MX98" s="47">
        <v>0</v>
      </c>
      <c r="MY98" s="44">
        <v>0</v>
      </c>
      <c r="MZ98" s="43"/>
      <c r="NA98" s="42">
        <v>0</v>
      </c>
      <c r="NB98" s="47">
        <v>0</v>
      </c>
      <c r="NC98" s="47">
        <v>0</v>
      </c>
      <c r="ND98" s="47">
        <v>0</v>
      </c>
      <c r="NE98" s="44">
        <v>0</v>
      </c>
      <c r="NF98" s="43"/>
      <c r="NG98" s="42">
        <v>0</v>
      </c>
      <c r="NH98" s="47">
        <v>0</v>
      </c>
      <c r="NI98" s="47">
        <v>0</v>
      </c>
      <c r="NJ98" s="47">
        <v>0</v>
      </c>
      <c r="NK98" s="44">
        <v>0</v>
      </c>
      <c r="NL98" s="43"/>
      <c r="NM98" s="42">
        <v>0</v>
      </c>
      <c r="NN98" s="47">
        <v>0</v>
      </c>
      <c r="NO98" s="47">
        <v>0</v>
      </c>
      <c r="NP98" s="47">
        <v>0</v>
      </c>
      <c r="NQ98" s="44">
        <v>0</v>
      </c>
      <c r="NR98" s="43"/>
      <c r="NS98" s="42">
        <v>0</v>
      </c>
      <c r="NT98" s="47">
        <v>0</v>
      </c>
      <c r="NU98" s="47">
        <v>0</v>
      </c>
      <c r="NV98" s="47">
        <v>0</v>
      </c>
      <c r="NW98" s="44">
        <v>0</v>
      </c>
      <c r="NX98" s="43"/>
      <c r="NY98" s="42">
        <v>0</v>
      </c>
      <c r="NZ98" s="47">
        <v>0</v>
      </c>
      <c r="OA98" s="47">
        <v>0</v>
      </c>
      <c r="OB98" s="47">
        <v>0</v>
      </c>
      <c r="OC98" s="44">
        <v>0</v>
      </c>
      <c r="OD98" s="43"/>
      <c r="OE98" s="42">
        <v>0</v>
      </c>
      <c r="OF98" s="47">
        <v>0</v>
      </c>
      <c r="OG98" s="47">
        <v>0</v>
      </c>
      <c r="OH98" s="47">
        <v>0</v>
      </c>
      <c r="OI98" s="44">
        <v>0</v>
      </c>
      <c r="OJ98" s="43"/>
      <c r="OK98" s="42">
        <v>0</v>
      </c>
      <c r="OL98" s="47">
        <v>0</v>
      </c>
      <c r="OM98" s="47">
        <v>0</v>
      </c>
      <c r="ON98" s="12">
        <v>40</v>
      </c>
      <c r="OO98" s="44">
        <v>0</v>
      </c>
      <c r="OP98" s="43"/>
      <c r="OQ98" s="42">
        <v>0</v>
      </c>
      <c r="OR98" s="47">
        <v>0</v>
      </c>
      <c r="OS98" s="47">
        <v>0</v>
      </c>
      <c r="OT98" s="12">
        <v>20</v>
      </c>
      <c r="OU98" s="44">
        <v>-4</v>
      </c>
      <c r="OV98" s="43"/>
      <c r="OW98" s="42">
        <v>0</v>
      </c>
      <c r="OX98" s="47">
        <v>0</v>
      </c>
      <c r="OY98" s="47">
        <v>0</v>
      </c>
      <c r="OZ98" s="26">
        <v>67</v>
      </c>
      <c r="PA98" s="46">
        <v>-67</v>
      </c>
      <c r="PB98" s="43">
        <v>33.5</v>
      </c>
      <c r="PC98" s="42">
        <v>0</v>
      </c>
      <c r="PD98" s="47">
        <v>0</v>
      </c>
      <c r="PE98" s="47">
        <v>32</v>
      </c>
      <c r="PF98" s="47">
        <v>30</v>
      </c>
      <c r="PG98" s="44">
        <v>2</v>
      </c>
      <c r="PH98" s="43"/>
      <c r="PI98" s="42">
        <v>0</v>
      </c>
      <c r="PJ98" s="47">
        <v>0</v>
      </c>
      <c r="PK98" s="47">
        <v>24</v>
      </c>
      <c r="PL98" s="47">
        <v>25</v>
      </c>
      <c r="PM98" s="44">
        <v>-1</v>
      </c>
      <c r="PN98" s="43"/>
      <c r="PO98" s="42">
        <v>0</v>
      </c>
      <c r="PP98" s="47">
        <v>0</v>
      </c>
      <c r="PQ98" s="47">
        <v>32</v>
      </c>
      <c r="PR98" s="47">
        <v>35</v>
      </c>
      <c r="PS98" s="44">
        <v>-3</v>
      </c>
      <c r="PT98" s="43"/>
      <c r="PU98" s="42">
        <v>0</v>
      </c>
      <c r="PV98" s="47">
        <v>0</v>
      </c>
      <c r="PW98" s="47">
        <v>40</v>
      </c>
      <c r="PX98" s="47">
        <v>40</v>
      </c>
      <c r="PY98" s="44">
        <v>0</v>
      </c>
      <c r="PZ98" s="43"/>
      <c r="QA98" s="42">
        <v>48</v>
      </c>
      <c r="QB98" s="47">
        <v>50</v>
      </c>
      <c r="QC98" s="44">
        <v>-2</v>
      </c>
      <c r="QD98" s="43"/>
      <c r="QE98" s="42">
        <v>0</v>
      </c>
      <c r="QF98" s="47">
        <v>0</v>
      </c>
      <c r="QG98" s="44">
        <v>0</v>
      </c>
      <c r="QH98" s="43"/>
      <c r="QI98" s="42">
        <v>0</v>
      </c>
      <c r="QJ98" s="47">
        <v>0</v>
      </c>
      <c r="QK98" s="44">
        <v>0</v>
      </c>
      <c r="QL98" s="43"/>
      <c r="QM98" s="42">
        <v>0</v>
      </c>
      <c r="QN98" s="47">
        <v>0</v>
      </c>
      <c r="QO98" s="47">
        <v>0</v>
      </c>
      <c r="QP98" s="47">
        <v>0</v>
      </c>
      <c r="QQ98" s="44">
        <v>0</v>
      </c>
      <c r="QR98" s="43"/>
      <c r="QS98" s="42">
        <v>0</v>
      </c>
      <c r="QT98" s="47">
        <v>0</v>
      </c>
      <c r="QU98" s="44">
        <v>0</v>
      </c>
      <c r="QV98" s="43"/>
      <c r="QW98" s="42">
        <v>0</v>
      </c>
      <c r="QX98" s="47">
        <v>0</v>
      </c>
      <c r="QY98" s="44">
        <v>0</v>
      </c>
      <c r="QZ98" s="43"/>
    </row>
    <row r="99" spans="1:468" x14ac:dyDescent="0.25">
      <c r="A99" s="47" t="s">
        <v>383</v>
      </c>
      <c r="B99" s="38">
        <v>0.41</v>
      </c>
      <c r="N99" s="39"/>
      <c r="O99" s="48"/>
      <c r="P99" s="48"/>
      <c r="Q99" s="48"/>
      <c r="R99" s="48">
        <f t="shared" si="13"/>
        <v>0</v>
      </c>
      <c r="S99" s="40"/>
      <c r="T99" s="39"/>
      <c r="U99" s="48"/>
      <c r="V99" s="48">
        <f t="shared" si="14"/>
        <v>0</v>
      </c>
      <c r="W99" s="40"/>
      <c r="X99" s="39"/>
      <c r="Y99" s="48"/>
      <c r="Z99" s="48"/>
      <c r="AA99" s="48"/>
      <c r="AB99" s="48">
        <f t="shared" si="15"/>
        <v>0</v>
      </c>
      <c r="AC99" s="40"/>
      <c r="AD99" s="48"/>
      <c r="AH99" s="44">
        <v>0</v>
      </c>
      <c r="AI99" s="40"/>
      <c r="AN99" s="44">
        <v>0</v>
      </c>
      <c r="AO99" s="40"/>
      <c r="AT99" s="44">
        <v>0</v>
      </c>
      <c r="AU99" s="40"/>
      <c r="AV99" s="39"/>
      <c r="AX99" s="44">
        <v>0</v>
      </c>
      <c r="AY99" s="40"/>
      <c r="AZ99" s="39"/>
      <c r="BB99" s="44">
        <v>0</v>
      </c>
      <c r="BC99" s="40"/>
      <c r="BH99" s="44">
        <v>0</v>
      </c>
      <c r="BI99" s="40"/>
      <c r="BL99" s="44">
        <v>0</v>
      </c>
      <c r="BM99" s="40"/>
      <c r="BN99" s="39"/>
      <c r="BR99" s="44">
        <v>0</v>
      </c>
      <c r="BS99" s="40"/>
      <c r="BV99" s="44">
        <v>0</v>
      </c>
      <c r="BW99" s="40"/>
      <c r="BX99" s="39"/>
      <c r="BZ99" s="44">
        <v>0</v>
      </c>
      <c r="CA99" s="40"/>
      <c r="CB99" s="39"/>
      <c r="CH99" s="44">
        <v>0</v>
      </c>
      <c r="CI99" s="40"/>
      <c r="CN99" s="44">
        <v>0</v>
      </c>
      <c r="CO99" s="40"/>
      <c r="CP99" s="39"/>
      <c r="CT99" s="44">
        <v>0</v>
      </c>
      <c r="CU99" s="40"/>
      <c r="CV99" s="39"/>
      <c r="CZ99" s="44">
        <v>0</v>
      </c>
      <c r="DA99" s="40"/>
      <c r="DB99" s="39"/>
      <c r="DF99" s="44">
        <v>0</v>
      </c>
      <c r="DG99" s="40"/>
      <c r="DN99" s="44">
        <v>0</v>
      </c>
      <c r="DO99" s="40"/>
      <c r="DP99" s="39"/>
      <c r="DR99" s="44">
        <v>0</v>
      </c>
      <c r="DS99" s="40"/>
      <c r="DT99" s="39"/>
      <c r="DX99" s="44">
        <v>0</v>
      </c>
      <c r="DY99" s="40"/>
      <c r="DZ99" s="39"/>
      <c r="EB99" s="44">
        <v>0</v>
      </c>
      <c r="EC99" s="40"/>
      <c r="EK99" s="44">
        <v>0</v>
      </c>
      <c r="EL99" s="40"/>
      <c r="ES99" s="44">
        <v>0</v>
      </c>
      <c r="ET99" s="40"/>
      <c r="EU99" s="39"/>
      <c r="EY99" s="44">
        <v>0</v>
      </c>
      <c r="EZ99" s="40"/>
      <c r="FA99" s="39"/>
      <c r="FD99" s="44">
        <v>0</v>
      </c>
      <c r="FE99" s="40"/>
      <c r="FH99" s="44">
        <v>0</v>
      </c>
      <c r="FI99" s="40"/>
      <c r="FJ99" s="39"/>
      <c r="FQ99" s="44">
        <v>0</v>
      </c>
      <c r="FR99" s="40"/>
      <c r="FW99" s="44">
        <v>0</v>
      </c>
      <c r="FX99" s="40"/>
      <c r="FY99" s="39"/>
      <c r="GC99" s="44">
        <v>0</v>
      </c>
      <c r="GD99" s="40"/>
      <c r="GI99" s="44">
        <v>0</v>
      </c>
      <c r="GJ99" s="40"/>
      <c r="GM99" s="44">
        <v>0</v>
      </c>
      <c r="GN99" s="40"/>
      <c r="GO99" s="39"/>
      <c r="GQ99" s="44">
        <v>0</v>
      </c>
      <c r="GR99" s="40"/>
      <c r="GX99" s="44">
        <v>0</v>
      </c>
      <c r="GY99" s="40"/>
      <c r="HD99" s="44">
        <v>0</v>
      </c>
      <c r="HE99" s="40"/>
      <c r="HF99" s="39"/>
      <c r="HJ99" s="44">
        <v>0</v>
      </c>
      <c r="HK99" s="40"/>
      <c r="HL99" s="39"/>
      <c r="HP99" s="44">
        <v>0</v>
      </c>
      <c r="HQ99" s="40"/>
      <c r="HV99" s="44">
        <v>0</v>
      </c>
      <c r="HW99" s="43"/>
      <c r="IB99" s="44">
        <v>0</v>
      </c>
      <c r="IC99" s="43"/>
      <c r="IH99" s="44">
        <v>0</v>
      </c>
      <c r="II99" s="43"/>
      <c r="IN99" s="44">
        <v>0</v>
      </c>
      <c r="IO99" s="40"/>
      <c r="IR99" s="44">
        <v>0</v>
      </c>
      <c r="IS99" s="40"/>
      <c r="IX99" s="44">
        <v>0</v>
      </c>
      <c r="IY99" s="43"/>
      <c r="JB99" s="44">
        <v>0</v>
      </c>
      <c r="JC99" s="40"/>
      <c r="JH99" s="44">
        <v>0</v>
      </c>
      <c r="JI99" s="40"/>
      <c r="JN99" s="44">
        <v>0</v>
      </c>
      <c r="JO99" s="43"/>
      <c r="JT99" s="44">
        <v>0</v>
      </c>
      <c r="JU99" s="43"/>
      <c r="JZ99" s="44">
        <v>0</v>
      </c>
      <c r="KA99" s="43"/>
      <c r="KB99" s="42"/>
      <c r="KI99" s="44">
        <v>0</v>
      </c>
      <c r="KJ99" s="43"/>
      <c r="KK99" s="47">
        <v>0</v>
      </c>
      <c r="KL99" s="47">
        <v>0</v>
      </c>
      <c r="KM99" s="47">
        <v>0</v>
      </c>
      <c r="KN99" s="47">
        <v>0</v>
      </c>
      <c r="KO99" s="44">
        <v>0</v>
      </c>
      <c r="KP99" s="43"/>
      <c r="KQ99" s="47">
        <v>0</v>
      </c>
      <c r="KR99" s="47">
        <v>0</v>
      </c>
      <c r="KS99" s="47">
        <v>0</v>
      </c>
      <c r="KT99" s="47">
        <v>0</v>
      </c>
      <c r="KU99" s="44">
        <v>0</v>
      </c>
      <c r="KV99" s="43"/>
      <c r="KW99" s="42">
        <v>0</v>
      </c>
      <c r="KX99" s="47">
        <v>0</v>
      </c>
      <c r="KY99" s="44">
        <v>0</v>
      </c>
      <c r="KZ99" s="43"/>
      <c r="LA99" s="42">
        <v>0</v>
      </c>
      <c r="LB99" s="47">
        <v>0</v>
      </c>
      <c r="LC99" s="47">
        <v>0</v>
      </c>
      <c r="LD99" s="47">
        <v>0</v>
      </c>
      <c r="LE99" s="44">
        <v>0</v>
      </c>
      <c r="LF99" s="43"/>
      <c r="LG99" s="42">
        <v>0</v>
      </c>
      <c r="LH99" s="47">
        <v>0</v>
      </c>
      <c r="LI99" s="47">
        <v>0</v>
      </c>
      <c r="LJ99" s="47">
        <v>0</v>
      </c>
      <c r="LK99" s="44">
        <v>0</v>
      </c>
      <c r="LL99" s="43"/>
      <c r="LM99" s="42">
        <v>0</v>
      </c>
      <c r="LN99" s="47">
        <v>0</v>
      </c>
      <c r="LO99" s="44">
        <v>0</v>
      </c>
      <c r="LP99" s="43"/>
      <c r="LQ99" s="42">
        <v>0</v>
      </c>
      <c r="LR99" s="47">
        <v>0</v>
      </c>
      <c r="LS99" s="47">
        <v>0</v>
      </c>
      <c r="LT99" s="47">
        <v>0</v>
      </c>
      <c r="LU99" s="44">
        <v>0</v>
      </c>
      <c r="LV99" s="43"/>
      <c r="LW99" s="42">
        <v>0</v>
      </c>
      <c r="LX99" s="47">
        <v>0</v>
      </c>
      <c r="LY99" s="47">
        <v>0</v>
      </c>
      <c r="LZ99" s="47">
        <v>0</v>
      </c>
      <c r="MA99" s="44">
        <v>0</v>
      </c>
      <c r="MB99" s="43"/>
      <c r="MC99" s="42">
        <v>0</v>
      </c>
      <c r="MD99" s="47">
        <v>0</v>
      </c>
      <c r="ME99" s="47">
        <v>0</v>
      </c>
      <c r="MF99" s="47">
        <v>0</v>
      </c>
      <c r="MG99" s="44">
        <v>0</v>
      </c>
      <c r="MH99" s="43"/>
      <c r="MI99" s="42">
        <v>0</v>
      </c>
      <c r="MJ99" s="47">
        <v>0</v>
      </c>
      <c r="MK99" s="47">
        <v>0</v>
      </c>
      <c r="ML99" s="47">
        <v>0</v>
      </c>
      <c r="MM99" s="44">
        <v>0</v>
      </c>
      <c r="MN99" s="43"/>
      <c r="MO99" s="42">
        <v>0</v>
      </c>
      <c r="MP99" s="47">
        <v>0</v>
      </c>
      <c r="MQ99" s="47">
        <v>0</v>
      </c>
      <c r="MR99" s="47">
        <v>0</v>
      </c>
      <c r="MS99" s="44">
        <v>0</v>
      </c>
      <c r="MT99" s="43"/>
      <c r="MU99" s="42">
        <v>0</v>
      </c>
      <c r="MV99" s="47">
        <v>0</v>
      </c>
      <c r="MW99" s="47">
        <v>0</v>
      </c>
      <c r="MX99" s="47">
        <v>0</v>
      </c>
      <c r="MY99" s="44">
        <v>0</v>
      </c>
      <c r="MZ99" s="43"/>
      <c r="NA99" s="42">
        <v>0</v>
      </c>
      <c r="NB99" s="47">
        <v>0</v>
      </c>
      <c r="NC99" s="47">
        <v>0</v>
      </c>
      <c r="ND99" s="47">
        <v>0</v>
      </c>
      <c r="NE99" s="44">
        <v>0</v>
      </c>
      <c r="NF99" s="43"/>
      <c r="NG99" s="42">
        <v>0</v>
      </c>
      <c r="NH99" s="47">
        <v>0</v>
      </c>
      <c r="NI99" s="47">
        <v>0</v>
      </c>
      <c r="NJ99" s="47">
        <v>0</v>
      </c>
      <c r="NK99" s="44">
        <v>0</v>
      </c>
      <c r="NL99" s="43"/>
      <c r="NM99" s="42">
        <v>0</v>
      </c>
      <c r="NN99" s="47">
        <v>0</v>
      </c>
      <c r="NO99" s="47">
        <v>0</v>
      </c>
      <c r="NP99" s="47">
        <v>0</v>
      </c>
      <c r="NQ99" s="44">
        <v>0</v>
      </c>
      <c r="NR99" s="43"/>
      <c r="NS99" s="42">
        <v>0</v>
      </c>
      <c r="NT99" s="47">
        <v>0</v>
      </c>
      <c r="NU99" s="47">
        <v>0</v>
      </c>
      <c r="NV99" s="47">
        <v>0</v>
      </c>
      <c r="NW99" s="44">
        <v>0</v>
      </c>
      <c r="NX99" s="43"/>
      <c r="NY99" s="42">
        <v>0</v>
      </c>
      <c r="NZ99" s="47">
        <v>0</v>
      </c>
      <c r="OA99" s="47">
        <v>0</v>
      </c>
      <c r="OB99" s="47">
        <v>0</v>
      </c>
      <c r="OC99" s="44">
        <v>0</v>
      </c>
      <c r="OD99" s="43"/>
      <c r="OE99" s="42">
        <v>0</v>
      </c>
      <c r="OF99" s="47">
        <v>0</v>
      </c>
      <c r="OG99" s="47">
        <v>0</v>
      </c>
      <c r="OH99" s="47">
        <v>0</v>
      </c>
      <c r="OI99" s="44">
        <v>0</v>
      </c>
      <c r="OJ99" s="43"/>
      <c r="OK99" s="42">
        <v>0</v>
      </c>
      <c r="OL99" s="47">
        <v>0</v>
      </c>
      <c r="OM99" s="47">
        <v>0</v>
      </c>
      <c r="ON99" s="47">
        <v>0</v>
      </c>
      <c r="OO99" s="44">
        <v>0</v>
      </c>
      <c r="OP99" s="43"/>
      <c r="OQ99" s="42">
        <v>0</v>
      </c>
      <c r="OR99" s="47">
        <v>0</v>
      </c>
      <c r="OS99" s="47">
        <v>0</v>
      </c>
      <c r="OT99" s="47">
        <v>0</v>
      </c>
      <c r="OU99" s="44">
        <v>0</v>
      </c>
      <c r="OV99" s="43"/>
      <c r="OW99" s="42">
        <v>0</v>
      </c>
      <c r="OX99" s="47">
        <v>0</v>
      </c>
      <c r="OY99" s="47">
        <v>0</v>
      </c>
      <c r="OZ99" s="47">
        <v>0</v>
      </c>
      <c r="PA99" s="44">
        <v>0</v>
      </c>
      <c r="PB99" s="43"/>
      <c r="PC99" s="42">
        <v>0</v>
      </c>
      <c r="PD99" s="47">
        <v>0</v>
      </c>
      <c r="PE99" s="47">
        <v>0</v>
      </c>
      <c r="PF99" s="47">
        <v>0</v>
      </c>
      <c r="PG99" s="44">
        <v>0</v>
      </c>
      <c r="PH99" s="43"/>
      <c r="PI99" s="42">
        <v>0</v>
      </c>
      <c r="PJ99" s="47">
        <v>0</v>
      </c>
      <c r="PK99" s="47">
        <v>0</v>
      </c>
      <c r="PL99" s="47">
        <v>0</v>
      </c>
      <c r="PM99" s="44">
        <v>0</v>
      </c>
      <c r="PN99" s="43"/>
      <c r="PO99" s="42">
        <v>0</v>
      </c>
      <c r="PP99" s="47">
        <v>0</v>
      </c>
      <c r="PQ99" s="47">
        <v>0</v>
      </c>
      <c r="PR99" s="47">
        <v>0</v>
      </c>
      <c r="PS99" s="44">
        <v>0</v>
      </c>
      <c r="PT99" s="43"/>
      <c r="PU99" s="42">
        <v>0</v>
      </c>
      <c r="PV99" s="47">
        <v>0</v>
      </c>
      <c r="PW99" s="47">
        <v>0</v>
      </c>
      <c r="PX99" s="47">
        <v>0</v>
      </c>
      <c r="PY99" s="44">
        <v>0</v>
      </c>
      <c r="PZ99" s="43"/>
      <c r="QA99" s="42">
        <v>0</v>
      </c>
      <c r="QB99" s="47">
        <v>0</v>
      </c>
      <c r="QC99" s="44">
        <v>0</v>
      </c>
      <c r="QD99" s="43"/>
      <c r="QE99" s="42">
        <v>0</v>
      </c>
      <c r="QF99" s="47">
        <v>0</v>
      </c>
      <c r="QG99" s="44">
        <v>0</v>
      </c>
      <c r="QH99" s="43"/>
      <c r="QI99" s="42">
        <v>0</v>
      </c>
      <c r="QJ99" s="47">
        <v>0</v>
      </c>
      <c r="QK99" s="44">
        <v>0</v>
      </c>
      <c r="QL99" s="43"/>
      <c r="QM99" s="42">
        <v>230</v>
      </c>
      <c r="QN99" s="47">
        <v>233</v>
      </c>
      <c r="QO99" s="47">
        <v>0</v>
      </c>
      <c r="QP99" s="47">
        <v>0</v>
      </c>
      <c r="QQ99" s="44">
        <v>-3</v>
      </c>
      <c r="QR99" s="43"/>
      <c r="QS99" s="42">
        <v>0</v>
      </c>
      <c r="QT99" s="47">
        <v>0</v>
      </c>
      <c r="QU99" s="44">
        <v>0</v>
      </c>
      <c r="QV99" s="43"/>
      <c r="QW99" s="42">
        <v>160</v>
      </c>
      <c r="QX99" s="47">
        <v>164</v>
      </c>
      <c r="QY99" s="44">
        <v>-4</v>
      </c>
      <c r="QZ99" s="43"/>
    </row>
    <row r="100" spans="1:468" x14ac:dyDescent="0.25">
      <c r="A100" s="47" t="s">
        <v>384</v>
      </c>
      <c r="B100" s="38">
        <v>0.4</v>
      </c>
      <c r="N100" s="39"/>
      <c r="O100" s="48"/>
      <c r="P100" s="48"/>
      <c r="Q100" s="48"/>
      <c r="R100" s="48">
        <f t="shared" si="13"/>
        <v>0</v>
      </c>
      <c r="S100" s="40"/>
      <c r="T100" s="39"/>
      <c r="U100" s="48"/>
      <c r="V100" s="48">
        <f t="shared" si="14"/>
        <v>0</v>
      </c>
      <c r="W100" s="40"/>
      <c r="X100" s="39"/>
      <c r="Y100" s="48"/>
      <c r="Z100" s="48"/>
      <c r="AA100" s="48"/>
      <c r="AB100" s="48">
        <f t="shared" si="15"/>
        <v>0</v>
      </c>
      <c r="AC100" s="40"/>
      <c r="AD100" s="48"/>
      <c r="AH100" s="44">
        <v>0</v>
      </c>
      <c r="AI100" s="40"/>
      <c r="AN100" s="44">
        <v>0</v>
      </c>
      <c r="AO100" s="40"/>
      <c r="AT100" s="44">
        <v>0</v>
      </c>
      <c r="AU100" s="40"/>
      <c r="AV100" s="39"/>
      <c r="AX100" s="44">
        <v>0</v>
      </c>
      <c r="AY100" s="40"/>
      <c r="AZ100" s="39"/>
      <c r="BB100" s="44">
        <v>0</v>
      </c>
      <c r="BC100" s="40"/>
      <c r="BH100" s="44">
        <v>0</v>
      </c>
      <c r="BI100" s="40"/>
      <c r="BL100" s="44">
        <v>0</v>
      </c>
      <c r="BM100" s="40"/>
      <c r="BN100" s="39"/>
      <c r="BR100" s="44">
        <v>0</v>
      </c>
      <c r="BS100" s="40"/>
      <c r="BV100" s="44">
        <v>0</v>
      </c>
      <c r="BW100" s="40"/>
      <c r="BX100" s="39"/>
      <c r="BZ100" s="44">
        <v>0</v>
      </c>
      <c r="CA100" s="40"/>
      <c r="CB100" s="39"/>
      <c r="CH100" s="44">
        <v>0</v>
      </c>
      <c r="CI100" s="40"/>
      <c r="CN100" s="44">
        <v>0</v>
      </c>
      <c r="CO100" s="40"/>
      <c r="CP100" s="39"/>
      <c r="CT100" s="44">
        <v>0</v>
      </c>
      <c r="CU100" s="40"/>
      <c r="CV100" s="39"/>
      <c r="CZ100" s="44">
        <v>0</v>
      </c>
      <c r="DA100" s="40"/>
      <c r="DB100" s="39"/>
      <c r="DF100" s="44">
        <v>0</v>
      </c>
      <c r="DG100" s="40"/>
      <c r="DN100" s="44">
        <v>0</v>
      </c>
      <c r="DO100" s="40"/>
      <c r="DP100" s="39"/>
      <c r="DR100" s="44">
        <v>0</v>
      </c>
      <c r="DS100" s="40"/>
      <c r="DT100" s="39"/>
      <c r="DX100" s="44">
        <v>0</v>
      </c>
      <c r="DY100" s="40"/>
      <c r="DZ100" s="39"/>
      <c r="EB100" s="44">
        <v>0</v>
      </c>
      <c r="EC100" s="40"/>
      <c r="EK100" s="44">
        <v>0</v>
      </c>
      <c r="EL100" s="40"/>
      <c r="ES100" s="44">
        <v>0</v>
      </c>
      <c r="ET100" s="40"/>
      <c r="EU100" s="39"/>
      <c r="EY100" s="44">
        <v>0</v>
      </c>
      <c r="EZ100" s="40"/>
      <c r="FA100" s="39"/>
      <c r="FD100" s="44">
        <v>0</v>
      </c>
      <c r="FE100" s="40"/>
      <c r="FH100" s="44">
        <v>0</v>
      </c>
      <c r="FI100" s="40"/>
      <c r="FJ100" s="39"/>
      <c r="FQ100" s="44">
        <v>0</v>
      </c>
      <c r="FR100" s="40"/>
      <c r="FW100" s="44">
        <v>0</v>
      </c>
      <c r="FX100" s="40"/>
      <c r="FY100" s="39"/>
      <c r="GC100" s="44">
        <v>0</v>
      </c>
      <c r="GD100" s="40"/>
      <c r="GI100" s="44">
        <v>0</v>
      </c>
      <c r="GJ100" s="40"/>
      <c r="GM100" s="44">
        <v>0</v>
      </c>
      <c r="GN100" s="40"/>
      <c r="GO100" s="39"/>
      <c r="GQ100" s="44">
        <v>0</v>
      </c>
      <c r="GR100" s="40"/>
      <c r="GX100" s="44">
        <v>0</v>
      </c>
      <c r="GY100" s="40"/>
      <c r="HD100" s="44">
        <v>0</v>
      </c>
      <c r="HE100" s="40"/>
      <c r="HF100" s="39"/>
      <c r="HJ100" s="44">
        <v>0</v>
      </c>
      <c r="HK100" s="40"/>
      <c r="HL100" s="39"/>
      <c r="HP100" s="44">
        <v>0</v>
      </c>
      <c r="HQ100" s="40"/>
      <c r="HV100" s="44">
        <v>0</v>
      </c>
      <c r="HW100" s="43"/>
      <c r="IB100" s="44">
        <v>0</v>
      </c>
      <c r="IC100" s="43"/>
      <c r="IH100" s="44">
        <v>0</v>
      </c>
      <c r="II100" s="43"/>
      <c r="IN100" s="44">
        <v>0</v>
      </c>
      <c r="IO100" s="40"/>
      <c r="IR100" s="44">
        <v>0</v>
      </c>
      <c r="IS100" s="40"/>
      <c r="IX100" s="44">
        <v>0</v>
      </c>
      <c r="IY100" s="43"/>
      <c r="JB100" s="44">
        <v>0</v>
      </c>
      <c r="JC100" s="40"/>
      <c r="JH100" s="44">
        <v>0</v>
      </c>
      <c r="JI100" s="40"/>
      <c r="JN100" s="44">
        <v>0</v>
      </c>
      <c r="JO100" s="43"/>
      <c r="JT100" s="44">
        <v>0</v>
      </c>
      <c r="JU100" s="43"/>
      <c r="JZ100" s="44">
        <v>0</v>
      </c>
      <c r="KA100" s="43"/>
      <c r="KB100" s="42"/>
      <c r="KI100" s="44">
        <v>0</v>
      </c>
      <c r="KJ100" s="43"/>
      <c r="KK100" s="47">
        <v>0</v>
      </c>
      <c r="KL100" s="47">
        <v>0</v>
      </c>
      <c r="KM100" s="47">
        <v>0</v>
      </c>
      <c r="KN100" s="47">
        <v>0</v>
      </c>
      <c r="KO100" s="44">
        <v>0</v>
      </c>
      <c r="KP100" s="43"/>
      <c r="KQ100" s="47">
        <v>0</v>
      </c>
      <c r="KR100" s="47">
        <v>0</v>
      </c>
      <c r="KS100" s="47">
        <v>0</v>
      </c>
      <c r="KT100" s="47">
        <v>0</v>
      </c>
      <c r="KU100" s="44">
        <v>0</v>
      </c>
      <c r="KV100" s="43"/>
      <c r="KW100" s="42">
        <v>0</v>
      </c>
      <c r="KX100" s="47">
        <v>0</v>
      </c>
      <c r="KY100" s="44">
        <v>0</v>
      </c>
      <c r="KZ100" s="43"/>
      <c r="LA100" s="42">
        <v>0</v>
      </c>
      <c r="LB100" s="47">
        <v>0</v>
      </c>
      <c r="LC100" s="47">
        <v>0</v>
      </c>
      <c r="LD100" s="47">
        <v>0</v>
      </c>
      <c r="LE100" s="44">
        <v>0</v>
      </c>
      <c r="LF100" s="43"/>
      <c r="LG100" s="42">
        <v>0</v>
      </c>
      <c r="LH100" s="47">
        <v>0</v>
      </c>
      <c r="LI100" s="47">
        <v>0</v>
      </c>
      <c r="LJ100" s="47">
        <v>0</v>
      </c>
      <c r="LK100" s="44">
        <v>0</v>
      </c>
      <c r="LL100" s="43"/>
      <c r="LM100" s="42">
        <v>0</v>
      </c>
      <c r="LN100" s="47">
        <v>0</v>
      </c>
      <c r="LO100" s="44">
        <v>0</v>
      </c>
      <c r="LP100" s="43"/>
      <c r="LQ100" s="42">
        <v>0</v>
      </c>
      <c r="LR100" s="47">
        <v>0</v>
      </c>
      <c r="LS100" s="47">
        <v>0</v>
      </c>
      <c r="LT100" s="47">
        <v>0</v>
      </c>
      <c r="LU100" s="44">
        <v>0</v>
      </c>
      <c r="LV100" s="43"/>
      <c r="LW100" s="42">
        <v>0</v>
      </c>
      <c r="LX100" s="47">
        <v>0</v>
      </c>
      <c r="LY100" s="47">
        <v>0</v>
      </c>
      <c r="LZ100" s="47">
        <v>0</v>
      </c>
      <c r="MA100" s="44">
        <v>0</v>
      </c>
      <c r="MB100" s="43"/>
      <c r="MC100" s="42">
        <v>0</v>
      </c>
      <c r="MD100" s="47">
        <v>0</v>
      </c>
      <c r="ME100" s="47">
        <v>0</v>
      </c>
      <c r="MF100" s="47">
        <v>0</v>
      </c>
      <c r="MG100" s="44">
        <v>0</v>
      </c>
      <c r="MH100" s="43"/>
      <c r="MI100" s="42">
        <v>0</v>
      </c>
      <c r="MJ100" s="47">
        <v>0</v>
      </c>
      <c r="MK100" s="47">
        <v>0</v>
      </c>
      <c r="ML100" s="47">
        <v>0</v>
      </c>
      <c r="MM100" s="44">
        <v>0</v>
      </c>
      <c r="MN100" s="43"/>
      <c r="MO100" s="42">
        <v>0</v>
      </c>
      <c r="MP100" s="47">
        <v>0</v>
      </c>
      <c r="MQ100" s="47">
        <v>0</v>
      </c>
      <c r="MR100" s="47">
        <v>0</v>
      </c>
      <c r="MS100" s="44">
        <v>0</v>
      </c>
      <c r="MT100" s="43"/>
      <c r="MU100" s="42">
        <v>0</v>
      </c>
      <c r="MV100" s="47">
        <v>0</v>
      </c>
      <c r="MW100" s="47">
        <v>0</v>
      </c>
      <c r="MX100" s="47">
        <v>0</v>
      </c>
      <c r="MY100" s="44">
        <v>0</v>
      </c>
      <c r="MZ100" s="43"/>
      <c r="NA100" s="42">
        <v>0</v>
      </c>
      <c r="NB100" s="47">
        <v>0</v>
      </c>
      <c r="NC100" s="47">
        <v>0</v>
      </c>
      <c r="ND100" s="47">
        <v>0</v>
      </c>
      <c r="NE100" s="44">
        <v>0</v>
      </c>
      <c r="NF100" s="43"/>
      <c r="NG100" s="42">
        <v>0</v>
      </c>
      <c r="NH100" s="47">
        <v>0</v>
      </c>
      <c r="NI100" s="47">
        <v>0</v>
      </c>
      <c r="NJ100" s="47">
        <v>0</v>
      </c>
      <c r="NK100" s="44">
        <v>0</v>
      </c>
      <c r="NL100" s="43"/>
      <c r="NM100" s="42">
        <v>0</v>
      </c>
      <c r="NN100" s="47">
        <v>0</v>
      </c>
      <c r="NO100" s="47">
        <v>0</v>
      </c>
      <c r="NP100" s="47">
        <v>0</v>
      </c>
      <c r="NQ100" s="44">
        <v>0</v>
      </c>
      <c r="NR100" s="43"/>
      <c r="NS100" s="42">
        <v>0</v>
      </c>
      <c r="NT100" s="47">
        <v>0</v>
      </c>
      <c r="NU100" s="47">
        <v>0</v>
      </c>
      <c r="NV100" s="47">
        <v>0</v>
      </c>
      <c r="NW100" s="44">
        <v>0</v>
      </c>
      <c r="NX100" s="43"/>
      <c r="NY100" s="42">
        <v>0</v>
      </c>
      <c r="NZ100" s="47">
        <v>0</v>
      </c>
      <c r="OA100" s="47">
        <v>0</v>
      </c>
      <c r="OB100" s="47">
        <v>0</v>
      </c>
      <c r="OC100" s="44">
        <v>0</v>
      </c>
      <c r="OD100" s="43"/>
      <c r="OE100" s="42">
        <v>0</v>
      </c>
      <c r="OF100" s="47">
        <v>0</v>
      </c>
      <c r="OG100" s="47">
        <v>0</v>
      </c>
      <c r="OH100" s="47">
        <v>0</v>
      </c>
      <c r="OI100" s="44">
        <v>0</v>
      </c>
      <c r="OJ100" s="43"/>
      <c r="OK100" s="42">
        <v>0</v>
      </c>
      <c r="OL100" s="47">
        <v>0</v>
      </c>
      <c r="OM100" s="47">
        <v>0</v>
      </c>
      <c r="ON100" s="47">
        <v>0</v>
      </c>
      <c r="OO100" s="44">
        <v>0</v>
      </c>
      <c r="OP100" s="43"/>
      <c r="OQ100" s="42">
        <v>0</v>
      </c>
      <c r="OR100" s="47">
        <v>0</v>
      </c>
      <c r="OS100" s="47">
        <v>0</v>
      </c>
      <c r="OT100" s="47">
        <v>0</v>
      </c>
      <c r="OU100" s="44">
        <v>0</v>
      </c>
      <c r="OV100" s="43"/>
      <c r="OW100" s="42">
        <v>0</v>
      </c>
      <c r="OX100" s="47">
        <v>0</v>
      </c>
      <c r="OY100" s="47">
        <v>0</v>
      </c>
      <c r="OZ100" s="47">
        <v>0</v>
      </c>
      <c r="PA100" s="44">
        <v>0</v>
      </c>
      <c r="PB100" s="43"/>
      <c r="PC100" s="42">
        <v>0</v>
      </c>
      <c r="PD100" s="47">
        <v>0</v>
      </c>
      <c r="PE100" s="47">
        <v>0</v>
      </c>
      <c r="PF100" s="12">
        <v>120</v>
      </c>
      <c r="PG100" s="44">
        <v>0</v>
      </c>
      <c r="PH100" s="43"/>
      <c r="PI100" s="42">
        <v>0</v>
      </c>
      <c r="PJ100" s="47">
        <v>0</v>
      </c>
      <c r="PK100" s="47">
        <v>0</v>
      </c>
      <c r="PL100" s="47">
        <v>0</v>
      </c>
      <c r="PM100" s="44">
        <v>0</v>
      </c>
      <c r="PN100" s="43"/>
      <c r="PO100" s="42">
        <v>0</v>
      </c>
      <c r="PP100" s="47">
        <v>0</v>
      </c>
      <c r="PQ100" s="47">
        <v>0</v>
      </c>
      <c r="PR100" s="26">
        <v>100</v>
      </c>
      <c r="PS100" s="46">
        <v>-100</v>
      </c>
      <c r="PT100" s="43">
        <v>40</v>
      </c>
      <c r="PU100" s="42">
        <v>0</v>
      </c>
      <c r="PV100" s="47">
        <v>0</v>
      </c>
      <c r="PW100" s="47">
        <v>50</v>
      </c>
      <c r="PX100" s="47">
        <v>50</v>
      </c>
      <c r="PY100" s="44">
        <v>0</v>
      </c>
      <c r="PZ100" s="43"/>
      <c r="QA100" s="42">
        <v>0</v>
      </c>
      <c r="QB100" s="47">
        <v>0</v>
      </c>
      <c r="QC100" s="44">
        <v>0</v>
      </c>
      <c r="QD100" s="43"/>
      <c r="QE100" s="42">
        <v>0</v>
      </c>
      <c r="QF100" s="47">
        <v>0</v>
      </c>
      <c r="QG100" s="44">
        <v>0</v>
      </c>
      <c r="QH100" s="43"/>
      <c r="QI100" s="42">
        <v>0</v>
      </c>
      <c r="QJ100" s="47">
        <v>0</v>
      </c>
      <c r="QK100" s="44">
        <v>0</v>
      </c>
      <c r="QL100" s="43"/>
      <c r="QM100" s="42">
        <v>0</v>
      </c>
      <c r="QN100" s="47">
        <v>0</v>
      </c>
      <c r="QO100" s="47">
        <v>0</v>
      </c>
      <c r="QP100" s="47">
        <v>0</v>
      </c>
      <c r="QQ100" s="44">
        <v>0</v>
      </c>
      <c r="QR100" s="43"/>
      <c r="QS100" s="42">
        <v>0</v>
      </c>
      <c r="QT100" s="47">
        <v>0</v>
      </c>
      <c r="QU100" s="44">
        <v>0</v>
      </c>
      <c r="QV100" s="43"/>
      <c r="QW100" s="42">
        <v>0</v>
      </c>
      <c r="QX100" s="47">
        <v>0</v>
      </c>
      <c r="QY100" s="44">
        <v>0</v>
      </c>
      <c r="QZ100" s="43"/>
    </row>
    <row r="101" spans="1:468" x14ac:dyDescent="0.25">
      <c r="A101" s="47" t="s">
        <v>385</v>
      </c>
      <c r="B101" s="38">
        <v>1</v>
      </c>
      <c r="N101" s="39"/>
      <c r="O101" s="48"/>
      <c r="P101" s="48"/>
      <c r="Q101" s="48"/>
      <c r="R101" s="48">
        <f t="shared" si="13"/>
        <v>0</v>
      </c>
      <c r="S101" s="40"/>
      <c r="T101" s="39"/>
      <c r="U101" s="48"/>
      <c r="V101" s="48">
        <f t="shared" si="14"/>
        <v>0</v>
      </c>
      <c r="W101" s="40"/>
      <c r="X101" s="39"/>
      <c r="Y101" s="48"/>
      <c r="Z101" s="48"/>
      <c r="AA101" s="48"/>
      <c r="AB101" s="48">
        <f t="shared" si="15"/>
        <v>0</v>
      </c>
      <c r="AC101" s="40"/>
      <c r="AD101" s="48"/>
      <c r="AH101" s="44">
        <v>0</v>
      </c>
      <c r="AI101" s="40"/>
      <c r="AN101" s="44">
        <v>0</v>
      </c>
      <c r="AO101" s="40"/>
      <c r="AT101" s="44">
        <v>0</v>
      </c>
      <c r="AU101" s="40"/>
      <c r="AV101" s="39"/>
      <c r="AX101" s="44">
        <v>0</v>
      </c>
      <c r="AY101" s="40"/>
      <c r="AZ101" s="39"/>
      <c r="BB101" s="44">
        <v>0</v>
      </c>
      <c r="BC101" s="40"/>
      <c r="BH101" s="44">
        <v>0</v>
      </c>
      <c r="BI101" s="40"/>
      <c r="BL101" s="44">
        <v>0</v>
      </c>
      <c r="BM101" s="40"/>
      <c r="BN101" s="39"/>
      <c r="BR101" s="44">
        <v>0</v>
      </c>
      <c r="BS101" s="40"/>
      <c r="BV101" s="44">
        <v>0</v>
      </c>
      <c r="BW101" s="40"/>
      <c r="BX101" s="39"/>
      <c r="BZ101" s="44">
        <v>0</v>
      </c>
      <c r="CA101" s="40"/>
      <c r="CB101" s="39"/>
      <c r="CH101" s="44">
        <v>0</v>
      </c>
      <c r="CI101" s="40"/>
      <c r="CN101" s="44">
        <v>0</v>
      </c>
      <c r="CO101" s="40"/>
      <c r="CP101" s="39"/>
      <c r="CT101" s="44">
        <v>0</v>
      </c>
      <c r="CU101" s="40"/>
      <c r="CV101" s="39"/>
      <c r="CZ101" s="44">
        <v>0</v>
      </c>
      <c r="DA101" s="40"/>
      <c r="DB101" s="39"/>
      <c r="DF101" s="44">
        <v>0</v>
      </c>
      <c r="DG101" s="40"/>
      <c r="DN101" s="44">
        <v>0</v>
      </c>
      <c r="DO101" s="40"/>
      <c r="DP101" s="39"/>
      <c r="DR101" s="44">
        <v>0</v>
      </c>
      <c r="DS101" s="40"/>
      <c r="DT101" s="39"/>
      <c r="DX101" s="44">
        <v>0</v>
      </c>
      <c r="DY101" s="40"/>
      <c r="DZ101" s="39"/>
      <c r="EB101" s="44">
        <v>0</v>
      </c>
      <c r="EC101" s="40"/>
      <c r="EK101" s="44">
        <v>0</v>
      </c>
      <c r="EL101" s="40"/>
      <c r="ES101" s="44">
        <v>0</v>
      </c>
      <c r="ET101" s="40"/>
      <c r="EU101" s="39"/>
      <c r="EY101" s="44">
        <v>0</v>
      </c>
      <c r="EZ101" s="40"/>
      <c r="FA101" s="39"/>
      <c r="FD101" s="44">
        <v>0</v>
      </c>
      <c r="FE101" s="40"/>
      <c r="FH101" s="44">
        <v>0</v>
      </c>
      <c r="FI101" s="40"/>
      <c r="FJ101" s="39"/>
      <c r="FQ101" s="44">
        <v>0</v>
      </c>
      <c r="FR101" s="40"/>
      <c r="FW101" s="44">
        <v>0</v>
      </c>
      <c r="FX101" s="40"/>
      <c r="FY101" s="39"/>
      <c r="GC101" s="44">
        <v>0</v>
      </c>
      <c r="GD101" s="40"/>
      <c r="GI101" s="44">
        <v>0</v>
      </c>
      <c r="GJ101" s="40"/>
      <c r="GM101" s="44">
        <v>0</v>
      </c>
      <c r="GN101" s="40"/>
      <c r="GO101" s="39"/>
      <c r="GQ101" s="44">
        <v>0</v>
      </c>
      <c r="GR101" s="40"/>
      <c r="GX101" s="44">
        <v>0</v>
      </c>
      <c r="GY101" s="40"/>
      <c r="HD101" s="44">
        <v>0</v>
      </c>
      <c r="HE101" s="40"/>
      <c r="HF101" s="39"/>
      <c r="HJ101" s="44">
        <v>0</v>
      </c>
      <c r="HK101" s="40"/>
      <c r="HL101" s="39"/>
      <c r="HP101" s="44">
        <v>0</v>
      </c>
      <c r="HQ101" s="40"/>
      <c r="HV101" s="44">
        <v>0</v>
      </c>
      <c r="HW101" s="43"/>
      <c r="IB101" s="44">
        <v>0</v>
      </c>
      <c r="IC101" s="43"/>
      <c r="IH101" s="44">
        <v>0</v>
      </c>
      <c r="II101" s="43"/>
      <c r="IN101" s="44">
        <v>0</v>
      </c>
      <c r="IO101" s="40"/>
      <c r="IR101" s="44">
        <v>0</v>
      </c>
      <c r="IS101" s="40"/>
      <c r="IX101" s="44">
        <v>0</v>
      </c>
      <c r="IY101" s="43"/>
      <c r="JB101" s="44">
        <v>0</v>
      </c>
      <c r="JC101" s="40"/>
      <c r="JH101" s="44">
        <v>0</v>
      </c>
      <c r="JI101" s="40"/>
      <c r="JN101" s="44">
        <v>0</v>
      </c>
      <c r="JO101" s="43"/>
      <c r="JT101" s="44">
        <v>0</v>
      </c>
      <c r="JU101" s="43"/>
      <c r="JZ101" s="44">
        <v>0</v>
      </c>
      <c r="KA101" s="43"/>
      <c r="KB101" s="42"/>
      <c r="KI101" s="44">
        <v>0</v>
      </c>
      <c r="KJ101" s="43"/>
      <c r="KK101" s="47">
        <v>0</v>
      </c>
      <c r="KL101" s="47">
        <v>0</v>
      </c>
      <c r="KM101" s="47">
        <v>0</v>
      </c>
      <c r="KN101" s="47">
        <v>0</v>
      </c>
      <c r="KO101" s="44">
        <v>0</v>
      </c>
      <c r="KP101" s="43"/>
      <c r="KQ101" s="47">
        <v>0</v>
      </c>
      <c r="KR101" s="47">
        <v>0</v>
      </c>
      <c r="KS101" s="47">
        <v>0</v>
      </c>
      <c r="KT101" s="47">
        <v>0</v>
      </c>
      <c r="KU101" s="44">
        <v>0</v>
      </c>
      <c r="KV101" s="43"/>
      <c r="KW101" s="42">
        <v>0</v>
      </c>
      <c r="KX101" s="47">
        <v>0</v>
      </c>
      <c r="KY101" s="44">
        <v>0</v>
      </c>
      <c r="KZ101" s="43"/>
      <c r="LA101" s="42">
        <v>0</v>
      </c>
      <c r="LB101" s="47">
        <v>0</v>
      </c>
      <c r="LC101" s="47">
        <v>0</v>
      </c>
      <c r="LD101" s="47">
        <v>0</v>
      </c>
      <c r="LE101" s="44">
        <v>0</v>
      </c>
      <c r="LF101" s="43"/>
      <c r="LG101" s="42">
        <v>0</v>
      </c>
      <c r="LH101" s="47">
        <v>0</v>
      </c>
      <c r="LI101" s="47">
        <v>0</v>
      </c>
      <c r="LJ101" s="47">
        <v>0</v>
      </c>
      <c r="LK101" s="44">
        <v>0</v>
      </c>
      <c r="LL101" s="43"/>
      <c r="LM101" s="42">
        <v>0</v>
      </c>
      <c r="LN101" s="47">
        <v>0</v>
      </c>
      <c r="LO101" s="44">
        <v>0</v>
      </c>
      <c r="LP101" s="43"/>
      <c r="LQ101" s="42">
        <v>0</v>
      </c>
      <c r="LR101" s="47">
        <v>0</v>
      </c>
      <c r="LS101" s="47">
        <v>0</v>
      </c>
      <c r="LT101" s="47">
        <v>0</v>
      </c>
      <c r="LU101" s="44">
        <v>0</v>
      </c>
      <c r="LV101" s="43"/>
      <c r="LW101" s="42">
        <v>0</v>
      </c>
      <c r="LX101" s="47">
        <v>0</v>
      </c>
      <c r="LY101" s="47">
        <v>0</v>
      </c>
      <c r="LZ101" s="47">
        <v>0</v>
      </c>
      <c r="MA101" s="44">
        <v>0</v>
      </c>
      <c r="MB101" s="43"/>
      <c r="MC101" s="42">
        <v>0</v>
      </c>
      <c r="MD101" s="47">
        <v>0</v>
      </c>
      <c r="ME101" s="47">
        <v>0</v>
      </c>
      <c r="MF101" s="47">
        <v>0</v>
      </c>
      <c r="MG101" s="44">
        <v>0</v>
      </c>
      <c r="MH101" s="43"/>
      <c r="MI101" s="42">
        <v>0</v>
      </c>
      <c r="MJ101" s="47">
        <v>0</v>
      </c>
      <c r="MK101" s="47">
        <v>0</v>
      </c>
      <c r="ML101" s="47">
        <v>0</v>
      </c>
      <c r="MM101" s="44">
        <v>0</v>
      </c>
      <c r="MN101" s="43"/>
      <c r="MO101" s="42">
        <v>0</v>
      </c>
      <c r="MP101" s="47">
        <v>0</v>
      </c>
      <c r="MQ101" s="47">
        <v>0</v>
      </c>
      <c r="MR101" s="47">
        <v>0</v>
      </c>
      <c r="MS101" s="44">
        <v>0</v>
      </c>
      <c r="MT101" s="43"/>
      <c r="MU101" s="42">
        <v>0</v>
      </c>
      <c r="MV101" s="47">
        <v>0</v>
      </c>
      <c r="MW101" s="47">
        <v>0</v>
      </c>
      <c r="MX101" s="47">
        <v>0</v>
      </c>
      <c r="MY101" s="44">
        <v>0</v>
      </c>
      <c r="MZ101" s="43"/>
      <c r="NA101" s="42">
        <v>0</v>
      </c>
      <c r="NB101" s="47">
        <v>0</v>
      </c>
      <c r="NC101" s="47">
        <v>0</v>
      </c>
      <c r="ND101" s="47">
        <v>0</v>
      </c>
      <c r="NE101" s="44">
        <v>0</v>
      </c>
      <c r="NF101" s="43"/>
      <c r="NG101" s="42">
        <v>0</v>
      </c>
      <c r="NH101" s="47">
        <v>0</v>
      </c>
      <c r="NI101" s="47">
        <v>0</v>
      </c>
      <c r="NJ101" s="47">
        <v>0</v>
      </c>
      <c r="NK101" s="44">
        <v>0</v>
      </c>
      <c r="NL101" s="43"/>
      <c r="NM101" s="42">
        <v>0</v>
      </c>
      <c r="NN101" s="47">
        <v>0</v>
      </c>
      <c r="NO101" s="47">
        <v>0</v>
      </c>
      <c r="NP101" s="47">
        <v>0</v>
      </c>
      <c r="NQ101" s="44">
        <v>0</v>
      </c>
      <c r="NR101" s="43"/>
      <c r="NS101" s="42">
        <v>0</v>
      </c>
      <c r="NT101" s="47">
        <v>0</v>
      </c>
      <c r="NU101" s="47">
        <v>0</v>
      </c>
      <c r="NV101" s="47">
        <v>0</v>
      </c>
      <c r="NW101" s="44">
        <v>0</v>
      </c>
      <c r="NX101" s="43"/>
      <c r="NY101" s="42">
        <v>0</v>
      </c>
      <c r="NZ101" s="47">
        <v>0</v>
      </c>
      <c r="OA101" s="47">
        <v>0</v>
      </c>
      <c r="OB101" s="47">
        <v>0</v>
      </c>
      <c r="OC101" s="44">
        <v>0</v>
      </c>
      <c r="OD101" s="43"/>
      <c r="OE101" s="42">
        <v>0</v>
      </c>
      <c r="OF101" s="47">
        <v>0</v>
      </c>
      <c r="OG101" s="47">
        <v>0</v>
      </c>
      <c r="OH101" s="47">
        <v>0</v>
      </c>
      <c r="OI101" s="44">
        <v>0</v>
      </c>
      <c r="OJ101" s="43"/>
      <c r="OK101" s="42">
        <v>0</v>
      </c>
      <c r="OL101" s="47">
        <v>0</v>
      </c>
      <c r="OM101" s="47">
        <v>0</v>
      </c>
      <c r="ON101" s="47">
        <v>0</v>
      </c>
      <c r="OO101" s="44">
        <v>0</v>
      </c>
      <c r="OP101" s="43"/>
      <c r="OQ101" s="42">
        <v>0</v>
      </c>
      <c r="OR101" s="47">
        <v>0</v>
      </c>
      <c r="OS101" s="47">
        <v>0</v>
      </c>
      <c r="OT101" s="47">
        <v>0</v>
      </c>
      <c r="OU101" s="44">
        <v>0</v>
      </c>
      <c r="OV101" s="43"/>
      <c r="OW101" s="42">
        <v>0</v>
      </c>
      <c r="OX101" s="47">
        <v>0</v>
      </c>
      <c r="OY101" s="47">
        <v>0</v>
      </c>
      <c r="OZ101" s="47">
        <v>0</v>
      </c>
      <c r="PA101" s="44">
        <v>0</v>
      </c>
      <c r="PB101" s="43"/>
      <c r="PC101" s="42">
        <v>0</v>
      </c>
      <c r="PD101" s="47">
        <v>0</v>
      </c>
      <c r="PE101" s="47">
        <v>0</v>
      </c>
      <c r="PF101" s="47">
        <v>0</v>
      </c>
      <c r="PG101" s="44">
        <v>0</v>
      </c>
      <c r="PH101" s="43"/>
      <c r="PI101" s="42">
        <v>0</v>
      </c>
      <c r="PJ101" s="12">
        <v>50</v>
      </c>
      <c r="PK101" s="47">
        <v>0</v>
      </c>
      <c r="PL101" s="12">
        <v>100</v>
      </c>
      <c r="PM101" s="44">
        <v>-0.65699999999998226</v>
      </c>
      <c r="PN101" s="43"/>
      <c r="PO101" s="42">
        <v>0</v>
      </c>
      <c r="PP101" s="12">
        <v>120</v>
      </c>
      <c r="PQ101" s="47">
        <v>0</v>
      </c>
      <c r="PR101" s="47">
        <v>0</v>
      </c>
      <c r="PS101" s="44">
        <v>-0.22499999999999429</v>
      </c>
      <c r="PT101" s="43"/>
      <c r="PU101" s="42">
        <v>100.708</v>
      </c>
      <c r="PV101" s="47">
        <v>100</v>
      </c>
      <c r="PW101" s="47">
        <v>90.075000000000003</v>
      </c>
      <c r="PX101" s="47">
        <v>93</v>
      </c>
      <c r="PY101" s="44">
        <v>-2.216999999999985</v>
      </c>
      <c r="PZ101" s="43"/>
      <c r="QA101" s="42">
        <v>148.07400000000001</v>
      </c>
      <c r="QB101" s="47">
        <v>149</v>
      </c>
      <c r="QC101" s="44">
        <v>-0.92599999999998772</v>
      </c>
      <c r="QD101" s="43"/>
      <c r="QE101" s="42">
        <v>0</v>
      </c>
      <c r="QF101" s="47">
        <v>0</v>
      </c>
      <c r="QG101" s="44">
        <v>0</v>
      </c>
      <c r="QH101" s="43"/>
      <c r="QI101" s="42">
        <v>102.02500000000001</v>
      </c>
      <c r="QJ101" s="47">
        <v>100</v>
      </c>
      <c r="QK101" s="44">
        <v>2.0250000000000061</v>
      </c>
      <c r="QL101" s="43"/>
      <c r="QM101" s="42">
        <v>101.41</v>
      </c>
      <c r="QN101" s="47">
        <v>100</v>
      </c>
      <c r="QO101" s="47">
        <v>149.48500000000001</v>
      </c>
      <c r="QP101" s="47">
        <v>150</v>
      </c>
      <c r="QQ101" s="44">
        <v>0.89500000000001023</v>
      </c>
      <c r="QR101" s="43"/>
      <c r="QS101" s="42">
        <v>0</v>
      </c>
      <c r="QT101" s="47">
        <v>0</v>
      </c>
      <c r="QU101" s="44">
        <v>0</v>
      </c>
      <c r="QV101" s="43"/>
      <c r="QW101" s="42">
        <v>150.697</v>
      </c>
      <c r="QX101" s="47">
        <v>152</v>
      </c>
      <c r="QY101" s="44">
        <v>-1.302999999999997</v>
      </c>
      <c r="QZ101" s="43"/>
    </row>
    <row r="102" spans="1:468" x14ac:dyDescent="0.25">
      <c r="A102" s="47" t="s">
        <v>386</v>
      </c>
      <c r="B102" s="38">
        <v>0.4</v>
      </c>
      <c r="N102" s="39"/>
      <c r="O102" s="48"/>
      <c r="P102" s="48"/>
      <c r="Q102" s="48"/>
      <c r="R102" s="48">
        <f t="shared" si="13"/>
        <v>0</v>
      </c>
      <c r="S102" s="40"/>
      <c r="T102" s="39"/>
      <c r="U102" s="48"/>
      <c r="V102" s="48">
        <f t="shared" si="14"/>
        <v>0</v>
      </c>
      <c r="W102" s="40"/>
      <c r="X102" s="39"/>
      <c r="Y102" s="48"/>
      <c r="Z102" s="48"/>
      <c r="AA102" s="48"/>
      <c r="AB102" s="48">
        <f t="shared" si="15"/>
        <v>0</v>
      </c>
      <c r="AC102" s="40"/>
      <c r="AD102" s="48"/>
      <c r="AH102" s="44">
        <v>0</v>
      </c>
      <c r="AI102" s="40"/>
      <c r="AN102" s="44">
        <v>0</v>
      </c>
      <c r="AO102" s="40"/>
      <c r="AT102" s="44">
        <v>0</v>
      </c>
      <c r="AU102" s="40"/>
      <c r="AV102" s="39"/>
      <c r="AX102" s="44">
        <v>0</v>
      </c>
      <c r="AY102" s="40"/>
      <c r="AZ102" s="39"/>
      <c r="BB102" s="44">
        <v>0</v>
      </c>
      <c r="BC102" s="40"/>
      <c r="BH102" s="44">
        <v>0</v>
      </c>
      <c r="BI102" s="40"/>
      <c r="BL102" s="44">
        <v>0</v>
      </c>
      <c r="BM102" s="40"/>
      <c r="BN102" s="39"/>
      <c r="BR102" s="44">
        <v>0</v>
      </c>
      <c r="BS102" s="40"/>
      <c r="BV102" s="44">
        <v>0</v>
      </c>
      <c r="BW102" s="40"/>
      <c r="BX102" s="39"/>
      <c r="BZ102" s="44">
        <v>0</v>
      </c>
      <c r="CA102" s="40"/>
      <c r="CB102" s="39"/>
      <c r="CH102" s="44">
        <v>0</v>
      </c>
      <c r="CI102" s="40"/>
      <c r="CL102">
        <v>14</v>
      </c>
      <c r="CM102">
        <v>13</v>
      </c>
      <c r="CN102" s="44">
        <v>1</v>
      </c>
      <c r="CO102" s="40"/>
      <c r="CP102" s="39"/>
      <c r="CT102" s="44">
        <v>0</v>
      </c>
      <c r="CU102" s="40"/>
      <c r="CV102" s="39"/>
      <c r="CZ102" s="44">
        <v>0</v>
      </c>
      <c r="DA102" s="40"/>
      <c r="DB102" s="39"/>
      <c r="DD102">
        <v>7</v>
      </c>
      <c r="DE102">
        <v>7</v>
      </c>
      <c r="DF102" s="44">
        <v>0</v>
      </c>
      <c r="DG102" s="40"/>
      <c r="DJ102">
        <v>7</v>
      </c>
      <c r="DK102">
        <v>10</v>
      </c>
      <c r="DN102" s="44">
        <v>-3</v>
      </c>
      <c r="DO102" s="40"/>
      <c r="DP102" s="39"/>
      <c r="DR102" s="44">
        <v>0</v>
      </c>
      <c r="DS102" s="40"/>
      <c r="DT102" s="39"/>
      <c r="DX102" s="44">
        <v>0</v>
      </c>
      <c r="DY102" s="40"/>
      <c r="DZ102" s="39"/>
      <c r="EB102" s="44">
        <v>0</v>
      </c>
      <c r="EC102" s="40"/>
      <c r="EK102" s="44">
        <v>0</v>
      </c>
      <c r="EL102" s="40"/>
      <c r="ES102" s="44">
        <v>0</v>
      </c>
      <c r="ET102" s="40"/>
      <c r="EU102" s="39"/>
      <c r="EY102" s="44">
        <v>0</v>
      </c>
      <c r="EZ102" s="40"/>
      <c r="FA102" s="39"/>
      <c r="FD102" s="44">
        <v>0</v>
      </c>
      <c r="FE102" s="40"/>
      <c r="FH102" s="44">
        <v>0</v>
      </c>
      <c r="FI102" s="40"/>
      <c r="FJ102" s="39"/>
      <c r="FO102">
        <v>35</v>
      </c>
      <c r="FP102">
        <v>35</v>
      </c>
      <c r="FQ102" s="44">
        <v>0</v>
      </c>
      <c r="FR102" s="40"/>
      <c r="FW102" s="44">
        <v>0</v>
      </c>
      <c r="FX102" s="40"/>
      <c r="FY102" s="39"/>
      <c r="GC102" s="44">
        <v>0</v>
      </c>
      <c r="GD102" s="40"/>
      <c r="GG102">
        <v>21</v>
      </c>
      <c r="GH102">
        <v>20</v>
      </c>
      <c r="GI102" s="44">
        <v>1</v>
      </c>
      <c r="GJ102" s="40"/>
      <c r="GM102" s="44">
        <v>0</v>
      </c>
      <c r="GN102" s="40"/>
      <c r="GO102" s="39"/>
      <c r="GQ102" s="44">
        <v>0</v>
      </c>
      <c r="GR102" s="40"/>
      <c r="GX102" s="44">
        <v>0</v>
      </c>
      <c r="GY102" s="40"/>
      <c r="HB102">
        <v>14</v>
      </c>
      <c r="HC102">
        <v>15</v>
      </c>
      <c r="HD102" s="44">
        <v>-1</v>
      </c>
      <c r="HE102" s="40"/>
      <c r="HF102" s="39"/>
      <c r="HH102">
        <v>35</v>
      </c>
      <c r="HI102">
        <v>35</v>
      </c>
      <c r="HJ102" s="44">
        <v>0</v>
      </c>
      <c r="HK102" s="40"/>
      <c r="HL102" s="39"/>
      <c r="HP102" s="44">
        <v>0</v>
      </c>
      <c r="HQ102" s="40"/>
      <c r="HV102" s="44">
        <v>0</v>
      </c>
      <c r="HW102" s="43"/>
      <c r="HZ102">
        <v>14</v>
      </c>
      <c r="IA102">
        <v>14</v>
      </c>
      <c r="IB102" s="44">
        <v>0</v>
      </c>
      <c r="IC102" s="43"/>
      <c r="ID102">
        <v>35</v>
      </c>
      <c r="IE102">
        <v>35</v>
      </c>
      <c r="IF102">
        <v>35</v>
      </c>
      <c r="IG102">
        <v>35</v>
      </c>
      <c r="IH102" s="44">
        <v>0</v>
      </c>
      <c r="II102" s="43"/>
      <c r="IN102" s="44">
        <v>0</v>
      </c>
      <c r="IO102" s="40"/>
      <c r="IP102">
        <v>28</v>
      </c>
      <c r="IQ102">
        <v>29</v>
      </c>
      <c r="IR102" s="44">
        <v>-1</v>
      </c>
      <c r="IS102" s="40"/>
      <c r="IX102" s="44">
        <v>0</v>
      </c>
      <c r="IY102" s="43"/>
      <c r="JB102" s="44">
        <v>0</v>
      </c>
      <c r="JC102" s="40"/>
      <c r="JH102" s="44">
        <v>0</v>
      </c>
      <c r="JI102" s="40"/>
      <c r="JJ102">
        <v>28</v>
      </c>
      <c r="JK102">
        <v>30</v>
      </c>
      <c r="JN102" s="44">
        <v>-2</v>
      </c>
      <c r="JO102" s="43"/>
      <c r="JR102">
        <v>56</v>
      </c>
      <c r="JS102">
        <v>56</v>
      </c>
      <c r="JT102" s="44">
        <v>0</v>
      </c>
      <c r="JU102" s="43"/>
      <c r="JZ102" s="44">
        <v>0</v>
      </c>
      <c r="KA102" s="43"/>
      <c r="KB102" s="42"/>
      <c r="KG102">
        <v>56</v>
      </c>
      <c r="KH102">
        <v>60</v>
      </c>
      <c r="KI102" s="44">
        <v>-4</v>
      </c>
      <c r="KJ102" s="43"/>
      <c r="KK102" s="47">
        <v>0</v>
      </c>
      <c r="KL102" s="47">
        <v>0</v>
      </c>
      <c r="KM102" s="47">
        <v>7</v>
      </c>
      <c r="KN102" s="47">
        <v>7</v>
      </c>
      <c r="KO102" s="44">
        <v>0</v>
      </c>
      <c r="KP102" s="43"/>
      <c r="KQ102" s="47">
        <v>0</v>
      </c>
      <c r="KR102" s="47">
        <v>0</v>
      </c>
      <c r="KS102" s="47">
        <v>0</v>
      </c>
      <c r="KT102" s="47">
        <v>0</v>
      </c>
      <c r="KU102" s="44">
        <v>0</v>
      </c>
      <c r="KV102" s="43"/>
      <c r="KW102" s="42">
        <v>0</v>
      </c>
      <c r="KX102" s="47">
        <v>0</v>
      </c>
      <c r="KY102" s="44">
        <v>0</v>
      </c>
      <c r="KZ102" s="43"/>
      <c r="LA102" s="42">
        <v>0</v>
      </c>
      <c r="LB102" s="47">
        <v>0</v>
      </c>
      <c r="LC102" s="47">
        <v>0</v>
      </c>
      <c r="LD102" s="47">
        <v>0</v>
      </c>
      <c r="LE102" s="44">
        <v>0</v>
      </c>
      <c r="LF102" s="43"/>
      <c r="LG102" s="42">
        <v>0</v>
      </c>
      <c r="LH102" s="47">
        <v>0</v>
      </c>
      <c r="LI102" s="47">
        <v>28</v>
      </c>
      <c r="LJ102" s="47">
        <v>30</v>
      </c>
      <c r="LK102" s="44">
        <v>-2</v>
      </c>
      <c r="LL102" s="43"/>
      <c r="LM102" s="42">
        <v>35</v>
      </c>
      <c r="LN102" s="47">
        <v>35</v>
      </c>
      <c r="LO102" s="44">
        <v>0</v>
      </c>
      <c r="LP102" s="43"/>
      <c r="LQ102" s="42">
        <v>0</v>
      </c>
      <c r="LR102" s="47">
        <v>0</v>
      </c>
      <c r="LS102" s="47">
        <v>0</v>
      </c>
      <c r="LT102" s="47">
        <v>0</v>
      </c>
      <c r="LU102" s="44">
        <v>0</v>
      </c>
      <c r="LV102" s="43"/>
      <c r="LW102" s="42">
        <v>0</v>
      </c>
      <c r="LX102" s="47">
        <v>0</v>
      </c>
      <c r="LY102" s="47">
        <v>0</v>
      </c>
      <c r="LZ102" s="47">
        <v>0</v>
      </c>
      <c r="MA102" s="44">
        <v>0</v>
      </c>
      <c r="MB102" s="43"/>
      <c r="MC102" s="42">
        <v>0</v>
      </c>
      <c r="MD102" s="47">
        <v>0</v>
      </c>
      <c r="ME102" s="47">
        <v>0</v>
      </c>
      <c r="MF102" s="47">
        <v>0</v>
      </c>
      <c r="MG102" s="44">
        <v>0</v>
      </c>
      <c r="MH102" s="43"/>
      <c r="MI102" s="42">
        <v>0</v>
      </c>
      <c r="MJ102" s="47">
        <v>0</v>
      </c>
      <c r="MK102" s="47">
        <v>0</v>
      </c>
      <c r="ML102" s="47">
        <v>0</v>
      </c>
      <c r="MM102" s="44">
        <v>0</v>
      </c>
      <c r="MN102" s="43"/>
      <c r="MO102" s="42">
        <v>49</v>
      </c>
      <c r="MP102" s="47">
        <v>50</v>
      </c>
      <c r="MQ102" s="47">
        <v>112</v>
      </c>
      <c r="MR102" s="47">
        <v>110</v>
      </c>
      <c r="MS102" s="44">
        <v>1</v>
      </c>
      <c r="MT102" s="43"/>
      <c r="MU102" s="22">
        <v>56</v>
      </c>
      <c r="MV102" s="47">
        <v>0</v>
      </c>
      <c r="MW102" s="47">
        <v>63</v>
      </c>
      <c r="MX102" s="47">
        <v>63</v>
      </c>
      <c r="MY102" s="44">
        <v>56</v>
      </c>
      <c r="MZ102" s="43"/>
      <c r="NA102" s="42">
        <v>0</v>
      </c>
      <c r="NB102" s="47">
        <v>0</v>
      </c>
      <c r="NC102" s="47">
        <v>21</v>
      </c>
      <c r="ND102" s="47">
        <v>20</v>
      </c>
      <c r="NE102" s="44">
        <v>1</v>
      </c>
      <c r="NF102" s="43"/>
      <c r="NG102" s="42">
        <v>0</v>
      </c>
      <c r="NH102" s="47">
        <v>0</v>
      </c>
      <c r="NI102" s="47">
        <v>49</v>
      </c>
      <c r="NJ102" s="47">
        <v>50</v>
      </c>
      <c r="NK102" s="44">
        <v>-1</v>
      </c>
      <c r="NL102" s="43"/>
      <c r="NM102" s="42">
        <v>0</v>
      </c>
      <c r="NN102" s="47">
        <v>0</v>
      </c>
      <c r="NO102" s="47">
        <v>98</v>
      </c>
      <c r="NP102" s="47">
        <v>100</v>
      </c>
      <c r="NQ102" s="44">
        <v>-2</v>
      </c>
      <c r="NR102" s="43"/>
      <c r="NS102" s="42">
        <v>28</v>
      </c>
      <c r="NT102" s="47">
        <v>30</v>
      </c>
      <c r="NU102" s="47">
        <v>0</v>
      </c>
      <c r="NV102" s="47">
        <v>0</v>
      </c>
      <c r="NW102" s="44">
        <v>-2</v>
      </c>
      <c r="NX102" s="43"/>
      <c r="NY102" s="42">
        <v>0</v>
      </c>
      <c r="NZ102" s="47">
        <v>0</v>
      </c>
      <c r="OA102" s="47">
        <v>0</v>
      </c>
      <c r="OB102" s="26">
        <v>140</v>
      </c>
      <c r="OC102" s="46">
        <v>-140</v>
      </c>
      <c r="OD102" s="43">
        <v>56</v>
      </c>
      <c r="OE102" s="42">
        <v>0</v>
      </c>
      <c r="OF102" s="47">
        <v>0</v>
      </c>
      <c r="OG102" s="47">
        <v>42</v>
      </c>
      <c r="OH102" s="47">
        <v>40</v>
      </c>
      <c r="OI102" s="44">
        <v>2</v>
      </c>
      <c r="OJ102" s="43"/>
      <c r="OK102" s="42">
        <v>49</v>
      </c>
      <c r="OL102" s="47">
        <v>50</v>
      </c>
      <c r="OM102" s="47">
        <v>49</v>
      </c>
      <c r="ON102" s="47">
        <v>51</v>
      </c>
      <c r="OO102" s="44">
        <v>-3</v>
      </c>
      <c r="OP102" s="43"/>
      <c r="OQ102" s="42">
        <v>0</v>
      </c>
      <c r="OR102" s="47">
        <v>0</v>
      </c>
      <c r="OS102" s="47">
        <v>28</v>
      </c>
      <c r="OT102" s="47">
        <v>30</v>
      </c>
      <c r="OU102" s="44">
        <v>-2</v>
      </c>
      <c r="OV102" s="43"/>
      <c r="OW102" s="42">
        <v>0</v>
      </c>
      <c r="OX102" s="47">
        <v>0</v>
      </c>
      <c r="OY102" s="47">
        <v>49</v>
      </c>
      <c r="OZ102" s="47">
        <v>50</v>
      </c>
      <c r="PA102" s="44">
        <v>-1</v>
      </c>
      <c r="PB102" s="43"/>
      <c r="PC102" s="42"/>
      <c r="PH102" s="43"/>
      <c r="PI102" s="42"/>
      <c r="PN102" s="43"/>
      <c r="PO102" s="42"/>
      <c r="PT102" s="43"/>
      <c r="PU102" s="42"/>
      <c r="PZ102" s="43"/>
      <c r="QA102" s="42"/>
      <c r="QD102" s="43"/>
      <c r="QE102" s="42"/>
      <c r="QH102" s="43"/>
      <c r="QI102" s="42"/>
      <c r="QL102" s="43"/>
      <c r="QM102" s="42"/>
      <c r="QR102" s="43"/>
      <c r="QS102" s="42"/>
      <c r="QV102" s="43"/>
      <c r="QW102" s="42"/>
      <c r="QY102" s="44"/>
      <c r="QZ102" s="43"/>
    </row>
    <row r="103" spans="1:468" x14ac:dyDescent="0.25">
      <c r="A103" s="47" t="s">
        <v>387</v>
      </c>
      <c r="B103" s="38">
        <v>1</v>
      </c>
      <c r="N103" s="39"/>
      <c r="O103" s="48"/>
      <c r="P103" s="48"/>
      <c r="Q103" s="48"/>
      <c r="R103" s="48">
        <f t="shared" si="13"/>
        <v>0</v>
      </c>
      <c r="S103" s="40"/>
      <c r="T103" s="39"/>
      <c r="U103" s="48"/>
      <c r="V103" s="48">
        <f t="shared" si="14"/>
        <v>0</v>
      </c>
      <c r="W103" s="40"/>
      <c r="X103" s="39"/>
      <c r="Y103" s="48"/>
      <c r="Z103" s="48"/>
      <c r="AA103" s="48"/>
      <c r="AB103" s="48">
        <f t="shared" si="15"/>
        <v>0</v>
      </c>
      <c r="AC103" s="40"/>
      <c r="AD103" s="48"/>
      <c r="AH103" s="44">
        <v>0</v>
      </c>
      <c r="AI103" s="40"/>
      <c r="AN103" s="44">
        <v>0</v>
      </c>
      <c r="AO103" s="40"/>
      <c r="AT103" s="44">
        <v>0</v>
      </c>
      <c r="AU103" s="40"/>
      <c r="AV103" s="39"/>
      <c r="AX103" s="44">
        <v>0</v>
      </c>
      <c r="AY103" s="40"/>
      <c r="AZ103" s="39"/>
      <c r="BB103" s="44">
        <v>0</v>
      </c>
      <c r="BC103" s="40"/>
      <c r="BH103" s="44">
        <v>0</v>
      </c>
      <c r="BI103" s="40"/>
      <c r="BL103" s="44">
        <v>0</v>
      </c>
      <c r="BM103" s="40"/>
      <c r="BN103" s="39"/>
      <c r="BR103" s="44">
        <v>0</v>
      </c>
      <c r="BS103" s="40"/>
      <c r="BV103" s="44">
        <v>0</v>
      </c>
      <c r="BW103" s="40"/>
      <c r="BX103" s="39"/>
      <c r="BZ103" s="44">
        <v>0</v>
      </c>
      <c r="CA103" s="40"/>
      <c r="CB103" s="39"/>
      <c r="CH103" s="44">
        <v>0</v>
      </c>
      <c r="CI103" s="40"/>
      <c r="CN103" s="44">
        <v>0</v>
      </c>
      <c r="CO103" s="40"/>
      <c r="CP103" s="39"/>
      <c r="CT103" s="44">
        <v>0</v>
      </c>
      <c r="CU103" s="40"/>
      <c r="CV103" s="39"/>
      <c r="CZ103" s="44">
        <v>0</v>
      </c>
      <c r="DA103" s="40"/>
      <c r="DB103" s="39"/>
      <c r="DF103" s="44">
        <v>0</v>
      </c>
      <c r="DG103" s="40"/>
      <c r="DJ103">
        <v>13</v>
      </c>
      <c r="DK103">
        <v>11</v>
      </c>
      <c r="DN103" s="44">
        <v>2</v>
      </c>
      <c r="DO103" s="40"/>
      <c r="DP103" s="39"/>
      <c r="DR103" s="44">
        <v>0</v>
      </c>
      <c r="DS103" s="40"/>
      <c r="DT103" s="39"/>
      <c r="DX103" s="44">
        <v>0</v>
      </c>
      <c r="DY103" s="40"/>
      <c r="DZ103" s="41">
        <v>20</v>
      </c>
      <c r="EA103">
        <v>20</v>
      </c>
      <c r="EB103" s="44">
        <v>0</v>
      </c>
      <c r="EC103" s="40"/>
      <c r="EK103" s="44">
        <v>0</v>
      </c>
      <c r="EL103" s="40"/>
      <c r="EQ103">
        <v>8</v>
      </c>
      <c r="ER103">
        <v>8</v>
      </c>
      <c r="ES103" s="44">
        <v>0</v>
      </c>
      <c r="ET103" s="40"/>
      <c r="EU103" s="39"/>
      <c r="EY103" s="44">
        <v>0</v>
      </c>
      <c r="EZ103" s="40"/>
      <c r="FA103" s="39"/>
      <c r="FD103" s="44">
        <v>0</v>
      </c>
      <c r="FE103" s="40"/>
      <c r="FF103">
        <v>16</v>
      </c>
      <c r="FG103">
        <v>16</v>
      </c>
      <c r="FH103" s="44">
        <v>0</v>
      </c>
      <c r="FI103" s="40"/>
      <c r="FJ103" s="39"/>
      <c r="FQ103" s="44">
        <v>0</v>
      </c>
      <c r="FR103" s="40"/>
      <c r="FW103" s="44">
        <v>0</v>
      </c>
      <c r="FX103" s="40"/>
      <c r="FY103" s="39"/>
      <c r="GA103">
        <v>9</v>
      </c>
      <c r="GB103">
        <v>8</v>
      </c>
      <c r="GC103" s="44">
        <v>1</v>
      </c>
      <c r="GD103" s="40"/>
      <c r="GI103" s="44">
        <v>0</v>
      </c>
      <c r="GJ103" s="40"/>
      <c r="GM103" s="44">
        <v>0</v>
      </c>
      <c r="GN103" s="40"/>
      <c r="GO103" s="39"/>
      <c r="GQ103" s="44">
        <v>0</v>
      </c>
      <c r="GR103" s="40"/>
      <c r="GX103" s="44">
        <v>0</v>
      </c>
      <c r="GY103" s="40"/>
      <c r="HB103">
        <v>16</v>
      </c>
      <c r="HC103">
        <v>15</v>
      </c>
      <c r="HD103" s="44">
        <v>1</v>
      </c>
      <c r="HE103" s="40"/>
      <c r="HF103" s="39"/>
      <c r="HJ103" s="44">
        <v>0</v>
      </c>
      <c r="HK103" s="40"/>
      <c r="HL103" s="39"/>
      <c r="HP103" s="44">
        <v>0</v>
      </c>
      <c r="HQ103" s="40"/>
      <c r="HV103" s="44">
        <v>0</v>
      </c>
      <c r="HW103" s="43"/>
      <c r="HZ103">
        <v>17</v>
      </c>
      <c r="IA103">
        <v>16</v>
      </c>
      <c r="IB103" s="44">
        <v>1</v>
      </c>
      <c r="IC103" s="43"/>
      <c r="IH103" s="44">
        <v>0</v>
      </c>
      <c r="II103" s="43"/>
      <c r="IN103" s="44">
        <v>0</v>
      </c>
      <c r="IO103" s="40"/>
      <c r="IP103">
        <v>9</v>
      </c>
      <c r="IQ103">
        <v>11</v>
      </c>
      <c r="IR103" s="44">
        <v>-2</v>
      </c>
      <c r="IS103" s="40"/>
      <c r="IV103">
        <v>4</v>
      </c>
      <c r="IW103">
        <v>4</v>
      </c>
      <c r="IX103" s="44">
        <v>0</v>
      </c>
      <c r="IY103" s="43"/>
      <c r="IZ103">
        <v>4</v>
      </c>
      <c r="JA103" s="47">
        <v>5.4269999999999996</v>
      </c>
      <c r="JB103" s="44">
        <v>-1.427</v>
      </c>
      <c r="JC103" s="40"/>
      <c r="JH103" s="44">
        <v>0</v>
      </c>
      <c r="JI103" s="40"/>
      <c r="JM103">
        <v>30</v>
      </c>
      <c r="JN103" s="46">
        <v>-30</v>
      </c>
      <c r="JO103" s="43">
        <v>30</v>
      </c>
      <c r="JR103">
        <v>4</v>
      </c>
      <c r="JS103">
        <v>4</v>
      </c>
      <c r="JT103" s="44">
        <v>0</v>
      </c>
      <c r="JU103" s="43"/>
      <c r="JZ103" s="44">
        <v>0</v>
      </c>
      <c r="KA103" s="43"/>
      <c r="KB103" s="42"/>
      <c r="KG103">
        <v>13</v>
      </c>
      <c r="KH103">
        <v>10</v>
      </c>
      <c r="KI103" s="44">
        <v>3</v>
      </c>
      <c r="KJ103" s="43"/>
      <c r="KK103" s="47">
        <v>0</v>
      </c>
      <c r="KL103" s="47">
        <v>0</v>
      </c>
      <c r="KM103" s="47">
        <v>0</v>
      </c>
      <c r="KN103" s="47">
        <v>0</v>
      </c>
      <c r="KO103" s="44">
        <v>0</v>
      </c>
      <c r="KP103" s="43"/>
      <c r="KQ103" s="47">
        <v>0</v>
      </c>
      <c r="KR103" s="47">
        <v>0</v>
      </c>
      <c r="KS103" s="47">
        <v>0</v>
      </c>
      <c r="KT103" s="47">
        <v>0</v>
      </c>
      <c r="KU103" s="44">
        <v>0</v>
      </c>
      <c r="KV103" s="43"/>
      <c r="KW103" s="42">
        <v>0</v>
      </c>
      <c r="KX103" s="47">
        <v>0</v>
      </c>
      <c r="KY103" s="44">
        <v>0</v>
      </c>
      <c r="KZ103" s="43"/>
      <c r="LA103" s="42">
        <v>0</v>
      </c>
      <c r="LB103" s="47">
        <v>0</v>
      </c>
      <c r="LC103" s="47">
        <v>0</v>
      </c>
      <c r="LD103" s="47">
        <v>0</v>
      </c>
      <c r="LE103" s="44">
        <v>0</v>
      </c>
      <c r="LF103" s="43"/>
      <c r="LG103" s="42">
        <v>0</v>
      </c>
      <c r="LH103" s="47">
        <v>0</v>
      </c>
      <c r="LI103" s="47">
        <v>0</v>
      </c>
      <c r="LJ103" s="47">
        <v>0</v>
      </c>
      <c r="LK103" s="44">
        <v>0</v>
      </c>
      <c r="LL103" s="43"/>
      <c r="LM103" s="42">
        <v>0</v>
      </c>
      <c r="LN103" s="47">
        <v>0</v>
      </c>
      <c r="LO103" s="44">
        <v>0</v>
      </c>
      <c r="LP103" s="43"/>
      <c r="LQ103" s="42">
        <v>0</v>
      </c>
      <c r="LR103" s="47">
        <v>0</v>
      </c>
      <c r="LS103" s="47">
        <v>0</v>
      </c>
      <c r="LT103" s="47">
        <v>0</v>
      </c>
      <c r="LU103" s="44">
        <v>0</v>
      </c>
      <c r="LV103" s="43"/>
      <c r="LW103" s="42">
        <v>0</v>
      </c>
      <c r="LX103" s="47">
        <v>0</v>
      </c>
      <c r="LY103" s="47">
        <v>0</v>
      </c>
      <c r="LZ103" s="47">
        <v>0</v>
      </c>
      <c r="MA103" s="44">
        <v>0</v>
      </c>
      <c r="MB103" s="43"/>
      <c r="MC103" s="42">
        <v>0</v>
      </c>
      <c r="MD103" s="47">
        <v>0</v>
      </c>
      <c r="ME103" s="47">
        <v>0</v>
      </c>
      <c r="MF103" s="47">
        <v>0</v>
      </c>
      <c r="MG103" s="44">
        <v>0</v>
      </c>
      <c r="MH103" s="43"/>
      <c r="MI103" s="42">
        <v>0</v>
      </c>
      <c r="MJ103" s="47">
        <v>0</v>
      </c>
      <c r="MK103" s="47">
        <v>0</v>
      </c>
      <c r="ML103" s="47">
        <v>0</v>
      </c>
      <c r="MM103" s="44">
        <v>0</v>
      </c>
      <c r="MN103" s="43"/>
      <c r="MO103" s="42">
        <v>0</v>
      </c>
      <c r="MP103" s="47">
        <v>0</v>
      </c>
      <c r="MQ103" s="47">
        <v>0</v>
      </c>
      <c r="MR103" s="47">
        <v>0</v>
      </c>
      <c r="MS103" s="44">
        <v>0</v>
      </c>
      <c r="MT103" s="43"/>
      <c r="MU103" s="22">
        <v>17.03</v>
      </c>
      <c r="MV103" s="47">
        <v>0</v>
      </c>
      <c r="MW103" s="47">
        <v>0</v>
      </c>
      <c r="MX103" s="47">
        <v>0</v>
      </c>
      <c r="MY103" s="44">
        <v>17.03</v>
      </c>
      <c r="MZ103" s="43"/>
      <c r="NA103" s="42">
        <v>0</v>
      </c>
      <c r="NB103" s="47">
        <v>0</v>
      </c>
      <c r="NC103" s="47">
        <v>12.332000000000001</v>
      </c>
      <c r="ND103" s="47">
        <v>10</v>
      </c>
      <c r="NE103" s="44">
        <v>2.3320000000000012</v>
      </c>
      <c r="NF103" s="43"/>
      <c r="NG103" s="42">
        <v>0</v>
      </c>
      <c r="NH103" s="47">
        <v>0</v>
      </c>
      <c r="NI103" s="47">
        <v>12.298999999999999</v>
      </c>
      <c r="NJ103" s="47">
        <v>10</v>
      </c>
      <c r="NK103" s="44">
        <v>2.298999999999999</v>
      </c>
      <c r="NL103" s="43"/>
      <c r="NM103" s="42">
        <v>0</v>
      </c>
      <c r="NN103" s="47">
        <v>0</v>
      </c>
      <c r="NO103" s="47">
        <v>0</v>
      </c>
      <c r="NP103" s="47">
        <v>0</v>
      </c>
      <c r="NQ103" s="44">
        <v>0</v>
      </c>
      <c r="NR103" s="43"/>
      <c r="NS103" s="42">
        <v>0</v>
      </c>
      <c r="NT103" s="47">
        <v>0</v>
      </c>
      <c r="NU103" s="47">
        <v>0</v>
      </c>
      <c r="NV103" s="47">
        <v>0</v>
      </c>
      <c r="NW103" s="44">
        <v>0</v>
      </c>
      <c r="NX103" s="43"/>
      <c r="NY103" s="42">
        <v>0</v>
      </c>
      <c r="NZ103" s="47">
        <v>0</v>
      </c>
      <c r="OA103" s="47">
        <v>0</v>
      </c>
      <c r="OB103" s="47">
        <v>0</v>
      </c>
      <c r="OC103" s="44">
        <v>0</v>
      </c>
      <c r="OD103" s="43"/>
      <c r="OE103" s="42">
        <v>0</v>
      </c>
      <c r="OF103" s="47">
        <v>0</v>
      </c>
      <c r="OG103" s="47">
        <v>0</v>
      </c>
      <c r="OH103" s="47">
        <v>0</v>
      </c>
      <c r="OI103" s="44">
        <v>0</v>
      </c>
      <c r="OJ103" s="43"/>
      <c r="OK103" s="42">
        <v>0</v>
      </c>
      <c r="OL103" s="47">
        <v>0</v>
      </c>
      <c r="OM103" s="47">
        <v>0</v>
      </c>
      <c r="ON103" s="47">
        <v>0</v>
      </c>
      <c r="OO103" s="44">
        <v>0</v>
      </c>
      <c r="OP103" s="43"/>
      <c r="OQ103" s="42">
        <v>0</v>
      </c>
      <c r="OR103" s="47">
        <v>0</v>
      </c>
      <c r="OS103" s="47">
        <v>28.614999999999998</v>
      </c>
      <c r="OT103" s="47">
        <v>30</v>
      </c>
      <c r="OU103" s="44">
        <v>-1.385000000000002</v>
      </c>
      <c r="OV103" s="43"/>
      <c r="OW103" s="42">
        <v>0</v>
      </c>
      <c r="OX103" s="47">
        <v>0</v>
      </c>
      <c r="OY103" s="47">
        <v>51.679000000000002</v>
      </c>
      <c r="OZ103" s="47">
        <v>50</v>
      </c>
      <c r="PA103" s="44">
        <v>1.679000000000002</v>
      </c>
      <c r="PB103" s="43"/>
      <c r="PC103" s="42">
        <v>0</v>
      </c>
      <c r="PD103" s="47">
        <v>0</v>
      </c>
      <c r="PE103" s="47">
        <v>29.172999999999998</v>
      </c>
      <c r="PF103" s="47">
        <v>30</v>
      </c>
      <c r="PG103" s="44">
        <v>-0.82700000000000173</v>
      </c>
      <c r="PH103" s="43"/>
      <c r="PI103" s="42">
        <v>0</v>
      </c>
      <c r="PJ103" s="47">
        <v>0</v>
      </c>
      <c r="PK103" s="47">
        <v>0</v>
      </c>
      <c r="PL103" s="47">
        <v>0</v>
      </c>
      <c r="PM103" s="44">
        <v>0</v>
      </c>
      <c r="PN103" s="43"/>
      <c r="PO103" s="42">
        <v>0</v>
      </c>
      <c r="PP103" s="47">
        <v>0</v>
      </c>
      <c r="PQ103" s="47">
        <v>24.917999999999999</v>
      </c>
      <c r="PR103" s="47">
        <v>25</v>
      </c>
      <c r="PS103" s="44">
        <v>-8.2000000000000739E-2</v>
      </c>
      <c r="PT103" s="43"/>
      <c r="PU103" s="42">
        <v>0</v>
      </c>
      <c r="PV103" s="47">
        <v>0</v>
      </c>
      <c r="PW103" s="47">
        <v>25.023</v>
      </c>
      <c r="PX103" s="47">
        <v>25</v>
      </c>
      <c r="PY103" s="44">
        <v>2.2999999999999691E-2</v>
      </c>
      <c r="PZ103" s="43"/>
      <c r="QA103" s="42">
        <v>0</v>
      </c>
      <c r="QB103" s="47">
        <v>0</v>
      </c>
      <c r="QC103" s="44">
        <v>0</v>
      </c>
      <c r="QD103" s="43"/>
      <c r="QE103" s="42">
        <v>0</v>
      </c>
      <c r="QF103" s="47">
        <v>0</v>
      </c>
      <c r="QG103" s="44">
        <v>0</v>
      </c>
      <c r="QH103" s="43"/>
      <c r="QI103" s="42">
        <v>0</v>
      </c>
      <c r="QJ103" s="47">
        <v>0</v>
      </c>
      <c r="QK103" s="44">
        <v>0</v>
      </c>
      <c r="QL103" s="43"/>
      <c r="QM103" s="42">
        <v>0</v>
      </c>
      <c r="QN103" s="47">
        <v>0</v>
      </c>
      <c r="QO103" s="47">
        <v>0</v>
      </c>
      <c r="QP103" s="47">
        <v>0</v>
      </c>
      <c r="QQ103" s="44">
        <v>0</v>
      </c>
      <c r="QR103" s="43"/>
      <c r="QS103" s="42">
        <v>0</v>
      </c>
      <c r="QT103" s="47">
        <v>0</v>
      </c>
      <c r="QU103" s="44">
        <v>0</v>
      </c>
      <c r="QV103" s="43"/>
      <c r="QW103" s="42">
        <v>0</v>
      </c>
      <c r="QX103" s="47">
        <v>0</v>
      </c>
      <c r="QY103" s="44">
        <v>0</v>
      </c>
      <c r="QZ103" s="43"/>
    </row>
    <row r="104" spans="1:468" x14ac:dyDescent="0.25">
      <c r="A104" s="47" t="s">
        <v>388</v>
      </c>
      <c r="B104" s="38">
        <v>0.41</v>
      </c>
      <c r="N104" s="39"/>
      <c r="O104" s="48"/>
      <c r="P104" s="48"/>
      <c r="Q104" s="48"/>
      <c r="R104" s="48">
        <f t="shared" si="13"/>
        <v>0</v>
      </c>
      <c r="S104" s="40"/>
      <c r="T104" s="39"/>
      <c r="U104" s="48"/>
      <c r="V104" s="48">
        <f t="shared" si="14"/>
        <v>0</v>
      </c>
      <c r="W104" s="40"/>
      <c r="X104" s="39"/>
      <c r="Y104" s="48"/>
      <c r="Z104" s="48"/>
      <c r="AA104" s="48"/>
      <c r="AB104" s="48">
        <f t="shared" si="15"/>
        <v>0</v>
      </c>
      <c r="AC104" s="40"/>
      <c r="AD104" s="48"/>
      <c r="AH104" s="44">
        <v>0</v>
      </c>
      <c r="AI104" s="40"/>
      <c r="AN104" s="44">
        <v>0</v>
      </c>
      <c r="AO104" s="40"/>
      <c r="AT104" s="44">
        <v>0</v>
      </c>
      <c r="AU104" s="40"/>
      <c r="AV104" s="39"/>
      <c r="AX104" s="44">
        <v>0</v>
      </c>
      <c r="AY104" s="40"/>
      <c r="AZ104" s="39"/>
      <c r="BB104" s="44">
        <v>0</v>
      </c>
      <c r="BC104" s="40"/>
      <c r="BH104" s="44">
        <v>0</v>
      </c>
      <c r="BI104" s="40"/>
      <c r="BL104" s="44">
        <v>0</v>
      </c>
      <c r="BM104" s="40"/>
      <c r="BN104" s="39"/>
      <c r="BR104" s="44">
        <v>0</v>
      </c>
      <c r="BS104" s="40"/>
      <c r="BV104" s="44">
        <v>0</v>
      </c>
      <c r="BW104" s="40"/>
      <c r="BX104" s="39"/>
      <c r="BZ104" s="44">
        <v>0</v>
      </c>
      <c r="CA104" s="40"/>
      <c r="CB104" s="39"/>
      <c r="CH104" s="44">
        <v>0</v>
      </c>
      <c r="CI104" s="40"/>
      <c r="CN104" s="44">
        <v>0</v>
      </c>
      <c r="CO104" s="40"/>
      <c r="CP104" s="39"/>
      <c r="CT104" s="44">
        <v>0</v>
      </c>
      <c r="CU104" s="40"/>
      <c r="CV104" s="39"/>
      <c r="CX104">
        <v>32</v>
      </c>
      <c r="CY104">
        <v>32</v>
      </c>
      <c r="CZ104" s="44">
        <v>0</v>
      </c>
      <c r="DA104" s="40"/>
      <c r="DB104" s="39"/>
      <c r="DD104">
        <v>24</v>
      </c>
      <c r="DE104">
        <v>25</v>
      </c>
      <c r="DF104" s="44">
        <v>-1</v>
      </c>
      <c r="DG104" s="40"/>
      <c r="DJ104">
        <v>16</v>
      </c>
      <c r="DK104">
        <v>20</v>
      </c>
      <c r="DN104" s="44">
        <v>-4</v>
      </c>
      <c r="DO104" s="40"/>
      <c r="DP104" s="39"/>
      <c r="DR104" s="44">
        <v>0</v>
      </c>
      <c r="DS104" s="40"/>
      <c r="DT104" s="39"/>
      <c r="DV104">
        <v>40</v>
      </c>
      <c r="DW104">
        <v>38</v>
      </c>
      <c r="DX104" s="44">
        <v>2</v>
      </c>
      <c r="DY104" s="40"/>
      <c r="DZ104" s="39"/>
      <c r="EB104" s="44">
        <v>0</v>
      </c>
      <c r="EC104" s="40"/>
      <c r="EI104">
        <v>24</v>
      </c>
      <c r="EJ104">
        <v>24</v>
      </c>
      <c r="EK104" s="44">
        <v>0</v>
      </c>
      <c r="EL104" s="40"/>
      <c r="ES104" s="44">
        <v>0</v>
      </c>
      <c r="ET104" s="40"/>
      <c r="EU104" s="39"/>
      <c r="EY104" s="44">
        <v>0</v>
      </c>
      <c r="EZ104" s="40"/>
      <c r="FA104" s="39"/>
      <c r="FD104" s="44">
        <v>0</v>
      </c>
      <c r="FE104" s="40"/>
      <c r="FF104">
        <v>16</v>
      </c>
      <c r="FG104">
        <v>16</v>
      </c>
      <c r="FH104" s="44">
        <v>0</v>
      </c>
      <c r="FI104" s="40"/>
      <c r="FJ104" s="39"/>
      <c r="FQ104" s="44">
        <v>0</v>
      </c>
      <c r="FR104" s="40"/>
      <c r="FW104" s="44">
        <v>0</v>
      </c>
      <c r="FX104" s="40"/>
      <c r="FY104" s="39"/>
      <c r="GA104">
        <v>16</v>
      </c>
      <c r="GB104">
        <v>16</v>
      </c>
      <c r="GC104" s="44">
        <v>0</v>
      </c>
      <c r="GD104" s="40"/>
      <c r="GI104" s="44">
        <v>0</v>
      </c>
      <c r="GJ104" s="40"/>
      <c r="GM104" s="44">
        <v>0</v>
      </c>
      <c r="GN104" s="40"/>
      <c r="GO104" s="39"/>
      <c r="GQ104" s="44">
        <v>0</v>
      </c>
      <c r="GR104" s="40"/>
      <c r="GX104" s="44">
        <v>0</v>
      </c>
      <c r="GY104" s="40"/>
      <c r="HD104" s="44">
        <v>0</v>
      </c>
      <c r="HE104" s="40"/>
      <c r="HF104" s="39"/>
      <c r="HH104">
        <v>120</v>
      </c>
      <c r="HI104">
        <v>141</v>
      </c>
      <c r="HJ104" s="46">
        <v>-21</v>
      </c>
      <c r="HK104" s="40">
        <v>8.61</v>
      </c>
      <c r="HL104" s="39"/>
      <c r="HP104" s="44">
        <v>0</v>
      </c>
      <c r="HQ104" s="40"/>
      <c r="HV104" s="44">
        <v>0</v>
      </c>
      <c r="HW104" s="43"/>
      <c r="HZ104">
        <v>120</v>
      </c>
      <c r="IA104">
        <v>120</v>
      </c>
      <c r="IB104" s="44">
        <v>0</v>
      </c>
      <c r="IC104" s="43"/>
      <c r="ID104">
        <v>24</v>
      </c>
      <c r="IE104">
        <v>24</v>
      </c>
      <c r="IF104">
        <v>24</v>
      </c>
      <c r="IG104">
        <v>24</v>
      </c>
      <c r="IH104" s="44">
        <v>0</v>
      </c>
      <c r="II104" s="43"/>
      <c r="IJ104">
        <v>24</v>
      </c>
      <c r="IK104">
        <v>24</v>
      </c>
      <c r="IN104" s="44">
        <v>0</v>
      </c>
      <c r="IO104" s="40"/>
      <c r="IP104">
        <v>40</v>
      </c>
      <c r="IQ104">
        <v>40</v>
      </c>
      <c r="IR104" s="44">
        <v>0</v>
      </c>
      <c r="IS104" s="40"/>
      <c r="IX104" s="44">
        <v>0</v>
      </c>
      <c r="IY104" s="43"/>
      <c r="JB104" s="44">
        <v>0</v>
      </c>
      <c r="JC104" s="40"/>
      <c r="JH104" s="44">
        <v>0</v>
      </c>
      <c r="JI104" s="40"/>
      <c r="JJ104">
        <v>32</v>
      </c>
      <c r="JK104">
        <v>32</v>
      </c>
      <c r="JL104">
        <v>64</v>
      </c>
      <c r="JM104">
        <v>68</v>
      </c>
      <c r="JN104" s="44">
        <v>-4</v>
      </c>
      <c r="JO104" s="43"/>
      <c r="JT104" s="44">
        <v>0</v>
      </c>
      <c r="JU104" s="43"/>
      <c r="JZ104" s="44">
        <v>0</v>
      </c>
      <c r="KA104" s="43"/>
      <c r="KB104" s="42"/>
      <c r="KE104">
        <v>128</v>
      </c>
      <c r="KF104">
        <v>130</v>
      </c>
      <c r="KG104">
        <v>128</v>
      </c>
      <c r="KH104">
        <v>130</v>
      </c>
      <c r="KI104" s="44">
        <v>-4</v>
      </c>
      <c r="KJ104" s="43"/>
      <c r="KK104" s="47">
        <v>0</v>
      </c>
      <c r="KL104" s="47">
        <v>0</v>
      </c>
      <c r="KM104" s="47">
        <v>0</v>
      </c>
      <c r="KN104" s="47">
        <v>0</v>
      </c>
      <c r="KO104" s="44">
        <v>0</v>
      </c>
      <c r="KP104" s="43"/>
      <c r="KQ104" s="47">
        <v>0</v>
      </c>
      <c r="KR104" s="47">
        <v>0</v>
      </c>
      <c r="KS104" s="47">
        <v>120</v>
      </c>
      <c r="KT104" s="47">
        <v>125</v>
      </c>
      <c r="KU104" s="44">
        <v>-5</v>
      </c>
      <c r="KV104" s="43"/>
      <c r="KW104" s="42">
        <v>48</v>
      </c>
      <c r="KX104" s="47">
        <v>48</v>
      </c>
      <c r="KY104" s="44">
        <v>0</v>
      </c>
      <c r="KZ104" s="43"/>
      <c r="LA104" s="42">
        <v>0</v>
      </c>
      <c r="LB104" s="47">
        <v>0</v>
      </c>
      <c r="LC104" s="47">
        <v>0</v>
      </c>
      <c r="LD104" s="47">
        <v>0</v>
      </c>
      <c r="LE104" s="44">
        <v>0</v>
      </c>
      <c r="LF104" s="43"/>
      <c r="LG104" s="42">
        <v>48</v>
      </c>
      <c r="LH104" s="47">
        <v>48</v>
      </c>
      <c r="LI104" s="47">
        <v>72</v>
      </c>
      <c r="LJ104" s="47">
        <v>72</v>
      </c>
      <c r="LK104" s="44">
        <v>0</v>
      </c>
      <c r="LL104" s="43"/>
      <c r="LM104" s="42">
        <v>0</v>
      </c>
      <c r="LN104" s="47">
        <v>0</v>
      </c>
      <c r="LO104" s="44">
        <v>0</v>
      </c>
      <c r="LP104" s="43"/>
      <c r="LQ104" s="42">
        <v>0</v>
      </c>
      <c r="LR104" s="47">
        <v>0</v>
      </c>
      <c r="LS104" s="47">
        <v>0</v>
      </c>
      <c r="LT104" s="47">
        <v>0</v>
      </c>
      <c r="LU104" s="44">
        <v>0</v>
      </c>
      <c r="LV104" s="43"/>
      <c r="LW104" s="42">
        <v>128</v>
      </c>
      <c r="LX104" s="47">
        <v>131</v>
      </c>
      <c r="LY104" s="47">
        <v>0</v>
      </c>
      <c r="LZ104" s="47">
        <v>0</v>
      </c>
      <c r="MA104" s="44">
        <v>-3</v>
      </c>
      <c r="MB104" s="43"/>
      <c r="MC104" s="42">
        <v>0</v>
      </c>
      <c r="MD104" s="47">
        <v>0</v>
      </c>
      <c r="ME104" s="47">
        <v>24</v>
      </c>
      <c r="MF104" s="47">
        <v>24</v>
      </c>
      <c r="MG104" s="44">
        <v>0</v>
      </c>
      <c r="MH104" s="43"/>
      <c r="MI104" s="42">
        <v>0</v>
      </c>
      <c r="MJ104" s="47">
        <v>0</v>
      </c>
      <c r="MK104" s="47">
        <v>0</v>
      </c>
      <c r="ML104" s="47">
        <v>0</v>
      </c>
      <c r="MM104" s="44">
        <v>0</v>
      </c>
      <c r="MN104" s="43"/>
      <c r="MO104" s="42">
        <v>48</v>
      </c>
      <c r="MP104" s="47">
        <v>50</v>
      </c>
      <c r="MQ104" s="47">
        <v>192</v>
      </c>
      <c r="MR104" s="47">
        <v>197</v>
      </c>
      <c r="MS104" s="44">
        <v>-7</v>
      </c>
      <c r="MT104" s="43"/>
      <c r="MU104" s="22">
        <v>32</v>
      </c>
      <c r="MV104" s="47">
        <v>0</v>
      </c>
      <c r="MW104" s="47">
        <v>56</v>
      </c>
      <c r="MX104" s="47">
        <v>55</v>
      </c>
      <c r="MY104" s="44">
        <v>33</v>
      </c>
      <c r="MZ104" s="43"/>
      <c r="NA104" s="42">
        <v>0</v>
      </c>
      <c r="NB104" s="47">
        <v>0</v>
      </c>
      <c r="NC104" s="47">
        <v>32</v>
      </c>
      <c r="ND104" s="47">
        <v>35</v>
      </c>
      <c r="NE104" s="44">
        <v>-3</v>
      </c>
      <c r="NF104" s="43"/>
      <c r="NG104" s="42">
        <v>96</v>
      </c>
      <c r="NH104" s="47">
        <v>100</v>
      </c>
      <c r="NI104" s="47">
        <v>128</v>
      </c>
      <c r="NJ104" s="47">
        <v>130</v>
      </c>
      <c r="NK104" s="44">
        <v>-6</v>
      </c>
      <c r="NL104" s="43"/>
      <c r="NM104" s="42">
        <v>0</v>
      </c>
      <c r="NN104" s="47">
        <v>0</v>
      </c>
      <c r="NO104" s="47">
        <v>128</v>
      </c>
      <c r="NP104" s="47">
        <v>130</v>
      </c>
      <c r="NQ104" s="44">
        <v>-2</v>
      </c>
      <c r="NR104" s="43"/>
      <c r="NS104" s="42">
        <v>48</v>
      </c>
      <c r="NT104" s="47">
        <v>50</v>
      </c>
      <c r="NU104" s="47">
        <v>0</v>
      </c>
      <c r="NV104" s="47">
        <v>0</v>
      </c>
      <c r="NW104" s="44">
        <v>-2</v>
      </c>
      <c r="NX104" s="43"/>
      <c r="NY104" s="42">
        <v>0</v>
      </c>
      <c r="NZ104" s="47">
        <v>0</v>
      </c>
      <c r="OA104" s="47">
        <v>168</v>
      </c>
      <c r="OB104" s="47">
        <v>169</v>
      </c>
      <c r="OC104" s="44">
        <v>-1</v>
      </c>
      <c r="OD104" s="43"/>
      <c r="OE104" s="42">
        <v>0</v>
      </c>
      <c r="OF104" s="47">
        <v>0</v>
      </c>
      <c r="OG104" s="47">
        <v>16</v>
      </c>
      <c r="OH104" s="47">
        <v>16</v>
      </c>
      <c r="OI104" s="44">
        <v>0</v>
      </c>
      <c r="OJ104" s="43"/>
      <c r="OK104" s="42">
        <v>48</v>
      </c>
      <c r="OL104" s="47">
        <v>50</v>
      </c>
      <c r="OM104" s="47">
        <v>56</v>
      </c>
      <c r="ON104" s="47">
        <v>60</v>
      </c>
      <c r="OO104" s="44">
        <v>-6</v>
      </c>
      <c r="OP104" s="43"/>
      <c r="OQ104" s="42">
        <v>0</v>
      </c>
      <c r="OR104" s="47">
        <v>0</v>
      </c>
      <c r="OS104" s="47">
        <v>32</v>
      </c>
      <c r="OT104" s="47">
        <v>30</v>
      </c>
      <c r="OU104" s="44">
        <v>2</v>
      </c>
      <c r="OV104" s="43"/>
      <c r="OW104" s="42">
        <v>0</v>
      </c>
      <c r="OX104" s="47">
        <v>0</v>
      </c>
      <c r="OY104" s="47">
        <v>48</v>
      </c>
      <c r="OZ104" s="47">
        <v>50</v>
      </c>
      <c r="PA104" s="44">
        <v>-2</v>
      </c>
      <c r="PB104" s="43"/>
      <c r="PC104" s="42"/>
      <c r="PH104" s="43"/>
      <c r="PI104" s="42"/>
      <c r="PN104" s="43"/>
      <c r="PO104" s="42"/>
      <c r="PT104" s="43"/>
      <c r="PU104" s="42"/>
      <c r="PZ104" s="43"/>
      <c r="QA104" s="42"/>
      <c r="QD104" s="43"/>
      <c r="QE104" s="42"/>
      <c r="QH104" s="43"/>
      <c r="QI104" s="42"/>
      <c r="QL104" s="43"/>
      <c r="QM104" s="42"/>
      <c r="QR104" s="43"/>
      <c r="QS104" s="42"/>
      <c r="QV104" s="43"/>
      <c r="QW104" s="42"/>
      <c r="QY104" s="44"/>
      <c r="QZ104" s="43"/>
    </row>
    <row r="105" spans="1:468" x14ac:dyDescent="0.25">
      <c r="A105" s="47" t="s">
        <v>389</v>
      </c>
      <c r="B105" s="38">
        <v>1</v>
      </c>
      <c r="N105" s="39"/>
      <c r="O105" s="48"/>
      <c r="P105" s="48"/>
      <c r="Q105" s="48"/>
      <c r="R105" s="48">
        <f t="shared" si="13"/>
        <v>0</v>
      </c>
      <c r="S105" s="40"/>
      <c r="T105" s="39"/>
      <c r="U105" s="48"/>
      <c r="V105" s="48">
        <f t="shared" si="14"/>
        <v>0</v>
      </c>
      <c r="W105" s="40"/>
      <c r="X105" s="39"/>
      <c r="Y105" s="48"/>
      <c r="Z105" s="48"/>
      <c r="AA105" s="48"/>
      <c r="AB105" s="48">
        <f t="shared" si="15"/>
        <v>0</v>
      </c>
      <c r="AC105" s="40"/>
      <c r="AD105" s="48"/>
      <c r="AH105" s="44">
        <v>0</v>
      </c>
      <c r="AI105" s="40"/>
      <c r="AN105" s="44">
        <v>0</v>
      </c>
      <c r="AO105" s="40"/>
      <c r="AT105" s="44">
        <v>0</v>
      </c>
      <c r="AU105" s="40"/>
      <c r="AV105" s="39"/>
      <c r="AX105" s="44">
        <v>0</v>
      </c>
      <c r="AY105" s="40"/>
      <c r="AZ105" s="39"/>
      <c r="BB105" s="44">
        <v>0</v>
      </c>
      <c r="BC105" s="40"/>
      <c r="BH105" s="44">
        <v>0</v>
      </c>
      <c r="BI105" s="40"/>
      <c r="BL105" s="44">
        <v>0</v>
      </c>
      <c r="BM105" s="40"/>
      <c r="BN105" s="39"/>
      <c r="BR105" s="44">
        <v>0</v>
      </c>
      <c r="BS105" s="40"/>
      <c r="BV105" s="44">
        <v>0</v>
      </c>
      <c r="BW105" s="40"/>
      <c r="BX105" s="39"/>
      <c r="BZ105" s="44">
        <v>0</v>
      </c>
      <c r="CA105" s="40"/>
      <c r="CB105" s="39"/>
      <c r="CH105" s="44">
        <v>0</v>
      </c>
      <c r="CI105" s="40"/>
      <c r="CN105" s="44">
        <v>0</v>
      </c>
      <c r="CO105" s="40"/>
      <c r="CP105" s="39"/>
      <c r="CT105" s="44">
        <v>0</v>
      </c>
      <c r="CU105" s="40"/>
      <c r="CV105" s="39"/>
      <c r="CZ105" s="44">
        <v>0</v>
      </c>
      <c r="DA105" s="40"/>
      <c r="DB105" s="39"/>
      <c r="DF105" s="44">
        <v>0</v>
      </c>
      <c r="DG105" s="40"/>
      <c r="DN105" s="44">
        <v>0</v>
      </c>
      <c r="DO105" s="40"/>
      <c r="DP105" s="39"/>
      <c r="DR105" s="44">
        <v>0</v>
      </c>
      <c r="DS105" s="40"/>
      <c r="DT105" s="39"/>
      <c r="DX105" s="44">
        <v>0</v>
      </c>
      <c r="DY105" s="40"/>
      <c r="DZ105" s="39"/>
      <c r="EB105" s="44">
        <v>0</v>
      </c>
      <c r="EC105" s="40"/>
      <c r="EK105" s="44">
        <v>0</v>
      </c>
      <c r="EL105" s="40"/>
      <c r="ES105" s="44">
        <v>0</v>
      </c>
      <c r="ET105" s="40"/>
      <c r="EU105" s="39"/>
      <c r="EY105" s="44">
        <v>0</v>
      </c>
      <c r="EZ105" s="40"/>
      <c r="FA105" s="39"/>
      <c r="FD105" s="44">
        <v>0</v>
      </c>
      <c r="FE105" s="40"/>
      <c r="FH105" s="44">
        <v>0</v>
      </c>
      <c r="FI105" s="40"/>
      <c r="FJ105" s="39"/>
      <c r="FQ105" s="44">
        <v>0</v>
      </c>
      <c r="FR105" s="40"/>
      <c r="FW105" s="44">
        <v>0</v>
      </c>
      <c r="FX105" s="40"/>
      <c r="FY105" s="39"/>
      <c r="GC105" s="44">
        <v>0</v>
      </c>
      <c r="GD105" s="40"/>
      <c r="GI105" s="44">
        <v>0</v>
      </c>
      <c r="GJ105" s="40"/>
      <c r="GM105" s="44">
        <v>0</v>
      </c>
      <c r="GN105" s="40"/>
      <c r="GO105" s="39"/>
      <c r="GQ105" s="44">
        <v>0</v>
      </c>
      <c r="GR105" s="40"/>
      <c r="GX105" s="44">
        <v>0</v>
      </c>
      <c r="GY105" s="40"/>
      <c r="HD105" s="44">
        <v>0</v>
      </c>
      <c r="HE105" s="40"/>
      <c r="HF105" s="39"/>
      <c r="HJ105" s="44">
        <v>0</v>
      </c>
      <c r="HK105" s="40"/>
      <c r="HL105" s="39"/>
      <c r="HP105" s="44">
        <v>0</v>
      </c>
      <c r="HQ105" s="40"/>
      <c r="HV105" s="44">
        <v>0</v>
      </c>
      <c r="HW105" s="43"/>
      <c r="IB105" s="44">
        <v>0</v>
      </c>
      <c r="IC105" s="43"/>
      <c r="IH105" s="44">
        <v>0</v>
      </c>
      <c r="II105" s="43"/>
      <c r="IN105" s="44">
        <v>0</v>
      </c>
      <c r="IO105" s="40"/>
      <c r="IR105" s="44">
        <v>0</v>
      </c>
      <c r="IS105" s="40"/>
      <c r="IX105" s="44">
        <v>0</v>
      </c>
      <c r="IY105" s="43"/>
      <c r="JB105" s="44">
        <v>0</v>
      </c>
      <c r="JC105" s="40"/>
      <c r="JH105" s="44">
        <v>0</v>
      </c>
      <c r="JI105" s="40"/>
      <c r="JN105" s="44">
        <v>0</v>
      </c>
      <c r="JO105" s="43"/>
      <c r="JT105" s="44">
        <v>0</v>
      </c>
      <c r="JU105" s="43"/>
      <c r="JZ105" s="44">
        <v>0</v>
      </c>
      <c r="KA105" s="43"/>
      <c r="KB105" s="42"/>
      <c r="KI105" s="44">
        <v>0</v>
      </c>
      <c r="KJ105" s="43"/>
      <c r="KK105" s="47">
        <v>0</v>
      </c>
      <c r="KL105" s="47">
        <v>0</v>
      </c>
      <c r="KM105" s="47">
        <v>0</v>
      </c>
      <c r="KN105" s="47">
        <v>0</v>
      </c>
      <c r="KO105" s="44">
        <v>0</v>
      </c>
      <c r="KP105" s="43"/>
      <c r="KQ105" s="47">
        <v>0</v>
      </c>
      <c r="KR105" s="47">
        <v>0</v>
      </c>
      <c r="KS105" s="47">
        <v>0</v>
      </c>
      <c r="KT105" s="47">
        <v>0</v>
      </c>
      <c r="KU105" s="44">
        <v>0</v>
      </c>
      <c r="KV105" s="43"/>
      <c r="KW105" s="42">
        <v>0</v>
      </c>
      <c r="KX105" s="47">
        <v>0</v>
      </c>
      <c r="KY105" s="44">
        <v>0</v>
      </c>
      <c r="KZ105" s="43"/>
      <c r="LA105" s="42">
        <v>0</v>
      </c>
      <c r="LB105" s="47">
        <v>0</v>
      </c>
      <c r="LC105" s="47">
        <v>0</v>
      </c>
      <c r="LD105" s="47">
        <v>0</v>
      </c>
      <c r="LE105" s="44">
        <v>0</v>
      </c>
      <c r="LF105" s="43"/>
      <c r="LG105" s="42">
        <v>0</v>
      </c>
      <c r="LH105" s="47">
        <v>0</v>
      </c>
      <c r="LI105" s="47">
        <v>0</v>
      </c>
      <c r="LJ105" s="47">
        <v>0</v>
      </c>
      <c r="LK105" s="44">
        <v>0</v>
      </c>
      <c r="LL105" s="43"/>
      <c r="LM105" s="42">
        <v>0</v>
      </c>
      <c r="LN105" s="47">
        <v>0</v>
      </c>
      <c r="LO105" s="44">
        <v>0</v>
      </c>
      <c r="LP105" s="43"/>
      <c r="LQ105" s="42">
        <v>0</v>
      </c>
      <c r="LR105" s="47">
        <v>0</v>
      </c>
      <c r="LS105" s="47">
        <v>0</v>
      </c>
      <c r="LT105" s="47">
        <v>0</v>
      </c>
      <c r="LU105" s="44">
        <v>0</v>
      </c>
      <c r="LV105" s="43"/>
      <c r="LW105" s="42">
        <v>28.747</v>
      </c>
      <c r="LX105" s="47">
        <v>30</v>
      </c>
      <c r="LY105" s="47">
        <v>0</v>
      </c>
      <c r="LZ105" s="47">
        <v>0</v>
      </c>
      <c r="MA105" s="44">
        <v>-1.2529999999999999</v>
      </c>
      <c r="MB105" s="43"/>
      <c r="MC105" s="42">
        <v>0</v>
      </c>
      <c r="MD105" s="47">
        <v>0</v>
      </c>
      <c r="ME105" s="47">
        <v>0</v>
      </c>
      <c r="MF105" s="47">
        <v>0</v>
      </c>
      <c r="MG105" s="44">
        <v>0</v>
      </c>
      <c r="MH105" s="43"/>
      <c r="MI105" s="42">
        <v>0</v>
      </c>
      <c r="MJ105" s="47">
        <v>0</v>
      </c>
      <c r="MK105" s="47">
        <v>0</v>
      </c>
      <c r="ML105" s="47">
        <v>0</v>
      </c>
      <c r="MM105" s="44">
        <v>0</v>
      </c>
      <c r="MN105" s="43"/>
      <c r="MO105" s="42">
        <v>0</v>
      </c>
      <c r="MP105" s="47">
        <v>0</v>
      </c>
      <c r="MQ105" s="47">
        <v>0</v>
      </c>
      <c r="MR105" s="47">
        <v>0</v>
      </c>
      <c r="MS105" s="44">
        <v>0</v>
      </c>
      <c r="MT105" s="43"/>
      <c r="MU105" s="42">
        <v>0</v>
      </c>
      <c r="MV105" s="47">
        <v>0</v>
      </c>
      <c r="MW105" s="47">
        <v>0</v>
      </c>
      <c r="MX105" s="47">
        <v>0</v>
      </c>
      <c r="MY105" s="44">
        <v>0</v>
      </c>
      <c r="MZ105" s="43"/>
      <c r="NA105" s="42">
        <v>0</v>
      </c>
      <c r="NB105" s="47">
        <v>0</v>
      </c>
      <c r="NC105" s="47">
        <v>12.618</v>
      </c>
      <c r="ND105" s="47">
        <v>10</v>
      </c>
      <c r="NE105" s="44">
        <v>2.6179999999999999</v>
      </c>
      <c r="NF105" s="43"/>
      <c r="NG105" s="42">
        <v>0</v>
      </c>
      <c r="NH105" s="47">
        <v>0</v>
      </c>
      <c r="NI105" s="47">
        <v>12.557</v>
      </c>
      <c r="NJ105" s="47">
        <v>10</v>
      </c>
      <c r="NK105" s="44">
        <v>2.5569999999999999</v>
      </c>
      <c r="NL105" s="43"/>
      <c r="NM105" s="42">
        <v>0</v>
      </c>
      <c r="NN105" s="47">
        <v>0</v>
      </c>
      <c r="NO105" s="47">
        <v>24.478000000000002</v>
      </c>
      <c r="NP105" s="47">
        <v>25</v>
      </c>
      <c r="NQ105" s="44">
        <v>-0.52199999999999847</v>
      </c>
      <c r="NR105" s="43"/>
      <c r="NS105" s="42">
        <v>0</v>
      </c>
      <c r="NT105" s="26">
        <v>15</v>
      </c>
      <c r="NU105" s="47">
        <v>0</v>
      </c>
      <c r="NV105" s="47">
        <v>0</v>
      </c>
      <c r="NW105" s="46">
        <v>-15</v>
      </c>
      <c r="NX105" s="43">
        <v>15</v>
      </c>
      <c r="NY105" s="42">
        <v>0</v>
      </c>
      <c r="NZ105" s="47">
        <v>0</v>
      </c>
      <c r="OA105" s="47">
        <v>0</v>
      </c>
      <c r="OB105" s="47">
        <v>0</v>
      </c>
      <c r="OC105" s="44">
        <v>0</v>
      </c>
      <c r="OD105" s="43"/>
      <c r="OE105" s="42">
        <v>0</v>
      </c>
      <c r="OF105" s="47">
        <v>0</v>
      </c>
      <c r="OG105" s="47">
        <v>4.0780000000000003</v>
      </c>
      <c r="OH105" s="47">
        <v>5</v>
      </c>
      <c r="OI105" s="44">
        <v>-0.92199999999999971</v>
      </c>
      <c r="OJ105" s="43"/>
      <c r="OK105" s="42">
        <v>0</v>
      </c>
      <c r="OL105" s="47">
        <v>0</v>
      </c>
      <c r="OM105" s="47">
        <v>0</v>
      </c>
      <c r="ON105" s="47">
        <v>0</v>
      </c>
      <c r="OO105" s="44">
        <v>0</v>
      </c>
      <c r="OP105" s="43"/>
      <c r="OQ105" s="42">
        <v>0</v>
      </c>
      <c r="OR105" s="47">
        <v>0</v>
      </c>
      <c r="OS105" s="47">
        <v>0</v>
      </c>
      <c r="OT105" s="47">
        <v>0</v>
      </c>
      <c r="OU105" s="44">
        <v>0</v>
      </c>
      <c r="OV105" s="43"/>
      <c r="OW105" s="42">
        <v>0</v>
      </c>
      <c r="OX105" s="47">
        <v>0</v>
      </c>
      <c r="OY105" s="47">
        <v>17.164999999999999</v>
      </c>
      <c r="OZ105" s="47">
        <v>15</v>
      </c>
      <c r="PA105" s="44">
        <v>2.1649999999999991</v>
      </c>
      <c r="PB105" s="43"/>
      <c r="PC105" s="42">
        <v>0</v>
      </c>
      <c r="PD105" s="47">
        <v>0</v>
      </c>
      <c r="PE105" s="47">
        <v>62.756</v>
      </c>
      <c r="PF105" s="47">
        <v>65</v>
      </c>
      <c r="PG105" s="44">
        <v>-2.2440000000000002</v>
      </c>
      <c r="PH105" s="43"/>
      <c r="PI105" s="42">
        <v>0</v>
      </c>
      <c r="PJ105" s="47">
        <v>0</v>
      </c>
      <c r="PK105" s="47">
        <v>0</v>
      </c>
      <c r="PL105" s="47">
        <v>0</v>
      </c>
      <c r="PM105" s="44">
        <v>0</v>
      </c>
      <c r="PN105" s="43"/>
      <c r="PO105" s="42">
        <v>0</v>
      </c>
      <c r="PP105" s="47">
        <v>0</v>
      </c>
      <c r="PQ105" s="47">
        <v>33.393999999999998</v>
      </c>
      <c r="PR105" s="47">
        <v>35</v>
      </c>
      <c r="PS105" s="44">
        <v>-1.6060000000000021</v>
      </c>
      <c r="PT105" s="43"/>
      <c r="PU105" s="42">
        <v>25.068000000000001</v>
      </c>
      <c r="PV105" s="47">
        <v>25</v>
      </c>
      <c r="PW105" s="47">
        <v>0</v>
      </c>
      <c r="PX105" s="47">
        <v>0</v>
      </c>
      <c r="PY105" s="44">
        <v>6.8000000000001393E-2</v>
      </c>
      <c r="PZ105" s="43"/>
      <c r="QA105" s="42">
        <v>0</v>
      </c>
      <c r="QB105" s="47">
        <v>0</v>
      </c>
      <c r="QC105" s="44">
        <v>0</v>
      </c>
      <c r="QD105" s="43"/>
      <c r="QE105" s="42">
        <v>0</v>
      </c>
      <c r="QF105" s="47">
        <v>0</v>
      </c>
      <c r="QG105" s="44">
        <v>0</v>
      </c>
      <c r="QH105" s="43"/>
      <c r="QI105" s="42">
        <v>0</v>
      </c>
      <c r="QJ105" s="47">
        <v>0</v>
      </c>
      <c r="QK105" s="44">
        <v>0</v>
      </c>
      <c r="QL105" s="43"/>
      <c r="QM105" s="42">
        <v>0</v>
      </c>
      <c r="QN105" s="47">
        <v>0</v>
      </c>
      <c r="QO105" s="47">
        <v>0</v>
      </c>
      <c r="QP105" s="47">
        <v>0</v>
      </c>
      <c r="QQ105" s="44">
        <v>0</v>
      </c>
      <c r="QR105" s="43"/>
      <c r="QS105" s="42">
        <v>0</v>
      </c>
      <c r="QT105" s="47">
        <v>0</v>
      </c>
      <c r="QU105" s="44">
        <v>0</v>
      </c>
      <c r="QV105" s="43"/>
      <c r="QW105" s="42">
        <v>0</v>
      </c>
      <c r="QX105" s="47">
        <v>0</v>
      </c>
      <c r="QY105" s="44">
        <v>0</v>
      </c>
      <c r="QZ105" s="43"/>
    </row>
    <row r="106" spans="1:468" x14ac:dyDescent="0.25">
      <c r="A106" s="47" t="s">
        <v>390</v>
      </c>
      <c r="B106" s="38">
        <v>0.36</v>
      </c>
      <c r="I106">
        <v>170</v>
      </c>
      <c r="J106">
        <v>186</v>
      </c>
      <c r="K106">
        <v>189</v>
      </c>
      <c r="N106" s="39"/>
      <c r="O106" s="48"/>
      <c r="P106" s="48"/>
      <c r="Q106" s="48"/>
      <c r="R106" s="48">
        <f t="shared" si="13"/>
        <v>0</v>
      </c>
      <c r="S106" s="40"/>
      <c r="T106" s="41">
        <v>66</v>
      </c>
      <c r="U106" s="49">
        <v>64</v>
      </c>
      <c r="V106" s="48">
        <f t="shared" si="14"/>
        <v>2</v>
      </c>
      <c r="W106" s="40"/>
      <c r="X106" s="41">
        <v>150</v>
      </c>
      <c r="Y106" s="49">
        <v>150</v>
      </c>
      <c r="Z106" s="49">
        <v>168</v>
      </c>
      <c r="AA106" s="49">
        <v>170</v>
      </c>
      <c r="AB106" s="48">
        <f t="shared" si="15"/>
        <v>-2</v>
      </c>
      <c r="AC106" s="40"/>
      <c r="AD106" s="48"/>
      <c r="AF106">
        <v>30</v>
      </c>
      <c r="AG106">
        <v>32</v>
      </c>
      <c r="AH106" s="44">
        <v>-2</v>
      </c>
      <c r="AI106" s="40"/>
      <c r="AJ106">
        <v>72</v>
      </c>
      <c r="AK106">
        <v>72</v>
      </c>
      <c r="AL106">
        <v>90</v>
      </c>
      <c r="AM106">
        <v>88</v>
      </c>
      <c r="AN106" s="44">
        <v>2</v>
      </c>
      <c r="AO106" s="40"/>
      <c r="AP106">
        <v>102</v>
      </c>
      <c r="AQ106">
        <v>100</v>
      </c>
      <c r="AR106">
        <v>102</v>
      </c>
      <c r="AS106">
        <v>100</v>
      </c>
      <c r="AT106" s="44">
        <v>4</v>
      </c>
      <c r="AU106" s="40"/>
      <c r="AV106" s="39"/>
      <c r="AX106" s="44">
        <v>0</v>
      </c>
      <c r="AY106" s="40"/>
      <c r="AZ106" s="41">
        <v>246</v>
      </c>
      <c r="BA106">
        <v>248</v>
      </c>
      <c r="BB106" s="44">
        <v>-2</v>
      </c>
      <c r="BC106" s="40"/>
      <c r="BD106">
        <v>30</v>
      </c>
      <c r="BE106">
        <v>60</v>
      </c>
      <c r="BF106">
        <v>60</v>
      </c>
      <c r="BG106">
        <v>60</v>
      </c>
      <c r="BH106" s="46">
        <v>-30</v>
      </c>
      <c r="BI106" s="40">
        <v>10.8</v>
      </c>
      <c r="BJ106">
        <v>120</v>
      </c>
      <c r="BK106">
        <v>120</v>
      </c>
      <c r="BL106" s="44">
        <v>0</v>
      </c>
      <c r="BM106" s="40"/>
      <c r="BN106" s="41">
        <v>60</v>
      </c>
      <c r="BO106">
        <v>60</v>
      </c>
      <c r="BP106">
        <v>162</v>
      </c>
      <c r="BQ106">
        <v>160</v>
      </c>
      <c r="BR106" s="44">
        <v>2</v>
      </c>
      <c r="BS106" s="40"/>
      <c r="BT106">
        <v>222</v>
      </c>
      <c r="BU106">
        <v>220</v>
      </c>
      <c r="BV106" s="44">
        <v>2</v>
      </c>
      <c r="BW106" s="40"/>
      <c r="BX106" s="39"/>
      <c r="BZ106" s="44">
        <v>0</v>
      </c>
      <c r="CA106" s="40"/>
      <c r="CB106" s="39"/>
      <c r="CD106">
        <v>150</v>
      </c>
      <c r="CE106">
        <v>300</v>
      </c>
      <c r="CF106">
        <v>300</v>
      </c>
      <c r="CG106">
        <v>150</v>
      </c>
      <c r="CH106" s="44">
        <v>0</v>
      </c>
      <c r="CI106" s="40"/>
      <c r="CJ106">
        <v>96</v>
      </c>
      <c r="CK106">
        <v>100</v>
      </c>
      <c r="CL106">
        <v>162</v>
      </c>
      <c r="CM106">
        <v>160</v>
      </c>
      <c r="CN106" s="44">
        <v>-2</v>
      </c>
      <c r="CO106" s="40"/>
      <c r="CP106" s="39"/>
      <c r="CT106" s="44">
        <v>0</v>
      </c>
      <c r="CU106" s="40"/>
      <c r="CV106" s="39"/>
      <c r="CX106">
        <v>102</v>
      </c>
      <c r="CY106">
        <v>100</v>
      </c>
      <c r="CZ106" s="44">
        <v>2</v>
      </c>
      <c r="DA106" s="40"/>
      <c r="DB106" s="41">
        <v>60</v>
      </c>
      <c r="DC106">
        <v>60</v>
      </c>
      <c r="DD106">
        <v>102</v>
      </c>
      <c r="DE106">
        <v>100</v>
      </c>
      <c r="DF106" s="44">
        <v>2</v>
      </c>
      <c r="DG106" s="40"/>
      <c r="DH106">
        <v>102</v>
      </c>
      <c r="DI106">
        <v>100</v>
      </c>
      <c r="DJ106">
        <v>168</v>
      </c>
      <c r="DK106">
        <v>170</v>
      </c>
      <c r="DL106">
        <v>198</v>
      </c>
      <c r="DM106">
        <v>200</v>
      </c>
      <c r="DN106" s="44">
        <v>-2</v>
      </c>
      <c r="DO106" s="40"/>
      <c r="DP106" s="41">
        <v>138</v>
      </c>
      <c r="DQ106">
        <v>140</v>
      </c>
      <c r="DR106" s="44">
        <v>-2</v>
      </c>
      <c r="DS106" s="40"/>
      <c r="DT106" s="41">
        <v>120</v>
      </c>
      <c r="DU106">
        <v>120</v>
      </c>
      <c r="DV106">
        <v>192</v>
      </c>
      <c r="DW106">
        <v>190</v>
      </c>
      <c r="DX106" s="44">
        <v>2</v>
      </c>
      <c r="DY106" s="40"/>
      <c r="DZ106" s="39"/>
      <c r="EB106" s="44">
        <v>0</v>
      </c>
      <c r="EC106" s="40"/>
      <c r="ED106">
        <v>102</v>
      </c>
      <c r="EE106">
        <v>100</v>
      </c>
      <c r="EG106">
        <v>108</v>
      </c>
      <c r="EH106">
        <v>100</v>
      </c>
      <c r="EI106">
        <v>132</v>
      </c>
      <c r="EJ106">
        <v>130</v>
      </c>
      <c r="EK106" s="44">
        <v>12</v>
      </c>
      <c r="EL106" s="40"/>
      <c r="EN106">
        <v>42</v>
      </c>
      <c r="EO106">
        <v>40</v>
      </c>
      <c r="EQ106">
        <v>60</v>
      </c>
      <c r="ER106">
        <v>60</v>
      </c>
      <c r="ES106" s="44">
        <v>2</v>
      </c>
      <c r="ET106" s="40"/>
      <c r="EU106" s="39"/>
      <c r="EY106" s="44">
        <v>0</v>
      </c>
      <c r="EZ106" s="40"/>
      <c r="FA106" s="39"/>
      <c r="FD106" s="44">
        <v>0</v>
      </c>
      <c r="FE106" s="40"/>
      <c r="FH106" s="44">
        <v>0</v>
      </c>
      <c r="FI106" s="40"/>
      <c r="FJ106" s="41">
        <v>48</v>
      </c>
      <c r="FK106">
        <v>48</v>
      </c>
      <c r="FL106">
        <v>45</v>
      </c>
      <c r="FO106">
        <v>102</v>
      </c>
      <c r="FP106">
        <v>102</v>
      </c>
      <c r="FQ106" s="44">
        <v>45</v>
      </c>
      <c r="FR106" s="40"/>
      <c r="FW106" s="44">
        <v>0</v>
      </c>
      <c r="FX106" s="40"/>
      <c r="FY106" s="41">
        <v>102</v>
      </c>
      <c r="FZ106">
        <v>100</v>
      </c>
      <c r="GA106">
        <v>120</v>
      </c>
      <c r="GB106">
        <v>120</v>
      </c>
      <c r="GC106" s="44">
        <v>2</v>
      </c>
      <c r="GD106" s="40"/>
      <c r="GE106">
        <v>150</v>
      </c>
      <c r="GF106">
        <v>150</v>
      </c>
      <c r="GG106">
        <v>192</v>
      </c>
      <c r="GH106">
        <v>190</v>
      </c>
      <c r="GI106" s="44">
        <v>2</v>
      </c>
      <c r="GJ106" s="40"/>
      <c r="GM106" s="44">
        <v>0</v>
      </c>
      <c r="GN106" s="40"/>
      <c r="GO106" s="41">
        <v>318</v>
      </c>
      <c r="GP106">
        <v>320</v>
      </c>
      <c r="GQ106" s="44">
        <v>-2</v>
      </c>
      <c r="GR106" s="40"/>
      <c r="GS106">
        <v>90</v>
      </c>
      <c r="GT106">
        <v>90</v>
      </c>
      <c r="GV106">
        <v>90</v>
      </c>
      <c r="GW106">
        <v>90</v>
      </c>
      <c r="GX106" s="44">
        <v>0</v>
      </c>
      <c r="GY106" s="40"/>
      <c r="HB106">
        <v>108</v>
      </c>
      <c r="HC106">
        <v>110</v>
      </c>
      <c r="HD106" s="44">
        <v>-2</v>
      </c>
      <c r="HE106" s="40"/>
      <c r="HF106" s="39"/>
      <c r="HH106">
        <v>60</v>
      </c>
      <c r="HI106">
        <v>60</v>
      </c>
      <c r="HJ106" s="44">
        <v>0</v>
      </c>
      <c r="HK106" s="40"/>
      <c r="HL106" s="41">
        <v>120</v>
      </c>
      <c r="HM106">
        <v>120</v>
      </c>
      <c r="HN106">
        <v>120</v>
      </c>
      <c r="HO106">
        <v>120</v>
      </c>
      <c r="HP106" s="44">
        <v>0</v>
      </c>
      <c r="HQ106" s="40"/>
      <c r="HR106">
        <v>102</v>
      </c>
      <c r="HS106">
        <v>100</v>
      </c>
      <c r="HT106">
        <v>192</v>
      </c>
      <c r="HU106">
        <v>190</v>
      </c>
      <c r="HV106" s="44">
        <v>4</v>
      </c>
      <c r="HW106" s="43"/>
      <c r="HZ106">
        <v>18</v>
      </c>
      <c r="IA106">
        <v>20</v>
      </c>
      <c r="IB106" s="44">
        <v>-2</v>
      </c>
      <c r="IC106" s="43"/>
      <c r="ID106">
        <v>198</v>
      </c>
      <c r="IE106">
        <v>200</v>
      </c>
      <c r="IF106">
        <v>168</v>
      </c>
      <c r="IG106">
        <v>170</v>
      </c>
      <c r="IH106" s="44">
        <v>-4</v>
      </c>
      <c r="II106" s="43"/>
      <c r="IN106" s="44">
        <v>0</v>
      </c>
      <c r="IO106" s="40"/>
      <c r="IP106">
        <v>204</v>
      </c>
      <c r="IQ106">
        <v>205</v>
      </c>
      <c r="IR106" s="44">
        <v>-1</v>
      </c>
      <c r="IS106" s="40"/>
      <c r="IV106">
        <v>96</v>
      </c>
      <c r="IW106">
        <v>95</v>
      </c>
      <c r="IX106" s="44">
        <v>1</v>
      </c>
      <c r="IY106" s="43"/>
      <c r="IZ106">
        <v>60</v>
      </c>
      <c r="JA106" s="47">
        <v>60</v>
      </c>
      <c r="JB106" s="44">
        <v>0</v>
      </c>
      <c r="JC106" s="40"/>
      <c r="JF106">
        <v>48</v>
      </c>
      <c r="JG106">
        <v>48</v>
      </c>
      <c r="JH106" s="44">
        <v>0</v>
      </c>
      <c r="JI106" s="40"/>
      <c r="JJ106">
        <v>108</v>
      </c>
      <c r="JK106">
        <v>110</v>
      </c>
      <c r="JL106">
        <v>132</v>
      </c>
      <c r="JM106">
        <v>130</v>
      </c>
      <c r="JN106" s="44">
        <v>0</v>
      </c>
      <c r="JO106" s="43"/>
      <c r="JP106">
        <v>60</v>
      </c>
      <c r="JQ106">
        <v>60</v>
      </c>
      <c r="JR106">
        <v>30</v>
      </c>
      <c r="JS106">
        <v>30</v>
      </c>
      <c r="JT106" s="44">
        <v>0</v>
      </c>
      <c r="JU106" s="43"/>
      <c r="JV106">
        <v>48</v>
      </c>
      <c r="JW106">
        <v>48</v>
      </c>
      <c r="JX106">
        <v>102</v>
      </c>
      <c r="JY106">
        <v>102</v>
      </c>
      <c r="JZ106" s="44">
        <v>0</v>
      </c>
      <c r="KA106" s="43"/>
      <c r="KB106" s="42"/>
      <c r="KE106">
        <v>108</v>
      </c>
      <c r="KF106">
        <v>110</v>
      </c>
      <c r="KG106">
        <v>150</v>
      </c>
      <c r="KH106">
        <v>150</v>
      </c>
      <c r="KI106" s="44">
        <v>-2</v>
      </c>
      <c r="KJ106" s="43"/>
      <c r="KK106" s="47">
        <v>0</v>
      </c>
      <c r="KL106" s="47">
        <v>0</v>
      </c>
      <c r="KM106" s="47">
        <v>0</v>
      </c>
      <c r="KN106" s="47">
        <v>0</v>
      </c>
      <c r="KO106" s="44">
        <v>0</v>
      </c>
      <c r="KP106" s="43"/>
      <c r="KQ106" s="47">
        <v>252</v>
      </c>
      <c r="KR106" s="47">
        <v>250</v>
      </c>
      <c r="KS106" s="47">
        <v>252</v>
      </c>
      <c r="KT106" s="47">
        <v>250</v>
      </c>
      <c r="KU106" s="44">
        <v>4</v>
      </c>
      <c r="KV106" s="43"/>
      <c r="KW106" s="42">
        <v>18</v>
      </c>
      <c r="KX106" s="47">
        <v>20</v>
      </c>
      <c r="KY106" s="44">
        <v>-2</v>
      </c>
      <c r="KZ106" s="43"/>
      <c r="LA106" s="42">
        <v>0</v>
      </c>
      <c r="LB106" s="47">
        <v>0</v>
      </c>
      <c r="LC106" s="47">
        <v>0</v>
      </c>
      <c r="LD106" s="47">
        <v>0</v>
      </c>
      <c r="LE106" s="44">
        <v>0</v>
      </c>
      <c r="LF106" s="43"/>
      <c r="LG106" s="42">
        <v>300</v>
      </c>
      <c r="LH106" s="47">
        <v>300</v>
      </c>
      <c r="LI106" s="47">
        <v>102</v>
      </c>
      <c r="LJ106" s="47">
        <v>100</v>
      </c>
      <c r="LK106" s="44">
        <v>2</v>
      </c>
      <c r="LL106" s="43"/>
      <c r="LM106" s="42">
        <v>0</v>
      </c>
      <c r="LN106" s="47">
        <v>0</v>
      </c>
      <c r="LO106" s="44">
        <v>0</v>
      </c>
      <c r="LP106" s="43"/>
      <c r="LQ106" s="42">
        <v>0</v>
      </c>
      <c r="LR106" s="47">
        <v>0</v>
      </c>
      <c r="LS106" s="47">
        <v>0</v>
      </c>
      <c r="LT106" s="47">
        <v>0</v>
      </c>
      <c r="LU106" s="44">
        <v>0</v>
      </c>
      <c r="LV106" s="43"/>
      <c r="LW106" s="42">
        <v>0</v>
      </c>
      <c r="LX106" s="47">
        <v>0</v>
      </c>
      <c r="LY106" s="47">
        <v>330</v>
      </c>
      <c r="LZ106" s="47">
        <v>330</v>
      </c>
      <c r="MA106" s="44">
        <v>0</v>
      </c>
      <c r="MB106" s="43"/>
      <c r="MC106" s="42">
        <v>0</v>
      </c>
      <c r="MD106" s="47">
        <v>0</v>
      </c>
      <c r="ME106" s="47">
        <v>0</v>
      </c>
      <c r="MF106" s="47">
        <v>0</v>
      </c>
      <c r="MG106" s="44">
        <v>0</v>
      </c>
      <c r="MH106" s="43"/>
      <c r="MI106" s="42">
        <v>0</v>
      </c>
      <c r="MJ106" s="47">
        <v>0</v>
      </c>
      <c r="MK106" s="47">
        <v>180</v>
      </c>
      <c r="ML106" s="47">
        <v>180</v>
      </c>
      <c r="MM106" s="44">
        <v>0</v>
      </c>
      <c r="MN106" s="43"/>
      <c r="MO106" s="42">
        <v>48</v>
      </c>
      <c r="MP106" s="47">
        <v>50</v>
      </c>
      <c r="MQ106" s="47">
        <v>228</v>
      </c>
      <c r="MR106" s="47">
        <v>230</v>
      </c>
      <c r="MS106" s="44">
        <v>-4</v>
      </c>
      <c r="MT106" s="43"/>
      <c r="MU106" s="22">
        <v>42</v>
      </c>
      <c r="MV106" s="47">
        <v>0</v>
      </c>
      <c r="MW106" s="47">
        <v>48</v>
      </c>
      <c r="MX106" s="47">
        <v>50</v>
      </c>
      <c r="MY106" s="44">
        <v>40</v>
      </c>
      <c r="MZ106" s="43"/>
      <c r="NA106" s="42">
        <v>48</v>
      </c>
      <c r="NB106" s="47">
        <v>50</v>
      </c>
      <c r="NC106" s="47">
        <v>102</v>
      </c>
      <c r="ND106" s="47">
        <v>100</v>
      </c>
      <c r="NE106" s="44">
        <v>0</v>
      </c>
      <c r="NF106" s="43"/>
      <c r="NG106" s="42">
        <v>102</v>
      </c>
      <c r="NH106" s="47">
        <v>100</v>
      </c>
      <c r="NI106" s="47">
        <v>144</v>
      </c>
      <c r="NJ106" s="47">
        <v>145</v>
      </c>
      <c r="NK106" s="44">
        <v>1</v>
      </c>
      <c r="NL106" s="43"/>
      <c r="NM106" s="42">
        <v>0</v>
      </c>
      <c r="NN106" s="47">
        <v>0</v>
      </c>
      <c r="NO106" s="47">
        <v>72</v>
      </c>
      <c r="NP106" s="47">
        <v>70</v>
      </c>
      <c r="NQ106" s="44">
        <v>2</v>
      </c>
      <c r="NR106" s="43"/>
      <c r="NS106" s="42">
        <v>108</v>
      </c>
      <c r="NT106" s="47">
        <v>60</v>
      </c>
      <c r="NU106" s="47">
        <v>0</v>
      </c>
      <c r="NV106" s="47">
        <v>0</v>
      </c>
      <c r="NW106" s="44">
        <v>48</v>
      </c>
      <c r="NX106" s="43"/>
      <c r="NY106" s="42">
        <v>0</v>
      </c>
      <c r="NZ106" s="47">
        <v>0</v>
      </c>
      <c r="OA106" s="47">
        <v>198</v>
      </c>
      <c r="OB106" s="47">
        <v>200</v>
      </c>
      <c r="OC106" s="44">
        <v>-2</v>
      </c>
      <c r="OD106" s="43"/>
      <c r="OE106" s="42">
        <v>0</v>
      </c>
      <c r="OF106" s="47">
        <v>0</v>
      </c>
      <c r="OG106" s="47">
        <v>48</v>
      </c>
      <c r="OH106" s="47">
        <v>50</v>
      </c>
      <c r="OI106" s="44">
        <v>-2</v>
      </c>
      <c r="OJ106" s="43"/>
      <c r="OK106" s="42">
        <v>48</v>
      </c>
      <c r="OL106" s="47">
        <v>50</v>
      </c>
      <c r="OM106" s="47">
        <v>60</v>
      </c>
      <c r="ON106" s="47">
        <v>60</v>
      </c>
      <c r="OO106" s="44">
        <v>-2</v>
      </c>
      <c r="OP106" s="43"/>
      <c r="OQ106" s="42">
        <v>0</v>
      </c>
      <c r="OR106" s="47">
        <v>0</v>
      </c>
      <c r="OS106" s="47">
        <v>30</v>
      </c>
      <c r="OT106" s="47">
        <v>30</v>
      </c>
      <c r="OU106" s="44">
        <v>0</v>
      </c>
      <c r="OV106" s="43"/>
      <c r="OW106" s="42">
        <v>0</v>
      </c>
      <c r="OX106" s="47">
        <v>0</v>
      </c>
      <c r="OY106" s="47">
        <v>48</v>
      </c>
      <c r="OZ106" s="47">
        <v>50</v>
      </c>
      <c r="PA106" s="44">
        <v>-2</v>
      </c>
      <c r="PB106" s="43"/>
      <c r="PC106" s="42"/>
      <c r="PH106" s="43"/>
      <c r="PI106" s="42"/>
      <c r="PN106" s="43"/>
      <c r="PO106" s="42"/>
      <c r="PT106" s="43"/>
      <c r="PU106" s="42"/>
      <c r="PZ106" s="43"/>
      <c r="QA106" s="42"/>
      <c r="QD106" s="43"/>
      <c r="QE106" s="42"/>
      <c r="QH106" s="43"/>
      <c r="QI106" s="42"/>
      <c r="QL106" s="43"/>
      <c r="QM106" s="42"/>
      <c r="QR106" s="43"/>
      <c r="QS106" s="42"/>
      <c r="QV106" s="43"/>
      <c r="QW106" s="42"/>
      <c r="QY106" s="44"/>
      <c r="QZ106" s="43"/>
    </row>
    <row r="107" spans="1:468" x14ac:dyDescent="0.25">
      <c r="A107" s="47" t="s">
        <v>391</v>
      </c>
      <c r="B107" s="38">
        <v>1</v>
      </c>
      <c r="N107" s="39"/>
      <c r="O107" s="48"/>
      <c r="P107" s="48"/>
      <c r="Q107" s="48"/>
      <c r="R107" s="48">
        <f t="shared" si="13"/>
        <v>0</v>
      </c>
      <c r="S107" s="40"/>
      <c r="T107" s="39"/>
      <c r="U107" s="48"/>
      <c r="V107" s="48">
        <f t="shared" si="14"/>
        <v>0</v>
      </c>
      <c r="W107" s="40"/>
      <c r="X107" s="39"/>
      <c r="Y107" s="48"/>
      <c r="Z107" s="48"/>
      <c r="AA107" s="48"/>
      <c r="AB107" s="48">
        <f t="shared" si="15"/>
        <v>0</v>
      </c>
      <c r="AC107" s="40"/>
      <c r="AD107" s="48"/>
      <c r="AH107" s="44">
        <v>0</v>
      </c>
      <c r="AI107" s="40"/>
      <c r="AN107" s="44">
        <v>0</v>
      </c>
      <c r="AO107" s="40"/>
      <c r="AT107" s="44">
        <v>0</v>
      </c>
      <c r="AU107" s="40"/>
      <c r="AV107" s="39"/>
      <c r="AX107" s="44">
        <v>0</v>
      </c>
      <c r="AY107" s="40"/>
      <c r="AZ107" s="39"/>
      <c r="BB107" s="44">
        <v>0</v>
      </c>
      <c r="BC107" s="40"/>
      <c r="BH107" s="44">
        <v>0</v>
      </c>
      <c r="BI107" s="40"/>
      <c r="BL107" s="44">
        <v>0</v>
      </c>
      <c r="BM107" s="40"/>
      <c r="BN107" s="39"/>
      <c r="BR107" s="44">
        <v>0</v>
      </c>
      <c r="BS107" s="40"/>
      <c r="BV107" s="44">
        <v>0</v>
      </c>
      <c r="BW107" s="40"/>
      <c r="BX107" s="39"/>
      <c r="BZ107" s="44">
        <v>0</v>
      </c>
      <c r="CA107" s="40"/>
      <c r="CB107" s="39"/>
      <c r="CH107" s="44">
        <v>0</v>
      </c>
      <c r="CI107" s="40"/>
      <c r="CN107" s="44">
        <v>0</v>
      </c>
      <c r="CO107" s="40"/>
      <c r="CP107" s="39"/>
      <c r="CT107" s="44">
        <v>0</v>
      </c>
      <c r="CU107" s="40"/>
      <c r="CV107" s="39"/>
      <c r="CX107">
        <v>22</v>
      </c>
      <c r="CY107">
        <v>20</v>
      </c>
      <c r="CZ107" s="44">
        <v>2</v>
      </c>
      <c r="DA107" s="40"/>
      <c r="DB107" s="39"/>
      <c r="DF107" s="44">
        <v>0</v>
      </c>
      <c r="DG107" s="40"/>
      <c r="DN107" s="44">
        <v>0</v>
      </c>
      <c r="DO107" s="40"/>
      <c r="DP107" s="39"/>
      <c r="DR107" s="44">
        <v>0</v>
      </c>
      <c r="DS107" s="40"/>
      <c r="DT107" s="39"/>
      <c r="DX107" s="44">
        <v>0</v>
      </c>
      <c r="DY107" s="40"/>
      <c r="DZ107" s="41">
        <v>33</v>
      </c>
      <c r="EA107">
        <v>32</v>
      </c>
      <c r="EB107" s="44">
        <v>1</v>
      </c>
      <c r="EC107" s="40"/>
      <c r="EI107">
        <v>4</v>
      </c>
      <c r="EJ107">
        <v>4</v>
      </c>
      <c r="EK107" s="44">
        <v>0</v>
      </c>
      <c r="EL107" s="40"/>
      <c r="EQ107">
        <v>13</v>
      </c>
      <c r="ER107">
        <v>10</v>
      </c>
      <c r="ES107" s="44">
        <v>3</v>
      </c>
      <c r="ET107" s="40"/>
      <c r="EU107" s="39"/>
      <c r="EY107" s="44">
        <v>0</v>
      </c>
      <c r="EZ107" s="40"/>
      <c r="FA107" s="39"/>
      <c r="FB107">
        <v>4</v>
      </c>
      <c r="FC107">
        <v>4</v>
      </c>
      <c r="FD107" s="44">
        <v>0</v>
      </c>
      <c r="FE107" s="40"/>
      <c r="FH107" s="44">
        <v>0</v>
      </c>
      <c r="FI107" s="40"/>
      <c r="FJ107" s="39"/>
      <c r="FQ107" s="44">
        <v>0</v>
      </c>
      <c r="FR107" s="40"/>
      <c r="FU107">
        <v>9</v>
      </c>
      <c r="FV107">
        <v>8</v>
      </c>
      <c r="FW107" s="44">
        <v>1</v>
      </c>
      <c r="FX107" s="40"/>
      <c r="FY107" s="39"/>
      <c r="GC107" s="44">
        <v>0</v>
      </c>
      <c r="GD107" s="40"/>
      <c r="GI107" s="44">
        <v>0</v>
      </c>
      <c r="GJ107" s="40"/>
      <c r="GM107" s="44">
        <v>0</v>
      </c>
      <c r="GN107" s="40"/>
      <c r="GO107" s="39"/>
      <c r="GQ107" s="44">
        <v>0</v>
      </c>
      <c r="GR107" s="40"/>
      <c r="GX107" s="44">
        <v>0</v>
      </c>
      <c r="GY107" s="40"/>
      <c r="HD107" s="44">
        <v>0</v>
      </c>
      <c r="HE107" s="40"/>
      <c r="HF107" s="39"/>
      <c r="HH107">
        <v>70</v>
      </c>
      <c r="HI107">
        <v>64</v>
      </c>
      <c r="HJ107" s="44">
        <v>6</v>
      </c>
      <c r="HK107" s="40"/>
      <c r="HL107" s="39"/>
      <c r="HP107" s="44">
        <v>0</v>
      </c>
      <c r="HQ107" s="40"/>
      <c r="HT107">
        <v>43</v>
      </c>
      <c r="HU107">
        <v>40</v>
      </c>
      <c r="HV107" s="44">
        <v>3</v>
      </c>
      <c r="HW107" s="43"/>
      <c r="IB107" s="44">
        <v>0</v>
      </c>
      <c r="IC107" s="43"/>
      <c r="ID107">
        <v>21</v>
      </c>
      <c r="IE107">
        <v>20</v>
      </c>
      <c r="IF107">
        <v>26</v>
      </c>
      <c r="IG107">
        <v>24</v>
      </c>
      <c r="IH107" s="44">
        <v>3</v>
      </c>
      <c r="II107" s="43"/>
      <c r="IN107" s="44">
        <v>0</v>
      </c>
      <c r="IO107" s="40"/>
      <c r="IR107" s="44">
        <v>0</v>
      </c>
      <c r="IS107" s="40"/>
      <c r="IV107">
        <v>22</v>
      </c>
      <c r="IW107">
        <v>21</v>
      </c>
      <c r="IX107" s="44">
        <v>1</v>
      </c>
      <c r="IY107" s="43"/>
      <c r="IZ107">
        <v>9</v>
      </c>
      <c r="JA107" s="47">
        <v>8</v>
      </c>
      <c r="JB107" s="44">
        <v>1</v>
      </c>
      <c r="JC107" s="40"/>
      <c r="JF107">
        <v>26</v>
      </c>
      <c r="JG107">
        <v>26</v>
      </c>
      <c r="JH107" s="44">
        <v>0</v>
      </c>
      <c r="JI107" s="40"/>
      <c r="JN107" s="44">
        <v>0</v>
      </c>
      <c r="JO107" s="43"/>
      <c r="JR107">
        <v>13</v>
      </c>
      <c r="JS107">
        <v>10</v>
      </c>
      <c r="JT107" s="44">
        <v>3</v>
      </c>
      <c r="JU107" s="43"/>
      <c r="JX107">
        <v>21</v>
      </c>
      <c r="JY107">
        <v>20</v>
      </c>
      <c r="JZ107" s="44">
        <v>1</v>
      </c>
      <c r="KA107" s="43"/>
      <c r="KB107" s="42"/>
      <c r="KG107">
        <v>22</v>
      </c>
      <c r="KH107">
        <v>20</v>
      </c>
      <c r="KI107" s="44">
        <v>2</v>
      </c>
      <c r="KJ107" s="43"/>
      <c r="KK107" s="47">
        <v>0</v>
      </c>
      <c r="KL107" s="47">
        <v>0</v>
      </c>
      <c r="KM107" s="47">
        <v>0</v>
      </c>
      <c r="KN107" s="47">
        <v>0</v>
      </c>
      <c r="KO107" s="44">
        <v>0</v>
      </c>
      <c r="KP107" s="43"/>
      <c r="KQ107" s="47">
        <v>0</v>
      </c>
      <c r="KR107" s="47">
        <v>0</v>
      </c>
      <c r="KS107" s="47">
        <v>13.18</v>
      </c>
      <c r="KT107" s="47">
        <v>13</v>
      </c>
      <c r="KU107" s="44">
        <v>0.17999999999999969</v>
      </c>
      <c r="KV107" s="43"/>
      <c r="KW107" s="42">
        <v>4.2519999999999998</v>
      </c>
      <c r="KX107" s="47">
        <v>5</v>
      </c>
      <c r="KY107" s="44">
        <v>-0.74800000000000022</v>
      </c>
      <c r="KZ107" s="43"/>
      <c r="LA107" s="42">
        <v>0</v>
      </c>
      <c r="LB107" s="47">
        <v>0</v>
      </c>
      <c r="LC107" s="47">
        <v>13.032</v>
      </c>
      <c r="LD107" s="47">
        <v>16</v>
      </c>
      <c r="LE107" s="44">
        <v>-2.968</v>
      </c>
      <c r="LF107" s="43"/>
      <c r="LG107" s="42">
        <v>0</v>
      </c>
      <c r="LH107" s="47">
        <v>0</v>
      </c>
      <c r="LI107" s="47">
        <v>12.948</v>
      </c>
      <c r="LJ107" s="47">
        <v>11</v>
      </c>
      <c r="LK107" s="44">
        <v>1.948</v>
      </c>
      <c r="LL107" s="43"/>
      <c r="LM107" s="42">
        <v>0</v>
      </c>
      <c r="LN107" s="47">
        <v>0</v>
      </c>
      <c r="LO107" s="44">
        <v>0</v>
      </c>
      <c r="LP107" s="43"/>
      <c r="LQ107" s="42">
        <v>0</v>
      </c>
      <c r="LR107" s="47">
        <v>0</v>
      </c>
      <c r="LS107" s="47">
        <v>0</v>
      </c>
      <c r="LT107" s="47">
        <v>0</v>
      </c>
      <c r="LU107" s="44">
        <v>0</v>
      </c>
      <c r="LV107" s="43"/>
      <c r="LW107" s="42">
        <v>8.6999999999999993</v>
      </c>
      <c r="LX107" s="47">
        <v>8</v>
      </c>
      <c r="LY107" s="47">
        <v>0</v>
      </c>
      <c r="LZ107" s="47">
        <v>0</v>
      </c>
      <c r="MA107" s="44">
        <v>0.69999999999999929</v>
      </c>
      <c r="MB107" s="43"/>
      <c r="MC107" s="42">
        <v>0</v>
      </c>
      <c r="MD107" s="47">
        <v>0</v>
      </c>
      <c r="ME107" s="47">
        <v>0</v>
      </c>
      <c r="MF107" s="47">
        <v>0</v>
      </c>
      <c r="MG107" s="44">
        <v>0</v>
      </c>
      <c r="MH107" s="43"/>
      <c r="MI107" s="42">
        <v>0</v>
      </c>
      <c r="MJ107" s="47">
        <v>0</v>
      </c>
      <c r="MK107" s="47">
        <v>8.67</v>
      </c>
      <c r="ML107" s="47">
        <v>10</v>
      </c>
      <c r="MM107" s="44">
        <v>-1.33</v>
      </c>
      <c r="MN107" s="43"/>
      <c r="MO107" s="42">
        <v>0</v>
      </c>
      <c r="MP107" s="47">
        <v>0</v>
      </c>
      <c r="MQ107" s="47">
        <v>29.78</v>
      </c>
      <c r="MR107" s="47">
        <v>31</v>
      </c>
      <c r="MS107" s="44">
        <v>-1.2199999999999991</v>
      </c>
      <c r="MT107" s="43"/>
      <c r="MU107" s="42">
        <v>0</v>
      </c>
      <c r="MV107" s="47">
        <v>0</v>
      </c>
      <c r="MW107" s="47">
        <v>0</v>
      </c>
      <c r="MX107" s="47">
        <v>0</v>
      </c>
      <c r="MY107" s="44">
        <v>0</v>
      </c>
      <c r="MZ107" s="43"/>
      <c r="NA107" s="42">
        <v>0</v>
      </c>
      <c r="NB107" s="47">
        <v>0</v>
      </c>
      <c r="NC107" s="47">
        <v>0</v>
      </c>
      <c r="ND107" s="47">
        <v>0</v>
      </c>
      <c r="NE107" s="44">
        <v>0</v>
      </c>
      <c r="NF107" s="43"/>
      <c r="NG107" s="42">
        <v>0</v>
      </c>
      <c r="NH107" s="47">
        <v>0</v>
      </c>
      <c r="NI107" s="47">
        <v>12.818</v>
      </c>
      <c r="NJ107" s="47">
        <v>12</v>
      </c>
      <c r="NK107" s="44">
        <v>0.81799999999999962</v>
      </c>
      <c r="NL107" s="43"/>
      <c r="NM107" s="42">
        <v>0</v>
      </c>
      <c r="NN107" s="47">
        <v>0</v>
      </c>
      <c r="NO107" s="47">
        <v>0</v>
      </c>
      <c r="NP107" s="47">
        <v>0</v>
      </c>
      <c r="NQ107" s="44">
        <v>0</v>
      </c>
      <c r="NR107" s="43"/>
      <c r="NS107" s="42">
        <v>46.636000000000003</v>
      </c>
      <c r="NT107" s="47">
        <v>45</v>
      </c>
      <c r="NU107" s="47">
        <v>0</v>
      </c>
      <c r="NV107" s="47">
        <v>0</v>
      </c>
      <c r="NW107" s="44">
        <v>1.636000000000003</v>
      </c>
      <c r="NX107" s="43"/>
      <c r="NY107" s="42">
        <v>0</v>
      </c>
      <c r="NZ107" s="47">
        <v>0</v>
      </c>
      <c r="OA107" s="47">
        <v>8.1920000000000002</v>
      </c>
      <c r="OB107" s="47">
        <v>10</v>
      </c>
      <c r="OC107" s="44">
        <v>-1.8080000000000001</v>
      </c>
      <c r="OD107" s="43"/>
      <c r="OE107" s="42">
        <v>0</v>
      </c>
      <c r="OF107" s="47">
        <v>0</v>
      </c>
      <c r="OG107" s="47">
        <v>21.437999999999999</v>
      </c>
      <c r="OH107" s="47">
        <v>20</v>
      </c>
      <c r="OI107" s="44">
        <v>1.4379999999999991</v>
      </c>
      <c r="OJ107" s="43"/>
      <c r="OK107" s="42">
        <v>0</v>
      </c>
      <c r="OL107" s="47">
        <v>0</v>
      </c>
      <c r="OM107" s="47">
        <v>52.064999999999998</v>
      </c>
      <c r="ON107" s="47">
        <v>50</v>
      </c>
      <c r="OO107" s="44">
        <v>2.0649999999999982</v>
      </c>
      <c r="OP107" s="43"/>
      <c r="OQ107" s="42">
        <v>0</v>
      </c>
      <c r="OR107" s="47">
        <v>0</v>
      </c>
      <c r="OS107" s="47">
        <v>29.698</v>
      </c>
      <c r="OT107" s="47">
        <v>30</v>
      </c>
      <c r="OU107" s="44">
        <v>-0.3019999999999996</v>
      </c>
      <c r="OV107" s="43"/>
      <c r="OW107" s="42">
        <v>0</v>
      </c>
      <c r="OX107" s="47">
        <v>0</v>
      </c>
      <c r="OY107" s="47">
        <v>0</v>
      </c>
      <c r="OZ107" s="47">
        <v>0</v>
      </c>
      <c r="PA107" s="44">
        <v>0</v>
      </c>
      <c r="PB107" s="43"/>
      <c r="PC107" s="42">
        <v>0</v>
      </c>
      <c r="PD107" s="47">
        <v>0</v>
      </c>
      <c r="PE107" s="47">
        <v>58.874000000000002</v>
      </c>
      <c r="PF107" s="47">
        <v>60</v>
      </c>
      <c r="PG107" s="44">
        <v>-1.1259999999999979</v>
      </c>
      <c r="PH107" s="43"/>
      <c r="PI107" s="42">
        <v>0</v>
      </c>
      <c r="PJ107" s="47">
        <v>0</v>
      </c>
      <c r="PK107" s="47">
        <v>0</v>
      </c>
      <c r="PL107" s="47">
        <v>0</v>
      </c>
      <c r="PM107" s="44">
        <v>0</v>
      </c>
      <c r="PN107" s="43"/>
      <c r="PO107" s="42">
        <v>0</v>
      </c>
      <c r="PP107" s="47">
        <v>0</v>
      </c>
      <c r="PQ107" s="47">
        <v>32.765999999999998</v>
      </c>
      <c r="PR107" s="47">
        <v>35</v>
      </c>
      <c r="PS107" s="44">
        <v>-2.2340000000000022</v>
      </c>
      <c r="PT107" s="43"/>
      <c r="PU107" s="42">
        <v>25.352</v>
      </c>
      <c r="PV107" s="47">
        <v>25</v>
      </c>
      <c r="PW107" s="47">
        <v>0</v>
      </c>
      <c r="PX107" s="47">
        <v>0</v>
      </c>
      <c r="PY107" s="44">
        <v>0.35200000000000031</v>
      </c>
      <c r="PZ107" s="43"/>
      <c r="QA107" s="42">
        <v>0</v>
      </c>
      <c r="QB107" s="47">
        <v>0</v>
      </c>
      <c r="QC107" s="44">
        <v>0</v>
      </c>
      <c r="QD107" s="43"/>
      <c r="QE107" s="42">
        <v>0</v>
      </c>
      <c r="QF107" s="47">
        <v>0</v>
      </c>
      <c r="QG107" s="44">
        <v>0</v>
      </c>
      <c r="QH107" s="43"/>
      <c r="QI107" s="42">
        <v>0</v>
      </c>
      <c r="QJ107" s="47">
        <v>0</v>
      </c>
      <c r="QK107" s="44">
        <v>0</v>
      </c>
      <c r="QL107" s="43"/>
      <c r="QM107" s="42">
        <v>0</v>
      </c>
      <c r="QN107" s="47">
        <v>0</v>
      </c>
      <c r="QO107" s="47">
        <v>0</v>
      </c>
      <c r="QP107" s="47">
        <v>0</v>
      </c>
      <c r="QQ107" s="44">
        <v>0</v>
      </c>
      <c r="QR107" s="43"/>
      <c r="QS107" s="42">
        <v>0</v>
      </c>
      <c r="QT107" s="47">
        <v>0</v>
      </c>
      <c r="QU107" s="44">
        <v>0</v>
      </c>
      <c r="QV107" s="43"/>
      <c r="QW107" s="42">
        <v>0</v>
      </c>
      <c r="QX107" s="47">
        <v>0</v>
      </c>
      <c r="QY107" s="44">
        <v>0</v>
      </c>
      <c r="QZ107" s="43"/>
    </row>
    <row r="108" spans="1:468" x14ac:dyDescent="0.25">
      <c r="A108" s="47" t="s">
        <v>392</v>
      </c>
      <c r="B108" s="38">
        <v>0.41</v>
      </c>
      <c r="I108">
        <v>6</v>
      </c>
      <c r="N108" s="39"/>
      <c r="O108" s="48"/>
      <c r="P108" s="48"/>
      <c r="Q108" s="48"/>
      <c r="R108" s="48">
        <f t="shared" si="13"/>
        <v>0</v>
      </c>
      <c r="S108" s="40"/>
      <c r="T108" s="39"/>
      <c r="U108" s="49">
        <v>6</v>
      </c>
      <c r="V108" s="53">
        <f t="shared" si="14"/>
        <v>-6</v>
      </c>
      <c r="W108" s="40">
        <f>-1*V108*B108</f>
        <v>2.46</v>
      </c>
      <c r="X108" s="39"/>
      <c r="Y108" s="48"/>
      <c r="Z108" s="48"/>
      <c r="AA108" s="48"/>
      <c r="AB108" s="48">
        <f t="shared" si="15"/>
        <v>0</v>
      </c>
      <c r="AC108" s="40"/>
      <c r="AD108" s="48"/>
      <c r="AG108">
        <v>30</v>
      </c>
      <c r="AH108" s="46">
        <v>-30</v>
      </c>
      <c r="AI108" s="40">
        <v>12.3</v>
      </c>
      <c r="AN108" s="44">
        <v>0</v>
      </c>
      <c r="AO108" s="40"/>
      <c r="AT108" s="44">
        <v>0</v>
      </c>
      <c r="AU108" s="40"/>
      <c r="AV108" s="41">
        <v>30</v>
      </c>
      <c r="AW108">
        <v>32</v>
      </c>
      <c r="AX108" s="44">
        <v>-2</v>
      </c>
      <c r="AY108" s="40"/>
      <c r="AZ108" s="39"/>
      <c r="BB108" s="44">
        <v>0</v>
      </c>
      <c r="BC108" s="40"/>
      <c r="BH108" s="44">
        <v>0</v>
      </c>
      <c r="BI108" s="40"/>
      <c r="BJ108">
        <v>18</v>
      </c>
      <c r="BK108">
        <v>18</v>
      </c>
      <c r="BL108" s="44">
        <v>0</v>
      </c>
      <c r="BM108" s="40"/>
      <c r="BN108" s="39"/>
      <c r="BP108">
        <v>6</v>
      </c>
      <c r="BQ108">
        <v>6</v>
      </c>
      <c r="BR108" s="44">
        <v>0</v>
      </c>
      <c r="BS108" s="40"/>
      <c r="BV108" s="44">
        <v>0</v>
      </c>
      <c r="BW108" s="40"/>
      <c r="BX108" s="39"/>
      <c r="BZ108" s="44">
        <v>0</v>
      </c>
      <c r="CA108" s="40"/>
      <c r="CB108" s="39"/>
      <c r="CD108">
        <v>60</v>
      </c>
      <c r="CG108">
        <v>60</v>
      </c>
      <c r="CH108" s="44">
        <v>0</v>
      </c>
      <c r="CI108" s="40"/>
      <c r="CN108" s="44">
        <v>0</v>
      </c>
      <c r="CO108" s="40"/>
      <c r="CP108" s="39"/>
      <c r="CT108" s="44">
        <v>0</v>
      </c>
      <c r="CU108" s="40"/>
      <c r="CV108" s="39"/>
      <c r="CX108">
        <v>48</v>
      </c>
      <c r="CY108">
        <v>48</v>
      </c>
      <c r="CZ108" s="44">
        <v>0</v>
      </c>
      <c r="DA108" s="40"/>
      <c r="DB108" s="39"/>
      <c r="DF108" s="44">
        <v>0</v>
      </c>
      <c r="DG108" s="40"/>
      <c r="DN108" s="44">
        <v>0</v>
      </c>
      <c r="DO108" s="40"/>
      <c r="DP108" s="41">
        <v>12</v>
      </c>
      <c r="DQ108">
        <v>10</v>
      </c>
      <c r="DR108" s="44">
        <v>2</v>
      </c>
      <c r="DS108" s="40"/>
      <c r="DT108" s="39"/>
      <c r="DV108">
        <v>12</v>
      </c>
      <c r="DW108">
        <v>10</v>
      </c>
      <c r="DX108" s="44">
        <v>2</v>
      </c>
      <c r="DY108" s="40"/>
      <c r="DZ108" s="41">
        <v>6</v>
      </c>
      <c r="EA108">
        <v>6</v>
      </c>
      <c r="EB108" s="44">
        <v>0</v>
      </c>
      <c r="EC108" s="40"/>
      <c r="EI108">
        <v>6</v>
      </c>
      <c r="EJ108">
        <v>5</v>
      </c>
      <c r="EK108" s="44">
        <v>1</v>
      </c>
      <c r="EL108" s="40"/>
      <c r="ER108">
        <v>6</v>
      </c>
      <c r="ES108" s="46">
        <v>-6</v>
      </c>
      <c r="ET108" s="40">
        <v>2.46</v>
      </c>
      <c r="EU108" s="39"/>
      <c r="EY108" s="44">
        <v>0</v>
      </c>
      <c r="EZ108" s="40"/>
      <c r="FA108" s="39"/>
      <c r="FD108" s="44">
        <v>0</v>
      </c>
      <c r="FE108" s="40"/>
      <c r="FF108">
        <v>6</v>
      </c>
      <c r="FG108">
        <v>9</v>
      </c>
      <c r="FH108" s="44">
        <v>-3</v>
      </c>
      <c r="FI108" s="40"/>
      <c r="FJ108" s="39"/>
      <c r="FQ108" s="44">
        <v>0</v>
      </c>
      <c r="FR108" s="40"/>
      <c r="FS108">
        <v>12</v>
      </c>
      <c r="FT108">
        <v>12</v>
      </c>
      <c r="FW108" s="44">
        <v>0</v>
      </c>
      <c r="FX108" s="40"/>
      <c r="FY108" s="39"/>
      <c r="GA108">
        <v>12</v>
      </c>
      <c r="GB108">
        <v>12</v>
      </c>
      <c r="GC108" s="44">
        <v>0</v>
      </c>
      <c r="GD108" s="40"/>
      <c r="GI108" s="44">
        <v>0</v>
      </c>
      <c r="GJ108" s="40"/>
      <c r="GM108" s="44">
        <v>0</v>
      </c>
      <c r="GN108" s="40"/>
      <c r="GO108" s="41">
        <v>36</v>
      </c>
      <c r="GP108">
        <v>38</v>
      </c>
      <c r="GQ108" s="44">
        <v>-2</v>
      </c>
      <c r="GR108" s="40"/>
      <c r="GX108" s="44">
        <v>0</v>
      </c>
      <c r="GY108" s="40"/>
      <c r="HB108">
        <v>36</v>
      </c>
      <c r="HC108">
        <v>36</v>
      </c>
      <c r="HD108" s="44">
        <v>0</v>
      </c>
      <c r="HE108" s="40"/>
      <c r="HF108" s="39"/>
      <c r="HH108">
        <v>12</v>
      </c>
      <c r="HI108">
        <v>12</v>
      </c>
      <c r="HJ108" s="44">
        <v>0</v>
      </c>
      <c r="HK108" s="40"/>
      <c r="HL108" s="39"/>
      <c r="HP108" s="44">
        <v>0</v>
      </c>
      <c r="HQ108" s="40"/>
      <c r="HT108">
        <v>90</v>
      </c>
      <c r="HU108">
        <v>90</v>
      </c>
      <c r="HV108" s="44">
        <v>0</v>
      </c>
      <c r="HW108" s="43"/>
      <c r="HZ108">
        <v>42</v>
      </c>
      <c r="IA108">
        <v>40</v>
      </c>
      <c r="IB108" s="44">
        <v>2</v>
      </c>
      <c r="IC108" s="43"/>
      <c r="ID108">
        <v>24</v>
      </c>
      <c r="IE108">
        <v>24</v>
      </c>
      <c r="IF108">
        <v>24</v>
      </c>
      <c r="IG108">
        <v>24</v>
      </c>
      <c r="IH108" s="44">
        <v>0</v>
      </c>
      <c r="II108" s="43"/>
      <c r="IL108">
        <v>30</v>
      </c>
      <c r="IM108">
        <v>30</v>
      </c>
      <c r="IN108" s="44">
        <v>0</v>
      </c>
      <c r="IO108" s="40"/>
      <c r="IP108">
        <v>24</v>
      </c>
      <c r="IQ108">
        <v>29</v>
      </c>
      <c r="IR108" s="44">
        <v>-5</v>
      </c>
      <c r="IS108" s="40"/>
      <c r="IX108" s="44">
        <v>0</v>
      </c>
      <c r="IY108" s="43"/>
      <c r="JB108" s="44">
        <v>0</v>
      </c>
      <c r="JC108" s="40"/>
      <c r="JF108">
        <v>18</v>
      </c>
      <c r="JG108">
        <v>18</v>
      </c>
      <c r="JH108" s="44">
        <v>0</v>
      </c>
      <c r="JI108" s="40"/>
      <c r="JN108" s="44">
        <v>0</v>
      </c>
      <c r="JO108" s="43"/>
      <c r="JP108">
        <v>6</v>
      </c>
      <c r="JQ108">
        <v>6</v>
      </c>
      <c r="JT108" s="44">
        <v>0</v>
      </c>
      <c r="JU108" s="43"/>
      <c r="JV108">
        <v>60</v>
      </c>
      <c r="JW108">
        <v>60</v>
      </c>
      <c r="JX108">
        <v>60</v>
      </c>
      <c r="JY108">
        <v>60</v>
      </c>
      <c r="JZ108" s="44">
        <v>0</v>
      </c>
      <c r="KA108" s="43"/>
      <c r="KB108" s="42"/>
      <c r="KG108">
        <v>30</v>
      </c>
      <c r="KH108">
        <v>30</v>
      </c>
      <c r="KI108" s="44">
        <v>0</v>
      </c>
      <c r="KJ108" s="43"/>
      <c r="KK108" s="47">
        <v>0</v>
      </c>
      <c r="KL108" s="47">
        <v>0</v>
      </c>
      <c r="KM108" s="47">
        <v>0</v>
      </c>
      <c r="KN108" s="47">
        <v>0</v>
      </c>
      <c r="KO108" s="44">
        <v>0</v>
      </c>
      <c r="KP108" s="43"/>
      <c r="KQ108" s="47">
        <v>0</v>
      </c>
      <c r="KR108" s="47">
        <v>0</v>
      </c>
      <c r="KS108" s="47">
        <v>108</v>
      </c>
      <c r="KT108" s="47">
        <v>110</v>
      </c>
      <c r="KU108" s="44">
        <v>-2</v>
      </c>
      <c r="KV108" s="43"/>
      <c r="KW108" s="42">
        <v>0</v>
      </c>
      <c r="KX108" s="47">
        <v>0</v>
      </c>
      <c r="KY108" s="44">
        <v>0</v>
      </c>
      <c r="KZ108" s="43"/>
      <c r="LA108" s="42">
        <v>0</v>
      </c>
      <c r="LB108" s="47">
        <v>0</v>
      </c>
      <c r="LC108" s="47">
        <v>0</v>
      </c>
      <c r="LD108" s="47">
        <v>0</v>
      </c>
      <c r="LE108" s="44">
        <v>0</v>
      </c>
      <c r="LF108" s="43"/>
      <c r="LG108" s="42">
        <v>18</v>
      </c>
      <c r="LH108" s="47">
        <v>18</v>
      </c>
      <c r="LI108" s="47">
        <v>36</v>
      </c>
      <c r="LJ108" s="47">
        <v>36</v>
      </c>
      <c r="LK108" s="44">
        <v>0</v>
      </c>
      <c r="LL108" s="43"/>
      <c r="LM108" s="42">
        <v>24</v>
      </c>
      <c r="LN108" s="47">
        <v>22</v>
      </c>
      <c r="LO108" s="44">
        <v>2</v>
      </c>
      <c r="LP108" s="43"/>
      <c r="LQ108" s="42">
        <v>0</v>
      </c>
      <c r="LR108" s="47">
        <v>0</v>
      </c>
      <c r="LS108" s="47">
        <v>0</v>
      </c>
      <c r="LT108" s="47">
        <v>0</v>
      </c>
      <c r="LU108" s="44">
        <v>0</v>
      </c>
      <c r="LV108" s="43"/>
      <c r="LW108" s="42">
        <v>0</v>
      </c>
      <c r="LX108" s="47">
        <v>0</v>
      </c>
      <c r="LY108" s="47">
        <v>0</v>
      </c>
      <c r="LZ108" s="47">
        <v>0</v>
      </c>
      <c r="MA108" s="44">
        <v>0</v>
      </c>
      <c r="MB108" s="43"/>
      <c r="MC108" s="42">
        <v>0</v>
      </c>
      <c r="MD108" s="47">
        <v>0</v>
      </c>
      <c r="ME108" s="47">
        <v>0</v>
      </c>
      <c r="MF108" s="47">
        <v>0</v>
      </c>
      <c r="MG108" s="44">
        <v>0</v>
      </c>
      <c r="MH108" s="43"/>
      <c r="MI108" s="42">
        <v>0</v>
      </c>
      <c r="MJ108" s="47">
        <v>0</v>
      </c>
      <c r="MK108" s="47">
        <v>12</v>
      </c>
      <c r="ML108" s="47">
        <v>12</v>
      </c>
      <c r="MM108" s="44">
        <v>0</v>
      </c>
      <c r="MN108" s="43"/>
      <c r="MO108" s="42">
        <v>0</v>
      </c>
      <c r="MP108" s="47">
        <v>0</v>
      </c>
      <c r="MQ108" s="47">
        <v>72</v>
      </c>
      <c r="MR108" s="47">
        <v>70</v>
      </c>
      <c r="MS108" s="44">
        <v>2</v>
      </c>
      <c r="MT108" s="43"/>
      <c r="MU108" s="22">
        <v>30</v>
      </c>
      <c r="MV108" s="47">
        <v>0</v>
      </c>
      <c r="MW108" s="47">
        <v>48</v>
      </c>
      <c r="MX108" s="47">
        <v>50</v>
      </c>
      <c r="MY108" s="44">
        <v>28</v>
      </c>
      <c r="MZ108" s="43"/>
      <c r="NA108" s="42">
        <v>0</v>
      </c>
      <c r="NB108" s="47">
        <v>0</v>
      </c>
      <c r="NC108" s="47">
        <v>0</v>
      </c>
      <c r="ND108" s="47">
        <v>0</v>
      </c>
      <c r="NE108" s="44">
        <v>0</v>
      </c>
      <c r="NF108" s="43"/>
      <c r="NG108" s="42">
        <v>0</v>
      </c>
      <c r="NH108" s="47">
        <v>0</v>
      </c>
      <c r="NI108" s="47">
        <v>0</v>
      </c>
      <c r="NJ108" s="47">
        <v>0</v>
      </c>
      <c r="NK108" s="44">
        <v>0</v>
      </c>
      <c r="NL108" s="43"/>
      <c r="NM108" s="42">
        <v>0</v>
      </c>
      <c r="NN108" s="47">
        <v>0</v>
      </c>
      <c r="NO108" s="47">
        <v>48</v>
      </c>
      <c r="NP108" s="47">
        <v>50</v>
      </c>
      <c r="NQ108" s="44">
        <v>-2</v>
      </c>
      <c r="NR108" s="43"/>
      <c r="NS108" s="42">
        <v>60</v>
      </c>
      <c r="NT108" s="47">
        <v>60</v>
      </c>
      <c r="NU108" s="47">
        <v>0</v>
      </c>
      <c r="NV108" s="47">
        <v>0</v>
      </c>
      <c r="NW108" s="44">
        <v>0</v>
      </c>
      <c r="NX108" s="43"/>
      <c r="NY108" s="42">
        <v>0</v>
      </c>
      <c r="NZ108" s="47">
        <v>0</v>
      </c>
      <c r="OA108" s="47">
        <v>138</v>
      </c>
      <c r="OB108" s="47">
        <v>140</v>
      </c>
      <c r="OC108" s="44">
        <v>-2</v>
      </c>
      <c r="OD108" s="43"/>
      <c r="OE108" s="42">
        <v>0</v>
      </c>
      <c r="OF108" s="47">
        <v>0</v>
      </c>
      <c r="OG108" s="47">
        <v>12</v>
      </c>
      <c r="OH108" s="47">
        <v>12</v>
      </c>
      <c r="OI108" s="44">
        <v>0</v>
      </c>
      <c r="OJ108" s="43"/>
      <c r="OK108" s="42">
        <v>48</v>
      </c>
      <c r="OL108" s="47">
        <v>50</v>
      </c>
      <c r="OM108" s="47">
        <v>72</v>
      </c>
      <c r="ON108" s="47">
        <v>80</v>
      </c>
      <c r="OO108" s="46">
        <v>-10</v>
      </c>
      <c r="OP108" s="43">
        <v>4.0999999999999996</v>
      </c>
      <c r="OQ108" s="42">
        <v>0</v>
      </c>
      <c r="OR108" s="47">
        <v>0</v>
      </c>
      <c r="OS108" s="47">
        <v>30</v>
      </c>
      <c r="OT108" s="47">
        <v>30</v>
      </c>
      <c r="OU108" s="44">
        <v>0</v>
      </c>
      <c r="OV108" s="43"/>
      <c r="OW108" s="42">
        <v>0</v>
      </c>
      <c r="OX108" s="47">
        <v>0</v>
      </c>
      <c r="OY108" s="47">
        <v>48</v>
      </c>
      <c r="OZ108" s="47">
        <v>50</v>
      </c>
      <c r="PA108" s="44">
        <v>-2</v>
      </c>
      <c r="PB108" s="43"/>
      <c r="PC108" s="42"/>
      <c r="PH108" s="43"/>
      <c r="PI108" s="42"/>
      <c r="PN108" s="43"/>
      <c r="PO108" s="42"/>
      <c r="PT108" s="43"/>
      <c r="PU108" s="42"/>
      <c r="PZ108" s="43"/>
      <c r="QA108" s="42"/>
      <c r="QD108" s="43"/>
      <c r="QE108" s="42"/>
      <c r="QH108" s="43"/>
      <c r="QI108" s="42"/>
      <c r="QL108" s="43"/>
      <c r="QM108" s="42"/>
      <c r="QR108" s="43"/>
      <c r="QS108" s="42"/>
      <c r="QV108" s="43"/>
      <c r="QW108" s="42"/>
      <c r="QY108" s="44"/>
      <c r="QZ108" s="43"/>
    </row>
    <row r="109" spans="1:468" x14ac:dyDescent="0.25">
      <c r="A109" s="47" t="s">
        <v>393</v>
      </c>
      <c r="B109" s="38">
        <v>1</v>
      </c>
      <c r="N109" s="39"/>
      <c r="O109" s="48"/>
      <c r="P109" s="48"/>
      <c r="Q109" s="48"/>
      <c r="R109" s="48">
        <f t="shared" si="13"/>
        <v>0</v>
      </c>
      <c r="S109" s="40"/>
      <c r="T109" s="39"/>
      <c r="U109" s="48"/>
      <c r="V109" s="48">
        <f t="shared" si="14"/>
        <v>0</v>
      </c>
      <c r="W109" s="40"/>
      <c r="X109" s="39"/>
      <c r="Y109" s="48"/>
      <c r="Z109" s="48"/>
      <c r="AA109" s="48"/>
      <c r="AB109" s="48">
        <f t="shared" si="15"/>
        <v>0</v>
      </c>
      <c r="AC109" s="40"/>
      <c r="AD109" s="48"/>
      <c r="AH109" s="44">
        <v>0</v>
      </c>
      <c r="AI109" s="40"/>
      <c r="AN109" s="44">
        <v>0</v>
      </c>
      <c r="AO109" s="40"/>
      <c r="AT109" s="44">
        <v>0</v>
      </c>
      <c r="AU109" s="40"/>
      <c r="AV109" s="39"/>
      <c r="AX109" s="44">
        <v>0</v>
      </c>
      <c r="AY109" s="40"/>
      <c r="AZ109" s="39"/>
      <c r="BB109" s="44">
        <v>0</v>
      </c>
      <c r="BC109" s="40"/>
      <c r="BH109" s="44">
        <v>0</v>
      </c>
      <c r="BI109" s="40"/>
      <c r="BL109" s="44">
        <v>0</v>
      </c>
      <c r="BM109" s="40"/>
      <c r="BN109" s="39"/>
      <c r="BR109" s="44">
        <v>0</v>
      </c>
      <c r="BS109" s="40"/>
      <c r="BV109" s="44">
        <v>0</v>
      </c>
      <c r="BW109" s="40"/>
      <c r="BX109" s="39"/>
      <c r="BZ109" s="44">
        <v>0</v>
      </c>
      <c r="CA109" s="40"/>
      <c r="CB109" s="39"/>
      <c r="CH109" s="44">
        <v>0</v>
      </c>
      <c r="CI109" s="40"/>
      <c r="CN109" s="44">
        <v>0</v>
      </c>
      <c r="CO109" s="40"/>
      <c r="CP109" s="39"/>
      <c r="CT109" s="44">
        <v>0</v>
      </c>
      <c r="CU109" s="40"/>
      <c r="CV109" s="39"/>
      <c r="CZ109" s="44">
        <v>0</v>
      </c>
      <c r="DA109" s="40"/>
      <c r="DB109" s="39"/>
      <c r="DF109" s="44">
        <v>0</v>
      </c>
      <c r="DG109" s="40"/>
      <c r="DN109" s="44">
        <v>0</v>
      </c>
      <c r="DO109" s="40"/>
      <c r="DP109" s="39"/>
      <c r="DR109" s="44">
        <v>0</v>
      </c>
      <c r="DS109" s="40"/>
      <c r="DT109" s="39"/>
      <c r="DX109" s="44">
        <v>0</v>
      </c>
      <c r="DY109" s="40"/>
      <c r="DZ109" s="39"/>
      <c r="EB109" s="44">
        <v>0</v>
      </c>
      <c r="EC109" s="40"/>
      <c r="EK109" s="44">
        <v>0</v>
      </c>
      <c r="EL109" s="40"/>
      <c r="ES109" s="44">
        <v>0</v>
      </c>
      <c r="ET109" s="40"/>
      <c r="EU109" s="39"/>
      <c r="EY109" s="44">
        <v>0</v>
      </c>
      <c r="EZ109" s="40"/>
      <c r="FA109" s="39"/>
      <c r="FD109" s="44">
        <v>0</v>
      </c>
      <c r="FE109" s="40"/>
      <c r="FH109" s="44">
        <v>0</v>
      </c>
      <c r="FI109" s="40"/>
      <c r="FJ109" s="39"/>
      <c r="FQ109" s="44">
        <v>0</v>
      </c>
      <c r="FR109" s="40"/>
      <c r="FW109" s="44">
        <v>0</v>
      </c>
      <c r="FX109" s="40"/>
      <c r="FY109" s="39"/>
      <c r="GC109" s="44">
        <v>0</v>
      </c>
      <c r="GD109" s="40"/>
      <c r="GI109" s="44">
        <v>0</v>
      </c>
      <c r="GJ109" s="40"/>
      <c r="GM109" s="44">
        <v>0</v>
      </c>
      <c r="GN109" s="40"/>
      <c r="GO109" s="39"/>
      <c r="GQ109" s="44">
        <v>0</v>
      </c>
      <c r="GR109" s="40"/>
      <c r="GX109" s="44">
        <v>0</v>
      </c>
      <c r="GY109" s="40"/>
      <c r="HD109" s="44">
        <v>0</v>
      </c>
      <c r="HE109" s="40"/>
      <c r="HF109" s="39"/>
      <c r="HJ109" s="44">
        <v>0</v>
      </c>
      <c r="HK109" s="40"/>
      <c r="HL109" s="39"/>
      <c r="HP109" s="44">
        <v>0</v>
      </c>
      <c r="HQ109" s="40"/>
      <c r="HV109" s="44">
        <v>0</v>
      </c>
      <c r="HW109" s="43"/>
      <c r="IB109" s="44">
        <v>0</v>
      </c>
      <c r="IC109" s="43"/>
      <c r="IH109" s="44">
        <v>0</v>
      </c>
      <c r="II109" s="43"/>
      <c r="IN109" s="44">
        <v>0</v>
      </c>
      <c r="IO109" s="40"/>
      <c r="IR109" s="44">
        <v>0</v>
      </c>
      <c r="IS109" s="40"/>
      <c r="IX109" s="44">
        <v>0</v>
      </c>
      <c r="IY109" s="43"/>
      <c r="JB109" s="44">
        <v>0</v>
      </c>
      <c r="JC109" s="40"/>
      <c r="JH109" s="44">
        <v>0</v>
      </c>
      <c r="JI109" s="40"/>
      <c r="JN109" s="44">
        <v>0</v>
      </c>
      <c r="JO109" s="43"/>
      <c r="JT109" s="44">
        <v>0</v>
      </c>
      <c r="JU109" s="43"/>
      <c r="JZ109" s="44">
        <v>0</v>
      </c>
      <c r="KA109" s="43"/>
      <c r="KB109" s="42"/>
      <c r="KI109" s="44">
        <v>0</v>
      </c>
      <c r="KJ109" s="43"/>
      <c r="KK109" s="47">
        <v>0</v>
      </c>
      <c r="KL109" s="47">
        <v>0</v>
      </c>
      <c r="KM109" s="47">
        <v>0</v>
      </c>
      <c r="KN109" s="47">
        <v>0</v>
      </c>
      <c r="KO109" s="44">
        <v>0</v>
      </c>
      <c r="KP109" s="43"/>
      <c r="KQ109" s="47">
        <v>0</v>
      </c>
      <c r="KR109" s="47">
        <v>0</v>
      </c>
      <c r="KS109" s="47">
        <v>0</v>
      </c>
      <c r="KT109" s="47">
        <v>0</v>
      </c>
      <c r="KU109" s="44">
        <v>0</v>
      </c>
      <c r="KV109" s="43"/>
      <c r="KW109" s="42">
        <v>0</v>
      </c>
      <c r="KX109" s="47">
        <v>0</v>
      </c>
      <c r="KY109" s="44">
        <v>0</v>
      </c>
      <c r="KZ109" s="43"/>
      <c r="LA109" s="42">
        <v>0</v>
      </c>
      <c r="LB109" s="47">
        <v>0</v>
      </c>
      <c r="LC109" s="47">
        <v>0</v>
      </c>
      <c r="LD109" s="47">
        <v>0</v>
      </c>
      <c r="LE109" s="44">
        <v>0</v>
      </c>
      <c r="LF109" s="43"/>
      <c r="LG109" s="42">
        <v>0</v>
      </c>
      <c r="LH109" s="47">
        <v>0</v>
      </c>
      <c r="LI109" s="47">
        <v>0</v>
      </c>
      <c r="LJ109" s="47">
        <v>0</v>
      </c>
      <c r="LK109" s="44">
        <v>0</v>
      </c>
      <c r="LL109" s="43"/>
      <c r="LM109" s="42">
        <v>0</v>
      </c>
      <c r="LN109" s="47">
        <v>0</v>
      </c>
      <c r="LO109" s="44">
        <v>0</v>
      </c>
      <c r="LP109" s="43"/>
      <c r="LQ109" s="42">
        <v>0</v>
      </c>
      <c r="LR109" s="47">
        <v>0</v>
      </c>
      <c r="LS109" s="47">
        <v>0</v>
      </c>
      <c r="LT109" s="47">
        <v>0</v>
      </c>
      <c r="LU109" s="44">
        <v>0</v>
      </c>
      <c r="LV109" s="43"/>
      <c r="LW109" s="42">
        <v>0</v>
      </c>
      <c r="LX109" s="47">
        <v>0</v>
      </c>
      <c r="LY109" s="47">
        <v>0</v>
      </c>
      <c r="LZ109" s="47">
        <v>0</v>
      </c>
      <c r="MA109" s="44">
        <v>0</v>
      </c>
      <c r="MB109" s="43"/>
      <c r="MC109" s="42">
        <v>0</v>
      </c>
      <c r="MD109" s="47">
        <v>0</v>
      </c>
      <c r="ME109" s="47">
        <v>0</v>
      </c>
      <c r="MF109" s="47">
        <v>0</v>
      </c>
      <c r="MG109" s="44">
        <v>0</v>
      </c>
      <c r="MH109" s="43"/>
      <c r="MI109" s="42">
        <v>0</v>
      </c>
      <c r="MJ109" s="47">
        <v>0</v>
      </c>
      <c r="MK109" s="47">
        <v>0</v>
      </c>
      <c r="ML109" s="47">
        <v>0</v>
      </c>
      <c r="MM109" s="44">
        <v>0</v>
      </c>
      <c r="MN109" s="43"/>
      <c r="MO109" s="42">
        <v>0</v>
      </c>
      <c r="MP109" s="47">
        <v>0</v>
      </c>
      <c r="MQ109" s="47">
        <v>0</v>
      </c>
      <c r="MR109" s="47">
        <v>0</v>
      </c>
      <c r="MS109" s="44">
        <v>0</v>
      </c>
      <c r="MT109" s="43"/>
      <c r="MU109" s="42">
        <v>0</v>
      </c>
      <c r="MV109" s="47">
        <v>0</v>
      </c>
      <c r="MW109" s="47">
        <v>0</v>
      </c>
      <c r="MX109" s="47">
        <v>0</v>
      </c>
      <c r="MY109" s="44">
        <v>0</v>
      </c>
      <c r="MZ109" s="43"/>
      <c r="NA109" s="42">
        <v>0</v>
      </c>
      <c r="NB109" s="47">
        <v>0</v>
      </c>
      <c r="NC109" s="47">
        <v>0</v>
      </c>
      <c r="ND109" s="47">
        <v>0</v>
      </c>
      <c r="NE109" s="44">
        <v>0</v>
      </c>
      <c r="NF109" s="43"/>
      <c r="NG109" s="42">
        <v>0</v>
      </c>
      <c r="NH109" s="47">
        <v>0</v>
      </c>
      <c r="NI109" s="47">
        <v>0</v>
      </c>
      <c r="NJ109" s="47">
        <v>0</v>
      </c>
      <c r="NK109" s="44">
        <v>0</v>
      </c>
      <c r="NL109" s="43"/>
      <c r="NM109" s="42">
        <v>0</v>
      </c>
      <c r="NN109" s="47">
        <v>0</v>
      </c>
      <c r="NO109" s="47">
        <v>0</v>
      </c>
      <c r="NP109" s="47">
        <v>0</v>
      </c>
      <c r="NQ109" s="44">
        <v>0</v>
      </c>
      <c r="NR109" s="43"/>
      <c r="NS109" s="42">
        <v>0</v>
      </c>
      <c r="NT109" s="47">
        <v>0</v>
      </c>
      <c r="NU109" s="47">
        <v>0</v>
      </c>
      <c r="NV109" s="47">
        <v>0</v>
      </c>
      <c r="NW109" s="44">
        <v>0</v>
      </c>
      <c r="NX109" s="43"/>
      <c r="NY109" s="42">
        <v>0</v>
      </c>
      <c r="NZ109" s="47">
        <v>0</v>
      </c>
      <c r="OA109" s="47">
        <v>0</v>
      </c>
      <c r="OB109" s="47">
        <v>0</v>
      </c>
      <c r="OC109" s="44">
        <v>0</v>
      </c>
      <c r="OD109" s="43"/>
      <c r="OE109" s="42">
        <v>0</v>
      </c>
      <c r="OF109" s="47">
        <v>0</v>
      </c>
      <c r="OG109" s="47">
        <v>0</v>
      </c>
      <c r="OH109" s="47">
        <v>0</v>
      </c>
      <c r="OI109" s="44">
        <v>0</v>
      </c>
      <c r="OJ109" s="43"/>
      <c r="OK109" s="42">
        <v>0</v>
      </c>
      <c r="OL109" s="47">
        <v>0</v>
      </c>
      <c r="OM109" s="47">
        <v>0</v>
      </c>
      <c r="ON109" s="47">
        <v>0</v>
      </c>
      <c r="OO109" s="44">
        <v>0</v>
      </c>
      <c r="OP109" s="43"/>
      <c r="OQ109" s="42">
        <v>0</v>
      </c>
      <c r="OR109" s="47">
        <v>0</v>
      </c>
      <c r="OS109" s="47">
        <v>0</v>
      </c>
      <c r="OT109" s="47">
        <v>0</v>
      </c>
      <c r="OU109" s="44">
        <v>0</v>
      </c>
      <c r="OV109" s="43"/>
      <c r="OW109" s="42">
        <v>0</v>
      </c>
      <c r="OX109" s="47">
        <v>0</v>
      </c>
      <c r="OY109" s="47">
        <v>0</v>
      </c>
      <c r="OZ109" s="47">
        <v>0</v>
      </c>
      <c r="PA109" s="44">
        <v>0</v>
      </c>
      <c r="PB109" s="43"/>
      <c r="PC109" s="42">
        <v>0</v>
      </c>
      <c r="PD109" s="47">
        <v>0</v>
      </c>
      <c r="PE109" s="47">
        <v>0</v>
      </c>
      <c r="PF109" s="47">
        <v>0</v>
      </c>
      <c r="PG109" s="44">
        <v>0</v>
      </c>
      <c r="PH109" s="43"/>
      <c r="PI109" s="42">
        <v>0</v>
      </c>
      <c r="PJ109" s="47">
        <v>0</v>
      </c>
      <c r="PK109" s="47">
        <v>0</v>
      </c>
      <c r="PL109" s="47">
        <v>0</v>
      </c>
      <c r="PM109" s="44">
        <v>0</v>
      </c>
      <c r="PN109" s="43"/>
      <c r="PO109" s="42">
        <v>0</v>
      </c>
      <c r="PP109" s="47">
        <v>0</v>
      </c>
      <c r="PQ109" s="47">
        <v>0</v>
      </c>
      <c r="PR109" s="47">
        <v>0</v>
      </c>
      <c r="PS109" s="44">
        <v>0</v>
      </c>
      <c r="PT109" s="43"/>
      <c r="PU109" s="42">
        <v>0</v>
      </c>
      <c r="PV109" s="47">
        <v>0</v>
      </c>
      <c r="PW109" s="47">
        <v>0</v>
      </c>
      <c r="PX109" s="47">
        <v>0</v>
      </c>
      <c r="PY109" s="44">
        <v>0</v>
      </c>
      <c r="PZ109" s="43"/>
      <c r="QA109" s="42">
        <v>42.881999999999998</v>
      </c>
      <c r="QB109" s="47">
        <v>50</v>
      </c>
      <c r="QC109" s="44">
        <v>-7.1180000000000021</v>
      </c>
      <c r="QD109" s="43"/>
      <c r="QE109" s="42">
        <v>195.23400000000001</v>
      </c>
      <c r="QF109" s="47">
        <v>200</v>
      </c>
      <c r="QG109" s="44">
        <v>-4.7659999999999911</v>
      </c>
      <c r="QH109" s="43"/>
      <c r="QI109" s="42">
        <v>0</v>
      </c>
      <c r="QJ109" s="47">
        <v>0</v>
      </c>
      <c r="QK109" s="44">
        <v>0</v>
      </c>
      <c r="QL109" s="43"/>
      <c r="QM109" s="42">
        <v>0</v>
      </c>
      <c r="QN109" s="47">
        <v>0</v>
      </c>
      <c r="QO109" s="47">
        <v>0</v>
      </c>
      <c r="QP109" s="47">
        <v>0</v>
      </c>
      <c r="QQ109" s="44">
        <v>0</v>
      </c>
      <c r="QR109" s="43"/>
      <c r="QS109" s="42">
        <v>0</v>
      </c>
      <c r="QT109" s="47">
        <v>0</v>
      </c>
      <c r="QU109" s="44">
        <v>0</v>
      </c>
      <c r="QV109" s="43"/>
      <c r="QW109" s="42">
        <v>194.33199999999999</v>
      </c>
      <c r="QX109" s="47">
        <v>200</v>
      </c>
      <c r="QY109" s="44">
        <v>-5.6680000000000064</v>
      </c>
      <c r="QZ109" s="43"/>
    </row>
    <row r="110" spans="1:468" x14ac:dyDescent="0.25">
      <c r="A110" s="47" t="s">
        <v>394</v>
      </c>
      <c r="B110" s="38">
        <v>0.41</v>
      </c>
      <c r="I110">
        <v>6</v>
      </c>
      <c r="N110" s="39"/>
      <c r="O110" s="49">
        <v>6</v>
      </c>
      <c r="P110" s="48"/>
      <c r="Q110" s="49">
        <v>6</v>
      </c>
      <c r="R110" s="53">
        <f t="shared" si="13"/>
        <v>-12</v>
      </c>
      <c r="S110" s="40">
        <f>-1*R110*B110</f>
        <v>4.92</v>
      </c>
      <c r="T110" s="39"/>
      <c r="U110" s="49">
        <v>6</v>
      </c>
      <c r="V110" s="53">
        <f t="shared" si="14"/>
        <v>-6</v>
      </c>
      <c r="W110" s="40">
        <f>-1*V110*B110</f>
        <v>2.46</v>
      </c>
      <c r="X110" s="39"/>
      <c r="Y110" s="48"/>
      <c r="Z110" s="48"/>
      <c r="AA110" s="49">
        <v>23</v>
      </c>
      <c r="AB110" s="53">
        <f t="shared" si="15"/>
        <v>-23</v>
      </c>
      <c r="AC110" s="40">
        <f>-1*AB110*B110</f>
        <v>9.43</v>
      </c>
      <c r="AD110" s="48"/>
      <c r="AH110" s="44">
        <v>0</v>
      </c>
      <c r="AI110" s="40"/>
      <c r="AL110">
        <v>12</v>
      </c>
      <c r="AM110">
        <v>11</v>
      </c>
      <c r="AN110" s="44">
        <v>1</v>
      </c>
      <c r="AO110" s="40"/>
      <c r="AT110" s="44">
        <v>0</v>
      </c>
      <c r="AU110" s="40"/>
      <c r="AV110" s="39"/>
      <c r="AX110" s="44">
        <v>0</v>
      </c>
      <c r="AY110" s="40"/>
      <c r="AZ110" s="41">
        <v>6</v>
      </c>
      <c r="BA110">
        <v>6</v>
      </c>
      <c r="BB110" s="44">
        <v>0</v>
      </c>
      <c r="BC110" s="40"/>
      <c r="BF110">
        <v>6</v>
      </c>
      <c r="BG110">
        <v>6</v>
      </c>
      <c r="BH110" s="44">
        <v>0</v>
      </c>
      <c r="BI110" s="40"/>
      <c r="BL110" s="44">
        <v>0</v>
      </c>
      <c r="BM110" s="40"/>
      <c r="BN110" s="39"/>
      <c r="BQ110">
        <v>20</v>
      </c>
      <c r="BR110" s="46">
        <v>-20</v>
      </c>
      <c r="BS110" s="40">
        <v>8.1999999999999993</v>
      </c>
      <c r="BV110" s="44">
        <v>0</v>
      </c>
      <c r="BW110" s="40"/>
      <c r="BX110" s="41">
        <v>12</v>
      </c>
      <c r="BY110">
        <v>12</v>
      </c>
      <c r="BZ110" s="44">
        <v>0</v>
      </c>
      <c r="CA110" s="40"/>
      <c r="CB110" s="39"/>
      <c r="CH110" s="44">
        <v>0</v>
      </c>
      <c r="CI110" s="40"/>
      <c r="CN110" s="44">
        <v>0</v>
      </c>
      <c r="CO110" s="40"/>
      <c r="CP110" s="39"/>
      <c r="CT110" s="44">
        <v>0</v>
      </c>
      <c r="CU110" s="40"/>
      <c r="CV110" s="39"/>
      <c r="CX110">
        <v>6</v>
      </c>
      <c r="CY110">
        <v>6</v>
      </c>
      <c r="CZ110" s="44">
        <v>0</v>
      </c>
      <c r="DA110" s="40"/>
      <c r="DB110" s="39"/>
      <c r="DD110">
        <v>6</v>
      </c>
      <c r="DE110">
        <v>6</v>
      </c>
      <c r="DF110" s="44">
        <v>0</v>
      </c>
      <c r="DG110" s="40"/>
      <c r="DK110">
        <v>6</v>
      </c>
      <c r="DN110" s="46">
        <v>-6</v>
      </c>
      <c r="DO110" s="40">
        <v>2.46</v>
      </c>
      <c r="DP110" s="39"/>
      <c r="DR110" s="44">
        <v>0</v>
      </c>
      <c r="DS110" s="40"/>
      <c r="DT110" s="39"/>
      <c r="DX110" s="44">
        <v>0</v>
      </c>
      <c r="DY110" s="40"/>
      <c r="DZ110" s="39"/>
      <c r="EB110" s="44">
        <v>0</v>
      </c>
      <c r="EC110" s="40"/>
      <c r="EK110" s="44">
        <v>0</v>
      </c>
      <c r="EL110" s="40"/>
      <c r="EQ110">
        <v>6</v>
      </c>
      <c r="ER110">
        <v>7</v>
      </c>
      <c r="ES110" s="44">
        <v>-1</v>
      </c>
      <c r="ET110" s="40"/>
      <c r="EU110" s="39"/>
      <c r="EY110" s="44">
        <v>0</v>
      </c>
      <c r="EZ110" s="40"/>
      <c r="FA110" s="39"/>
      <c r="FD110" s="44">
        <v>0</v>
      </c>
      <c r="FE110" s="40"/>
      <c r="FH110" s="44">
        <v>0</v>
      </c>
      <c r="FI110" s="40"/>
      <c r="FJ110" s="39"/>
      <c r="FQ110" s="44">
        <v>0</v>
      </c>
      <c r="FR110" s="40"/>
      <c r="FW110" s="44">
        <v>0</v>
      </c>
      <c r="FX110" s="40"/>
      <c r="FY110" s="39"/>
      <c r="GA110">
        <v>42</v>
      </c>
      <c r="GB110">
        <v>42</v>
      </c>
      <c r="GC110" s="44">
        <v>0</v>
      </c>
      <c r="GD110" s="40"/>
      <c r="GI110" s="44">
        <v>0</v>
      </c>
      <c r="GJ110" s="40"/>
      <c r="GM110" s="44">
        <v>0</v>
      </c>
      <c r="GN110" s="40"/>
      <c r="GO110" s="41">
        <v>48</v>
      </c>
      <c r="GP110">
        <v>46</v>
      </c>
      <c r="GQ110" s="44">
        <v>2</v>
      </c>
      <c r="GR110" s="40"/>
      <c r="GX110" s="44">
        <v>0</v>
      </c>
      <c r="GY110" s="40"/>
      <c r="HB110">
        <v>24</v>
      </c>
      <c r="HC110">
        <v>24</v>
      </c>
      <c r="HD110" s="44">
        <v>0</v>
      </c>
      <c r="HE110" s="40"/>
      <c r="HF110" s="39"/>
      <c r="HH110">
        <v>42</v>
      </c>
      <c r="HI110">
        <v>42</v>
      </c>
      <c r="HJ110" s="44">
        <v>0</v>
      </c>
      <c r="HK110" s="40"/>
      <c r="HL110" s="39"/>
      <c r="HP110" s="44">
        <v>0</v>
      </c>
      <c r="HQ110" s="40"/>
      <c r="HT110">
        <v>48</v>
      </c>
      <c r="HU110">
        <v>48</v>
      </c>
      <c r="HV110" s="44">
        <v>0</v>
      </c>
      <c r="HW110" s="43"/>
      <c r="IB110" s="44">
        <v>0</v>
      </c>
      <c r="IC110" s="43"/>
      <c r="IF110">
        <v>30</v>
      </c>
      <c r="IG110">
        <v>30</v>
      </c>
      <c r="IH110" s="44">
        <v>0</v>
      </c>
      <c r="II110" s="43"/>
      <c r="IN110" s="44">
        <v>0</v>
      </c>
      <c r="IO110" s="40"/>
      <c r="IR110" s="44">
        <v>0</v>
      </c>
      <c r="IS110" s="40"/>
      <c r="IX110" s="44">
        <v>0</v>
      </c>
      <c r="IY110" s="43"/>
      <c r="JB110" s="44">
        <v>0</v>
      </c>
      <c r="JC110" s="40"/>
      <c r="JH110" s="44">
        <v>0</v>
      </c>
      <c r="JI110" s="40"/>
      <c r="JN110" s="44">
        <v>0</v>
      </c>
      <c r="JO110" s="43"/>
      <c r="JP110">
        <v>24</v>
      </c>
      <c r="JQ110">
        <v>24</v>
      </c>
      <c r="JR110">
        <v>60</v>
      </c>
      <c r="JS110">
        <v>60</v>
      </c>
      <c r="JT110" s="44">
        <v>0</v>
      </c>
      <c r="JU110" s="43"/>
      <c r="JX110">
        <v>42</v>
      </c>
      <c r="JY110">
        <v>40</v>
      </c>
      <c r="JZ110" s="44">
        <v>2</v>
      </c>
      <c r="KA110" s="43"/>
      <c r="KB110" s="42"/>
      <c r="KG110">
        <v>30</v>
      </c>
      <c r="KH110">
        <v>30</v>
      </c>
      <c r="KI110" s="44">
        <v>0</v>
      </c>
      <c r="KJ110" s="43"/>
      <c r="KK110" s="47">
        <v>0</v>
      </c>
      <c r="KL110" s="47">
        <v>0</v>
      </c>
      <c r="KM110" s="47">
        <v>0</v>
      </c>
      <c r="KN110" s="47">
        <v>0</v>
      </c>
      <c r="KO110" s="44">
        <v>0</v>
      </c>
      <c r="KP110" s="43"/>
      <c r="KQ110" s="47">
        <v>0</v>
      </c>
      <c r="KR110" s="47">
        <v>0</v>
      </c>
      <c r="KS110" s="47">
        <v>78</v>
      </c>
      <c r="KT110" s="47">
        <v>80</v>
      </c>
      <c r="KU110" s="44">
        <v>-2</v>
      </c>
      <c r="KV110" s="43"/>
      <c r="KW110" s="42">
        <v>0</v>
      </c>
      <c r="KX110" s="47">
        <v>0</v>
      </c>
      <c r="KY110" s="44">
        <v>0</v>
      </c>
      <c r="KZ110" s="43"/>
      <c r="LA110" s="42">
        <v>0</v>
      </c>
      <c r="LB110" s="47">
        <v>0</v>
      </c>
      <c r="LC110" s="47">
        <v>24</v>
      </c>
      <c r="LD110" s="47">
        <v>22</v>
      </c>
      <c r="LE110" s="44">
        <v>2</v>
      </c>
      <c r="LF110" s="43"/>
      <c r="LG110" s="42">
        <v>0</v>
      </c>
      <c r="LH110" s="47">
        <v>0</v>
      </c>
      <c r="LI110" s="47">
        <v>0</v>
      </c>
      <c r="LJ110" s="47">
        <v>0</v>
      </c>
      <c r="LK110" s="44">
        <v>0</v>
      </c>
      <c r="LL110" s="43"/>
      <c r="LM110" s="42">
        <v>0</v>
      </c>
      <c r="LN110" s="47">
        <v>0</v>
      </c>
      <c r="LO110" s="44">
        <v>0</v>
      </c>
      <c r="LP110" s="43"/>
      <c r="LQ110" s="42">
        <v>0</v>
      </c>
      <c r="LR110" s="47">
        <v>0</v>
      </c>
      <c r="LS110" s="47">
        <v>48</v>
      </c>
      <c r="LT110" s="47">
        <v>50</v>
      </c>
      <c r="LU110" s="44">
        <v>-2</v>
      </c>
      <c r="LV110" s="43"/>
      <c r="LW110" s="42">
        <v>0</v>
      </c>
      <c r="LX110" s="47">
        <v>0</v>
      </c>
      <c r="LY110" s="47">
        <v>0</v>
      </c>
      <c r="LZ110" s="47">
        <v>0</v>
      </c>
      <c r="MA110" s="44">
        <v>0</v>
      </c>
      <c r="MB110" s="43"/>
      <c r="MC110" s="42">
        <v>0</v>
      </c>
      <c r="MD110" s="47">
        <v>0</v>
      </c>
      <c r="ME110" s="47">
        <v>0</v>
      </c>
      <c r="MF110" s="47">
        <v>0</v>
      </c>
      <c r="MG110" s="44">
        <v>0</v>
      </c>
      <c r="MH110" s="43"/>
      <c r="MI110" s="42">
        <v>0</v>
      </c>
      <c r="MJ110" s="47">
        <v>0</v>
      </c>
      <c r="MK110" s="47">
        <v>0</v>
      </c>
      <c r="ML110" s="47">
        <v>0</v>
      </c>
      <c r="MM110" s="44">
        <v>0</v>
      </c>
      <c r="MN110" s="43"/>
      <c r="MO110" s="42">
        <v>0</v>
      </c>
      <c r="MP110" s="47">
        <v>0</v>
      </c>
      <c r="MQ110" s="47">
        <v>36</v>
      </c>
      <c r="MR110" s="47">
        <v>36</v>
      </c>
      <c r="MS110" s="44">
        <v>0</v>
      </c>
      <c r="MT110" s="43"/>
      <c r="MU110" s="22">
        <v>30</v>
      </c>
      <c r="MV110" s="47">
        <v>0</v>
      </c>
      <c r="MW110" s="47">
        <v>96</v>
      </c>
      <c r="MX110" s="47">
        <v>95</v>
      </c>
      <c r="MY110" s="44">
        <v>31</v>
      </c>
      <c r="MZ110" s="43"/>
      <c r="NA110" s="42">
        <v>0</v>
      </c>
      <c r="NB110" s="47">
        <v>0</v>
      </c>
      <c r="NC110" s="47">
        <v>0</v>
      </c>
      <c r="ND110" s="47">
        <v>0</v>
      </c>
      <c r="NE110" s="44">
        <v>0</v>
      </c>
      <c r="NF110" s="43"/>
      <c r="NG110" s="42">
        <v>0</v>
      </c>
      <c r="NH110" s="47">
        <v>0</v>
      </c>
      <c r="NI110" s="47">
        <v>18</v>
      </c>
      <c r="NJ110" s="47">
        <v>20</v>
      </c>
      <c r="NK110" s="44">
        <v>-2</v>
      </c>
      <c r="NL110" s="43"/>
      <c r="NM110" s="42">
        <v>0</v>
      </c>
      <c r="NN110" s="47">
        <v>0</v>
      </c>
      <c r="NO110" s="47">
        <v>0</v>
      </c>
      <c r="NP110" s="26">
        <v>50</v>
      </c>
      <c r="NQ110" s="46">
        <v>-50</v>
      </c>
      <c r="NR110" s="43">
        <v>20.5</v>
      </c>
      <c r="NS110" s="42">
        <v>54</v>
      </c>
      <c r="NT110" s="47">
        <v>55</v>
      </c>
      <c r="NU110" s="47">
        <v>0</v>
      </c>
      <c r="NV110" s="47">
        <v>0</v>
      </c>
      <c r="NW110" s="44">
        <v>-1</v>
      </c>
      <c r="NX110" s="43"/>
      <c r="NY110" s="42">
        <v>0</v>
      </c>
      <c r="NZ110" s="47">
        <v>0</v>
      </c>
      <c r="OA110" s="47">
        <v>42</v>
      </c>
      <c r="OB110" s="47">
        <v>40</v>
      </c>
      <c r="OC110" s="44">
        <v>2</v>
      </c>
      <c r="OD110" s="43"/>
      <c r="OE110" s="42">
        <v>0</v>
      </c>
      <c r="OF110" s="47">
        <v>0</v>
      </c>
      <c r="OG110" s="47">
        <v>42</v>
      </c>
      <c r="OH110" s="47">
        <v>40</v>
      </c>
      <c r="OI110" s="44">
        <v>2</v>
      </c>
      <c r="OJ110" s="43"/>
      <c r="OK110" s="42">
        <v>48</v>
      </c>
      <c r="OL110" s="47">
        <v>50</v>
      </c>
      <c r="OM110" s="47">
        <v>77</v>
      </c>
      <c r="ON110" s="47">
        <v>80</v>
      </c>
      <c r="OO110" s="44">
        <v>-5</v>
      </c>
      <c r="OP110" s="43"/>
      <c r="OQ110" s="42">
        <v>0</v>
      </c>
      <c r="OR110" s="47">
        <v>0</v>
      </c>
      <c r="OS110" s="47">
        <v>30</v>
      </c>
      <c r="OT110" s="47">
        <v>30</v>
      </c>
      <c r="OU110" s="44">
        <v>0</v>
      </c>
      <c r="OV110" s="43"/>
      <c r="OW110" s="42">
        <v>0</v>
      </c>
      <c r="OX110" s="47">
        <v>0</v>
      </c>
      <c r="OY110" s="47">
        <v>48</v>
      </c>
      <c r="OZ110" s="47">
        <v>50</v>
      </c>
      <c r="PA110" s="44">
        <v>-2</v>
      </c>
      <c r="PB110" s="43"/>
      <c r="PC110" s="42"/>
      <c r="PH110" s="43"/>
      <c r="PI110" s="42"/>
      <c r="PN110" s="43"/>
      <c r="PO110" s="42"/>
      <c r="PT110" s="43"/>
      <c r="PU110" s="42"/>
      <c r="PZ110" s="43"/>
      <c r="QA110" s="42"/>
      <c r="QD110" s="43"/>
      <c r="QE110" s="42"/>
      <c r="QH110" s="43"/>
      <c r="QI110" s="42"/>
      <c r="QL110" s="43"/>
      <c r="QM110" s="42"/>
      <c r="QR110" s="43"/>
      <c r="QS110" s="42"/>
      <c r="QV110" s="43"/>
      <c r="QW110" s="42"/>
      <c r="QY110" s="44"/>
      <c r="QZ110" s="43"/>
    </row>
    <row r="111" spans="1:468" x14ac:dyDescent="0.25">
      <c r="A111" s="47" t="s">
        <v>395</v>
      </c>
      <c r="B111" s="38">
        <v>0.28000000000000003</v>
      </c>
      <c r="N111" s="39"/>
      <c r="O111" s="48"/>
      <c r="P111" s="48"/>
      <c r="Q111" s="48"/>
      <c r="R111" s="48">
        <f t="shared" si="13"/>
        <v>0</v>
      </c>
      <c r="S111" s="40"/>
      <c r="T111" s="39"/>
      <c r="U111" s="48"/>
      <c r="V111" s="48">
        <f t="shared" si="14"/>
        <v>0</v>
      </c>
      <c r="W111" s="40"/>
      <c r="X111" s="39"/>
      <c r="Y111" s="48"/>
      <c r="Z111" s="48"/>
      <c r="AA111" s="48"/>
      <c r="AB111" s="48">
        <f t="shared" si="15"/>
        <v>0</v>
      </c>
      <c r="AC111" s="40"/>
      <c r="AD111" s="48"/>
      <c r="AH111" s="44">
        <v>0</v>
      </c>
      <c r="AI111" s="40"/>
      <c r="AN111" s="44">
        <v>0</v>
      </c>
      <c r="AO111" s="40"/>
      <c r="AT111" s="44">
        <v>0</v>
      </c>
      <c r="AU111" s="40"/>
      <c r="AV111" s="39"/>
      <c r="AX111" s="44">
        <v>0</v>
      </c>
      <c r="AY111" s="40"/>
      <c r="AZ111" s="39"/>
      <c r="BB111" s="44">
        <v>0</v>
      </c>
      <c r="BC111" s="40"/>
      <c r="BH111" s="44">
        <v>0</v>
      </c>
      <c r="BI111" s="40"/>
      <c r="BL111" s="44">
        <v>0</v>
      </c>
      <c r="BM111" s="40"/>
      <c r="BN111" s="39"/>
      <c r="BR111" s="44">
        <v>0</v>
      </c>
      <c r="BS111" s="40"/>
      <c r="BV111" s="44">
        <v>0</v>
      </c>
      <c r="BW111" s="40"/>
      <c r="BX111" s="39"/>
      <c r="BZ111" s="44">
        <v>0</v>
      </c>
      <c r="CA111" s="40"/>
      <c r="CB111" s="39"/>
      <c r="CH111" s="44">
        <v>0</v>
      </c>
      <c r="CI111" s="40"/>
      <c r="CN111" s="44">
        <v>0</v>
      </c>
      <c r="CO111" s="40"/>
      <c r="CP111" s="39"/>
      <c r="CT111" s="44">
        <v>0</v>
      </c>
      <c r="CU111" s="40"/>
      <c r="CV111" s="39"/>
      <c r="CZ111" s="44">
        <v>0</v>
      </c>
      <c r="DA111" s="40"/>
      <c r="DB111" s="39"/>
      <c r="DF111" s="44">
        <v>0</v>
      </c>
      <c r="DG111" s="40"/>
      <c r="DN111" s="44">
        <v>0</v>
      </c>
      <c r="DO111" s="40"/>
      <c r="DP111" s="39"/>
      <c r="DR111" s="44">
        <v>0</v>
      </c>
      <c r="DS111" s="40"/>
      <c r="DT111" s="39"/>
      <c r="DX111" s="44">
        <v>0</v>
      </c>
      <c r="DY111" s="40"/>
      <c r="DZ111" s="39"/>
      <c r="EB111" s="44">
        <v>0</v>
      </c>
      <c r="EC111" s="40"/>
      <c r="EK111" s="44">
        <v>0</v>
      </c>
      <c r="EL111" s="40"/>
      <c r="ES111" s="44">
        <v>0</v>
      </c>
      <c r="ET111" s="40"/>
      <c r="EU111" s="39"/>
      <c r="EY111" s="44">
        <v>0</v>
      </c>
      <c r="EZ111" s="40"/>
      <c r="FA111" s="39"/>
      <c r="FD111" s="44">
        <v>0</v>
      </c>
      <c r="FE111" s="40"/>
      <c r="FH111" s="44">
        <v>0</v>
      </c>
      <c r="FI111" s="40"/>
      <c r="FJ111" s="39"/>
      <c r="FK111">
        <v>100</v>
      </c>
      <c r="FP111">
        <v>170</v>
      </c>
      <c r="FQ111" s="44">
        <v>-6</v>
      </c>
      <c r="FR111" s="40"/>
      <c r="FT111" s="35">
        <v>96</v>
      </c>
      <c r="FU111">
        <v>104</v>
      </c>
      <c r="FV111">
        <v>114</v>
      </c>
      <c r="FW111" s="46">
        <v>-10</v>
      </c>
      <c r="FX111" s="40">
        <v>2.8</v>
      </c>
      <c r="FY111" s="41">
        <v>80</v>
      </c>
      <c r="FZ111">
        <v>80</v>
      </c>
      <c r="GA111">
        <v>96</v>
      </c>
      <c r="GB111">
        <v>100</v>
      </c>
      <c r="GC111" s="44">
        <v>-4</v>
      </c>
      <c r="GD111" s="40"/>
      <c r="GG111">
        <v>24</v>
      </c>
      <c r="GH111">
        <v>24</v>
      </c>
      <c r="GI111" s="44">
        <v>0</v>
      </c>
      <c r="GJ111" s="40"/>
      <c r="GK111">
        <v>72</v>
      </c>
      <c r="GL111" s="47">
        <v>70</v>
      </c>
      <c r="GM111" s="44">
        <v>2</v>
      </c>
      <c r="GN111" s="40"/>
      <c r="GO111" s="41">
        <v>216</v>
      </c>
      <c r="GP111">
        <v>220</v>
      </c>
      <c r="GQ111" s="44">
        <v>-4</v>
      </c>
      <c r="GR111" s="40"/>
      <c r="GS111">
        <v>72</v>
      </c>
      <c r="GT111">
        <v>72</v>
      </c>
      <c r="GV111">
        <v>120</v>
      </c>
      <c r="GW111">
        <v>118</v>
      </c>
      <c r="GX111" s="44">
        <v>2</v>
      </c>
      <c r="GY111" s="40"/>
      <c r="HB111">
        <v>160</v>
      </c>
      <c r="HC111">
        <v>160</v>
      </c>
      <c r="HD111" s="44">
        <v>0</v>
      </c>
      <c r="HE111" s="40"/>
      <c r="HF111" s="39"/>
      <c r="HH111">
        <v>240</v>
      </c>
      <c r="HI111">
        <v>240</v>
      </c>
      <c r="HJ111" s="44">
        <v>0</v>
      </c>
      <c r="HK111" s="40"/>
      <c r="HL111" s="39"/>
      <c r="HN111">
        <v>72</v>
      </c>
      <c r="HO111">
        <v>70</v>
      </c>
      <c r="HP111" s="44">
        <v>2</v>
      </c>
      <c r="HQ111" s="40"/>
      <c r="HT111">
        <v>128</v>
      </c>
      <c r="HU111">
        <v>130</v>
      </c>
      <c r="HV111" s="44">
        <v>-2</v>
      </c>
      <c r="HW111" s="43"/>
      <c r="HZ111">
        <v>208</v>
      </c>
      <c r="IA111">
        <v>210</v>
      </c>
      <c r="IB111" s="44">
        <v>-2</v>
      </c>
      <c r="IC111" s="43"/>
      <c r="IH111" s="44">
        <v>0</v>
      </c>
      <c r="II111" s="43"/>
      <c r="IJ111">
        <v>48</v>
      </c>
      <c r="IK111">
        <v>48</v>
      </c>
      <c r="IL111">
        <v>48</v>
      </c>
      <c r="IM111">
        <v>52</v>
      </c>
      <c r="IN111" s="44">
        <v>-4</v>
      </c>
      <c r="IO111" s="40"/>
      <c r="IP111">
        <v>224</v>
      </c>
      <c r="IQ111">
        <v>230</v>
      </c>
      <c r="IR111" s="44">
        <v>-6</v>
      </c>
      <c r="IS111" s="40"/>
      <c r="IX111" s="44">
        <v>0</v>
      </c>
      <c r="IY111" s="43"/>
      <c r="IZ111">
        <v>56</v>
      </c>
      <c r="JA111" s="47">
        <v>60</v>
      </c>
      <c r="JB111" s="44">
        <v>-4</v>
      </c>
      <c r="JC111" s="40"/>
      <c r="JF111">
        <v>288</v>
      </c>
      <c r="JG111">
        <v>290</v>
      </c>
      <c r="JH111" s="44">
        <v>-2</v>
      </c>
      <c r="JI111" s="40"/>
      <c r="JN111" s="44">
        <v>0</v>
      </c>
      <c r="JO111" s="43"/>
      <c r="JT111" s="44">
        <v>0</v>
      </c>
      <c r="JU111" s="43"/>
      <c r="JV111">
        <v>160</v>
      </c>
      <c r="JW111">
        <v>160</v>
      </c>
      <c r="JX111">
        <v>232</v>
      </c>
      <c r="JY111">
        <v>230</v>
      </c>
      <c r="JZ111" s="44">
        <v>2</v>
      </c>
      <c r="KA111" s="43"/>
      <c r="KB111" s="42"/>
      <c r="KE111">
        <v>40</v>
      </c>
      <c r="KF111">
        <v>40</v>
      </c>
      <c r="KG111">
        <v>48</v>
      </c>
      <c r="KH111">
        <v>50</v>
      </c>
      <c r="KI111" s="44">
        <v>-2</v>
      </c>
      <c r="KJ111" s="43"/>
      <c r="KK111" s="47">
        <v>0</v>
      </c>
      <c r="KL111" s="47">
        <v>0</v>
      </c>
      <c r="KM111" s="47">
        <v>0</v>
      </c>
      <c r="KN111" s="47">
        <v>0</v>
      </c>
      <c r="KO111" s="44">
        <v>0</v>
      </c>
      <c r="KP111" s="43"/>
      <c r="KQ111" s="47">
        <v>72</v>
      </c>
      <c r="KR111" s="47">
        <v>70</v>
      </c>
      <c r="KS111" s="47">
        <v>232</v>
      </c>
      <c r="KT111" s="47">
        <v>240</v>
      </c>
      <c r="KU111" s="44">
        <v>-6</v>
      </c>
      <c r="KV111" s="43"/>
      <c r="KW111" s="42">
        <v>32</v>
      </c>
      <c r="KX111" s="47">
        <v>30</v>
      </c>
      <c r="KY111" s="44">
        <v>2</v>
      </c>
      <c r="KZ111" s="43"/>
      <c r="LA111" s="42">
        <v>0</v>
      </c>
      <c r="LB111" s="47">
        <v>0</v>
      </c>
      <c r="LC111" s="47">
        <v>56</v>
      </c>
      <c r="LD111" s="47">
        <v>56</v>
      </c>
      <c r="LE111" s="44">
        <v>0</v>
      </c>
      <c r="LF111" s="43"/>
      <c r="LG111" s="42">
        <v>120</v>
      </c>
      <c r="LH111" s="47">
        <v>120</v>
      </c>
      <c r="LI111" s="47">
        <v>176</v>
      </c>
      <c r="LJ111" s="47">
        <v>180</v>
      </c>
      <c r="LK111" s="44">
        <v>-4</v>
      </c>
      <c r="LL111" s="43"/>
      <c r="LM111" s="42">
        <v>24</v>
      </c>
      <c r="LN111" s="47">
        <v>27</v>
      </c>
      <c r="LO111" s="44">
        <v>-3</v>
      </c>
      <c r="LP111" s="43"/>
      <c r="LQ111" s="42">
        <v>0</v>
      </c>
      <c r="LR111" s="47">
        <v>0</v>
      </c>
      <c r="LS111" s="47">
        <v>0</v>
      </c>
      <c r="LT111" s="47">
        <v>0</v>
      </c>
      <c r="LU111" s="44">
        <v>0</v>
      </c>
      <c r="LV111" s="43"/>
      <c r="LW111" s="42">
        <v>256</v>
      </c>
      <c r="LX111" s="47">
        <v>260</v>
      </c>
      <c r="LY111" s="47">
        <v>0</v>
      </c>
      <c r="LZ111" s="47">
        <v>0</v>
      </c>
      <c r="MA111" s="44">
        <v>-4</v>
      </c>
      <c r="MB111" s="43"/>
      <c r="MC111" s="42">
        <v>0</v>
      </c>
      <c r="MD111" s="47">
        <v>0</v>
      </c>
      <c r="ME111" s="47">
        <v>112</v>
      </c>
      <c r="MF111" s="47">
        <v>110</v>
      </c>
      <c r="MG111" s="44">
        <v>2</v>
      </c>
      <c r="MH111" s="43"/>
      <c r="MI111" s="42">
        <v>0</v>
      </c>
      <c r="MJ111" s="47">
        <v>0</v>
      </c>
      <c r="MK111" s="47">
        <v>168</v>
      </c>
      <c r="ML111" s="47">
        <v>170</v>
      </c>
      <c r="MM111" s="44">
        <v>-2</v>
      </c>
      <c r="MN111" s="43"/>
      <c r="MO111" s="42">
        <v>0</v>
      </c>
      <c r="MP111" s="47">
        <v>0</v>
      </c>
      <c r="MQ111" s="47">
        <v>56</v>
      </c>
      <c r="MR111" s="47">
        <v>60</v>
      </c>
      <c r="MS111" s="44">
        <v>-4</v>
      </c>
      <c r="MT111" s="43"/>
      <c r="MU111" s="42">
        <v>40</v>
      </c>
      <c r="MV111" s="47">
        <v>60</v>
      </c>
      <c r="MW111" s="47">
        <v>192</v>
      </c>
      <c r="MX111" s="47">
        <v>190</v>
      </c>
      <c r="MY111" s="46">
        <v>-18</v>
      </c>
      <c r="MZ111" s="43">
        <v>5.0400000000000009</v>
      </c>
      <c r="NA111" s="42">
        <v>0</v>
      </c>
      <c r="NB111" s="47">
        <v>0</v>
      </c>
      <c r="NC111" s="47">
        <v>32</v>
      </c>
      <c r="ND111" s="47">
        <v>30</v>
      </c>
      <c r="NE111" s="44">
        <v>2</v>
      </c>
      <c r="NF111" s="43"/>
      <c r="NG111" s="42">
        <v>0</v>
      </c>
      <c r="NH111" s="47">
        <v>0</v>
      </c>
      <c r="NI111" s="47">
        <v>0</v>
      </c>
      <c r="NJ111" s="47">
        <v>0</v>
      </c>
      <c r="NK111" s="44">
        <v>0</v>
      </c>
      <c r="NL111" s="43"/>
      <c r="NM111" s="42">
        <v>0</v>
      </c>
      <c r="NN111" s="47">
        <v>0</v>
      </c>
      <c r="NO111" s="21">
        <v>376</v>
      </c>
      <c r="NP111" s="47">
        <v>240</v>
      </c>
      <c r="NQ111" s="44">
        <v>136</v>
      </c>
      <c r="NR111" s="43"/>
      <c r="NS111" s="42">
        <v>320</v>
      </c>
      <c r="NT111" s="47">
        <v>320</v>
      </c>
      <c r="NU111" s="47">
        <v>0</v>
      </c>
      <c r="NV111" s="47">
        <v>0</v>
      </c>
      <c r="NW111" s="44">
        <v>0</v>
      </c>
      <c r="NX111" s="43"/>
      <c r="NY111" s="42">
        <v>0</v>
      </c>
      <c r="NZ111" s="47">
        <v>0</v>
      </c>
      <c r="OA111" s="47">
        <v>152</v>
      </c>
      <c r="OB111" s="47">
        <v>150</v>
      </c>
      <c r="OC111" s="44">
        <v>2</v>
      </c>
      <c r="OD111" s="43"/>
      <c r="OE111" s="42">
        <v>88</v>
      </c>
      <c r="OF111" s="47">
        <v>90</v>
      </c>
      <c r="OG111" s="47">
        <v>72</v>
      </c>
      <c r="OH111" s="47">
        <v>70</v>
      </c>
      <c r="OI111" s="44">
        <v>0</v>
      </c>
      <c r="OJ111" s="43"/>
      <c r="OK111" s="42">
        <v>152</v>
      </c>
      <c r="OL111" s="47">
        <v>150</v>
      </c>
      <c r="OM111" s="47">
        <v>120</v>
      </c>
      <c r="ON111" s="47">
        <v>120</v>
      </c>
      <c r="OO111" s="44">
        <v>2</v>
      </c>
      <c r="OP111" s="43"/>
      <c r="OQ111" s="42">
        <v>0</v>
      </c>
      <c r="OR111" s="47">
        <v>0</v>
      </c>
      <c r="OS111" s="47">
        <v>32</v>
      </c>
      <c r="OT111" s="47">
        <v>30</v>
      </c>
      <c r="OU111" s="44">
        <v>2</v>
      </c>
      <c r="OV111" s="43"/>
      <c r="OW111" s="42">
        <v>152</v>
      </c>
      <c r="OX111" s="47">
        <v>150</v>
      </c>
      <c r="OY111" s="47">
        <v>176</v>
      </c>
      <c r="OZ111" s="47">
        <v>176</v>
      </c>
      <c r="PA111" s="44">
        <v>2</v>
      </c>
      <c r="PB111" s="43"/>
      <c r="PC111" s="42">
        <v>0</v>
      </c>
      <c r="PD111" s="47">
        <v>0</v>
      </c>
      <c r="PE111" s="47">
        <v>48</v>
      </c>
      <c r="PF111" s="47">
        <v>49</v>
      </c>
      <c r="PG111" s="44">
        <v>-1</v>
      </c>
      <c r="PH111" s="43"/>
      <c r="PI111" s="42">
        <v>48</v>
      </c>
      <c r="PJ111" s="47">
        <v>50</v>
      </c>
      <c r="PK111" s="47">
        <v>72</v>
      </c>
      <c r="PL111" s="47">
        <v>70</v>
      </c>
      <c r="PM111" s="44">
        <v>0</v>
      </c>
      <c r="PN111" s="43"/>
      <c r="PO111" s="42">
        <v>96</v>
      </c>
      <c r="PP111" s="47">
        <v>100</v>
      </c>
      <c r="PQ111" s="47">
        <v>0</v>
      </c>
      <c r="PR111" s="47">
        <v>0</v>
      </c>
      <c r="PS111" s="44">
        <v>-4</v>
      </c>
      <c r="PT111" s="43"/>
      <c r="PU111" s="42">
        <v>0</v>
      </c>
      <c r="PV111" s="47">
        <v>0</v>
      </c>
      <c r="PW111" s="47">
        <v>208</v>
      </c>
      <c r="PX111" s="47">
        <v>209</v>
      </c>
      <c r="PY111" s="44">
        <v>-1</v>
      </c>
      <c r="PZ111" s="43"/>
      <c r="QA111" s="42">
        <v>56</v>
      </c>
      <c r="QB111" s="47">
        <v>57</v>
      </c>
      <c r="QC111" s="44">
        <v>-1</v>
      </c>
      <c r="QD111" s="43"/>
      <c r="QE111" s="42">
        <v>0</v>
      </c>
      <c r="QF111" s="47">
        <v>0</v>
      </c>
      <c r="QG111" s="44">
        <v>0</v>
      </c>
      <c r="QH111" s="43"/>
      <c r="QI111" s="42">
        <v>0</v>
      </c>
      <c r="QJ111" s="47">
        <v>0</v>
      </c>
      <c r="QK111" s="44">
        <v>0</v>
      </c>
      <c r="QL111" s="43"/>
      <c r="QM111" s="11">
        <v>200</v>
      </c>
      <c r="QN111" s="47">
        <v>0</v>
      </c>
      <c r="QO111" s="10">
        <v>344</v>
      </c>
      <c r="QP111" s="47">
        <v>0</v>
      </c>
      <c r="QQ111" s="44">
        <v>0</v>
      </c>
      <c r="QR111" s="43"/>
      <c r="QS111" s="42">
        <v>0</v>
      </c>
      <c r="QT111" s="47">
        <v>0</v>
      </c>
      <c r="QU111" s="44">
        <v>0</v>
      </c>
      <c r="QV111" s="43"/>
      <c r="QW111" s="42">
        <v>0</v>
      </c>
      <c r="QX111" s="47">
        <v>0</v>
      </c>
      <c r="QY111" s="44">
        <v>0</v>
      </c>
      <c r="QZ111" s="43"/>
    </row>
    <row r="112" spans="1:468" x14ac:dyDescent="0.25">
      <c r="A112" s="47" t="s">
        <v>396</v>
      </c>
      <c r="B112" s="38">
        <v>0.35</v>
      </c>
      <c r="N112" s="39"/>
      <c r="O112" s="48"/>
      <c r="P112" s="48"/>
      <c r="Q112" s="48"/>
      <c r="R112" s="48">
        <f t="shared" si="13"/>
        <v>0</v>
      </c>
      <c r="S112" s="40"/>
      <c r="T112" s="39"/>
      <c r="U112" s="48"/>
      <c r="V112" s="48">
        <f t="shared" si="14"/>
        <v>0</v>
      </c>
      <c r="W112" s="40"/>
      <c r="X112" s="39"/>
      <c r="Y112" s="48"/>
      <c r="Z112" s="48"/>
      <c r="AA112" s="48"/>
      <c r="AB112" s="48">
        <f t="shared" si="15"/>
        <v>0</v>
      </c>
      <c r="AC112" s="40"/>
      <c r="AD112" s="48"/>
      <c r="AH112" s="44">
        <v>0</v>
      </c>
      <c r="AI112" s="40"/>
      <c r="AN112" s="44">
        <v>0</v>
      </c>
      <c r="AO112" s="40"/>
      <c r="AT112" s="44">
        <v>0</v>
      </c>
      <c r="AU112" s="40"/>
      <c r="AV112" s="39"/>
      <c r="AX112" s="44">
        <v>0</v>
      </c>
      <c r="AY112" s="40"/>
      <c r="AZ112" s="39"/>
      <c r="BB112" s="44">
        <v>0</v>
      </c>
      <c r="BC112" s="40"/>
      <c r="BH112" s="44">
        <v>0</v>
      </c>
      <c r="BI112" s="40"/>
      <c r="BL112" s="44">
        <v>0</v>
      </c>
      <c r="BM112" s="40"/>
      <c r="BN112" s="39"/>
      <c r="BR112" s="44">
        <v>0</v>
      </c>
      <c r="BS112" s="40"/>
      <c r="BV112" s="44">
        <v>0</v>
      </c>
      <c r="BW112" s="40"/>
      <c r="BX112" s="39"/>
      <c r="BZ112" s="44">
        <v>0</v>
      </c>
      <c r="CA112" s="40"/>
      <c r="CB112" s="39"/>
      <c r="CH112" s="44">
        <v>0</v>
      </c>
      <c r="CI112" s="40"/>
      <c r="CN112" s="44">
        <v>0</v>
      </c>
      <c r="CO112" s="40"/>
      <c r="CP112" s="39"/>
      <c r="CT112" s="44">
        <v>0</v>
      </c>
      <c r="CU112" s="40"/>
      <c r="CV112" s="39"/>
      <c r="CZ112" s="44">
        <v>0</v>
      </c>
      <c r="DA112" s="40"/>
      <c r="DB112" s="39"/>
      <c r="DF112" s="44">
        <v>0</v>
      </c>
      <c r="DG112" s="40"/>
      <c r="DN112" s="44">
        <v>0</v>
      </c>
      <c r="DO112" s="40"/>
      <c r="DP112" s="39"/>
      <c r="DR112" s="44">
        <v>0</v>
      </c>
      <c r="DS112" s="40"/>
      <c r="DT112" s="39"/>
      <c r="DX112" s="44">
        <v>0</v>
      </c>
      <c r="DY112" s="40"/>
      <c r="DZ112" s="39"/>
      <c r="EB112" s="44">
        <v>0</v>
      </c>
      <c r="EC112" s="40"/>
      <c r="EK112" s="44">
        <v>0</v>
      </c>
      <c r="EL112" s="40"/>
      <c r="ES112" s="44">
        <v>0</v>
      </c>
      <c r="ET112" s="40"/>
      <c r="EU112" s="39"/>
      <c r="EY112" s="44">
        <v>0</v>
      </c>
      <c r="EZ112" s="40"/>
      <c r="FA112" s="39"/>
      <c r="FD112" s="44">
        <v>0</v>
      </c>
      <c r="FE112" s="40"/>
      <c r="FH112" s="44">
        <v>0</v>
      </c>
      <c r="FI112" s="40"/>
      <c r="FJ112" s="39"/>
      <c r="FQ112" s="44">
        <v>0</v>
      </c>
      <c r="FR112" s="40"/>
      <c r="FW112" s="44">
        <v>0</v>
      </c>
      <c r="FX112" s="40"/>
      <c r="FY112" s="39"/>
      <c r="GC112" s="44">
        <v>0</v>
      </c>
      <c r="GD112" s="40"/>
      <c r="GI112" s="44">
        <v>0</v>
      </c>
      <c r="GJ112" s="40"/>
      <c r="GM112" s="44">
        <v>0</v>
      </c>
      <c r="GN112" s="40"/>
      <c r="GO112" s="39"/>
      <c r="GQ112" s="44">
        <v>0</v>
      </c>
      <c r="GR112" s="40"/>
      <c r="GX112" s="44">
        <v>0</v>
      </c>
      <c r="GY112" s="40"/>
      <c r="HD112" s="44">
        <v>0</v>
      </c>
      <c r="HE112" s="40"/>
      <c r="HF112" s="39"/>
      <c r="HJ112" s="44">
        <v>0</v>
      </c>
      <c r="HK112" s="40"/>
      <c r="HL112" s="39"/>
      <c r="HP112" s="44">
        <v>0</v>
      </c>
      <c r="HQ112" s="40"/>
      <c r="HV112" s="44">
        <v>0</v>
      </c>
      <c r="HW112" s="43"/>
      <c r="IB112" s="44">
        <v>0</v>
      </c>
      <c r="IC112" s="43"/>
      <c r="IH112" s="44">
        <v>0</v>
      </c>
      <c r="II112" s="43"/>
      <c r="IN112" s="44">
        <v>0</v>
      </c>
      <c r="IO112" s="40"/>
      <c r="IR112" s="44">
        <v>0</v>
      </c>
      <c r="IS112" s="40"/>
      <c r="IX112" s="44">
        <v>0</v>
      </c>
      <c r="IY112" s="43"/>
      <c r="JB112" s="44">
        <v>0</v>
      </c>
      <c r="JC112" s="40"/>
      <c r="JH112" s="44">
        <v>0</v>
      </c>
      <c r="JI112" s="40"/>
      <c r="JN112" s="44">
        <v>0</v>
      </c>
      <c r="JO112" s="43"/>
      <c r="JT112" s="44">
        <v>0</v>
      </c>
      <c r="JU112" s="43"/>
      <c r="JZ112" s="44">
        <v>0</v>
      </c>
      <c r="KA112" s="43"/>
      <c r="KB112" s="42"/>
      <c r="KI112" s="44">
        <v>0</v>
      </c>
      <c r="KJ112" s="43"/>
      <c r="KK112" s="47">
        <v>0</v>
      </c>
      <c r="KL112" s="47">
        <v>0</v>
      </c>
      <c r="KM112" s="47">
        <v>0</v>
      </c>
      <c r="KN112" s="47">
        <v>0</v>
      </c>
      <c r="KO112" s="44">
        <v>0</v>
      </c>
      <c r="KP112" s="43"/>
      <c r="KQ112" s="47">
        <v>0</v>
      </c>
      <c r="KR112" s="47">
        <v>0</v>
      </c>
      <c r="KS112" s="47">
        <v>0</v>
      </c>
      <c r="KT112" s="47">
        <v>0</v>
      </c>
      <c r="KU112" s="44">
        <v>0</v>
      </c>
      <c r="KV112" s="43"/>
      <c r="KW112" s="42">
        <v>0</v>
      </c>
      <c r="KX112" s="47">
        <v>0</v>
      </c>
      <c r="KY112" s="44">
        <v>0</v>
      </c>
      <c r="KZ112" s="43"/>
      <c r="LA112" s="42">
        <v>0</v>
      </c>
      <c r="LB112" s="47">
        <v>0</v>
      </c>
      <c r="LC112" s="47">
        <v>0</v>
      </c>
      <c r="LD112" s="47">
        <v>0</v>
      </c>
      <c r="LE112" s="44">
        <v>0</v>
      </c>
      <c r="LF112" s="43"/>
      <c r="LG112" s="42">
        <v>0</v>
      </c>
      <c r="LH112" s="47">
        <v>0</v>
      </c>
      <c r="LI112" s="47">
        <v>0</v>
      </c>
      <c r="LJ112" s="47">
        <v>0</v>
      </c>
      <c r="LK112" s="44">
        <v>0</v>
      </c>
      <c r="LL112" s="43"/>
      <c r="LM112" s="42">
        <v>0</v>
      </c>
      <c r="LN112" s="47">
        <v>0</v>
      </c>
      <c r="LO112" s="44">
        <v>0</v>
      </c>
      <c r="LP112" s="43"/>
      <c r="LQ112" s="42">
        <v>0</v>
      </c>
      <c r="LR112" s="47">
        <v>0</v>
      </c>
      <c r="LS112" s="47">
        <v>0</v>
      </c>
      <c r="LT112" s="47">
        <v>0</v>
      </c>
      <c r="LU112" s="44">
        <v>0</v>
      </c>
      <c r="LV112" s="43"/>
      <c r="LW112" s="42">
        <v>0</v>
      </c>
      <c r="LX112" s="47">
        <v>0</v>
      </c>
      <c r="LY112" s="47">
        <v>0</v>
      </c>
      <c r="LZ112" s="47">
        <v>0</v>
      </c>
      <c r="MA112" s="44">
        <v>0</v>
      </c>
      <c r="MB112" s="43"/>
      <c r="MC112" s="42">
        <v>0</v>
      </c>
      <c r="MD112" s="47">
        <v>0</v>
      </c>
      <c r="ME112" s="47">
        <v>0</v>
      </c>
      <c r="MF112" s="47">
        <v>0</v>
      </c>
      <c r="MG112" s="44">
        <v>0</v>
      </c>
      <c r="MH112" s="43"/>
      <c r="MI112" s="42">
        <v>0</v>
      </c>
      <c r="MJ112" s="47">
        <v>0</v>
      </c>
      <c r="MK112" s="47">
        <v>0</v>
      </c>
      <c r="ML112" s="47">
        <v>0</v>
      </c>
      <c r="MM112" s="44">
        <v>0</v>
      </c>
      <c r="MN112" s="43"/>
      <c r="MO112" s="42">
        <v>0</v>
      </c>
      <c r="MP112" s="47">
        <v>0</v>
      </c>
      <c r="MQ112" s="47">
        <v>40</v>
      </c>
      <c r="MR112" s="47">
        <v>40</v>
      </c>
      <c r="MS112" s="44">
        <v>0</v>
      </c>
      <c r="MT112" s="43"/>
      <c r="MU112" s="42">
        <v>0</v>
      </c>
      <c r="MV112" s="47">
        <v>0</v>
      </c>
      <c r="MW112" s="47">
        <v>88</v>
      </c>
      <c r="MX112" s="47">
        <v>90</v>
      </c>
      <c r="MY112" s="44">
        <v>-2</v>
      </c>
      <c r="MZ112" s="43"/>
      <c r="NA112" s="42">
        <v>48</v>
      </c>
      <c r="NB112" s="47">
        <v>50</v>
      </c>
      <c r="NC112" s="47">
        <v>128</v>
      </c>
      <c r="ND112" s="47">
        <v>130</v>
      </c>
      <c r="NE112" s="44">
        <v>-4</v>
      </c>
      <c r="NF112" s="43"/>
      <c r="NG112" s="42">
        <v>0</v>
      </c>
      <c r="NH112" s="47">
        <v>0</v>
      </c>
      <c r="NI112" s="47">
        <v>128</v>
      </c>
      <c r="NJ112" s="47">
        <v>130</v>
      </c>
      <c r="NK112" s="44">
        <v>-2</v>
      </c>
      <c r="NL112" s="43"/>
      <c r="NM112" s="42">
        <v>0</v>
      </c>
      <c r="NN112" s="47">
        <v>0</v>
      </c>
      <c r="NO112" s="47">
        <v>96</v>
      </c>
      <c r="NP112" s="47">
        <v>100</v>
      </c>
      <c r="NQ112" s="44">
        <v>-4</v>
      </c>
      <c r="NR112" s="43"/>
      <c r="NS112" s="42">
        <v>80</v>
      </c>
      <c r="NT112" s="47">
        <v>80</v>
      </c>
      <c r="NU112" s="47">
        <v>0</v>
      </c>
      <c r="NV112" s="47">
        <v>0</v>
      </c>
      <c r="NW112" s="44">
        <v>0</v>
      </c>
      <c r="NX112" s="43"/>
      <c r="NY112" s="42">
        <v>0</v>
      </c>
      <c r="NZ112" s="47">
        <v>0</v>
      </c>
      <c r="OA112" s="47">
        <v>0</v>
      </c>
      <c r="OB112" s="47">
        <v>0</v>
      </c>
      <c r="OC112" s="44">
        <v>0</v>
      </c>
      <c r="OD112" s="43"/>
      <c r="OE112" s="42">
        <v>216</v>
      </c>
      <c r="OF112" s="47">
        <v>220</v>
      </c>
      <c r="OG112" s="47">
        <v>176</v>
      </c>
      <c r="OH112" s="47">
        <v>180</v>
      </c>
      <c r="OI112" s="44">
        <v>-8</v>
      </c>
      <c r="OJ112" s="43"/>
      <c r="OK112" s="42">
        <v>48</v>
      </c>
      <c r="OL112" s="47">
        <v>50</v>
      </c>
      <c r="OM112" s="47">
        <v>80</v>
      </c>
      <c r="ON112" s="47">
        <v>83</v>
      </c>
      <c r="OO112" s="44">
        <v>-5</v>
      </c>
      <c r="OP112" s="43"/>
      <c r="OQ112" s="42">
        <v>0</v>
      </c>
      <c r="OR112" s="47">
        <v>0</v>
      </c>
      <c r="OS112" s="47">
        <v>32</v>
      </c>
      <c r="OT112" s="47">
        <v>30</v>
      </c>
      <c r="OU112" s="44">
        <v>2</v>
      </c>
      <c r="OV112" s="43"/>
      <c r="OW112" s="42">
        <v>152</v>
      </c>
      <c r="OX112" s="47">
        <v>150</v>
      </c>
      <c r="OY112" s="47">
        <v>192</v>
      </c>
      <c r="OZ112" s="47">
        <v>190</v>
      </c>
      <c r="PA112" s="44">
        <v>4</v>
      </c>
      <c r="PB112" s="43"/>
      <c r="PC112" s="42">
        <v>72</v>
      </c>
      <c r="PD112" s="47">
        <v>70</v>
      </c>
      <c r="PE112" s="47">
        <v>96</v>
      </c>
      <c r="PF112" s="47">
        <v>100</v>
      </c>
      <c r="PG112" s="44">
        <v>-2</v>
      </c>
      <c r="PH112" s="43"/>
      <c r="PI112" s="42">
        <v>0</v>
      </c>
      <c r="PJ112" s="47">
        <v>0</v>
      </c>
      <c r="PK112" s="47">
        <v>32</v>
      </c>
      <c r="PL112" s="47">
        <v>30</v>
      </c>
      <c r="PM112" s="44">
        <v>2</v>
      </c>
      <c r="PN112" s="43"/>
      <c r="PO112" s="42">
        <v>32</v>
      </c>
      <c r="PP112" s="47">
        <v>30</v>
      </c>
      <c r="PQ112" s="47">
        <v>0</v>
      </c>
      <c r="PR112" s="47">
        <v>0</v>
      </c>
      <c r="PS112" s="44">
        <v>2</v>
      </c>
      <c r="PT112" s="43"/>
      <c r="PU112" s="42">
        <v>0</v>
      </c>
      <c r="PV112" s="47">
        <v>0</v>
      </c>
      <c r="PW112" s="47">
        <v>384</v>
      </c>
      <c r="PX112" s="47">
        <v>383</v>
      </c>
      <c r="PY112" s="44">
        <v>1</v>
      </c>
      <c r="PZ112" s="43"/>
      <c r="QA112" s="42">
        <v>32</v>
      </c>
      <c r="QB112" s="47">
        <v>32</v>
      </c>
      <c r="QC112" s="44">
        <v>0</v>
      </c>
      <c r="QD112" s="43"/>
      <c r="QE112" s="42">
        <v>168</v>
      </c>
      <c r="QF112" s="47">
        <v>200</v>
      </c>
      <c r="QG112" s="46">
        <v>-32</v>
      </c>
      <c r="QH112" s="43">
        <v>11.2</v>
      </c>
      <c r="QI112" s="42">
        <v>96</v>
      </c>
      <c r="QJ112" s="47">
        <v>100</v>
      </c>
      <c r="QK112" s="44">
        <v>-4</v>
      </c>
      <c r="QL112" s="43"/>
      <c r="QM112" s="42">
        <v>96</v>
      </c>
      <c r="QN112" s="47">
        <v>100</v>
      </c>
      <c r="QO112" s="47">
        <v>144</v>
      </c>
      <c r="QP112" s="47">
        <v>150</v>
      </c>
      <c r="QQ112" s="44">
        <v>-10</v>
      </c>
      <c r="QR112" s="43"/>
      <c r="QS112" s="42">
        <v>48</v>
      </c>
      <c r="QT112" s="47">
        <v>50</v>
      </c>
      <c r="QU112" s="44">
        <v>-2</v>
      </c>
      <c r="QV112" s="43"/>
      <c r="QW112" s="42">
        <v>248</v>
      </c>
      <c r="QX112" s="47">
        <v>250</v>
      </c>
      <c r="QY112" s="44">
        <v>-2</v>
      </c>
      <c r="QZ112" s="43"/>
    </row>
    <row r="113" spans="1:468" x14ac:dyDescent="0.25">
      <c r="A113" s="47" t="s">
        <v>397</v>
      </c>
      <c r="B113" s="38">
        <v>0.4</v>
      </c>
      <c r="N113" s="39"/>
      <c r="O113" s="48"/>
      <c r="P113" s="48"/>
      <c r="Q113" s="48"/>
      <c r="R113" s="48">
        <f t="shared" si="13"/>
        <v>0</v>
      </c>
      <c r="S113" s="40"/>
      <c r="T113" s="39"/>
      <c r="U113" s="48"/>
      <c r="V113" s="48">
        <f t="shared" si="14"/>
        <v>0</v>
      </c>
      <c r="W113" s="40"/>
      <c r="X113" s="39"/>
      <c r="Y113" s="48"/>
      <c r="Z113" s="48"/>
      <c r="AA113" s="48"/>
      <c r="AB113" s="48">
        <f t="shared" si="15"/>
        <v>0</v>
      </c>
      <c r="AC113" s="40"/>
      <c r="AD113" s="48"/>
      <c r="AH113" s="44">
        <v>0</v>
      </c>
      <c r="AI113" s="40"/>
      <c r="AN113" s="44">
        <v>0</v>
      </c>
      <c r="AO113" s="40"/>
      <c r="AT113" s="44">
        <v>0</v>
      </c>
      <c r="AU113" s="40"/>
      <c r="AV113" s="39"/>
      <c r="AX113" s="44">
        <v>0</v>
      </c>
      <c r="AY113" s="40"/>
      <c r="AZ113" s="39"/>
      <c r="BB113" s="44">
        <v>0</v>
      </c>
      <c r="BC113" s="40"/>
      <c r="BH113" s="44">
        <v>0</v>
      </c>
      <c r="BI113" s="40"/>
      <c r="BL113" s="44">
        <v>0</v>
      </c>
      <c r="BM113" s="40"/>
      <c r="BN113" s="39"/>
      <c r="BR113" s="44">
        <v>0</v>
      </c>
      <c r="BS113" s="40"/>
      <c r="BV113" s="44">
        <v>0</v>
      </c>
      <c r="BW113" s="40"/>
      <c r="BX113" s="39"/>
      <c r="BZ113" s="44">
        <v>0</v>
      </c>
      <c r="CA113" s="40"/>
      <c r="CB113" s="39"/>
      <c r="CH113" s="44">
        <v>0</v>
      </c>
      <c r="CI113" s="40"/>
      <c r="CN113" s="44">
        <v>0</v>
      </c>
      <c r="CO113" s="40"/>
      <c r="CP113" s="39"/>
      <c r="CT113" s="44">
        <v>0</v>
      </c>
      <c r="CU113" s="40"/>
      <c r="CV113" s="39"/>
      <c r="CZ113" s="44">
        <v>0</v>
      </c>
      <c r="DA113" s="40"/>
      <c r="DB113" s="39"/>
      <c r="DF113" s="44">
        <v>0</v>
      </c>
      <c r="DG113" s="40"/>
      <c r="DN113" s="44">
        <v>0</v>
      </c>
      <c r="DO113" s="40"/>
      <c r="DP113" s="39"/>
      <c r="DR113" s="44">
        <v>0</v>
      </c>
      <c r="DS113" s="40"/>
      <c r="DT113" s="39"/>
      <c r="DX113" s="44">
        <v>0</v>
      </c>
      <c r="DY113" s="40"/>
      <c r="DZ113" s="39"/>
      <c r="EB113" s="44">
        <v>0</v>
      </c>
      <c r="EC113" s="40"/>
      <c r="EK113" s="44">
        <v>0</v>
      </c>
      <c r="EL113" s="40"/>
      <c r="ES113" s="44">
        <v>0</v>
      </c>
      <c r="ET113" s="40"/>
      <c r="EU113" s="39"/>
      <c r="EY113" s="44">
        <v>0</v>
      </c>
      <c r="EZ113" s="40"/>
      <c r="FA113" s="39"/>
      <c r="FD113" s="44">
        <v>0</v>
      </c>
      <c r="FE113" s="40"/>
      <c r="FH113" s="44">
        <v>0</v>
      </c>
      <c r="FI113" s="40"/>
      <c r="FJ113" s="39"/>
      <c r="FQ113" s="44">
        <v>0</v>
      </c>
      <c r="FR113" s="40"/>
      <c r="FW113" s="44">
        <v>0</v>
      </c>
      <c r="FX113" s="40"/>
      <c r="FY113" s="39"/>
      <c r="GC113" s="44">
        <v>0</v>
      </c>
      <c r="GD113" s="40"/>
      <c r="GI113" s="44">
        <v>0</v>
      </c>
      <c r="GJ113" s="40"/>
      <c r="GM113" s="44">
        <v>0</v>
      </c>
      <c r="GN113" s="40"/>
      <c r="GO113" s="39"/>
      <c r="GQ113" s="44">
        <v>0</v>
      </c>
      <c r="GR113" s="40"/>
      <c r="GX113" s="44">
        <v>0</v>
      </c>
      <c r="GY113" s="40"/>
      <c r="HD113" s="44">
        <v>0</v>
      </c>
      <c r="HE113" s="40"/>
      <c r="HF113" s="39"/>
      <c r="HJ113" s="44">
        <v>0</v>
      </c>
      <c r="HK113" s="40"/>
      <c r="HL113" s="39"/>
      <c r="HP113" s="44">
        <v>0</v>
      </c>
      <c r="HQ113" s="40"/>
      <c r="HV113" s="44">
        <v>0</v>
      </c>
      <c r="HW113" s="43"/>
      <c r="IB113" s="44">
        <v>0</v>
      </c>
      <c r="IC113" s="43"/>
      <c r="ID113">
        <v>700</v>
      </c>
      <c r="IE113">
        <v>700</v>
      </c>
      <c r="IF113">
        <v>550</v>
      </c>
      <c r="IG113">
        <v>550</v>
      </c>
      <c r="IH113" s="44">
        <v>0</v>
      </c>
      <c r="II113" s="43"/>
      <c r="IK113">
        <v>350</v>
      </c>
      <c r="IL113">
        <v>280</v>
      </c>
      <c r="IM113">
        <v>280</v>
      </c>
      <c r="IN113" s="46">
        <v>-350</v>
      </c>
      <c r="IO113" s="40">
        <v>140</v>
      </c>
      <c r="IP113">
        <v>350</v>
      </c>
      <c r="IQ113">
        <v>350</v>
      </c>
      <c r="IR113" s="44">
        <v>0</v>
      </c>
      <c r="IS113" s="40"/>
      <c r="IT113">
        <v>400</v>
      </c>
      <c r="IU113">
        <v>400</v>
      </c>
      <c r="IV113">
        <v>380</v>
      </c>
      <c r="IW113">
        <v>383</v>
      </c>
      <c r="IX113" s="44">
        <v>-3</v>
      </c>
      <c r="IY113" s="43"/>
      <c r="IZ113">
        <v>180</v>
      </c>
      <c r="JA113" s="47">
        <v>180</v>
      </c>
      <c r="JB113" s="44">
        <v>0</v>
      </c>
      <c r="JC113" s="40"/>
      <c r="JF113">
        <v>380</v>
      </c>
      <c r="JG113">
        <v>380</v>
      </c>
      <c r="JH113" s="44">
        <v>0</v>
      </c>
      <c r="JI113" s="40"/>
      <c r="JJ113">
        <v>250</v>
      </c>
      <c r="JK113">
        <v>250</v>
      </c>
      <c r="JL113">
        <v>270</v>
      </c>
      <c r="JM113">
        <v>270</v>
      </c>
      <c r="JN113" s="44">
        <v>0</v>
      </c>
      <c r="JO113" s="43"/>
      <c r="JP113">
        <v>200</v>
      </c>
      <c r="JQ113">
        <v>200</v>
      </c>
      <c r="JR113">
        <v>280</v>
      </c>
      <c r="JS113">
        <v>280</v>
      </c>
      <c r="JT113" s="44">
        <v>0</v>
      </c>
      <c r="JU113" s="43"/>
      <c r="JV113">
        <v>300</v>
      </c>
      <c r="JW113">
        <v>300</v>
      </c>
      <c r="JX113">
        <v>420</v>
      </c>
      <c r="JY113">
        <v>420</v>
      </c>
      <c r="JZ113" s="44">
        <v>0</v>
      </c>
      <c r="KA113" s="43"/>
      <c r="KB113" s="42"/>
      <c r="KE113">
        <v>270</v>
      </c>
      <c r="KF113">
        <v>270</v>
      </c>
      <c r="KG113">
        <v>210</v>
      </c>
      <c r="KH113">
        <v>380</v>
      </c>
      <c r="KI113" s="46">
        <v>-170</v>
      </c>
      <c r="KJ113" s="43">
        <v>68</v>
      </c>
      <c r="KK113" s="47">
        <v>150</v>
      </c>
      <c r="KL113" s="47">
        <v>150</v>
      </c>
      <c r="KM113" s="47">
        <v>160</v>
      </c>
      <c r="KN113" s="47">
        <v>164</v>
      </c>
      <c r="KO113" s="44">
        <v>-4</v>
      </c>
      <c r="KP113" s="43"/>
      <c r="KQ113" s="47">
        <v>400</v>
      </c>
      <c r="KR113" s="47">
        <v>400</v>
      </c>
      <c r="KS113" s="47">
        <v>400</v>
      </c>
      <c r="KT113" s="47">
        <v>400</v>
      </c>
      <c r="KU113" s="44">
        <v>0</v>
      </c>
      <c r="KV113" s="43"/>
      <c r="KW113" s="42">
        <v>80</v>
      </c>
      <c r="KX113" s="47">
        <v>80</v>
      </c>
      <c r="KY113" s="44">
        <v>0</v>
      </c>
      <c r="KZ113" s="43"/>
      <c r="LA113" s="42">
        <v>350</v>
      </c>
      <c r="LB113" s="47">
        <v>350</v>
      </c>
      <c r="LC113" s="47">
        <v>350</v>
      </c>
      <c r="LD113" s="47">
        <v>350</v>
      </c>
      <c r="LE113" s="44">
        <v>0</v>
      </c>
      <c r="LF113" s="43"/>
      <c r="LG113" s="42">
        <v>300</v>
      </c>
      <c r="LH113" s="47">
        <v>300</v>
      </c>
      <c r="LI113" s="47">
        <v>490</v>
      </c>
      <c r="LJ113" s="47">
        <v>490</v>
      </c>
      <c r="LK113" s="44">
        <v>0</v>
      </c>
      <c r="LL113" s="43"/>
      <c r="LM113" s="42">
        <v>360</v>
      </c>
      <c r="LN113" s="47">
        <v>358</v>
      </c>
      <c r="LO113" s="44">
        <v>2</v>
      </c>
      <c r="LP113" s="43"/>
      <c r="LQ113" s="42">
        <v>0</v>
      </c>
      <c r="LR113" s="47">
        <v>0</v>
      </c>
      <c r="LS113" s="47">
        <v>50</v>
      </c>
      <c r="LT113" s="47">
        <v>65</v>
      </c>
      <c r="LU113" s="46">
        <v>-15</v>
      </c>
      <c r="LV113" s="43">
        <v>6</v>
      </c>
      <c r="LW113" s="42">
        <v>0</v>
      </c>
      <c r="LX113" s="47">
        <v>0</v>
      </c>
      <c r="LY113" s="47">
        <v>700</v>
      </c>
      <c r="LZ113" s="47">
        <v>700</v>
      </c>
      <c r="MA113" s="44">
        <v>0</v>
      </c>
      <c r="MB113" s="43"/>
      <c r="MC113" s="42">
        <v>0</v>
      </c>
      <c r="MD113" s="47">
        <v>0</v>
      </c>
      <c r="ME113" s="47">
        <v>420</v>
      </c>
      <c r="MF113" s="47">
        <v>420</v>
      </c>
      <c r="MG113" s="44">
        <v>0</v>
      </c>
      <c r="MH113" s="43"/>
      <c r="MI113" s="42">
        <v>400</v>
      </c>
      <c r="MJ113" s="47">
        <v>400</v>
      </c>
      <c r="MK113" s="47">
        <v>180</v>
      </c>
      <c r="ML113" s="47">
        <v>180</v>
      </c>
      <c r="MM113" s="44">
        <v>0</v>
      </c>
      <c r="MN113" s="43"/>
      <c r="MO113" s="42">
        <v>150</v>
      </c>
      <c r="MP113" s="47">
        <v>150</v>
      </c>
      <c r="MQ113" s="47">
        <v>400</v>
      </c>
      <c r="MR113" s="47">
        <v>400</v>
      </c>
      <c r="MS113" s="44">
        <v>0</v>
      </c>
      <c r="MT113" s="43"/>
      <c r="MU113" s="42">
        <v>150</v>
      </c>
      <c r="MV113" s="47">
        <v>170</v>
      </c>
      <c r="MW113" s="47">
        <v>280</v>
      </c>
      <c r="MX113" s="47">
        <v>280</v>
      </c>
      <c r="MY113" s="46">
        <v>-20</v>
      </c>
      <c r="MZ113" s="43">
        <v>8</v>
      </c>
      <c r="NA113" s="42">
        <v>200</v>
      </c>
      <c r="NB113" s="47">
        <v>200</v>
      </c>
      <c r="NC113" s="47">
        <v>250</v>
      </c>
      <c r="ND113" s="47">
        <v>250</v>
      </c>
      <c r="NE113" s="44">
        <v>0</v>
      </c>
      <c r="NF113" s="43"/>
      <c r="NG113" s="42">
        <v>300</v>
      </c>
      <c r="NH113" s="47">
        <v>300</v>
      </c>
      <c r="NI113" s="47">
        <v>500</v>
      </c>
      <c r="NJ113" s="47">
        <v>500</v>
      </c>
      <c r="NK113" s="44">
        <v>0</v>
      </c>
      <c r="NL113" s="43"/>
      <c r="NM113" s="42">
        <v>180</v>
      </c>
      <c r="NN113" s="47">
        <v>180</v>
      </c>
      <c r="NO113" s="21">
        <v>580</v>
      </c>
      <c r="NP113" s="47">
        <v>170</v>
      </c>
      <c r="NQ113" s="44">
        <v>410</v>
      </c>
      <c r="NR113" s="43"/>
      <c r="NS113" s="42">
        <v>200</v>
      </c>
      <c r="NT113" s="47">
        <v>200</v>
      </c>
      <c r="NU113" s="47">
        <v>300</v>
      </c>
      <c r="NV113" s="47">
        <v>300</v>
      </c>
      <c r="NW113" s="44">
        <v>0</v>
      </c>
      <c r="NX113" s="43"/>
      <c r="NY113" s="42">
        <v>650</v>
      </c>
      <c r="NZ113" s="47">
        <v>650</v>
      </c>
      <c r="OA113" s="47">
        <v>650</v>
      </c>
      <c r="OB113" s="47">
        <v>650</v>
      </c>
      <c r="OC113" s="44">
        <v>0</v>
      </c>
      <c r="OD113" s="43"/>
      <c r="OE113" s="42">
        <v>0</v>
      </c>
      <c r="OF113" s="47">
        <v>0</v>
      </c>
      <c r="OG113" s="47">
        <v>0</v>
      </c>
      <c r="OH113" s="47">
        <v>0</v>
      </c>
      <c r="OI113" s="44">
        <v>0</v>
      </c>
      <c r="OJ113" s="43"/>
      <c r="OK113" s="42">
        <v>700</v>
      </c>
      <c r="OL113" s="47">
        <v>700</v>
      </c>
      <c r="OM113" s="47">
        <v>610</v>
      </c>
      <c r="ON113" s="47">
        <v>650</v>
      </c>
      <c r="OO113" s="46">
        <v>-40</v>
      </c>
      <c r="OP113" s="43">
        <v>16</v>
      </c>
      <c r="OQ113" s="42">
        <v>0</v>
      </c>
      <c r="OR113" s="47">
        <v>0</v>
      </c>
      <c r="OS113" s="47">
        <v>50</v>
      </c>
      <c r="OT113" s="47">
        <v>50</v>
      </c>
      <c r="OU113" s="44">
        <v>0</v>
      </c>
      <c r="OV113" s="43"/>
      <c r="OW113" s="42">
        <v>410</v>
      </c>
      <c r="OX113" s="47">
        <v>400</v>
      </c>
      <c r="OY113" s="47">
        <v>350</v>
      </c>
      <c r="OZ113" s="47">
        <v>350</v>
      </c>
      <c r="PA113" s="44">
        <v>10</v>
      </c>
      <c r="PB113" s="43"/>
      <c r="PC113" s="42">
        <v>50</v>
      </c>
      <c r="PD113" s="47">
        <v>50</v>
      </c>
      <c r="PE113" s="47">
        <v>100</v>
      </c>
      <c r="PF113" s="47">
        <v>99</v>
      </c>
      <c r="PG113" s="44">
        <v>1</v>
      </c>
      <c r="PH113" s="43"/>
      <c r="PI113" s="42">
        <v>100</v>
      </c>
      <c r="PJ113" s="47">
        <v>100</v>
      </c>
      <c r="PK113" s="47">
        <v>120</v>
      </c>
      <c r="PL113" s="47">
        <v>120</v>
      </c>
      <c r="PM113" s="44">
        <v>0</v>
      </c>
      <c r="PN113" s="43"/>
      <c r="PO113" s="42">
        <v>220</v>
      </c>
      <c r="PP113" s="47">
        <v>220</v>
      </c>
      <c r="PQ113" s="47">
        <v>150</v>
      </c>
      <c r="PR113" s="47">
        <v>150</v>
      </c>
      <c r="PS113" s="44">
        <v>0</v>
      </c>
      <c r="PT113" s="43"/>
      <c r="PU113" s="42">
        <v>0</v>
      </c>
      <c r="PV113" s="47">
        <v>0</v>
      </c>
      <c r="PW113" s="47">
        <v>200</v>
      </c>
      <c r="PX113" s="47">
        <v>344</v>
      </c>
      <c r="PY113" s="46">
        <v>-144</v>
      </c>
      <c r="PZ113" s="43">
        <v>57.6</v>
      </c>
      <c r="QA113" s="42">
        <v>0</v>
      </c>
      <c r="QB113" s="47">
        <v>0</v>
      </c>
      <c r="QC113" s="44">
        <v>0</v>
      </c>
      <c r="QD113" s="43"/>
      <c r="QE113" s="42">
        <v>500</v>
      </c>
      <c r="QF113" s="47">
        <v>500</v>
      </c>
      <c r="QG113" s="44">
        <v>0</v>
      </c>
      <c r="QH113" s="43"/>
      <c r="QI113" s="42">
        <v>100</v>
      </c>
      <c r="QJ113" s="47">
        <v>100</v>
      </c>
      <c r="QK113" s="44">
        <v>0</v>
      </c>
      <c r="QL113" s="43"/>
      <c r="QM113" s="42">
        <v>100</v>
      </c>
      <c r="QN113" s="47">
        <v>100</v>
      </c>
      <c r="QO113" s="47">
        <v>0</v>
      </c>
      <c r="QP113" s="47">
        <v>100</v>
      </c>
      <c r="QQ113" s="46">
        <v>-100</v>
      </c>
      <c r="QR113" s="43">
        <v>40</v>
      </c>
      <c r="QS113" s="42">
        <v>50</v>
      </c>
      <c r="QT113" s="47">
        <v>50</v>
      </c>
      <c r="QU113" s="44">
        <v>0</v>
      </c>
      <c r="QV113" s="43"/>
      <c r="QW113" s="42">
        <v>250</v>
      </c>
      <c r="QX113" s="47">
        <v>250</v>
      </c>
      <c r="QY113" s="44">
        <v>0</v>
      </c>
      <c r="QZ113" s="43"/>
    </row>
    <row r="114" spans="1:468" x14ac:dyDescent="0.25">
      <c r="A114" s="47" t="s">
        <v>398</v>
      </c>
      <c r="B114" s="38">
        <v>0.16</v>
      </c>
      <c r="N114" s="39"/>
      <c r="O114" s="48"/>
      <c r="P114" s="48"/>
      <c r="Q114" s="48"/>
      <c r="R114" s="48">
        <f t="shared" si="13"/>
        <v>0</v>
      </c>
      <c r="S114" s="40"/>
      <c r="T114" s="39"/>
      <c r="U114" s="48"/>
      <c r="V114" s="48">
        <f t="shared" si="14"/>
        <v>0</v>
      </c>
      <c r="W114" s="40"/>
      <c r="X114" s="39"/>
      <c r="Y114" s="48"/>
      <c r="Z114" s="48"/>
      <c r="AA114" s="48"/>
      <c r="AB114" s="48">
        <f t="shared" si="15"/>
        <v>0</v>
      </c>
      <c r="AC114" s="40"/>
      <c r="AD114" s="48"/>
      <c r="AH114" s="44">
        <v>0</v>
      </c>
      <c r="AI114" s="40"/>
      <c r="AN114" s="44">
        <v>0</v>
      </c>
      <c r="AO114" s="40"/>
      <c r="AT114" s="44">
        <v>0</v>
      </c>
      <c r="AU114" s="40"/>
      <c r="AV114" s="39"/>
      <c r="AX114" s="44">
        <v>0</v>
      </c>
      <c r="AY114" s="40"/>
      <c r="AZ114" s="39"/>
      <c r="BB114" s="44">
        <v>0</v>
      </c>
      <c r="BC114" s="40"/>
      <c r="BH114" s="44">
        <v>0</v>
      </c>
      <c r="BI114" s="40"/>
      <c r="BL114" s="44">
        <v>0</v>
      </c>
      <c r="BM114" s="40"/>
      <c r="BN114" s="39"/>
      <c r="BR114" s="44">
        <v>0</v>
      </c>
      <c r="BS114" s="40"/>
      <c r="BV114" s="44">
        <v>0</v>
      </c>
      <c r="BW114" s="40"/>
      <c r="BX114" s="39"/>
      <c r="BZ114" s="44">
        <v>0</v>
      </c>
      <c r="CA114" s="40"/>
      <c r="CB114" s="39"/>
      <c r="CH114" s="44">
        <v>0</v>
      </c>
      <c r="CI114" s="40"/>
      <c r="CN114" s="44">
        <v>0</v>
      </c>
      <c r="CO114" s="40"/>
      <c r="CP114" s="39"/>
      <c r="CT114" s="44">
        <v>0</v>
      </c>
      <c r="CU114" s="40"/>
      <c r="CV114" s="39"/>
      <c r="CZ114" s="44">
        <v>0</v>
      </c>
      <c r="DA114" s="40"/>
      <c r="DB114" s="39"/>
      <c r="DF114" s="44">
        <v>0</v>
      </c>
      <c r="DG114" s="40"/>
      <c r="DN114" s="44">
        <v>0</v>
      </c>
      <c r="DO114" s="40"/>
      <c r="DP114" s="39"/>
      <c r="DR114" s="44">
        <v>0</v>
      </c>
      <c r="DS114" s="40"/>
      <c r="DT114" s="39"/>
      <c r="DX114" s="44">
        <v>0</v>
      </c>
      <c r="DY114" s="40"/>
      <c r="DZ114" s="39"/>
      <c r="EB114" s="44">
        <v>0</v>
      </c>
      <c r="EC114" s="40"/>
      <c r="EK114" s="44">
        <v>0</v>
      </c>
      <c r="EL114" s="40"/>
      <c r="ES114" s="44">
        <v>0</v>
      </c>
      <c r="ET114" s="40"/>
      <c r="EU114" s="39"/>
      <c r="EY114" s="44">
        <v>0</v>
      </c>
      <c r="EZ114" s="40"/>
      <c r="FA114" s="39"/>
      <c r="FD114" s="44">
        <v>0</v>
      </c>
      <c r="FE114" s="40"/>
      <c r="FH114" s="44">
        <v>0</v>
      </c>
      <c r="FI114" s="40"/>
      <c r="FJ114" s="39"/>
      <c r="FQ114" s="44">
        <v>0</v>
      </c>
      <c r="FR114" s="40"/>
      <c r="FW114" s="44">
        <v>0</v>
      </c>
      <c r="FX114" s="40"/>
      <c r="FY114" s="39"/>
      <c r="GC114" s="44">
        <v>0</v>
      </c>
      <c r="GD114" s="40"/>
      <c r="GI114" s="44">
        <v>0</v>
      </c>
      <c r="GJ114" s="40"/>
      <c r="GM114" s="44">
        <v>0</v>
      </c>
      <c r="GN114" s="40"/>
      <c r="GO114" s="39"/>
      <c r="GQ114" s="44">
        <v>0</v>
      </c>
      <c r="GR114" s="40"/>
      <c r="GX114" s="44">
        <v>0</v>
      </c>
      <c r="GY114" s="40"/>
      <c r="HD114" s="44">
        <v>0</v>
      </c>
      <c r="HE114" s="40"/>
      <c r="HF114" s="39"/>
      <c r="HJ114" s="44">
        <v>0</v>
      </c>
      <c r="HK114" s="40"/>
      <c r="HL114" s="39"/>
      <c r="HP114" s="44">
        <v>0</v>
      </c>
      <c r="HQ114" s="40"/>
      <c r="HV114" s="44">
        <v>0</v>
      </c>
      <c r="HW114" s="43"/>
      <c r="IB114" s="44">
        <v>0</v>
      </c>
      <c r="IC114" s="43"/>
      <c r="IH114" s="44">
        <v>0</v>
      </c>
      <c r="II114" s="43"/>
      <c r="IN114" s="44">
        <v>0</v>
      </c>
      <c r="IO114" s="40"/>
      <c r="IR114" s="44">
        <v>0</v>
      </c>
      <c r="IS114" s="40"/>
      <c r="IX114" s="44">
        <v>0</v>
      </c>
      <c r="IY114" s="43"/>
      <c r="JB114" s="44">
        <v>0</v>
      </c>
      <c r="JC114" s="40"/>
      <c r="JH114" s="44">
        <v>0</v>
      </c>
      <c r="JI114" s="40"/>
      <c r="JN114" s="44">
        <v>0</v>
      </c>
      <c r="JO114" s="43"/>
      <c r="JT114" s="44">
        <v>0</v>
      </c>
      <c r="JU114" s="43"/>
      <c r="JZ114" s="44">
        <v>0</v>
      </c>
      <c r="KA114" s="43"/>
      <c r="KB114" s="42"/>
      <c r="KI114" s="44">
        <v>0</v>
      </c>
      <c r="KJ114" s="43"/>
      <c r="KK114" s="47">
        <v>0</v>
      </c>
      <c r="KL114" s="47">
        <v>0</v>
      </c>
      <c r="KM114" s="47">
        <v>0</v>
      </c>
      <c r="KN114" s="47">
        <v>0</v>
      </c>
      <c r="KO114" s="44">
        <v>0</v>
      </c>
      <c r="KP114" s="43"/>
      <c r="KQ114" s="47">
        <v>0</v>
      </c>
      <c r="KR114" s="47">
        <v>0</v>
      </c>
      <c r="KS114" s="47">
        <v>0</v>
      </c>
      <c r="KT114" s="47">
        <v>0</v>
      </c>
      <c r="KU114" s="44">
        <v>0</v>
      </c>
      <c r="KV114" s="43"/>
      <c r="KW114" s="42">
        <v>0</v>
      </c>
      <c r="KX114" s="47">
        <v>0</v>
      </c>
      <c r="KY114" s="44">
        <v>0</v>
      </c>
      <c r="KZ114" s="43"/>
      <c r="LA114" s="42">
        <v>0</v>
      </c>
      <c r="LB114" s="47">
        <v>0</v>
      </c>
      <c r="LC114" s="47">
        <v>0</v>
      </c>
      <c r="LD114" s="47">
        <v>0</v>
      </c>
      <c r="LE114" s="44">
        <v>0</v>
      </c>
      <c r="LF114" s="43"/>
      <c r="LG114" s="42">
        <v>0</v>
      </c>
      <c r="LH114" s="47">
        <v>0</v>
      </c>
      <c r="LI114" s="47">
        <v>0</v>
      </c>
      <c r="LJ114" s="47">
        <v>0</v>
      </c>
      <c r="LK114" s="44">
        <v>0</v>
      </c>
      <c r="LL114" s="43"/>
      <c r="LM114" s="42">
        <v>0</v>
      </c>
      <c r="LN114" s="47">
        <v>0</v>
      </c>
      <c r="LO114" s="44">
        <v>0</v>
      </c>
      <c r="LP114" s="43"/>
      <c r="LQ114" s="42">
        <v>0</v>
      </c>
      <c r="LR114" s="47">
        <v>0</v>
      </c>
      <c r="LS114" s="47">
        <v>0</v>
      </c>
      <c r="LT114" s="47">
        <v>0</v>
      </c>
      <c r="LU114" s="44">
        <v>0</v>
      </c>
      <c r="LV114" s="43"/>
      <c r="LW114" s="42">
        <v>0</v>
      </c>
      <c r="LX114" s="47">
        <v>0</v>
      </c>
      <c r="LY114" s="47">
        <v>0</v>
      </c>
      <c r="LZ114" s="47">
        <v>0</v>
      </c>
      <c r="MA114" s="44">
        <v>0</v>
      </c>
      <c r="MB114" s="43"/>
      <c r="MC114" s="42">
        <v>0</v>
      </c>
      <c r="MD114" s="47">
        <v>0</v>
      </c>
      <c r="ME114" s="47">
        <v>0</v>
      </c>
      <c r="MF114" s="47">
        <v>0</v>
      </c>
      <c r="MG114" s="44">
        <v>0</v>
      </c>
      <c r="MH114" s="43"/>
      <c r="MI114" s="42">
        <v>0</v>
      </c>
      <c r="MJ114" s="47">
        <v>0</v>
      </c>
      <c r="MK114" s="47">
        <v>0</v>
      </c>
      <c r="ML114" s="47">
        <v>0</v>
      </c>
      <c r="MM114" s="44">
        <v>0</v>
      </c>
      <c r="MN114" s="43"/>
      <c r="MO114" s="42">
        <v>0</v>
      </c>
      <c r="MP114" s="47">
        <v>0</v>
      </c>
      <c r="MQ114" s="47">
        <v>0</v>
      </c>
      <c r="MR114" s="47">
        <v>0</v>
      </c>
      <c r="MS114" s="44">
        <v>0</v>
      </c>
      <c r="MT114" s="43"/>
      <c r="MU114" s="42">
        <v>0</v>
      </c>
      <c r="MV114" s="47">
        <v>0</v>
      </c>
      <c r="MW114" s="47">
        <v>0</v>
      </c>
      <c r="MX114" s="47">
        <v>0</v>
      </c>
      <c r="MY114" s="44">
        <v>0</v>
      </c>
      <c r="MZ114" s="43"/>
      <c r="NA114" s="42">
        <v>0</v>
      </c>
      <c r="NB114" s="47">
        <v>0</v>
      </c>
      <c r="NC114" s="47">
        <v>0</v>
      </c>
      <c r="ND114" s="47">
        <v>0</v>
      </c>
      <c r="NE114" s="44">
        <v>0</v>
      </c>
      <c r="NF114" s="43"/>
      <c r="NG114" s="42">
        <v>0</v>
      </c>
      <c r="NH114" s="47">
        <v>0</v>
      </c>
      <c r="NI114" s="47">
        <v>0</v>
      </c>
      <c r="NJ114" s="47">
        <v>0</v>
      </c>
      <c r="NK114" s="44">
        <v>0</v>
      </c>
      <c r="NL114" s="43"/>
      <c r="NM114" s="42">
        <v>0</v>
      </c>
      <c r="NN114" s="47">
        <v>0</v>
      </c>
      <c r="NO114" s="47">
        <v>0</v>
      </c>
      <c r="NP114" s="47">
        <v>0</v>
      </c>
      <c r="NQ114" s="44">
        <v>0</v>
      </c>
      <c r="NR114" s="43"/>
      <c r="NS114" s="42">
        <v>0</v>
      </c>
      <c r="NT114" s="47">
        <v>0</v>
      </c>
      <c r="NU114" s="47">
        <v>0</v>
      </c>
      <c r="NV114" s="47">
        <v>0</v>
      </c>
      <c r="NW114" s="44">
        <v>0</v>
      </c>
      <c r="NX114" s="43"/>
      <c r="NY114" s="42">
        <v>0</v>
      </c>
      <c r="NZ114" s="47">
        <v>0</v>
      </c>
      <c r="OA114" s="47">
        <v>0</v>
      </c>
      <c r="OB114" s="47">
        <v>0</v>
      </c>
      <c r="OC114" s="44">
        <v>0</v>
      </c>
      <c r="OD114" s="43"/>
      <c r="OE114" s="42">
        <v>0</v>
      </c>
      <c r="OF114" s="47">
        <v>0</v>
      </c>
      <c r="OG114" s="47">
        <v>0</v>
      </c>
      <c r="OH114" s="47">
        <v>0</v>
      </c>
      <c r="OI114" s="44">
        <v>0</v>
      </c>
      <c r="OJ114" s="43"/>
      <c r="OK114" s="42">
        <v>0</v>
      </c>
      <c r="OL114" s="47">
        <v>0</v>
      </c>
      <c r="OM114" s="47">
        <v>0</v>
      </c>
      <c r="ON114" s="47">
        <v>0</v>
      </c>
      <c r="OO114" s="44">
        <v>0</v>
      </c>
      <c r="OP114" s="43"/>
      <c r="OQ114" s="42">
        <v>0</v>
      </c>
      <c r="OR114" s="47">
        <v>0</v>
      </c>
      <c r="OS114" s="47">
        <v>0</v>
      </c>
      <c r="OT114" s="47">
        <v>0</v>
      </c>
      <c r="OU114" s="44">
        <v>0</v>
      </c>
      <c r="OV114" s="43"/>
      <c r="OW114" s="42">
        <v>0</v>
      </c>
      <c r="OX114" s="47">
        <v>0</v>
      </c>
      <c r="OY114" s="47">
        <v>0</v>
      </c>
      <c r="OZ114" s="47">
        <v>0</v>
      </c>
      <c r="PA114" s="44">
        <v>0</v>
      </c>
      <c r="PB114" s="43"/>
      <c r="PC114" s="42">
        <v>0</v>
      </c>
      <c r="PD114" s="47">
        <v>0</v>
      </c>
      <c r="PE114" s="47">
        <v>0</v>
      </c>
      <c r="PF114" s="47">
        <v>0</v>
      </c>
      <c r="PG114" s="44">
        <v>0</v>
      </c>
      <c r="PH114" s="43"/>
      <c r="PI114" s="42">
        <v>0</v>
      </c>
      <c r="PJ114" s="47">
        <v>0</v>
      </c>
      <c r="PK114" s="47">
        <v>0</v>
      </c>
      <c r="PL114" s="47">
        <v>0</v>
      </c>
      <c r="PM114" s="44">
        <v>0</v>
      </c>
      <c r="PN114" s="43"/>
      <c r="PO114" s="42">
        <v>0</v>
      </c>
      <c r="PP114" s="47">
        <v>0</v>
      </c>
      <c r="PQ114" s="47">
        <v>0</v>
      </c>
      <c r="PR114" s="47">
        <v>0</v>
      </c>
      <c r="PS114" s="44">
        <v>0</v>
      </c>
      <c r="PT114" s="43"/>
      <c r="PU114" s="42">
        <v>0</v>
      </c>
      <c r="PV114" s="47">
        <v>0</v>
      </c>
      <c r="PW114" s="47">
        <v>0</v>
      </c>
      <c r="PX114" s="47">
        <v>0</v>
      </c>
      <c r="PY114" s="44">
        <v>0</v>
      </c>
      <c r="PZ114" s="43"/>
      <c r="QA114" s="42">
        <v>0</v>
      </c>
      <c r="QB114" s="47">
        <v>0</v>
      </c>
      <c r="QC114" s="44">
        <v>0</v>
      </c>
      <c r="QD114" s="43"/>
      <c r="QE114" s="42">
        <v>0</v>
      </c>
      <c r="QF114" s="47">
        <v>0</v>
      </c>
      <c r="QG114" s="44">
        <v>0</v>
      </c>
      <c r="QH114" s="43"/>
      <c r="QI114" s="42">
        <v>0</v>
      </c>
      <c r="QJ114" s="47">
        <v>0</v>
      </c>
      <c r="QK114" s="44">
        <v>0</v>
      </c>
      <c r="QL114" s="43"/>
      <c r="QM114" s="42">
        <v>96</v>
      </c>
      <c r="QN114" s="47">
        <v>100</v>
      </c>
      <c r="QO114" s="47">
        <v>0</v>
      </c>
      <c r="QP114" s="47">
        <v>0</v>
      </c>
      <c r="QQ114" s="44">
        <v>-4</v>
      </c>
      <c r="QR114" s="43"/>
      <c r="QS114" s="42">
        <v>48</v>
      </c>
      <c r="QT114" s="47">
        <v>50</v>
      </c>
      <c r="QU114" s="44">
        <v>-2</v>
      </c>
      <c r="QV114" s="43"/>
      <c r="QW114" s="42">
        <v>240</v>
      </c>
      <c r="QX114" s="47">
        <v>250</v>
      </c>
      <c r="QY114" s="44">
        <v>-10</v>
      </c>
      <c r="QZ114" s="43"/>
    </row>
    <row r="115" spans="1:468" x14ac:dyDescent="0.25">
      <c r="A115" s="47" t="s">
        <v>399</v>
      </c>
      <c r="B115" s="38">
        <v>0.33</v>
      </c>
      <c r="J115">
        <v>32</v>
      </c>
      <c r="K115">
        <v>31</v>
      </c>
      <c r="N115" s="39"/>
      <c r="O115" s="48"/>
      <c r="P115" s="48"/>
      <c r="Q115" s="48"/>
      <c r="R115" s="48">
        <f t="shared" si="13"/>
        <v>0</v>
      </c>
      <c r="S115" s="40"/>
      <c r="T115" s="41">
        <v>16</v>
      </c>
      <c r="U115" s="49">
        <v>19</v>
      </c>
      <c r="V115" s="48">
        <f t="shared" si="14"/>
        <v>-3</v>
      </c>
      <c r="W115" s="40"/>
      <c r="X115" s="41">
        <v>8</v>
      </c>
      <c r="Y115" s="49">
        <v>4</v>
      </c>
      <c r="Z115" s="48"/>
      <c r="AA115" s="48"/>
      <c r="AB115" s="48">
        <f t="shared" si="15"/>
        <v>4</v>
      </c>
      <c r="AC115" s="40"/>
      <c r="AD115" s="48"/>
      <c r="AF115">
        <v>16</v>
      </c>
      <c r="AG115">
        <v>21</v>
      </c>
      <c r="AH115" s="44">
        <v>-5</v>
      </c>
      <c r="AI115" s="40"/>
      <c r="AL115">
        <v>16</v>
      </c>
      <c r="AM115">
        <v>20</v>
      </c>
      <c r="AN115" s="44">
        <v>-4</v>
      </c>
      <c r="AO115" s="40"/>
      <c r="AP115">
        <v>8</v>
      </c>
      <c r="AQ115">
        <v>5</v>
      </c>
      <c r="AT115" s="44">
        <v>3</v>
      </c>
      <c r="AU115" s="40"/>
      <c r="AV115" s="39"/>
      <c r="AX115" s="44">
        <v>0</v>
      </c>
      <c r="AY115" s="40"/>
      <c r="AZ115" s="41">
        <v>48</v>
      </c>
      <c r="BA115">
        <v>50</v>
      </c>
      <c r="BB115" s="44">
        <v>-2</v>
      </c>
      <c r="BC115" s="40"/>
      <c r="BF115">
        <v>32</v>
      </c>
      <c r="BG115">
        <v>32</v>
      </c>
      <c r="BH115" s="44">
        <v>0</v>
      </c>
      <c r="BI115" s="40"/>
      <c r="BK115">
        <v>7</v>
      </c>
      <c r="BL115" s="46">
        <v>-7</v>
      </c>
      <c r="BM115" s="40">
        <v>2.31</v>
      </c>
      <c r="BN115" s="39"/>
      <c r="BP115">
        <v>120</v>
      </c>
      <c r="BQ115">
        <v>118</v>
      </c>
      <c r="BR115" s="44">
        <v>2</v>
      </c>
      <c r="BS115" s="40"/>
      <c r="BV115" s="44">
        <v>0</v>
      </c>
      <c r="BW115" s="40"/>
      <c r="BX115" s="39"/>
      <c r="BZ115" s="44">
        <v>0</v>
      </c>
      <c r="CA115" s="40"/>
      <c r="CB115" s="39"/>
      <c r="CD115">
        <v>24</v>
      </c>
      <c r="CG115">
        <v>24</v>
      </c>
      <c r="CH115" s="44">
        <v>0</v>
      </c>
      <c r="CI115" s="40"/>
      <c r="CJ115">
        <v>96</v>
      </c>
      <c r="CK115">
        <v>100</v>
      </c>
      <c r="CL115">
        <v>208</v>
      </c>
      <c r="CM115">
        <v>210</v>
      </c>
      <c r="CN115" s="44">
        <v>-6</v>
      </c>
      <c r="CO115" s="40"/>
      <c r="CP115" s="39"/>
      <c r="CR115">
        <v>8</v>
      </c>
      <c r="CS115">
        <v>8</v>
      </c>
      <c r="CT115" s="44">
        <v>0</v>
      </c>
      <c r="CU115" s="40"/>
      <c r="CV115" s="39"/>
      <c r="CZ115" s="44">
        <v>0</v>
      </c>
      <c r="DA115" s="40"/>
      <c r="DB115" s="41">
        <v>40</v>
      </c>
      <c r="DC115">
        <v>40</v>
      </c>
      <c r="DD115">
        <v>96</v>
      </c>
      <c r="DE115">
        <v>100</v>
      </c>
      <c r="DF115" s="44">
        <v>-4</v>
      </c>
      <c r="DG115" s="40"/>
      <c r="DJ115">
        <v>56</v>
      </c>
      <c r="DK115">
        <v>60</v>
      </c>
      <c r="DL115">
        <v>96</v>
      </c>
      <c r="DM115">
        <v>100</v>
      </c>
      <c r="DN115" s="44">
        <v>-8</v>
      </c>
      <c r="DO115" s="40"/>
      <c r="DP115" s="39"/>
      <c r="DR115" s="44">
        <v>0</v>
      </c>
      <c r="DS115" s="40"/>
      <c r="DT115" s="39"/>
      <c r="DX115" s="44">
        <v>0</v>
      </c>
      <c r="DY115" s="40"/>
      <c r="DZ115" s="39"/>
      <c r="EB115" s="44">
        <v>0</v>
      </c>
      <c r="EC115" s="40"/>
      <c r="ED115">
        <v>80</v>
      </c>
      <c r="EE115">
        <v>80</v>
      </c>
      <c r="EG115">
        <v>80</v>
      </c>
      <c r="EH115">
        <v>80</v>
      </c>
      <c r="EI115">
        <v>96</v>
      </c>
      <c r="EJ115">
        <v>100</v>
      </c>
      <c r="EK115" s="44">
        <v>-4</v>
      </c>
      <c r="EL115" s="40"/>
      <c r="ES115" s="44">
        <v>0</v>
      </c>
      <c r="ET115" s="40"/>
      <c r="EU115" s="41">
        <v>56</v>
      </c>
      <c r="EV115">
        <v>56</v>
      </c>
      <c r="EW115">
        <v>104</v>
      </c>
      <c r="EX115">
        <v>104</v>
      </c>
      <c r="EY115" s="44">
        <v>0</v>
      </c>
      <c r="EZ115" s="40"/>
      <c r="FA115" s="39"/>
      <c r="FD115" s="44">
        <v>0</v>
      </c>
      <c r="FE115" s="40"/>
      <c r="FH115" s="44">
        <v>0</v>
      </c>
      <c r="FI115" s="40"/>
      <c r="FJ115" s="41">
        <v>40</v>
      </c>
      <c r="FK115">
        <v>40</v>
      </c>
      <c r="FO115">
        <v>80</v>
      </c>
      <c r="FP115">
        <v>80</v>
      </c>
      <c r="FQ115" s="44">
        <v>0</v>
      </c>
      <c r="FR115" s="40"/>
      <c r="FW115" s="44">
        <v>0</v>
      </c>
      <c r="FX115" s="40"/>
      <c r="FY115" s="39"/>
      <c r="GA115">
        <v>48</v>
      </c>
      <c r="GB115">
        <v>56</v>
      </c>
      <c r="GC115" s="46">
        <v>-8</v>
      </c>
      <c r="GD115" s="43">
        <v>2.64</v>
      </c>
      <c r="GG115">
        <v>24</v>
      </c>
      <c r="GH115">
        <v>24</v>
      </c>
      <c r="GI115" s="44">
        <v>0</v>
      </c>
      <c r="GJ115" s="40"/>
      <c r="GM115" s="44">
        <v>0</v>
      </c>
      <c r="GN115" s="40"/>
      <c r="GO115" s="41">
        <v>88</v>
      </c>
      <c r="GP115">
        <v>90</v>
      </c>
      <c r="GQ115" s="44">
        <v>-2</v>
      </c>
      <c r="GR115" s="40"/>
      <c r="GV115">
        <v>8</v>
      </c>
      <c r="GW115">
        <v>10</v>
      </c>
      <c r="GX115" s="44">
        <v>-2</v>
      </c>
      <c r="GY115" s="40"/>
      <c r="HD115" s="44">
        <v>0</v>
      </c>
      <c r="HE115" s="40"/>
      <c r="HF115" s="39"/>
      <c r="HH115">
        <v>56</v>
      </c>
      <c r="HI115">
        <v>56</v>
      </c>
      <c r="HJ115" s="44">
        <v>0</v>
      </c>
      <c r="HK115" s="40"/>
      <c r="HL115" s="39"/>
      <c r="HN115">
        <v>32</v>
      </c>
      <c r="HO115">
        <v>30</v>
      </c>
      <c r="HP115" s="44">
        <v>2</v>
      </c>
      <c r="HQ115" s="40"/>
      <c r="HT115">
        <v>32</v>
      </c>
      <c r="HU115">
        <v>30</v>
      </c>
      <c r="HV115" s="44">
        <v>2</v>
      </c>
      <c r="HW115" s="43"/>
      <c r="HZ115">
        <v>16</v>
      </c>
      <c r="IA115">
        <v>16</v>
      </c>
      <c r="IB115" s="44">
        <v>0</v>
      </c>
      <c r="IC115" s="43"/>
      <c r="ID115">
        <v>64</v>
      </c>
      <c r="IE115">
        <v>64</v>
      </c>
      <c r="IF115">
        <v>56</v>
      </c>
      <c r="IG115">
        <v>56</v>
      </c>
      <c r="IH115" s="44">
        <v>0</v>
      </c>
      <c r="II115" s="43"/>
      <c r="IL115">
        <v>24</v>
      </c>
      <c r="IM115">
        <v>24</v>
      </c>
      <c r="IN115" s="44">
        <v>0</v>
      </c>
      <c r="IO115" s="40"/>
      <c r="IP115">
        <v>40</v>
      </c>
      <c r="IQ115">
        <v>46</v>
      </c>
      <c r="IR115" s="44">
        <v>-6</v>
      </c>
      <c r="IS115" s="40"/>
      <c r="IX115" s="44">
        <v>0</v>
      </c>
      <c r="IY115" s="43"/>
      <c r="JB115" s="44">
        <v>0</v>
      </c>
      <c r="JC115" s="40"/>
      <c r="JF115">
        <v>120</v>
      </c>
      <c r="JG115">
        <v>118</v>
      </c>
      <c r="JH115" s="44">
        <v>2</v>
      </c>
      <c r="JI115" s="40"/>
      <c r="JJ115">
        <v>16</v>
      </c>
      <c r="JK115">
        <v>20</v>
      </c>
      <c r="JN115" s="44">
        <v>-4</v>
      </c>
      <c r="JO115" s="43"/>
      <c r="JT115" s="44">
        <v>0</v>
      </c>
      <c r="JU115" s="43"/>
      <c r="JV115">
        <v>48</v>
      </c>
      <c r="JW115">
        <v>48</v>
      </c>
      <c r="JX115">
        <v>64</v>
      </c>
      <c r="JY115">
        <v>62</v>
      </c>
      <c r="JZ115" s="44">
        <v>2</v>
      </c>
      <c r="KA115" s="43"/>
      <c r="KB115" s="42"/>
      <c r="KG115">
        <v>40</v>
      </c>
      <c r="KH115">
        <v>48</v>
      </c>
      <c r="KI115" s="44">
        <v>-8</v>
      </c>
      <c r="KJ115" s="43"/>
      <c r="KK115" s="47">
        <v>0</v>
      </c>
      <c r="KL115" s="47">
        <v>0</v>
      </c>
      <c r="KM115" s="47">
        <v>0</v>
      </c>
      <c r="KN115" s="47">
        <v>0</v>
      </c>
      <c r="KO115" s="44">
        <v>0</v>
      </c>
      <c r="KP115" s="43"/>
      <c r="KQ115" s="47">
        <v>0</v>
      </c>
      <c r="KR115" s="47">
        <v>0</v>
      </c>
      <c r="KS115" s="47">
        <v>88</v>
      </c>
      <c r="KT115" s="47">
        <v>90</v>
      </c>
      <c r="KU115" s="44">
        <v>-2</v>
      </c>
      <c r="KV115" s="43"/>
      <c r="KW115" s="42">
        <v>16</v>
      </c>
      <c r="KX115" s="47">
        <v>14</v>
      </c>
      <c r="KY115" s="44">
        <v>2</v>
      </c>
      <c r="KZ115" s="43"/>
      <c r="LA115" s="42">
        <v>0</v>
      </c>
      <c r="LB115" s="47">
        <v>0</v>
      </c>
      <c r="LC115" s="47">
        <v>24</v>
      </c>
      <c r="LD115" s="47">
        <v>24</v>
      </c>
      <c r="LE115" s="44">
        <v>0</v>
      </c>
      <c r="LF115" s="43"/>
      <c r="LG115" s="42">
        <v>0</v>
      </c>
      <c r="LH115" s="47">
        <v>0</v>
      </c>
      <c r="LI115" s="47">
        <v>48</v>
      </c>
      <c r="LJ115" s="47">
        <v>48</v>
      </c>
      <c r="LK115" s="44">
        <v>0</v>
      </c>
      <c r="LL115" s="43"/>
      <c r="LM115" s="42">
        <v>0</v>
      </c>
      <c r="LN115" s="47">
        <v>0</v>
      </c>
      <c r="LO115" s="44">
        <v>0</v>
      </c>
      <c r="LP115" s="43"/>
      <c r="LQ115" s="42">
        <v>0</v>
      </c>
      <c r="LR115" s="47">
        <v>0</v>
      </c>
      <c r="LS115" s="47">
        <v>0</v>
      </c>
      <c r="LT115" s="47">
        <v>0</v>
      </c>
      <c r="LU115" s="44">
        <v>0</v>
      </c>
      <c r="LV115" s="43"/>
      <c r="LW115" s="42">
        <v>40</v>
      </c>
      <c r="LX115" s="47">
        <v>40</v>
      </c>
      <c r="LY115" s="47">
        <v>0</v>
      </c>
      <c r="LZ115" s="47">
        <v>0</v>
      </c>
      <c r="MA115" s="44">
        <v>0</v>
      </c>
      <c r="MB115" s="43"/>
      <c r="MC115" s="42"/>
      <c r="MH115" s="43"/>
      <c r="MI115" s="42"/>
      <c r="MN115" s="43"/>
      <c r="MO115" s="42"/>
      <c r="MT115" s="43"/>
      <c r="MU115" s="42"/>
      <c r="MZ115" s="43"/>
      <c r="NA115" s="42"/>
      <c r="NF115" s="43"/>
      <c r="NG115" s="42"/>
      <c r="NL115" s="43"/>
      <c r="NM115" s="42"/>
      <c r="NR115" s="43"/>
      <c r="NS115" s="42"/>
      <c r="NX115" s="43"/>
      <c r="NY115" s="42"/>
      <c r="OD115" s="43"/>
      <c r="OE115" s="42"/>
      <c r="OJ115" s="43"/>
      <c r="OK115" s="42"/>
      <c r="OP115" s="43"/>
      <c r="OQ115" s="42"/>
      <c r="OV115" s="43"/>
      <c r="OW115" s="42"/>
      <c r="PB115" s="43"/>
      <c r="PC115" s="42"/>
      <c r="PH115" s="43"/>
      <c r="PI115" s="42"/>
      <c r="PN115" s="43"/>
      <c r="PO115" s="42"/>
      <c r="PT115" s="43"/>
      <c r="PU115" s="42"/>
      <c r="PZ115" s="43"/>
      <c r="QA115" s="42"/>
      <c r="QD115" s="43"/>
      <c r="QE115" s="42"/>
      <c r="QH115" s="43"/>
      <c r="QI115" s="42"/>
      <c r="QL115" s="43"/>
      <c r="QM115" s="42"/>
      <c r="QR115" s="43"/>
      <c r="QS115" s="42"/>
      <c r="QV115" s="43"/>
      <c r="QW115" s="42"/>
      <c r="QY115" s="44"/>
      <c r="QZ115" s="43"/>
    </row>
    <row r="116" spans="1:468" x14ac:dyDescent="0.25">
      <c r="A116" s="47" t="s">
        <v>400</v>
      </c>
      <c r="B116" s="38">
        <v>1</v>
      </c>
      <c r="N116" s="39"/>
      <c r="O116" s="48"/>
      <c r="P116" s="48"/>
      <c r="Q116" s="48"/>
      <c r="R116" s="48">
        <f t="shared" si="13"/>
        <v>0</v>
      </c>
      <c r="S116" s="40"/>
      <c r="T116" s="39"/>
      <c r="U116" s="48"/>
      <c r="V116" s="48">
        <f t="shared" si="14"/>
        <v>0</v>
      </c>
      <c r="W116" s="40"/>
      <c r="X116" s="39"/>
      <c r="Y116" s="48"/>
      <c r="Z116" s="48"/>
      <c r="AA116" s="48"/>
      <c r="AB116" s="48">
        <f t="shared" si="15"/>
        <v>0</v>
      </c>
      <c r="AC116" s="40"/>
      <c r="AD116" s="48"/>
      <c r="AH116" s="44">
        <v>0</v>
      </c>
      <c r="AI116" s="40"/>
      <c r="AN116" s="44">
        <v>0</v>
      </c>
      <c r="AO116" s="40"/>
      <c r="AT116" s="44">
        <v>0</v>
      </c>
      <c r="AU116" s="40"/>
      <c r="AV116" s="39"/>
      <c r="AX116" s="44">
        <v>0</v>
      </c>
      <c r="AY116" s="40"/>
      <c r="AZ116" s="39"/>
      <c r="BB116" s="44">
        <v>0</v>
      </c>
      <c r="BC116" s="40"/>
      <c r="BH116" s="44">
        <v>0</v>
      </c>
      <c r="BI116" s="40"/>
      <c r="BL116" s="44">
        <v>0</v>
      </c>
      <c r="BM116" s="40"/>
      <c r="BN116" s="39"/>
      <c r="BR116" s="44">
        <v>0</v>
      </c>
      <c r="BS116" s="40"/>
      <c r="BV116" s="44">
        <v>0</v>
      </c>
      <c r="BW116" s="40"/>
      <c r="BX116" s="39"/>
      <c r="BZ116" s="44">
        <v>0</v>
      </c>
      <c r="CA116" s="40"/>
      <c r="CB116" s="39"/>
      <c r="CH116" s="44">
        <v>0</v>
      </c>
      <c r="CI116" s="40"/>
      <c r="CN116" s="44">
        <v>0</v>
      </c>
      <c r="CO116" s="40"/>
      <c r="CP116" s="39"/>
      <c r="CT116" s="44">
        <v>0</v>
      </c>
      <c r="CU116" s="40"/>
      <c r="CV116" s="39"/>
      <c r="CZ116" s="44">
        <v>0</v>
      </c>
      <c r="DA116" s="40"/>
      <c r="DB116" s="39"/>
      <c r="DF116" s="44">
        <v>0</v>
      </c>
      <c r="DG116" s="40"/>
      <c r="DN116" s="44">
        <v>0</v>
      </c>
      <c r="DO116" s="40"/>
      <c r="DP116" s="39"/>
      <c r="DR116" s="44">
        <v>0</v>
      </c>
      <c r="DS116" s="40"/>
      <c r="DT116" s="39"/>
      <c r="DX116" s="44">
        <v>0</v>
      </c>
      <c r="DY116" s="40"/>
      <c r="DZ116" s="39"/>
      <c r="EB116" s="44">
        <v>0</v>
      </c>
      <c r="EC116" s="40"/>
      <c r="EK116" s="44">
        <v>0</v>
      </c>
      <c r="EL116" s="40"/>
      <c r="ES116" s="44">
        <v>0</v>
      </c>
      <c r="ET116" s="40"/>
      <c r="EU116" s="39"/>
      <c r="EY116" s="44">
        <v>0</v>
      </c>
      <c r="EZ116" s="40"/>
      <c r="FA116" s="39"/>
      <c r="FD116" s="44">
        <v>0</v>
      </c>
      <c r="FE116" s="40"/>
      <c r="FH116" s="44">
        <v>0</v>
      </c>
      <c r="FI116" s="40"/>
      <c r="FJ116" s="39"/>
      <c r="FQ116" s="44">
        <v>0</v>
      </c>
      <c r="FR116" s="40"/>
      <c r="FW116" s="44">
        <v>0</v>
      </c>
      <c r="FX116" s="40"/>
      <c r="FY116" s="39"/>
      <c r="GC116" s="44">
        <v>0</v>
      </c>
      <c r="GD116" s="40"/>
      <c r="GI116" s="44">
        <v>0</v>
      </c>
      <c r="GJ116" s="40"/>
      <c r="GM116" s="44">
        <v>0</v>
      </c>
      <c r="GN116" s="40"/>
      <c r="GO116" s="39"/>
      <c r="GQ116" s="44">
        <v>0</v>
      </c>
      <c r="GR116" s="40"/>
      <c r="GX116" s="44">
        <v>0</v>
      </c>
      <c r="GY116" s="40"/>
      <c r="HD116" s="44">
        <v>0</v>
      </c>
      <c r="HE116" s="40"/>
      <c r="HF116" s="39"/>
      <c r="HH116">
        <v>5</v>
      </c>
      <c r="HI116">
        <v>6</v>
      </c>
      <c r="HJ116" s="44">
        <v>-1</v>
      </c>
      <c r="HK116" s="40"/>
      <c r="HL116" s="39"/>
      <c r="HP116" s="44">
        <v>0</v>
      </c>
      <c r="HQ116" s="40"/>
      <c r="HV116" s="44">
        <v>0</v>
      </c>
      <c r="HW116" s="43"/>
      <c r="HZ116">
        <v>10</v>
      </c>
      <c r="IA116">
        <v>8</v>
      </c>
      <c r="IB116" s="44">
        <v>2</v>
      </c>
      <c r="IC116" s="43"/>
      <c r="IH116" s="44">
        <v>0</v>
      </c>
      <c r="II116" s="43"/>
      <c r="IN116" s="44">
        <v>0</v>
      </c>
      <c r="IO116" s="40"/>
      <c r="IR116" s="44">
        <v>0</v>
      </c>
      <c r="IS116" s="40"/>
      <c r="IW116">
        <v>4</v>
      </c>
      <c r="IX116" s="44">
        <v>-4</v>
      </c>
      <c r="IY116" s="43"/>
      <c r="IZ116">
        <v>5</v>
      </c>
      <c r="JA116" s="47">
        <v>4</v>
      </c>
      <c r="JB116" s="44">
        <v>1</v>
      </c>
      <c r="JC116" s="40"/>
      <c r="JG116">
        <v>10</v>
      </c>
      <c r="JH116" s="46">
        <v>-10</v>
      </c>
      <c r="JI116" s="40">
        <v>10</v>
      </c>
      <c r="JN116" s="44">
        <v>0</v>
      </c>
      <c r="JO116" s="43"/>
      <c r="JS116">
        <v>4</v>
      </c>
      <c r="JT116" s="46">
        <v>-4</v>
      </c>
      <c r="JU116" s="43">
        <v>4</v>
      </c>
      <c r="JZ116" s="44">
        <v>0</v>
      </c>
      <c r="KA116" s="43"/>
      <c r="KB116" s="42"/>
      <c r="KE116">
        <v>5</v>
      </c>
      <c r="KF116">
        <v>4</v>
      </c>
      <c r="KI116" s="44">
        <v>1</v>
      </c>
      <c r="KJ116" s="43"/>
      <c r="KK116" s="47">
        <v>0</v>
      </c>
      <c r="KL116" s="47">
        <v>0</v>
      </c>
      <c r="KM116" s="47">
        <v>0</v>
      </c>
      <c r="KN116" s="47">
        <v>0</v>
      </c>
      <c r="KO116" s="44">
        <v>0</v>
      </c>
      <c r="KP116" s="43"/>
      <c r="KQ116" s="47">
        <v>0</v>
      </c>
      <c r="KR116" s="47">
        <v>0</v>
      </c>
      <c r="KS116" s="47">
        <v>0</v>
      </c>
      <c r="KT116" s="47">
        <v>0</v>
      </c>
      <c r="KU116" s="44">
        <v>0</v>
      </c>
      <c r="KV116" s="43"/>
      <c r="KW116" s="42">
        <v>0</v>
      </c>
      <c r="KX116" s="47">
        <v>0</v>
      </c>
      <c r="KY116" s="44">
        <v>0</v>
      </c>
      <c r="KZ116" s="43"/>
      <c r="LA116" s="42">
        <v>0</v>
      </c>
      <c r="LB116" s="47">
        <v>0</v>
      </c>
      <c r="LC116" s="47">
        <v>15.73</v>
      </c>
      <c r="LD116" s="47">
        <v>15</v>
      </c>
      <c r="LE116" s="44">
        <v>0.73000000000000043</v>
      </c>
      <c r="LF116" s="43"/>
      <c r="LG116" s="42">
        <v>0</v>
      </c>
      <c r="LH116" s="47">
        <v>0</v>
      </c>
      <c r="LI116" s="47">
        <v>5.2069999999999999</v>
      </c>
      <c r="LJ116" s="47">
        <v>6</v>
      </c>
      <c r="LK116" s="44">
        <v>-0.79300000000000015</v>
      </c>
      <c r="LL116" s="43"/>
      <c r="LM116" s="42">
        <v>0</v>
      </c>
      <c r="LN116" s="47">
        <v>0</v>
      </c>
      <c r="LO116" s="44">
        <v>0</v>
      </c>
      <c r="LP116" s="43"/>
      <c r="LQ116" s="42">
        <v>0</v>
      </c>
      <c r="LR116" s="47">
        <v>0</v>
      </c>
      <c r="LS116" s="47">
        <v>0</v>
      </c>
      <c r="LT116" s="47">
        <v>0</v>
      </c>
      <c r="LU116" s="44">
        <v>0</v>
      </c>
      <c r="LV116" s="43"/>
      <c r="LW116" s="42">
        <v>10.569000000000001</v>
      </c>
      <c r="LX116" s="47">
        <v>10</v>
      </c>
      <c r="LY116" s="47">
        <v>0</v>
      </c>
      <c r="LZ116" s="47">
        <v>0</v>
      </c>
      <c r="MA116" s="44">
        <v>0.56900000000000084</v>
      </c>
      <c r="MB116" s="43"/>
      <c r="MC116" s="42">
        <v>0</v>
      </c>
      <c r="MD116" s="47">
        <v>0</v>
      </c>
      <c r="ME116" s="47">
        <v>0</v>
      </c>
      <c r="MF116" s="47">
        <v>0</v>
      </c>
      <c r="MG116" s="44">
        <v>0</v>
      </c>
      <c r="MH116" s="43"/>
      <c r="MI116" s="42">
        <v>0</v>
      </c>
      <c r="MJ116" s="47">
        <v>0</v>
      </c>
      <c r="MK116" s="47">
        <v>0</v>
      </c>
      <c r="ML116" s="47">
        <v>0</v>
      </c>
      <c r="MM116" s="44">
        <v>0</v>
      </c>
      <c r="MN116" s="43"/>
      <c r="MO116" s="42">
        <v>0</v>
      </c>
      <c r="MP116" s="47">
        <v>0</v>
      </c>
      <c r="MQ116" s="47">
        <v>0</v>
      </c>
      <c r="MR116" s="47">
        <v>0</v>
      </c>
      <c r="MS116" s="44">
        <v>0</v>
      </c>
      <c r="MT116" s="43"/>
      <c r="MU116" s="42">
        <v>0</v>
      </c>
      <c r="MV116" s="47">
        <v>0</v>
      </c>
      <c r="MW116" s="47">
        <v>0</v>
      </c>
      <c r="MX116" s="47">
        <v>0</v>
      </c>
      <c r="MY116" s="44">
        <v>0</v>
      </c>
      <c r="MZ116" s="43"/>
      <c r="NA116" s="42">
        <v>0</v>
      </c>
      <c r="NB116" s="47">
        <v>0</v>
      </c>
      <c r="NC116" s="47">
        <v>0</v>
      </c>
      <c r="ND116" s="47">
        <v>0</v>
      </c>
      <c r="NE116" s="44">
        <v>0</v>
      </c>
      <c r="NF116" s="43"/>
      <c r="NG116" s="42">
        <v>0</v>
      </c>
      <c r="NH116" s="47">
        <v>0</v>
      </c>
      <c r="NI116" s="47">
        <v>0</v>
      </c>
      <c r="NJ116" s="47">
        <v>0</v>
      </c>
      <c r="NK116" s="44">
        <v>0</v>
      </c>
      <c r="NL116" s="43"/>
      <c r="NM116" s="42">
        <v>0</v>
      </c>
      <c r="NN116" s="47">
        <v>0</v>
      </c>
      <c r="NO116" s="47">
        <v>10.548999999999999</v>
      </c>
      <c r="NP116" s="47">
        <v>10</v>
      </c>
      <c r="NQ116" s="44">
        <v>0.54899999999999949</v>
      </c>
      <c r="NR116" s="43"/>
      <c r="NS116" s="42">
        <v>42.072000000000003</v>
      </c>
      <c r="NT116" s="47">
        <v>40</v>
      </c>
      <c r="NU116" s="47">
        <v>0</v>
      </c>
      <c r="NV116" s="47">
        <v>0</v>
      </c>
      <c r="NW116" s="44">
        <v>2.0720000000000032</v>
      </c>
      <c r="NX116" s="43"/>
      <c r="NY116" s="42">
        <v>0</v>
      </c>
      <c r="NZ116" s="47">
        <v>0</v>
      </c>
      <c r="OA116" s="47">
        <v>0</v>
      </c>
      <c r="OB116" s="47">
        <v>0</v>
      </c>
      <c r="OC116" s="44">
        <v>0</v>
      </c>
      <c r="OD116" s="43"/>
      <c r="OE116" s="42">
        <v>0</v>
      </c>
      <c r="OF116" s="47">
        <v>0</v>
      </c>
      <c r="OG116" s="47">
        <v>26.613</v>
      </c>
      <c r="OH116" s="47">
        <v>25</v>
      </c>
      <c r="OI116" s="44">
        <v>1.613</v>
      </c>
      <c r="OJ116" s="43"/>
      <c r="OK116" s="42">
        <v>0</v>
      </c>
      <c r="OL116" s="47">
        <v>0</v>
      </c>
      <c r="OM116" s="47">
        <v>0</v>
      </c>
      <c r="ON116" s="47">
        <v>0</v>
      </c>
      <c r="OO116" s="44">
        <v>0</v>
      </c>
      <c r="OP116" s="43"/>
      <c r="OQ116" s="42">
        <v>0</v>
      </c>
      <c r="OR116" s="47">
        <v>0</v>
      </c>
      <c r="OS116" s="47">
        <v>0</v>
      </c>
      <c r="OT116" s="47">
        <v>0</v>
      </c>
      <c r="OU116" s="44">
        <v>0</v>
      </c>
      <c r="OV116" s="43"/>
      <c r="OW116" s="42">
        <v>0</v>
      </c>
      <c r="OX116" s="47">
        <v>0</v>
      </c>
      <c r="OY116" s="47">
        <v>59.11</v>
      </c>
      <c r="OZ116" s="47">
        <v>60</v>
      </c>
      <c r="PA116" s="44">
        <v>-0.89000000000000057</v>
      </c>
      <c r="PB116" s="43"/>
      <c r="PC116" s="42">
        <v>0</v>
      </c>
      <c r="PD116" s="47">
        <v>0</v>
      </c>
      <c r="PE116" s="47">
        <v>47.161000000000001</v>
      </c>
      <c r="PF116" s="47">
        <v>50</v>
      </c>
      <c r="PG116" s="44">
        <v>-2.8389999999999991</v>
      </c>
      <c r="PH116" s="43"/>
      <c r="PI116" s="42">
        <v>0</v>
      </c>
      <c r="PJ116" s="47">
        <v>0</v>
      </c>
      <c r="PK116" s="47">
        <v>0</v>
      </c>
      <c r="PL116" s="47">
        <v>0</v>
      </c>
      <c r="PM116" s="44">
        <v>0</v>
      </c>
      <c r="PN116" s="43"/>
      <c r="PO116" s="42">
        <v>32.029000000000003</v>
      </c>
      <c r="PP116" s="47">
        <v>30</v>
      </c>
      <c r="PQ116" s="47">
        <v>0</v>
      </c>
      <c r="PR116" s="47">
        <v>0</v>
      </c>
      <c r="PS116" s="44">
        <v>2.029000000000003</v>
      </c>
      <c r="PT116" s="43"/>
      <c r="PU116" s="42">
        <v>0</v>
      </c>
      <c r="PV116" s="47">
        <v>0</v>
      </c>
      <c r="PW116" s="47">
        <v>68.960999999999999</v>
      </c>
      <c r="PX116" s="47">
        <v>70</v>
      </c>
      <c r="PY116" s="44">
        <v>-1.039000000000001</v>
      </c>
      <c r="PZ116" s="43"/>
      <c r="QA116" s="42">
        <v>0</v>
      </c>
      <c r="QB116" s="47">
        <v>0</v>
      </c>
      <c r="QC116" s="44">
        <v>0</v>
      </c>
      <c r="QD116" s="43"/>
      <c r="QE116" s="42">
        <v>31.292999999999999</v>
      </c>
      <c r="QF116" s="47">
        <v>30</v>
      </c>
      <c r="QG116" s="44">
        <v>1.292999999999999</v>
      </c>
      <c r="QH116" s="43"/>
      <c r="QI116" s="42">
        <v>0</v>
      </c>
      <c r="QJ116" s="47">
        <v>0</v>
      </c>
      <c r="QK116" s="44">
        <v>0</v>
      </c>
      <c r="QL116" s="43"/>
      <c r="QM116" s="42">
        <v>0</v>
      </c>
      <c r="QN116" s="47">
        <v>0</v>
      </c>
      <c r="QO116" s="47">
        <v>0</v>
      </c>
      <c r="QP116" s="47">
        <v>0</v>
      </c>
      <c r="QQ116" s="44">
        <v>0</v>
      </c>
      <c r="QR116" s="43"/>
      <c r="QS116" s="42">
        <v>0</v>
      </c>
      <c r="QT116" s="47">
        <v>0</v>
      </c>
      <c r="QU116" s="44">
        <v>0</v>
      </c>
      <c r="QV116" s="43"/>
      <c r="QW116" s="42">
        <v>0</v>
      </c>
      <c r="QX116" s="47">
        <v>0</v>
      </c>
      <c r="QY116" s="44">
        <v>0</v>
      </c>
      <c r="QZ116" s="43"/>
    </row>
    <row r="117" spans="1:468" x14ac:dyDescent="0.25">
      <c r="A117" s="47" t="s">
        <v>401</v>
      </c>
      <c r="B117" s="38">
        <v>0.33</v>
      </c>
      <c r="N117" s="39"/>
      <c r="O117" s="49">
        <v>8</v>
      </c>
      <c r="P117" s="48"/>
      <c r="Q117" s="48"/>
      <c r="R117" s="48">
        <f t="shared" si="13"/>
        <v>-8</v>
      </c>
      <c r="S117" s="40"/>
      <c r="T117" s="41">
        <v>24</v>
      </c>
      <c r="U117" s="49">
        <v>16</v>
      </c>
      <c r="V117" s="48">
        <f t="shared" si="14"/>
        <v>8</v>
      </c>
      <c r="W117" s="40"/>
      <c r="X117" s="39"/>
      <c r="Y117" s="48"/>
      <c r="Z117" s="48"/>
      <c r="AA117" s="48"/>
      <c r="AB117" s="48">
        <f t="shared" si="15"/>
        <v>0</v>
      </c>
      <c r="AC117" s="40"/>
      <c r="AD117" s="48"/>
      <c r="AH117" s="44">
        <v>0</v>
      </c>
      <c r="AI117" s="40"/>
      <c r="AN117" s="44">
        <v>0</v>
      </c>
      <c r="AO117" s="40"/>
      <c r="AT117" s="44">
        <v>0</v>
      </c>
      <c r="AU117" s="40"/>
      <c r="AV117" s="39"/>
      <c r="AX117" s="44">
        <v>0</v>
      </c>
      <c r="AY117" s="40"/>
      <c r="AZ117" s="39"/>
      <c r="BB117" s="44">
        <v>0</v>
      </c>
      <c r="BC117" s="40"/>
      <c r="BH117" s="44">
        <v>0</v>
      </c>
      <c r="BI117" s="40"/>
      <c r="BJ117">
        <v>8</v>
      </c>
      <c r="BK117">
        <v>13</v>
      </c>
      <c r="BL117" s="44">
        <v>-5</v>
      </c>
      <c r="BM117" s="40"/>
      <c r="BN117" s="39"/>
      <c r="BP117">
        <v>32</v>
      </c>
      <c r="BQ117">
        <v>32</v>
      </c>
      <c r="BR117" s="44">
        <v>0</v>
      </c>
      <c r="BS117" s="40"/>
      <c r="BT117">
        <v>16</v>
      </c>
      <c r="BU117">
        <v>20</v>
      </c>
      <c r="BV117" s="44">
        <v>-4</v>
      </c>
      <c r="BW117" s="40"/>
      <c r="BX117" s="39"/>
      <c r="BZ117" s="44">
        <v>0</v>
      </c>
      <c r="CA117" s="40"/>
      <c r="CB117" s="39"/>
      <c r="CD117">
        <v>8</v>
      </c>
      <c r="CG117">
        <v>8</v>
      </c>
      <c r="CH117" s="44">
        <v>0</v>
      </c>
      <c r="CI117" s="40"/>
      <c r="CN117" s="44">
        <v>0</v>
      </c>
      <c r="CO117" s="40"/>
      <c r="CP117" s="39"/>
      <c r="CT117" s="44">
        <v>0</v>
      </c>
      <c r="CU117" s="40"/>
      <c r="CV117" s="39"/>
      <c r="CX117">
        <v>8</v>
      </c>
      <c r="CY117">
        <v>8</v>
      </c>
      <c r="CZ117" s="44">
        <v>0</v>
      </c>
      <c r="DA117" s="40"/>
      <c r="DB117" s="39"/>
      <c r="DD117">
        <v>8</v>
      </c>
      <c r="DE117">
        <v>8</v>
      </c>
      <c r="DF117" s="44">
        <v>0</v>
      </c>
      <c r="DG117" s="40"/>
      <c r="DK117">
        <v>8</v>
      </c>
      <c r="DN117" s="46">
        <v>-8</v>
      </c>
      <c r="DO117" s="40">
        <v>2.64</v>
      </c>
      <c r="DP117" s="39"/>
      <c r="DR117" s="44">
        <v>0</v>
      </c>
      <c r="DS117" s="40"/>
      <c r="DT117" s="39"/>
      <c r="DX117" s="44">
        <v>0</v>
      </c>
      <c r="DY117" s="40"/>
      <c r="DZ117" s="41">
        <v>16</v>
      </c>
      <c r="EA117">
        <v>16</v>
      </c>
      <c r="EB117" s="44">
        <v>0</v>
      </c>
      <c r="EC117" s="40"/>
      <c r="EK117" s="44">
        <v>0</v>
      </c>
      <c r="EL117" s="40"/>
      <c r="EQ117">
        <v>8</v>
      </c>
      <c r="ER117">
        <v>8</v>
      </c>
      <c r="ES117" s="44">
        <v>0</v>
      </c>
      <c r="ET117" s="40"/>
      <c r="EU117" s="39"/>
      <c r="EY117" s="44">
        <v>0</v>
      </c>
      <c r="EZ117" s="40"/>
      <c r="FA117" s="39"/>
      <c r="FC117">
        <v>7</v>
      </c>
      <c r="FD117" s="46">
        <v>-7</v>
      </c>
      <c r="FE117" s="40">
        <v>2.31</v>
      </c>
      <c r="FH117" s="44">
        <v>0</v>
      </c>
      <c r="FI117" s="40"/>
      <c r="FJ117" s="39"/>
      <c r="FQ117" s="44">
        <v>0</v>
      </c>
      <c r="FR117" s="40"/>
      <c r="FW117" s="44">
        <v>0</v>
      </c>
      <c r="FX117" s="40"/>
      <c r="FY117" s="39"/>
      <c r="GA117">
        <v>8</v>
      </c>
      <c r="GB117">
        <v>8</v>
      </c>
      <c r="GC117" s="44">
        <v>0</v>
      </c>
      <c r="GD117" s="40"/>
      <c r="GI117" s="44">
        <v>0</v>
      </c>
      <c r="GJ117" s="40"/>
      <c r="GM117" s="44">
        <v>0</v>
      </c>
      <c r="GN117" s="40"/>
      <c r="GO117" s="39"/>
      <c r="GQ117" s="44">
        <v>0</v>
      </c>
      <c r="GR117" s="40"/>
      <c r="GX117" s="44">
        <v>0</v>
      </c>
      <c r="GY117" s="40"/>
      <c r="HB117">
        <v>8</v>
      </c>
      <c r="HC117">
        <v>8</v>
      </c>
      <c r="HD117" s="44">
        <v>0</v>
      </c>
      <c r="HE117" s="40"/>
      <c r="HF117" s="39"/>
      <c r="HJ117" s="44">
        <v>0</v>
      </c>
      <c r="HK117" s="40"/>
      <c r="HL117" s="39"/>
      <c r="HN117">
        <v>8</v>
      </c>
      <c r="HO117">
        <v>8</v>
      </c>
      <c r="HP117" s="44">
        <v>0</v>
      </c>
      <c r="HQ117" s="40"/>
      <c r="HU117">
        <v>40</v>
      </c>
      <c r="HV117" s="46">
        <v>-40</v>
      </c>
      <c r="HW117" s="43">
        <v>13.2</v>
      </c>
      <c r="IB117" s="44">
        <v>0</v>
      </c>
      <c r="IC117" s="43"/>
      <c r="IH117" s="44">
        <v>0</v>
      </c>
      <c r="II117" s="43"/>
      <c r="IN117" s="44">
        <v>0</v>
      </c>
      <c r="IO117" s="40"/>
      <c r="IR117" s="44">
        <v>0</v>
      </c>
      <c r="IS117" s="40"/>
      <c r="IX117" s="44">
        <v>0</v>
      </c>
      <c r="IY117" s="43"/>
      <c r="JB117" s="44">
        <v>0</v>
      </c>
      <c r="JC117" s="40"/>
      <c r="JF117">
        <v>56</v>
      </c>
      <c r="JG117">
        <v>60</v>
      </c>
      <c r="JH117" s="44">
        <v>-4</v>
      </c>
      <c r="JI117" s="40"/>
      <c r="JN117" s="44">
        <v>0</v>
      </c>
      <c r="JO117" s="43"/>
      <c r="JT117" s="44">
        <v>0</v>
      </c>
      <c r="JU117" s="43"/>
      <c r="JX117">
        <v>80</v>
      </c>
      <c r="JY117">
        <v>80</v>
      </c>
      <c r="JZ117" s="44">
        <v>0</v>
      </c>
      <c r="KA117" s="43"/>
      <c r="KB117" s="42"/>
      <c r="KI117" s="44">
        <v>0</v>
      </c>
      <c r="KJ117" s="43"/>
      <c r="KK117" s="47">
        <v>0</v>
      </c>
      <c r="KL117" s="47">
        <v>0</v>
      </c>
      <c r="KM117" s="47">
        <v>8</v>
      </c>
      <c r="KN117" s="47">
        <v>8</v>
      </c>
      <c r="KO117" s="44">
        <v>0</v>
      </c>
      <c r="KP117" s="43"/>
      <c r="KQ117" s="47">
        <v>0</v>
      </c>
      <c r="KR117" s="47">
        <v>0</v>
      </c>
      <c r="KS117" s="47">
        <v>32</v>
      </c>
      <c r="KT117" s="47">
        <v>32</v>
      </c>
      <c r="KU117" s="44">
        <v>0</v>
      </c>
      <c r="KV117" s="43"/>
      <c r="KW117" s="42">
        <v>0</v>
      </c>
      <c r="KX117" s="47">
        <v>0</v>
      </c>
      <c r="KY117" s="44">
        <v>0</v>
      </c>
      <c r="KZ117" s="43"/>
      <c r="LA117" s="42">
        <v>0</v>
      </c>
      <c r="LB117" s="47">
        <v>0</v>
      </c>
      <c r="LC117" s="47">
        <v>48</v>
      </c>
      <c r="LD117" s="47">
        <v>48</v>
      </c>
      <c r="LE117" s="44">
        <v>0</v>
      </c>
      <c r="LF117" s="43"/>
      <c r="LG117" s="42">
        <v>0</v>
      </c>
      <c r="LH117" s="47">
        <v>0</v>
      </c>
      <c r="LI117" s="47">
        <v>0</v>
      </c>
      <c r="LJ117" s="47">
        <v>0</v>
      </c>
      <c r="LK117" s="44">
        <v>0</v>
      </c>
      <c r="LL117" s="43"/>
      <c r="LM117" s="42">
        <v>0</v>
      </c>
      <c r="LN117" s="47">
        <v>0</v>
      </c>
      <c r="LO117" s="44">
        <v>0</v>
      </c>
      <c r="LP117" s="43"/>
      <c r="LQ117" s="42">
        <v>0</v>
      </c>
      <c r="LR117" s="47">
        <v>0</v>
      </c>
      <c r="LS117" s="47">
        <v>32</v>
      </c>
      <c r="LT117" s="47">
        <v>33</v>
      </c>
      <c r="LU117" s="44">
        <v>-1</v>
      </c>
      <c r="LV117" s="43"/>
      <c r="LW117" s="42">
        <v>0</v>
      </c>
      <c r="LX117" s="47">
        <v>0</v>
      </c>
      <c r="LY117" s="47">
        <v>0</v>
      </c>
      <c r="LZ117" s="47">
        <v>0</v>
      </c>
      <c r="MA117" s="44">
        <v>0</v>
      </c>
      <c r="MB117" s="43"/>
      <c r="MC117" s="42">
        <v>0</v>
      </c>
      <c r="MD117" s="47">
        <v>0</v>
      </c>
      <c r="ME117" s="47">
        <v>16</v>
      </c>
      <c r="MF117" s="47">
        <v>20</v>
      </c>
      <c r="MG117" s="44">
        <v>-4</v>
      </c>
      <c r="MH117" s="43"/>
      <c r="MI117" s="42">
        <v>0</v>
      </c>
      <c r="MJ117" s="47">
        <v>0</v>
      </c>
      <c r="MK117" s="47">
        <v>0</v>
      </c>
      <c r="ML117" s="47">
        <v>0</v>
      </c>
      <c r="MM117" s="44">
        <v>0</v>
      </c>
      <c r="MN117" s="43"/>
      <c r="MO117" s="42">
        <v>0</v>
      </c>
      <c r="MP117" s="47">
        <v>0</v>
      </c>
      <c r="MQ117" s="47">
        <v>80</v>
      </c>
      <c r="MR117" s="47">
        <v>85</v>
      </c>
      <c r="MS117" s="44">
        <v>-5</v>
      </c>
      <c r="MT117" s="43"/>
      <c r="MU117" s="42">
        <v>0</v>
      </c>
      <c r="MV117" s="47">
        <v>0</v>
      </c>
      <c r="MW117" s="47">
        <v>16</v>
      </c>
      <c r="MX117" s="47">
        <v>16</v>
      </c>
      <c r="MY117" s="44">
        <v>0</v>
      </c>
      <c r="MZ117" s="43"/>
      <c r="NA117" s="42">
        <v>0</v>
      </c>
      <c r="NB117" s="47">
        <v>0</v>
      </c>
      <c r="NC117" s="47">
        <v>24</v>
      </c>
      <c r="ND117" s="47">
        <v>25</v>
      </c>
      <c r="NE117" s="44">
        <v>-1</v>
      </c>
      <c r="NF117" s="43"/>
      <c r="NG117" s="42">
        <v>0</v>
      </c>
      <c r="NH117" s="47">
        <v>0</v>
      </c>
      <c r="NI117" s="47">
        <v>16</v>
      </c>
      <c r="NJ117" s="47">
        <v>16</v>
      </c>
      <c r="NK117" s="44">
        <v>0</v>
      </c>
      <c r="NL117" s="43"/>
      <c r="NM117" s="42">
        <v>0</v>
      </c>
      <c r="NN117" s="47">
        <v>0</v>
      </c>
      <c r="NO117" s="47">
        <v>48</v>
      </c>
      <c r="NP117" s="47">
        <v>50</v>
      </c>
      <c r="NQ117" s="44">
        <v>-2</v>
      </c>
      <c r="NR117" s="43"/>
      <c r="NS117" s="42">
        <v>16</v>
      </c>
      <c r="NT117" s="47">
        <v>20</v>
      </c>
      <c r="NU117" s="47">
        <v>0</v>
      </c>
      <c r="NV117" s="47">
        <v>0</v>
      </c>
      <c r="NW117" s="44">
        <v>-4</v>
      </c>
      <c r="NX117" s="43"/>
      <c r="NY117" s="42">
        <v>0</v>
      </c>
      <c r="NZ117" s="47">
        <v>0</v>
      </c>
      <c r="OA117" s="47">
        <v>32</v>
      </c>
      <c r="OB117" s="47">
        <v>35</v>
      </c>
      <c r="OC117" s="44">
        <v>-3</v>
      </c>
      <c r="OD117" s="43"/>
      <c r="OE117" s="42">
        <v>0</v>
      </c>
      <c r="OF117" s="47">
        <v>0</v>
      </c>
      <c r="OG117" s="47">
        <v>16</v>
      </c>
      <c r="OH117" s="47">
        <v>15</v>
      </c>
      <c r="OI117" s="44">
        <v>1</v>
      </c>
      <c r="OJ117" s="43"/>
      <c r="OK117" s="42">
        <v>0</v>
      </c>
      <c r="OL117" s="47">
        <v>0</v>
      </c>
      <c r="OM117" s="47">
        <v>72</v>
      </c>
      <c r="ON117" s="47">
        <v>70</v>
      </c>
      <c r="OO117" s="44">
        <v>2</v>
      </c>
      <c r="OP117" s="43"/>
      <c r="OQ117" s="42">
        <v>0</v>
      </c>
      <c r="OR117" s="47">
        <v>0</v>
      </c>
      <c r="OS117" s="47">
        <v>24</v>
      </c>
      <c r="OT117" s="47">
        <v>25</v>
      </c>
      <c r="OU117" s="44">
        <v>-1</v>
      </c>
      <c r="OV117" s="43"/>
      <c r="OW117" s="42">
        <v>0</v>
      </c>
      <c r="OX117" s="47">
        <v>0</v>
      </c>
      <c r="OY117" s="47">
        <v>32</v>
      </c>
      <c r="OZ117" s="47">
        <v>30</v>
      </c>
      <c r="PA117" s="44">
        <v>2</v>
      </c>
      <c r="PB117" s="43"/>
      <c r="PC117" s="42">
        <v>0</v>
      </c>
      <c r="PD117" s="26">
        <v>50</v>
      </c>
      <c r="PE117" s="47">
        <v>0</v>
      </c>
      <c r="PF117" s="26">
        <v>90</v>
      </c>
      <c r="PG117" s="46">
        <v>-140</v>
      </c>
      <c r="PH117" s="43">
        <v>46.2</v>
      </c>
      <c r="PI117" s="42">
        <v>0</v>
      </c>
      <c r="PJ117" s="47">
        <v>0</v>
      </c>
      <c r="PK117" s="47">
        <v>0</v>
      </c>
      <c r="PL117" s="47">
        <v>0</v>
      </c>
      <c r="PM117" s="44">
        <v>0</v>
      </c>
      <c r="PN117" s="43"/>
      <c r="PO117" s="42">
        <v>56</v>
      </c>
      <c r="PP117" s="47">
        <v>60</v>
      </c>
      <c r="PQ117" s="47">
        <v>0</v>
      </c>
      <c r="PR117" s="47">
        <v>0</v>
      </c>
      <c r="PS117" s="44">
        <v>-4</v>
      </c>
      <c r="PT117" s="43"/>
      <c r="PU117" s="42">
        <v>0</v>
      </c>
      <c r="PV117" s="47">
        <v>0</v>
      </c>
      <c r="PW117" s="47">
        <v>96</v>
      </c>
      <c r="PX117" s="47">
        <v>100</v>
      </c>
      <c r="PY117" s="44">
        <v>-4</v>
      </c>
      <c r="PZ117" s="43"/>
      <c r="QA117" s="42">
        <v>0</v>
      </c>
      <c r="QB117" s="47">
        <v>0</v>
      </c>
      <c r="QC117" s="44">
        <v>0</v>
      </c>
      <c r="QD117" s="43"/>
      <c r="QE117" s="42">
        <v>48</v>
      </c>
      <c r="QF117" s="47">
        <v>50</v>
      </c>
      <c r="QG117" s="44">
        <v>-2</v>
      </c>
      <c r="QH117" s="43"/>
      <c r="QI117" s="42">
        <v>0</v>
      </c>
      <c r="QJ117" s="47">
        <v>0</v>
      </c>
      <c r="QK117" s="44">
        <v>0</v>
      </c>
      <c r="QL117" s="43"/>
      <c r="QM117" s="42">
        <v>0</v>
      </c>
      <c r="QN117" s="47">
        <v>0</v>
      </c>
      <c r="QO117" s="47">
        <v>0</v>
      </c>
      <c r="QP117" s="47">
        <v>0</v>
      </c>
      <c r="QQ117" s="44">
        <v>0</v>
      </c>
      <c r="QR117" s="43"/>
      <c r="QS117" s="42">
        <v>0</v>
      </c>
      <c r="QT117" s="47">
        <v>0</v>
      </c>
      <c r="QU117" s="44">
        <v>0</v>
      </c>
      <c r="QV117" s="43"/>
      <c r="QW117" s="42">
        <v>0</v>
      </c>
      <c r="QX117" s="47">
        <v>0</v>
      </c>
      <c r="QY117" s="44">
        <v>0</v>
      </c>
      <c r="QZ117" s="43"/>
    </row>
    <row r="118" spans="1:468" x14ac:dyDescent="0.25">
      <c r="A118" s="47" t="s">
        <v>402</v>
      </c>
      <c r="B118" s="38">
        <v>1</v>
      </c>
      <c r="N118" s="39"/>
      <c r="O118" s="48"/>
      <c r="P118" s="48"/>
      <c r="Q118" s="48"/>
      <c r="R118" s="48">
        <f t="shared" si="13"/>
        <v>0</v>
      </c>
      <c r="S118" s="40"/>
      <c r="T118" s="39"/>
      <c r="U118" s="48"/>
      <c r="V118" s="48">
        <f t="shared" si="14"/>
        <v>0</v>
      </c>
      <c r="W118" s="40"/>
      <c r="X118" s="39"/>
      <c r="Y118" s="48"/>
      <c r="Z118" s="48"/>
      <c r="AA118" s="48"/>
      <c r="AB118" s="48">
        <f t="shared" si="15"/>
        <v>0</v>
      </c>
      <c r="AC118" s="40"/>
      <c r="AD118" s="48"/>
      <c r="AH118" s="44">
        <v>0</v>
      </c>
      <c r="AI118" s="40"/>
      <c r="AN118" s="44">
        <v>0</v>
      </c>
      <c r="AO118" s="40"/>
      <c r="AT118" s="44">
        <v>0</v>
      </c>
      <c r="AU118" s="40"/>
      <c r="AV118" s="39"/>
      <c r="AX118" s="44">
        <v>0</v>
      </c>
      <c r="AY118" s="40"/>
      <c r="AZ118" s="39"/>
      <c r="BB118" s="44">
        <v>0</v>
      </c>
      <c r="BC118" s="40"/>
      <c r="BH118" s="44">
        <v>0</v>
      </c>
      <c r="BI118" s="40"/>
      <c r="BL118" s="44">
        <v>0</v>
      </c>
      <c r="BM118" s="40"/>
      <c r="BN118" s="39"/>
      <c r="BR118" s="44">
        <v>0</v>
      </c>
      <c r="BS118" s="40"/>
      <c r="BV118" s="44">
        <v>0</v>
      </c>
      <c r="BW118" s="40"/>
      <c r="BX118" s="39"/>
      <c r="BZ118" s="44">
        <v>0</v>
      </c>
      <c r="CA118" s="40"/>
      <c r="CB118" s="39"/>
      <c r="CH118" s="44">
        <v>0</v>
      </c>
      <c r="CI118" s="40"/>
      <c r="CN118" s="44">
        <v>0</v>
      </c>
      <c r="CO118" s="40"/>
      <c r="CP118" s="39"/>
      <c r="CT118" s="44">
        <v>0</v>
      </c>
      <c r="CU118" s="40"/>
      <c r="CV118" s="39"/>
      <c r="CZ118" s="44">
        <v>0</v>
      </c>
      <c r="DA118" s="40"/>
      <c r="DB118" s="39"/>
      <c r="DF118" s="44">
        <v>0</v>
      </c>
      <c r="DG118" s="40"/>
      <c r="DN118" s="44">
        <v>0</v>
      </c>
      <c r="DO118" s="40"/>
      <c r="DP118" s="39"/>
      <c r="DR118" s="44">
        <v>0</v>
      </c>
      <c r="DS118" s="40"/>
      <c r="DT118" s="39"/>
      <c r="DX118" s="44">
        <v>0</v>
      </c>
      <c r="DY118" s="40"/>
      <c r="DZ118" s="39"/>
      <c r="EB118" s="44">
        <v>0</v>
      </c>
      <c r="EC118" s="40"/>
      <c r="EK118" s="44">
        <v>0</v>
      </c>
      <c r="EL118" s="40"/>
      <c r="ES118" s="44">
        <v>0</v>
      </c>
      <c r="ET118" s="40"/>
      <c r="EU118" s="39"/>
      <c r="EY118" s="44">
        <v>0</v>
      </c>
      <c r="EZ118" s="40"/>
      <c r="FA118" s="39"/>
      <c r="FD118" s="44">
        <v>0</v>
      </c>
      <c r="FE118" s="40"/>
      <c r="FH118" s="44">
        <v>0</v>
      </c>
      <c r="FI118" s="40"/>
      <c r="FJ118" s="39"/>
      <c r="FQ118" s="44">
        <v>0</v>
      </c>
      <c r="FR118" s="40"/>
      <c r="FW118" s="44">
        <v>0</v>
      </c>
      <c r="FX118" s="40"/>
      <c r="FY118" s="39"/>
      <c r="GC118" s="44">
        <v>0</v>
      </c>
      <c r="GD118" s="40"/>
      <c r="GI118" s="44">
        <v>0</v>
      </c>
      <c r="GJ118" s="40"/>
      <c r="GM118" s="44">
        <v>0</v>
      </c>
      <c r="GN118" s="40"/>
      <c r="GO118" s="39"/>
      <c r="GQ118" s="44">
        <v>0</v>
      </c>
      <c r="GR118" s="40"/>
      <c r="GX118" s="44">
        <v>0</v>
      </c>
      <c r="GY118" s="40"/>
      <c r="HD118" s="44">
        <v>0</v>
      </c>
      <c r="HE118" s="40"/>
      <c r="HF118" s="39"/>
      <c r="HJ118" s="44">
        <v>0</v>
      </c>
      <c r="HK118" s="40"/>
      <c r="HL118" s="39"/>
      <c r="HP118" s="44">
        <v>0</v>
      </c>
      <c r="HQ118" s="40"/>
      <c r="HV118" s="44">
        <v>0</v>
      </c>
      <c r="HW118" s="43"/>
      <c r="IB118" s="44">
        <v>0</v>
      </c>
      <c r="IC118" s="43"/>
      <c r="IH118" s="44">
        <v>0</v>
      </c>
      <c r="II118" s="43"/>
      <c r="IN118" s="44">
        <v>0</v>
      </c>
      <c r="IO118" s="40"/>
      <c r="IR118" s="44">
        <v>0</v>
      </c>
      <c r="IS118" s="40"/>
      <c r="IX118" s="44">
        <v>0</v>
      </c>
      <c r="IY118" s="43"/>
      <c r="JB118" s="44">
        <v>0</v>
      </c>
      <c r="JC118" s="40"/>
      <c r="JH118" s="44">
        <v>0</v>
      </c>
      <c r="JI118" s="40"/>
      <c r="JN118" s="44">
        <v>0</v>
      </c>
      <c r="JO118" s="43"/>
      <c r="JT118" s="44">
        <v>0</v>
      </c>
      <c r="JU118" s="43"/>
      <c r="JZ118" s="44">
        <v>0</v>
      </c>
      <c r="KA118" s="43"/>
      <c r="KB118" s="42"/>
      <c r="KI118" s="44">
        <v>0</v>
      </c>
      <c r="KJ118" s="43"/>
      <c r="KK118" s="47">
        <v>0</v>
      </c>
      <c r="KL118" s="47">
        <v>0</v>
      </c>
      <c r="KM118" s="47">
        <v>0</v>
      </c>
      <c r="KN118" s="47">
        <v>0</v>
      </c>
      <c r="KO118" s="44">
        <v>0</v>
      </c>
      <c r="KP118" s="43"/>
      <c r="KQ118" s="47">
        <v>0</v>
      </c>
      <c r="KR118" s="47">
        <v>0</v>
      </c>
      <c r="KS118" s="47">
        <v>0</v>
      </c>
      <c r="KT118" s="47">
        <v>0</v>
      </c>
      <c r="KU118" s="44">
        <v>0</v>
      </c>
      <c r="KV118" s="43"/>
      <c r="KW118" s="42">
        <v>0</v>
      </c>
      <c r="KX118" s="47">
        <v>0</v>
      </c>
      <c r="KY118" s="44">
        <v>0</v>
      </c>
      <c r="KZ118" s="43"/>
      <c r="LA118" s="42">
        <v>0</v>
      </c>
      <c r="LB118" s="47">
        <v>0</v>
      </c>
      <c r="LC118" s="47">
        <v>0</v>
      </c>
      <c r="LD118" s="47">
        <v>0</v>
      </c>
      <c r="LE118" s="44">
        <v>0</v>
      </c>
      <c r="LF118" s="43"/>
      <c r="LG118" s="42">
        <v>0</v>
      </c>
      <c r="LH118" s="47">
        <v>0</v>
      </c>
      <c r="LI118" s="47">
        <v>0</v>
      </c>
      <c r="LJ118" s="47">
        <v>0</v>
      </c>
      <c r="LK118" s="44">
        <v>0</v>
      </c>
      <c r="LL118" s="43"/>
      <c r="LM118" s="42">
        <v>0</v>
      </c>
      <c r="LN118" s="47">
        <v>0</v>
      </c>
      <c r="LO118" s="44">
        <v>0</v>
      </c>
      <c r="LP118" s="43"/>
      <c r="LQ118" s="42">
        <v>0</v>
      </c>
      <c r="LR118" s="47">
        <v>0</v>
      </c>
      <c r="LS118" s="47">
        <v>0</v>
      </c>
      <c r="LT118" s="47">
        <v>0</v>
      </c>
      <c r="LU118" s="44">
        <v>0</v>
      </c>
      <c r="LV118" s="43"/>
      <c r="LW118" s="42">
        <v>5.3289999999999997</v>
      </c>
      <c r="LX118" s="47">
        <v>5</v>
      </c>
      <c r="LY118" s="47">
        <v>0</v>
      </c>
      <c r="LZ118" s="47">
        <v>0</v>
      </c>
      <c r="MA118" s="44">
        <v>0.32899999999999968</v>
      </c>
      <c r="MB118" s="43"/>
      <c r="MC118" s="42">
        <v>0</v>
      </c>
      <c r="MD118" s="47">
        <v>0</v>
      </c>
      <c r="ME118" s="47">
        <v>0</v>
      </c>
      <c r="MF118" s="47">
        <v>0</v>
      </c>
      <c r="MG118" s="44">
        <v>0</v>
      </c>
      <c r="MH118" s="43"/>
      <c r="MI118" s="42">
        <v>0</v>
      </c>
      <c r="MJ118" s="47">
        <v>0</v>
      </c>
      <c r="MK118" s="47">
        <v>0</v>
      </c>
      <c r="ML118" s="47">
        <v>0</v>
      </c>
      <c r="MM118" s="44">
        <v>0</v>
      </c>
      <c r="MN118" s="43"/>
      <c r="MO118" s="42">
        <v>0</v>
      </c>
      <c r="MP118" s="47">
        <v>0</v>
      </c>
      <c r="MQ118" s="47">
        <v>0</v>
      </c>
      <c r="MR118" s="47">
        <v>0</v>
      </c>
      <c r="MS118" s="44">
        <v>0</v>
      </c>
      <c r="MT118" s="43"/>
      <c r="MU118" s="42">
        <v>0</v>
      </c>
      <c r="MV118" s="47">
        <v>0</v>
      </c>
      <c r="MW118" s="47">
        <v>10.565</v>
      </c>
      <c r="MX118" s="47">
        <v>10</v>
      </c>
      <c r="MY118" s="44">
        <v>0.5649999999999995</v>
      </c>
      <c r="MZ118" s="43"/>
      <c r="NA118" s="42">
        <v>0</v>
      </c>
      <c r="NB118" s="47">
        <v>0</v>
      </c>
      <c r="NC118" s="47">
        <v>0</v>
      </c>
      <c r="ND118" s="47">
        <v>0</v>
      </c>
      <c r="NE118" s="44">
        <v>0</v>
      </c>
      <c r="NF118" s="43"/>
      <c r="NG118" s="42">
        <v>0</v>
      </c>
      <c r="NH118" s="47">
        <v>0</v>
      </c>
      <c r="NI118" s="47">
        <v>0</v>
      </c>
      <c r="NJ118" s="47">
        <v>0</v>
      </c>
      <c r="NK118" s="44">
        <v>0</v>
      </c>
      <c r="NL118" s="43"/>
      <c r="NM118" s="42">
        <v>0</v>
      </c>
      <c r="NN118" s="47">
        <v>0</v>
      </c>
      <c r="NO118" s="47">
        <v>0</v>
      </c>
      <c r="NP118" s="47">
        <v>0</v>
      </c>
      <c r="NQ118" s="44">
        <v>0</v>
      </c>
      <c r="NR118" s="43"/>
      <c r="NS118" s="42">
        <v>26.73</v>
      </c>
      <c r="NT118" s="47">
        <v>25</v>
      </c>
      <c r="NU118" s="47">
        <v>0</v>
      </c>
      <c r="NV118" s="47">
        <v>0</v>
      </c>
      <c r="NW118" s="44">
        <v>1.73</v>
      </c>
      <c r="NX118" s="43"/>
      <c r="NY118" s="42">
        <v>0</v>
      </c>
      <c r="NZ118" s="47">
        <v>0</v>
      </c>
      <c r="OA118" s="47">
        <v>0</v>
      </c>
      <c r="OB118" s="47">
        <v>0</v>
      </c>
      <c r="OC118" s="44">
        <v>0</v>
      </c>
      <c r="OD118" s="43"/>
      <c r="OE118" s="42">
        <v>0</v>
      </c>
      <c r="OF118" s="47">
        <v>0</v>
      </c>
      <c r="OG118" s="47">
        <v>0</v>
      </c>
      <c r="OH118" s="47">
        <v>0</v>
      </c>
      <c r="OI118" s="44">
        <v>0</v>
      </c>
      <c r="OJ118" s="43"/>
      <c r="OK118" s="42">
        <v>0</v>
      </c>
      <c r="OL118" s="47">
        <v>0</v>
      </c>
      <c r="OM118" s="47">
        <v>0</v>
      </c>
      <c r="ON118" s="47">
        <v>0</v>
      </c>
      <c r="OO118" s="44">
        <v>0</v>
      </c>
      <c r="OP118" s="43"/>
      <c r="OQ118" s="42">
        <v>0</v>
      </c>
      <c r="OR118" s="47">
        <v>0</v>
      </c>
      <c r="OS118" s="47">
        <v>47.923999999999999</v>
      </c>
      <c r="OT118" s="47">
        <v>50</v>
      </c>
      <c r="OU118" s="44">
        <v>-2.076000000000001</v>
      </c>
      <c r="OV118" s="43"/>
      <c r="OW118" s="42">
        <v>0</v>
      </c>
      <c r="OX118" s="47">
        <v>0</v>
      </c>
      <c r="OY118" s="47">
        <v>52.9</v>
      </c>
      <c r="OZ118" s="47">
        <v>50</v>
      </c>
      <c r="PA118" s="44">
        <v>2.899999999999999</v>
      </c>
      <c r="PB118" s="43"/>
      <c r="PC118" s="42">
        <v>0</v>
      </c>
      <c r="PD118" s="47">
        <v>0</v>
      </c>
      <c r="PE118" s="47">
        <v>0</v>
      </c>
      <c r="PF118" s="26">
        <v>50</v>
      </c>
      <c r="PG118" s="46">
        <v>-50</v>
      </c>
      <c r="PH118" s="43">
        <v>50</v>
      </c>
      <c r="PI118" s="42">
        <v>0</v>
      </c>
      <c r="PJ118" s="47">
        <v>0</v>
      </c>
      <c r="PK118" s="47">
        <v>0</v>
      </c>
      <c r="PL118" s="47">
        <v>0</v>
      </c>
      <c r="PM118" s="44">
        <v>0</v>
      </c>
      <c r="PN118" s="43"/>
      <c r="PO118" s="42">
        <v>0</v>
      </c>
      <c r="PP118" s="47">
        <v>0</v>
      </c>
      <c r="PQ118" s="47">
        <v>0</v>
      </c>
      <c r="PR118" s="26">
        <v>40</v>
      </c>
      <c r="PS118" s="46">
        <v>-40</v>
      </c>
      <c r="PT118" s="43">
        <v>40</v>
      </c>
      <c r="PU118" s="42">
        <v>0</v>
      </c>
      <c r="PV118" s="47">
        <v>0</v>
      </c>
      <c r="PW118" s="47">
        <v>0</v>
      </c>
      <c r="PX118" s="47">
        <v>0</v>
      </c>
      <c r="PY118" s="44">
        <v>0</v>
      </c>
      <c r="PZ118" s="43"/>
      <c r="QA118" s="42">
        <v>0</v>
      </c>
      <c r="QB118" s="47">
        <v>30</v>
      </c>
      <c r="QC118" s="46">
        <v>-30</v>
      </c>
      <c r="QD118" s="43">
        <v>30</v>
      </c>
      <c r="QE118" s="42">
        <v>0</v>
      </c>
      <c r="QF118" s="47">
        <v>50</v>
      </c>
      <c r="QG118" s="46">
        <v>-50</v>
      </c>
      <c r="QH118" s="43">
        <v>50</v>
      </c>
      <c r="QI118" s="42">
        <v>0</v>
      </c>
      <c r="QJ118" s="47">
        <v>0</v>
      </c>
      <c r="QK118" s="44">
        <v>0</v>
      </c>
      <c r="QL118" s="43"/>
      <c r="QM118" s="42">
        <v>0</v>
      </c>
      <c r="QN118" s="47">
        <v>0</v>
      </c>
      <c r="QO118" s="47">
        <v>0</v>
      </c>
      <c r="QP118" s="47">
        <v>0</v>
      </c>
      <c r="QQ118" s="44">
        <v>0</v>
      </c>
      <c r="QR118" s="43"/>
      <c r="QS118" s="42">
        <v>0</v>
      </c>
      <c r="QT118" s="47">
        <v>0</v>
      </c>
      <c r="QU118" s="44">
        <v>0</v>
      </c>
      <c r="QV118" s="43"/>
      <c r="QW118" s="42">
        <v>0</v>
      </c>
      <c r="QX118" s="47">
        <v>0</v>
      </c>
      <c r="QY118" s="44">
        <v>0</v>
      </c>
      <c r="QZ118" s="43"/>
    </row>
    <row r="119" spans="1:468" x14ac:dyDescent="0.25">
      <c r="A119" s="47" t="s">
        <v>403</v>
      </c>
      <c r="B119" s="38">
        <v>0.33</v>
      </c>
      <c r="I119">
        <v>80</v>
      </c>
      <c r="J119">
        <v>104</v>
      </c>
      <c r="K119">
        <v>106</v>
      </c>
      <c r="N119" s="39"/>
      <c r="O119" s="48"/>
      <c r="P119" s="48"/>
      <c r="Q119" s="48"/>
      <c r="R119" s="48">
        <f t="shared" si="13"/>
        <v>0</v>
      </c>
      <c r="S119" s="40"/>
      <c r="T119" s="39"/>
      <c r="U119" s="48"/>
      <c r="V119" s="48">
        <f t="shared" si="14"/>
        <v>0</v>
      </c>
      <c r="W119" s="40"/>
      <c r="X119" s="39"/>
      <c r="Y119" s="49">
        <v>100</v>
      </c>
      <c r="Z119" s="49">
        <v>152</v>
      </c>
      <c r="AA119" s="49">
        <v>150</v>
      </c>
      <c r="AB119" s="53">
        <f t="shared" si="15"/>
        <v>-98</v>
      </c>
      <c r="AC119" s="40">
        <f>-1*AB119*B119</f>
        <v>32.340000000000003</v>
      </c>
      <c r="AD119" s="48"/>
      <c r="AH119" s="44">
        <v>0</v>
      </c>
      <c r="AI119" s="40"/>
      <c r="AN119" s="44">
        <v>0</v>
      </c>
      <c r="AO119" s="40"/>
      <c r="AP119">
        <v>120</v>
      </c>
      <c r="AQ119">
        <v>120</v>
      </c>
      <c r="AR119">
        <v>120</v>
      </c>
      <c r="AS119">
        <v>120</v>
      </c>
      <c r="AT119" s="44">
        <v>0</v>
      </c>
      <c r="AU119" s="40"/>
      <c r="AV119" s="39"/>
      <c r="AX119" s="44">
        <v>0</v>
      </c>
      <c r="AY119" s="40"/>
      <c r="AZ119" s="41">
        <v>40</v>
      </c>
      <c r="BA119">
        <v>41</v>
      </c>
      <c r="BB119" s="44">
        <v>-1</v>
      </c>
      <c r="BC119" s="40"/>
      <c r="BD119">
        <v>120</v>
      </c>
      <c r="BE119">
        <v>120</v>
      </c>
      <c r="BF119">
        <v>200</v>
      </c>
      <c r="BG119">
        <v>200</v>
      </c>
      <c r="BH119" s="44">
        <v>0</v>
      </c>
      <c r="BI119" s="40"/>
      <c r="BL119" s="44">
        <v>0</v>
      </c>
      <c r="BM119" s="40"/>
      <c r="BN119" s="41">
        <v>48</v>
      </c>
      <c r="BO119">
        <v>48</v>
      </c>
      <c r="BP119">
        <v>160</v>
      </c>
      <c r="BQ119">
        <v>162</v>
      </c>
      <c r="BR119" s="44">
        <v>-2</v>
      </c>
      <c r="BS119" s="40"/>
      <c r="BT119">
        <v>120</v>
      </c>
      <c r="BU119">
        <v>120</v>
      </c>
      <c r="BV119" s="44">
        <v>0</v>
      </c>
      <c r="BW119" s="40"/>
      <c r="BX119" s="39"/>
      <c r="BZ119" s="44">
        <v>0</v>
      </c>
      <c r="CA119" s="40"/>
      <c r="CB119" s="39"/>
      <c r="CD119">
        <v>96</v>
      </c>
      <c r="CE119">
        <v>100</v>
      </c>
      <c r="CF119">
        <v>96</v>
      </c>
      <c r="CG119">
        <v>100</v>
      </c>
      <c r="CH119" s="44">
        <v>-8</v>
      </c>
      <c r="CI119" s="40"/>
      <c r="CN119" s="44">
        <v>0</v>
      </c>
      <c r="CO119" s="40"/>
      <c r="CP119" s="39"/>
      <c r="CT119" s="44">
        <v>0</v>
      </c>
      <c r="CU119" s="40"/>
      <c r="CV119" s="39"/>
      <c r="CX119">
        <v>144</v>
      </c>
      <c r="CY119">
        <v>150</v>
      </c>
      <c r="CZ119" s="44">
        <v>-6</v>
      </c>
      <c r="DA119" s="40"/>
      <c r="DB119" s="39"/>
      <c r="DF119" s="44">
        <v>0</v>
      </c>
      <c r="DG119" s="40"/>
      <c r="DJ119">
        <v>88</v>
      </c>
      <c r="DK119">
        <v>90</v>
      </c>
      <c r="DN119" s="44">
        <v>-2</v>
      </c>
      <c r="DO119" s="40"/>
      <c r="DP119" s="39"/>
      <c r="DR119" s="44">
        <v>0</v>
      </c>
      <c r="DS119" s="40"/>
      <c r="DT119" s="39"/>
      <c r="DV119">
        <v>72</v>
      </c>
      <c r="DW119">
        <v>70</v>
      </c>
      <c r="DX119" s="44">
        <v>2</v>
      </c>
      <c r="DY119" s="40"/>
      <c r="DZ119" s="39"/>
      <c r="EB119" s="44">
        <v>0</v>
      </c>
      <c r="EC119" s="40"/>
      <c r="EF119">
        <v>24</v>
      </c>
      <c r="EH119">
        <v>24</v>
      </c>
      <c r="EI119">
        <v>32</v>
      </c>
      <c r="EJ119">
        <v>32</v>
      </c>
      <c r="EK119" s="44">
        <v>0</v>
      </c>
      <c r="EL119" s="40"/>
      <c r="ES119" s="44">
        <v>0</v>
      </c>
      <c r="ET119" s="40"/>
      <c r="EU119" s="39"/>
      <c r="EW119">
        <v>32</v>
      </c>
      <c r="EX119">
        <v>30</v>
      </c>
      <c r="EY119" s="44">
        <v>2</v>
      </c>
      <c r="EZ119" s="40"/>
      <c r="FA119" s="39"/>
      <c r="FD119" s="44">
        <v>0</v>
      </c>
      <c r="FE119" s="40"/>
      <c r="FH119" s="44">
        <v>0</v>
      </c>
      <c r="FI119" s="40"/>
      <c r="FJ119" s="41">
        <v>40</v>
      </c>
      <c r="FK119">
        <v>40</v>
      </c>
      <c r="FO119">
        <v>40</v>
      </c>
      <c r="FP119">
        <v>40</v>
      </c>
      <c r="FQ119" s="44">
        <v>0</v>
      </c>
      <c r="FR119" s="40"/>
      <c r="FS119">
        <v>48</v>
      </c>
      <c r="FT119">
        <v>48</v>
      </c>
      <c r="FW119" s="44">
        <v>0</v>
      </c>
      <c r="FX119" s="40"/>
      <c r="FY119" s="39"/>
      <c r="GC119" s="44">
        <v>0</v>
      </c>
      <c r="GD119" s="40"/>
      <c r="GE119">
        <v>48</v>
      </c>
      <c r="GF119">
        <v>48</v>
      </c>
      <c r="GG119">
        <v>48</v>
      </c>
      <c r="GH119">
        <v>52</v>
      </c>
      <c r="GI119" s="44">
        <v>-4</v>
      </c>
      <c r="GJ119" s="40"/>
      <c r="GM119" s="44">
        <v>0</v>
      </c>
      <c r="GN119" s="40"/>
      <c r="GO119" s="41">
        <v>120</v>
      </c>
      <c r="GP119">
        <v>120</v>
      </c>
      <c r="GQ119" s="44">
        <v>0</v>
      </c>
      <c r="GR119" s="40"/>
      <c r="GS119">
        <v>80</v>
      </c>
      <c r="GT119">
        <v>80</v>
      </c>
      <c r="GV119">
        <v>200</v>
      </c>
      <c r="GW119">
        <v>200</v>
      </c>
      <c r="GX119" s="44">
        <v>0</v>
      </c>
      <c r="GY119" s="40"/>
      <c r="GZ119">
        <v>120</v>
      </c>
      <c r="HA119">
        <v>120</v>
      </c>
      <c r="HB119">
        <v>80</v>
      </c>
      <c r="HC119">
        <v>80</v>
      </c>
      <c r="HD119" s="44">
        <v>0</v>
      </c>
      <c r="HE119" s="40"/>
      <c r="HF119" s="39"/>
      <c r="HH119">
        <v>248</v>
      </c>
      <c r="HI119">
        <v>250</v>
      </c>
      <c r="HJ119" s="44">
        <v>-2</v>
      </c>
      <c r="HK119" s="40"/>
      <c r="HL119" s="39"/>
      <c r="HP119" s="44">
        <v>0</v>
      </c>
      <c r="HQ119" s="40"/>
      <c r="HR119">
        <v>160</v>
      </c>
      <c r="HS119">
        <v>160</v>
      </c>
      <c r="HT119">
        <v>200</v>
      </c>
      <c r="HU119">
        <v>200</v>
      </c>
      <c r="HV119" s="44">
        <v>0</v>
      </c>
      <c r="HW119" s="43"/>
      <c r="HZ119">
        <v>32</v>
      </c>
      <c r="IA119">
        <v>32</v>
      </c>
      <c r="IB119" s="44">
        <v>0</v>
      </c>
      <c r="IC119" s="43"/>
      <c r="ID119">
        <v>112</v>
      </c>
      <c r="IE119">
        <v>110</v>
      </c>
      <c r="IF119">
        <v>120</v>
      </c>
      <c r="IG119">
        <v>120</v>
      </c>
      <c r="IH119" s="44">
        <v>2</v>
      </c>
      <c r="II119" s="43"/>
      <c r="IN119" s="44">
        <v>0</v>
      </c>
      <c r="IO119" s="40"/>
      <c r="IP119">
        <v>192</v>
      </c>
      <c r="IQ119">
        <v>193</v>
      </c>
      <c r="IR119" s="44">
        <v>-1</v>
      </c>
      <c r="IS119" s="40"/>
      <c r="IT119">
        <v>40</v>
      </c>
      <c r="IU119">
        <v>110</v>
      </c>
      <c r="IW119">
        <v>121</v>
      </c>
      <c r="IX119" s="46">
        <v>-191</v>
      </c>
      <c r="IY119" s="40">
        <v>63.03</v>
      </c>
      <c r="IZ119">
        <v>40</v>
      </c>
      <c r="JA119" s="47">
        <v>40</v>
      </c>
      <c r="JB119" s="44">
        <v>0</v>
      </c>
      <c r="JC119" s="40"/>
      <c r="JF119">
        <v>80</v>
      </c>
      <c r="JG119">
        <v>80</v>
      </c>
      <c r="JH119" s="44">
        <v>0</v>
      </c>
      <c r="JI119" s="40"/>
      <c r="JK119">
        <v>170</v>
      </c>
      <c r="JL119">
        <v>176</v>
      </c>
      <c r="JM119">
        <v>180</v>
      </c>
      <c r="JN119" s="46">
        <v>-174</v>
      </c>
      <c r="JO119" s="43">
        <v>57.42</v>
      </c>
      <c r="JP119">
        <v>56</v>
      </c>
      <c r="JQ119">
        <v>56</v>
      </c>
      <c r="JR119">
        <v>104</v>
      </c>
      <c r="JS119">
        <v>104</v>
      </c>
      <c r="JT119" s="44">
        <v>0</v>
      </c>
      <c r="JU119" s="43"/>
      <c r="JV119">
        <v>40</v>
      </c>
      <c r="JW119">
        <v>40</v>
      </c>
      <c r="JZ119" s="44">
        <v>0</v>
      </c>
      <c r="KA119" s="43"/>
      <c r="KB119" s="41">
        <v>64</v>
      </c>
      <c r="KC119">
        <v>100</v>
      </c>
      <c r="KE119">
        <v>120</v>
      </c>
      <c r="KF119">
        <v>120</v>
      </c>
      <c r="KG119">
        <v>96</v>
      </c>
      <c r="KH119">
        <v>100</v>
      </c>
      <c r="KI119" s="46">
        <v>-40</v>
      </c>
      <c r="KJ119" s="43">
        <v>13.2</v>
      </c>
      <c r="KK119" s="47">
        <v>48</v>
      </c>
      <c r="KL119" s="47">
        <v>50</v>
      </c>
      <c r="KM119" s="47">
        <v>0</v>
      </c>
      <c r="KN119" s="47">
        <v>0</v>
      </c>
      <c r="KO119" s="44">
        <v>-2</v>
      </c>
      <c r="KP119" s="43"/>
      <c r="KQ119" s="47">
        <v>0</v>
      </c>
      <c r="KR119" s="47">
        <v>0</v>
      </c>
      <c r="KS119" s="47">
        <v>0</v>
      </c>
      <c r="KT119" s="47">
        <v>0</v>
      </c>
      <c r="KU119" s="44">
        <v>0</v>
      </c>
      <c r="KV119" s="43"/>
      <c r="KW119" s="42">
        <v>248</v>
      </c>
      <c r="KX119" s="47">
        <v>250</v>
      </c>
      <c r="KY119" s="44">
        <v>-2</v>
      </c>
      <c r="KZ119" s="43"/>
      <c r="LA119" s="42">
        <v>0</v>
      </c>
      <c r="LB119" s="47">
        <v>0</v>
      </c>
      <c r="LC119" s="47">
        <v>0</v>
      </c>
      <c r="LD119" s="47">
        <v>0</v>
      </c>
      <c r="LE119" s="44">
        <v>0</v>
      </c>
      <c r="LF119" s="43"/>
      <c r="LG119" s="42">
        <v>128</v>
      </c>
      <c r="LH119" s="47">
        <v>130</v>
      </c>
      <c r="LI119" s="47">
        <v>192</v>
      </c>
      <c r="LJ119" s="47">
        <v>190</v>
      </c>
      <c r="LK119" s="44">
        <v>0</v>
      </c>
      <c r="LL119" s="43"/>
      <c r="LM119" s="42">
        <v>112</v>
      </c>
      <c r="LN119" s="47">
        <v>110</v>
      </c>
      <c r="LO119" s="44">
        <v>2</v>
      </c>
      <c r="LP119" s="43"/>
      <c r="LQ119" s="42">
        <v>0</v>
      </c>
      <c r="LR119" s="47">
        <v>0</v>
      </c>
      <c r="LS119" s="47">
        <v>0</v>
      </c>
      <c r="LT119" s="47">
        <v>0</v>
      </c>
      <c r="LU119" s="44">
        <v>0</v>
      </c>
      <c r="LV119" s="43"/>
      <c r="LW119" s="42">
        <v>136</v>
      </c>
      <c r="LX119" s="47">
        <v>135</v>
      </c>
      <c r="LY119" s="47">
        <v>0</v>
      </c>
      <c r="LZ119" s="47">
        <v>0</v>
      </c>
      <c r="MA119" s="44">
        <v>1</v>
      </c>
      <c r="MB119" s="43"/>
      <c r="MC119" s="42">
        <v>0</v>
      </c>
      <c r="MD119" s="47">
        <v>0</v>
      </c>
      <c r="ME119" s="47">
        <v>0</v>
      </c>
      <c r="MF119" s="47">
        <v>0</v>
      </c>
      <c r="MG119" s="44">
        <v>0</v>
      </c>
      <c r="MH119" s="43"/>
      <c r="MI119" s="42">
        <v>200</v>
      </c>
      <c r="MJ119" s="47">
        <v>200</v>
      </c>
      <c r="MK119" s="47">
        <v>96</v>
      </c>
      <c r="ML119" s="47">
        <v>100</v>
      </c>
      <c r="MM119" s="44">
        <v>-4</v>
      </c>
      <c r="MN119" s="43"/>
      <c r="MO119" s="42">
        <v>0</v>
      </c>
      <c r="MP119" s="47">
        <v>0</v>
      </c>
      <c r="MQ119" s="47">
        <v>56</v>
      </c>
      <c r="MR119" s="47">
        <v>60</v>
      </c>
      <c r="MS119" s="44">
        <v>-4</v>
      </c>
      <c r="MT119" s="43"/>
      <c r="MU119" s="42">
        <v>0</v>
      </c>
      <c r="MV119" s="26">
        <v>40</v>
      </c>
      <c r="MW119" s="47">
        <v>176</v>
      </c>
      <c r="MX119" s="47">
        <v>180</v>
      </c>
      <c r="MY119" s="46">
        <v>-44</v>
      </c>
      <c r="MZ119" s="43">
        <v>14.52</v>
      </c>
      <c r="NA119" s="42">
        <v>0</v>
      </c>
      <c r="NB119" s="47">
        <v>0</v>
      </c>
      <c r="NC119" s="47">
        <v>40</v>
      </c>
      <c r="ND119" s="47">
        <v>40</v>
      </c>
      <c r="NE119" s="44">
        <v>0</v>
      </c>
      <c r="NF119" s="43"/>
      <c r="NG119" s="42">
        <v>0</v>
      </c>
      <c r="NH119" s="47">
        <v>0</v>
      </c>
      <c r="NI119" s="47">
        <v>32</v>
      </c>
      <c r="NJ119" s="47">
        <v>30</v>
      </c>
      <c r="NK119" s="44">
        <v>2</v>
      </c>
      <c r="NL119" s="43"/>
      <c r="NM119" s="42">
        <v>0</v>
      </c>
      <c r="NN119" s="47">
        <v>0</v>
      </c>
      <c r="NO119" s="47">
        <v>168</v>
      </c>
      <c r="NP119" s="47">
        <v>170</v>
      </c>
      <c r="NQ119" s="44">
        <v>-2</v>
      </c>
      <c r="NR119" s="43"/>
      <c r="NS119" s="42">
        <v>0</v>
      </c>
      <c r="NT119" s="26">
        <v>50</v>
      </c>
      <c r="NU119" s="47">
        <v>0</v>
      </c>
      <c r="NV119" s="47">
        <v>0</v>
      </c>
      <c r="NW119" s="46">
        <v>-50</v>
      </c>
      <c r="NX119" s="43">
        <v>16.5</v>
      </c>
      <c r="NY119" s="42">
        <v>0</v>
      </c>
      <c r="NZ119" s="47">
        <v>0</v>
      </c>
      <c r="OA119" s="47">
        <v>48</v>
      </c>
      <c r="OB119" s="47">
        <v>50</v>
      </c>
      <c r="OC119" s="44">
        <v>-2</v>
      </c>
      <c r="OD119" s="43"/>
      <c r="OE119" s="42">
        <v>80</v>
      </c>
      <c r="OF119" s="47">
        <v>80</v>
      </c>
      <c r="OG119" s="47">
        <v>72</v>
      </c>
      <c r="OH119" s="47">
        <v>70</v>
      </c>
      <c r="OI119" s="44">
        <v>2</v>
      </c>
      <c r="OJ119" s="43"/>
      <c r="OK119" s="42">
        <v>0</v>
      </c>
      <c r="OL119" s="47">
        <v>0</v>
      </c>
      <c r="OM119" s="47">
        <v>8</v>
      </c>
      <c r="ON119" s="47">
        <v>10</v>
      </c>
      <c r="OO119" s="44">
        <v>-2</v>
      </c>
      <c r="OP119" s="43"/>
      <c r="OQ119" s="42">
        <v>40</v>
      </c>
      <c r="OR119" s="47">
        <v>40</v>
      </c>
      <c r="OS119" s="47">
        <v>48</v>
      </c>
      <c r="OT119" s="47">
        <v>49</v>
      </c>
      <c r="OU119" s="44">
        <v>-1</v>
      </c>
      <c r="OV119" s="43"/>
      <c r="OW119" s="42">
        <v>0</v>
      </c>
      <c r="OX119" s="47">
        <v>0</v>
      </c>
      <c r="OY119" s="47">
        <v>64</v>
      </c>
      <c r="OZ119" s="47">
        <v>65</v>
      </c>
      <c r="PA119" s="44">
        <v>-1</v>
      </c>
      <c r="PB119" s="43"/>
      <c r="PC119" s="42">
        <v>0</v>
      </c>
      <c r="PD119" s="47">
        <v>0</v>
      </c>
      <c r="PE119" s="47">
        <v>72</v>
      </c>
      <c r="PF119" s="47">
        <v>70</v>
      </c>
      <c r="PG119" s="44">
        <v>2</v>
      </c>
      <c r="PH119" s="43"/>
      <c r="PI119" s="42">
        <v>0</v>
      </c>
      <c r="PJ119" s="47">
        <v>0</v>
      </c>
      <c r="PK119" s="47">
        <v>48</v>
      </c>
      <c r="PL119" s="47">
        <v>46</v>
      </c>
      <c r="PM119" s="44">
        <v>2</v>
      </c>
      <c r="PN119" s="43"/>
      <c r="PO119" s="42">
        <v>56</v>
      </c>
      <c r="PP119" s="47">
        <v>60</v>
      </c>
      <c r="PQ119" s="47">
        <v>0</v>
      </c>
      <c r="PR119" s="47">
        <v>0</v>
      </c>
      <c r="PS119" s="44">
        <v>-4</v>
      </c>
      <c r="PT119" s="43"/>
      <c r="PU119" s="42">
        <v>0</v>
      </c>
      <c r="PV119" s="47">
        <v>0</v>
      </c>
      <c r="PW119" s="47">
        <v>96</v>
      </c>
      <c r="PX119" s="47">
        <v>100</v>
      </c>
      <c r="PY119" s="44">
        <v>-4</v>
      </c>
      <c r="PZ119" s="43"/>
      <c r="QA119" s="42">
        <v>0</v>
      </c>
      <c r="QB119" s="47">
        <v>0</v>
      </c>
      <c r="QC119" s="44">
        <v>0</v>
      </c>
      <c r="QD119" s="43"/>
      <c r="QE119" s="42">
        <v>32</v>
      </c>
      <c r="QF119" s="47">
        <v>50</v>
      </c>
      <c r="QG119" s="46">
        <v>-18</v>
      </c>
      <c r="QH119" s="43">
        <v>5.94</v>
      </c>
      <c r="QI119" s="42">
        <v>0</v>
      </c>
      <c r="QJ119" s="47">
        <v>0</v>
      </c>
      <c r="QK119" s="44">
        <v>0</v>
      </c>
      <c r="QL119" s="43"/>
      <c r="QM119" s="42">
        <v>0</v>
      </c>
      <c r="QN119" s="47">
        <v>0</v>
      </c>
      <c r="QO119" s="47">
        <v>0</v>
      </c>
      <c r="QP119" s="47">
        <v>0</v>
      </c>
      <c r="QQ119" s="44">
        <v>0</v>
      </c>
      <c r="QR119" s="43"/>
      <c r="QS119" s="42">
        <v>0</v>
      </c>
      <c r="QT119" s="47">
        <v>0</v>
      </c>
      <c r="QU119" s="44">
        <v>0</v>
      </c>
      <c r="QV119" s="43"/>
      <c r="QW119" s="42">
        <v>0</v>
      </c>
      <c r="QX119" s="47">
        <v>0</v>
      </c>
      <c r="QY119" s="44">
        <v>0</v>
      </c>
      <c r="QZ119" s="43"/>
    </row>
    <row r="120" spans="1:468" x14ac:dyDescent="0.25">
      <c r="A120" s="47" t="s">
        <v>404</v>
      </c>
      <c r="B120" s="38">
        <v>1</v>
      </c>
      <c r="N120" s="39"/>
      <c r="O120" s="48"/>
      <c r="P120" s="48"/>
      <c r="Q120" s="48"/>
      <c r="R120" s="48">
        <f t="shared" si="13"/>
        <v>0</v>
      </c>
      <c r="S120" s="40"/>
      <c r="T120" s="39"/>
      <c r="U120" s="48"/>
      <c r="V120" s="48">
        <f t="shared" si="14"/>
        <v>0</v>
      </c>
      <c r="W120" s="40"/>
      <c r="X120" s="39"/>
      <c r="Y120" s="48"/>
      <c r="Z120" s="48"/>
      <c r="AA120" s="48"/>
      <c r="AB120" s="48">
        <f t="shared" si="15"/>
        <v>0</v>
      </c>
      <c r="AC120" s="40"/>
      <c r="AD120" s="48"/>
      <c r="AH120" s="44">
        <v>0</v>
      </c>
      <c r="AI120" s="40"/>
      <c r="AN120" s="44">
        <v>0</v>
      </c>
      <c r="AO120" s="40"/>
      <c r="AT120" s="44">
        <v>0</v>
      </c>
      <c r="AU120" s="40"/>
      <c r="AV120" s="39"/>
      <c r="AX120" s="44">
        <v>0</v>
      </c>
      <c r="AY120" s="40"/>
      <c r="AZ120" s="39"/>
      <c r="BB120" s="44">
        <v>0</v>
      </c>
      <c r="BC120" s="40"/>
      <c r="BH120" s="44">
        <v>0</v>
      </c>
      <c r="BI120" s="40"/>
      <c r="BL120" s="44">
        <v>0</v>
      </c>
      <c r="BM120" s="40"/>
      <c r="BN120" s="39"/>
      <c r="BR120" s="44">
        <v>0</v>
      </c>
      <c r="BS120" s="40"/>
      <c r="BV120" s="44">
        <v>0</v>
      </c>
      <c r="BW120" s="40"/>
      <c r="BX120" s="39"/>
      <c r="BZ120" s="44">
        <v>0</v>
      </c>
      <c r="CA120" s="40"/>
      <c r="CB120" s="39"/>
      <c r="CH120" s="44">
        <v>0</v>
      </c>
      <c r="CI120" s="40"/>
      <c r="CN120" s="44">
        <v>0</v>
      </c>
      <c r="CO120" s="40"/>
      <c r="CP120" s="39"/>
      <c r="CT120" s="44">
        <v>0</v>
      </c>
      <c r="CU120" s="40"/>
      <c r="CV120" s="39"/>
      <c r="CZ120" s="44">
        <v>0</v>
      </c>
      <c r="DA120" s="40"/>
      <c r="DB120" s="39"/>
      <c r="DF120" s="44">
        <v>0</v>
      </c>
      <c r="DG120" s="40"/>
      <c r="DN120" s="44">
        <v>0</v>
      </c>
      <c r="DO120" s="40"/>
      <c r="DP120" s="39"/>
      <c r="DR120" s="44">
        <v>0</v>
      </c>
      <c r="DS120" s="40"/>
      <c r="DT120" s="39"/>
      <c r="DX120" s="44">
        <v>0</v>
      </c>
      <c r="DY120" s="40"/>
      <c r="DZ120" s="39"/>
      <c r="EB120" s="44">
        <v>0</v>
      </c>
      <c r="EC120" s="40"/>
      <c r="EK120" s="44">
        <v>0</v>
      </c>
      <c r="EL120" s="40"/>
      <c r="ES120" s="44">
        <v>0</v>
      </c>
      <c r="ET120" s="40"/>
      <c r="EU120" s="39"/>
      <c r="EY120" s="44">
        <v>0</v>
      </c>
      <c r="EZ120" s="40"/>
      <c r="FA120" s="39"/>
      <c r="FD120" s="44">
        <v>0</v>
      </c>
      <c r="FE120" s="40"/>
      <c r="FH120" s="44">
        <v>0</v>
      </c>
      <c r="FI120" s="40"/>
      <c r="FJ120" s="39"/>
      <c r="FQ120" s="44">
        <v>0</v>
      </c>
      <c r="FR120" s="40"/>
      <c r="FW120" s="44">
        <v>0</v>
      </c>
      <c r="FX120" s="40"/>
      <c r="FY120" s="39"/>
      <c r="GC120" s="44">
        <v>0</v>
      </c>
      <c r="GD120" s="40"/>
      <c r="GI120" s="44">
        <v>0</v>
      </c>
      <c r="GJ120" s="40"/>
      <c r="GM120" s="44">
        <v>0</v>
      </c>
      <c r="GN120" s="40"/>
      <c r="GO120" s="39"/>
      <c r="GQ120" s="44">
        <v>0</v>
      </c>
      <c r="GR120" s="40"/>
      <c r="GX120" s="44">
        <v>0</v>
      </c>
      <c r="GY120" s="40"/>
      <c r="HB120">
        <v>5</v>
      </c>
      <c r="HC120">
        <v>7</v>
      </c>
      <c r="HD120" s="44">
        <v>-2</v>
      </c>
      <c r="HE120" s="40"/>
      <c r="HF120" s="39"/>
      <c r="HH120">
        <v>5</v>
      </c>
      <c r="HI120">
        <v>7</v>
      </c>
      <c r="HJ120" s="44">
        <v>-2</v>
      </c>
      <c r="HK120" s="40"/>
      <c r="HL120" s="39"/>
      <c r="HP120" s="44">
        <v>0</v>
      </c>
      <c r="HQ120" s="40"/>
      <c r="HV120" s="44">
        <v>0</v>
      </c>
      <c r="HW120" s="43"/>
      <c r="IB120" s="44">
        <v>0</v>
      </c>
      <c r="IC120" s="43"/>
      <c r="IH120" s="44">
        <v>0</v>
      </c>
      <c r="II120" s="43"/>
      <c r="IL120">
        <v>26</v>
      </c>
      <c r="IM120">
        <v>25</v>
      </c>
      <c r="IN120" s="44">
        <v>1</v>
      </c>
      <c r="IO120" s="40"/>
      <c r="IR120" s="44">
        <v>0</v>
      </c>
      <c r="IS120" s="40"/>
      <c r="IX120" s="44">
        <v>0</v>
      </c>
      <c r="IY120" s="43"/>
      <c r="JB120" s="44">
        <v>0</v>
      </c>
      <c r="JC120" s="40"/>
      <c r="JF120">
        <v>26</v>
      </c>
      <c r="JG120">
        <v>24</v>
      </c>
      <c r="JH120" s="44">
        <v>2</v>
      </c>
      <c r="JI120" s="40"/>
      <c r="JN120" s="44">
        <v>0</v>
      </c>
      <c r="JO120" s="43"/>
      <c r="JR120">
        <v>10</v>
      </c>
      <c r="JS120">
        <v>12</v>
      </c>
      <c r="JT120" s="44">
        <v>-2</v>
      </c>
      <c r="JU120" s="43"/>
      <c r="JZ120" s="44">
        <v>0</v>
      </c>
      <c r="KA120" s="43"/>
      <c r="KB120" s="42"/>
      <c r="KI120" s="44">
        <v>0</v>
      </c>
      <c r="KJ120" s="43"/>
      <c r="KK120" s="47">
        <v>0</v>
      </c>
      <c r="KL120" s="47">
        <v>0</v>
      </c>
      <c r="KM120" s="47">
        <v>15.866</v>
      </c>
      <c r="KN120" s="47">
        <v>18</v>
      </c>
      <c r="KO120" s="44">
        <v>-2.1339999999999999</v>
      </c>
      <c r="KP120" s="43"/>
      <c r="KQ120" s="47">
        <v>0</v>
      </c>
      <c r="KR120" s="47">
        <v>0</v>
      </c>
      <c r="KS120" s="47">
        <v>10.427</v>
      </c>
      <c r="KT120" s="47">
        <v>10</v>
      </c>
      <c r="KU120" s="44">
        <v>0.4269999999999996</v>
      </c>
      <c r="KV120" s="43"/>
      <c r="KW120" s="42">
        <v>0</v>
      </c>
      <c r="KX120" s="47">
        <v>0</v>
      </c>
      <c r="KY120" s="44">
        <v>0</v>
      </c>
      <c r="KZ120" s="43"/>
      <c r="LA120" s="42">
        <v>0</v>
      </c>
      <c r="LB120" s="47">
        <v>0</v>
      </c>
      <c r="LC120" s="47">
        <v>10.507</v>
      </c>
      <c r="LD120" s="47">
        <v>10</v>
      </c>
      <c r="LE120" s="44">
        <v>0.50699999999999967</v>
      </c>
      <c r="LF120" s="43"/>
      <c r="LG120" s="42">
        <v>0</v>
      </c>
      <c r="LH120" s="47">
        <v>0</v>
      </c>
      <c r="LI120" s="47">
        <v>10.478999999999999</v>
      </c>
      <c r="LJ120" s="47">
        <v>12</v>
      </c>
      <c r="LK120" s="44">
        <v>-1.521000000000001</v>
      </c>
      <c r="LL120" s="43"/>
      <c r="LM120" s="42">
        <v>0</v>
      </c>
      <c r="LN120" s="47">
        <v>0</v>
      </c>
      <c r="LO120" s="44">
        <v>0</v>
      </c>
      <c r="LP120" s="43"/>
      <c r="LQ120" s="42">
        <v>0</v>
      </c>
      <c r="LR120" s="47">
        <v>0</v>
      </c>
      <c r="LS120" s="47">
        <v>10.551</v>
      </c>
      <c r="LT120" s="47">
        <v>12</v>
      </c>
      <c r="LU120" s="44">
        <v>-1.4490000000000001</v>
      </c>
      <c r="LV120" s="43"/>
      <c r="LW120" s="42">
        <v>5.3680000000000003</v>
      </c>
      <c r="LX120" s="47">
        <v>5</v>
      </c>
      <c r="LY120" s="47">
        <v>0</v>
      </c>
      <c r="LZ120" s="47">
        <v>0</v>
      </c>
      <c r="MA120" s="44">
        <v>0.36800000000000033</v>
      </c>
      <c r="MB120" s="43"/>
      <c r="MC120" s="42">
        <v>0</v>
      </c>
      <c r="MD120" s="47">
        <v>0</v>
      </c>
      <c r="ME120" s="47">
        <v>0</v>
      </c>
      <c r="MF120" s="47">
        <v>0</v>
      </c>
      <c r="MG120" s="44">
        <v>0</v>
      </c>
      <c r="MH120" s="43"/>
      <c r="MI120" s="42">
        <v>0</v>
      </c>
      <c r="MJ120" s="47">
        <v>0</v>
      </c>
      <c r="MK120" s="47">
        <v>0</v>
      </c>
      <c r="ML120" s="47">
        <v>0</v>
      </c>
      <c r="MM120" s="44">
        <v>0</v>
      </c>
      <c r="MN120" s="43"/>
      <c r="MO120" s="42">
        <v>0</v>
      </c>
      <c r="MP120" s="47">
        <v>0</v>
      </c>
      <c r="MQ120" s="47">
        <v>10.632999999999999</v>
      </c>
      <c r="MR120" s="47">
        <v>10</v>
      </c>
      <c r="MS120" s="44">
        <v>0.63299999999999912</v>
      </c>
      <c r="MT120" s="43"/>
      <c r="MU120" s="42">
        <v>0</v>
      </c>
      <c r="MV120" s="47">
        <v>0</v>
      </c>
      <c r="MW120" s="47">
        <v>26.536999999999999</v>
      </c>
      <c r="MX120" s="47">
        <v>25</v>
      </c>
      <c r="MY120" s="44">
        <v>1.536999999999999</v>
      </c>
      <c r="MZ120" s="43"/>
      <c r="NA120" s="42">
        <v>0</v>
      </c>
      <c r="NB120" s="47">
        <v>0</v>
      </c>
      <c r="NC120" s="47">
        <v>0</v>
      </c>
      <c r="ND120" s="47">
        <v>0</v>
      </c>
      <c r="NE120" s="44">
        <v>0</v>
      </c>
      <c r="NF120" s="43"/>
      <c r="NG120" s="42">
        <v>0</v>
      </c>
      <c r="NH120" s="47">
        <v>0</v>
      </c>
      <c r="NI120" s="47">
        <v>0</v>
      </c>
      <c r="NJ120" s="47">
        <v>0</v>
      </c>
      <c r="NK120" s="44">
        <v>0</v>
      </c>
      <c r="NL120" s="43"/>
      <c r="NM120" s="42">
        <v>0</v>
      </c>
      <c r="NN120" s="47">
        <v>0</v>
      </c>
      <c r="NO120" s="47">
        <v>21.012</v>
      </c>
      <c r="NP120" s="47">
        <v>20</v>
      </c>
      <c r="NQ120" s="44">
        <v>1.012</v>
      </c>
      <c r="NR120" s="43"/>
      <c r="NS120" s="42">
        <v>31.381</v>
      </c>
      <c r="NT120" s="47">
        <v>30</v>
      </c>
      <c r="NU120" s="47">
        <v>0</v>
      </c>
      <c r="NV120" s="47">
        <v>0</v>
      </c>
      <c r="NW120" s="44">
        <v>1.381</v>
      </c>
      <c r="NX120" s="43"/>
      <c r="NY120" s="42">
        <v>0</v>
      </c>
      <c r="NZ120" s="47">
        <v>0</v>
      </c>
      <c r="OA120" s="47">
        <v>0</v>
      </c>
      <c r="OB120" s="47">
        <v>0</v>
      </c>
      <c r="OC120" s="44">
        <v>0</v>
      </c>
      <c r="OD120" s="43"/>
      <c r="OE120" s="42">
        <v>0</v>
      </c>
      <c r="OF120" s="47">
        <v>0</v>
      </c>
      <c r="OG120" s="47">
        <v>10.551</v>
      </c>
      <c r="OH120" s="47">
        <v>10</v>
      </c>
      <c r="OI120" s="44">
        <v>0.55100000000000016</v>
      </c>
      <c r="OJ120" s="43"/>
      <c r="OK120" s="42">
        <v>0</v>
      </c>
      <c r="OL120" s="47">
        <v>0</v>
      </c>
      <c r="OM120" s="47">
        <v>10.531000000000001</v>
      </c>
      <c r="ON120" s="47">
        <v>10</v>
      </c>
      <c r="OO120" s="44">
        <v>0.53100000000000058</v>
      </c>
      <c r="OP120" s="43"/>
      <c r="OQ120" s="42">
        <v>0</v>
      </c>
      <c r="OR120" s="47">
        <v>0</v>
      </c>
      <c r="OS120" s="47">
        <v>37.825000000000003</v>
      </c>
      <c r="OT120" s="47">
        <v>35</v>
      </c>
      <c r="OU120" s="44">
        <v>2.8250000000000028</v>
      </c>
      <c r="OV120" s="43"/>
      <c r="OW120" s="42">
        <v>0</v>
      </c>
      <c r="OX120" s="47">
        <v>0</v>
      </c>
      <c r="OY120" s="47">
        <v>0</v>
      </c>
      <c r="OZ120" s="47">
        <v>0</v>
      </c>
      <c r="PA120" s="44">
        <v>0</v>
      </c>
      <c r="PB120" s="43"/>
      <c r="PC120" s="42">
        <v>0</v>
      </c>
      <c r="PD120" s="47">
        <v>0</v>
      </c>
      <c r="PE120" s="47">
        <v>10.523</v>
      </c>
      <c r="PF120" s="47">
        <v>10</v>
      </c>
      <c r="PG120" s="44">
        <v>0.52299999999999969</v>
      </c>
      <c r="PH120" s="43"/>
      <c r="PI120" s="42">
        <v>0</v>
      </c>
      <c r="PJ120" s="47">
        <v>0</v>
      </c>
      <c r="PK120" s="47">
        <v>0</v>
      </c>
      <c r="PL120" s="47">
        <v>0</v>
      </c>
      <c r="PM120" s="44">
        <v>0</v>
      </c>
      <c r="PN120" s="43"/>
      <c r="PO120" s="42">
        <v>20.913</v>
      </c>
      <c r="PP120" s="47">
        <v>20</v>
      </c>
      <c r="PQ120" s="47">
        <v>0</v>
      </c>
      <c r="PR120" s="47">
        <v>0</v>
      </c>
      <c r="PS120" s="44">
        <v>0.91300000000000026</v>
      </c>
      <c r="PT120" s="43"/>
      <c r="PU120" s="42">
        <v>0</v>
      </c>
      <c r="PV120" s="47">
        <v>0</v>
      </c>
      <c r="PW120" s="47">
        <v>77.616</v>
      </c>
      <c r="PX120" s="47">
        <v>80</v>
      </c>
      <c r="PY120" s="44">
        <v>-2.3839999999999999</v>
      </c>
      <c r="PZ120" s="43"/>
      <c r="QA120" s="42">
        <v>0</v>
      </c>
      <c r="QB120" s="47">
        <v>0</v>
      </c>
      <c r="QC120" s="44">
        <v>0</v>
      </c>
      <c r="QD120" s="43"/>
      <c r="QE120" s="42">
        <v>46.506999999999998</v>
      </c>
      <c r="QF120" s="47">
        <v>50</v>
      </c>
      <c r="QG120" s="44">
        <v>-3.4930000000000021</v>
      </c>
      <c r="QH120" s="43"/>
      <c r="QI120" s="42">
        <v>0</v>
      </c>
      <c r="QJ120" s="47">
        <v>0</v>
      </c>
      <c r="QK120" s="44">
        <v>0</v>
      </c>
      <c r="QL120" s="43"/>
      <c r="QM120" s="42">
        <v>0</v>
      </c>
      <c r="QN120" s="47">
        <v>0</v>
      </c>
      <c r="QO120" s="47">
        <v>0</v>
      </c>
      <c r="QP120" s="47">
        <v>0</v>
      </c>
      <c r="QQ120" s="44">
        <v>0</v>
      </c>
      <c r="QR120" s="43"/>
      <c r="QS120" s="42">
        <v>0</v>
      </c>
      <c r="QT120" s="47">
        <v>0</v>
      </c>
      <c r="QU120" s="44">
        <v>0</v>
      </c>
      <c r="QV120" s="43"/>
      <c r="QW120" s="42">
        <v>0</v>
      </c>
      <c r="QX120" s="47">
        <v>0</v>
      </c>
      <c r="QY120" s="44">
        <v>0</v>
      </c>
      <c r="QZ120" s="43"/>
    </row>
    <row r="121" spans="1:468" x14ac:dyDescent="0.25">
      <c r="A121" s="47" t="s">
        <v>405</v>
      </c>
      <c r="B121" s="38">
        <v>0.33</v>
      </c>
      <c r="N121" s="39"/>
      <c r="O121" s="48"/>
      <c r="P121" s="48"/>
      <c r="Q121" s="48"/>
      <c r="R121" s="48">
        <f t="shared" si="13"/>
        <v>0</v>
      </c>
      <c r="S121" s="40"/>
      <c r="T121" s="39"/>
      <c r="U121" s="48"/>
      <c r="V121" s="48">
        <f t="shared" si="14"/>
        <v>0</v>
      </c>
      <c r="W121" s="40"/>
      <c r="X121" s="39"/>
      <c r="Y121" s="48"/>
      <c r="Z121" s="48"/>
      <c r="AA121" s="48"/>
      <c r="AB121" s="48">
        <f t="shared" si="15"/>
        <v>0</v>
      </c>
      <c r="AC121" s="40"/>
      <c r="AD121" s="48"/>
      <c r="AH121" s="44">
        <v>0</v>
      </c>
      <c r="AI121" s="40"/>
      <c r="AN121" s="44">
        <v>0</v>
      </c>
      <c r="AO121" s="40"/>
      <c r="AT121" s="44">
        <v>0</v>
      </c>
      <c r="AU121" s="40"/>
      <c r="AV121" s="39"/>
      <c r="AX121" s="44">
        <v>0</v>
      </c>
      <c r="AY121" s="40"/>
      <c r="AZ121" s="39"/>
      <c r="BB121" s="44">
        <v>0</v>
      </c>
      <c r="BC121" s="40"/>
      <c r="BH121" s="44">
        <v>0</v>
      </c>
      <c r="BI121" s="40"/>
      <c r="BL121" s="44">
        <v>0</v>
      </c>
      <c r="BM121" s="40"/>
      <c r="BN121" s="39"/>
      <c r="BR121" s="44">
        <v>0</v>
      </c>
      <c r="BS121" s="40"/>
      <c r="BV121" s="44">
        <v>0</v>
      </c>
      <c r="BW121" s="40"/>
      <c r="BX121" s="39"/>
      <c r="BZ121" s="44">
        <v>0</v>
      </c>
      <c r="CA121" s="40"/>
      <c r="CB121" s="39"/>
      <c r="CH121" s="44">
        <v>0</v>
      </c>
      <c r="CI121" s="40"/>
      <c r="CN121" s="44">
        <v>0</v>
      </c>
      <c r="CO121" s="40"/>
      <c r="CP121" s="39"/>
      <c r="CT121" s="44">
        <v>0</v>
      </c>
      <c r="CU121" s="40"/>
      <c r="CV121" s="39"/>
      <c r="CZ121" s="44">
        <v>0</v>
      </c>
      <c r="DA121" s="40"/>
      <c r="DB121" s="39"/>
      <c r="DF121" s="44">
        <v>0</v>
      </c>
      <c r="DG121" s="40"/>
      <c r="DN121" s="44">
        <v>0</v>
      </c>
      <c r="DO121" s="40"/>
      <c r="DP121" s="39"/>
      <c r="DR121" s="44">
        <v>0</v>
      </c>
      <c r="DS121" s="40"/>
      <c r="DT121" s="39"/>
      <c r="DX121" s="44">
        <v>0</v>
      </c>
      <c r="DY121" s="40"/>
      <c r="DZ121" s="39"/>
      <c r="EB121" s="44">
        <v>0</v>
      </c>
      <c r="EC121" s="40"/>
      <c r="EK121" s="44">
        <v>0</v>
      </c>
      <c r="EL121" s="40"/>
      <c r="ES121" s="44">
        <v>0</v>
      </c>
      <c r="ET121" s="40"/>
      <c r="EU121" s="39"/>
      <c r="EY121" s="44">
        <v>0</v>
      </c>
      <c r="EZ121" s="40"/>
      <c r="FA121" s="39"/>
      <c r="FD121" s="44">
        <v>0</v>
      </c>
      <c r="FE121" s="40"/>
      <c r="FH121" s="44">
        <v>0</v>
      </c>
      <c r="FI121" s="40"/>
      <c r="FJ121" s="39"/>
      <c r="FQ121" s="44">
        <v>0</v>
      </c>
      <c r="FR121" s="40"/>
      <c r="FW121" s="44">
        <v>0</v>
      </c>
      <c r="FX121" s="40"/>
      <c r="FY121" s="39"/>
      <c r="GC121" s="44">
        <v>0</v>
      </c>
      <c r="GD121" s="40"/>
      <c r="GI121" s="44">
        <v>0</v>
      </c>
      <c r="GJ121" s="40"/>
      <c r="GM121" s="44">
        <v>0</v>
      </c>
      <c r="GN121" s="40"/>
      <c r="GO121" s="39"/>
      <c r="GQ121" s="44">
        <v>0</v>
      </c>
      <c r="GR121" s="40"/>
      <c r="GX121" s="44">
        <v>0</v>
      </c>
      <c r="GY121" s="40"/>
      <c r="HB121">
        <v>64</v>
      </c>
      <c r="HC121">
        <v>64</v>
      </c>
      <c r="HD121" s="44">
        <v>0</v>
      </c>
      <c r="HE121" s="40"/>
      <c r="HF121" s="39"/>
      <c r="HJ121" s="44">
        <v>0</v>
      </c>
      <c r="HK121" s="40"/>
      <c r="HL121" s="39"/>
      <c r="HP121" s="44">
        <v>0</v>
      </c>
      <c r="HQ121" s="40"/>
      <c r="HT121">
        <v>80</v>
      </c>
      <c r="HU121">
        <v>80</v>
      </c>
      <c r="HV121" s="44">
        <v>0</v>
      </c>
      <c r="HW121" s="43"/>
      <c r="IB121" s="44">
        <v>0</v>
      </c>
      <c r="IC121" s="43"/>
      <c r="IF121">
        <v>8</v>
      </c>
      <c r="IG121">
        <v>8</v>
      </c>
      <c r="IH121" s="44">
        <v>0</v>
      </c>
      <c r="II121" s="43"/>
      <c r="IN121" s="44">
        <v>0</v>
      </c>
      <c r="IO121" s="40"/>
      <c r="IP121">
        <v>48</v>
      </c>
      <c r="IQ121">
        <v>50</v>
      </c>
      <c r="IR121" s="44">
        <v>-2</v>
      </c>
      <c r="IS121" s="40"/>
      <c r="IV121">
        <v>32</v>
      </c>
      <c r="IW121">
        <v>32</v>
      </c>
      <c r="IX121" s="44">
        <v>0</v>
      </c>
      <c r="IY121" s="43"/>
      <c r="JB121" s="44">
        <v>0</v>
      </c>
      <c r="JC121" s="40"/>
      <c r="JH121" s="44">
        <v>0</v>
      </c>
      <c r="JI121" s="40"/>
      <c r="JN121" s="44">
        <v>0</v>
      </c>
      <c r="JO121" s="43"/>
      <c r="JP121">
        <v>72</v>
      </c>
      <c r="JQ121">
        <v>72</v>
      </c>
      <c r="JR121">
        <v>96</v>
      </c>
      <c r="JS121">
        <v>99</v>
      </c>
      <c r="JT121" s="44">
        <v>-3</v>
      </c>
      <c r="JU121" s="43"/>
      <c r="JZ121" s="44">
        <v>0</v>
      </c>
      <c r="KA121" s="43"/>
      <c r="KB121" s="42"/>
      <c r="KG121">
        <v>72</v>
      </c>
      <c r="KH121">
        <v>70</v>
      </c>
      <c r="KI121" s="44">
        <v>2</v>
      </c>
      <c r="KJ121" s="43"/>
      <c r="KK121" s="47">
        <v>0</v>
      </c>
      <c r="KL121" s="47">
        <v>0</v>
      </c>
      <c r="KM121" s="47">
        <v>0</v>
      </c>
      <c r="KN121" s="47">
        <v>0</v>
      </c>
      <c r="KO121" s="44">
        <v>0</v>
      </c>
      <c r="KP121" s="43"/>
      <c r="KQ121" s="47">
        <v>0</v>
      </c>
      <c r="KR121" s="47">
        <v>0</v>
      </c>
      <c r="KS121" s="47">
        <v>0</v>
      </c>
      <c r="KT121" s="47">
        <v>0</v>
      </c>
      <c r="KU121" s="44">
        <v>0</v>
      </c>
      <c r="KV121" s="43"/>
      <c r="KW121" s="42">
        <v>0</v>
      </c>
      <c r="KX121" s="47">
        <v>0</v>
      </c>
      <c r="KY121" s="44">
        <v>0</v>
      </c>
      <c r="KZ121" s="43"/>
      <c r="LA121" s="42">
        <v>0</v>
      </c>
      <c r="LB121" s="47">
        <v>0</v>
      </c>
      <c r="LC121" s="47">
        <v>0</v>
      </c>
      <c r="LD121" s="47">
        <v>0</v>
      </c>
      <c r="LE121" s="44">
        <v>0</v>
      </c>
      <c r="LF121" s="43"/>
      <c r="LG121" s="42">
        <v>0</v>
      </c>
      <c r="LH121" s="47">
        <v>0</v>
      </c>
      <c r="LI121" s="47">
        <v>72</v>
      </c>
      <c r="LJ121" s="47">
        <v>72</v>
      </c>
      <c r="LK121" s="44">
        <v>0</v>
      </c>
      <c r="LL121" s="43"/>
      <c r="LM121" s="42">
        <v>0</v>
      </c>
      <c r="LN121" s="47">
        <v>0</v>
      </c>
      <c r="LO121" s="44">
        <v>0</v>
      </c>
      <c r="LP121" s="43"/>
      <c r="LQ121" s="42">
        <v>0</v>
      </c>
      <c r="LR121" s="47">
        <v>0</v>
      </c>
      <c r="LS121" s="47">
        <v>0</v>
      </c>
      <c r="LT121" s="47">
        <v>0</v>
      </c>
      <c r="LU121" s="44">
        <v>0</v>
      </c>
      <c r="LV121" s="43"/>
      <c r="LW121" s="42">
        <v>64</v>
      </c>
      <c r="LX121" s="47">
        <v>65</v>
      </c>
      <c r="LY121" s="47">
        <v>0</v>
      </c>
      <c r="LZ121" s="47">
        <v>0</v>
      </c>
      <c r="MA121" s="44">
        <v>-1</v>
      </c>
      <c r="MB121" s="43"/>
      <c r="MC121" s="42">
        <v>0</v>
      </c>
      <c r="MD121" s="47">
        <v>0</v>
      </c>
      <c r="ME121" s="47">
        <v>32</v>
      </c>
      <c r="MF121" s="47">
        <v>30</v>
      </c>
      <c r="MG121" s="44">
        <v>2</v>
      </c>
      <c r="MH121" s="43"/>
      <c r="MI121" s="42">
        <v>0</v>
      </c>
      <c r="MJ121" s="47">
        <v>0</v>
      </c>
      <c r="MK121" s="47">
        <v>0</v>
      </c>
      <c r="ML121" s="47">
        <v>0</v>
      </c>
      <c r="MM121" s="44">
        <v>0</v>
      </c>
      <c r="MN121" s="43"/>
      <c r="MO121" s="42">
        <v>0</v>
      </c>
      <c r="MP121" s="47">
        <v>0</v>
      </c>
      <c r="MQ121" s="47">
        <v>48</v>
      </c>
      <c r="MR121" s="47">
        <v>53</v>
      </c>
      <c r="MS121" s="44">
        <v>-5</v>
      </c>
      <c r="MT121" s="43"/>
      <c r="MU121" s="42">
        <v>0</v>
      </c>
      <c r="MV121" s="47">
        <v>0</v>
      </c>
      <c r="MW121" s="47">
        <v>0</v>
      </c>
      <c r="MX121" s="47">
        <v>0</v>
      </c>
      <c r="MY121" s="44">
        <v>0</v>
      </c>
      <c r="MZ121" s="43"/>
      <c r="NA121" s="42">
        <v>0</v>
      </c>
      <c r="NB121" s="47">
        <v>0</v>
      </c>
      <c r="NC121" s="47">
        <v>32</v>
      </c>
      <c r="ND121" s="47">
        <v>30</v>
      </c>
      <c r="NE121" s="44">
        <v>2</v>
      </c>
      <c r="NF121" s="43"/>
      <c r="NG121" s="42">
        <v>0</v>
      </c>
      <c r="NH121" s="47">
        <v>0</v>
      </c>
      <c r="NI121" s="47">
        <v>0</v>
      </c>
      <c r="NJ121" s="47">
        <v>0</v>
      </c>
      <c r="NK121" s="44">
        <v>0</v>
      </c>
      <c r="NL121" s="43"/>
      <c r="NM121" s="42">
        <v>0</v>
      </c>
      <c r="NN121" s="47">
        <v>0</v>
      </c>
      <c r="NO121" s="47">
        <v>32</v>
      </c>
      <c r="NP121" s="47">
        <v>30</v>
      </c>
      <c r="NQ121" s="44">
        <v>2</v>
      </c>
      <c r="NR121" s="43"/>
      <c r="NS121" s="42">
        <v>40</v>
      </c>
      <c r="NT121" s="47">
        <v>40</v>
      </c>
      <c r="NU121" s="47">
        <v>0</v>
      </c>
      <c r="NV121" s="47">
        <v>0</v>
      </c>
      <c r="NW121" s="44">
        <v>0</v>
      </c>
      <c r="NX121" s="43"/>
      <c r="NY121" s="42">
        <v>0</v>
      </c>
      <c r="NZ121" s="47">
        <v>0</v>
      </c>
      <c r="OA121" s="47">
        <v>8</v>
      </c>
      <c r="OB121" s="47">
        <v>10</v>
      </c>
      <c r="OC121" s="44">
        <v>-2</v>
      </c>
      <c r="OD121" s="43"/>
      <c r="OE121" s="42">
        <v>0</v>
      </c>
      <c r="OF121" s="47">
        <v>0</v>
      </c>
      <c r="OG121" s="47">
        <v>24</v>
      </c>
      <c r="OH121" s="47">
        <v>26</v>
      </c>
      <c r="OI121" s="44">
        <v>-2</v>
      </c>
      <c r="OJ121" s="43"/>
      <c r="OK121" s="42">
        <v>0</v>
      </c>
      <c r="OL121" s="47">
        <v>0</v>
      </c>
      <c r="OM121" s="47">
        <v>0</v>
      </c>
      <c r="ON121" s="47">
        <v>0</v>
      </c>
      <c r="OO121" s="44">
        <v>0</v>
      </c>
      <c r="OP121" s="43"/>
      <c r="OQ121" s="42">
        <v>0</v>
      </c>
      <c r="OR121" s="47">
        <v>0</v>
      </c>
      <c r="OS121" s="47">
        <v>32</v>
      </c>
      <c r="OT121" s="47">
        <v>30</v>
      </c>
      <c r="OU121" s="44">
        <v>2</v>
      </c>
      <c r="OV121" s="43"/>
      <c r="OW121" s="42">
        <v>0</v>
      </c>
      <c r="OX121" s="47">
        <v>0</v>
      </c>
      <c r="OY121" s="47">
        <v>16</v>
      </c>
      <c r="OZ121" s="47">
        <v>16</v>
      </c>
      <c r="PA121" s="44">
        <v>0</v>
      </c>
      <c r="PB121" s="43"/>
      <c r="PC121" s="42">
        <v>0</v>
      </c>
      <c r="PD121" s="47">
        <v>0</v>
      </c>
      <c r="PE121" s="47">
        <v>72</v>
      </c>
      <c r="PF121" s="47">
        <v>75</v>
      </c>
      <c r="PG121" s="44">
        <v>-3</v>
      </c>
      <c r="PH121" s="43"/>
      <c r="PI121" s="42">
        <v>0</v>
      </c>
      <c r="PJ121" s="47">
        <v>0</v>
      </c>
      <c r="PK121" s="47">
        <v>0</v>
      </c>
      <c r="PL121" s="47">
        <v>0</v>
      </c>
      <c r="PM121" s="44">
        <v>0</v>
      </c>
      <c r="PN121" s="43"/>
      <c r="PO121" s="42">
        <v>48</v>
      </c>
      <c r="PP121" s="47">
        <v>50</v>
      </c>
      <c r="PQ121" s="47">
        <v>0</v>
      </c>
      <c r="PR121" s="47">
        <v>0</v>
      </c>
      <c r="PS121" s="44">
        <v>-2</v>
      </c>
      <c r="PT121" s="43"/>
      <c r="PU121" s="42">
        <v>0</v>
      </c>
      <c r="PV121" s="47">
        <v>0</v>
      </c>
      <c r="PW121" s="47">
        <v>72</v>
      </c>
      <c r="PX121" s="47">
        <v>70</v>
      </c>
      <c r="PY121" s="44">
        <v>2</v>
      </c>
      <c r="PZ121" s="43"/>
      <c r="QA121" s="42">
        <v>0</v>
      </c>
      <c r="QB121" s="47">
        <v>0</v>
      </c>
      <c r="QC121" s="44">
        <v>0</v>
      </c>
      <c r="QD121" s="43"/>
      <c r="QE121" s="42">
        <v>32</v>
      </c>
      <c r="QF121" s="47">
        <v>30</v>
      </c>
      <c r="QG121" s="44">
        <v>2</v>
      </c>
      <c r="QH121" s="43"/>
      <c r="QI121" s="42">
        <v>0</v>
      </c>
      <c r="QJ121" s="47">
        <v>0</v>
      </c>
      <c r="QK121" s="44">
        <v>0</v>
      </c>
      <c r="QL121" s="43"/>
      <c r="QM121" s="42">
        <v>0</v>
      </c>
      <c r="QN121" s="47">
        <v>0</v>
      </c>
      <c r="QO121" s="47">
        <v>0</v>
      </c>
      <c r="QP121" s="47">
        <v>0</v>
      </c>
      <c r="QQ121" s="44">
        <v>0</v>
      </c>
      <c r="QR121" s="43"/>
      <c r="QS121" s="42">
        <v>0</v>
      </c>
      <c r="QT121" s="47">
        <v>0</v>
      </c>
      <c r="QU121" s="44">
        <v>0</v>
      </c>
      <c r="QV121" s="43"/>
      <c r="QW121" s="42">
        <v>0</v>
      </c>
      <c r="QX121" s="47">
        <v>0</v>
      </c>
      <c r="QY121" s="44">
        <v>0</v>
      </c>
      <c r="QZ121" s="43"/>
    </row>
    <row r="122" spans="1:468" x14ac:dyDescent="0.25">
      <c r="A122" s="47" t="s">
        <v>406</v>
      </c>
      <c r="B122" s="38">
        <v>1</v>
      </c>
      <c r="N122" s="39"/>
      <c r="O122" s="48"/>
      <c r="P122" s="48"/>
      <c r="Q122" s="48"/>
      <c r="R122" s="48">
        <f t="shared" si="13"/>
        <v>0</v>
      </c>
      <c r="S122" s="40"/>
      <c r="T122" s="39"/>
      <c r="U122" s="48"/>
      <c r="V122" s="48">
        <f t="shared" si="14"/>
        <v>0</v>
      </c>
      <c r="W122" s="40"/>
      <c r="X122" s="39"/>
      <c r="Y122" s="48"/>
      <c r="Z122" s="48"/>
      <c r="AA122" s="48"/>
      <c r="AB122" s="48">
        <f t="shared" si="15"/>
        <v>0</v>
      </c>
      <c r="AC122" s="40"/>
      <c r="AD122" s="48"/>
      <c r="AH122" s="44">
        <v>0</v>
      </c>
      <c r="AI122" s="40"/>
      <c r="AN122" s="44">
        <v>0</v>
      </c>
      <c r="AO122" s="40"/>
      <c r="AT122" s="44">
        <v>0</v>
      </c>
      <c r="AU122" s="40"/>
      <c r="AV122" s="39"/>
      <c r="AX122" s="44">
        <v>0</v>
      </c>
      <c r="AY122" s="40"/>
      <c r="AZ122" s="39"/>
      <c r="BB122" s="44">
        <v>0</v>
      </c>
      <c r="BC122" s="40"/>
      <c r="BH122" s="44">
        <v>0</v>
      </c>
      <c r="BI122" s="40"/>
      <c r="BL122" s="44">
        <v>0</v>
      </c>
      <c r="BM122" s="40"/>
      <c r="BN122" s="39"/>
      <c r="BR122" s="44">
        <v>0</v>
      </c>
      <c r="BS122" s="40"/>
      <c r="BV122" s="44">
        <v>0</v>
      </c>
      <c r="BW122" s="40"/>
      <c r="BX122" s="39"/>
      <c r="BZ122" s="44">
        <v>0</v>
      </c>
      <c r="CA122" s="40"/>
      <c r="CB122" s="39"/>
      <c r="CH122" s="44">
        <v>0</v>
      </c>
      <c r="CI122" s="40"/>
      <c r="CN122" s="44">
        <v>0</v>
      </c>
      <c r="CO122" s="40"/>
      <c r="CP122" s="39"/>
      <c r="CT122" s="44">
        <v>0</v>
      </c>
      <c r="CU122" s="40"/>
      <c r="CV122" s="39"/>
      <c r="CZ122" s="44">
        <v>0</v>
      </c>
      <c r="DA122" s="40"/>
      <c r="DB122" s="39"/>
      <c r="DF122" s="44">
        <v>0</v>
      </c>
      <c r="DG122" s="40"/>
      <c r="DN122" s="44">
        <v>0</v>
      </c>
      <c r="DO122" s="40"/>
      <c r="DP122" s="39"/>
      <c r="DR122" s="44">
        <v>0</v>
      </c>
      <c r="DS122" s="40"/>
      <c r="DT122" s="39"/>
      <c r="DX122" s="44">
        <v>0</v>
      </c>
      <c r="DY122" s="40"/>
      <c r="DZ122" s="39"/>
      <c r="EB122" s="44">
        <v>0</v>
      </c>
      <c r="EC122" s="40"/>
      <c r="EK122" s="44">
        <v>0</v>
      </c>
      <c r="EL122" s="40"/>
      <c r="ES122" s="44">
        <v>0</v>
      </c>
      <c r="ET122" s="40"/>
      <c r="EU122" s="39"/>
      <c r="EY122" s="44">
        <v>0</v>
      </c>
      <c r="EZ122" s="40"/>
      <c r="FA122" s="39"/>
      <c r="FD122" s="44">
        <v>0</v>
      </c>
      <c r="FE122" s="40"/>
      <c r="FH122" s="44">
        <v>0</v>
      </c>
      <c r="FI122" s="40"/>
      <c r="FJ122" s="39"/>
      <c r="FQ122" s="44">
        <v>0</v>
      </c>
      <c r="FR122" s="40"/>
      <c r="FW122" s="44">
        <v>0</v>
      </c>
      <c r="FX122" s="40"/>
      <c r="FY122" s="39"/>
      <c r="GC122" s="44">
        <v>0</v>
      </c>
      <c r="GD122" s="40"/>
      <c r="GI122" s="44">
        <v>0</v>
      </c>
      <c r="GJ122" s="40"/>
      <c r="GM122" s="44">
        <v>0</v>
      </c>
      <c r="GN122" s="40"/>
      <c r="GO122" s="39"/>
      <c r="GQ122" s="44">
        <v>0</v>
      </c>
      <c r="GR122" s="40"/>
      <c r="GX122" s="44">
        <v>0</v>
      </c>
      <c r="GY122" s="40"/>
      <c r="HD122" s="44">
        <v>0</v>
      </c>
      <c r="HE122" s="40"/>
      <c r="HF122" s="39"/>
      <c r="HJ122" s="44">
        <v>0</v>
      </c>
      <c r="HK122" s="40"/>
      <c r="HL122" s="39"/>
      <c r="HP122" s="44">
        <v>0</v>
      </c>
      <c r="HQ122" s="40"/>
      <c r="HV122" s="44">
        <v>0</v>
      </c>
      <c r="HW122" s="43"/>
      <c r="IB122" s="44">
        <v>0</v>
      </c>
      <c r="IC122" s="43"/>
      <c r="IH122" s="44">
        <v>0</v>
      </c>
      <c r="II122" s="43"/>
      <c r="IN122" s="44">
        <v>0</v>
      </c>
      <c r="IO122" s="40"/>
      <c r="IR122" s="44">
        <v>0</v>
      </c>
      <c r="IS122" s="40"/>
      <c r="IX122" s="44">
        <v>0</v>
      </c>
      <c r="IY122" s="43"/>
      <c r="JB122" s="44">
        <v>0</v>
      </c>
      <c r="JC122" s="40"/>
      <c r="JH122" s="44">
        <v>0</v>
      </c>
      <c r="JI122" s="40"/>
      <c r="JN122" s="44">
        <v>0</v>
      </c>
      <c r="JO122" s="43"/>
      <c r="JT122" s="44">
        <v>0</v>
      </c>
      <c r="JU122" s="43"/>
      <c r="JZ122" s="44">
        <v>0</v>
      </c>
      <c r="KA122" s="43"/>
      <c r="KB122" s="42"/>
      <c r="KI122" s="44">
        <v>0</v>
      </c>
      <c r="KJ122" s="43"/>
      <c r="KK122" s="47">
        <v>0</v>
      </c>
      <c r="KL122" s="47">
        <v>0</v>
      </c>
      <c r="KM122" s="47">
        <v>0</v>
      </c>
      <c r="KN122" s="47">
        <v>0</v>
      </c>
      <c r="KO122" s="44">
        <v>0</v>
      </c>
      <c r="KP122" s="43"/>
      <c r="KQ122" s="47">
        <v>0</v>
      </c>
      <c r="KR122" s="47">
        <v>0</v>
      </c>
      <c r="KS122" s="47">
        <v>0</v>
      </c>
      <c r="KT122" s="47">
        <v>0</v>
      </c>
      <c r="KU122" s="44">
        <v>0</v>
      </c>
      <c r="KV122" s="43"/>
      <c r="KW122" s="42">
        <v>0</v>
      </c>
      <c r="KX122" s="47">
        <v>0</v>
      </c>
      <c r="KY122" s="44">
        <v>0</v>
      </c>
      <c r="KZ122" s="43"/>
      <c r="LA122" s="42">
        <v>0</v>
      </c>
      <c r="LB122" s="47">
        <v>0</v>
      </c>
      <c r="LC122" s="47">
        <v>0</v>
      </c>
      <c r="LD122" s="47">
        <v>0</v>
      </c>
      <c r="LE122" s="44">
        <v>0</v>
      </c>
      <c r="LF122" s="43"/>
      <c r="LG122" s="42">
        <v>0</v>
      </c>
      <c r="LH122" s="47">
        <v>0</v>
      </c>
      <c r="LI122" s="47">
        <v>0</v>
      </c>
      <c r="LJ122" s="47">
        <v>0</v>
      </c>
      <c r="LK122" s="44">
        <v>0</v>
      </c>
      <c r="LL122" s="43"/>
      <c r="LM122" s="42">
        <v>0</v>
      </c>
      <c r="LN122" s="47">
        <v>0</v>
      </c>
      <c r="LO122" s="44">
        <v>0</v>
      </c>
      <c r="LP122" s="43"/>
      <c r="LQ122" s="42">
        <v>0</v>
      </c>
      <c r="LR122" s="47">
        <v>0</v>
      </c>
      <c r="LS122" s="47">
        <v>0</v>
      </c>
      <c r="LT122" s="47">
        <v>0</v>
      </c>
      <c r="LU122" s="44">
        <v>0</v>
      </c>
      <c r="LV122" s="43"/>
      <c r="LW122" s="42">
        <v>0</v>
      </c>
      <c r="LX122" s="47">
        <v>0</v>
      </c>
      <c r="LY122" s="47">
        <v>0</v>
      </c>
      <c r="LZ122" s="47">
        <v>0</v>
      </c>
      <c r="MA122" s="44">
        <v>0</v>
      </c>
      <c r="MB122" s="43"/>
      <c r="MC122" s="42">
        <v>0</v>
      </c>
      <c r="MD122" s="47">
        <v>0</v>
      </c>
      <c r="ME122" s="47">
        <v>0</v>
      </c>
      <c r="MF122" s="47">
        <v>0</v>
      </c>
      <c r="MG122" s="44">
        <v>0</v>
      </c>
      <c r="MH122" s="43"/>
      <c r="MI122" s="42">
        <v>0</v>
      </c>
      <c r="MJ122" s="47">
        <v>0</v>
      </c>
      <c r="MK122" s="47">
        <v>0</v>
      </c>
      <c r="ML122" s="47">
        <v>0</v>
      </c>
      <c r="MM122" s="44">
        <v>0</v>
      </c>
      <c r="MN122" s="43"/>
      <c r="MO122" s="42">
        <v>0</v>
      </c>
      <c r="MP122" s="47">
        <v>0</v>
      </c>
      <c r="MQ122" s="47">
        <v>0</v>
      </c>
      <c r="MR122" s="47">
        <v>0</v>
      </c>
      <c r="MS122" s="44">
        <v>0</v>
      </c>
      <c r="MT122" s="43"/>
      <c r="MU122" s="42">
        <v>0</v>
      </c>
      <c r="MV122" s="47">
        <v>0</v>
      </c>
      <c r="MW122" s="47">
        <v>0</v>
      </c>
      <c r="MX122" s="47">
        <v>0</v>
      </c>
      <c r="MY122" s="44">
        <v>0</v>
      </c>
      <c r="MZ122" s="43"/>
      <c r="NA122" s="42">
        <v>0</v>
      </c>
      <c r="NB122" s="47">
        <v>0</v>
      </c>
      <c r="NC122" s="47">
        <v>0</v>
      </c>
      <c r="ND122" s="47">
        <v>0</v>
      </c>
      <c r="NE122" s="44">
        <v>0</v>
      </c>
      <c r="NF122" s="43"/>
      <c r="NG122" s="42">
        <v>0</v>
      </c>
      <c r="NH122" s="47">
        <v>0</v>
      </c>
      <c r="NI122" s="47">
        <v>0</v>
      </c>
      <c r="NJ122" s="47">
        <v>0</v>
      </c>
      <c r="NK122" s="44">
        <v>0</v>
      </c>
      <c r="NL122" s="43"/>
      <c r="NM122" s="42">
        <v>0</v>
      </c>
      <c r="NN122" s="47">
        <v>0</v>
      </c>
      <c r="NO122" s="47">
        <v>31.3</v>
      </c>
      <c r="NP122" s="47">
        <v>30</v>
      </c>
      <c r="NQ122" s="44">
        <v>1.3000000000000009</v>
      </c>
      <c r="NR122" s="43"/>
      <c r="NS122" s="42">
        <v>5.1109999999999998</v>
      </c>
      <c r="NT122" s="47">
        <v>5</v>
      </c>
      <c r="NU122" s="47">
        <v>0</v>
      </c>
      <c r="NV122" s="47">
        <v>0</v>
      </c>
      <c r="NW122" s="44">
        <v>0.11099999999999979</v>
      </c>
      <c r="NX122" s="43"/>
      <c r="NY122" s="42">
        <v>0</v>
      </c>
      <c r="NZ122" s="47">
        <v>0</v>
      </c>
      <c r="OA122" s="47">
        <v>5.0629999999999997</v>
      </c>
      <c r="OB122" s="47">
        <v>5</v>
      </c>
      <c r="OC122" s="44">
        <v>6.2999999999999723E-2</v>
      </c>
      <c r="OD122" s="43"/>
      <c r="OE122" s="42">
        <v>0</v>
      </c>
      <c r="OF122" s="47">
        <v>0</v>
      </c>
      <c r="OG122" s="47">
        <v>10.459</v>
      </c>
      <c r="OH122" s="47">
        <v>10</v>
      </c>
      <c r="OI122" s="44">
        <v>0.45899999999999958</v>
      </c>
      <c r="OJ122" s="43"/>
      <c r="OK122" s="42">
        <v>0</v>
      </c>
      <c r="OL122" s="47">
        <v>0</v>
      </c>
      <c r="OM122" s="47">
        <v>0</v>
      </c>
      <c r="ON122" s="47">
        <v>0</v>
      </c>
      <c r="OO122" s="44">
        <v>0</v>
      </c>
      <c r="OP122" s="43"/>
      <c r="OQ122" s="42">
        <v>0</v>
      </c>
      <c r="OR122" s="47">
        <v>0</v>
      </c>
      <c r="OS122" s="47">
        <v>0</v>
      </c>
      <c r="OT122" s="47">
        <v>0</v>
      </c>
      <c r="OU122" s="44">
        <v>0</v>
      </c>
      <c r="OV122" s="43"/>
      <c r="OW122" s="42">
        <v>0</v>
      </c>
      <c r="OX122" s="47">
        <v>0</v>
      </c>
      <c r="OY122" s="47">
        <v>0</v>
      </c>
      <c r="OZ122" s="47">
        <v>0</v>
      </c>
      <c r="PA122" s="44">
        <v>0</v>
      </c>
      <c r="PB122" s="43"/>
      <c r="PC122" s="42">
        <v>0</v>
      </c>
      <c r="PD122" s="47">
        <v>0</v>
      </c>
      <c r="PE122" s="47">
        <v>0</v>
      </c>
      <c r="PF122" s="47">
        <v>0</v>
      </c>
      <c r="PG122" s="44">
        <v>0</v>
      </c>
      <c r="PH122" s="43"/>
      <c r="PI122" s="42">
        <v>0</v>
      </c>
      <c r="PJ122" s="47">
        <v>0</v>
      </c>
      <c r="PK122" s="47">
        <v>0</v>
      </c>
      <c r="PL122" s="47">
        <v>0</v>
      </c>
      <c r="PM122" s="44">
        <v>0</v>
      </c>
      <c r="PN122" s="43"/>
      <c r="PO122" s="42">
        <v>0</v>
      </c>
      <c r="PP122" s="47">
        <v>0</v>
      </c>
      <c r="PQ122" s="47">
        <v>0</v>
      </c>
      <c r="PR122" s="47">
        <v>0</v>
      </c>
      <c r="PS122" s="44">
        <v>0</v>
      </c>
      <c r="PT122" s="43"/>
      <c r="PU122" s="42">
        <v>0</v>
      </c>
      <c r="PV122" s="47">
        <v>0</v>
      </c>
      <c r="PW122" s="47">
        <v>46.613999999999997</v>
      </c>
      <c r="PX122" s="47">
        <v>45</v>
      </c>
      <c r="PY122" s="44">
        <v>1.613999999999997</v>
      </c>
      <c r="PZ122" s="43"/>
      <c r="QA122" s="42">
        <v>0</v>
      </c>
      <c r="QB122" s="47">
        <v>0</v>
      </c>
      <c r="QC122" s="44">
        <v>0</v>
      </c>
      <c r="QD122" s="43"/>
      <c r="QE122" s="42">
        <v>31.512</v>
      </c>
      <c r="QF122" s="47">
        <v>50</v>
      </c>
      <c r="QG122" s="46">
        <v>-18.488</v>
      </c>
      <c r="QH122" s="43">
        <v>18.488</v>
      </c>
      <c r="QI122" s="42">
        <v>0</v>
      </c>
      <c r="QJ122" s="47">
        <v>0</v>
      </c>
      <c r="QK122" s="44">
        <v>0</v>
      </c>
      <c r="QL122" s="43"/>
      <c r="QM122" s="42">
        <v>0</v>
      </c>
      <c r="QN122" s="47">
        <v>0</v>
      </c>
      <c r="QO122" s="47">
        <v>0</v>
      </c>
      <c r="QP122" s="47">
        <v>0</v>
      </c>
      <c r="QQ122" s="44">
        <v>0</v>
      </c>
      <c r="QR122" s="43"/>
      <c r="QS122" s="42">
        <v>0</v>
      </c>
      <c r="QT122" s="47">
        <v>0</v>
      </c>
      <c r="QU122" s="44">
        <v>0</v>
      </c>
      <c r="QV122" s="43"/>
      <c r="QW122" s="42">
        <v>0</v>
      </c>
      <c r="QX122" s="47">
        <v>0</v>
      </c>
      <c r="QY122" s="44">
        <v>0</v>
      </c>
      <c r="QZ122" s="43"/>
    </row>
    <row r="123" spans="1:468" x14ac:dyDescent="0.25">
      <c r="A123" s="47" t="s">
        <v>407</v>
      </c>
      <c r="B123" s="38">
        <v>0.75</v>
      </c>
      <c r="N123" s="39"/>
      <c r="O123" s="48"/>
      <c r="P123" s="48"/>
      <c r="Q123" s="48"/>
      <c r="R123" s="48">
        <f t="shared" si="13"/>
        <v>0</v>
      </c>
      <c r="S123" s="40"/>
      <c r="T123" s="39"/>
      <c r="U123" s="48"/>
      <c r="V123" s="48">
        <f t="shared" si="14"/>
        <v>0</v>
      </c>
      <c r="W123" s="40"/>
      <c r="X123" s="39"/>
      <c r="Y123" s="48"/>
      <c r="Z123" s="48"/>
      <c r="AA123" s="48"/>
      <c r="AB123" s="48">
        <f t="shared" si="15"/>
        <v>0</v>
      </c>
      <c r="AC123" s="40"/>
      <c r="AD123" s="48"/>
      <c r="AH123" s="44">
        <v>0</v>
      </c>
      <c r="AI123" s="40"/>
      <c r="AN123" s="44">
        <v>0</v>
      </c>
      <c r="AO123" s="40"/>
      <c r="AT123" s="44">
        <v>0</v>
      </c>
      <c r="AU123" s="40"/>
      <c r="AV123" s="39"/>
      <c r="AX123" s="44">
        <v>0</v>
      </c>
      <c r="AY123" s="40"/>
      <c r="AZ123" s="39"/>
      <c r="BB123" s="44">
        <v>0</v>
      </c>
      <c r="BC123" s="40"/>
      <c r="BH123" s="44">
        <v>0</v>
      </c>
      <c r="BI123" s="40"/>
      <c r="BL123" s="44">
        <v>0</v>
      </c>
      <c r="BM123" s="40"/>
      <c r="BN123" s="39"/>
      <c r="BR123" s="44">
        <v>0</v>
      </c>
      <c r="BS123" s="40"/>
      <c r="BV123" s="44">
        <v>0</v>
      </c>
      <c r="BW123" s="40"/>
      <c r="BX123" s="39"/>
      <c r="BZ123" s="44">
        <v>0</v>
      </c>
      <c r="CA123" s="40"/>
      <c r="CB123" s="39"/>
      <c r="CH123" s="44">
        <v>0</v>
      </c>
      <c r="CI123" s="40"/>
      <c r="CN123" s="44">
        <v>0</v>
      </c>
      <c r="CO123" s="40"/>
      <c r="CP123" s="39"/>
      <c r="CT123" s="44">
        <v>0</v>
      </c>
      <c r="CU123" s="40"/>
      <c r="CV123" s="39"/>
      <c r="CZ123" s="44">
        <v>0</v>
      </c>
      <c r="DA123" s="40"/>
      <c r="DB123" s="39"/>
      <c r="DF123" s="44">
        <v>0</v>
      </c>
      <c r="DG123" s="40"/>
      <c r="DN123" s="44">
        <v>0</v>
      </c>
      <c r="DO123" s="40"/>
      <c r="DP123" s="39"/>
      <c r="DR123" s="44">
        <v>0</v>
      </c>
      <c r="DS123" s="40"/>
      <c r="DT123" s="39"/>
      <c r="DX123" s="44">
        <v>0</v>
      </c>
      <c r="DY123" s="40"/>
      <c r="DZ123" s="39"/>
      <c r="EB123" s="44">
        <v>0</v>
      </c>
      <c r="EC123" s="40"/>
      <c r="EK123" s="44">
        <v>0</v>
      </c>
      <c r="EL123" s="40"/>
      <c r="ES123" s="44">
        <v>0</v>
      </c>
      <c r="ET123" s="40"/>
      <c r="EU123" s="39"/>
      <c r="EY123" s="44">
        <v>0</v>
      </c>
      <c r="EZ123" s="40"/>
      <c r="FA123" s="39"/>
      <c r="FD123" s="44">
        <v>0</v>
      </c>
      <c r="FE123" s="40"/>
      <c r="FH123" s="44">
        <v>0</v>
      </c>
      <c r="FI123" s="40"/>
      <c r="FJ123" s="39"/>
      <c r="FQ123" s="44">
        <v>0</v>
      </c>
      <c r="FR123" s="40"/>
      <c r="FW123" s="44">
        <v>0</v>
      </c>
      <c r="FX123" s="40"/>
      <c r="FY123" s="39"/>
      <c r="GC123" s="44">
        <v>0</v>
      </c>
      <c r="GD123" s="40"/>
      <c r="GI123" s="44">
        <v>0</v>
      </c>
      <c r="GJ123" s="40"/>
      <c r="GM123" s="44">
        <v>0</v>
      </c>
      <c r="GN123" s="40"/>
      <c r="GO123" s="39"/>
      <c r="GQ123" s="44">
        <v>0</v>
      </c>
      <c r="GR123" s="40"/>
      <c r="GX123" s="44">
        <v>0</v>
      </c>
      <c r="GY123" s="40"/>
      <c r="HD123" s="44">
        <v>0</v>
      </c>
      <c r="HE123" s="40"/>
      <c r="HF123" s="39"/>
      <c r="HJ123" s="44">
        <v>0</v>
      </c>
      <c r="HK123" s="40"/>
      <c r="HL123" s="39"/>
      <c r="HP123" s="44">
        <v>0</v>
      </c>
      <c r="HQ123" s="40"/>
      <c r="HV123" s="44">
        <v>0</v>
      </c>
      <c r="HW123" s="43"/>
      <c r="IB123" s="44">
        <v>0</v>
      </c>
      <c r="IC123" s="43"/>
      <c r="IH123" s="44">
        <v>0</v>
      </c>
      <c r="II123" s="43"/>
      <c r="IN123" s="44">
        <v>0</v>
      </c>
      <c r="IO123" s="40"/>
      <c r="IR123" s="44">
        <v>0</v>
      </c>
      <c r="IS123" s="40"/>
      <c r="IX123" s="44">
        <v>0</v>
      </c>
      <c r="IY123" s="43"/>
      <c r="JB123" s="44">
        <v>0</v>
      </c>
      <c r="JC123" s="40"/>
      <c r="JH123" s="44">
        <v>0</v>
      </c>
      <c r="JI123" s="40"/>
      <c r="JN123" s="44">
        <v>0</v>
      </c>
      <c r="JO123" s="43"/>
      <c r="JT123" s="44">
        <v>0</v>
      </c>
      <c r="JU123" s="43"/>
      <c r="JZ123" s="44">
        <v>0</v>
      </c>
      <c r="KA123" s="43"/>
      <c r="KB123" s="42"/>
      <c r="KI123" s="44">
        <v>0</v>
      </c>
      <c r="KJ123" s="43"/>
      <c r="KK123" s="47">
        <v>0</v>
      </c>
      <c r="KL123" s="47">
        <v>0</v>
      </c>
      <c r="KM123" s="47">
        <v>0</v>
      </c>
      <c r="KN123" s="47">
        <v>0</v>
      </c>
      <c r="KO123" s="44">
        <v>0</v>
      </c>
      <c r="KP123" s="43"/>
      <c r="KQ123" s="47">
        <v>0</v>
      </c>
      <c r="KR123" s="47">
        <v>0</v>
      </c>
      <c r="KS123" s="47">
        <v>0</v>
      </c>
      <c r="KT123" s="47">
        <v>0</v>
      </c>
      <c r="KU123" s="44">
        <v>0</v>
      </c>
      <c r="KV123" s="43"/>
      <c r="KW123" s="42">
        <v>0</v>
      </c>
      <c r="KX123" s="47">
        <v>0</v>
      </c>
      <c r="KY123" s="44">
        <v>0</v>
      </c>
      <c r="KZ123" s="43"/>
      <c r="LA123" s="42">
        <v>0</v>
      </c>
      <c r="LB123" s="47">
        <v>0</v>
      </c>
      <c r="LC123" s="47">
        <v>0</v>
      </c>
      <c r="LD123" s="47">
        <v>0</v>
      </c>
      <c r="LE123" s="44">
        <v>0</v>
      </c>
      <c r="LF123" s="43"/>
      <c r="LG123" s="42">
        <v>0</v>
      </c>
      <c r="LH123" s="47">
        <v>0</v>
      </c>
      <c r="LI123" s="47">
        <v>0</v>
      </c>
      <c r="LJ123" s="47">
        <v>0</v>
      </c>
      <c r="LK123" s="44">
        <v>0</v>
      </c>
      <c r="LL123" s="43"/>
      <c r="LM123" s="42">
        <v>0</v>
      </c>
      <c r="LN123" s="47">
        <v>0</v>
      </c>
      <c r="LO123" s="44">
        <v>0</v>
      </c>
      <c r="LP123" s="43"/>
      <c r="LQ123" s="42">
        <v>0</v>
      </c>
      <c r="LR123" s="47">
        <v>0</v>
      </c>
      <c r="LS123" s="47">
        <v>0</v>
      </c>
      <c r="LT123" s="47">
        <v>0</v>
      </c>
      <c r="LU123" s="44">
        <v>0</v>
      </c>
      <c r="LV123" s="43"/>
      <c r="LW123" s="42">
        <v>0</v>
      </c>
      <c r="LX123" s="47">
        <v>0</v>
      </c>
      <c r="LY123" s="47">
        <v>0</v>
      </c>
      <c r="LZ123" s="47">
        <v>0</v>
      </c>
      <c r="MA123" s="44">
        <v>0</v>
      </c>
      <c r="MB123" s="43"/>
      <c r="MC123" s="42">
        <v>0</v>
      </c>
      <c r="MD123" s="47">
        <v>0</v>
      </c>
      <c r="ME123" s="47">
        <v>0</v>
      </c>
      <c r="MF123" s="47">
        <v>0</v>
      </c>
      <c r="MG123" s="44">
        <v>0</v>
      </c>
      <c r="MH123" s="43"/>
      <c r="MI123" s="42">
        <v>0</v>
      </c>
      <c r="MJ123" s="47">
        <v>0</v>
      </c>
      <c r="MK123" s="47">
        <v>0</v>
      </c>
      <c r="ML123" s="47">
        <v>0</v>
      </c>
      <c r="MM123" s="44">
        <v>0</v>
      </c>
      <c r="MN123" s="43"/>
      <c r="MO123" s="42">
        <v>0</v>
      </c>
      <c r="MP123" s="47">
        <v>0</v>
      </c>
      <c r="MQ123" s="47">
        <v>0</v>
      </c>
      <c r="MR123" s="47">
        <v>0</v>
      </c>
      <c r="MS123" s="44">
        <v>0</v>
      </c>
      <c r="MT123" s="43"/>
      <c r="MU123" s="42">
        <v>0</v>
      </c>
      <c r="MV123" s="47">
        <v>0</v>
      </c>
      <c r="MW123" s="47">
        <v>0</v>
      </c>
      <c r="MX123" s="47">
        <v>0</v>
      </c>
      <c r="MY123" s="44">
        <v>0</v>
      </c>
      <c r="MZ123" s="43"/>
      <c r="NA123" s="42">
        <v>0</v>
      </c>
      <c r="NB123" s="47">
        <v>0</v>
      </c>
      <c r="NC123" s="47">
        <v>0</v>
      </c>
      <c r="ND123" s="47">
        <v>0</v>
      </c>
      <c r="NE123" s="44">
        <v>0</v>
      </c>
      <c r="NF123" s="43"/>
      <c r="NG123" s="42">
        <v>0</v>
      </c>
      <c r="NH123" s="47">
        <v>0</v>
      </c>
      <c r="NI123" s="47">
        <v>0</v>
      </c>
      <c r="NJ123" s="47">
        <v>0</v>
      </c>
      <c r="NK123" s="44">
        <v>0</v>
      </c>
      <c r="NL123" s="43"/>
      <c r="NM123" s="42">
        <v>0</v>
      </c>
      <c r="NN123" s="47">
        <v>0</v>
      </c>
      <c r="NO123" s="47">
        <v>0</v>
      </c>
      <c r="NP123" s="47">
        <v>0</v>
      </c>
      <c r="NQ123" s="44">
        <v>0</v>
      </c>
      <c r="NR123" s="43"/>
      <c r="NS123" s="42">
        <v>0</v>
      </c>
      <c r="NT123" s="47">
        <v>0</v>
      </c>
      <c r="NU123" s="47">
        <v>0</v>
      </c>
      <c r="NV123" s="47">
        <v>0</v>
      </c>
      <c r="NW123" s="44">
        <v>0</v>
      </c>
      <c r="NX123" s="43"/>
      <c r="NY123" s="42">
        <v>0</v>
      </c>
      <c r="NZ123" s="47">
        <v>0</v>
      </c>
      <c r="OA123" s="47">
        <v>0</v>
      </c>
      <c r="OB123" s="47">
        <v>0</v>
      </c>
      <c r="OC123" s="44">
        <v>0</v>
      </c>
      <c r="OD123" s="43"/>
      <c r="OE123" s="42">
        <v>0</v>
      </c>
      <c r="OF123" s="47">
        <v>0</v>
      </c>
      <c r="OG123" s="47">
        <v>0</v>
      </c>
      <c r="OH123" s="47">
        <v>0</v>
      </c>
      <c r="OI123" s="44">
        <v>0</v>
      </c>
      <c r="OJ123" s="43"/>
      <c r="OK123" s="42">
        <v>0</v>
      </c>
      <c r="OL123" s="47">
        <v>0</v>
      </c>
      <c r="OM123" s="47">
        <v>0</v>
      </c>
      <c r="ON123" s="47">
        <v>0</v>
      </c>
      <c r="OO123" s="44">
        <v>0</v>
      </c>
      <c r="OP123" s="43"/>
      <c r="OQ123" s="42">
        <v>0</v>
      </c>
      <c r="OR123" s="47">
        <v>0</v>
      </c>
      <c r="OS123" s="47">
        <v>0</v>
      </c>
      <c r="OT123" s="47">
        <v>0</v>
      </c>
      <c r="OU123" s="44">
        <v>0</v>
      </c>
      <c r="OV123" s="43"/>
      <c r="OW123" s="42">
        <v>0</v>
      </c>
      <c r="OX123" s="47">
        <v>0</v>
      </c>
      <c r="OY123" s="47">
        <v>0</v>
      </c>
      <c r="OZ123" s="47">
        <v>0</v>
      </c>
      <c r="PA123" s="44">
        <v>0</v>
      </c>
      <c r="PB123" s="43"/>
      <c r="PC123" s="42">
        <v>0</v>
      </c>
      <c r="PD123" s="47">
        <v>0</v>
      </c>
      <c r="PE123" s="47">
        <v>0</v>
      </c>
      <c r="PF123" s="47">
        <v>0</v>
      </c>
      <c r="PG123" s="44">
        <v>0</v>
      </c>
      <c r="PH123" s="43"/>
      <c r="PI123" s="42">
        <v>0</v>
      </c>
      <c r="PJ123" s="47">
        <v>0</v>
      </c>
      <c r="PK123" s="47">
        <v>0</v>
      </c>
      <c r="PL123" s="47">
        <v>0</v>
      </c>
      <c r="PM123" s="44">
        <v>0</v>
      </c>
      <c r="PN123" s="43"/>
      <c r="PO123" s="42">
        <v>0</v>
      </c>
      <c r="PP123" s="47">
        <v>0</v>
      </c>
      <c r="PQ123" s="47">
        <v>0</v>
      </c>
      <c r="PR123" s="47">
        <v>0</v>
      </c>
      <c r="PS123" s="44">
        <v>0</v>
      </c>
      <c r="PT123" s="43"/>
      <c r="PU123" s="42">
        <v>0</v>
      </c>
      <c r="PV123" s="47">
        <v>0</v>
      </c>
      <c r="PW123" s="47">
        <v>0</v>
      </c>
      <c r="PX123" s="47">
        <v>0</v>
      </c>
      <c r="PY123" s="44">
        <v>0</v>
      </c>
      <c r="PZ123" s="43"/>
      <c r="QA123" s="42">
        <v>0</v>
      </c>
      <c r="QB123" s="47">
        <v>0</v>
      </c>
      <c r="QC123" s="44">
        <v>0</v>
      </c>
      <c r="QD123" s="43"/>
      <c r="QE123" s="42">
        <v>0</v>
      </c>
      <c r="QF123" s="47">
        <v>0</v>
      </c>
      <c r="QG123" s="44">
        <v>0</v>
      </c>
      <c r="QH123" s="43"/>
      <c r="QI123" s="42">
        <v>48</v>
      </c>
      <c r="QJ123" s="47">
        <v>50</v>
      </c>
      <c r="QK123" s="44">
        <v>-2</v>
      </c>
      <c r="QL123" s="43"/>
      <c r="QM123" s="42">
        <v>132</v>
      </c>
      <c r="QN123" s="47">
        <v>130</v>
      </c>
      <c r="QO123" s="47">
        <v>0</v>
      </c>
      <c r="QP123" s="47">
        <v>0</v>
      </c>
      <c r="QQ123" s="44">
        <v>2</v>
      </c>
      <c r="QR123" s="43"/>
      <c r="QS123" s="42">
        <v>0</v>
      </c>
      <c r="QT123" s="47">
        <v>0</v>
      </c>
      <c r="QU123" s="44">
        <v>0</v>
      </c>
      <c r="QV123" s="43"/>
      <c r="QW123" s="42">
        <v>36</v>
      </c>
      <c r="QX123" s="47">
        <v>47</v>
      </c>
      <c r="QY123" s="44">
        <v>-11</v>
      </c>
      <c r="QZ123" s="43"/>
    </row>
    <row r="124" spans="1:468" x14ac:dyDescent="0.25">
      <c r="A124" s="47" t="s">
        <v>408</v>
      </c>
      <c r="B124" s="38">
        <v>0.5</v>
      </c>
      <c r="N124" s="39"/>
      <c r="O124" s="48"/>
      <c r="P124" s="48"/>
      <c r="Q124" s="48"/>
      <c r="R124" s="48">
        <f t="shared" si="13"/>
        <v>0</v>
      </c>
      <c r="S124" s="40"/>
      <c r="T124" s="39"/>
      <c r="U124" s="48"/>
      <c r="V124" s="48">
        <f t="shared" si="14"/>
        <v>0</v>
      </c>
      <c r="W124" s="40"/>
      <c r="X124" s="39"/>
      <c r="Y124" s="48"/>
      <c r="Z124" s="48"/>
      <c r="AA124" s="48"/>
      <c r="AB124" s="48">
        <f t="shared" si="15"/>
        <v>0</v>
      </c>
      <c r="AC124" s="40"/>
      <c r="AD124" s="48"/>
      <c r="AH124" s="44">
        <v>0</v>
      </c>
      <c r="AI124" s="40"/>
      <c r="AN124" s="44">
        <v>0</v>
      </c>
      <c r="AO124" s="40"/>
      <c r="AT124" s="44">
        <v>0</v>
      </c>
      <c r="AU124" s="40"/>
      <c r="AV124" s="39"/>
      <c r="AX124" s="44">
        <v>0</v>
      </c>
      <c r="AY124" s="40"/>
      <c r="AZ124" s="39"/>
      <c r="BB124" s="44">
        <v>0</v>
      </c>
      <c r="BC124" s="40"/>
      <c r="BH124" s="44">
        <v>0</v>
      </c>
      <c r="BI124" s="40"/>
      <c r="BL124" s="44">
        <v>0</v>
      </c>
      <c r="BM124" s="40"/>
      <c r="BN124" s="39"/>
      <c r="BR124" s="44">
        <v>0</v>
      </c>
      <c r="BS124" s="40"/>
      <c r="BV124" s="44">
        <v>0</v>
      </c>
      <c r="BW124" s="40"/>
      <c r="BX124" s="39"/>
      <c r="BZ124" s="44">
        <v>0</v>
      </c>
      <c r="CA124" s="40"/>
      <c r="CB124" s="39"/>
      <c r="CH124" s="44">
        <v>0</v>
      </c>
      <c r="CI124" s="40"/>
      <c r="CN124" s="44">
        <v>0</v>
      </c>
      <c r="CO124" s="40"/>
      <c r="CP124" s="39"/>
      <c r="CT124" s="44">
        <v>0</v>
      </c>
      <c r="CU124" s="40"/>
      <c r="CV124" s="39"/>
      <c r="CZ124" s="44">
        <v>0</v>
      </c>
      <c r="DA124" s="40"/>
      <c r="DB124" s="39"/>
      <c r="DF124" s="44">
        <v>0</v>
      </c>
      <c r="DG124" s="40"/>
      <c r="DN124" s="44">
        <v>0</v>
      </c>
      <c r="DO124" s="40"/>
      <c r="DP124" s="39"/>
      <c r="DR124" s="44">
        <v>0</v>
      </c>
      <c r="DS124" s="40"/>
      <c r="DT124" s="39"/>
      <c r="DX124" s="44">
        <v>0</v>
      </c>
      <c r="DY124" s="40"/>
      <c r="DZ124" s="39"/>
      <c r="EB124" s="44">
        <v>0</v>
      </c>
      <c r="EC124" s="40"/>
      <c r="EK124" s="44">
        <v>0</v>
      </c>
      <c r="EL124" s="40"/>
      <c r="ES124" s="44">
        <v>0</v>
      </c>
      <c r="ET124" s="40"/>
      <c r="EU124" s="39"/>
      <c r="EY124" s="44">
        <v>0</v>
      </c>
      <c r="EZ124" s="40"/>
      <c r="FA124" s="39"/>
      <c r="FD124" s="44">
        <v>0</v>
      </c>
      <c r="FE124" s="40"/>
      <c r="FH124" s="44">
        <v>0</v>
      </c>
      <c r="FI124" s="40"/>
      <c r="FJ124" s="39"/>
      <c r="FQ124" s="44">
        <v>0</v>
      </c>
      <c r="FR124" s="40"/>
      <c r="FW124" s="44">
        <v>0</v>
      </c>
      <c r="FX124" s="40"/>
      <c r="FY124" s="39"/>
      <c r="GC124" s="44">
        <v>0</v>
      </c>
      <c r="GD124" s="40"/>
      <c r="GI124" s="44">
        <v>0</v>
      </c>
      <c r="GJ124" s="40"/>
      <c r="GM124" s="44">
        <v>0</v>
      </c>
      <c r="GN124" s="40"/>
      <c r="GO124" s="39"/>
      <c r="GQ124" s="44">
        <v>0</v>
      </c>
      <c r="GR124" s="40"/>
      <c r="GX124" s="44">
        <v>0</v>
      </c>
      <c r="GY124" s="40"/>
      <c r="HD124" s="44">
        <v>0</v>
      </c>
      <c r="HE124" s="40"/>
      <c r="HF124" s="39"/>
      <c r="HJ124" s="44">
        <v>0</v>
      </c>
      <c r="HK124" s="40"/>
      <c r="HL124" s="39"/>
      <c r="HP124" s="44">
        <v>0</v>
      </c>
      <c r="HQ124" s="40"/>
      <c r="HV124" s="44">
        <v>0</v>
      </c>
      <c r="HW124" s="43"/>
      <c r="IB124" s="44">
        <v>0</v>
      </c>
      <c r="IC124" s="43"/>
      <c r="IH124" s="44">
        <v>0</v>
      </c>
      <c r="II124" s="43"/>
      <c r="IN124" s="44">
        <v>0</v>
      </c>
      <c r="IO124" s="40"/>
      <c r="IR124" s="44">
        <v>0</v>
      </c>
      <c r="IS124" s="40"/>
      <c r="IX124" s="44">
        <v>0</v>
      </c>
      <c r="IY124" s="43"/>
      <c r="JB124" s="44">
        <v>0</v>
      </c>
      <c r="JC124" s="40"/>
      <c r="JH124" s="44">
        <v>0</v>
      </c>
      <c r="JI124" s="40"/>
      <c r="JN124" s="44">
        <v>0</v>
      </c>
      <c r="JO124" s="43"/>
      <c r="JT124" s="44">
        <v>0</v>
      </c>
      <c r="JU124" s="43"/>
      <c r="JZ124" s="44">
        <v>0</v>
      </c>
      <c r="KA124" s="43"/>
      <c r="KB124" s="42"/>
      <c r="KI124" s="44">
        <v>0</v>
      </c>
      <c r="KJ124" s="43"/>
      <c r="KK124" s="47">
        <v>0</v>
      </c>
      <c r="KL124" s="47">
        <v>0</v>
      </c>
      <c r="KM124" s="47">
        <v>0</v>
      </c>
      <c r="KN124" s="47">
        <v>0</v>
      </c>
      <c r="KO124" s="44">
        <v>0</v>
      </c>
      <c r="KP124" s="43"/>
      <c r="KQ124" s="47">
        <v>0</v>
      </c>
      <c r="KR124" s="47">
        <v>0</v>
      </c>
      <c r="KS124" s="47">
        <v>0</v>
      </c>
      <c r="KT124" s="47">
        <v>0</v>
      </c>
      <c r="KU124" s="44">
        <v>0</v>
      </c>
      <c r="KV124" s="43"/>
      <c r="KW124" s="42">
        <v>0</v>
      </c>
      <c r="KX124" s="47">
        <v>0</v>
      </c>
      <c r="KY124" s="44">
        <v>0</v>
      </c>
      <c r="KZ124" s="43"/>
      <c r="LA124" s="42">
        <v>0</v>
      </c>
      <c r="LB124" s="47">
        <v>0</v>
      </c>
      <c r="LC124" s="47">
        <v>0</v>
      </c>
      <c r="LD124" s="47">
        <v>0</v>
      </c>
      <c r="LE124" s="44">
        <v>0</v>
      </c>
      <c r="LF124" s="43"/>
      <c r="LG124" s="42">
        <v>0</v>
      </c>
      <c r="LH124" s="47">
        <v>0</v>
      </c>
      <c r="LI124" s="47">
        <v>0</v>
      </c>
      <c r="LJ124" s="47">
        <v>0</v>
      </c>
      <c r="LK124" s="44">
        <v>0</v>
      </c>
      <c r="LL124" s="43"/>
      <c r="LM124" s="42">
        <v>0</v>
      </c>
      <c r="LN124" s="47">
        <v>0</v>
      </c>
      <c r="LO124" s="44">
        <v>0</v>
      </c>
      <c r="LP124" s="43"/>
      <c r="LQ124" s="42">
        <v>0</v>
      </c>
      <c r="LR124" s="47">
        <v>0</v>
      </c>
      <c r="LS124" s="47">
        <v>0</v>
      </c>
      <c r="LT124" s="47">
        <v>0</v>
      </c>
      <c r="LU124" s="44">
        <v>0</v>
      </c>
      <c r="LV124" s="43"/>
      <c r="LW124" s="42">
        <v>0</v>
      </c>
      <c r="LX124" s="26">
        <v>24</v>
      </c>
      <c r="LY124" s="47">
        <v>0</v>
      </c>
      <c r="LZ124" s="47">
        <v>0</v>
      </c>
      <c r="MA124" s="46">
        <v>-24</v>
      </c>
      <c r="MB124" s="43">
        <v>12</v>
      </c>
      <c r="MC124" s="42">
        <v>0</v>
      </c>
      <c r="MD124" s="47">
        <v>0</v>
      </c>
      <c r="ME124" s="47">
        <v>0</v>
      </c>
      <c r="MF124" s="47">
        <v>0</v>
      </c>
      <c r="MG124" s="44">
        <v>0</v>
      </c>
      <c r="MH124" s="43"/>
      <c r="MI124" s="42">
        <v>0</v>
      </c>
      <c r="MJ124" s="47">
        <v>0</v>
      </c>
      <c r="MK124" s="47">
        <v>16</v>
      </c>
      <c r="ML124" s="47">
        <v>16</v>
      </c>
      <c r="MM124" s="44">
        <v>0</v>
      </c>
      <c r="MN124" s="43"/>
      <c r="MO124" s="42">
        <v>0</v>
      </c>
      <c r="MP124" s="47">
        <v>0</v>
      </c>
      <c r="MQ124" s="47">
        <v>0</v>
      </c>
      <c r="MR124" s="47">
        <v>0</v>
      </c>
      <c r="MS124" s="44">
        <v>0</v>
      </c>
      <c r="MT124" s="43"/>
      <c r="MU124" s="42">
        <v>0</v>
      </c>
      <c r="MV124" s="47">
        <v>0</v>
      </c>
      <c r="MW124" s="47">
        <v>0</v>
      </c>
      <c r="MX124" s="47">
        <v>0</v>
      </c>
      <c r="MY124" s="44">
        <v>0</v>
      </c>
      <c r="MZ124" s="43"/>
      <c r="NA124" s="42">
        <v>0</v>
      </c>
      <c r="NB124" s="47">
        <v>0</v>
      </c>
      <c r="NC124" s="47">
        <v>0</v>
      </c>
      <c r="ND124" s="47">
        <v>0</v>
      </c>
      <c r="NE124" s="44">
        <v>0</v>
      </c>
      <c r="NF124" s="43"/>
      <c r="NG124" s="42">
        <v>0</v>
      </c>
      <c r="NH124" s="47">
        <v>0</v>
      </c>
      <c r="NI124" s="47">
        <v>0</v>
      </c>
      <c r="NJ124" s="47">
        <v>0</v>
      </c>
      <c r="NK124" s="44">
        <v>0</v>
      </c>
      <c r="NL124" s="43"/>
      <c r="NM124" s="42">
        <v>0</v>
      </c>
      <c r="NN124" s="47">
        <v>0</v>
      </c>
      <c r="NO124" s="47">
        <v>0</v>
      </c>
      <c r="NP124" s="47">
        <v>0</v>
      </c>
      <c r="NQ124" s="44">
        <v>0</v>
      </c>
      <c r="NR124" s="43"/>
      <c r="NS124" s="42">
        <v>0</v>
      </c>
      <c r="NT124" s="47">
        <v>0</v>
      </c>
      <c r="NU124" s="47">
        <v>0</v>
      </c>
      <c r="NV124" s="47">
        <v>0</v>
      </c>
      <c r="NW124" s="44">
        <v>0</v>
      </c>
      <c r="NX124" s="43"/>
      <c r="NY124" s="42">
        <v>0</v>
      </c>
      <c r="NZ124" s="47">
        <v>0</v>
      </c>
      <c r="OA124" s="47">
        <v>0</v>
      </c>
      <c r="OB124" s="47">
        <v>0</v>
      </c>
      <c r="OC124" s="44">
        <v>0</v>
      </c>
      <c r="OD124" s="43"/>
      <c r="OE124" s="42">
        <v>0</v>
      </c>
      <c r="OF124" s="47">
        <v>0</v>
      </c>
      <c r="OG124" s="47">
        <v>0</v>
      </c>
      <c r="OH124" s="47">
        <v>0</v>
      </c>
      <c r="OI124" s="44">
        <v>0</v>
      </c>
      <c r="OJ124" s="43"/>
      <c r="OK124" s="42">
        <v>0</v>
      </c>
      <c r="OL124" s="47">
        <v>0</v>
      </c>
      <c r="OM124" s="47">
        <v>0</v>
      </c>
      <c r="ON124" s="47">
        <v>0</v>
      </c>
      <c r="OO124" s="44">
        <v>0</v>
      </c>
      <c r="OP124" s="43"/>
      <c r="OQ124" s="42">
        <v>0</v>
      </c>
      <c r="OR124" s="47">
        <v>0</v>
      </c>
      <c r="OS124" s="47">
        <v>0</v>
      </c>
      <c r="OT124" s="47">
        <v>0</v>
      </c>
      <c r="OU124" s="44">
        <v>0</v>
      </c>
      <c r="OV124" s="43"/>
      <c r="OW124" s="42">
        <v>0</v>
      </c>
      <c r="OX124" s="47">
        <v>0</v>
      </c>
      <c r="OY124" s="47">
        <v>0</v>
      </c>
      <c r="OZ124" s="47">
        <v>0</v>
      </c>
      <c r="PA124" s="44">
        <v>0</v>
      </c>
      <c r="PB124" s="43"/>
      <c r="PC124" s="42">
        <v>0</v>
      </c>
      <c r="PD124" s="47">
        <v>0</v>
      </c>
      <c r="PE124" s="47">
        <v>96</v>
      </c>
      <c r="PF124" s="47">
        <v>100</v>
      </c>
      <c r="PG124" s="44">
        <v>-4</v>
      </c>
      <c r="PH124" s="43"/>
      <c r="PI124" s="42">
        <v>0</v>
      </c>
      <c r="PJ124" s="47">
        <v>0</v>
      </c>
      <c r="PK124" s="12">
        <v>8</v>
      </c>
      <c r="PL124" s="47">
        <v>0</v>
      </c>
      <c r="PM124" s="44">
        <v>0</v>
      </c>
      <c r="PN124" s="43"/>
      <c r="PO124" s="42">
        <v>0</v>
      </c>
      <c r="PP124" s="47">
        <v>0</v>
      </c>
      <c r="PQ124" s="12">
        <v>32</v>
      </c>
      <c r="PR124" s="47">
        <v>0</v>
      </c>
      <c r="PS124" s="44">
        <v>0</v>
      </c>
      <c r="PT124" s="43"/>
      <c r="PU124" s="42"/>
      <c r="PZ124" s="43"/>
      <c r="QA124" s="42"/>
      <c r="QD124" s="43"/>
      <c r="QE124" s="42"/>
      <c r="QH124" s="43"/>
      <c r="QI124" s="42"/>
      <c r="QL124" s="43"/>
      <c r="QM124" s="42"/>
      <c r="QR124" s="43"/>
      <c r="QS124" s="42"/>
      <c r="QV124" s="43"/>
      <c r="QW124" s="42"/>
      <c r="QY124" s="44"/>
      <c r="QZ124" s="43"/>
    </row>
    <row r="125" spans="1:468" x14ac:dyDescent="0.25">
      <c r="A125" s="47" t="s">
        <v>409</v>
      </c>
      <c r="B125" s="38">
        <v>0.4</v>
      </c>
      <c r="N125" s="39"/>
      <c r="O125" s="48"/>
      <c r="P125" s="48"/>
      <c r="Q125" s="48"/>
      <c r="R125" s="48">
        <f t="shared" si="13"/>
        <v>0</v>
      </c>
      <c r="S125" s="40"/>
      <c r="T125" s="39"/>
      <c r="U125" s="48"/>
      <c r="V125" s="48">
        <f t="shared" si="14"/>
        <v>0</v>
      </c>
      <c r="W125" s="40"/>
      <c r="X125" s="39"/>
      <c r="Y125" s="48"/>
      <c r="Z125" s="48"/>
      <c r="AA125" s="48"/>
      <c r="AB125" s="48">
        <f t="shared" si="15"/>
        <v>0</v>
      </c>
      <c r="AC125" s="40"/>
      <c r="AD125" s="48"/>
      <c r="AH125" s="44">
        <v>0</v>
      </c>
      <c r="AI125" s="40"/>
      <c r="AN125" s="44">
        <v>0</v>
      </c>
      <c r="AO125" s="40"/>
      <c r="AT125" s="44">
        <v>0</v>
      </c>
      <c r="AU125" s="40"/>
      <c r="AV125" s="39"/>
      <c r="AX125" s="44">
        <v>0</v>
      </c>
      <c r="AY125" s="40"/>
      <c r="AZ125" s="39"/>
      <c r="BB125" s="44">
        <v>0</v>
      </c>
      <c r="BC125" s="40"/>
      <c r="BH125" s="44">
        <v>0</v>
      </c>
      <c r="BI125" s="40"/>
      <c r="BL125" s="44">
        <v>0</v>
      </c>
      <c r="BM125" s="40"/>
      <c r="BN125" s="39"/>
      <c r="BR125" s="44">
        <v>0</v>
      </c>
      <c r="BS125" s="40"/>
      <c r="BV125" s="44">
        <v>0</v>
      </c>
      <c r="BW125" s="40"/>
      <c r="BX125" s="39"/>
      <c r="BZ125" s="44">
        <v>0</v>
      </c>
      <c r="CA125" s="40"/>
      <c r="CB125" s="39"/>
      <c r="CH125" s="44">
        <v>0</v>
      </c>
      <c r="CI125" s="40"/>
      <c r="CN125" s="44">
        <v>0</v>
      </c>
      <c r="CO125" s="40"/>
      <c r="CP125" s="39"/>
      <c r="CT125" s="44">
        <v>0</v>
      </c>
      <c r="CU125" s="40"/>
      <c r="CV125" s="39"/>
      <c r="CZ125" s="44">
        <v>0</v>
      </c>
      <c r="DA125" s="40"/>
      <c r="DB125" s="39"/>
      <c r="DF125" s="44">
        <v>0</v>
      </c>
      <c r="DG125" s="40"/>
      <c r="DN125" s="44">
        <v>0</v>
      </c>
      <c r="DO125" s="40"/>
      <c r="DP125" s="39"/>
      <c r="DR125" s="44">
        <v>0</v>
      </c>
      <c r="DS125" s="40"/>
      <c r="DT125" s="39"/>
      <c r="DX125" s="44">
        <v>0</v>
      </c>
      <c r="DY125" s="40"/>
      <c r="DZ125" s="39"/>
      <c r="EB125" s="44">
        <v>0</v>
      </c>
      <c r="EC125" s="40"/>
      <c r="EK125" s="44">
        <v>0</v>
      </c>
      <c r="EL125" s="40"/>
      <c r="ES125" s="44">
        <v>0</v>
      </c>
      <c r="ET125" s="40"/>
      <c r="EU125" s="39"/>
      <c r="EY125" s="44">
        <v>0</v>
      </c>
      <c r="EZ125" s="40"/>
      <c r="FA125" s="39"/>
      <c r="FD125" s="44">
        <v>0</v>
      </c>
      <c r="FE125" s="40"/>
      <c r="FH125" s="44">
        <v>0</v>
      </c>
      <c r="FI125" s="40"/>
      <c r="FJ125" s="39"/>
      <c r="FQ125" s="44">
        <v>0</v>
      </c>
      <c r="FR125" s="40"/>
      <c r="FW125" s="44">
        <v>0</v>
      </c>
      <c r="FX125" s="40"/>
      <c r="FY125" s="39"/>
      <c r="GC125" s="44">
        <v>0</v>
      </c>
      <c r="GD125" s="40"/>
      <c r="GI125" s="44">
        <v>0</v>
      </c>
      <c r="GJ125" s="40"/>
      <c r="GM125" s="44">
        <v>0</v>
      </c>
      <c r="GN125" s="40"/>
      <c r="GO125" s="39"/>
      <c r="GQ125" s="44">
        <v>0</v>
      </c>
      <c r="GR125" s="40"/>
      <c r="GX125" s="44">
        <v>0</v>
      </c>
      <c r="GY125" s="40"/>
      <c r="HD125" s="44">
        <v>0</v>
      </c>
      <c r="HE125" s="40"/>
      <c r="HF125" s="39"/>
      <c r="HJ125" s="44">
        <v>0</v>
      </c>
      <c r="HK125" s="40"/>
      <c r="HL125" s="39"/>
      <c r="HP125" s="44">
        <v>0</v>
      </c>
      <c r="HQ125" s="40"/>
      <c r="HT125" s="33">
        <v>48</v>
      </c>
      <c r="HV125" s="44">
        <v>0</v>
      </c>
      <c r="HW125" s="43"/>
      <c r="HZ125">
        <v>32</v>
      </c>
      <c r="IA125">
        <v>30</v>
      </c>
      <c r="IB125" s="44">
        <v>2</v>
      </c>
      <c r="IC125" s="43"/>
      <c r="IF125">
        <v>128</v>
      </c>
      <c r="IG125">
        <v>130</v>
      </c>
      <c r="IH125" s="44">
        <v>-2</v>
      </c>
      <c r="II125" s="43"/>
      <c r="IN125" s="44">
        <v>0</v>
      </c>
      <c r="IO125" s="40"/>
      <c r="IQ125">
        <v>62</v>
      </c>
      <c r="IR125" s="46">
        <v>-62</v>
      </c>
      <c r="IS125" s="43">
        <v>24.8</v>
      </c>
      <c r="IT125">
        <v>24</v>
      </c>
      <c r="IU125">
        <v>23</v>
      </c>
      <c r="IX125" s="44">
        <v>1</v>
      </c>
      <c r="IY125" s="43"/>
      <c r="IZ125">
        <v>72</v>
      </c>
      <c r="JA125" s="47">
        <v>70</v>
      </c>
      <c r="JB125" s="44">
        <v>2</v>
      </c>
      <c r="JC125" s="40"/>
      <c r="JH125" s="44">
        <v>0</v>
      </c>
      <c r="JI125" s="40"/>
      <c r="JJ125">
        <v>48</v>
      </c>
      <c r="JK125">
        <v>50</v>
      </c>
      <c r="JL125">
        <v>80</v>
      </c>
      <c r="JM125">
        <v>85</v>
      </c>
      <c r="JN125" s="44">
        <v>-7</v>
      </c>
      <c r="JO125" s="43"/>
      <c r="JP125">
        <v>40</v>
      </c>
      <c r="JQ125">
        <v>40</v>
      </c>
      <c r="JR125">
        <v>72</v>
      </c>
      <c r="JS125">
        <v>70</v>
      </c>
      <c r="JT125" s="44">
        <v>2</v>
      </c>
      <c r="JU125" s="43"/>
      <c r="JZ125" s="44">
        <v>0</v>
      </c>
      <c r="KA125" s="43"/>
      <c r="KB125" s="42"/>
      <c r="KE125">
        <v>96</v>
      </c>
      <c r="KF125">
        <v>100</v>
      </c>
      <c r="KG125">
        <v>96</v>
      </c>
      <c r="KH125">
        <v>100</v>
      </c>
      <c r="KI125" s="44">
        <v>-8</v>
      </c>
      <c r="KJ125" s="43"/>
      <c r="KK125" s="47">
        <v>0</v>
      </c>
      <c r="KL125" s="47">
        <v>0</v>
      </c>
      <c r="KM125" s="47">
        <v>0</v>
      </c>
      <c r="KN125" s="47">
        <v>0</v>
      </c>
      <c r="KO125" s="44">
        <v>0</v>
      </c>
      <c r="KP125" s="43"/>
      <c r="KQ125" s="47">
        <v>0</v>
      </c>
      <c r="KR125" s="47">
        <v>0</v>
      </c>
      <c r="KS125" s="47">
        <v>0</v>
      </c>
      <c r="KT125" s="47">
        <v>0</v>
      </c>
      <c r="KU125" s="44">
        <v>0</v>
      </c>
      <c r="KV125" s="43"/>
      <c r="KW125" s="42">
        <v>120</v>
      </c>
      <c r="KX125" s="47">
        <v>120</v>
      </c>
      <c r="KY125" s="44">
        <v>0</v>
      </c>
      <c r="KZ125" s="43"/>
      <c r="LA125" s="42">
        <v>0</v>
      </c>
      <c r="LB125" s="47">
        <v>0</v>
      </c>
      <c r="LC125" s="47">
        <v>0</v>
      </c>
      <c r="LD125" s="47">
        <v>0</v>
      </c>
      <c r="LE125" s="44">
        <v>0</v>
      </c>
      <c r="LF125" s="43"/>
      <c r="LG125" s="42">
        <v>40</v>
      </c>
      <c r="LH125" s="47">
        <v>40</v>
      </c>
      <c r="LI125" s="47">
        <v>0</v>
      </c>
      <c r="LJ125" s="47">
        <v>0</v>
      </c>
      <c r="LK125" s="44">
        <v>0</v>
      </c>
      <c r="LL125" s="43"/>
      <c r="LM125" s="42">
        <v>152</v>
      </c>
      <c r="LN125" s="47">
        <v>150</v>
      </c>
      <c r="LO125" s="44">
        <v>2</v>
      </c>
      <c r="LP125" s="43"/>
      <c r="LQ125" s="42">
        <v>0</v>
      </c>
      <c r="LR125" s="47">
        <v>0</v>
      </c>
      <c r="LS125" s="47">
        <v>0</v>
      </c>
      <c r="LT125" s="47">
        <v>0</v>
      </c>
      <c r="LU125" s="44">
        <v>0</v>
      </c>
      <c r="LV125" s="43"/>
      <c r="LW125" s="42">
        <v>40</v>
      </c>
      <c r="LX125" s="47">
        <v>40</v>
      </c>
      <c r="LY125" s="47">
        <v>0</v>
      </c>
      <c r="LZ125" s="47">
        <v>0</v>
      </c>
      <c r="MA125" s="44">
        <v>0</v>
      </c>
      <c r="MB125" s="43"/>
      <c r="MC125" s="42">
        <v>80</v>
      </c>
      <c r="MD125" s="47">
        <v>80</v>
      </c>
      <c r="ME125" s="47">
        <v>0</v>
      </c>
      <c r="MF125" s="47">
        <v>0</v>
      </c>
      <c r="MG125" s="44">
        <v>0</v>
      </c>
      <c r="MH125" s="43"/>
      <c r="MI125" s="42"/>
      <c r="MN125" s="43"/>
      <c r="MO125" s="42"/>
      <c r="MT125" s="43"/>
      <c r="MU125" s="42"/>
      <c r="MZ125" s="43"/>
      <c r="NA125" s="42"/>
      <c r="NF125" s="43"/>
      <c r="NG125" s="42"/>
      <c r="NL125" s="43"/>
      <c r="NM125" s="42"/>
      <c r="NR125" s="43"/>
      <c r="NS125" s="42"/>
      <c r="NX125" s="43"/>
      <c r="NY125" s="42"/>
      <c r="OD125" s="43"/>
      <c r="OE125" s="42"/>
      <c r="OJ125" s="43"/>
      <c r="OK125" s="42"/>
      <c r="OP125" s="43"/>
      <c r="OQ125" s="42"/>
      <c r="OV125" s="43"/>
      <c r="OW125" s="42"/>
      <c r="PB125" s="43"/>
      <c r="PC125" s="42"/>
      <c r="PH125" s="43"/>
      <c r="PI125" s="42"/>
      <c r="PN125" s="43"/>
      <c r="PO125" s="42"/>
      <c r="PT125" s="43"/>
      <c r="PU125" s="42"/>
      <c r="PZ125" s="43"/>
      <c r="QA125" s="42"/>
      <c r="QD125" s="43"/>
      <c r="QE125" s="42"/>
      <c r="QH125" s="43"/>
      <c r="QI125" s="42"/>
      <c r="QL125" s="43"/>
      <c r="QM125" s="42"/>
      <c r="QR125" s="43"/>
      <c r="QS125" s="42"/>
      <c r="QV125" s="43"/>
      <c r="QW125" s="42"/>
      <c r="QY125" s="44"/>
      <c r="QZ125" s="43"/>
    </row>
    <row r="126" spans="1:468" x14ac:dyDescent="0.25">
      <c r="A126" s="47" t="s">
        <v>410</v>
      </c>
      <c r="B126" s="38">
        <v>1</v>
      </c>
      <c r="N126" s="39"/>
      <c r="O126" s="48"/>
      <c r="P126" s="48"/>
      <c r="Q126" s="48"/>
      <c r="R126" s="48">
        <f t="shared" si="13"/>
        <v>0</v>
      </c>
      <c r="S126" s="40"/>
      <c r="T126" s="39"/>
      <c r="U126" s="48"/>
      <c r="V126" s="48">
        <f t="shared" si="14"/>
        <v>0</v>
      </c>
      <c r="W126" s="40"/>
      <c r="X126" s="39"/>
      <c r="Y126" s="48"/>
      <c r="Z126" s="48"/>
      <c r="AA126" s="48"/>
      <c r="AB126" s="48">
        <f t="shared" si="15"/>
        <v>0</v>
      </c>
      <c r="AC126" s="40"/>
      <c r="AD126" s="48"/>
      <c r="AH126" s="44">
        <v>0</v>
      </c>
      <c r="AI126" s="40"/>
      <c r="AN126" s="44">
        <v>0</v>
      </c>
      <c r="AO126" s="40"/>
      <c r="AT126" s="44">
        <v>0</v>
      </c>
      <c r="AU126" s="40"/>
      <c r="AV126" s="39"/>
      <c r="AX126" s="44">
        <v>0</v>
      </c>
      <c r="AY126" s="40"/>
      <c r="AZ126" s="39"/>
      <c r="BB126" s="44">
        <v>0</v>
      </c>
      <c r="BC126" s="40"/>
      <c r="BH126" s="44">
        <v>0</v>
      </c>
      <c r="BI126" s="40"/>
      <c r="BL126" s="44">
        <v>0</v>
      </c>
      <c r="BM126" s="40"/>
      <c r="BN126" s="39"/>
      <c r="BR126" s="44">
        <v>0</v>
      </c>
      <c r="BS126" s="40"/>
      <c r="BV126" s="44">
        <v>0</v>
      </c>
      <c r="BW126" s="40"/>
      <c r="BX126" s="39"/>
      <c r="BZ126" s="44">
        <v>0</v>
      </c>
      <c r="CA126" s="40"/>
      <c r="CB126" s="39"/>
      <c r="CH126" s="44">
        <v>0</v>
      </c>
      <c r="CI126" s="40"/>
      <c r="CN126" s="44">
        <v>0</v>
      </c>
      <c r="CO126" s="40"/>
      <c r="CP126" s="39"/>
      <c r="CT126" s="44">
        <v>0</v>
      </c>
      <c r="CU126" s="40"/>
      <c r="CV126" s="39"/>
      <c r="CZ126" s="44">
        <v>0</v>
      </c>
      <c r="DA126" s="40"/>
      <c r="DB126" s="39"/>
      <c r="DF126" s="44">
        <v>0</v>
      </c>
      <c r="DG126" s="40"/>
      <c r="DN126" s="44">
        <v>0</v>
      </c>
      <c r="DO126" s="40"/>
      <c r="DP126" s="39"/>
      <c r="DR126" s="44">
        <v>0</v>
      </c>
      <c r="DS126" s="40"/>
      <c r="DT126" s="39"/>
      <c r="DX126" s="44">
        <v>0</v>
      </c>
      <c r="DY126" s="40"/>
      <c r="DZ126" s="39"/>
      <c r="EB126" s="44">
        <v>0</v>
      </c>
      <c r="EC126" s="40"/>
      <c r="EK126" s="44">
        <v>0</v>
      </c>
      <c r="EL126" s="40"/>
      <c r="ES126" s="44">
        <v>0</v>
      </c>
      <c r="ET126" s="40"/>
      <c r="EU126" s="39"/>
      <c r="EY126" s="44">
        <v>0</v>
      </c>
      <c r="EZ126" s="40"/>
      <c r="FA126" s="39"/>
      <c r="FD126" s="44">
        <v>0</v>
      </c>
      <c r="FE126" s="40"/>
      <c r="FH126" s="44">
        <v>0</v>
      </c>
      <c r="FI126" s="40"/>
      <c r="FJ126" s="39"/>
      <c r="FQ126" s="44">
        <v>0</v>
      </c>
      <c r="FR126" s="40"/>
      <c r="FW126" s="44">
        <v>0</v>
      </c>
      <c r="FX126" s="40"/>
      <c r="FY126" s="39"/>
      <c r="GC126" s="44">
        <v>0</v>
      </c>
      <c r="GD126" s="40"/>
      <c r="GI126" s="44">
        <v>0</v>
      </c>
      <c r="GJ126" s="40"/>
      <c r="GM126" s="44">
        <v>0</v>
      </c>
      <c r="GN126" s="40"/>
      <c r="GO126" s="39"/>
      <c r="GQ126" s="44">
        <v>0</v>
      </c>
      <c r="GR126" s="40"/>
      <c r="GX126" s="44">
        <v>0</v>
      </c>
      <c r="GY126" s="40"/>
      <c r="HD126" s="44">
        <v>0</v>
      </c>
      <c r="HE126" s="40"/>
      <c r="HF126" s="39"/>
      <c r="HJ126" s="44">
        <v>0</v>
      </c>
      <c r="HK126" s="40"/>
      <c r="HL126" s="39"/>
      <c r="HP126" s="44">
        <v>0</v>
      </c>
      <c r="HQ126" s="40"/>
      <c r="HV126" s="44">
        <v>0</v>
      </c>
      <c r="HW126" s="43"/>
      <c r="HZ126">
        <v>53</v>
      </c>
      <c r="IA126">
        <v>53</v>
      </c>
      <c r="IB126" s="44">
        <v>0</v>
      </c>
      <c r="IC126" s="43"/>
      <c r="IH126" s="44">
        <v>0</v>
      </c>
      <c r="II126" s="43"/>
      <c r="IN126" s="44">
        <v>0</v>
      </c>
      <c r="IO126" s="40"/>
      <c r="IP126">
        <v>49</v>
      </c>
      <c r="IQ126">
        <v>50</v>
      </c>
      <c r="IR126" s="44">
        <v>-1</v>
      </c>
      <c r="IS126" s="40"/>
      <c r="IV126">
        <v>28</v>
      </c>
      <c r="IW126">
        <v>28</v>
      </c>
      <c r="IX126" s="44">
        <v>0</v>
      </c>
      <c r="IY126" s="43"/>
      <c r="JB126" s="44">
        <v>0</v>
      </c>
      <c r="JC126" s="40"/>
      <c r="JF126">
        <v>49</v>
      </c>
      <c r="JG126">
        <v>50</v>
      </c>
      <c r="JH126" s="44">
        <v>-1</v>
      </c>
      <c r="JI126" s="40"/>
      <c r="JN126" s="44">
        <v>0</v>
      </c>
      <c r="JO126" s="43"/>
      <c r="JR126">
        <v>32</v>
      </c>
      <c r="JS126">
        <v>32</v>
      </c>
      <c r="JT126" s="44">
        <v>0</v>
      </c>
      <c r="JU126" s="43"/>
      <c r="JX126">
        <v>64</v>
      </c>
      <c r="JY126">
        <v>65</v>
      </c>
      <c r="JZ126" s="44">
        <v>-1</v>
      </c>
      <c r="KA126" s="43"/>
      <c r="KB126" s="42"/>
      <c r="KG126">
        <v>21</v>
      </c>
      <c r="KH126">
        <v>20</v>
      </c>
      <c r="KI126" s="44">
        <v>1</v>
      </c>
      <c r="KJ126" s="43"/>
      <c r="KK126" s="47">
        <v>12.093999999999999</v>
      </c>
      <c r="KL126" s="47">
        <v>10</v>
      </c>
      <c r="KM126" s="47">
        <v>0</v>
      </c>
      <c r="KN126" s="47">
        <v>0</v>
      </c>
      <c r="KO126" s="44">
        <v>2.093999999999999</v>
      </c>
      <c r="KP126" s="43"/>
      <c r="KQ126" s="47">
        <v>0</v>
      </c>
      <c r="KR126" s="47">
        <v>0</v>
      </c>
      <c r="KS126" s="47">
        <v>81.037999999999997</v>
      </c>
      <c r="KT126" s="47">
        <v>85</v>
      </c>
      <c r="KU126" s="44">
        <v>-3.9620000000000029</v>
      </c>
      <c r="KV126" s="43"/>
      <c r="KW126" s="42">
        <v>0</v>
      </c>
      <c r="KX126" s="47">
        <v>0</v>
      </c>
      <c r="KY126" s="44">
        <v>0</v>
      </c>
      <c r="KZ126" s="43"/>
      <c r="LA126" s="42">
        <v>0</v>
      </c>
      <c r="LB126" s="47">
        <v>0</v>
      </c>
      <c r="LC126" s="47">
        <v>0</v>
      </c>
      <c r="LD126" s="47">
        <v>0</v>
      </c>
      <c r="LE126" s="44">
        <v>0</v>
      </c>
      <c r="LF126" s="43"/>
      <c r="LG126" s="42">
        <v>40.548000000000002</v>
      </c>
      <c r="LH126" s="47">
        <v>40</v>
      </c>
      <c r="LI126" s="47">
        <v>40.411999999999999</v>
      </c>
      <c r="LJ126" s="47">
        <v>40</v>
      </c>
      <c r="LK126" s="44">
        <v>0.96000000000000796</v>
      </c>
      <c r="LL126" s="43"/>
      <c r="LM126" s="42">
        <v>60.287999999999997</v>
      </c>
      <c r="LN126" s="47">
        <v>70</v>
      </c>
      <c r="LO126" s="46">
        <v>-9.7120000000000033</v>
      </c>
      <c r="LP126" s="43">
        <v>9.7120000000000033</v>
      </c>
      <c r="LQ126" s="42">
        <v>0</v>
      </c>
      <c r="LR126" s="47">
        <v>0</v>
      </c>
      <c r="LS126" s="47">
        <v>0</v>
      </c>
      <c r="LT126" s="47">
        <v>0</v>
      </c>
      <c r="LU126" s="44">
        <v>0</v>
      </c>
      <c r="LV126" s="43"/>
      <c r="LW126" s="42">
        <v>40.473999999999997</v>
      </c>
      <c r="LX126" s="47">
        <v>40</v>
      </c>
      <c r="LY126" s="47">
        <v>0</v>
      </c>
      <c r="LZ126" s="47">
        <v>0</v>
      </c>
      <c r="MA126" s="44">
        <v>0.47399999999999659</v>
      </c>
      <c r="MB126" s="43"/>
      <c r="MC126" s="42">
        <v>68.468000000000004</v>
      </c>
      <c r="MD126" s="47">
        <v>70</v>
      </c>
      <c r="ME126" s="47">
        <v>0</v>
      </c>
      <c r="MF126" s="47">
        <v>0</v>
      </c>
      <c r="MG126" s="44">
        <v>-1.531999999999996</v>
      </c>
      <c r="MH126" s="43"/>
      <c r="MI126" s="42"/>
      <c r="MN126" s="43"/>
      <c r="MO126" s="42"/>
      <c r="MT126" s="43"/>
      <c r="MU126" s="42"/>
      <c r="MZ126" s="43"/>
      <c r="NA126" s="42"/>
      <c r="NF126" s="43"/>
      <c r="NG126" s="42"/>
      <c r="NL126" s="43"/>
      <c r="NM126" s="42"/>
      <c r="NR126" s="43"/>
      <c r="NS126" s="42"/>
      <c r="NX126" s="43"/>
      <c r="NY126" s="42"/>
      <c r="OD126" s="43"/>
      <c r="OE126" s="42"/>
      <c r="OJ126" s="43"/>
      <c r="OK126" s="42"/>
      <c r="OP126" s="43"/>
      <c r="OQ126" s="42"/>
      <c r="OV126" s="43"/>
      <c r="OW126" s="42"/>
      <c r="PB126" s="43"/>
      <c r="PC126" s="42"/>
      <c r="PH126" s="43"/>
      <c r="PI126" s="42"/>
      <c r="PN126" s="43"/>
      <c r="PO126" s="42"/>
      <c r="PT126" s="43"/>
      <c r="PU126" s="42"/>
      <c r="PZ126" s="43"/>
      <c r="QA126" s="42"/>
      <c r="QD126" s="43"/>
      <c r="QE126" s="42"/>
      <c r="QH126" s="43"/>
      <c r="QI126" s="42"/>
      <c r="QL126" s="43"/>
      <c r="QM126" s="42"/>
      <c r="QR126" s="43"/>
      <c r="QS126" s="42"/>
      <c r="QV126" s="43"/>
      <c r="QW126" s="42"/>
      <c r="QY126" s="44"/>
      <c r="QZ126" s="43"/>
    </row>
    <row r="127" spans="1:468" x14ac:dyDescent="0.25">
      <c r="A127" s="47" t="s">
        <v>411</v>
      </c>
      <c r="B127" s="38">
        <v>0.66</v>
      </c>
      <c r="N127" s="39"/>
      <c r="O127" s="48"/>
      <c r="P127" s="48"/>
      <c r="Q127" s="48"/>
      <c r="R127" s="48">
        <f t="shared" si="13"/>
        <v>0</v>
      </c>
      <c r="S127" s="40"/>
      <c r="T127" s="39"/>
      <c r="U127" s="48"/>
      <c r="V127" s="48">
        <f t="shared" si="14"/>
        <v>0</v>
      </c>
      <c r="W127" s="40"/>
      <c r="X127" s="39"/>
      <c r="Y127" s="48"/>
      <c r="Z127" s="48"/>
      <c r="AA127" s="48"/>
      <c r="AB127" s="48">
        <f t="shared" si="15"/>
        <v>0</v>
      </c>
      <c r="AC127" s="40"/>
      <c r="AD127" s="48"/>
      <c r="AH127" s="44">
        <v>0</v>
      </c>
      <c r="AI127" s="40"/>
      <c r="AN127" s="44">
        <v>0</v>
      </c>
      <c r="AO127" s="40"/>
      <c r="AT127" s="44">
        <v>0</v>
      </c>
      <c r="AU127" s="40"/>
      <c r="AV127" s="39"/>
      <c r="AX127" s="44">
        <v>0</v>
      </c>
      <c r="AY127" s="40"/>
      <c r="AZ127" s="39"/>
      <c r="BB127" s="44">
        <v>0</v>
      </c>
      <c r="BC127" s="40"/>
      <c r="BH127" s="44">
        <v>0</v>
      </c>
      <c r="BI127" s="40"/>
      <c r="BL127" s="44">
        <v>0</v>
      </c>
      <c r="BM127" s="40"/>
      <c r="BN127" s="39"/>
      <c r="BR127" s="44">
        <v>0</v>
      </c>
      <c r="BS127" s="40"/>
      <c r="BV127" s="44">
        <v>0</v>
      </c>
      <c r="BW127" s="40"/>
      <c r="BX127" s="39"/>
      <c r="BZ127" s="44">
        <v>0</v>
      </c>
      <c r="CA127" s="40"/>
      <c r="CB127" s="39"/>
      <c r="CH127" s="44">
        <v>0</v>
      </c>
      <c r="CI127" s="40"/>
      <c r="CN127" s="44">
        <v>0</v>
      </c>
      <c r="CO127" s="40"/>
      <c r="CP127" s="39"/>
      <c r="CT127" s="44">
        <v>0</v>
      </c>
      <c r="CU127" s="40"/>
      <c r="CV127" s="39"/>
      <c r="CZ127" s="44">
        <v>0</v>
      </c>
      <c r="DA127" s="40"/>
      <c r="DB127" s="39"/>
      <c r="DF127" s="44">
        <v>0</v>
      </c>
      <c r="DG127" s="40"/>
      <c r="DN127" s="44">
        <v>0</v>
      </c>
      <c r="DO127" s="40"/>
      <c r="DP127" s="39"/>
      <c r="DR127" s="44">
        <v>0</v>
      </c>
      <c r="DS127" s="40"/>
      <c r="DT127" s="39"/>
      <c r="DX127" s="44">
        <v>0</v>
      </c>
      <c r="DY127" s="40"/>
      <c r="DZ127" s="39"/>
      <c r="EB127" s="44">
        <v>0</v>
      </c>
      <c r="EC127" s="40"/>
      <c r="EK127" s="44">
        <v>0</v>
      </c>
      <c r="EL127" s="40"/>
      <c r="ES127" s="44">
        <v>0</v>
      </c>
      <c r="ET127" s="40"/>
      <c r="EU127" s="39"/>
      <c r="EY127" s="44">
        <v>0</v>
      </c>
      <c r="EZ127" s="40"/>
      <c r="FA127" s="39"/>
      <c r="FD127" s="44">
        <v>0</v>
      </c>
      <c r="FE127" s="40"/>
      <c r="FH127" s="44">
        <v>0</v>
      </c>
      <c r="FI127" s="40"/>
      <c r="FJ127" s="39"/>
      <c r="FQ127" s="44">
        <v>0</v>
      </c>
      <c r="FR127" s="40"/>
      <c r="FW127" s="44">
        <v>0</v>
      </c>
      <c r="FX127" s="40"/>
      <c r="FY127" s="39"/>
      <c r="GC127" s="44">
        <v>0</v>
      </c>
      <c r="GD127" s="40"/>
      <c r="GI127" s="44">
        <v>0</v>
      </c>
      <c r="GJ127" s="40"/>
      <c r="GM127" s="44">
        <v>0</v>
      </c>
      <c r="GN127" s="40"/>
      <c r="GO127" s="39"/>
      <c r="GQ127" s="44">
        <v>0</v>
      </c>
      <c r="GR127" s="40"/>
      <c r="GX127" s="44">
        <v>0</v>
      </c>
      <c r="GY127" s="40"/>
      <c r="HB127">
        <v>8</v>
      </c>
      <c r="HC127">
        <v>7</v>
      </c>
      <c r="HD127" s="44">
        <v>1</v>
      </c>
      <c r="HE127" s="40"/>
      <c r="HF127" s="39"/>
      <c r="HJ127" s="44">
        <v>0</v>
      </c>
      <c r="HK127" s="40"/>
      <c r="HL127" s="39"/>
      <c r="HP127" s="44">
        <v>0</v>
      </c>
      <c r="HQ127" s="40"/>
      <c r="HT127">
        <v>8</v>
      </c>
      <c r="HU127">
        <v>8</v>
      </c>
      <c r="HV127" s="44">
        <v>0</v>
      </c>
      <c r="HW127" s="43"/>
      <c r="IB127" s="44">
        <v>0</v>
      </c>
      <c r="IC127" s="43"/>
      <c r="IG127">
        <v>8</v>
      </c>
      <c r="IH127" s="44">
        <v>-8</v>
      </c>
      <c r="II127" s="43"/>
      <c r="IL127">
        <v>8</v>
      </c>
      <c r="IM127">
        <v>8</v>
      </c>
      <c r="IN127" s="44">
        <v>0</v>
      </c>
      <c r="IO127" s="40"/>
      <c r="IR127" s="44">
        <v>0</v>
      </c>
      <c r="IS127" s="40"/>
      <c r="IV127">
        <v>8</v>
      </c>
      <c r="IW127">
        <v>10</v>
      </c>
      <c r="IX127" s="44">
        <v>-2</v>
      </c>
      <c r="IY127" s="43"/>
      <c r="JB127" s="44">
        <v>0</v>
      </c>
      <c r="JC127" s="40"/>
      <c r="JH127" s="44">
        <v>0</v>
      </c>
      <c r="JI127" s="40"/>
      <c r="JN127" s="44">
        <v>0</v>
      </c>
      <c r="JO127" s="43"/>
      <c r="JR127">
        <v>8</v>
      </c>
      <c r="JS127">
        <v>8</v>
      </c>
      <c r="JT127" s="44">
        <v>0</v>
      </c>
      <c r="JU127" s="43"/>
      <c r="JV127">
        <v>8</v>
      </c>
      <c r="JW127">
        <v>8</v>
      </c>
      <c r="JZ127" s="44">
        <v>0</v>
      </c>
      <c r="KA127" s="43"/>
      <c r="KB127" s="42"/>
      <c r="KI127" s="44">
        <v>0</v>
      </c>
      <c r="KJ127" s="43"/>
      <c r="KK127" s="47">
        <v>0</v>
      </c>
      <c r="KL127" s="47">
        <v>0</v>
      </c>
      <c r="KM127" s="47">
        <v>16</v>
      </c>
      <c r="KN127" s="47">
        <v>16</v>
      </c>
      <c r="KO127" s="44">
        <v>0</v>
      </c>
      <c r="KP127" s="43"/>
      <c r="KQ127" s="47">
        <v>0</v>
      </c>
      <c r="KR127" s="47">
        <v>0</v>
      </c>
      <c r="KS127" s="47">
        <v>0</v>
      </c>
      <c r="KT127" s="47">
        <v>0</v>
      </c>
      <c r="KU127" s="44">
        <v>0</v>
      </c>
      <c r="KV127" s="43"/>
      <c r="KW127" s="42">
        <v>0</v>
      </c>
      <c r="KX127" s="47">
        <v>0</v>
      </c>
      <c r="KY127" s="44">
        <v>0</v>
      </c>
      <c r="KZ127" s="43"/>
      <c r="LA127" s="42">
        <v>0</v>
      </c>
      <c r="LB127" s="47">
        <v>0</v>
      </c>
      <c r="LC127" s="47">
        <v>8</v>
      </c>
      <c r="LD127" s="47">
        <v>8</v>
      </c>
      <c r="LE127" s="44">
        <v>0</v>
      </c>
      <c r="LF127" s="43"/>
      <c r="LG127" s="42">
        <v>0</v>
      </c>
      <c r="LH127" s="47">
        <v>0</v>
      </c>
      <c r="LI127" s="47">
        <v>24</v>
      </c>
      <c r="LJ127" s="47">
        <v>24</v>
      </c>
      <c r="LK127" s="44">
        <v>0</v>
      </c>
      <c r="LL127" s="43"/>
      <c r="LM127" s="42">
        <v>0</v>
      </c>
      <c r="LN127" s="47">
        <v>0</v>
      </c>
      <c r="LO127" s="44">
        <v>0</v>
      </c>
      <c r="LP127" s="43"/>
      <c r="LQ127" s="42">
        <v>0</v>
      </c>
      <c r="LR127" s="47">
        <v>0</v>
      </c>
      <c r="LS127" s="47">
        <v>8</v>
      </c>
      <c r="LT127" s="47">
        <v>8</v>
      </c>
      <c r="LU127" s="44">
        <v>0</v>
      </c>
      <c r="LV127" s="43"/>
      <c r="LW127" s="42">
        <v>8</v>
      </c>
      <c r="LX127" s="47">
        <v>8</v>
      </c>
      <c r="LY127" s="47">
        <v>0</v>
      </c>
      <c r="LZ127" s="47">
        <v>0</v>
      </c>
      <c r="MA127" s="44">
        <v>0</v>
      </c>
      <c r="MB127" s="43"/>
      <c r="MC127" s="42">
        <v>0</v>
      </c>
      <c r="MD127" s="47">
        <v>0</v>
      </c>
      <c r="ME127" s="47">
        <v>0</v>
      </c>
      <c r="MF127" s="47">
        <v>0</v>
      </c>
      <c r="MG127" s="44">
        <v>0</v>
      </c>
      <c r="MH127" s="43"/>
      <c r="MI127" s="42">
        <v>0</v>
      </c>
      <c r="MJ127" s="47">
        <v>0</v>
      </c>
      <c r="MK127" s="47">
        <v>8</v>
      </c>
      <c r="ML127" s="47">
        <v>8</v>
      </c>
      <c r="MM127" s="44">
        <v>0</v>
      </c>
      <c r="MN127" s="43"/>
      <c r="MO127" s="42">
        <v>0</v>
      </c>
      <c r="MP127" s="47">
        <v>0</v>
      </c>
      <c r="MQ127" s="47">
        <v>8</v>
      </c>
      <c r="MR127" s="47">
        <v>8</v>
      </c>
      <c r="MS127" s="44">
        <v>0</v>
      </c>
      <c r="MT127" s="43"/>
      <c r="MU127" s="42">
        <v>0</v>
      </c>
      <c r="MV127" s="47">
        <v>0</v>
      </c>
      <c r="MW127" s="47">
        <v>0</v>
      </c>
      <c r="MX127" s="47">
        <v>0</v>
      </c>
      <c r="MY127" s="44">
        <v>0</v>
      </c>
      <c r="MZ127" s="43"/>
      <c r="NA127" s="42">
        <v>0</v>
      </c>
      <c r="NB127" s="47">
        <v>0</v>
      </c>
      <c r="NC127" s="47">
        <v>0</v>
      </c>
      <c r="ND127" s="47">
        <v>0</v>
      </c>
      <c r="NE127" s="44">
        <v>0</v>
      </c>
      <c r="NF127" s="43"/>
      <c r="NG127" s="42">
        <v>0</v>
      </c>
      <c r="NH127" s="47">
        <v>0</v>
      </c>
      <c r="NI127" s="47">
        <v>0</v>
      </c>
      <c r="NJ127" s="47">
        <v>0</v>
      </c>
      <c r="NK127" s="44">
        <v>0</v>
      </c>
      <c r="NL127" s="43"/>
      <c r="NM127" s="42">
        <v>0</v>
      </c>
      <c r="NN127" s="47">
        <v>0</v>
      </c>
      <c r="NO127" s="47">
        <v>40</v>
      </c>
      <c r="NP127" s="47">
        <v>40</v>
      </c>
      <c r="NQ127" s="44">
        <v>0</v>
      </c>
      <c r="NR127" s="43"/>
      <c r="NS127" s="42">
        <v>0</v>
      </c>
      <c r="NT127" s="47">
        <v>0</v>
      </c>
      <c r="NU127" s="47">
        <v>0</v>
      </c>
      <c r="NV127" s="47">
        <v>0</v>
      </c>
      <c r="NW127" s="44">
        <v>0</v>
      </c>
      <c r="NX127" s="43"/>
      <c r="NY127" s="42">
        <v>0</v>
      </c>
      <c r="NZ127" s="47">
        <v>0</v>
      </c>
      <c r="OA127" s="47">
        <v>0</v>
      </c>
      <c r="OB127" s="47">
        <v>0</v>
      </c>
      <c r="OC127" s="44">
        <v>0</v>
      </c>
      <c r="OD127" s="43"/>
      <c r="OE127" s="42">
        <v>0</v>
      </c>
      <c r="OF127" s="47">
        <v>0</v>
      </c>
      <c r="OG127" s="47">
        <v>0</v>
      </c>
      <c r="OH127" s="47">
        <v>0</v>
      </c>
      <c r="OI127" s="44">
        <v>0</v>
      </c>
      <c r="OJ127" s="43"/>
      <c r="OK127" s="42">
        <v>0</v>
      </c>
      <c r="OL127" s="47">
        <v>0</v>
      </c>
      <c r="OM127" s="47">
        <v>0</v>
      </c>
      <c r="ON127" s="47">
        <v>0</v>
      </c>
      <c r="OO127" s="44">
        <v>0</v>
      </c>
      <c r="OP127" s="43"/>
      <c r="OQ127" s="42">
        <v>0</v>
      </c>
      <c r="OR127" s="47">
        <v>0</v>
      </c>
      <c r="OS127" s="47">
        <v>0</v>
      </c>
      <c r="OT127" s="47">
        <v>0</v>
      </c>
      <c r="OU127" s="44">
        <v>0</v>
      </c>
      <c r="OV127" s="43"/>
      <c r="OW127" s="42">
        <v>0</v>
      </c>
      <c r="OX127" s="47">
        <v>0</v>
      </c>
      <c r="OY127" s="47">
        <v>32</v>
      </c>
      <c r="OZ127" s="47">
        <v>30</v>
      </c>
      <c r="PA127" s="44">
        <v>2</v>
      </c>
      <c r="PB127" s="43"/>
      <c r="PC127" s="42">
        <v>0</v>
      </c>
      <c r="PD127" s="47">
        <v>0</v>
      </c>
      <c r="PE127" s="47">
        <v>0</v>
      </c>
      <c r="PF127" s="26">
        <v>100</v>
      </c>
      <c r="PG127" s="46">
        <v>-100</v>
      </c>
      <c r="PH127" s="43">
        <v>66</v>
      </c>
      <c r="PI127" s="42">
        <v>0</v>
      </c>
      <c r="PJ127" s="47">
        <v>0</v>
      </c>
      <c r="PK127" s="47">
        <v>32</v>
      </c>
      <c r="PL127" s="47">
        <v>30</v>
      </c>
      <c r="PM127" s="44">
        <v>2</v>
      </c>
      <c r="PN127" s="43"/>
      <c r="PO127" s="42">
        <v>0</v>
      </c>
      <c r="PP127" s="26">
        <v>100</v>
      </c>
      <c r="PQ127" s="47">
        <v>0</v>
      </c>
      <c r="PR127" s="47">
        <v>0</v>
      </c>
      <c r="PS127" s="46">
        <v>-100</v>
      </c>
      <c r="PT127" s="43">
        <v>66</v>
      </c>
      <c r="PU127" s="42">
        <v>0</v>
      </c>
      <c r="PV127" s="47">
        <v>0</v>
      </c>
      <c r="PW127" s="47">
        <v>0</v>
      </c>
      <c r="PX127" s="47">
        <v>0</v>
      </c>
      <c r="PY127" s="44">
        <v>0</v>
      </c>
      <c r="PZ127" s="43"/>
      <c r="QA127" s="42">
        <v>0</v>
      </c>
      <c r="QB127" s="47">
        <v>0</v>
      </c>
      <c r="QC127" s="44">
        <v>0</v>
      </c>
      <c r="QD127" s="43"/>
      <c r="QE127" s="42">
        <v>72</v>
      </c>
      <c r="QF127" s="47">
        <v>70</v>
      </c>
      <c r="QG127" s="44">
        <v>2</v>
      </c>
      <c r="QH127" s="43"/>
      <c r="QI127" s="42">
        <v>0</v>
      </c>
      <c r="QJ127" s="47">
        <v>0</v>
      </c>
      <c r="QK127" s="44">
        <v>0</v>
      </c>
      <c r="QL127" s="43"/>
      <c r="QM127" s="42">
        <v>0</v>
      </c>
      <c r="QN127" s="47">
        <v>0</v>
      </c>
      <c r="QO127" s="47">
        <v>0</v>
      </c>
      <c r="QP127" s="47">
        <v>0</v>
      </c>
      <c r="QQ127" s="44">
        <v>0</v>
      </c>
      <c r="QR127" s="43"/>
      <c r="QS127" s="42">
        <v>0</v>
      </c>
      <c r="QT127" s="47">
        <v>0</v>
      </c>
      <c r="QU127" s="44">
        <v>0</v>
      </c>
      <c r="QV127" s="43"/>
      <c r="QW127" s="42">
        <v>0</v>
      </c>
      <c r="QX127" s="47">
        <v>0</v>
      </c>
      <c r="QY127" s="44">
        <v>0</v>
      </c>
      <c r="QZ127" s="43"/>
    </row>
    <row r="128" spans="1:468" x14ac:dyDescent="0.25">
      <c r="A128" s="47" t="s">
        <v>412</v>
      </c>
      <c r="B128" s="38">
        <v>0.66</v>
      </c>
      <c r="N128" s="39"/>
      <c r="O128" s="48"/>
      <c r="P128" s="48"/>
      <c r="Q128" s="48"/>
      <c r="R128" s="48">
        <f t="shared" si="13"/>
        <v>0</v>
      </c>
      <c r="S128" s="40"/>
      <c r="T128" s="39"/>
      <c r="U128" s="48"/>
      <c r="V128" s="48">
        <f t="shared" si="14"/>
        <v>0</v>
      </c>
      <c r="W128" s="40"/>
      <c r="X128" s="39"/>
      <c r="Y128" s="48"/>
      <c r="Z128" s="48"/>
      <c r="AA128" s="48"/>
      <c r="AB128" s="48">
        <f t="shared" si="15"/>
        <v>0</v>
      </c>
      <c r="AC128" s="40"/>
      <c r="AD128" s="48"/>
      <c r="AH128" s="44">
        <v>0</v>
      </c>
      <c r="AI128" s="40"/>
      <c r="AN128" s="44">
        <v>0</v>
      </c>
      <c r="AO128" s="40"/>
      <c r="AT128" s="44">
        <v>0</v>
      </c>
      <c r="AU128" s="40"/>
      <c r="AV128" s="39"/>
      <c r="AX128" s="44">
        <v>0</v>
      </c>
      <c r="AY128" s="40"/>
      <c r="AZ128" s="39"/>
      <c r="BB128" s="44">
        <v>0</v>
      </c>
      <c r="BC128" s="40"/>
      <c r="BH128" s="44">
        <v>0</v>
      </c>
      <c r="BI128" s="40"/>
      <c r="BL128" s="44">
        <v>0</v>
      </c>
      <c r="BM128" s="40"/>
      <c r="BN128" s="39"/>
      <c r="BR128" s="44">
        <v>0</v>
      </c>
      <c r="BS128" s="40"/>
      <c r="BV128" s="44">
        <v>0</v>
      </c>
      <c r="BW128" s="40"/>
      <c r="BX128" s="39"/>
      <c r="BZ128" s="44">
        <v>0</v>
      </c>
      <c r="CA128" s="40"/>
      <c r="CB128" s="39"/>
      <c r="CH128" s="44">
        <v>0</v>
      </c>
      <c r="CI128" s="40"/>
      <c r="CN128" s="44">
        <v>0</v>
      </c>
      <c r="CO128" s="40"/>
      <c r="CP128" s="39"/>
      <c r="CT128" s="44">
        <v>0</v>
      </c>
      <c r="CU128" s="40"/>
      <c r="CV128" s="39"/>
      <c r="CZ128" s="44">
        <v>0</v>
      </c>
      <c r="DA128" s="40"/>
      <c r="DB128" s="39"/>
      <c r="DF128" s="44">
        <v>0</v>
      </c>
      <c r="DG128" s="40"/>
      <c r="DN128" s="44">
        <v>0</v>
      </c>
      <c r="DO128" s="40"/>
      <c r="DP128" s="39"/>
      <c r="DR128" s="44">
        <v>0</v>
      </c>
      <c r="DS128" s="40"/>
      <c r="DT128" s="39"/>
      <c r="DX128" s="44">
        <v>0</v>
      </c>
      <c r="DY128" s="40"/>
      <c r="DZ128" s="39"/>
      <c r="EB128" s="44">
        <v>0</v>
      </c>
      <c r="EC128" s="40"/>
      <c r="EK128" s="44">
        <v>0</v>
      </c>
      <c r="EL128" s="40"/>
      <c r="ES128" s="44">
        <v>0</v>
      </c>
      <c r="ET128" s="40"/>
      <c r="EU128" s="39"/>
      <c r="EY128" s="44">
        <v>0</v>
      </c>
      <c r="EZ128" s="40"/>
      <c r="FA128" s="39"/>
      <c r="FD128" s="44">
        <v>0</v>
      </c>
      <c r="FE128" s="40"/>
      <c r="FH128" s="44">
        <v>0</v>
      </c>
      <c r="FI128" s="40"/>
      <c r="FJ128" s="39"/>
      <c r="FQ128" s="44">
        <v>0</v>
      </c>
      <c r="FR128" s="40"/>
      <c r="FW128" s="44">
        <v>0</v>
      </c>
      <c r="FX128" s="40"/>
      <c r="FY128" s="39"/>
      <c r="GC128" s="44">
        <v>0</v>
      </c>
      <c r="GD128" s="40"/>
      <c r="GI128" s="44">
        <v>0</v>
      </c>
      <c r="GJ128" s="40"/>
      <c r="GM128" s="44">
        <v>0</v>
      </c>
      <c r="GN128" s="40"/>
      <c r="GO128" s="39"/>
      <c r="GQ128" s="44">
        <v>0</v>
      </c>
      <c r="GR128" s="40"/>
      <c r="GX128" s="44">
        <v>0</v>
      </c>
      <c r="GY128" s="40"/>
      <c r="HB128">
        <v>8</v>
      </c>
      <c r="HC128">
        <v>9</v>
      </c>
      <c r="HD128" s="44">
        <v>-1</v>
      </c>
      <c r="HE128" s="40"/>
      <c r="HF128" s="39"/>
      <c r="HJ128" s="44">
        <v>0</v>
      </c>
      <c r="HK128" s="40"/>
      <c r="HL128" s="39"/>
      <c r="HN128">
        <v>8</v>
      </c>
      <c r="HO128">
        <v>8</v>
      </c>
      <c r="HP128" s="44">
        <v>0</v>
      </c>
      <c r="HQ128" s="40"/>
      <c r="HT128">
        <v>24</v>
      </c>
      <c r="HU128">
        <v>24</v>
      </c>
      <c r="HV128" s="44">
        <v>0</v>
      </c>
      <c r="HW128" s="43"/>
      <c r="IB128" s="44">
        <v>0</v>
      </c>
      <c r="IC128" s="43"/>
      <c r="IF128">
        <v>8</v>
      </c>
      <c r="IG128">
        <v>8</v>
      </c>
      <c r="IH128" s="44">
        <v>0</v>
      </c>
      <c r="II128" s="43"/>
      <c r="IL128">
        <v>8</v>
      </c>
      <c r="IM128">
        <v>9</v>
      </c>
      <c r="IN128" s="44">
        <v>-1</v>
      </c>
      <c r="IO128" s="40"/>
      <c r="IQ128">
        <v>9</v>
      </c>
      <c r="IR128" s="44">
        <v>-9</v>
      </c>
      <c r="IS128" s="40"/>
      <c r="IX128" s="44">
        <v>0</v>
      </c>
      <c r="IY128" s="43"/>
      <c r="JB128" s="44">
        <v>0</v>
      </c>
      <c r="JC128" s="40"/>
      <c r="JH128" s="44">
        <v>0</v>
      </c>
      <c r="JI128" s="40"/>
      <c r="JN128" s="44">
        <v>0</v>
      </c>
      <c r="JO128" s="43"/>
      <c r="JT128" s="44">
        <v>0</v>
      </c>
      <c r="JU128" s="43"/>
      <c r="JV128">
        <v>8</v>
      </c>
      <c r="JW128">
        <v>8</v>
      </c>
      <c r="JZ128" s="44">
        <v>0</v>
      </c>
      <c r="KA128" s="43"/>
      <c r="KB128" s="42"/>
      <c r="KG128">
        <v>24</v>
      </c>
      <c r="KH128">
        <v>22</v>
      </c>
      <c r="KI128" s="44">
        <v>2</v>
      </c>
      <c r="KJ128" s="43"/>
      <c r="KK128" s="47">
        <v>0</v>
      </c>
      <c r="KL128" s="47">
        <v>0</v>
      </c>
      <c r="KM128" s="47">
        <v>8</v>
      </c>
      <c r="KN128" s="47">
        <v>8</v>
      </c>
      <c r="KO128" s="44">
        <v>0</v>
      </c>
      <c r="KP128" s="43"/>
      <c r="KQ128" s="47">
        <v>0</v>
      </c>
      <c r="KR128" s="47">
        <v>0</v>
      </c>
      <c r="KS128" s="47">
        <v>0</v>
      </c>
      <c r="KT128" s="47">
        <v>0</v>
      </c>
      <c r="KU128" s="44">
        <v>0</v>
      </c>
      <c r="KV128" s="43"/>
      <c r="KW128" s="42">
        <v>0</v>
      </c>
      <c r="KX128" s="47">
        <v>0</v>
      </c>
      <c r="KY128" s="44">
        <v>0</v>
      </c>
      <c r="KZ128" s="43"/>
      <c r="LA128" s="42">
        <v>0</v>
      </c>
      <c r="LB128" s="47">
        <v>0</v>
      </c>
      <c r="LC128" s="47">
        <v>8</v>
      </c>
      <c r="LD128" s="47">
        <v>8</v>
      </c>
      <c r="LE128" s="44">
        <v>0</v>
      </c>
      <c r="LF128" s="43"/>
      <c r="LG128" s="42">
        <v>0</v>
      </c>
      <c r="LH128" s="47">
        <v>0</v>
      </c>
      <c r="LI128" s="47">
        <v>16</v>
      </c>
      <c r="LJ128" s="47">
        <v>16</v>
      </c>
      <c r="LK128" s="44">
        <v>0</v>
      </c>
      <c r="LL128" s="43"/>
      <c r="LM128" s="42">
        <v>0</v>
      </c>
      <c r="LN128" s="47">
        <v>0</v>
      </c>
      <c r="LO128" s="44">
        <v>0</v>
      </c>
      <c r="LP128" s="43"/>
      <c r="LQ128" s="42">
        <v>0</v>
      </c>
      <c r="LR128" s="47">
        <v>0</v>
      </c>
      <c r="LS128" s="47">
        <v>0</v>
      </c>
      <c r="LT128" s="47">
        <v>0</v>
      </c>
      <c r="LU128" s="44">
        <v>0</v>
      </c>
      <c r="LV128" s="43"/>
      <c r="LW128" s="42">
        <v>0</v>
      </c>
      <c r="LX128" s="47">
        <v>0</v>
      </c>
      <c r="LY128" s="47">
        <v>0</v>
      </c>
      <c r="LZ128" s="47">
        <v>0</v>
      </c>
      <c r="MA128" s="44">
        <v>0</v>
      </c>
      <c r="MB128" s="43"/>
      <c r="MC128" s="42">
        <v>0</v>
      </c>
      <c r="MD128" s="47">
        <v>0</v>
      </c>
      <c r="ME128" s="47">
        <v>0</v>
      </c>
      <c r="MF128" s="47">
        <v>0</v>
      </c>
      <c r="MG128" s="44">
        <v>0</v>
      </c>
      <c r="MH128" s="43"/>
      <c r="MI128" s="42">
        <v>0</v>
      </c>
      <c r="MJ128" s="47">
        <v>0</v>
      </c>
      <c r="MK128" s="47">
        <v>8</v>
      </c>
      <c r="ML128" s="47">
        <v>8</v>
      </c>
      <c r="MM128" s="44">
        <v>0</v>
      </c>
      <c r="MN128" s="43"/>
      <c r="MO128" s="42">
        <v>0</v>
      </c>
      <c r="MP128" s="47">
        <v>0</v>
      </c>
      <c r="MQ128" s="47">
        <v>16</v>
      </c>
      <c r="MR128" s="47">
        <v>16</v>
      </c>
      <c r="MS128" s="44">
        <v>0</v>
      </c>
      <c r="MT128" s="43"/>
      <c r="MU128" s="42">
        <v>0</v>
      </c>
      <c r="MV128" s="47">
        <v>0</v>
      </c>
      <c r="MW128" s="47">
        <v>8</v>
      </c>
      <c r="MX128" s="47">
        <v>8</v>
      </c>
      <c r="MY128" s="44">
        <v>0</v>
      </c>
      <c r="MZ128" s="43"/>
      <c r="NA128" s="42">
        <v>0</v>
      </c>
      <c r="NB128" s="47">
        <v>0</v>
      </c>
      <c r="NC128" s="47">
        <v>0</v>
      </c>
      <c r="ND128" s="47">
        <v>0</v>
      </c>
      <c r="NE128" s="44">
        <v>0</v>
      </c>
      <c r="NF128" s="43"/>
      <c r="NG128" s="42">
        <v>0</v>
      </c>
      <c r="NH128" s="47">
        <v>0</v>
      </c>
      <c r="NI128" s="47">
        <v>0</v>
      </c>
      <c r="NJ128" s="26">
        <v>16</v>
      </c>
      <c r="NK128" s="46">
        <v>-16</v>
      </c>
      <c r="NL128" s="43">
        <v>10.56</v>
      </c>
      <c r="NM128" s="42">
        <v>0</v>
      </c>
      <c r="NN128" s="47">
        <v>0</v>
      </c>
      <c r="NO128" s="47">
        <v>8</v>
      </c>
      <c r="NP128" s="47">
        <v>8</v>
      </c>
      <c r="NQ128" s="44">
        <v>0</v>
      </c>
      <c r="NR128" s="43"/>
      <c r="NS128" s="42">
        <v>8</v>
      </c>
      <c r="NT128" s="47">
        <v>8</v>
      </c>
      <c r="NU128" s="47">
        <v>0</v>
      </c>
      <c r="NV128" s="47">
        <v>0</v>
      </c>
      <c r="NW128" s="44">
        <v>0</v>
      </c>
      <c r="NX128" s="43"/>
      <c r="NY128" s="42">
        <v>0</v>
      </c>
      <c r="NZ128" s="47">
        <v>0</v>
      </c>
      <c r="OA128" s="47">
        <v>0</v>
      </c>
      <c r="OB128" s="47">
        <v>0</v>
      </c>
      <c r="OC128" s="44">
        <v>0</v>
      </c>
      <c r="OD128" s="43"/>
      <c r="OE128" s="42">
        <v>0</v>
      </c>
      <c r="OF128" s="47">
        <v>0</v>
      </c>
      <c r="OG128" s="47">
        <v>0</v>
      </c>
      <c r="OH128" s="47">
        <v>0</v>
      </c>
      <c r="OI128" s="44">
        <v>0</v>
      </c>
      <c r="OJ128" s="43"/>
      <c r="OK128" s="42">
        <v>0</v>
      </c>
      <c r="OL128" s="47">
        <v>0</v>
      </c>
      <c r="OM128" s="47">
        <v>0</v>
      </c>
      <c r="ON128" s="47">
        <v>0</v>
      </c>
      <c r="OO128" s="44">
        <v>0</v>
      </c>
      <c r="OP128" s="43"/>
      <c r="OQ128" s="42">
        <v>0</v>
      </c>
      <c r="OR128" s="47">
        <v>0</v>
      </c>
      <c r="OS128" s="47">
        <v>8</v>
      </c>
      <c r="OT128" s="47">
        <v>8</v>
      </c>
      <c r="OU128" s="44">
        <v>0</v>
      </c>
      <c r="OV128" s="43"/>
      <c r="OW128" s="42">
        <v>0</v>
      </c>
      <c r="OX128" s="47">
        <v>0</v>
      </c>
      <c r="OY128" s="47">
        <v>8</v>
      </c>
      <c r="OZ128" s="47">
        <v>8</v>
      </c>
      <c r="PA128" s="44">
        <v>0</v>
      </c>
      <c r="PB128" s="43"/>
      <c r="PC128" s="42">
        <v>0</v>
      </c>
      <c r="PD128" s="47">
        <v>0</v>
      </c>
      <c r="PE128" s="47">
        <v>0</v>
      </c>
      <c r="PF128" s="47">
        <v>0</v>
      </c>
      <c r="PG128" s="44">
        <v>0</v>
      </c>
      <c r="PH128" s="43"/>
      <c r="PI128" s="42">
        <v>0</v>
      </c>
      <c r="PJ128" s="47">
        <v>0</v>
      </c>
      <c r="PK128" s="47">
        <v>0</v>
      </c>
      <c r="PL128" s="26">
        <v>30</v>
      </c>
      <c r="PM128" s="46">
        <v>-30</v>
      </c>
      <c r="PN128" s="43">
        <v>19.8</v>
      </c>
      <c r="PO128" s="42">
        <v>0</v>
      </c>
      <c r="PP128" s="47">
        <v>0</v>
      </c>
      <c r="PQ128" s="47">
        <v>64</v>
      </c>
      <c r="PR128" s="47">
        <v>65</v>
      </c>
      <c r="PS128" s="44">
        <v>-1</v>
      </c>
      <c r="PT128" s="43"/>
      <c r="PU128" s="42">
        <v>0</v>
      </c>
      <c r="PV128" s="47">
        <v>0</v>
      </c>
      <c r="PW128" s="47">
        <v>0</v>
      </c>
      <c r="PX128" s="47">
        <v>0</v>
      </c>
      <c r="PY128" s="44">
        <v>0</v>
      </c>
      <c r="PZ128" s="43"/>
      <c r="QA128" s="42">
        <v>0</v>
      </c>
      <c r="QB128" s="47">
        <v>0</v>
      </c>
      <c r="QC128" s="44">
        <v>0</v>
      </c>
      <c r="QD128" s="43"/>
      <c r="QE128" s="42">
        <v>32</v>
      </c>
      <c r="QF128" s="47">
        <v>30</v>
      </c>
      <c r="QG128" s="44">
        <v>2</v>
      </c>
      <c r="QH128" s="43"/>
      <c r="QI128" s="42">
        <v>0</v>
      </c>
      <c r="QJ128" s="47">
        <v>0</v>
      </c>
      <c r="QK128" s="44">
        <v>0</v>
      </c>
      <c r="QL128" s="43"/>
      <c r="QM128" s="42">
        <v>0</v>
      </c>
      <c r="QN128" s="47">
        <v>0</v>
      </c>
      <c r="QO128" s="47">
        <v>0</v>
      </c>
      <c r="QP128" s="47">
        <v>0</v>
      </c>
      <c r="QQ128" s="44">
        <v>0</v>
      </c>
      <c r="QR128" s="43"/>
      <c r="QS128" s="42">
        <v>0</v>
      </c>
      <c r="QT128" s="47">
        <v>0</v>
      </c>
      <c r="QU128" s="44">
        <v>0</v>
      </c>
      <c r="QV128" s="43"/>
      <c r="QW128" s="42">
        <v>0</v>
      </c>
      <c r="QX128" s="47">
        <v>0</v>
      </c>
      <c r="QY128" s="44">
        <v>0</v>
      </c>
      <c r="QZ128" s="43"/>
    </row>
    <row r="129" spans="1:468" x14ac:dyDescent="0.25">
      <c r="A129" s="47" t="s">
        <v>413</v>
      </c>
      <c r="B129" s="38">
        <v>0.66</v>
      </c>
      <c r="N129" s="39"/>
      <c r="O129" s="48"/>
      <c r="P129" s="48"/>
      <c r="Q129" s="48"/>
      <c r="R129" s="48">
        <f t="shared" si="13"/>
        <v>0</v>
      </c>
      <c r="S129" s="40"/>
      <c r="T129" s="39"/>
      <c r="U129" s="48"/>
      <c r="V129" s="48">
        <f t="shared" si="14"/>
        <v>0</v>
      </c>
      <c r="W129" s="40"/>
      <c r="X129" s="39"/>
      <c r="Y129" s="48"/>
      <c r="Z129" s="48"/>
      <c r="AA129" s="48"/>
      <c r="AB129" s="48">
        <f t="shared" si="15"/>
        <v>0</v>
      </c>
      <c r="AC129" s="40"/>
      <c r="AD129" s="48"/>
      <c r="AH129" s="44">
        <v>0</v>
      </c>
      <c r="AI129" s="40"/>
      <c r="AN129" s="44">
        <v>0</v>
      </c>
      <c r="AO129" s="40"/>
      <c r="AT129" s="44">
        <v>0</v>
      </c>
      <c r="AU129" s="40"/>
      <c r="AV129" s="39"/>
      <c r="AX129" s="44">
        <v>0</v>
      </c>
      <c r="AY129" s="40"/>
      <c r="AZ129" s="39"/>
      <c r="BB129" s="44">
        <v>0</v>
      </c>
      <c r="BC129" s="40"/>
      <c r="BH129" s="44">
        <v>0</v>
      </c>
      <c r="BI129" s="40"/>
      <c r="BL129" s="44">
        <v>0</v>
      </c>
      <c r="BM129" s="40"/>
      <c r="BN129" s="39"/>
      <c r="BR129" s="44">
        <v>0</v>
      </c>
      <c r="BS129" s="40"/>
      <c r="BV129" s="44">
        <v>0</v>
      </c>
      <c r="BW129" s="40"/>
      <c r="BX129" s="39"/>
      <c r="BZ129" s="44">
        <v>0</v>
      </c>
      <c r="CA129" s="40"/>
      <c r="CB129" s="39"/>
      <c r="CH129" s="44">
        <v>0</v>
      </c>
      <c r="CI129" s="40"/>
      <c r="CN129" s="44">
        <v>0</v>
      </c>
      <c r="CO129" s="40"/>
      <c r="CP129" s="39"/>
      <c r="CT129" s="44">
        <v>0</v>
      </c>
      <c r="CU129" s="40"/>
      <c r="CV129" s="39"/>
      <c r="CZ129" s="44">
        <v>0</v>
      </c>
      <c r="DA129" s="40"/>
      <c r="DB129" s="39"/>
      <c r="DF129" s="44">
        <v>0</v>
      </c>
      <c r="DG129" s="40"/>
      <c r="DN129" s="44">
        <v>0</v>
      </c>
      <c r="DO129" s="40"/>
      <c r="DP129" s="39"/>
      <c r="DR129" s="44">
        <v>0</v>
      </c>
      <c r="DS129" s="40"/>
      <c r="DT129" s="39"/>
      <c r="DX129" s="44">
        <v>0</v>
      </c>
      <c r="DY129" s="40"/>
      <c r="DZ129" s="39"/>
      <c r="EB129" s="44">
        <v>0</v>
      </c>
      <c r="EC129" s="40"/>
      <c r="EK129" s="44">
        <v>0</v>
      </c>
      <c r="EL129" s="40"/>
      <c r="ES129" s="44">
        <v>0</v>
      </c>
      <c r="ET129" s="40"/>
      <c r="EU129" s="39"/>
      <c r="EY129" s="44">
        <v>0</v>
      </c>
      <c r="EZ129" s="40"/>
      <c r="FA129" s="39"/>
      <c r="FD129" s="44">
        <v>0</v>
      </c>
      <c r="FE129" s="40"/>
      <c r="FH129" s="44">
        <v>0</v>
      </c>
      <c r="FI129" s="40"/>
      <c r="FJ129" s="39"/>
      <c r="FQ129" s="44">
        <v>0</v>
      </c>
      <c r="FR129" s="40"/>
      <c r="FW129" s="44">
        <v>0</v>
      </c>
      <c r="FX129" s="40"/>
      <c r="FY129" s="39"/>
      <c r="GC129" s="44">
        <v>0</v>
      </c>
      <c r="GD129" s="40"/>
      <c r="GI129" s="44">
        <v>0</v>
      </c>
      <c r="GJ129" s="40"/>
      <c r="GM129" s="44">
        <v>0</v>
      </c>
      <c r="GN129" s="40"/>
      <c r="GO129" s="39"/>
      <c r="GQ129" s="44">
        <v>0</v>
      </c>
      <c r="GR129" s="40"/>
      <c r="GX129" s="44">
        <v>0</v>
      </c>
      <c r="GY129" s="40"/>
      <c r="HD129" s="44">
        <v>0</v>
      </c>
      <c r="HE129" s="40"/>
      <c r="HF129" s="39"/>
      <c r="HJ129" s="44">
        <v>0</v>
      </c>
      <c r="HK129" s="40"/>
      <c r="HL129" s="39"/>
      <c r="HP129" s="44">
        <v>0</v>
      </c>
      <c r="HQ129" s="40"/>
      <c r="HV129" s="44">
        <v>0</v>
      </c>
      <c r="HW129" s="43"/>
      <c r="IB129" s="44">
        <v>0</v>
      </c>
      <c r="IC129" s="43"/>
      <c r="IH129" s="44">
        <v>0</v>
      </c>
      <c r="II129" s="43"/>
      <c r="IN129" s="44">
        <v>0</v>
      </c>
      <c r="IO129" s="40"/>
      <c r="IR129" s="44">
        <v>0</v>
      </c>
      <c r="IS129" s="40"/>
      <c r="IX129" s="44">
        <v>0</v>
      </c>
      <c r="IY129" s="43"/>
      <c r="JB129" s="44">
        <v>0</v>
      </c>
      <c r="JC129" s="40"/>
      <c r="JH129" s="44">
        <v>0</v>
      </c>
      <c r="JI129" s="40"/>
      <c r="JN129" s="44">
        <v>0</v>
      </c>
      <c r="JO129" s="43"/>
      <c r="JT129" s="44">
        <v>0</v>
      </c>
      <c r="JU129" s="43"/>
      <c r="JZ129" s="44">
        <v>0</v>
      </c>
      <c r="KA129" s="43"/>
      <c r="KB129" s="42"/>
      <c r="KI129" s="44">
        <v>0</v>
      </c>
      <c r="KJ129" s="43"/>
      <c r="KK129" s="47">
        <v>0</v>
      </c>
      <c r="KL129" s="47">
        <v>0</v>
      </c>
      <c r="KM129" s="47">
        <v>0</v>
      </c>
      <c r="KN129" s="47">
        <v>0</v>
      </c>
      <c r="KO129" s="44">
        <v>0</v>
      </c>
      <c r="KP129" s="43"/>
      <c r="KQ129" s="47">
        <v>0</v>
      </c>
      <c r="KR129" s="47">
        <v>0</v>
      </c>
      <c r="KS129" s="47">
        <v>0</v>
      </c>
      <c r="KT129" s="47">
        <v>0</v>
      </c>
      <c r="KU129" s="44">
        <v>0</v>
      </c>
      <c r="KV129" s="43"/>
      <c r="KW129" s="42">
        <v>0</v>
      </c>
      <c r="KX129" s="47">
        <v>0</v>
      </c>
      <c r="KY129" s="44">
        <v>0</v>
      </c>
      <c r="KZ129" s="43"/>
      <c r="LA129" s="42">
        <v>0</v>
      </c>
      <c r="LB129" s="47">
        <v>0</v>
      </c>
      <c r="LC129" s="47">
        <v>0</v>
      </c>
      <c r="LD129" s="47">
        <v>0</v>
      </c>
      <c r="LE129" s="44">
        <v>0</v>
      </c>
      <c r="LF129" s="43"/>
      <c r="LG129" s="42">
        <v>0</v>
      </c>
      <c r="LH129" s="47">
        <v>0</v>
      </c>
      <c r="LI129" s="47">
        <v>0</v>
      </c>
      <c r="LJ129" s="47">
        <v>0</v>
      </c>
      <c r="LK129" s="44">
        <v>0</v>
      </c>
      <c r="LL129" s="43"/>
      <c r="LM129" s="42">
        <v>0</v>
      </c>
      <c r="LN129" s="47">
        <v>0</v>
      </c>
      <c r="LO129" s="44">
        <v>0</v>
      </c>
      <c r="LP129" s="43"/>
      <c r="LQ129" s="42">
        <v>0</v>
      </c>
      <c r="LR129" s="47">
        <v>0</v>
      </c>
      <c r="LS129" s="47">
        <v>0</v>
      </c>
      <c r="LT129" s="47">
        <v>0</v>
      </c>
      <c r="LU129" s="44">
        <v>0</v>
      </c>
      <c r="LV129" s="43"/>
      <c r="LW129" s="42">
        <v>0</v>
      </c>
      <c r="LX129" s="47">
        <v>0</v>
      </c>
      <c r="LY129" s="47">
        <v>0</v>
      </c>
      <c r="LZ129" s="47">
        <v>0</v>
      </c>
      <c r="MA129" s="44">
        <v>0</v>
      </c>
      <c r="MB129" s="43"/>
      <c r="MC129" s="42">
        <v>0</v>
      </c>
      <c r="MD129" s="47">
        <v>0</v>
      </c>
      <c r="ME129" s="47">
        <v>0</v>
      </c>
      <c r="MF129" s="47">
        <v>0</v>
      </c>
      <c r="MG129" s="44">
        <v>0</v>
      </c>
      <c r="MH129" s="43"/>
      <c r="MI129" s="42">
        <v>0</v>
      </c>
      <c r="MJ129" s="47">
        <v>0</v>
      </c>
      <c r="MK129" s="47">
        <v>0</v>
      </c>
      <c r="ML129" s="47">
        <v>0</v>
      </c>
      <c r="MM129" s="44">
        <v>0</v>
      </c>
      <c r="MN129" s="43"/>
      <c r="MO129" s="42">
        <v>0</v>
      </c>
      <c r="MP129" s="47">
        <v>0</v>
      </c>
      <c r="MQ129" s="47">
        <v>0</v>
      </c>
      <c r="MR129" s="47">
        <v>0</v>
      </c>
      <c r="MS129" s="44">
        <v>0</v>
      </c>
      <c r="MT129" s="43"/>
      <c r="MU129" s="42">
        <v>0</v>
      </c>
      <c r="MV129" s="47">
        <v>0</v>
      </c>
      <c r="MW129" s="47">
        <v>0</v>
      </c>
      <c r="MX129" s="47">
        <v>0</v>
      </c>
      <c r="MY129" s="44">
        <v>0</v>
      </c>
      <c r="MZ129" s="43"/>
      <c r="NA129" s="42">
        <v>0</v>
      </c>
      <c r="NB129" s="47">
        <v>0</v>
      </c>
      <c r="NC129" s="47">
        <v>0</v>
      </c>
      <c r="ND129" s="47">
        <v>0</v>
      </c>
      <c r="NE129" s="44">
        <v>0</v>
      </c>
      <c r="NF129" s="43"/>
      <c r="NG129" s="42">
        <v>0</v>
      </c>
      <c r="NH129" s="47">
        <v>0</v>
      </c>
      <c r="NI129" s="47">
        <v>0</v>
      </c>
      <c r="NJ129" s="47">
        <v>0</v>
      </c>
      <c r="NK129" s="44">
        <v>0</v>
      </c>
      <c r="NL129" s="43"/>
      <c r="NM129" s="42">
        <v>0</v>
      </c>
      <c r="NN129" s="47">
        <v>0</v>
      </c>
      <c r="NO129" s="47">
        <v>0</v>
      </c>
      <c r="NP129" s="47">
        <v>0</v>
      </c>
      <c r="NQ129" s="44">
        <v>0</v>
      </c>
      <c r="NR129" s="43"/>
      <c r="NS129" s="42">
        <v>8</v>
      </c>
      <c r="NT129" s="47">
        <v>8</v>
      </c>
      <c r="NU129" s="47">
        <v>0</v>
      </c>
      <c r="NV129" s="47">
        <v>0</v>
      </c>
      <c r="NW129" s="44">
        <v>0</v>
      </c>
      <c r="NX129" s="43"/>
      <c r="NY129" s="42">
        <v>0</v>
      </c>
      <c r="NZ129" s="47">
        <v>0</v>
      </c>
      <c r="OA129" s="47">
        <v>0</v>
      </c>
      <c r="OB129" s="47">
        <v>0</v>
      </c>
      <c r="OC129" s="44">
        <v>0</v>
      </c>
      <c r="OD129" s="43"/>
      <c r="OE129" s="42">
        <v>0</v>
      </c>
      <c r="OF129" s="47">
        <v>0</v>
      </c>
      <c r="OG129" s="47">
        <v>0</v>
      </c>
      <c r="OH129" s="47">
        <v>0</v>
      </c>
      <c r="OI129" s="44">
        <v>0</v>
      </c>
      <c r="OJ129" s="43"/>
      <c r="OK129" s="42">
        <v>0</v>
      </c>
      <c r="OL129" s="47">
        <v>0</v>
      </c>
      <c r="OM129" s="47">
        <v>0</v>
      </c>
      <c r="ON129" s="47">
        <v>0</v>
      </c>
      <c r="OO129" s="44">
        <v>0</v>
      </c>
      <c r="OP129" s="43"/>
      <c r="OQ129" s="42">
        <v>0</v>
      </c>
      <c r="OR129" s="47">
        <v>0</v>
      </c>
      <c r="OS129" s="47">
        <v>0</v>
      </c>
      <c r="OT129" s="47">
        <v>0</v>
      </c>
      <c r="OU129" s="44">
        <v>0</v>
      </c>
      <c r="OV129" s="43"/>
      <c r="OW129" s="42">
        <v>0</v>
      </c>
      <c r="OX129" s="47">
        <v>0</v>
      </c>
      <c r="OY129" s="47">
        <v>32</v>
      </c>
      <c r="OZ129" s="47">
        <v>35</v>
      </c>
      <c r="PA129" s="44">
        <v>-3</v>
      </c>
      <c r="PB129" s="43"/>
      <c r="PC129" s="42">
        <v>0</v>
      </c>
      <c r="PD129" s="47">
        <v>0</v>
      </c>
      <c r="PE129" s="47">
        <v>0</v>
      </c>
      <c r="PF129" s="47">
        <v>0</v>
      </c>
      <c r="PG129" s="44">
        <v>0</v>
      </c>
      <c r="PH129" s="43"/>
      <c r="PI129" s="42">
        <v>0</v>
      </c>
      <c r="PJ129" s="47">
        <v>0</v>
      </c>
      <c r="PK129" s="47">
        <v>0</v>
      </c>
      <c r="PL129" s="47">
        <v>0</v>
      </c>
      <c r="PM129" s="44">
        <v>0</v>
      </c>
      <c r="PN129" s="43"/>
      <c r="PO129" s="42">
        <v>0</v>
      </c>
      <c r="PP129" s="47">
        <v>0</v>
      </c>
      <c r="PQ129" s="47">
        <v>32</v>
      </c>
      <c r="PR129" s="47">
        <v>30</v>
      </c>
      <c r="PS129" s="44">
        <v>2</v>
      </c>
      <c r="PT129" s="43"/>
      <c r="PU129" s="42">
        <v>0</v>
      </c>
      <c r="PV129" s="47">
        <v>0</v>
      </c>
      <c r="PW129" s="47">
        <v>0</v>
      </c>
      <c r="PX129" s="47">
        <v>0</v>
      </c>
      <c r="PY129" s="44">
        <v>0</v>
      </c>
      <c r="PZ129" s="43"/>
      <c r="QA129" s="42">
        <v>0</v>
      </c>
      <c r="QB129" s="47">
        <v>30</v>
      </c>
      <c r="QC129" s="46">
        <v>-30</v>
      </c>
      <c r="QD129" s="43">
        <v>19.8</v>
      </c>
      <c r="QE129" s="42">
        <v>0</v>
      </c>
      <c r="QF129" s="47">
        <v>30</v>
      </c>
      <c r="QG129" s="46">
        <v>-30</v>
      </c>
      <c r="QH129" s="43">
        <v>19.8</v>
      </c>
      <c r="QI129" s="42">
        <v>0</v>
      </c>
      <c r="QJ129" s="47">
        <v>0</v>
      </c>
      <c r="QK129" s="44">
        <v>0</v>
      </c>
      <c r="QL129" s="43"/>
      <c r="QM129" s="42">
        <v>0</v>
      </c>
      <c r="QN129" s="47">
        <v>0</v>
      </c>
      <c r="QO129" s="47">
        <v>0</v>
      </c>
      <c r="QP129" s="47">
        <v>0</v>
      </c>
      <c r="QQ129" s="44">
        <v>0</v>
      </c>
      <c r="QR129" s="43"/>
      <c r="QS129" s="42">
        <v>0</v>
      </c>
      <c r="QT129" s="47">
        <v>0</v>
      </c>
      <c r="QU129" s="44">
        <v>0</v>
      </c>
      <c r="QV129" s="43"/>
      <c r="QW129" s="42">
        <v>0</v>
      </c>
      <c r="QX129" s="47">
        <v>0</v>
      </c>
      <c r="QY129" s="44">
        <v>0</v>
      </c>
      <c r="QZ129" s="43"/>
    </row>
    <row r="130" spans="1:468" x14ac:dyDescent="0.25">
      <c r="A130" s="47" t="s">
        <v>414</v>
      </c>
      <c r="B130" s="38">
        <v>0.33</v>
      </c>
      <c r="J130">
        <v>24</v>
      </c>
      <c r="K130">
        <v>22</v>
      </c>
      <c r="N130" s="39"/>
      <c r="O130" s="48"/>
      <c r="P130" s="48"/>
      <c r="Q130" s="48"/>
      <c r="R130" s="48">
        <f t="shared" si="13"/>
        <v>0</v>
      </c>
      <c r="S130" s="40"/>
      <c r="T130" s="41">
        <v>8</v>
      </c>
      <c r="U130" s="49">
        <v>5</v>
      </c>
      <c r="V130" s="48">
        <f t="shared" si="14"/>
        <v>3</v>
      </c>
      <c r="W130" s="40"/>
      <c r="X130" s="39"/>
      <c r="Y130" s="48"/>
      <c r="Z130" s="48"/>
      <c r="AA130" s="48"/>
      <c r="AB130" s="48">
        <f t="shared" si="15"/>
        <v>0</v>
      </c>
      <c r="AC130" s="40"/>
      <c r="AD130" s="48"/>
      <c r="AH130" s="44">
        <v>0</v>
      </c>
      <c r="AI130" s="40"/>
      <c r="AJ130">
        <v>24</v>
      </c>
      <c r="AK130">
        <v>24</v>
      </c>
      <c r="AL130">
        <v>32</v>
      </c>
      <c r="AM130">
        <v>35</v>
      </c>
      <c r="AN130" s="44">
        <v>-3</v>
      </c>
      <c r="AO130" s="40"/>
      <c r="AT130" s="44">
        <v>0</v>
      </c>
      <c r="AU130" s="40"/>
      <c r="AV130" s="39"/>
      <c r="AX130" s="44">
        <v>0</v>
      </c>
      <c r="AY130" s="40"/>
      <c r="AZ130" s="41">
        <v>24</v>
      </c>
      <c r="BA130">
        <v>26</v>
      </c>
      <c r="BB130" s="44">
        <v>-2</v>
      </c>
      <c r="BC130" s="40"/>
      <c r="BF130">
        <v>32</v>
      </c>
      <c r="BG130">
        <v>30</v>
      </c>
      <c r="BH130" s="44">
        <v>2</v>
      </c>
      <c r="BI130" s="40"/>
      <c r="BL130" s="44">
        <v>0</v>
      </c>
      <c r="BM130" s="40"/>
      <c r="BN130" s="39"/>
      <c r="BP130">
        <v>48</v>
      </c>
      <c r="BQ130">
        <v>52</v>
      </c>
      <c r="BR130" s="44">
        <v>-4</v>
      </c>
      <c r="BS130" s="40"/>
      <c r="BV130" s="44">
        <v>0</v>
      </c>
      <c r="BW130" s="40"/>
      <c r="BX130" s="39"/>
      <c r="BZ130" s="44">
        <v>0</v>
      </c>
      <c r="CA130" s="40"/>
      <c r="CB130" s="39"/>
      <c r="CD130">
        <v>48</v>
      </c>
      <c r="CG130">
        <v>48</v>
      </c>
      <c r="CH130" s="44">
        <v>0</v>
      </c>
      <c r="CI130" s="40"/>
      <c r="CN130" s="44">
        <v>0</v>
      </c>
      <c r="CO130" s="40"/>
      <c r="CP130" s="39"/>
      <c r="CR130">
        <v>16</v>
      </c>
      <c r="CS130">
        <v>16</v>
      </c>
      <c r="CT130" s="44">
        <v>0</v>
      </c>
      <c r="CU130" s="40"/>
      <c r="CV130" s="39"/>
      <c r="CX130">
        <v>24</v>
      </c>
      <c r="CY130">
        <v>24</v>
      </c>
      <c r="CZ130" s="44">
        <v>0</v>
      </c>
      <c r="DA130" s="40"/>
      <c r="DB130" s="39"/>
      <c r="DF130" s="44">
        <v>0</v>
      </c>
      <c r="DG130" s="40"/>
      <c r="DJ130">
        <v>16</v>
      </c>
      <c r="DK130">
        <v>20</v>
      </c>
      <c r="DN130" s="44">
        <v>-4</v>
      </c>
      <c r="DO130" s="40"/>
      <c r="DP130" s="39"/>
      <c r="DR130" s="44">
        <v>0</v>
      </c>
      <c r="DS130" s="40"/>
      <c r="DT130" s="39"/>
      <c r="DX130" s="44">
        <v>0</v>
      </c>
      <c r="DY130" s="40"/>
      <c r="DZ130" s="39"/>
      <c r="EB130" s="44">
        <v>0</v>
      </c>
      <c r="EC130" s="40"/>
      <c r="EI130">
        <v>48</v>
      </c>
      <c r="EJ130">
        <v>48</v>
      </c>
      <c r="EK130" s="44">
        <v>0</v>
      </c>
      <c r="EL130" s="40"/>
      <c r="ES130" s="44">
        <v>0</v>
      </c>
      <c r="ET130" s="40"/>
      <c r="EU130" s="39"/>
      <c r="EY130" s="44">
        <v>0</v>
      </c>
      <c r="EZ130" s="40"/>
      <c r="FA130" s="39"/>
      <c r="FB130">
        <v>8</v>
      </c>
      <c r="FC130">
        <v>8</v>
      </c>
      <c r="FD130" s="44">
        <v>0</v>
      </c>
      <c r="FE130" s="40"/>
      <c r="FF130">
        <v>8</v>
      </c>
      <c r="FG130">
        <v>8</v>
      </c>
      <c r="FH130" s="44">
        <v>0</v>
      </c>
      <c r="FI130" s="40"/>
      <c r="FJ130" s="39"/>
      <c r="FO130">
        <v>8</v>
      </c>
      <c r="FP130">
        <v>8</v>
      </c>
      <c r="FQ130" s="44">
        <v>0</v>
      </c>
      <c r="FR130" s="40"/>
      <c r="FU130">
        <v>8</v>
      </c>
      <c r="FV130">
        <v>8</v>
      </c>
      <c r="FW130" s="44">
        <v>0</v>
      </c>
      <c r="FX130" s="40"/>
      <c r="FY130" s="39"/>
      <c r="GC130" s="44">
        <v>0</v>
      </c>
      <c r="GD130" s="40"/>
      <c r="GG130">
        <v>24</v>
      </c>
      <c r="GH130">
        <v>24</v>
      </c>
      <c r="GI130" s="44">
        <v>0</v>
      </c>
      <c r="GJ130" s="40"/>
      <c r="GM130" s="44">
        <v>0</v>
      </c>
      <c r="GN130" s="40"/>
      <c r="GO130" s="39"/>
      <c r="GQ130" s="44">
        <v>0</v>
      </c>
      <c r="GR130" s="40"/>
      <c r="GX130" s="44">
        <v>0</v>
      </c>
      <c r="GY130" s="40"/>
      <c r="HB130">
        <v>8</v>
      </c>
      <c r="HC130">
        <v>5</v>
      </c>
      <c r="HD130" s="44">
        <v>3</v>
      </c>
      <c r="HE130" s="40"/>
      <c r="HF130" s="39"/>
      <c r="HJ130" s="44">
        <v>0</v>
      </c>
      <c r="HK130" s="40"/>
      <c r="HL130" s="39"/>
      <c r="HO130">
        <v>8</v>
      </c>
      <c r="HP130" s="44">
        <v>-8</v>
      </c>
      <c r="HQ130" s="40"/>
      <c r="HT130">
        <v>80</v>
      </c>
      <c r="HU130">
        <v>80</v>
      </c>
      <c r="HV130" s="44">
        <v>0</v>
      </c>
      <c r="HW130" s="43"/>
      <c r="IB130" s="44">
        <v>0</v>
      </c>
      <c r="IC130" s="43"/>
      <c r="IH130" s="44">
        <v>0</v>
      </c>
      <c r="II130" s="43"/>
      <c r="IN130" s="44">
        <v>0</v>
      </c>
      <c r="IO130" s="40"/>
      <c r="IP130">
        <v>16</v>
      </c>
      <c r="IQ130">
        <v>21</v>
      </c>
      <c r="IR130" s="44">
        <v>-5</v>
      </c>
      <c r="IS130" s="40"/>
      <c r="IX130" s="44">
        <v>0</v>
      </c>
      <c r="IY130" s="43"/>
      <c r="JB130" s="44">
        <v>0</v>
      </c>
      <c r="JC130" s="40"/>
      <c r="JF130">
        <v>136</v>
      </c>
      <c r="JG130">
        <v>136</v>
      </c>
      <c r="JH130" s="44">
        <v>0</v>
      </c>
      <c r="JI130" s="40"/>
      <c r="JN130" s="44">
        <v>0</v>
      </c>
      <c r="JO130" s="43"/>
      <c r="JP130">
        <v>32</v>
      </c>
      <c r="JQ130">
        <v>32</v>
      </c>
      <c r="JR130">
        <v>56</v>
      </c>
      <c r="JS130">
        <v>58</v>
      </c>
      <c r="JT130" s="44">
        <v>-2</v>
      </c>
      <c r="JU130" s="43"/>
      <c r="JX130">
        <v>24</v>
      </c>
      <c r="JY130">
        <v>24</v>
      </c>
      <c r="JZ130" s="44">
        <v>0</v>
      </c>
      <c r="KA130" s="43"/>
      <c r="KB130" s="42"/>
      <c r="KG130">
        <v>56</v>
      </c>
      <c r="KH130">
        <v>55</v>
      </c>
      <c r="KI130" s="44">
        <v>1</v>
      </c>
      <c r="KJ130" s="43"/>
      <c r="KK130" s="47">
        <v>0</v>
      </c>
      <c r="KL130" s="47">
        <v>0</v>
      </c>
      <c r="KM130" s="47">
        <v>0</v>
      </c>
      <c r="KN130" s="47">
        <v>0</v>
      </c>
      <c r="KO130" s="44">
        <v>0</v>
      </c>
      <c r="KP130" s="43"/>
      <c r="KQ130" s="47">
        <v>0</v>
      </c>
      <c r="KR130" s="47">
        <v>0</v>
      </c>
      <c r="KS130" s="47">
        <v>40</v>
      </c>
      <c r="KT130" s="47">
        <v>40</v>
      </c>
      <c r="KU130" s="44">
        <v>0</v>
      </c>
      <c r="KV130" s="43"/>
      <c r="KW130" s="42">
        <v>8</v>
      </c>
      <c r="KX130" s="47">
        <v>8</v>
      </c>
      <c r="KY130" s="44">
        <v>0</v>
      </c>
      <c r="KZ130" s="43"/>
      <c r="LA130" s="42">
        <v>0</v>
      </c>
      <c r="LB130" s="47">
        <v>0</v>
      </c>
      <c r="LC130" s="47">
        <v>8</v>
      </c>
      <c r="LD130" s="47">
        <v>10</v>
      </c>
      <c r="LE130" s="44">
        <v>-2</v>
      </c>
      <c r="LF130" s="43"/>
      <c r="LG130" s="42">
        <v>0</v>
      </c>
      <c r="LH130" s="47">
        <v>0</v>
      </c>
      <c r="LI130" s="47">
        <v>16</v>
      </c>
      <c r="LJ130" s="47">
        <v>16</v>
      </c>
      <c r="LK130" s="44">
        <v>0</v>
      </c>
      <c r="LL130" s="43"/>
      <c r="LM130" s="42">
        <v>0</v>
      </c>
      <c r="LN130" s="47">
        <v>0</v>
      </c>
      <c r="LO130" s="44">
        <v>0</v>
      </c>
      <c r="LP130" s="43"/>
      <c r="LQ130" s="42">
        <v>0</v>
      </c>
      <c r="LR130" s="47">
        <v>0</v>
      </c>
      <c r="LS130" s="47">
        <v>8</v>
      </c>
      <c r="LT130" s="47">
        <v>8</v>
      </c>
      <c r="LU130" s="44">
        <v>0</v>
      </c>
      <c r="LV130" s="43"/>
      <c r="LW130" s="42">
        <v>0</v>
      </c>
      <c r="LX130" s="47">
        <v>0</v>
      </c>
      <c r="LY130" s="47">
        <v>0</v>
      </c>
      <c r="LZ130" s="47">
        <v>0</v>
      </c>
      <c r="MA130" s="44">
        <v>0</v>
      </c>
      <c r="MB130" s="43"/>
      <c r="MC130" s="42">
        <v>0</v>
      </c>
      <c r="MD130" s="47">
        <v>0</v>
      </c>
      <c r="ME130" s="47">
        <v>32</v>
      </c>
      <c r="MF130" s="47">
        <v>32</v>
      </c>
      <c r="MG130" s="44">
        <v>0</v>
      </c>
      <c r="MH130" s="43"/>
      <c r="MI130" s="42">
        <v>0</v>
      </c>
      <c r="MJ130" s="47">
        <v>0</v>
      </c>
      <c r="MK130" s="47">
        <v>24</v>
      </c>
      <c r="ML130" s="47">
        <v>24</v>
      </c>
      <c r="MM130" s="44">
        <v>0</v>
      </c>
      <c r="MN130" s="43"/>
      <c r="MO130" s="42">
        <v>0</v>
      </c>
      <c r="MP130" s="47">
        <v>0</v>
      </c>
      <c r="MQ130" s="47">
        <v>0</v>
      </c>
      <c r="MR130" s="47">
        <v>0</v>
      </c>
      <c r="MS130" s="44">
        <v>0</v>
      </c>
      <c r="MT130" s="43"/>
      <c r="MU130" s="42">
        <v>0</v>
      </c>
      <c r="MV130" s="47">
        <v>0</v>
      </c>
      <c r="MW130" s="47">
        <v>0</v>
      </c>
      <c r="MX130" s="47">
        <v>0</v>
      </c>
      <c r="MY130" s="44">
        <v>0</v>
      </c>
      <c r="MZ130" s="43"/>
      <c r="NA130" s="42">
        <v>0</v>
      </c>
      <c r="NB130" s="47">
        <v>0</v>
      </c>
      <c r="NC130" s="47">
        <v>0</v>
      </c>
      <c r="ND130" s="47">
        <v>0</v>
      </c>
      <c r="NE130" s="44">
        <v>0</v>
      </c>
      <c r="NF130" s="43"/>
      <c r="NG130" s="42">
        <v>0</v>
      </c>
      <c r="NH130" s="47">
        <v>0</v>
      </c>
      <c r="NI130" s="47">
        <v>16</v>
      </c>
      <c r="NJ130" s="47">
        <v>16</v>
      </c>
      <c r="NK130" s="44">
        <v>0</v>
      </c>
      <c r="NL130" s="43"/>
      <c r="NM130" s="42">
        <v>0</v>
      </c>
      <c r="NN130" s="47">
        <v>0</v>
      </c>
      <c r="NO130" s="47">
        <v>80</v>
      </c>
      <c r="NP130" s="47">
        <v>80</v>
      </c>
      <c r="NQ130" s="44">
        <v>0</v>
      </c>
      <c r="NR130" s="43"/>
      <c r="NS130" s="42">
        <v>16</v>
      </c>
      <c r="NT130" s="47">
        <v>16</v>
      </c>
      <c r="NU130" s="47">
        <v>0</v>
      </c>
      <c r="NV130" s="47">
        <v>0</v>
      </c>
      <c r="NW130" s="44">
        <v>0</v>
      </c>
      <c r="NX130" s="43"/>
      <c r="NY130" s="42">
        <v>0</v>
      </c>
      <c r="NZ130" s="47">
        <v>0</v>
      </c>
      <c r="OA130" s="47">
        <v>0</v>
      </c>
      <c r="OB130" s="47">
        <v>0</v>
      </c>
      <c r="OC130" s="44">
        <v>0</v>
      </c>
      <c r="OD130" s="43"/>
      <c r="OE130" s="42">
        <v>0</v>
      </c>
      <c r="OF130" s="47">
        <v>0</v>
      </c>
      <c r="OG130" s="47">
        <v>40</v>
      </c>
      <c r="OH130" s="47">
        <v>40</v>
      </c>
      <c r="OI130" s="44">
        <v>0</v>
      </c>
      <c r="OJ130" s="43"/>
      <c r="OK130" s="42">
        <v>0</v>
      </c>
      <c r="OL130" s="47">
        <v>0</v>
      </c>
      <c r="OM130" s="47">
        <v>0</v>
      </c>
      <c r="ON130" s="47">
        <v>0</v>
      </c>
      <c r="OO130" s="44">
        <v>0</v>
      </c>
      <c r="OP130" s="43"/>
      <c r="OQ130" s="42">
        <v>0</v>
      </c>
      <c r="OR130" s="47">
        <v>0</v>
      </c>
      <c r="OS130" s="47">
        <v>0</v>
      </c>
      <c r="OT130" s="47">
        <v>0</v>
      </c>
      <c r="OU130" s="44">
        <v>0</v>
      </c>
      <c r="OV130" s="43"/>
      <c r="OW130" s="42">
        <v>0</v>
      </c>
      <c r="OX130" s="47">
        <v>0</v>
      </c>
      <c r="OY130" s="47">
        <v>0</v>
      </c>
      <c r="OZ130" s="47">
        <v>0</v>
      </c>
      <c r="PA130" s="44">
        <v>0</v>
      </c>
      <c r="PB130" s="43"/>
      <c r="PC130" s="42">
        <v>0</v>
      </c>
      <c r="PD130" s="47">
        <v>0</v>
      </c>
      <c r="PE130" s="47">
        <v>88</v>
      </c>
      <c r="PF130" s="47">
        <v>90</v>
      </c>
      <c r="PG130" s="44">
        <v>-2</v>
      </c>
      <c r="PH130" s="43"/>
      <c r="PI130" s="42">
        <v>0</v>
      </c>
      <c r="PJ130" s="47">
        <v>0</v>
      </c>
      <c r="PK130" s="47">
        <v>32</v>
      </c>
      <c r="PL130" s="47">
        <v>30</v>
      </c>
      <c r="PM130" s="44">
        <v>2</v>
      </c>
      <c r="PN130" s="43"/>
      <c r="PO130" s="42">
        <v>32</v>
      </c>
      <c r="PP130" s="47">
        <v>30</v>
      </c>
      <c r="PQ130" s="47">
        <v>0</v>
      </c>
      <c r="PR130" s="47">
        <v>0</v>
      </c>
      <c r="PS130" s="44">
        <v>2</v>
      </c>
      <c r="PT130" s="43"/>
      <c r="PU130" s="42">
        <v>0</v>
      </c>
      <c r="PV130" s="47">
        <v>0</v>
      </c>
      <c r="PW130" s="47">
        <v>88</v>
      </c>
      <c r="PX130" s="47">
        <v>86</v>
      </c>
      <c r="PY130" s="44">
        <v>2</v>
      </c>
      <c r="PZ130" s="43"/>
      <c r="QA130" s="42">
        <v>0</v>
      </c>
      <c r="QB130" s="47">
        <v>0</v>
      </c>
      <c r="QC130" s="44">
        <v>0</v>
      </c>
      <c r="QD130" s="43"/>
      <c r="QE130" s="42">
        <v>48</v>
      </c>
      <c r="QF130" s="47">
        <v>50</v>
      </c>
      <c r="QG130" s="44">
        <v>-2</v>
      </c>
      <c r="QH130" s="43"/>
      <c r="QI130" s="42">
        <v>0</v>
      </c>
      <c r="QJ130" s="47">
        <v>0</v>
      </c>
      <c r="QK130" s="44">
        <v>0</v>
      </c>
      <c r="QL130" s="43"/>
      <c r="QM130" s="42">
        <v>0</v>
      </c>
      <c r="QN130" s="47">
        <v>0</v>
      </c>
      <c r="QO130" s="47">
        <v>0</v>
      </c>
      <c r="QP130" s="47">
        <v>0</v>
      </c>
      <c r="QQ130" s="44">
        <v>0</v>
      </c>
      <c r="QR130" s="43"/>
      <c r="QS130" s="42">
        <v>0</v>
      </c>
      <c r="QT130" s="47">
        <v>0</v>
      </c>
      <c r="QU130" s="44">
        <v>0</v>
      </c>
      <c r="QV130" s="43"/>
      <c r="QW130" s="42">
        <v>0</v>
      </c>
      <c r="QX130" s="47">
        <v>0</v>
      </c>
      <c r="QY130" s="44">
        <v>0</v>
      </c>
      <c r="QZ130" s="43"/>
    </row>
    <row r="131" spans="1:468" x14ac:dyDescent="0.25">
      <c r="A131" s="47" t="s">
        <v>415</v>
      </c>
      <c r="B131" s="38">
        <v>0.36</v>
      </c>
      <c r="K131">
        <v>30</v>
      </c>
      <c r="N131" s="39"/>
      <c r="O131" s="49">
        <v>5</v>
      </c>
      <c r="P131" s="48"/>
      <c r="Q131" s="48"/>
      <c r="R131" s="53">
        <f t="shared" si="13"/>
        <v>-5</v>
      </c>
      <c r="S131" s="40">
        <f>-1*R131*B131</f>
        <v>1.7999999999999998</v>
      </c>
      <c r="T131" s="39"/>
      <c r="U131" s="49">
        <v>23</v>
      </c>
      <c r="V131" s="53">
        <f t="shared" si="14"/>
        <v>-23</v>
      </c>
      <c r="W131" s="40">
        <f>-1*V131*B131</f>
        <v>8.2799999999999994</v>
      </c>
      <c r="X131" s="39"/>
      <c r="Y131" s="48"/>
      <c r="Z131" s="48"/>
      <c r="AA131" s="49">
        <v>29</v>
      </c>
      <c r="AB131" s="53">
        <f t="shared" si="15"/>
        <v>-29</v>
      </c>
      <c r="AC131" s="40">
        <f>-1*AB131*B131</f>
        <v>10.44</v>
      </c>
      <c r="AD131" s="48"/>
      <c r="AG131">
        <v>8</v>
      </c>
      <c r="AH131" s="46">
        <v>-8</v>
      </c>
      <c r="AI131" s="40">
        <v>2.88</v>
      </c>
      <c r="AN131" s="44">
        <v>0</v>
      </c>
      <c r="AO131" s="40"/>
      <c r="AR131">
        <v>120</v>
      </c>
      <c r="AS131">
        <v>123</v>
      </c>
      <c r="AT131" s="44">
        <v>-3</v>
      </c>
      <c r="AU131" s="40"/>
      <c r="AV131" s="39"/>
      <c r="AX131" s="44">
        <v>0</v>
      </c>
      <c r="AY131" s="40"/>
      <c r="AZ131" s="39"/>
      <c r="BB131" s="44">
        <v>0</v>
      </c>
      <c r="BC131" s="40"/>
      <c r="BD131">
        <v>40</v>
      </c>
      <c r="BE131">
        <v>40</v>
      </c>
      <c r="BF131">
        <v>48</v>
      </c>
      <c r="BG131">
        <v>42</v>
      </c>
      <c r="BH131" s="44">
        <v>6</v>
      </c>
      <c r="BI131" s="40"/>
      <c r="BL131" s="44">
        <v>0</v>
      </c>
      <c r="BM131" s="40"/>
      <c r="BN131" s="39"/>
      <c r="BR131" s="44">
        <v>0</v>
      </c>
      <c r="BS131" s="40"/>
      <c r="BT131">
        <v>200</v>
      </c>
      <c r="BU131">
        <v>200</v>
      </c>
      <c r="BV131" s="44">
        <v>0</v>
      </c>
      <c r="BW131" s="40"/>
      <c r="BX131" s="41">
        <v>8</v>
      </c>
      <c r="BY131">
        <v>10</v>
      </c>
      <c r="BZ131" s="44">
        <v>-2</v>
      </c>
      <c r="CA131" s="40"/>
      <c r="CB131" s="39"/>
      <c r="CH131" s="44">
        <v>0</v>
      </c>
      <c r="CI131" s="40"/>
      <c r="CJ131">
        <v>96</v>
      </c>
      <c r="CK131">
        <v>100</v>
      </c>
      <c r="CL131">
        <v>104</v>
      </c>
      <c r="CM131">
        <v>102</v>
      </c>
      <c r="CN131" s="44">
        <v>-2</v>
      </c>
      <c r="CO131" s="40"/>
      <c r="CP131" s="39"/>
      <c r="CT131" s="44">
        <v>0</v>
      </c>
      <c r="CU131" s="40"/>
      <c r="CV131" s="39"/>
      <c r="CX131">
        <v>88</v>
      </c>
      <c r="CY131">
        <v>90</v>
      </c>
      <c r="CZ131" s="44">
        <v>-2</v>
      </c>
      <c r="DA131" s="40"/>
      <c r="DB131" s="39"/>
      <c r="DF131" s="44">
        <v>0</v>
      </c>
      <c r="DG131" s="40"/>
      <c r="DJ131">
        <v>80</v>
      </c>
      <c r="DK131">
        <v>80</v>
      </c>
      <c r="DL131">
        <v>96</v>
      </c>
      <c r="DM131">
        <v>100</v>
      </c>
      <c r="DN131" s="44">
        <v>-4</v>
      </c>
      <c r="DO131" s="40"/>
      <c r="DP131" s="39"/>
      <c r="DR131" s="44">
        <v>0</v>
      </c>
      <c r="DS131" s="40"/>
      <c r="DT131" s="39"/>
      <c r="DX131" s="44">
        <v>0</v>
      </c>
      <c r="DY131" s="40"/>
      <c r="DZ131" s="41">
        <v>144</v>
      </c>
      <c r="EA131">
        <v>140</v>
      </c>
      <c r="EB131" s="44">
        <v>4</v>
      </c>
      <c r="EC131" s="40"/>
      <c r="EK131" s="44">
        <v>0</v>
      </c>
      <c r="EL131" s="40"/>
      <c r="EN131">
        <v>40</v>
      </c>
      <c r="EO131">
        <v>40</v>
      </c>
      <c r="EQ131">
        <v>48</v>
      </c>
      <c r="ER131">
        <v>50</v>
      </c>
      <c r="ES131" s="44">
        <v>-2</v>
      </c>
      <c r="ET131" s="40"/>
      <c r="EU131" s="39"/>
      <c r="EY131" s="44">
        <v>0</v>
      </c>
      <c r="EZ131" s="40"/>
      <c r="FA131" s="39"/>
      <c r="FB131">
        <v>48</v>
      </c>
      <c r="FC131">
        <v>47</v>
      </c>
      <c r="FD131" s="44">
        <v>1</v>
      </c>
      <c r="FE131" s="40"/>
      <c r="FF131">
        <v>16</v>
      </c>
      <c r="FG131">
        <v>16</v>
      </c>
      <c r="FH131" s="44">
        <v>0</v>
      </c>
      <c r="FI131" s="40"/>
      <c r="FJ131" s="39"/>
      <c r="FQ131" s="44">
        <v>0</v>
      </c>
      <c r="FR131" s="40"/>
      <c r="FW131" s="44">
        <v>0</v>
      </c>
      <c r="FX131" s="40"/>
      <c r="FY131" s="39"/>
      <c r="GA131">
        <v>80</v>
      </c>
      <c r="GB131">
        <v>80</v>
      </c>
      <c r="GC131" s="44">
        <v>0</v>
      </c>
      <c r="GD131" s="40"/>
      <c r="GI131" s="44">
        <v>0</v>
      </c>
      <c r="GJ131" s="40"/>
      <c r="GM131" s="44">
        <v>0</v>
      </c>
      <c r="GN131" s="40"/>
      <c r="GO131" s="39"/>
      <c r="GQ131" s="44">
        <v>0</v>
      </c>
      <c r="GR131" s="40"/>
      <c r="GS131">
        <v>40</v>
      </c>
      <c r="GT131">
        <v>40</v>
      </c>
      <c r="GV131">
        <v>40</v>
      </c>
      <c r="GW131">
        <v>40</v>
      </c>
      <c r="GX131" s="44">
        <v>0</v>
      </c>
      <c r="GY131" s="40"/>
      <c r="HD131" s="44">
        <v>0</v>
      </c>
      <c r="HE131" s="40"/>
      <c r="HF131" s="39"/>
      <c r="HH131">
        <v>72</v>
      </c>
      <c r="HI131">
        <v>70</v>
      </c>
      <c r="HJ131" s="44">
        <v>2</v>
      </c>
      <c r="HK131" s="40"/>
      <c r="HL131" s="39"/>
      <c r="HP131" s="44">
        <v>0</v>
      </c>
      <c r="HQ131" s="40"/>
      <c r="HR131">
        <v>96</v>
      </c>
      <c r="HS131">
        <v>100</v>
      </c>
      <c r="HT131">
        <v>112</v>
      </c>
      <c r="HU131">
        <v>110</v>
      </c>
      <c r="HV131" s="44">
        <v>-2</v>
      </c>
      <c r="HW131" s="43"/>
      <c r="IB131" s="44">
        <v>0</v>
      </c>
      <c r="IC131" s="43"/>
      <c r="IF131">
        <v>176</v>
      </c>
      <c r="IG131">
        <v>180</v>
      </c>
      <c r="IH131" s="44">
        <v>-4</v>
      </c>
      <c r="II131" s="43"/>
      <c r="IN131" s="44">
        <v>0</v>
      </c>
      <c r="IO131" s="40"/>
      <c r="IP131">
        <v>144</v>
      </c>
      <c r="IQ131">
        <v>150</v>
      </c>
      <c r="IR131" s="44">
        <v>-6</v>
      </c>
      <c r="IS131" s="40"/>
      <c r="IW131">
        <v>115</v>
      </c>
      <c r="IX131" s="46">
        <v>-115</v>
      </c>
      <c r="IY131" s="40">
        <v>41.4</v>
      </c>
      <c r="IZ131">
        <v>72</v>
      </c>
      <c r="JA131" s="47">
        <v>70</v>
      </c>
      <c r="JB131" s="44">
        <v>2</v>
      </c>
      <c r="JC131" s="40"/>
      <c r="JF131">
        <v>40</v>
      </c>
      <c r="JG131">
        <v>42</v>
      </c>
      <c r="JH131" s="44">
        <v>-2</v>
      </c>
      <c r="JI131" s="40"/>
      <c r="JL131">
        <v>48</v>
      </c>
      <c r="JM131">
        <v>50</v>
      </c>
      <c r="JN131" s="44">
        <v>-2</v>
      </c>
      <c r="JO131" s="43"/>
      <c r="JT131" s="44">
        <v>0</v>
      </c>
      <c r="JU131" s="43"/>
      <c r="JZ131" s="44">
        <v>0</v>
      </c>
      <c r="KA131" s="43"/>
      <c r="KB131" s="41">
        <v>120</v>
      </c>
      <c r="KC131">
        <v>120</v>
      </c>
      <c r="KE131">
        <v>128</v>
      </c>
      <c r="KF131">
        <v>130</v>
      </c>
      <c r="KG131">
        <v>120</v>
      </c>
      <c r="KH131">
        <v>120</v>
      </c>
      <c r="KI131" s="44">
        <v>-2</v>
      </c>
      <c r="KJ131" s="43"/>
      <c r="KK131" s="47">
        <v>0</v>
      </c>
      <c r="KL131" s="47">
        <v>0</v>
      </c>
      <c r="KM131" s="47">
        <v>0</v>
      </c>
      <c r="KN131" s="47">
        <v>0</v>
      </c>
      <c r="KO131" s="44">
        <v>0</v>
      </c>
      <c r="KP131" s="43"/>
      <c r="KQ131" s="47">
        <v>0</v>
      </c>
      <c r="KR131" s="47">
        <v>0</v>
      </c>
      <c r="KS131" s="47">
        <v>120</v>
      </c>
      <c r="KT131" s="47">
        <v>115</v>
      </c>
      <c r="KU131" s="44">
        <v>5</v>
      </c>
      <c r="KV131" s="43"/>
      <c r="KW131" s="42">
        <v>120</v>
      </c>
      <c r="KX131" s="47">
        <v>120</v>
      </c>
      <c r="KY131" s="44">
        <v>0</v>
      </c>
      <c r="KZ131" s="43"/>
      <c r="LA131" s="42">
        <v>0</v>
      </c>
      <c r="LB131" s="47">
        <v>0</v>
      </c>
      <c r="LC131" s="47">
        <v>48</v>
      </c>
      <c r="LD131" s="47">
        <v>50</v>
      </c>
      <c r="LE131" s="44">
        <v>-2</v>
      </c>
      <c r="LF131" s="43"/>
      <c r="LG131" s="42">
        <v>96</v>
      </c>
      <c r="LH131" s="47">
        <v>100</v>
      </c>
      <c r="LI131" s="47">
        <v>96</v>
      </c>
      <c r="LJ131" s="47">
        <v>100</v>
      </c>
      <c r="LK131" s="44">
        <v>-8</v>
      </c>
      <c r="LL131" s="43"/>
      <c r="LM131" s="42">
        <v>0</v>
      </c>
      <c r="LN131" s="47">
        <v>0</v>
      </c>
      <c r="LO131" s="44">
        <v>0</v>
      </c>
      <c r="LP131" s="43"/>
      <c r="LQ131" s="42">
        <v>0</v>
      </c>
      <c r="LR131" s="47">
        <v>0</v>
      </c>
      <c r="LS131" s="47">
        <v>0</v>
      </c>
      <c r="LT131" s="47">
        <v>0</v>
      </c>
      <c r="LU131" s="44">
        <v>0</v>
      </c>
      <c r="LV131" s="43"/>
      <c r="LW131" s="42">
        <v>0</v>
      </c>
      <c r="LX131" s="47">
        <v>0</v>
      </c>
      <c r="LY131" s="47">
        <v>0</v>
      </c>
      <c r="LZ131" s="47">
        <v>0</v>
      </c>
      <c r="MA131" s="44">
        <v>0</v>
      </c>
      <c r="MB131" s="43"/>
      <c r="MC131" s="42">
        <v>0</v>
      </c>
      <c r="MD131" s="47">
        <v>0</v>
      </c>
      <c r="ME131" s="23">
        <v>160</v>
      </c>
      <c r="MF131" s="47">
        <v>0</v>
      </c>
      <c r="MG131" s="44">
        <v>0</v>
      </c>
      <c r="MH131" s="43"/>
      <c r="MI131" s="24">
        <v>96</v>
      </c>
      <c r="MJ131" s="47">
        <v>0</v>
      </c>
      <c r="MK131" s="23">
        <v>48</v>
      </c>
      <c r="ML131" s="47">
        <v>0</v>
      </c>
      <c r="MM131" s="44">
        <v>0</v>
      </c>
      <c r="MN131" s="43"/>
      <c r="MO131" s="42">
        <v>0</v>
      </c>
      <c r="MP131" s="47">
        <v>0</v>
      </c>
      <c r="MQ131" s="23">
        <v>16</v>
      </c>
      <c r="MR131" s="47">
        <v>0</v>
      </c>
      <c r="MS131" s="44">
        <v>0</v>
      </c>
      <c r="MT131" s="43"/>
      <c r="MU131" s="42">
        <v>0</v>
      </c>
      <c r="MV131" s="26">
        <v>40</v>
      </c>
      <c r="MW131" s="47">
        <v>72</v>
      </c>
      <c r="MX131" s="47">
        <v>70</v>
      </c>
      <c r="MY131" s="46">
        <v>-38</v>
      </c>
      <c r="MZ131" s="43">
        <v>13.68</v>
      </c>
      <c r="NA131" s="42">
        <v>96</v>
      </c>
      <c r="NB131" s="47">
        <v>100</v>
      </c>
      <c r="NC131" s="47">
        <v>176</v>
      </c>
      <c r="ND131" s="47">
        <v>180</v>
      </c>
      <c r="NE131" s="44">
        <v>-8</v>
      </c>
      <c r="NF131" s="43"/>
      <c r="NG131" s="42">
        <v>0</v>
      </c>
      <c r="NH131" s="47">
        <v>0</v>
      </c>
      <c r="NI131" s="47">
        <v>48</v>
      </c>
      <c r="NJ131" s="47">
        <v>50</v>
      </c>
      <c r="NK131" s="44">
        <v>-2</v>
      </c>
      <c r="NL131" s="43"/>
      <c r="NM131" s="42">
        <v>0</v>
      </c>
      <c r="NN131" s="47">
        <v>0</v>
      </c>
      <c r="NO131" s="47">
        <v>200</v>
      </c>
      <c r="NP131" s="47">
        <v>200</v>
      </c>
      <c r="NQ131" s="44">
        <v>0</v>
      </c>
      <c r="NR131" s="43"/>
      <c r="NS131" s="42">
        <v>32</v>
      </c>
      <c r="NT131" s="47">
        <v>30</v>
      </c>
      <c r="NU131" s="47">
        <v>0</v>
      </c>
      <c r="NV131" s="47">
        <v>0</v>
      </c>
      <c r="NW131" s="44">
        <v>2</v>
      </c>
      <c r="NX131" s="43"/>
      <c r="NY131" s="42">
        <v>96</v>
      </c>
      <c r="NZ131" s="47">
        <v>100</v>
      </c>
      <c r="OA131" s="47">
        <v>352</v>
      </c>
      <c r="OB131" s="47">
        <v>350</v>
      </c>
      <c r="OC131" s="44">
        <v>-2</v>
      </c>
      <c r="OD131" s="43"/>
      <c r="OE131" s="42">
        <v>128</v>
      </c>
      <c r="OF131" s="47">
        <v>130</v>
      </c>
      <c r="OG131" s="47">
        <v>88</v>
      </c>
      <c r="OH131" s="47">
        <v>90</v>
      </c>
      <c r="OI131" s="44">
        <v>-4</v>
      </c>
      <c r="OJ131" s="43"/>
      <c r="OK131" s="42">
        <v>0</v>
      </c>
      <c r="OL131" s="47">
        <v>0</v>
      </c>
      <c r="OM131" s="47">
        <v>48</v>
      </c>
      <c r="ON131" s="47">
        <v>50</v>
      </c>
      <c r="OO131" s="44">
        <v>-2</v>
      </c>
      <c r="OP131" s="43"/>
      <c r="OQ131" s="42">
        <v>192</v>
      </c>
      <c r="OR131" s="47">
        <v>190</v>
      </c>
      <c r="OS131" s="47">
        <v>152</v>
      </c>
      <c r="OT131" s="47">
        <v>155</v>
      </c>
      <c r="OU131" s="44">
        <v>-1</v>
      </c>
      <c r="OV131" s="43"/>
      <c r="OW131" s="42">
        <v>64</v>
      </c>
      <c r="OX131" s="47">
        <v>50</v>
      </c>
      <c r="OY131" s="47">
        <v>72</v>
      </c>
      <c r="OZ131" s="47">
        <v>70</v>
      </c>
      <c r="PA131" s="44">
        <v>16</v>
      </c>
      <c r="PB131" s="43"/>
      <c r="PC131" s="42">
        <v>0</v>
      </c>
      <c r="PD131" s="47">
        <v>0</v>
      </c>
      <c r="PE131" s="47">
        <v>80</v>
      </c>
      <c r="PF131" s="47">
        <v>80</v>
      </c>
      <c r="PG131" s="44">
        <v>0</v>
      </c>
      <c r="PH131" s="43"/>
      <c r="PI131" s="42">
        <v>0</v>
      </c>
      <c r="PJ131" s="47">
        <v>0</v>
      </c>
      <c r="PK131" s="47">
        <v>88</v>
      </c>
      <c r="PL131" s="47">
        <v>89</v>
      </c>
      <c r="PM131" s="44">
        <v>-1</v>
      </c>
      <c r="PN131" s="43"/>
      <c r="PO131" s="42">
        <v>152</v>
      </c>
      <c r="PP131" s="47">
        <v>150</v>
      </c>
      <c r="PQ131" s="47">
        <v>0</v>
      </c>
      <c r="PR131" s="47">
        <v>0</v>
      </c>
      <c r="PS131" s="44">
        <v>2</v>
      </c>
      <c r="PT131" s="43"/>
      <c r="PU131" s="42">
        <v>0</v>
      </c>
      <c r="PV131" s="47">
        <v>0</v>
      </c>
      <c r="PW131" s="47">
        <v>40</v>
      </c>
      <c r="PX131" s="47">
        <v>45</v>
      </c>
      <c r="PY131" s="44">
        <v>-5</v>
      </c>
      <c r="PZ131" s="43"/>
      <c r="QA131" s="42">
        <v>232</v>
      </c>
      <c r="QB131" s="47">
        <v>230</v>
      </c>
      <c r="QC131" s="44">
        <v>2</v>
      </c>
      <c r="QD131" s="43"/>
      <c r="QE131" s="42">
        <v>136</v>
      </c>
      <c r="QF131" s="47">
        <v>140</v>
      </c>
      <c r="QG131" s="44">
        <v>-4</v>
      </c>
      <c r="QH131" s="43"/>
      <c r="QI131" s="42">
        <v>128</v>
      </c>
      <c r="QJ131" s="47">
        <v>130</v>
      </c>
      <c r="QK131" s="44">
        <v>-2</v>
      </c>
      <c r="QL131" s="43"/>
      <c r="QM131" s="42">
        <v>80</v>
      </c>
      <c r="QN131" s="47">
        <v>80</v>
      </c>
      <c r="QO131" s="47">
        <v>0</v>
      </c>
      <c r="QP131" s="47">
        <v>0</v>
      </c>
      <c r="QQ131" s="44">
        <v>0</v>
      </c>
      <c r="QR131" s="43"/>
      <c r="QS131" s="42">
        <v>48</v>
      </c>
      <c r="QT131" s="47">
        <v>50</v>
      </c>
      <c r="QU131" s="44">
        <v>-2</v>
      </c>
      <c r="QV131" s="43"/>
      <c r="QW131" s="42">
        <v>96</v>
      </c>
      <c r="QX131" s="47">
        <v>100</v>
      </c>
      <c r="QY131" s="44">
        <v>-4</v>
      </c>
      <c r="QZ131" s="43"/>
    </row>
    <row r="132" spans="1:468" x14ac:dyDescent="0.25">
      <c r="A132" s="47" t="s">
        <v>416</v>
      </c>
      <c r="B132" s="38">
        <v>0.15</v>
      </c>
      <c r="N132" s="39"/>
      <c r="O132" s="48"/>
      <c r="P132" s="48"/>
      <c r="Q132" s="48"/>
      <c r="R132" s="48">
        <f t="shared" ref="R132:R195" si="16">N132+P132-O132-Q132</f>
        <v>0</v>
      </c>
      <c r="S132" s="40"/>
      <c r="T132" s="39"/>
      <c r="U132" s="48"/>
      <c r="V132" s="48">
        <f t="shared" ref="V132:V195" si="17">T132-U132</f>
        <v>0</v>
      </c>
      <c r="W132" s="40"/>
      <c r="X132" s="39"/>
      <c r="Y132" s="48"/>
      <c r="Z132" s="48"/>
      <c r="AA132" s="48"/>
      <c r="AB132" s="48">
        <f t="shared" ref="AB132:AB195" si="18">X132+Z132-Y132-AA132</f>
        <v>0</v>
      </c>
      <c r="AC132" s="40"/>
      <c r="AD132" s="48"/>
      <c r="AH132" s="44">
        <v>0</v>
      </c>
      <c r="AI132" s="40"/>
      <c r="AN132" s="44">
        <v>0</v>
      </c>
      <c r="AO132" s="40"/>
      <c r="AT132" s="44">
        <v>0</v>
      </c>
      <c r="AU132" s="40"/>
      <c r="AV132" s="39"/>
      <c r="AX132" s="44">
        <v>0</v>
      </c>
      <c r="AY132" s="40"/>
      <c r="AZ132" s="39"/>
      <c r="BB132" s="44">
        <v>0</v>
      </c>
      <c r="BC132" s="40"/>
      <c r="BH132" s="44">
        <v>0</v>
      </c>
      <c r="BI132" s="40"/>
      <c r="BL132" s="44">
        <v>0</v>
      </c>
      <c r="BM132" s="40"/>
      <c r="BN132" s="39"/>
      <c r="BR132" s="44">
        <v>0</v>
      </c>
      <c r="BS132" s="40"/>
      <c r="BV132" s="44">
        <v>0</v>
      </c>
      <c r="BW132" s="40"/>
      <c r="BX132" s="39"/>
      <c r="BZ132" s="44">
        <v>0</v>
      </c>
      <c r="CA132" s="40"/>
      <c r="CB132" s="39"/>
      <c r="CH132" s="44">
        <v>0</v>
      </c>
      <c r="CI132" s="40"/>
      <c r="CN132" s="44">
        <v>0</v>
      </c>
      <c r="CO132" s="40"/>
      <c r="CP132" s="39"/>
      <c r="CT132" s="44">
        <v>0</v>
      </c>
      <c r="CU132" s="40"/>
      <c r="CV132" s="39"/>
      <c r="CZ132" s="44">
        <v>0</v>
      </c>
      <c r="DA132" s="40"/>
      <c r="DB132" s="39"/>
      <c r="DF132" s="44">
        <v>0</v>
      </c>
      <c r="DG132" s="40"/>
      <c r="DN132" s="44">
        <v>0</v>
      </c>
      <c r="DO132" s="40"/>
      <c r="DP132" s="39"/>
      <c r="DR132" s="44">
        <v>0</v>
      </c>
      <c r="DS132" s="40"/>
      <c r="DT132" s="39"/>
      <c r="DX132" s="44">
        <v>0</v>
      </c>
      <c r="DY132" s="40"/>
      <c r="DZ132" s="39"/>
      <c r="EB132" s="44">
        <v>0</v>
      </c>
      <c r="EC132" s="40"/>
      <c r="EK132" s="44">
        <v>0</v>
      </c>
      <c r="EL132" s="40"/>
      <c r="ES132" s="44">
        <v>0</v>
      </c>
      <c r="ET132" s="40"/>
      <c r="EU132" s="39"/>
      <c r="EY132" s="44">
        <v>0</v>
      </c>
      <c r="EZ132" s="40"/>
      <c r="FA132" s="39"/>
      <c r="FD132" s="44">
        <v>0</v>
      </c>
      <c r="FE132" s="40"/>
      <c r="FH132" s="44">
        <v>0</v>
      </c>
      <c r="FI132" s="40"/>
      <c r="FJ132" s="39"/>
      <c r="FQ132" s="44">
        <v>0</v>
      </c>
      <c r="FR132" s="40"/>
      <c r="FW132" s="44">
        <v>0</v>
      </c>
      <c r="FX132" s="40"/>
      <c r="FY132" s="39"/>
      <c r="GC132" s="44">
        <v>0</v>
      </c>
      <c r="GD132" s="40"/>
      <c r="GI132" s="44">
        <v>0</v>
      </c>
      <c r="GJ132" s="40"/>
      <c r="GM132" s="44">
        <v>0</v>
      </c>
      <c r="GN132" s="40"/>
      <c r="GO132" s="39"/>
      <c r="GQ132" s="44">
        <v>0</v>
      </c>
      <c r="GR132" s="40"/>
      <c r="GX132" s="44">
        <v>0</v>
      </c>
      <c r="GY132" s="40"/>
      <c r="HD132" s="44">
        <v>0</v>
      </c>
      <c r="HE132" s="40"/>
      <c r="HF132" s="39"/>
      <c r="HJ132" s="44">
        <v>0</v>
      </c>
      <c r="HK132" s="40"/>
      <c r="HL132" s="39"/>
      <c r="HP132" s="44">
        <v>0</v>
      </c>
      <c r="HQ132" s="40"/>
      <c r="HV132" s="44">
        <v>0</v>
      </c>
      <c r="HW132" s="43"/>
      <c r="IB132" s="44">
        <v>0</v>
      </c>
      <c r="IC132" s="43"/>
      <c r="IH132" s="44">
        <v>0</v>
      </c>
      <c r="II132" s="43"/>
      <c r="IN132" s="44">
        <v>0</v>
      </c>
      <c r="IO132" s="40"/>
      <c r="IR132" s="44">
        <v>0</v>
      </c>
      <c r="IS132" s="40"/>
      <c r="IX132" s="44">
        <v>0</v>
      </c>
      <c r="IY132" s="43"/>
      <c r="JB132" s="44">
        <v>0</v>
      </c>
      <c r="JC132" s="40"/>
      <c r="JH132" s="44">
        <v>0</v>
      </c>
      <c r="JI132" s="40"/>
      <c r="JJ132">
        <v>324</v>
      </c>
      <c r="JK132">
        <v>330</v>
      </c>
      <c r="JL132">
        <v>360</v>
      </c>
      <c r="JM132">
        <v>362</v>
      </c>
      <c r="JN132" s="44">
        <v>-8</v>
      </c>
      <c r="JO132" s="43"/>
      <c r="JR132">
        <v>108</v>
      </c>
      <c r="JS132">
        <v>107</v>
      </c>
      <c r="JT132" s="44">
        <v>1</v>
      </c>
      <c r="JU132" s="43"/>
      <c r="JZ132" s="44">
        <v>0</v>
      </c>
      <c r="KA132" s="43"/>
      <c r="KB132" s="41">
        <v>144</v>
      </c>
      <c r="KC132">
        <v>150</v>
      </c>
      <c r="KE132">
        <v>180</v>
      </c>
      <c r="KF132">
        <v>180</v>
      </c>
      <c r="KG132">
        <v>144</v>
      </c>
      <c r="KH132">
        <v>150</v>
      </c>
      <c r="KI132" s="44">
        <v>-12</v>
      </c>
      <c r="KJ132" s="43"/>
      <c r="KK132" s="47">
        <v>0</v>
      </c>
      <c r="KL132" s="47">
        <v>0</v>
      </c>
      <c r="KM132" s="47">
        <v>0</v>
      </c>
      <c r="KN132" s="47">
        <v>0</v>
      </c>
      <c r="KO132" s="44">
        <v>0</v>
      </c>
      <c r="KP132" s="43"/>
      <c r="KQ132" s="47">
        <v>0</v>
      </c>
      <c r="KR132" s="47">
        <v>0</v>
      </c>
      <c r="KS132" s="47">
        <v>360</v>
      </c>
      <c r="KT132" s="47">
        <v>363</v>
      </c>
      <c r="KU132" s="44">
        <v>-3</v>
      </c>
      <c r="KV132" s="43"/>
      <c r="KW132" s="42">
        <v>96</v>
      </c>
      <c r="KX132" s="47">
        <v>100</v>
      </c>
      <c r="KY132" s="44">
        <v>-4</v>
      </c>
      <c r="KZ132" s="43"/>
      <c r="LA132" s="42">
        <v>252</v>
      </c>
      <c r="LB132" s="47">
        <v>250</v>
      </c>
      <c r="LC132" s="47">
        <v>192</v>
      </c>
      <c r="LD132" s="47">
        <v>195</v>
      </c>
      <c r="LE132" s="44">
        <v>-1</v>
      </c>
      <c r="LF132" s="43"/>
      <c r="LG132" s="42">
        <v>0</v>
      </c>
      <c r="LH132" s="47">
        <v>0</v>
      </c>
      <c r="LI132" s="47">
        <v>0</v>
      </c>
      <c r="LJ132" s="47">
        <v>0</v>
      </c>
      <c r="LK132" s="44">
        <v>0</v>
      </c>
      <c r="LL132" s="43"/>
      <c r="LM132" s="42">
        <v>60</v>
      </c>
      <c r="LN132" s="47">
        <v>60</v>
      </c>
      <c r="LO132" s="44">
        <v>0</v>
      </c>
      <c r="LP132" s="43"/>
      <c r="LQ132" s="42">
        <v>0</v>
      </c>
      <c r="LR132" s="47">
        <v>0</v>
      </c>
      <c r="LS132" s="47">
        <v>0</v>
      </c>
      <c r="LT132" s="47">
        <v>0</v>
      </c>
      <c r="LU132" s="44">
        <v>0</v>
      </c>
      <c r="LV132" s="43"/>
      <c r="LW132" s="42">
        <v>96</v>
      </c>
      <c r="LX132" s="47">
        <v>100</v>
      </c>
      <c r="LY132" s="47">
        <v>0</v>
      </c>
      <c r="LZ132" s="47">
        <v>0</v>
      </c>
      <c r="MA132" s="44">
        <v>-4</v>
      </c>
      <c r="MB132" s="43"/>
      <c r="MC132" s="42">
        <v>0</v>
      </c>
      <c r="MD132" s="47">
        <v>0</v>
      </c>
      <c r="ME132" s="47">
        <v>528</v>
      </c>
      <c r="MF132" s="47">
        <v>536</v>
      </c>
      <c r="MG132" s="44">
        <v>-8</v>
      </c>
      <c r="MH132" s="43"/>
      <c r="MI132" s="42">
        <v>0</v>
      </c>
      <c r="MJ132" s="47">
        <v>0</v>
      </c>
      <c r="MK132" s="47">
        <v>0</v>
      </c>
      <c r="ML132" s="47">
        <v>0</v>
      </c>
      <c r="MM132" s="44">
        <v>0</v>
      </c>
      <c r="MN132" s="43"/>
      <c r="MO132" s="42">
        <v>48</v>
      </c>
      <c r="MP132" s="47">
        <v>50</v>
      </c>
      <c r="MQ132" s="47">
        <v>60</v>
      </c>
      <c r="MR132" s="47">
        <v>65</v>
      </c>
      <c r="MS132" s="44">
        <v>-7</v>
      </c>
      <c r="MT132" s="43"/>
      <c r="MU132" s="42">
        <v>0</v>
      </c>
      <c r="MV132" s="26">
        <v>70</v>
      </c>
      <c r="MW132" s="47">
        <v>228</v>
      </c>
      <c r="MX132" s="47">
        <v>230</v>
      </c>
      <c r="MY132" s="46">
        <v>-72</v>
      </c>
      <c r="MZ132" s="43">
        <v>10.8</v>
      </c>
      <c r="NA132" s="42">
        <v>0</v>
      </c>
      <c r="NB132" s="47">
        <v>0</v>
      </c>
      <c r="NC132" s="47">
        <v>132</v>
      </c>
      <c r="ND132" s="47">
        <v>140</v>
      </c>
      <c r="NE132" s="44">
        <v>-8</v>
      </c>
      <c r="NF132" s="43"/>
      <c r="NG132" s="42">
        <v>96</v>
      </c>
      <c r="NH132" s="47">
        <v>100</v>
      </c>
      <c r="NI132" s="47">
        <v>204</v>
      </c>
      <c r="NJ132" s="47">
        <v>210</v>
      </c>
      <c r="NK132" s="44">
        <v>-10</v>
      </c>
      <c r="NL132" s="43"/>
      <c r="NM132" s="42">
        <v>0</v>
      </c>
      <c r="NN132" s="47">
        <v>0</v>
      </c>
      <c r="NO132" s="47">
        <v>252</v>
      </c>
      <c r="NP132" s="47">
        <v>250</v>
      </c>
      <c r="NQ132" s="44">
        <v>2</v>
      </c>
      <c r="NR132" s="43"/>
      <c r="NS132" s="42">
        <v>192</v>
      </c>
      <c r="NT132" s="47">
        <v>200</v>
      </c>
      <c r="NU132" s="47">
        <v>0</v>
      </c>
      <c r="NV132" s="47">
        <v>0</v>
      </c>
      <c r="NW132" s="44">
        <v>-8</v>
      </c>
      <c r="NX132" s="43"/>
      <c r="NY132" s="42">
        <v>0</v>
      </c>
      <c r="NZ132" s="47">
        <v>0</v>
      </c>
      <c r="OA132" s="47">
        <v>492</v>
      </c>
      <c r="OB132" s="47">
        <v>490</v>
      </c>
      <c r="OC132" s="44">
        <v>2</v>
      </c>
      <c r="OD132" s="43"/>
      <c r="OE132" s="42">
        <v>72</v>
      </c>
      <c r="OF132" s="47">
        <v>75</v>
      </c>
      <c r="OG132" s="47">
        <v>60</v>
      </c>
      <c r="OH132" s="47">
        <v>62</v>
      </c>
      <c r="OI132" s="44">
        <v>-5</v>
      </c>
      <c r="OJ132" s="43"/>
      <c r="OK132" s="42">
        <v>180</v>
      </c>
      <c r="OL132" s="47">
        <v>180</v>
      </c>
      <c r="OM132" s="47">
        <v>120</v>
      </c>
      <c r="ON132" s="47">
        <v>152</v>
      </c>
      <c r="OO132" s="46">
        <v>-32</v>
      </c>
      <c r="OP132" s="43">
        <v>4.8</v>
      </c>
      <c r="OQ132" s="42">
        <v>60</v>
      </c>
      <c r="OR132" s="47">
        <v>60</v>
      </c>
      <c r="OS132" s="47">
        <v>0</v>
      </c>
      <c r="OT132" s="26">
        <v>60</v>
      </c>
      <c r="OU132" s="46">
        <v>-60</v>
      </c>
      <c r="OV132" s="43">
        <v>9</v>
      </c>
      <c r="OW132" s="42">
        <v>204</v>
      </c>
      <c r="OX132" s="47">
        <v>200</v>
      </c>
      <c r="OY132" s="47">
        <v>180</v>
      </c>
      <c r="OZ132" s="47">
        <v>200</v>
      </c>
      <c r="PA132" s="44">
        <v>-16</v>
      </c>
      <c r="PB132" s="43"/>
      <c r="PC132" s="42">
        <v>0</v>
      </c>
      <c r="PD132" s="47">
        <v>0</v>
      </c>
      <c r="PE132" s="47">
        <v>48</v>
      </c>
      <c r="PF132" s="47">
        <v>50</v>
      </c>
      <c r="PG132" s="44">
        <v>-2</v>
      </c>
      <c r="PH132" s="43"/>
      <c r="PI132" s="42">
        <v>144</v>
      </c>
      <c r="PJ132" s="47">
        <v>150</v>
      </c>
      <c r="PK132" s="47">
        <v>120</v>
      </c>
      <c r="PL132" s="47">
        <v>119</v>
      </c>
      <c r="PM132" s="44">
        <v>-5</v>
      </c>
      <c r="PN132" s="43"/>
      <c r="PO132" s="42">
        <v>144</v>
      </c>
      <c r="PP132" s="47">
        <v>150</v>
      </c>
      <c r="PQ132" s="47">
        <v>132</v>
      </c>
      <c r="PR132" s="47">
        <v>140</v>
      </c>
      <c r="PS132" s="44">
        <v>-14</v>
      </c>
      <c r="PT132" s="43"/>
      <c r="PU132" s="42">
        <v>0</v>
      </c>
      <c r="PV132" s="47">
        <v>0</v>
      </c>
      <c r="PW132" s="47">
        <v>60</v>
      </c>
      <c r="PX132" s="47">
        <v>60</v>
      </c>
      <c r="PY132" s="44">
        <v>0</v>
      </c>
      <c r="PZ132" s="43"/>
      <c r="QA132" s="42">
        <v>96</v>
      </c>
      <c r="QB132" s="47">
        <v>100</v>
      </c>
      <c r="QC132" s="44">
        <v>-4</v>
      </c>
      <c r="QD132" s="43"/>
      <c r="QE132" s="42">
        <v>396</v>
      </c>
      <c r="QF132" s="47">
        <v>400</v>
      </c>
      <c r="QG132" s="44">
        <v>-4</v>
      </c>
      <c r="QH132" s="43"/>
      <c r="QI132" s="42">
        <v>96</v>
      </c>
      <c r="QJ132" s="47">
        <v>100</v>
      </c>
      <c r="QK132" s="44">
        <v>-4</v>
      </c>
      <c r="QL132" s="43"/>
      <c r="QM132" s="11">
        <v>48</v>
      </c>
      <c r="QN132" s="47">
        <v>0</v>
      </c>
      <c r="QO132" s="47">
        <v>0</v>
      </c>
      <c r="QP132" s="47">
        <v>0</v>
      </c>
      <c r="QQ132" s="44">
        <v>0</v>
      </c>
      <c r="QR132" s="43"/>
      <c r="QS132" s="42">
        <v>0</v>
      </c>
      <c r="QT132" s="47">
        <v>0</v>
      </c>
      <c r="QU132" s="44">
        <v>0</v>
      </c>
      <c r="QV132" s="43"/>
      <c r="QW132" s="6">
        <v>300</v>
      </c>
      <c r="QX132" s="47">
        <v>0</v>
      </c>
      <c r="QY132" s="44">
        <v>0</v>
      </c>
      <c r="QZ132" s="43"/>
    </row>
    <row r="133" spans="1:468" x14ac:dyDescent="0.25">
      <c r="A133" s="47" t="s">
        <v>417</v>
      </c>
      <c r="B133" s="38">
        <v>0.15</v>
      </c>
      <c r="N133" s="39"/>
      <c r="O133" s="48"/>
      <c r="P133" s="48"/>
      <c r="Q133" s="48"/>
      <c r="R133" s="48">
        <f t="shared" si="16"/>
        <v>0</v>
      </c>
      <c r="S133" s="40"/>
      <c r="T133" s="39"/>
      <c r="U133" s="48"/>
      <c r="V133" s="48">
        <f t="shared" si="17"/>
        <v>0</v>
      </c>
      <c r="W133" s="40"/>
      <c r="X133" s="39"/>
      <c r="Y133" s="48"/>
      <c r="Z133" s="48"/>
      <c r="AA133" s="48"/>
      <c r="AB133" s="48">
        <f t="shared" si="18"/>
        <v>0</v>
      </c>
      <c r="AC133" s="40"/>
      <c r="AD133" s="48"/>
      <c r="AH133" s="44">
        <v>0</v>
      </c>
      <c r="AI133" s="40"/>
      <c r="AN133" s="44">
        <v>0</v>
      </c>
      <c r="AO133" s="40"/>
      <c r="AT133" s="44">
        <v>0</v>
      </c>
      <c r="AU133" s="40"/>
      <c r="AV133" s="39"/>
      <c r="AX133" s="44">
        <v>0</v>
      </c>
      <c r="AY133" s="40"/>
      <c r="AZ133" s="39"/>
      <c r="BB133" s="44">
        <v>0</v>
      </c>
      <c r="BC133" s="40"/>
      <c r="BH133" s="44">
        <v>0</v>
      </c>
      <c r="BI133" s="40"/>
      <c r="BL133" s="44">
        <v>0</v>
      </c>
      <c r="BM133" s="40"/>
      <c r="BN133" s="39"/>
      <c r="BR133" s="44">
        <v>0</v>
      </c>
      <c r="BS133" s="40"/>
      <c r="BV133" s="44">
        <v>0</v>
      </c>
      <c r="BW133" s="40"/>
      <c r="BX133" s="39"/>
      <c r="BZ133" s="44">
        <v>0</v>
      </c>
      <c r="CA133" s="40"/>
      <c r="CB133" s="39"/>
      <c r="CH133" s="44">
        <v>0</v>
      </c>
      <c r="CI133" s="40"/>
      <c r="CN133" s="44">
        <v>0</v>
      </c>
      <c r="CO133" s="40"/>
      <c r="CP133" s="39"/>
      <c r="CT133" s="44">
        <v>0</v>
      </c>
      <c r="CU133" s="40"/>
      <c r="CV133" s="39"/>
      <c r="CZ133" s="44">
        <v>0</v>
      </c>
      <c r="DA133" s="40"/>
      <c r="DB133" s="39"/>
      <c r="DF133" s="44">
        <v>0</v>
      </c>
      <c r="DG133" s="40"/>
      <c r="DN133" s="44">
        <v>0</v>
      </c>
      <c r="DO133" s="40"/>
      <c r="DP133" s="39"/>
      <c r="DR133" s="44">
        <v>0</v>
      </c>
      <c r="DS133" s="40"/>
      <c r="DT133" s="39"/>
      <c r="DX133" s="44">
        <v>0</v>
      </c>
      <c r="DY133" s="40"/>
      <c r="DZ133" s="39"/>
      <c r="EB133" s="44">
        <v>0</v>
      </c>
      <c r="EC133" s="40"/>
      <c r="EK133" s="44">
        <v>0</v>
      </c>
      <c r="EL133" s="40"/>
      <c r="ES133" s="44">
        <v>0</v>
      </c>
      <c r="ET133" s="40"/>
      <c r="EU133" s="39"/>
      <c r="EY133" s="44">
        <v>0</v>
      </c>
      <c r="EZ133" s="40"/>
      <c r="FA133" s="39"/>
      <c r="FD133" s="44">
        <v>0</v>
      </c>
      <c r="FE133" s="40"/>
      <c r="FH133" s="44">
        <v>0</v>
      </c>
      <c r="FI133" s="40"/>
      <c r="FJ133" s="39"/>
      <c r="FQ133" s="44">
        <v>0</v>
      </c>
      <c r="FR133" s="40"/>
      <c r="FW133" s="44">
        <v>0</v>
      </c>
      <c r="FX133" s="40"/>
      <c r="FY133" s="39"/>
      <c r="GC133" s="44">
        <v>0</v>
      </c>
      <c r="GD133" s="40"/>
      <c r="GI133" s="44">
        <v>0</v>
      </c>
      <c r="GJ133" s="40"/>
      <c r="GM133" s="44">
        <v>0</v>
      </c>
      <c r="GN133" s="40"/>
      <c r="GO133" s="39"/>
      <c r="GQ133" s="44">
        <v>0</v>
      </c>
      <c r="GR133" s="40"/>
      <c r="GX133" s="44">
        <v>0</v>
      </c>
      <c r="GY133" s="40"/>
      <c r="HD133" s="44">
        <v>0</v>
      </c>
      <c r="HE133" s="40"/>
      <c r="HF133" s="39"/>
      <c r="HJ133" s="44">
        <v>0</v>
      </c>
      <c r="HK133" s="40"/>
      <c r="HL133" s="39"/>
      <c r="HP133" s="44">
        <v>0</v>
      </c>
      <c r="HQ133" s="40"/>
      <c r="HV133" s="44">
        <v>0</v>
      </c>
      <c r="HW133" s="43"/>
      <c r="IB133" s="44">
        <v>0</v>
      </c>
      <c r="IC133" s="43"/>
      <c r="IH133" s="44">
        <v>0</v>
      </c>
      <c r="II133" s="43"/>
      <c r="IN133" s="44">
        <v>0</v>
      </c>
      <c r="IO133" s="40"/>
      <c r="IR133" s="44">
        <v>0</v>
      </c>
      <c r="IS133" s="40"/>
      <c r="IX133" s="44">
        <v>0</v>
      </c>
      <c r="IY133" s="43"/>
      <c r="JB133" s="44">
        <v>0</v>
      </c>
      <c r="JC133" s="40"/>
      <c r="JH133" s="44">
        <v>0</v>
      </c>
      <c r="JI133" s="40"/>
      <c r="JJ133">
        <v>420</v>
      </c>
      <c r="JK133">
        <v>420</v>
      </c>
      <c r="JL133">
        <v>480</v>
      </c>
      <c r="JM133">
        <v>478</v>
      </c>
      <c r="JN133" s="44">
        <v>2</v>
      </c>
      <c r="JO133" s="43"/>
      <c r="JT133" s="44">
        <v>0</v>
      </c>
      <c r="JU133" s="43"/>
      <c r="JZ133" s="44">
        <v>0</v>
      </c>
      <c r="KA133" s="43"/>
      <c r="KB133" s="41">
        <v>192</v>
      </c>
      <c r="KC133">
        <v>200</v>
      </c>
      <c r="KE133">
        <v>252</v>
      </c>
      <c r="KF133">
        <v>250</v>
      </c>
      <c r="KG133">
        <v>192</v>
      </c>
      <c r="KH133">
        <v>200</v>
      </c>
      <c r="KI133" s="44">
        <v>-14</v>
      </c>
      <c r="KJ133" s="43"/>
      <c r="KK133" s="47">
        <v>0</v>
      </c>
      <c r="KL133" s="47">
        <v>0</v>
      </c>
      <c r="KM133" s="47">
        <v>48</v>
      </c>
      <c r="KN133" s="47">
        <v>50</v>
      </c>
      <c r="KO133" s="44">
        <v>-2</v>
      </c>
      <c r="KP133" s="43"/>
      <c r="KQ133" s="47">
        <v>0</v>
      </c>
      <c r="KR133" s="47">
        <v>0</v>
      </c>
      <c r="KS133" s="47">
        <v>228</v>
      </c>
      <c r="KT133" s="47">
        <v>236</v>
      </c>
      <c r="KU133" s="44">
        <v>-8</v>
      </c>
      <c r="KV133" s="43"/>
      <c r="KW133" s="42">
        <v>144</v>
      </c>
      <c r="KX133" s="47">
        <v>150</v>
      </c>
      <c r="KY133" s="44">
        <v>-6</v>
      </c>
      <c r="KZ133" s="43"/>
      <c r="LA133" s="42">
        <v>252</v>
      </c>
      <c r="LB133" s="47">
        <v>260</v>
      </c>
      <c r="LC133" s="47">
        <v>228</v>
      </c>
      <c r="LD133" s="47">
        <v>248</v>
      </c>
      <c r="LE133" s="46">
        <v>-28</v>
      </c>
      <c r="LF133" s="43">
        <v>4.2</v>
      </c>
      <c r="LG133" s="42">
        <v>0</v>
      </c>
      <c r="LH133" s="47">
        <v>0</v>
      </c>
      <c r="LI133" s="47">
        <v>84</v>
      </c>
      <c r="LJ133" s="47">
        <v>85</v>
      </c>
      <c r="LK133" s="44">
        <v>-1</v>
      </c>
      <c r="LL133" s="43"/>
      <c r="LM133" s="42">
        <v>192</v>
      </c>
      <c r="LN133" s="47">
        <v>200</v>
      </c>
      <c r="LO133" s="44">
        <v>-8</v>
      </c>
      <c r="LP133" s="43"/>
      <c r="LQ133" s="42">
        <v>0</v>
      </c>
      <c r="LR133" s="47">
        <v>0</v>
      </c>
      <c r="LS133" s="47">
        <v>0</v>
      </c>
      <c r="LT133" s="47">
        <v>0</v>
      </c>
      <c r="LU133" s="44">
        <v>0</v>
      </c>
      <c r="LV133" s="43"/>
      <c r="LW133" s="42">
        <v>144</v>
      </c>
      <c r="LX133" s="47">
        <v>150</v>
      </c>
      <c r="LY133" s="47">
        <v>0</v>
      </c>
      <c r="LZ133" s="47">
        <v>0</v>
      </c>
      <c r="MA133" s="44">
        <v>-6</v>
      </c>
      <c r="MB133" s="43"/>
      <c r="MC133" s="42">
        <v>0</v>
      </c>
      <c r="MD133" s="47">
        <v>0</v>
      </c>
      <c r="ME133" s="47">
        <v>396</v>
      </c>
      <c r="MF133" s="47">
        <v>401</v>
      </c>
      <c r="MG133" s="44">
        <v>-5</v>
      </c>
      <c r="MH133" s="43"/>
      <c r="MI133" s="42">
        <v>0</v>
      </c>
      <c r="MJ133" s="47">
        <v>0</v>
      </c>
      <c r="MK133" s="47">
        <v>60</v>
      </c>
      <c r="ML133" s="47">
        <v>60</v>
      </c>
      <c r="MM133" s="44">
        <v>0</v>
      </c>
      <c r="MN133" s="43"/>
      <c r="MO133" s="42">
        <v>0</v>
      </c>
      <c r="MP133" s="47">
        <v>0</v>
      </c>
      <c r="MQ133" s="47">
        <v>72</v>
      </c>
      <c r="MR133" s="47">
        <v>75</v>
      </c>
      <c r="MS133" s="44">
        <v>-3</v>
      </c>
      <c r="MT133" s="43"/>
      <c r="MU133" s="42">
        <v>0</v>
      </c>
      <c r="MV133" s="47">
        <v>0</v>
      </c>
      <c r="MW133" s="47">
        <v>36</v>
      </c>
      <c r="MX133" s="47">
        <v>42.600000000000023</v>
      </c>
      <c r="MY133" s="44">
        <v>-6.6000000000000227</v>
      </c>
      <c r="MZ133" s="43"/>
      <c r="NA133" s="42">
        <v>144</v>
      </c>
      <c r="NB133" s="47">
        <v>150</v>
      </c>
      <c r="NC133" s="47">
        <v>252</v>
      </c>
      <c r="ND133" s="47">
        <v>250</v>
      </c>
      <c r="NE133" s="44">
        <v>-4</v>
      </c>
      <c r="NF133" s="43"/>
      <c r="NG133" s="42">
        <v>0</v>
      </c>
      <c r="NH133" s="47">
        <v>0</v>
      </c>
      <c r="NI133" s="47">
        <v>108</v>
      </c>
      <c r="NJ133" s="47">
        <v>106</v>
      </c>
      <c r="NK133" s="44">
        <v>2</v>
      </c>
      <c r="NL133" s="43"/>
      <c r="NM133" s="42">
        <v>0</v>
      </c>
      <c r="NN133" s="47">
        <v>0</v>
      </c>
      <c r="NO133" s="47">
        <v>216</v>
      </c>
      <c r="NP133" s="47">
        <v>220</v>
      </c>
      <c r="NQ133" s="44">
        <v>-4</v>
      </c>
      <c r="NR133" s="43"/>
      <c r="NS133" s="42">
        <v>300</v>
      </c>
      <c r="NT133" s="47">
        <v>300</v>
      </c>
      <c r="NU133" s="47">
        <v>396</v>
      </c>
      <c r="NV133" s="47">
        <v>400</v>
      </c>
      <c r="NW133" s="44">
        <v>-4</v>
      </c>
      <c r="NX133" s="43"/>
      <c r="NY133" s="42">
        <v>0</v>
      </c>
      <c r="NZ133" s="47">
        <v>0</v>
      </c>
      <c r="OA133" s="47">
        <v>252</v>
      </c>
      <c r="OB133" s="47">
        <v>250</v>
      </c>
      <c r="OC133" s="44">
        <v>2</v>
      </c>
      <c r="OD133" s="43"/>
      <c r="OE133" s="42">
        <v>240</v>
      </c>
      <c r="OF133" s="47">
        <v>240</v>
      </c>
      <c r="OG133" s="47">
        <v>192</v>
      </c>
      <c r="OH133" s="47">
        <v>200</v>
      </c>
      <c r="OI133" s="44">
        <v>-8</v>
      </c>
      <c r="OJ133" s="43"/>
      <c r="OK133" s="42">
        <v>180</v>
      </c>
      <c r="OL133" s="47">
        <v>180</v>
      </c>
      <c r="OM133" s="47">
        <v>180</v>
      </c>
      <c r="ON133" s="47">
        <v>184</v>
      </c>
      <c r="OO133" s="44">
        <v>-4</v>
      </c>
      <c r="OP133" s="43"/>
      <c r="OQ133" s="42">
        <v>60</v>
      </c>
      <c r="OR133" s="47">
        <v>60</v>
      </c>
      <c r="OS133" s="47">
        <v>60</v>
      </c>
      <c r="OT133" s="47">
        <v>60</v>
      </c>
      <c r="OU133" s="44">
        <v>0</v>
      </c>
      <c r="OV133" s="43"/>
      <c r="OW133" s="42">
        <v>204</v>
      </c>
      <c r="OX133" s="47">
        <v>200</v>
      </c>
      <c r="OY133" s="47">
        <v>252</v>
      </c>
      <c r="OZ133" s="47">
        <v>250</v>
      </c>
      <c r="PA133" s="44">
        <v>6</v>
      </c>
      <c r="PB133" s="43"/>
      <c r="PC133" s="42">
        <v>0</v>
      </c>
      <c r="PD133" s="47">
        <v>0</v>
      </c>
      <c r="PE133" s="47">
        <v>96</v>
      </c>
      <c r="PF133" s="47">
        <v>100</v>
      </c>
      <c r="PG133" s="44">
        <v>-4</v>
      </c>
      <c r="PH133" s="43"/>
      <c r="PI133" s="42">
        <v>48</v>
      </c>
      <c r="PJ133" s="47">
        <v>50</v>
      </c>
      <c r="PK133" s="47">
        <v>48</v>
      </c>
      <c r="PL133" s="47">
        <v>56</v>
      </c>
      <c r="PM133" s="44">
        <v>-10</v>
      </c>
      <c r="PN133" s="43"/>
      <c r="PO133" s="42">
        <v>156</v>
      </c>
      <c r="PP133" s="47">
        <v>160</v>
      </c>
      <c r="PQ133" s="47">
        <v>96</v>
      </c>
      <c r="PR133" s="47">
        <v>100</v>
      </c>
      <c r="PS133" s="44">
        <v>-8</v>
      </c>
      <c r="PT133" s="43"/>
      <c r="PU133" s="42">
        <v>0</v>
      </c>
      <c r="PV133" s="47">
        <v>0</v>
      </c>
      <c r="PW133" s="47">
        <v>36</v>
      </c>
      <c r="PX133" s="47">
        <v>40</v>
      </c>
      <c r="PY133" s="44">
        <v>-4</v>
      </c>
      <c r="PZ133" s="43"/>
      <c r="QA133" s="42">
        <v>60</v>
      </c>
      <c r="QB133" s="47">
        <v>60</v>
      </c>
      <c r="QC133" s="44">
        <v>0</v>
      </c>
      <c r="QD133" s="43"/>
      <c r="QE133" s="42">
        <v>396</v>
      </c>
      <c r="QF133" s="47">
        <v>400</v>
      </c>
      <c r="QG133" s="44">
        <v>-4</v>
      </c>
      <c r="QH133" s="43"/>
      <c r="QI133" s="42">
        <v>144</v>
      </c>
      <c r="QJ133" s="47">
        <v>150</v>
      </c>
      <c r="QK133" s="44">
        <v>-6</v>
      </c>
      <c r="QL133" s="43"/>
      <c r="QM133" s="11">
        <v>84</v>
      </c>
      <c r="QN133" s="47">
        <v>0</v>
      </c>
      <c r="QO133" s="47">
        <v>0</v>
      </c>
      <c r="QP133" s="47">
        <v>0</v>
      </c>
      <c r="QQ133" s="44">
        <v>0</v>
      </c>
      <c r="QR133" s="43"/>
      <c r="QS133" s="42">
        <v>0</v>
      </c>
      <c r="QT133" s="47">
        <v>0</v>
      </c>
      <c r="QU133" s="44">
        <v>0</v>
      </c>
      <c r="QV133" s="43"/>
      <c r="QW133" s="6">
        <v>192</v>
      </c>
      <c r="QX133" s="47">
        <v>0</v>
      </c>
      <c r="QY133" s="44">
        <v>0</v>
      </c>
      <c r="QZ133" s="43"/>
    </row>
    <row r="134" spans="1:468" x14ac:dyDescent="0.25">
      <c r="A134" s="47" t="s">
        <v>418</v>
      </c>
      <c r="B134" s="38">
        <v>0.15</v>
      </c>
      <c r="N134" s="39"/>
      <c r="O134" s="48"/>
      <c r="P134" s="48"/>
      <c r="Q134" s="48"/>
      <c r="R134" s="48">
        <f t="shared" si="16"/>
        <v>0</v>
      </c>
      <c r="S134" s="40"/>
      <c r="T134" s="39"/>
      <c r="U134" s="48"/>
      <c r="V134" s="48">
        <f t="shared" si="17"/>
        <v>0</v>
      </c>
      <c r="W134" s="40"/>
      <c r="X134" s="39"/>
      <c r="Y134" s="48"/>
      <c r="Z134" s="48"/>
      <c r="AA134" s="48"/>
      <c r="AB134" s="48">
        <f t="shared" si="18"/>
        <v>0</v>
      </c>
      <c r="AC134" s="40"/>
      <c r="AD134" s="48"/>
      <c r="AH134" s="44">
        <v>0</v>
      </c>
      <c r="AI134" s="40"/>
      <c r="AN134" s="44">
        <v>0</v>
      </c>
      <c r="AO134" s="40"/>
      <c r="AT134" s="44">
        <v>0</v>
      </c>
      <c r="AU134" s="40"/>
      <c r="AV134" s="39"/>
      <c r="AX134" s="44">
        <v>0</v>
      </c>
      <c r="AY134" s="40"/>
      <c r="AZ134" s="39"/>
      <c r="BB134" s="44">
        <v>0</v>
      </c>
      <c r="BC134" s="40"/>
      <c r="BH134" s="44">
        <v>0</v>
      </c>
      <c r="BI134" s="40"/>
      <c r="BL134" s="44">
        <v>0</v>
      </c>
      <c r="BM134" s="40"/>
      <c r="BN134" s="39"/>
      <c r="BR134" s="44">
        <v>0</v>
      </c>
      <c r="BS134" s="40"/>
      <c r="BV134" s="44">
        <v>0</v>
      </c>
      <c r="BW134" s="40"/>
      <c r="BX134" s="39"/>
      <c r="BZ134" s="44">
        <v>0</v>
      </c>
      <c r="CA134" s="40"/>
      <c r="CB134" s="39"/>
      <c r="CH134" s="44">
        <v>0</v>
      </c>
      <c r="CI134" s="40"/>
      <c r="CN134" s="44">
        <v>0</v>
      </c>
      <c r="CO134" s="40"/>
      <c r="CP134" s="39"/>
      <c r="CT134" s="44">
        <v>0</v>
      </c>
      <c r="CU134" s="40"/>
      <c r="CV134" s="39"/>
      <c r="CZ134" s="44">
        <v>0</v>
      </c>
      <c r="DA134" s="40"/>
      <c r="DB134" s="39"/>
      <c r="DF134" s="44">
        <v>0</v>
      </c>
      <c r="DG134" s="40"/>
      <c r="DN134" s="44">
        <v>0</v>
      </c>
      <c r="DO134" s="40"/>
      <c r="DP134" s="39"/>
      <c r="DR134" s="44">
        <v>0</v>
      </c>
      <c r="DS134" s="40"/>
      <c r="DT134" s="39"/>
      <c r="DX134" s="44">
        <v>0</v>
      </c>
      <c r="DY134" s="40"/>
      <c r="DZ134" s="39"/>
      <c r="EB134" s="44">
        <v>0</v>
      </c>
      <c r="EC134" s="40"/>
      <c r="EK134" s="44">
        <v>0</v>
      </c>
      <c r="EL134" s="40"/>
      <c r="ES134" s="44">
        <v>0</v>
      </c>
      <c r="ET134" s="40"/>
      <c r="EU134" s="39"/>
      <c r="EY134" s="44">
        <v>0</v>
      </c>
      <c r="EZ134" s="40"/>
      <c r="FA134" s="39"/>
      <c r="FD134" s="44">
        <v>0</v>
      </c>
      <c r="FE134" s="40"/>
      <c r="FH134" s="44">
        <v>0</v>
      </c>
      <c r="FI134" s="40"/>
      <c r="FJ134" s="39"/>
      <c r="FQ134" s="44">
        <v>0</v>
      </c>
      <c r="FR134" s="40"/>
      <c r="FW134" s="44">
        <v>0</v>
      </c>
      <c r="FX134" s="40"/>
      <c r="FY134" s="39"/>
      <c r="GC134" s="44">
        <v>0</v>
      </c>
      <c r="GD134" s="40"/>
      <c r="GI134" s="44">
        <v>0</v>
      </c>
      <c r="GJ134" s="40"/>
      <c r="GM134" s="44">
        <v>0</v>
      </c>
      <c r="GN134" s="40"/>
      <c r="GO134" s="39"/>
      <c r="GQ134" s="44">
        <v>0</v>
      </c>
      <c r="GR134" s="40"/>
      <c r="GX134" s="44">
        <v>0</v>
      </c>
      <c r="GY134" s="40"/>
      <c r="HD134" s="44">
        <v>0</v>
      </c>
      <c r="HE134" s="40"/>
      <c r="HF134" s="39"/>
      <c r="HJ134" s="44">
        <v>0</v>
      </c>
      <c r="HK134" s="40"/>
      <c r="HL134" s="39"/>
      <c r="HP134" s="44">
        <v>0</v>
      </c>
      <c r="HQ134" s="40"/>
      <c r="HV134" s="44">
        <v>0</v>
      </c>
      <c r="HW134" s="43"/>
      <c r="IB134" s="44">
        <v>0</v>
      </c>
      <c r="IC134" s="43"/>
      <c r="IH134" s="44">
        <v>0</v>
      </c>
      <c r="II134" s="43"/>
      <c r="IN134" s="44">
        <v>0</v>
      </c>
      <c r="IO134" s="40"/>
      <c r="IR134" s="44">
        <v>0</v>
      </c>
      <c r="IS134" s="40"/>
      <c r="IX134" s="44">
        <v>0</v>
      </c>
      <c r="IY134" s="43"/>
      <c r="JB134" s="44">
        <v>0</v>
      </c>
      <c r="JC134" s="40"/>
      <c r="JH134" s="44">
        <v>0</v>
      </c>
      <c r="JI134" s="40"/>
      <c r="JJ134">
        <v>444</v>
      </c>
      <c r="JK134">
        <v>450</v>
      </c>
      <c r="JL134">
        <v>504</v>
      </c>
      <c r="JM134">
        <v>502</v>
      </c>
      <c r="JN134" s="44">
        <v>-4</v>
      </c>
      <c r="JO134" s="43"/>
      <c r="JP134">
        <v>48</v>
      </c>
      <c r="JQ134">
        <v>48</v>
      </c>
      <c r="JT134" s="44">
        <v>0</v>
      </c>
      <c r="JU134" s="43"/>
      <c r="JZ134" s="44">
        <v>0</v>
      </c>
      <c r="KA134" s="43"/>
      <c r="KB134" s="41">
        <v>252</v>
      </c>
      <c r="KC134">
        <v>250</v>
      </c>
      <c r="KE134">
        <v>276</v>
      </c>
      <c r="KF134">
        <v>280</v>
      </c>
      <c r="KG134">
        <v>192</v>
      </c>
      <c r="KH134">
        <v>200</v>
      </c>
      <c r="KI134" s="44">
        <v>-10</v>
      </c>
      <c r="KJ134" s="43"/>
      <c r="KK134" s="47">
        <v>0</v>
      </c>
      <c r="KL134" s="47">
        <v>0</v>
      </c>
      <c r="KM134" s="47">
        <v>0</v>
      </c>
      <c r="KN134" s="47">
        <v>0</v>
      </c>
      <c r="KO134" s="44">
        <v>0</v>
      </c>
      <c r="KP134" s="43"/>
      <c r="KQ134" s="47">
        <v>288</v>
      </c>
      <c r="KR134" s="47">
        <v>300</v>
      </c>
      <c r="KS134" s="47">
        <v>360</v>
      </c>
      <c r="KT134" s="47">
        <v>368</v>
      </c>
      <c r="KU134" s="46">
        <v>-20</v>
      </c>
      <c r="KV134" s="43">
        <v>3</v>
      </c>
      <c r="KW134" s="42">
        <v>144</v>
      </c>
      <c r="KX134" s="47">
        <v>150</v>
      </c>
      <c r="KY134" s="44">
        <v>-6</v>
      </c>
      <c r="KZ134" s="43"/>
      <c r="LA134" s="42">
        <v>348</v>
      </c>
      <c r="LB134" s="47">
        <v>350</v>
      </c>
      <c r="LC134" s="47">
        <v>360</v>
      </c>
      <c r="LD134" s="47">
        <v>358</v>
      </c>
      <c r="LE134" s="44">
        <v>0</v>
      </c>
      <c r="LF134" s="43"/>
      <c r="LG134" s="42">
        <v>96</v>
      </c>
      <c r="LH134" s="47">
        <v>100</v>
      </c>
      <c r="LI134" s="47">
        <v>120</v>
      </c>
      <c r="LJ134" s="47">
        <v>118</v>
      </c>
      <c r="LK134" s="44">
        <v>-2</v>
      </c>
      <c r="LL134" s="43"/>
      <c r="LM134" s="42">
        <v>120</v>
      </c>
      <c r="LN134" s="47">
        <v>120</v>
      </c>
      <c r="LO134" s="44">
        <v>0</v>
      </c>
      <c r="LP134" s="43"/>
      <c r="LQ134" s="42">
        <v>0</v>
      </c>
      <c r="LR134" s="47">
        <v>0</v>
      </c>
      <c r="LS134" s="47">
        <v>120</v>
      </c>
      <c r="LT134" s="47">
        <v>123</v>
      </c>
      <c r="LU134" s="44">
        <v>-3</v>
      </c>
      <c r="LV134" s="43"/>
      <c r="LW134" s="42">
        <v>336</v>
      </c>
      <c r="LX134" s="47">
        <v>335</v>
      </c>
      <c r="LY134" s="47">
        <v>0</v>
      </c>
      <c r="LZ134" s="47">
        <v>0</v>
      </c>
      <c r="MA134" s="44">
        <v>1</v>
      </c>
      <c r="MB134" s="43"/>
      <c r="MC134" s="42">
        <v>0</v>
      </c>
      <c r="MD134" s="47">
        <v>0</v>
      </c>
      <c r="ME134" s="47">
        <v>480</v>
      </c>
      <c r="MF134" s="47">
        <v>479</v>
      </c>
      <c r="MG134" s="44">
        <v>1</v>
      </c>
      <c r="MH134" s="43"/>
      <c r="MI134" s="42">
        <v>192</v>
      </c>
      <c r="MJ134" s="47">
        <v>200</v>
      </c>
      <c r="MK134" s="47">
        <v>120</v>
      </c>
      <c r="ML134" s="47">
        <v>120</v>
      </c>
      <c r="MM134" s="44">
        <v>-8</v>
      </c>
      <c r="MN134" s="43"/>
      <c r="MO134" s="42">
        <v>48</v>
      </c>
      <c r="MP134" s="47">
        <v>50</v>
      </c>
      <c r="MQ134" s="47">
        <v>48</v>
      </c>
      <c r="MR134" s="47">
        <v>50</v>
      </c>
      <c r="MS134" s="44">
        <v>-4</v>
      </c>
      <c r="MT134" s="43"/>
      <c r="MU134" s="42">
        <v>0</v>
      </c>
      <c r="MV134" s="26">
        <v>50</v>
      </c>
      <c r="MW134" s="47">
        <v>276</v>
      </c>
      <c r="MX134" s="47">
        <v>277.2</v>
      </c>
      <c r="MY134" s="46">
        <v>-51.200000000000053</v>
      </c>
      <c r="MZ134" s="43">
        <v>7.6800000000000068</v>
      </c>
      <c r="NA134" s="42">
        <v>144</v>
      </c>
      <c r="NB134" s="47">
        <v>150</v>
      </c>
      <c r="NC134" s="47">
        <v>300</v>
      </c>
      <c r="ND134" s="47">
        <v>300</v>
      </c>
      <c r="NE134" s="44">
        <v>-6</v>
      </c>
      <c r="NF134" s="43"/>
      <c r="NG134" s="42">
        <v>96</v>
      </c>
      <c r="NH134" s="47">
        <v>100</v>
      </c>
      <c r="NI134" s="47">
        <v>276</v>
      </c>
      <c r="NJ134" s="47">
        <v>282</v>
      </c>
      <c r="NK134" s="44">
        <v>-10</v>
      </c>
      <c r="NL134" s="43"/>
      <c r="NM134" s="42">
        <v>0</v>
      </c>
      <c r="NN134" s="47">
        <v>0</v>
      </c>
      <c r="NO134" s="47">
        <v>252</v>
      </c>
      <c r="NP134" s="47">
        <v>250</v>
      </c>
      <c r="NQ134" s="44">
        <v>2</v>
      </c>
      <c r="NR134" s="43"/>
      <c r="NS134" s="42">
        <v>276</v>
      </c>
      <c r="NT134" s="47">
        <v>280</v>
      </c>
      <c r="NU134" s="47">
        <v>348</v>
      </c>
      <c r="NV134" s="47">
        <v>350</v>
      </c>
      <c r="NW134" s="44">
        <v>-6</v>
      </c>
      <c r="NX134" s="43"/>
      <c r="NY134" s="42">
        <v>0</v>
      </c>
      <c r="NZ134" s="47">
        <v>0</v>
      </c>
      <c r="OA134" s="47">
        <v>276</v>
      </c>
      <c r="OB134" s="47">
        <v>280</v>
      </c>
      <c r="OC134" s="44">
        <v>-4</v>
      </c>
      <c r="OD134" s="43"/>
      <c r="OE134" s="42">
        <v>312</v>
      </c>
      <c r="OF134" s="47">
        <v>320</v>
      </c>
      <c r="OG134" s="47">
        <v>252</v>
      </c>
      <c r="OH134" s="47">
        <v>251</v>
      </c>
      <c r="OI134" s="44">
        <v>-7</v>
      </c>
      <c r="OJ134" s="43"/>
      <c r="OK134" s="42">
        <v>144</v>
      </c>
      <c r="OL134" s="47">
        <v>150</v>
      </c>
      <c r="OM134" s="47">
        <v>132</v>
      </c>
      <c r="ON134" s="47">
        <v>135</v>
      </c>
      <c r="OO134" s="44">
        <v>-9</v>
      </c>
      <c r="OP134" s="43"/>
      <c r="OQ134" s="42">
        <v>96</v>
      </c>
      <c r="OR134" s="47">
        <v>100</v>
      </c>
      <c r="OS134" s="47">
        <v>72</v>
      </c>
      <c r="OT134" s="47">
        <v>103</v>
      </c>
      <c r="OU134" s="46">
        <v>-35</v>
      </c>
      <c r="OV134" s="43">
        <v>5.25</v>
      </c>
      <c r="OW134" s="42">
        <v>204</v>
      </c>
      <c r="OX134" s="47">
        <v>200</v>
      </c>
      <c r="OY134" s="47">
        <v>216</v>
      </c>
      <c r="OZ134" s="47">
        <v>220</v>
      </c>
      <c r="PA134" s="44">
        <v>0</v>
      </c>
      <c r="PB134" s="43"/>
      <c r="PC134" s="42">
        <v>72</v>
      </c>
      <c r="PD134" s="47">
        <v>70</v>
      </c>
      <c r="PE134" s="47">
        <v>96</v>
      </c>
      <c r="PF134" s="47">
        <v>104</v>
      </c>
      <c r="PG134" s="44">
        <v>-6</v>
      </c>
      <c r="PH134" s="43"/>
      <c r="PI134" s="42">
        <v>96</v>
      </c>
      <c r="PJ134" s="47">
        <v>100</v>
      </c>
      <c r="PK134" s="47">
        <v>72</v>
      </c>
      <c r="PL134" s="47">
        <v>115</v>
      </c>
      <c r="PM134" s="46">
        <v>-47</v>
      </c>
      <c r="PN134" s="43">
        <v>7.05</v>
      </c>
      <c r="PO134" s="42">
        <v>216</v>
      </c>
      <c r="PP134" s="47">
        <v>220</v>
      </c>
      <c r="PQ134" s="47">
        <v>144</v>
      </c>
      <c r="PR134" s="47">
        <v>150</v>
      </c>
      <c r="PS134" s="44">
        <v>-10</v>
      </c>
      <c r="PT134" s="43"/>
      <c r="PU134" s="42">
        <v>0</v>
      </c>
      <c r="PV134" s="47">
        <v>0</v>
      </c>
      <c r="PW134" s="47">
        <v>156</v>
      </c>
      <c r="PX134" s="47">
        <v>156</v>
      </c>
      <c r="PY134" s="44">
        <v>0</v>
      </c>
      <c r="PZ134" s="43"/>
      <c r="QA134" s="42">
        <v>144</v>
      </c>
      <c r="QB134" s="47">
        <v>154</v>
      </c>
      <c r="QC134" s="44">
        <v>-10</v>
      </c>
      <c r="QD134" s="43"/>
      <c r="QE134" s="42">
        <v>396</v>
      </c>
      <c r="QF134" s="47">
        <v>400</v>
      </c>
      <c r="QG134" s="44">
        <v>-4</v>
      </c>
      <c r="QH134" s="43"/>
      <c r="QI134" s="42">
        <v>192</v>
      </c>
      <c r="QJ134" s="47">
        <v>200</v>
      </c>
      <c r="QK134" s="44">
        <v>-8</v>
      </c>
      <c r="QL134" s="43"/>
      <c r="QM134" s="42">
        <v>0</v>
      </c>
      <c r="QN134" s="47">
        <v>0</v>
      </c>
      <c r="QO134" s="47">
        <v>0</v>
      </c>
      <c r="QP134" s="47">
        <v>0</v>
      </c>
      <c r="QQ134" s="44">
        <v>0</v>
      </c>
      <c r="QR134" s="43"/>
      <c r="QS134" s="42">
        <v>0</v>
      </c>
      <c r="QT134" s="47">
        <v>0</v>
      </c>
      <c r="QU134" s="44">
        <v>0</v>
      </c>
      <c r="QV134" s="43"/>
      <c r="QW134" s="6">
        <v>396</v>
      </c>
      <c r="QX134" s="47">
        <v>0</v>
      </c>
      <c r="QY134" s="44">
        <v>0</v>
      </c>
      <c r="QZ134" s="43"/>
    </row>
    <row r="135" spans="1:468" x14ac:dyDescent="0.25">
      <c r="A135" s="47" t="s">
        <v>419</v>
      </c>
      <c r="B135" s="38">
        <v>1</v>
      </c>
      <c r="E135">
        <v>10</v>
      </c>
      <c r="F135">
        <v>60</v>
      </c>
      <c r="I135">
        <v>140</v>
      </c>
      <c r="J135">
        <v>159</v>
      </c>
      <c r="K135">
        <v>162</v>
      </c>
      <c r="N135" s="41">
        <v>34</v>
      </c>
      <c r="O135" s="49">
        <v>34</v>
      </c>
      <c r="P135" s="48"/>
      <c r="Q135" s="48"/>
      <c r="R135" s="48">
        <f t="shared" si="16"/>
        <v>0</v>
      </c>
      <c r="S135" s="40"/>
      <c r="T135" s="41">
        <v>178</v>
      </c>
      <c r="U135" s="49">
        <v>180</v>
      </c>
      <c r="V135" s="48">
        <f t="shared" si="17"/>
        <v>-2</v>
      </c>
      <c r="W135" s="40"/>
      <c r="X135" s="41">
        <v>143</v>
      </c>
      <c r="Y135" s="49">
        <v>140</v>
      </c>
      <c r="Z135" s="49">
        <v>41</v>
      </c>
      <c r="AA135" s="49">
        <v>40</v>
      </c>
      <c r="AB135" s="48">
        <f t="shared" si="18"/>
        <v>4</v>
      </c>
      <c r="AC135" s="40"/>
      <c r="AD135" s="48"/>
      <c r="AF135">
        <v>102</v>
      </c>
      <c r="AG135">
        <v>99</v>
      </c>
      <c r="AH135" s="44">
        <v>3</v>
      </c>
      <c r="AI135" s="40"/>
      <c r="AJ135">
        <v>193</v>
      </c>
      <c r="AK135">
        <v>190</v>
      </c>
      <c r="AL135">
        <v>206</v>
      </c>
      <c r="AM135">
        <v>210</v>
      </c>
      <c r="AN135" s="44">
        <v>-1</v>
      </c>
      <c r="AO135" s="40"/>
      <c r="AP135">
        <v>101</v>
      </c>
      <c r="AQ135">
        <v>100</v>
      </c>
      <c r="AR135">
        <v>127</v>
      </c>
      <c r="AS135">
        <v>130</v>
      </c>
      <c r="AT135" s="44">
        <v>-2</v>
      </c>
      <c r="AU135" s="40"/>
      <c r="AV135" s="39"/>
      <c r="AX135" s="44">
        <v>0</v>
      </c>
      <c r="AY135" s="40"/>
      <c r="AZ135" s="41">
        <v>332</v>
      </c>
      <c r="BA135">
        <v>330</v>
      </c>
      <c r="BB135" s="44">
        <v>2</v>
      </c>
      <c r="BC135" s="40"/>
      <c r="BH135" s="44">
        <v>0</v>
      </c>
      <c r="BI135" s="40"/>
      <c r="BJ135">
        <v>17</v>
      </c>
      <c r="BK135">
        <v>20</v>
      </c>
      <c r="BL135" s="44">
        <v>-3</v>
      </c>
      <c r="BM135" s="40"/>
      <c r="BN135" s="41">
        <v>151</v>
      </c>
      <c r="BO135">
        <v>150</v>
      </c>
      <c r="BP135">
        <v>444</v>
      </c>
      <c r="BQ135">
        <v>450</v>
      </c>
      <c r="BR135" s="44">
        <v>-5</v>
      </c>
      <c r="BS135" s="40"/>
      <c r="BT135">
        <v>9</v>
      </c>
      <c r="BU135">
        <v>10</v>
      </c>
      <c r="BV135" s="44">
        <v>-1</v>
      </c>
      <c r="BW135" s="40"/>
      <c r="BX135" s="41">
        <v>102</v>
      </c>
      <c r="BY135">
        <v>100</v>
      </c>
      <c r="BZ135" s="44">
        <v>2</v>
      </c>
      <c r="CA135" s="40"/>
      <c r="CB135" s="39"/>
      <c r="CD135">
        <v>262</v>
      </c>
      <c r="CE135">
        <v>300</v>
      </c>
      <c r="CF135">
        <v>303</v>
      </c>
      <c r="CG135">
        <v>260</v>
      </c>
      <c r="CH135" s="44">
        <v>5</v>
      </c>
      <c r="CI135" s="40"/>
      <c r="CL135">
        <v>109</v>
      </c>
      <c r="CM135">
        <v>113</v>
      </c>
      <c r="CN135" s="44">
        <v>-4</v>
      </c>
      <c r="CO135" s="40"/>
      <c r="CP135" s="39"/>
      <c r="CR135">
        <v>103</v>
      </c>
      <c r="CS135">
        <v>100</v>
      </c>
      <c r="CT135" s="44">
        <v>3</v>
      </c>
      <c r="CU135" s="40"/>
      <c r="CV135" s="41">
        <v>77</v>
      </c>
      <c r="CW135">
        <v>80</v>
      </c>
      <c r="CX135">
        <v>135</v>
      </c>
      <c r="CY135">
        <v>135</v>
      </c>
      <c r="CZ135" s="44">
        <v>-3</v>
      </c>
      <c r="DA135" s="40"/>
      <c r="DB135" s="41">
        <v>200</v>
      </c>
      <c r="DC135">
        <v>200</v>
      </c>
      <c r="DD135">
        <v>206</v>
      </c>
      <c r="DE135">
        <v>200</v>
      </c>
      <c r="DF135" s="44">
        <v>6</v>
      </c>
      <c r="DG135" s="40"/>
      <c r="DJ135">
        <v>92</v>
      </c>
      <c r="DK135">
        <v>90</v>
      </c>
      <c r="DN135" s="44">
        <v>2</v>
      </c>
      <c r="DO135" s="40"/>
      <c r="DP135" s="41">
        <v>59</v>
      </c>
      <c r="DQ135">
        <v>60</v>
      </c>
      <c r="DR135" s="44">
        <v>-1</v>
      </c>
      <c r="DS135" s="40"/>
      <c r="DT135" s="41">
        <v>202</v>
      </c>
      <c r="DU135">
        <v>200</v>
      </c>
      <c r="DV135">
        <v>303</v>
      </c>
      <c r="DW135">
        <v>300</v>
      </c>
      <c r="DX135" s="44">
        <v>5</v>
      </c>
      <c r="DY135" s="40"/>
      <c r="DZ135" s="39"/>
      <c r="EB135" s="44">
        <v>0</v>
      </c>
      <c r="EC135" s="40"/>
      <c r="ED135">
        <v>102</v>
      </c>
      <c r="EE135">
        <v>100</v>
      </c>
      <c r="EG135">
        <v>101</v>
      </c>
      <c r="EH135">
        <v>100</v>
      </c>
      <c r="EI135">
        <v>152</v>
      </c>
      <c r="EJ135">
        <v>150</v>
      </c>
      <c r="EK135" s="44">
        <v>5</v>
      </c>
      <c r="EL135" s="40"/>
      <c r="EN135">
        <v>68</v>
      </c>
      <c r="EO135">
        <v>70</v>
      </c>
      <c r="EQ135">
        <v>77</v>
      </c>
      <c r="ER135">
        <v>80</v>
      </c>
      <c r="ES135" s="44">
        <v>-5</v>
      </c>
      <c r="ET135" s="40"/>
      <c r="EU135" s="41">
        <v>93</v>
      </c>
      <c r="EV135">
        <v>96</v>
      </c>
      <c r="EW135">
        <v>142</v>
      </c>
      <c r="EX135">
        <v>146</v>
      </c>
      <c r="EY135" s="44">
        <v>-7</v>
      </c>
      <c r="EZ135" s="40"/>
      <c r="FA135" s="39"/>
      <c r="FB135">
        <v>213</v>
      </c>
      <c r="FC135">
        <v>213</v>
      </c>
      <c r="FD135" s="44">
        <v>0</v>
      </c>
      <c r="FE135" s="40"/>
      <c r="FH135" s="44">
        <v>0</v>
      </c>
      <c r="FI135" s="40"/>
      <c r="FJ135" s="41">
        <v>101</v>
      </c>
      <c r="FK135">
        <v>100</v>
      </c>
      <c r="FL135">
        <v>103</v>
      </c>
      <c r="FN135">
        <v>100</v>
      </c>
      <c r="FO135">
        <v>210</v>
      </c>
      <c r="FP135">
        <v>210</v>
      </c>
      <c r="FQ135" s="44">
        <v>4</v>
      </c>
      <c r="FR135" s="40"/>
      <c r="FS135">
        <v>59</v>
      </c>
      <c r="FT135">
        <v>60</v>
      </c>
      <c r="FW135" s="44">
        <v>-1</v>
      </c>
      <c r="FX135" s="40"/>
      <c r="FY135" s="39"/>
      <c r="GA135">
        <v>93</v>
      </c>
      <c r="GB135">
        <v>90</v>
      </c>
      <c r="GC135" s="44">
        <v>3</v>
      </c>
      <c r="GD135" s="40"/>
      <c r="GE135">
        <v>152</v>
      </c>
      <c r="GF135">
        <v>150</v>
      </c>
      <c r="GG135">
        <v>194</v>
      </c>
      <c r="GH135">
        <v>190</v>
      </c>
      <c r="GI135" s="44">
        <v>6</v>
      </c>
      <c r="GJ135" s="40"/>
      <c r="GM135" s="44">
        <v>0</v>
      </c>
      <c r="GN135" s="40"/>
      <c r="GO135" s="41">
        <v>67</v>
      </c>
      <c r="GP135">
        <v>70</v>
      </c>
      <c r="GQ135" s="44">
        <v>-3</v>
      </c>
      <c r="GR135" s="40"/>
      <c r="GS135">
        <v>152</v>
      </c>
      <c r="GT135">
        <v>150</v>
      </c>
      <c r="GV135">
        <v>154</v>
      </c>
      <c r="GW135">
        <v>150</v>
      </c>
      <c r="GX135" s="44">
        <v>6</v>
      </c>
      <c r="GY135" s="40"/>
      <c r="HD135" s="44">
        <v>0</v>
      </c>
      <c r="HE135" s="40"/>
      <c r="HF135" s="41">
        <v>302</v>
      </c>
      <c r="HG135">
        <v>300</v>
      </c>
      <c r="HH135">
        <v>230</v>
      </c>
      <c r="HI135">
        <v>230</v>
      </c>
      <c r="HJ135" s="44">
        <v>2</v>
      </c>
      <c r="HK135" s="40"/>
      <c r="HL135" s="41">
        <v>101</v>
      </c>
      <c r="HM135">
        <v>100</v>
      </c>
      <c r="HN135">
        <v>51</v>
      </c>
      <c r="HO135">
        <v>50</v>
      </c>
      <c r="HP135" s="44">
        <v>2</v>
      </c>
      <c r="HQ135" s="40"/>
      <c r="HV135" s="44">
        <v>0</v>
      </c>
      <c r="HW135" s="43"/>
      <c r="HX135">
        <v>252</v>
      </c>
      <c r="HY135">
        <v>250</v>
      </c>
      <c r="HZ135">
        <v>236</v>
      </c>
      <c r="IA135">
        <v>240</v>
      </c>
      <c r="IB135" s="44">
        <v>-2</v>
      </c>
      <c r="IC135" s="43"/>
      <c r="IH135" s="44">
        <v>0</v>
      </c>
      <c r="II135" s="43"/>
      <c r="IJ135">
        <v>353</v>
      </c>
      <c r="IK135">
        <v>350</v>
      </c>
      <c r="IL135">
        <v>271</v>
      </c>
      <c r="IM135">
        <v>270</v>
      </c>
      <c r="IN135" s="44">
        <v>4</v>
      </c>
      <c r="IO135" s="40"/>
      <c r="IP135">
        <v>234</v>
      </c>
      <c r="IQ135">
        <v>237</v>
      </c>
      <c r="IR135" s="44">
        <v>-3</v>
      </c>
      <c r="IS135" s="40"/>
      <c r="IT135">
        <v>128</v>
      </c>
      <c r="IU135">
        <v>130</v>
      </c>
      <c r="IV135">
        <v>95</v>
      </c>
      <c r="IW135">
        <v>90</v>
      </c>
      <c r="IX135" s="44">
        <v>3</v>
      </c>
      <c r="IY135" s="43"/>
      <c r="IZ135">
        <v>168</v>
      </c>
      <c r="JA135" s="47">
        <v>170</v>
      </c>
      <c r="JB135" s="44">
        <v>-2</v>
      </c>
      <c r="JC135" s="40"/>
      <c r="JF135">
        <v>59</v>
      </c>
      <c r="JG135">
        <v>60</v>
      </c>
      <c r="JH135" s="44">
        <v>-1</v>
      </c>
      <c r="JI135" s="40"/>
      <c r="JJ135">
        <v>151</v>
      </c>
      <c r="JK135">
        <v>150</v>
      </c>
      <c r="JL135">
        <v>219</v>
      </c>
      <c r="JM135">
        <v>220</v>
      </c>
      <c r="JN135" s="44">
        <v>0</v>
      </c>
      <c r="JO135" s="43"/>
      <c r="JT135" s="44">
        <v>0</v>
      </c>
      <c r="JU135" s="43"/>
      <c r="JV135">
        <v>101</v>
      </c>
      <c r="JW135">
        <v>100</v>
      </c>
      <c r="JX135">
        <v>362</v>
      </c>
      <c r="JY135">
        <v>360</v>
      </c>
      <c r="JZ135" s="44">
        <v>3</v>
      </c>
      <c r="KA135" s="43"/>
      <c r="KB135" s="41">
        <v>100</v>
      </c>
      <c r="KC135">
        <v>100</v>
      </c>
      <c r="KE135">
        <v>126</v>
      </c>
      <c r="KF135">
        <v>130</v>
      </c>
      <c r="KG135">
        <v>101</v>
      </c>
      <c r="KH135">
        <v>100</v>
      </c>
      <c r="KI135" s="44">
        <v>-3</v>
      </c>
      <c r="KJ135" s="43"/>
      <c r="KK135" s="47">
        <v>0</v>
      </c>
      <c r="KL135" s="47">
        <v>0</v>
      </c>
      <c r="KM135" s="47">
        <v>0</v>
      </c>
      <c r="KN135" s="47">
        <v>0</v>
      </c>
      <c r="KO135" s="44">
        <v>0</v>
      </c>
      <c r="KP135" s="43"/>
      <c r="KQ135" s="47">
        <v>0</v>
      </c>
      <c r="KR135" s="47">
        <v>0</v>
      </c>
      <c r="KS135" s="47">
        <v>125.67400000000001</v>
      </c>
      <c r="KT135" s="47">
        <v>130</v>
      </c>
      <c r="KU135" s="44">
        <v>-4.3259999999999934</v>
      </c>
      <c r="KV135" s="43"/>
      <c r="KW135" s="42">
        <v>406.32600000000002</v>
      </c>
      <c r="KX135" s="47">
        <v>400</v>
      </c>
      <c r="KY135" s="44">
        <v>6.3260000000000218</v>
      </c>
      <c r="KZ135" s="43"/>
      <c r="LA135" s="42">
        <v>151.76400000000001</v>
      </c>
      <c r="LB135" s="47">
        <v>150</v>
      </c>
      <c r="LC135" s="47">
        <v>126.01</v>
      </c>
      <c r="LD135" s="47">
        <v>130</v>
      </c>
      <c r="LE135" s="44">
        <v>-2.2259999999999991</v>
      </c>
      <c r="LF135" s="43"/>
      <c r="LG135" s="42">
        <v>101.29900000000001</v>
      </c>
      <c r="LH135" s="47">
        <v>100</v>
      </c>
      <c r="LI135" s="47">
        <v>67.225999999999999</v>
      </c>
      <c r="LJ135" s="47">
        <v>70</v>
      </c>
      <c r="LK135" s="44">
        <v>-1.4749999999999941</v>
      </c>
      <c r="LL135" s="43"/>
      <c r="LM135" s="42">
        <v>0</v>
      </c>
      <c r="LN135" s="47">
        <v>0</v>
      </c>
      <c r="LO135" s="44">
        <v>0</v>
      </c>
      <c r="LP135" s="43"/>
      <c r="LQ135" s="42">
        <v>0</v>
      </c>
      <c r="LR135" s="47">
        <v>0</v>
      </c>
      <c r="LS135" s="47">
        <v>0</v>
      </c>
      <c r="LT135" s="47">
        <v>0</v>
      </c>
      <c r="LU135" s="44">
        <v>0</v>
      </c>
      <c r="LV135" s="43"/>
      <c r="LW135" s="42">
        <v>646.63599999999997</v>
      </c>
      <c r="LX135" s="47">
        <v>650</v>
      </c>
      <c r="LY135" s="47">
        <v>0</v>
      </c>
      <c r="LZ135" s="47">
        <v>0</v>
      </c>
      <c r="MA135" s="44">
        <v>-3.3640000000000332</v>
      </c>
      <c r="MB135" s="43"/>
      <c r="MC135" s="42">
        <v>0</v>
      </c>
      <c r="MD135" s="47">
        <v>0</v>
      </c>
      <c r="ME135" s="47">
        <v>0</v>
      </c>
      <c r="MF135" s="47">
        <v>0</v>
      </c>
      <c r="MG135" s="44">
        <v>0</v>
      </c>
      <c r="MH135" s="43"/>
      <c r="MI135" s="42">
        <v>252.233</v>
      </c>
      <c r="MJ135" s="47">
        <v>250</v>
      </c>
      <c r="MK135" s="47">
        <v>117.76300000000001</v>
      </c>
      <c r="ML135" s="47">
        <v>120</v>
      </c>
      <c r="MM135" s="44">
        <v>-4.0000000000190994E-3</v>
      </c>
      <c r="MN135" s="43"/>
      <c r="MO135" s="42">
        <v>0</v>
      </c>
      <c r="MP135" s="47">
        <v>0</v>
      </c>
      <c r="MQ135" s="47">
        <v>50.551000000000002</v>
      </c>
      <c r="MR135" s="47">
        <v>50</v>
      </c>
      <c r="MS135" s="44">
        <v>0.55100000000000193</v>
      </c>
      <c r="MT135" s="43"/>
      <c r="MU135" s="42">
        <v>304.798</v>
      </c>
      <c r="MV135" s="47">
        <v>60</v>
      </c>
      <c r="MW135" s="47">
        <v>0</v>
      </c>
      <c r="MX135" s="47">
        <v>0</v>
      </c>
      <c r="MY135" s="44">
        <v>244.798</v>
      </c>
      <c r="MZ135" s="43"/>
      <c r="NA135" s="42">
        <v>254.31899999999999</v>
      </c>
      <c r="NB135" s="47">
        <v>250</v>
      </c>
      <c r="NC135" s="47">
        <v>361.24299999999999</v>
      </c>
      <c r="ND135" s="47">
        <v>370</v>
      </c>
      <c r="NE135" s="44">
        <v>-4.4379999999999882</v>
      </c>
      <c r="NF135" s="43"/>
      <c r="NG135" s="42">
        <v>0</v>
      </c>
      <c r="NH135" s="47">
        <v>0</v>
      </c>
      <c r="NI135" s="47">
        <v>201.23599999999999</v>
      </c>
      <c r="NJ135" s="47">
        <v>200</v>
      </c>
      <c r="NK135" s="44">
        <v>1.23599999999999</v>
      </c>
      <c r="NL135" s="43"/>
      <c r="NM135" s="42">
        <v>356.63200000000001</v>
      </c>
      <c r="NN135" s="47">
        <v>350</v>
      </c>
      <c r="NO135" s="47">
        <v>233.54900000000001</v>
      </c>
      <c r="NP135" s="47">
        <v>250</v>
      </c>
      <c r="NQ135" s="44">
        <v>-9.81899999999996</v>
      </c>
      <c r="NR135" s="43"/>
      <c r="NS135" s="42">
        <v>100.729</v>
      </c>
      <c r="NT135" s="47">
        <v>100</v>
      </c>
      <c r="NU135" s="47">
        <v>203.09100000000001</v>
      </c>
      <c r="NV135" s="47">
        <v>200</v>
      </c>
      <c r="NW135" s="44">
        <v>3.8199999999999932</v>
      </c>
      <c r="NX135" s="43"/>
      <c r="NY135" s="42">
        <v>0</v>
      </c>
      <c r="NZ135" s="47">
        <v>0</v>
      </c>
      <c r="OA135" s="47">
        <v>0</v>
      </c>
      <c r="OB135" s="47">
        <v>0</v>
      </c>
      <c r="OC135" s="44">
        <v>0</v>
      </c>
      <c r="OD135" s="43"/>
      <c r="OE135" s="42">
        <v>413.69799999999998</v>
      </c>
      <c r="OF135" s="47">
        <v>410</v>
      </c>
      <c r="OG135" s="47">
        <v>313.834</v>
      </c>
      <c r="OH135" s="47">
        <v>308</v>
      </c>
      <c r="OI135" s="44">
        <v>9.5319999999999254</v>
      </c>
      <c r="OJ135" s="43"/>
      <c r="OK135" s="42">
        <v>82.831000000000003</v>
      </c>
      <c r="OL135" s="47">
        <v>85</v>
      </c>
      <c r="OM135" s="47">
        <v>100.48099999999999</v>
      </c>
      <c r="ON135" s="47">
        <v>100</v>
      </c>
      <c r="OO135" s="44">
        <v>-1.687999999999988</v>
      </c>
      <c r="OP135" s="43"/>
      <c r="OQ135" s="42">
        <v>199.42699999999999</v>
      </c>
      <c r="OR135" s="47">
        <v>200</v>
      </c>
      <c r="OS135" s="47">
        <v>178.97</v>
      </c>
      <c r="OT135" s="47">
        <v>178</v>
      </c>
      <c r="OU135" s="44">
        <v>0.39699999999999142</v>
      </c>
      <c r="OV135" s="43"/>
      <c r="OW135" s="42">
        <v>259.92099999999999</v>
      </c>
      <c r="OX135" s="47">
        <v>250</v>
      </c>
      <c r="OY135" s="47">
        <v>225.91399999999999</v>
      </c>
      <c r="OZ135" s="47">
        <v>230</v>
      </c>
      <c r="PA135" s="44">
        <v>5.8349999999999804</v>
      </c>
      <c r="PB135" s="43"/>
      <c r="PC135" s="42">
        <v>100.44</v>
      </c>
      <c r="PD135" s="47">
        <v>100</v>
      </c>
      <c r="PE135" s="47">
        <v>159.98400000000001</v>
      </c>
      <c r="PF135" s="47">
        <v>159</v>
      </c>
      <c r="PG135" s="44">
        <v>1.423999999999978</v>
      </c>
      <c r="PH135" s="43"/>
      <c r="PI135" s="42">
        <v>0</v>
      </c>
      <c r="PJ135" s="26">
        <v>300</v>
      </c>
      <c r="PK135" s="47">
        <v>268.03100000000001</v>
      </c>
      <c r="PL135" s="47">
        <v>269</v>
      </c>
      <c r="PM135" s="46">
        <v>-300.96899999999999</v>
      </c>
      <c r="PN135" s="43">
        <v>300.96899999999999</v>
      </c>
      <c r="PO135" s="13">
        <v>99.811999999999998</v>
      </c>
      <c r="PP135" s="47">
        <v>0</v>
      </c>
      <c r="PQ135" s="12">
        <v>200.322</v>
      </c>
      <c r="PR135" s="47">
        <v>0</v>
      </c>
      <c r="PS135" s="44">
        <v>0</v>
      </c>
      <c r="PT135" s="43"/>
      <c r="PU135" s="13">
        <v>100.346</v>
      </c>
      <c r="PV135" s="47">
        <v>0</v>
      </c>
      <c r="PW135" s="12">
        <v>117.002</v>
      </c>
      <c r="PX135" s="47">
        <v>0</v>
      </c>
      <c r="PY135" s="44">
        <v>0</v>
      </c>
      <c r="PZ135" s="43"/>
      <c r="QA135" s="13">
        <v>401.601</v>
      </c>
      <c r="QB135" s="47">
        <v>0</v>
      </c>
      <c r="QC135" s="44">
        <v>0</v>
      </c>
      <c r="QD135" s="43"/>
      <c r="QE135" s="42">
        <v>0</v>
      </c>
      <c r="QF135" s="47">
        <v>0</v>
      </c>
      <c r="QG135" s="44">
        <v>0</v>
      </c>
      <c r="QH135" s="43"/>
      <c r="QI135" s="42">
        <v>0</v>
      </c>
      <c r="QJ135" s="47">
        <v>0</v>
      </c>
      <c r="QK135" s="44">
        <v>0</v>
      </c>
      <c r="QL135" s="43"/>
      <c r="QM135" s="42">
        <v>0</v>
      </c>
      <c r="QN135" s="47">
        <v>0</v>
      </c>
      <c r="QO135" s="47">
        <v>0</v>
      </c>
      <c r="QP135" s="47">
        <v>0</v>
      </c>
      <c r="QQ135" s="44">
        <v>0</v>
      </c>
      <c r="QR135" s="43"/>
      <c r="QS135" s="42">
        <v>0</v>
      </c>
      <c r="QT135" s="47">
        <v>0</v>
      </c>
      <c r="QU135" s="44">
        <v>0</v>
      </c>
      <c r="QV135" s="43"/>
      <c r="QW135" s="42">
        <v>0</v>
      </c>
      <c r="QX135" s="47">
        <v>0</v>
      </c>
      <c r="QY135" s="44">
        <v>0</v>
      </c>
      <c r="QZ135" s="43"/>
    </row>
    <row r="136" spans="1:468" x14ac:dyDescent="0.25">
      <c r="A136" s="47" t="s">
        <v>420</v>
      </c>
      <c r="B136" s="38">
        <v>0.1</v>
      </c>
      <c r="N136" s="39"/>
      <c r="O136" s="48"/>
      <c r="P136" s="49">
        <v>60</v>
      </c>
      <c r="Q136" s="49">
        <v>62</v>
      </c>
      <c r="R136" s="48">
        <f t="shared" si="16"/>
        <v>-2</v>
      </c>
      <c r="S136" s="40"/>
      <c r="T136" s="39"/>
      <c r="U136" s="48"/>
      <c r="V136" s="48">
        <f t="shared" si="17"/>
        <v>0</v>
      </c>
      <c r="W136" s="40"/>
      <c r="X136" s="39"/>
      <c r="Y136" s="48"/>
      <c r="Z136" s="48"/>
      <c r="AA136" s="48"/>
      <c r="AB136" s="48">
        <f t="shared" si="18"/>
        <v>0</v>
      </c>
      <c r="AC136" s="40"/>
      <c r="AD136" s="48"/>
      <c r="AH136" s="44">
        <v>0</v>
      </c>
      <c r="AI136" s="40"/>
      <c r="AJ136">
        <v>30</v>
      </c>
      <c r="AK136">
        <v>30</v>
      </c>
      <c r="AL136">
        <v>50</v>
      </c>
      <c r="AM136">
        <v>50</v>
      </c>
      <c r="AN136" s="44">
        <v>0</v>
      </c>
      <c r="AO136" s="40"/>
      <c r="AT136" s="44">
        <v>0</v>
      </c>
      <c r="AU136" s="40"/>
      <c r="AV136" s="39"/>
      <c r="AX136" s="44">
        <v>0</v>
      </c>
      <c r="AY136" s="40"/>
      <c r="AZ136" s="41">
        <v>50</v>
      </c>
      <c r="BA136">
        <v>52</v>
      </c>
      <c r="BB136" s="44">
        <v>-2</v>
      </c>
      <c r="BC136" s="40"/>
      <c r="BF136">
        <v>10</v>
      </c>
      <c r="BG136">
        <v>15</v>
      </c>
      <c r="BH136" s="44">
        <v>-5</v>
      </c>
      <c r="BI136" s="40"/>
      <c r="BJ136">
        <v>10</v>
      </c>
      <c r="BK136">
        <v>15</v>
      </c>
      <c r="BL136" s="44">
        <v>-5</v>
      </c>
      <c r="BM136" s="40"/>
      <c r="BN136" s="39"/>
      <c r="BR136" s="44">
        <v>0</v>
      </c>
      <c r="BS136" s="40"/>
      <c r="BV136" s="44">
        <v>0</v>
      </c>
      <c r="BW136" s="40"/>
      <c r="BX136" s="39"/>
      <c r="BZ136" s="44">
        <v>0</v>
      </c>
      <c r="CA136" s="40"/>
      <c r="CB136" s="39"/>
      <c r="CH136" s="44">
        <v>0</v>
      </c>
      <c r="CI136" s="40"/>
      <c r="CJ136">
        <v>80</v>
      </c>
      <c r="CK136">
        <v>80</v>
      </c>
      <c r="CL136">
        <v>100</v>
      </c>
      <c r="CM136">
        <v>100</v>
      </c>
      <c r="CN136" s="44">
        <v>0</v>
      </c>
      <c r="CO136" s="40"/>
      <c r="CP136" s="39"/>
      <c r="CR136">
        <v>30</v>
      </c>
      <c r="CS136">
        <v>30</v>
      </c>
      <c r="CT136" s="44">
        <v>0</v>
      </c>
      <c r="CU136" s="40"/>
      <c r="CV136" s="39"/>
      <c r="CZ136" s="44">
        <v>0</v>
      </c>
      <c r="DA136" s="40"/>
      <c r="DB136" s="39"/>
      <c r="DF136" s="44">
        <v>0</v>
      </c>
      <c r="DG136" s="40"/>
      <c r="DJ136">
        <v>140</v>
      </c>
      <c r="DK136">
        <v>140</v>
      </c>
      <c r="DN136" s="44">
        <v>0</v>
      </c>
      <c r="DO136" s="40"/>
      <c r="DP136" s="41">
        <v>10</v>
      </c>
      <c r="DQ136">
        <v>14</v>
      </c>
      <c r="DR136" s="44">
        <v>-4</v>
      </c>
      <c r="DS136" s="40"/>
      <c r="DT136" s="39"/>
      <c r="DV136">
        <v>50</v>
      </c>
      <c r="DW136">
        <v>50</v>
      </c>
      <c r="DX136" s="44">
        <v>0</v>
      </c>
      <c r="DY136" s="40"/>
      <c r="DZ136" s="39"/>
      <c r="EB136" s="44">
        <v>0</v>
      </c>
      <c r="EC136" s="40"/>
      <c r="EG136">
        <v>40</v>
      </c>
      <c r="EH136">
        <v>40</v>
      </c>
      <c r="EI136">
        <v>50</v>
      </c>
      <c r="EJ136">
        <v>50</v>
      </c>
      <c r="EK136" s="44">
        <v>0</v>
      </c>
      <c r="EL136" s="40"/>
      <c r="ES136" s="44">
        <v>0</v>
      </c>
      <c r="ET136" s="40"/>
      <c r="EU136" s="39"/>
      <c r="EW136">
        <v>40</v>
      </c>
      <c r="EX136">
        <v>41</v>
      </c>
      <c r="EY136" s="44">
        <v>-1</v>
      </c>
      <c r="EZ136" s="40"/>
      <c r="FA136" s="39"/>
      <c r="FD136" s="44">
        <v>0</v>
      </c>
      <c r="FE136" s="40"/>
      <c r="FH136" s="44">
        <v>0</v>
      </c>
      <c r="FI136" s="40"/>
      <c r="FJ136" s="39"/>
      <c r="FQ136" s="44">
        <v>0</v>
      </c>
      <c r="FR136" s="40"/>
      <c r="FU136">
        <v>60</v>
      </c>
      <c r="FV136">
        <v>60</v>
      </c>
      <c r="FW136" s="44">
        <v>0</v>
      </c>
      <c r="FX136" s="40"/>
      <c r="FY136" s="39"/>
      <c r="GC136" s="44">
        <v>0</v>
      </c>
      <c r="GD136" s="40"/>
      <c r="GI136" s="44">
        <v>0</v>
      </c>
      <c r="GJ136" s="40"/>
      <c r="GM136" s="44">
        <v>0</v>
      </c>
      <c r="GN136" s="40"/>
      <c r="GO136" s="41">
        <v>50</v>
      </c>
      <c r="GP136">
        <v>50</v>
      </c>
      <c r="GQ136" s="44">
        <v>0</v>
      </c>
      <c r="GR136" s="40"/>
      <c r="GX136" s="44">
        <v>0</v>
      </c>
      <c r="GY136" s="40"/>
      <c r="HD136" s="44">
        <v>0</v>
      </c>
      <c r="HE136" s="40"/>
      <c r="HF136" s="39"/>
      <c r="HJ136" s="44">
        <v>0</v>
      </c>
      <c r="HK136" s="40"/>
      <c r="HL136" s="39"/>
      <c r="HN136">
        <v>20</v>
      </c>
      <c r="HO136">
        <v>20</v>
      </c>
      <c r="HP136" s="44">
        <v>0</v>
      </c>
      <c r="HQ136" s="40"/>
      <c r="HV136" s="44">
        <v>0</v>
      </c>
      <c r="HW136" s="43"/>
      <c r="IB136" s="44">
        <v>0</v>
      </c>
      <c r="IC136" s="43"/>
      <c r="IH136" s="44">
        <v>0</v>
      </c>
      <c r="II136" s="43"/>
      <c r="IN136" s="44">
        <v>0</v>
      </c>
      <c r="IO136" s="40"/>
      <c r="IP136">
        <v>40</v>
      </c>
      <c r="IQ136">
        <v>25</v>
      </c>
      <c r="IR136" s="44">
        <v>15</v>
      </c>
      <c r="IS136" s="40"/>
      <c r="IX136" s="44">
        <v>0</v>
      </c>
      <c r="IY136" s="43"/>
      <c r="JB136" s="44">
        <v>0</v>
      </c>
      <c r="JC136" s="40"/>
      <c r="JH136" s="44">
        <v>0</v>
      </c>
      <c r="JI136" s="40"/>
      <c r="JL136">
        <v>50</v>
      </c>
      <c r="JM136">
        <v>50</v>
      </c>
      <c r="JN136" s="44">
        <v>0</v>
      </c>
      <c r="JO136" s="43"/>
      <c r="JT136" s="44">
        <v>0</v>
      </c>
      <c r="JU136" s="43"/>
      <c r="JX136">
        <v>50</v>
      </c>
      <c r="JY136">
        <v>50</v>
      </c>
      <c r="JZ136" s="44">
        <v>0</v>
      </c>
      <c r="KA136" s="43"/>
      <c r="KB136" s="42"/>
      <c r="KE136">
        <v>20</v>
      </c>
      <c r="KF136">
        <v>20</v>
      </c>
      <c r="KG136">
        <v>30</v>
      </c>
      <c r="KH136">
        <v>30</v>
      </c>
      <c r="KI136" s="44">
        <v>0</v>
      </c>
      <c r="KJ136" s="43"/>
      <c r="KK136" s="47">
        <v>0</v>
      </c>
      <c r="KL136" s="47">
        <v>0</v>
      </c>
      <c r="KM136" s="47">
        <v>0</v>
      </c>
      <c r="KN136" s="47">
        <v>0</v>
      </c>
      <c r="KO136" s="44">
        <v>0</v>
      </c>
      <c r="KP136" s="43"/>
      <c r="KQ136" s="47">
        <v>0</v>
      </c>
      <c r="KR136" s="47">
        <v>0</v>
      </c>
      <c r="KS136" s="47">
        <v>0</v>
      </c>
      <c r="KT136" s="47">
        <v>0</v>
      </c>
      <c r="KU136" s="44">
        <v>0</v>
      </c>
      <c r="KV136" s="43"/>
      <c r="KW136" s="42">
        <v>70</v>
      </c>
      <c r="KX136" s="47">
        <v>69</v>
      </c>
      <c r="KY136" s="44">
        <v>1</v>
      </c>
      <c r="KZ136" s="43"/>
      <c r="LA136" s="42">
        <v>0</v>
      </c>
      <c r="LB136" s="47">
        <v>0</v>
      </c>
      <c r="LC136" s="47">
        <v>0</v>
      </c>
      <c r="LD136" s="47">
        <v>0</v>
      </c>
      <c r="LE136" s="44">
        <v>0</v>
      </c>
      <c r="LF136" s="43"/>
      <c r="LG136" s="42">
        <v>20</v>
      </c>
      <c r="LH136" s="47">
        <v>20</v>
      </c>
      <c r="LI136" s="47">
        <v>0</v>
      </c>
      <c r="LJ136" s="47">
        <v>0</v>
      </c>
      <c r="LK136" s="44">
        <v>0</v>
      </c>
      <c r="LL136" s="43"/>
      <c r="LM136" s="42">
        <v>10</v>
      </c>
      <c r="LN136" s="47">
        <v>10</v>
      </c>
      <c r="LO136" s="44">
        <v>0</v>
      </c>
      <c r="LP136" s="43"/>
      <c r="LQ136" s="42">
        <v>0</v>
      </c>
      <c r="LR136" s="47">
        <v>0</v>
      </c>
      <c r="LS136" s="47">
        <v>50</v>
      </c>
      <c r="LT136" s="47">
        <v>48</v>
      </c>
      <c r="LU136" s="44">
        <v>2</v>
      </c>
      <c r="LV136" s="43"/>
      <c r="LW136" s="42">
        <v>0</v>
      </c>
      <c r="LX136" s="47">
        <v>0</v>
      </c>
      <c r="LY136" s="47">
        <v>0</v>
      </c>
      <c r="LZ136" s="47">
        <v>0</v>
      </c>
      <c r="MA136" s="44">
        <v>0</v>
      </c>
      <c r="MB136" s="43"/>
      <c r="MC136" s="42">
        <v>0</v>
      </c>
      <c r="MD136" s="47">
        <v>0</v>
      </c>
      <c r="ME136" s="47">
        <v>0</v>
      </c>
      <c r="MF136" s="47">
        <v>0</v>
      </c>
      <c r="MG136" s="44">
        <v>0</v>
      </c>
      <c r="MH136" s="43"/>
      <c r="MI136" s="42">
        <v>0</v>
      </c>
      <c r="MJ136" s="47">
        <v>0</v>
      </c>
      <c r="MK136" s="47">
        <v>40</v>
      </c>
      <c r="ML136" s="47">
        <v>40</v>
      </c>
      <c r="MM136" s="44">
        <v>0</v>
      </c>
      <c r="MN136" s="43"/>
      <c r="MO136" s="42">
        <v>0</v>
      </c>
      <c r="MP136" s="47">
        <v>0</v>
      </c>
      <c r="MQ136" s="47">
        <v>0</v>
      </c>
      <c r="MR136" s="47">
        <v>0</v>
      </c>
      <c r="MS136" s="44">
        <v>0</v>
      </c>
      <c r="MT136" s="43"/>
      <c r="MU136" s="42">
        <v>0</v>
      </c>
      <c r="MV136" s="26">
        <v>30</v>
      </c>
      <c r="MW136" s="47">
        <v>150</v>
      </c>
      <c r="MX136" s="47">
        <v>150</v>
      </c>
      <c r="MY136" s="46">
        <v>-30</v>
      </c>
      <c r="MZ136" s="43">
        <v>3</v>
      </c>
      <c r="NA136" s="42">
        <v>0</v>
      </c>
      <c r="NB136" s="47">
        <v>0</v>
      </c>
      <c r="NC136" s="47">
        <v>40</v>
      </c>
      <c r="ND136" s="47">
        <v>20</v>
      </c>
      <c r="NE136" s="44">
        <v>20</v>
      </c>
      <c r="NF136" s="43"/>
      <c r="NG136" s="42">
        <v>0</v>
      </c>
      <c r="NH136" s="47">
        <v>0</v>
      </c>
      <c r="NI136" s="47">
        <v>30</v>
      </c>
      <c r="NJ136" s="47">
        <v>35</v>
      </c>
      <c r="NK136" s="44">
        <v>-5</v>
      </c>
      <c r="NL136" s="43"/>
      <c r="NM136" s="42">
        <v>0</v>
      </c>
      <c r="NN136" s="47">
        <v>0</v>
      </c>
      <c r="NO136" s="47">
        <v>120</v>
      </c>
      <c r="NP136" s="47">
        <v>120</v>
      </c>
      <c r="NQ136" s="44">
        <v>0</v>
      </c>
      <c r="NR136" s="43"/>
      <c r="NS136" s="42">
        <v>30</v>
      </c>
      <c r="NT136" s="47">
        <v>30</v>
      </c>
      <c r="NU136" s="47">
        <v>0</v>
      </c>
      <c r="NV136" s="47">
        <v>0</v>
      </c>
      <c r="NW136" s="44">
        <v>0</v>
      </c>
      <c r="NX136" s="43"/>
      <c r="NY136" s="42">
        <v>0</v>
      </c>
      <c r="NZ136" s="47">
        <v>0</v>
      </c>
      <c r="OA136" s="47">
        <v>100</v>
      </c>
      <c r="OB136" s="47">
        <v>100</v>
      </c>
      <c r="OC136" s="44">
        <v>0</v>
      </c>
      <c r="OD136" s="43"/>
      <c r="OE136" s="42">
        <v>0</v>
      </c>
      <c r="OF136" s="47">
        <v>0</v>
      </c>
      <c r="OG136" s="47">
        <v>80</v>
      </c>
      <c r="OH136" s="47">
        <v>85</v>
      </c>
      <c r="OI136" s="44">
        <v>-5</v>
      </c>
      <c r="OJ136" s="43"/>
      <c r="OK136" s="42">
        <v>0</v>
      </c>
      <c r="OL136" s="47">
        <v>0</v>
      </c>
      <c r="OM136" s="47">
        <v>100</v>
      </c>
      <c r="ON136" s="47">
        <v>100</v>
      </c>
      <c r="OO136" s="44">
        <v>0</v>
      </c>
      <c r="OP136" s="43"/>
      <c r="OQ136" s="42">
        <v>50</v>
      </c>
      <c r="OR136" s="47">
        <v>50</v>
      </c>
      <c r="OS136" s="47">
        <v>0</v>
      </c>
      <c r="OT136" s="47">
        <v>0</v>
      </c>
      <c r="OU136" s="44">
        <v>0</v>
      </c>
      <c r="OV136" s="43"/>
      <c r="OW136" s="42"/>
      <c r="PB136" s="43"/>
      <c r="PC136" s="42"/>
      <c r="PH136" s="43"/>
      <c r="PI136" s="42"/>
      <c r="PN136" s="43"/>
      <c r="PO136" s="42"/>
      <c r="PT136" s="43"/>
      <c r="PU136" s="42"/>
      <c r="PZ136" s="43"/>
      <c r="QA136" s="42"/>
      <c r="QD136" s="43"/>
      <c r="QE136" s="42"/>
      <c r="QH136" s="43"/>
      <c r="QI136" s="42"/>
      <c r="QL136" s="43"/>
      <c r="QM136" s="42"/>
      <c r="QR136" s="43"/>
      <c r="QS136" s="42"/>
      <c r="QV136" s="43"/>
      <c r="QW136" s="42"/>
      <c r="QY136" s="44"/>
      <c r="QZ136" s="43"/>
    </row>
    <row r="137" spans="1:468" x14ac:dyDescent="0.25">
      <c r="A137" s="47" t="s">
        <v>421</v>
      </c>
      <c r="B137" s="38">
        <v>0.4</v>
      </c>
      <c r="F137">
        <v>93</v>
      </c>
      <c r="I137">
        <v>24</v>
      </c>
      <c r="J137">
        <v>48</v>
      </c>
      <c r="K137">
        <v>46</v>
      </c>
      <c r="N137" s="39"/>
      <c r="O137" s="48"/>
      <c r="P137" s="48"/>
      <c r="Q137" s="48"/>
      <c r="R137" s="48">
        <f t="shared" si="16"/>
        <v>0</v>
      </c>
      <c r="S137" s="40"/>
      <c r="T137" s="41">
        <v>126</v>
      </c>
      <c r="U137" s="49">
        <v>126</v>
      </c>
      <c r="V137" s="48">
        <f t="shared" si="17"/>
        <v>0</v>
      </c>
      <c r="W137" s="40"/>
      <c r="X137" s="39"/>
      <c r="Y137" s="48"/>
      <c r="Z137" s="48"/>
      <c r="AA137" s="48"/>
      <c r="AB137" s="48">
        <f t="shared" si="18"/>
        <v>0</v>
      </c>
      <c r="AC137" s="40"/>
      <c r="AD137" s="48"/>
      <c r="AH137" s="44">
        <v>0</v>
      </c>
      <c r="AI137" s="40"/>
      <c r="AJ137">
        <v>48</v>
      </c>
      <c r="AK137">
        <v>50</v>
      </c>
      <c r="AL137">
        <v>72</v>
      </c>
      <c r="AM137">
        <v>72</v>
      </c>
      <c r="AN137" s="44">
        <v>-2</v>
      </c>
      <c r="AO137" s="40"/>
      <c r="AT137" s="44">
        <v>0</v>
      </c>
      <c r="AU137" s="40"/>
      <c r="AV137" s="41">
        <v>6</v>
      </c>
      <c r="AW137">
        <v>7</v>
      </c>
      <c r="AX137" s="44">
        <v>-1</v>
      </c>
      <c r="AY137" s="40"/>
      <c r="AZ137" s="41">
        <v>96</v>
      </c>
      <c r="BA137">
        <v>95</v>
      </c>
      <c r="BB137" s="44">
        <v>1</v>
      </c>
      <c r="BC137" s="40"/>
      <c r="BF137">
        <v>12</v>
      </c>
      <c r="BG137">
        <v>12</v>
      </c>
      <c r="BH137" s="44">
        <v>0</v>
      </c>
      <c r="BI137" s="40"/>
      <c r="BJ137">
        <v>54</v>
      </c>
      <c r="BK137">
        <v>57</v>
      </c>
      <c r="BL137" s="44">
        <v>-3</v>
      </c>
      <c r="BM137" s="40"/>
      <c r="BN137" s="39"/>
      <c r="BP137">
        <v>54</v>
      </c>
      <c r="BQ137" s="44">
        <v>55</v>
      </c>
      <c r="BR137" s="44">
        <v>-1</v>
      </c>
      <c r="BS137" s="40"/>
      <c r="BV137" s="44">
        <v>0</v>
      </c>
      <c r="BW137" s="40"/>
      <c r="BX137" s="39"/>
      <c r="BZ137" s="44">
        <v>0</v>
      </c>
      <c r="CA137" s="40"/>
      <c r="CB137" s="41">
        <v>102</v>
      </c>
      <c r="CC137" s="44">
        <v>100</v>
      </c>
      <c r="CH137" s="44">
        <v>2</v>
      </c>
      <c r="CI137" s="40"/>
      <c r="CK137" s="47"/>
      <c r="CM137" s="47"/>
      <c r="CN137" s="44">
        <v>0</v>
      </c>
      <c r="CO137" s="40"/>
      <c r="CP137" s="39"/>
      <c r="CT137" s="44">
        <v>0</v>
      </c>
      <c r="CU137" s="40"/>
      <c r="CV137" s="42"/>
      <c r="CZ137" s="44">
        <v>0</v>
      </c>
      <c r="DA137" s="40"/>
      <c r="DB137" s="42"/>
      <c r="DF137" s="44">
        <v>0</v>
      </c>
      <c r="DG137" s="40"/>
      <c r="DO137" s="40"/>
      <c r="DP137" s="41"/>
      <c r="DS137" s="40"/>
      <c r="DT137" s="39"/>
      <c r="DY137" s="40"/>
      <c r="DZ137" s="39"/>
      <c r="EC137" s="40"/>
      <c r="EL137" s="40"/>
      <c r="ET137" s="40"/>
      <c r="EU137" s="39"/>
      <c r="EZ137" s="40"/>
      <c r="FA137" s="39"/>
      <c r="FE137" s="40"/>
      <c r="FI137" s="40"/>
      <c r="FJ137" s="39"/>
      <c r="FR137" s="40"/>
      <c r="FX137" s="40"/>
      <c r="FY137" s="39"/>
      <c r="GD137" s="40"/>
      <c r="GJ137" s="40"/>
      <c r="GN137" s="40"/>
      <c r="GO137" s="41"/>
      <c r="GR137" s="40"/>
      <c r="GY137" s="40"/>
      <c r="HE137" s="40"/>
      <c r="HF137" s="39"/>
      <c r="HK137" s="40"/>
      <c r="HL137" s="39"/>
      <c r="HQ137" s="40"/>
      <c r="HW137" s="43"/>
      <c r="IC137" s="43"/>
      <c r="II137" s="43"/>
      <c r="IO137" s="40"/>
      <c r="IS137" s="40"/>
      <c r="IY137" s="43"/>
      <c r="JC137" s="40"/>
      <c r="JI137" s="40"/>
      <c r="JO137" s="43"/>
      <c r="JU137" s="43"/>
      <c r="KA137" s="43"/>
      <c r="KB137" s="42"/>
      <c r="KJ137" s="43"/>
      <c r="KP137" s="43"/>
      <c r="KV137" s="43"/>
      <c r="KW137" s="42"/>
      <c r="KZ137" s="43"/>
      <c r="LA137" s="42"/>
      <c r="LE137" s="44"/>
      <c r="LF137" s="43"/>
      <c r="LG137" s="42"/>
      <c r="LL137" s="43"/>
      <c r="LM137" s="42"/>
      <c r="LO137" s="44"/>
      <c r="LP137" s="43"/>
      <c r="LQ137" s="42"/>
      <c r="LU137" s="44"/>
      <c r="LV137" s="43"/>
      <c r="LW137" s="42"/>
      <c r="MA137" s="44"/>
      <c r="MB137" s="43"/>
      <c r="MC137" s="42"/>
      <c r="MG137" s="44"/>
      <c r="MH137" s="43"/>
      <c r="MI137" s="42"/>
      <c r="MM137" s="44"/>
      <c r="MN137" s="43"/>
      <c r="MO137" s="42"/>
      <c r="MS137" s="44"/>
      <c r="MT137" s="43"/>
      <c r="MU137" s="42"/>
      <c r="MY137" s="44"/>
      <c r="MZ137" s="43"/>
      <c r="NA137" s="42"/>
      <c r="NE137" s="44"/>
      <c r="NF137" s="43"/>
      <c r="NG137" s="42"/>
      <c r="NK137" s="44"/>
      <c r="NL137" s="43"/>
      <c r="NM137" s="42"/>
      <c r="NQ137" s="44"/>
      <c r="NR137" s="43"/>
      <c r="NS137" s="42"/>
      <c r="NW137" s="44"/>
      <c r="NX137" s="43"/>
      <c r="NY137" s="42"/>
      <c r="OC137" s="44"/>
      <c r="OD137" s="43"/>
      <c r="OE137" s="42"/>
      <c r="OI137" s="44"/>
      <c r="OJ137" s="43"/>
      <c r="OK137" s="42"/>
      <c r="OO137" s="44"/>
      <c r="OP137" s="43"/>
      <c r="OQ137" s="42"/>
      <c r="OU137" s="44"/>
      <c r="OV137" s="43"/>
      <c r="OW137" s="42"/>
      <c r="PB137" s="43"/>
      <c r="PC137" s="42"/>
      <c r="PH137" s="43"/>
      <c r="PI137" s="42"/>
      <c r="PN137" s="43"/>
      <c r="PO137" s="42"/>
      <c r="PT137" s="43"/>
      <c r="PU137" s="42"/>
      <c r="PZ137" s="43"/>
      <c r="QA137" s="42"/>
      <c r="QD137" s="43"/>
      <c r="QE137" s="42"/>
      <c r="QH137" s="43"/>
      <c r="QI137" s="42"/>
      <c r="QL137" s="43"/>
      <c r="QM137" s="42"/>
      <c r="QR137" s="43"/>
      <c r="QS137" s="42"/>
      <c r="QV137" s="43"/>
      <c r="QW137" s="42"/>
      <c r="QY137" s="44"/>
      <c r="QZ137" s="43"/>
    </row>
    <row r="138" spans="1:468" x14ac:dyDescent="0.25">
      <c r="A138" s="47" t="s">
        <v>422</v>
      </c>
      <c r="B138" s="38">
        <v>1</v>
      </c>
      <c r="N138" s="39"/>
      <c r="O138" s="48"/>
      <c r="P138" s="48"/>
      <c r="Q138" s="48"/>
      <c r="R138" s="48">
        <f t="shared" si="16"/>
        <v>0</v>
      </c>
      <c r="S138" s="40"/>
      <c r="T138" s="39"/>
      <c r="U138" s="48"/>
      <c r="V138" s="48">
        <f t="shared" si="17"/>
        <v>0</v>
      </c>
      <c r="W138" s="40"/>
      <c r="X138" s="39"/>
      <c r="Y138" s="48"/>
      <c r="Z138" s="48"/>
      <c r="AA138" s="48"/>
      <c r="AB138" s="48">
        <f t="shared" si="18"/>
        <v>0</v>
      </c>
      <c r="AC138" s="40"/>
      <c r="AD138" s="48"/>
      <c r="AH138" s="44">
        <v>0</v>
      </c>
      <c r="AI138" s="40"/>
      <c r="AN138" s="44">
        <v>0</v>
      </c>
      <c r="AO138" s="40"/>
      <c r="AT138" s="44">
        <v>0</v>
      </c>
      <c r="AU138" s="40"/>
      <c r="AV138" s="39"/>
      <c r="AX138" s="44">
        <v>0</v>
      </c>
      <c r="AY138" s="40"/>
      <c r="AZ138" s="39"/>
      <c r="BB138" s="44">
        <v>0</v>
      </c>
      <c r="BC138" s="40"/>
      <c r="BH138" s="44">
        <v>0</v>
      </c>
      <c r="BI138" s="40"/>
      <c r="BL138" s="44">
        <v>0</v>
      </c>
      <c r="BM138" s="40"/>
      <c r="BN138" s="39"/>
      <c r="BR138" s="44">
        <v>0</v>
      </c>
      <c r="BS138" s="40"/>
      <c r="BV138" s="44">
        <v>0</v>
      </c>
      <c r="BW138" s="40"/>
      <c r="BX138" s="39"/>
      <c r="BZ138" s="44">
        <v>0</v>
      </c>
      <c r="CA138" s="40"/>
      <c r="CB138" s="39"/>
      <c r="CH138" s="44">
        <v>0</v>
      </c>
      <c r="CI138" s="40"/>
      <c r="CN138" s="44">
        <v>0</v>
      </c>
      <c r="CO138" s="40"/>
      <c r="CP138" s="39"/>
      <c r="CT138" s="44">
        <v>0</v>
      </c>
      <c r="CU138" s="40"/>
      <c r="CV138" s="39"/>
      <c r="CZ138" s="44">
        <v>0</v>
      </c>
      <c r="DA138" s="40"/>
      <c r="DB138" s="39"/>
      <c r="DF138" s="44">
        <v>0</v>
      </c>
      <c r="DG138" s="40"/>
      <c r="DN138" s="44">
        <v>0</v>
      </c>
      <c r="DO138" s="40"/>
      <c r="DP138" s="39"/>
      <c r="DR138" s="44">
        <v>0</v>
      </c>
      <c r="DS138" s="40"/>
      <c r="DT138" s="39"/>
      <c r="DX138" s="44">
        <v>0</v>
      </c>
      <c r="DY138" s="40"/>
      <c r="DZ138" s="39"/>
      <c r="EB138" s="44">
        <v>0</v>
      </c>
      <c r="EC138" s="40"/>
      <c r="EK138" s="44">
        <v>0</v>
      </c>
      <c r="EL138" s="40"/>
      <c r="ES138" s="44">
        <v>0</v>
      </c>
      <c r="ET138" s="40"/>
      <c r="EU138" s="39"/>
      <c r="EY138" s="44">
        <v>0</v>
      </c>
      <c r="EZ138" s="40"/>
      <c r="FA138" s="39"/>
      <c r="FD138" s="44">
        <v>0</v>
      </c>
      <c r="FE138" s="40"/>
      <c r="FH138" s="44">
        <v>0</v>
      </c>
      <c r="FI138" s="40"/>
      <c r="FJ138" s="39"/>
      <c r="FQ138" s="44">
        <v>0</v>
      </c>
      <c r="FR138" s="40"/>
      <c r="FW138" s="44">
        <v>0</v>
      </c>
      <c r="FX138" s="40"/>
      <c r="FY138" s="39"/>
      <c r="GC138" s="44">
        <v>0</v>
      </c>
      <c r="GD138" s="40"/>
      <c r="GI138" s="44">
        <v>0</v>
      </c>
      <c r="GJ138" s="40"/>
      <c r="GM138" s="44">
        <v>0</v>
      </c>
      <c r="GN138" s="40"/>
      <c r="GO138" s="39"/>
      <c r="GQ138" s="44">
        <v>0</v>
      </c>
      <c r="GR138" s="40"/>
      <c r="GX138" s="44">
        <v>0</v>
      </c>
      <c r="GY138" s="40"/>
      <c r="HD138" s="44">
        <v>0</v>
      </c>
      <c r="HE138" s="40"/>
      <c r="HF138" s="39"/>
      <c r="HJ138" s="44">
        <v>0</v>
      </c>
      <c r="HK138" s="40"/>
      <c r="HL138" s="39"/>
      <c r="HP138" s="44">
        <v>0</v>
      </c>
      <c r="HQ138" s="40"/>
      <c r="HV138" s="44">
        <v>0</v>
      </c>
      <c r="HW138" s="43"/>
      <c r="IB138" s="44">
        <v>0</v>
      </c>
      <c r="IC138" s="43"/>
      <c r="IH138" s="44">
        <v>0</v>
      </c>
      <c r="II138" s="43"/>
      <c r="IN138" s="44">
        <v>0</v>
      </c>
      <c r="IO138" s="40"/>
      <c r="IR138" s="44">
        <v>0</v>
      </c>
      <c r="IS138" s="40"/>
      <c r="IX138" s="44">
        <v>0</v>
      </c>
      <c r="IY138" s="43"/>
      <c r="JB138" s="44">
        <v>0</v>
      </c>
      <c r="JC138" s="40"/>
      <c r="JH138" s="44">
        <v>0</v>
      </c>
      <c r="JI138" s="40"/>
      <c r="JN138" s="44">
        <v>0</v>
      </c>
      <c r="JO138" s="43"/>
      <c r="JT138" s="44">
        <v>0</v>
      </c>
      <c r="JU138" s="43"/>
      <c r="JZ138" s="44">
        <v>0</v>
      </c>
      <c r="KA138" s="43"/>
      <c r="KB138" s="42"/>
      <c r="KI138" s="44">
        <v>0</v>
      </c>
      <c r="KJ138" s="43"/>
      <c r="KK138" s="47">
        <v>0</v>
      </c>
      <c r="KL138" s="47">
        <v>0</v>
      </c>
      <c r="KM138" s="47">
        <v>0</v>
      </c>
      <c r="KN138" s="34">
        <v>40</v>
      </c>
      <c r="KO138" s="44">
        <v>90.032000000000011</v>
      </c>
      <c r="KP138" s="43"/>
      <c r="KQ138" s="47">
        <v>0</v>
      </c>
      <c r="KR138" s="47">
        <v>0</v>
      </c>
      <c r="KS138" s="47">
        <v>18.54</v>
      </c>
      <c r="KT138" s="47">
        <v>21</v>
      </c>
      <c r="KU138" s="44">
        <v>-2.4600000000000009</v>
      </c>
      <c r="KV138" s="43"/>
      <c r="KW138" s="42">
        <v>0</v>
      </c>
      <c r="KX138" s="47">
        <v>0</v>
      </c>
      <c r="KY138" s="44">
        <v>0</v>
      </c>
      <c r="KZ138" s="43"/>
      <c r="LA138" s="42">
        <v>77.058999999999997</v>
      </c>
      <c r="LB138" s="47">
        <v>70</v>
      </c>
      <c r="LC138" s="47">
        <v>77.796999999999997</v>
      </c>
      <c r="LD138" s="47">
        <v>72</v>
      </c>
      <c r="LE138" s="44">
        <v>12.855999999999989</v>
      </c>
      <c r="LF138" s="43"/>
      <c r="LG138" s="42">
        <v>25.734000000000002</v>
      </c>
      <c r="LH138" s="47">
        <v>24</v>
      </c>
      <c r="LI138" s="47">
        <v>0</v>
      </c>
      <c r="LJ138" s="47">
        <v>0</v>
      </c>
      <c r="LK138" s="44">
        <v>1.734000000000002</v>
      </c>
      <c r="LL138" s="43"/>
      <c r="LM138" s="42">
        <v>50.354999999999997</v>
      </c>
      <c r="LN138" s="47">
        <v>50</v>
      </c>
      <c r="LO138" s="44">
        <v>0.35499999999999687</v>
      </c>
      <c r="LP138" s="43"/>
      <c r="LQ138" s="42">
        <v>0</v>
      </c>
      <c r="LR138" s="47">
        <v>0</v>
      </c>
      <c r="LS138" s="47">
        <v>64.325999999999993</v>
      </c>
      <c r="LT138" s="47">
        <v>63</v>
      </c>
      <c r="LU138" s="44">
        <v>1.325999999999993</v>
      </c>
      <c r="LV138" s="43"/>
      <c r="LW138" s="42">
        <v>0</v>
      </c>
      <c r="LX138" s="47">
        <v>0</v>
      </c>
      <c r="LY138" s="47">
        <v>0</v>
      </c>
      <c r="LZ138" s="47">
        <v>0</v>
      </c>
      <c r="MA138" s="44">
        <v>0</v>
      </c>
      <c r="MB138" s="43"/>
      <c r="MC138" s="42">
        <v>0</v>
      </c>
      <c r="MD138" s="47">
        <v>0</v>
      </c>
      <c r="ME138" s="47">
        <v>58.356999999999999</v>
      </c>
      <c r="MF138" s="47">
        <v>60</v>
      </c>
      <c r="MG138" s="44">
        <v>-1.6430000000000009</v>
      </c>
      <c r="MH138" s="43"/>
      <c r="MI138" s="42">
        <v>0</v>
      </c>
      <c r="MJ138" s="47">
        <v>0</v>
      </c>
      <c r="MK138" s="47">
        <v>30.850999999999999</v>
      </c>
      <c r="ML138" s="47">
        <v>30</v>
      </c>
      <c r="MM138" s="44">
        <v>0.85099999999999909</v>
      </c>
      <c r="MN138" s="43"/>
      <c r="MO138" s="42">
        <v>0</v>
      </c>
      <c r="MP138" s="47">
        <v>0</v>
      </c>
      <c r="MQ138" s="47">
        <v>32.643999999999998</v>
      </c>
      <c r="MR138" s="47">
        <v>30</v>
      </c>
      <c r="MS138" s="44">
        <v>2.6439999999999979</v>
      </c>
      <c r="MT138" s="43"/>
      <c r="MU138" s="42">
        <v>0</v>
      </c>
      <c r="MV138" s="26">
        <v>30</v>
      </c>
      <c r="MW138" s="47">
        <v>55.253999999999998</v>
      </c>
      <c r="MX138" s="47">
        <v>60</v>
      </c>
      <c r="MY138" s="46">
        <v>-34.746000000000002</v>
      </c>
      <c r="MZ138" s="43">
        <v>34.746000000000002</v>
      </c>
      <c r="NA138" s="42">
        <v>0</v>
      </c>
      <c r="NB138" s="47">
        <v>0</v>
      </c>
      <c r="NC138" s="47">
        <v>0</v>
      </c>
      <c r="ND138" s="47">
        <v>0</v>
      </c>
      <c r="NE138" s="44">
        <v>0</v>
      </c>
      <c r="NF138" s="43"/>
      <c r="NG138" s="42">
        <v>0</v>
      </c>
      <c r="NH138" s="47">
        <v>0</v>
      </c>
      <c r="NI138" s="47">
        <v>0</v>
      </c>
      <c r="NJ138" s="47">
        <v>0</v>
      </c>
      <c r="NK138" s="44">
        <v>0</v>
      </c>
      <c r="NL138" s="43"/>
      <c r="NM138" s="42">
        <v>0</v>
      </c>
      <c r="NN138" s="47">
        <v>0</v>
      </c>
      <c r="NO138" s="47">
        <v>30.550999999999998</v>
      </c>
      <c r="NP138" s="47">
        <v>30</v>
      </c>
      <c r="NQ138" s="44">
        <v>0.55099999999999838</v>
      </c>
      <c r="NR138" s="43"/>
      <c r="NS138" s="42">
        <v>90.135000000000005</v>
      </c>
      <c r="NT138" s="47">
        <v>90</v>
      </c>
      <c r="NU138" s="47">
        <v>0</v>
      </c>
      <c r="NV138" s="47">
        <v>0</v>
      </c>
      <c r="NW138" s="44">
        <v>0.13500000000000509</v>
      </c>
      <c r="NX138" s="43"/>
      <c r="NY138" s="42">
        <v>0</v>
      </c>
      <c r="NZ138" s="47">
        <v>0</v>
      </c>
      <c r="OA138" s="47">
        <v>12.920999999999999</v>
      </c>
      <c r="OB138" s="47">
        <v>10</v>
      </c>
      <c r="OC138" s="44">
        <v>2.9209999999999989</v>
      </c>
      <c r="OD138" s="43"/>
      <c r="OE138" s="42">
        <v>0</v>
      </c>
      <c r="OF138" s="47">
        <v>0</v>
      </c>
      <c r="OG138" s="12">
        <v>51.25</v>
      </c>
      <c r="OH138" s="47">
        <v>0</v>
      </c>
      <c r="OI138" s="44">
        <v>0</v>
      </c>
      <c r="OJ138" s="43"/>
      <c r="OK138" s="42">
        <v>0</v>
      </c>
      <c r="OL138" s="47">
        <v>0</v>
      </c>
      <c r="OM138" s="12">
        <v>68.540000000000006</v>
      </c>
      <c r="ON138" s="47">
        <v>0</v>
      </c>
      <c r="OO138" s="44">
        <v>0</v>
      </c>
      <c r="OP138" s="43"/>
      <c r="OQ138" s="42"/>
      <c r="OV138" s="43"/>
      <c r="OW138" s="42"/>
      <c r="PB138" s="43"/>
      <c r="PC138" s="42"/>
      <c r="PH138" s="43"/>
      <c r="PI138" s="42"/>
      <c r="PN138" s="43"/>
      <c r="PO138" s="42"/>
      <c r="PT138" s="43"/>
      <c r="PU138" s="42"/>
      <c r="PZ138" s="43"/>
      <c r="QA138" s="42"/>
      <c r="QD138" s="43"/>
      <c r="QE138" s="42"/>
      <c r="QH138" s="43"/>
      <c r="QI138" s="42"/>
      <c r="QL138" s="43"/>
      <c r="QM138" s="42"/>
      <c r="QR138" s="43"/>
      <c r="QS138" s="42"/>
      <c r="QV138" s="43"/>
      <c r="QW138" s="42"/>
      <c r="QY138" s="44"/>
      <c r="QZ138" s="43"/>
    </row>
    <row r="139" spans="1:468" x14ac:dyDescent="0.25">
      <c r="A139" s="47" t="s">
        <v>423</v>
      </c>
      <c r="B139" s="38">
        <v>0.6</v>
      </c>
      <c r="N139" s="39"/>
      <c r="O139" s="48"/>
      <c r="P139" s="48"/>
      <c r="Q139" s="48"/>
      <c r="R139" s="48">
        <f t="shared" si="16"/>
        <v>0</v>
      </c>
      <c r="S139" s="40"/>
      <c r="T139" s="39"/>
      <c r="U139" s="48"/>
      <c r="V139" s="48">
        <f t="shared" si="17"/>
        <v>0</v>
      </c>
      <c r="W139" s="40"/>
      <c r="X139" s="39"/>
      <c r="Y139" s="48"/>
      <c r="Z139" s="48"/>
      <c r="AA139" s="48"/>
      <c r="AB139" s="48">
        <f t="shared" si="18"/>
        <v>0</v>
      </c>
      <c r="AC139" s="40"/>
      <c r="AD139" s="48"/>
      <c r="AH139" s="44">
        <v>0</v>
      </c>
      <c r="AI139" s="40"/>
      <c r="AN139" s="44">
        <v>0</v>
      </c>
      <c r="AO139" s="40"/>
      <c r="AT139" s="44">
        <v>0</v>
      </c>
      <c r="AU139" s="40"/>
      <c r="AV139" s="39"/>
      <c r="AX139" s="44">
        <v>0</v>
      </c>
      <c r="AY139" s="40"/>
      <c r="AZ139" s="39"/>
      <c r="BB139" s="44">
        <v>0</v>
      </c>
      <c r="BC139" s="40"/>
      <c r="BH139" s="44">
        <v>0</v>
      </c>
      <c r="BI139" s="40"/>
      <c r="BL139" s="44">
        <v>0</v>
      </c>
      <c r="BM139" s="40"/>
      <c r="BN139" s="39"/>
      <c r="BR139" s="44">
        <v>0</v>
      </c>
      <c r="BS139" s="40"/>
      <c r="BV139" s="44">
        <v>0</v>
      </c>
      <c r="BW139" s="40"/>
      <c r="BX139" s="39"/>
      <c r="BZ139" s="44">
        <v>0</v>
      </c>
      <c r="CA139" s="40"/>
      <c r="CB139" s="39"/>
      <c r="CH139" s="44">
        <v>0</v>
      </c>
      <c r="CI139" s="40"/>
      <c r="CN139" s="44">
        <v>0</v>
      </c>
      <c r="CO139" s="40"/>
      <c r="CP139" s="39"/>
      <c r="CT139" s="44">
        <v>0</v>
      </c>
      <c r="CU139" s="40"/>
      <c r="CV139" s="39"/>
      <c r="CZ139" s="44">
        <v>0</v>
      </c>
      <c r="DA139" s="40"/>
      <c r="DB139" s="39"/>
      <c r="DF139" s="44">
        <v>0</v>
      </c>
      <c r="DG139" s="40"/>
      <c r="DN139" s="44">
        <v>0</v>
      </c>
      <c r="DO139" s="40"/>
      <c r="DP139" s="39"/>
      <c r="DR139" s="44">
        <v>0</v>
      </c>
      <c r="DS139" s="40"/>
      <c r="DT139" s="39"/>
      <c r="DX139" s="44">
        <v>0</v>
      </c>
      <c r="DY139" s="40"/>
      <c r="DZ139" s="39"/>
      <c r="EB139" s="44">
        <v>0</v>
      </c>
      <c r="EC139" s="40"/>
      <c r="EK139" s="44">
        <v>0</v>
      </c>
      <c r="EL139" s="40"/>
      <c r="ES139" s="44">
        <v>0</v>
      </c>
      <c r="ET139" s="40"/>
      <c r="EU139" s="39"/>
      <c r="EY139" s="44">
        <v>0</v>
      </c>
      <c r="EZ139" s="40"/>
      <c r="FA139" s="39"/>
      <c r="FD139" s="44">
        <v>0</v>
      </c>
      <c r="FE139" s="40"/>
      <c r="FH139" s="44">
        <v>0</v>
      </c>
      <c r="FI139" s="40"/>
      <c r="FJ139" s="39"/>
      <c r="FQ139" s="44">
        <v>0</v>
      </c>
      <c r="FR139" s="40"/>
      <c r="FW139" s="44">
        <v>0</v>
      </c>
      <c r="FX139" s="40"/>
      <c r="FY139" s="39"/>
      <c r="GC139" s="44">
        <v>0</v>
      </c>
      <c r="GD139" s="40"/>
      <c r="GI139" s="44">
        <v>0</v>
      </c>
      <c r="GJ139" s="40"/>
      <c r="GM139" s="44">
        <v>0</v>
      </c>
      <c r="GN139" s="40"/>
      <c r="GO139" s="39"/>
      <c r="GQ139" s="44">
        <v>0</v>
      </c>
      <c r="GR139" s="40"/>
      <c r="GX139" s="44">
        <v>0</v>
      </c>
      <c r="GY139" s="40"/>
      <c r="HD139" s="44">
        <v>0</v>
      </c>
      <c r="HE139" s="40"/>
      <c r="HF139" s="39"/>
      <c r="HJ139" s="44">
        <v>0</v>
      </c>
      <c r="HK139" s="40"/>
      <c r="HL139" s="39"/>
      <c r="HP139" s="44">
        <v>0</v>
      </c>
      <c r="HQ139" s="40"/>
      <c r="HV139" s="44">
        <v>0</v>
      </c>
      <c r="HW139" s="43"/>
      <c r="IB139" s="44">
        <v>0</v>
      </c>
      <c r="IC139" s="43"/>
      <c r="IH139" s="44">
        <v>0</v>
      </c>
      <c r="II139" s="43"/>
      <c r="IJ139">
        <v>56</v>
      </c>
      <c r="IK139">
        <v>60</v>
      </c>
      <c r="IL139">
        <v>48</v>
      </c>
      <c r="IM139">
        <v>50</v>
      </c>
      <c r="IN139" s="44">
        <v>-6</v>
      </c>
      <c r="IO139" s="40"/>
      <c r="IP139">
        <v>112</v>
      </c>
      <c r="IQ139">
        <v>118</v>
      </c>
      <c r="IR139" s="44">
        <v>-6</v>
      </c>
      <c r="IS139" s="40"/>
      <c r="IT139">
        <v>8</v>
      </c>
      <c r="IU139">
        <v>13</v>
      </c>
      <c r="IX139" s="44">
        <v>-5</v>
      </c>
      <c r="IY139" s="43"/>
      <c r="IZ139">
        <v>16</v>
      </c>
      <c r="JA139" s="47">
        <v>16</v>
      </c>
      <c r="JB139" s="44">
        <v>0</v>
      </c>
      <c r="JC139" s="40"/>
      <c r="JH139" s="44">
        <v>0</v>
      </c>
      <c r="JI139" s="40"/>
      <c r="JJ139">
        <v>88</v>
      </c>
      <c r="JK139">
        <v>90</v>
      </c>
      <c r="JL139">
        <v>96</v>
      </c>
      <c r="JM139">
        <v>100</v>
      </c>
      <c r="JN139" s="44">
        <v>-6</v>
      </c>
      <c r="JO139" s="43"/>
      <c r="JP139">
        <v>32</v>
      </c>
      <c r="JQ139">
        <v>30</v>
      </c>
      <c r="JR139">
        <v>40</v>
      </c>
      <c r="JS139">
        <v>40</v>
      </c>
      <c r="JT139" s="44">
        <v>2</v>
      </c>
      <c r="JU139" s="43"/>
      <c r="JX139">
        <v>40</v>
      </c>
      <c r="JY139">
        <v>40</v>
      </c>
      <c r="JZ139" s="44">
        <v>0</v>
      </c>
      <c r="KA139" s="43"/>
      <c r="KB139" s="41">
        <v>40</v>
      </c>
      <c r="KC139">
        <v>40</v>
      </c>
      <c r="KE139">
        <v>40</v>
      </c>
      <c r="KF139">
        <v>40</v>
      </c>
      <c r="KG139">
        <v>40</v>
      </c>
      <c r="KH139">
        <v>40</v>
      </c>
      <c r="KI139" s="44">
        <v>0</v>
      </c>
      <c r="KJ139" s="43"/>
      <c r="KK139" s="47">
        <v>0</v>
      </c>
      <c r="KL139" s="47">
        <v>0</v>
      </c>
      <c r="KM139" s="47">
        <v>88</v>
      </c>
      <c r="KN139" s="47">
        <v>90</v>
      </c>
      <c r="KO139" s="44">
        <v>-2</v>
      </c>
      <c r="KP139" s="43"/>
      <c r="KQ139" s="47">
        <v>0</v>
      </c>
      <c r="KR139" s="47">
        <v>0</v>
      </c>
      <c r="KS139" s="47">
        <v>8</v>
      </c>
      <c r="KT139" s="47">
        <v>10</v>
      </c>
      <c r="KU139" s="44">
        <v>-2</v>
      </c>
      <c r="KV139" s="43"/>
      <c r="KW139" s="42">
        <v>0</v>
      </c>
      <c r="KX139" s="47">
        <v>0</v>
      </c>
      <c r="KY139" s="44">
        <v>0</v>
      </c>
      <c r="KZ139" s="43"/>
      <c r="LA139" s="42">
        <v>80</v>
      </c>
      <c r="LB139" s="47">
        <v>80</v>
      </c>
      <c r="LC139" s="47">
        <v>72</v>
      </c>
      <c r="LD139" s="47">
        <v>70</v>
      </c>
      <c r="LE139" s="44">
        <v>2</v>
      </c>
      <c r="LF139" s="43"/>
      <c r="LG139" s="42">
        <v>0</v>
      </c>
      <c r="LH139" s="47">
        <v>0</v>
      </c>
      <c r="LI139" s="47">
        <v>0</v>
      </c>
      <c r="LJ139" s="47">
        <v>0</v>
      </c>
      <c r="LK139" s="44">
        <v>0</v>
      </c>
      <c r="LL139" s="43"/>
      <c r="LM139" s="42">
        <v>0</v>
      </c>
      <c r="LN139" s="47">
        <v>0</v>
      </c>
      <c r="LO139" s="44">
        <v>0</v>
      </c>
      <c r="LP139" s="43"/>
      <c r="LQ139" s="42">
        <v>0</v>
      </c>
      <c r="LR139" s="47">
        <v>0</v>
      </c>
      <c r="LS139" s="47">
        <v>48</v>
      </c>
      <c r="LT139" s="47">
        <v>50</v>
      </c>
      <c r="LU139" s="44">
        <v>-2</v>
      </c>
      <c r="LV139" s="43"/>
      <c r="LW139" s="42">
        <v>80</v>
      </c>
      <c r="LX139" s="47">
        <v>80</v>
      </c>
      <c r="LY139" s="47">
        <v>0</v>
      </c>
      <c r="LZ139" s="47">
        <v>0</v>
      </c>
      <c r="MA139" s="44">
        <v>0</v>
      </c>
      <c r="MB139" s="43"/>
      <c r="MC139" s="42"/>
      <c r="MH139" s="43"/>
      <c r="MI139" s="42"/>
      <c r="MN139" s="43"/>
      <c r="MO139" s="42"/>
      <c r="MT139" s="43"/>
      <c r="MU139" s="42"/>
      <c r="MZ139" s="43"/>
      <c r="NA139" s="42"/>
      <c r="NF139" s="43"/>
      <c r="NG139" s="42"/>
      <c r="NL139" s="43"/>
      <c r="NM139" s="42"/>
      <c r="NR139" s="43"/>
      <c r="NS139" s="42"/>
      <c r="NX139" s="43"/>
      <c r="NY139" s="42"/>
      <c r="OD139" s="43"/>
      <c r="OE139" s="42"/>
      <c r="OJ139" s="43"/>
      <c r="OK139" s="42"/>
      <c r="OP139" s="43"/>
      <c r="OQ139" s="42"/>
      <c r="OV139" s="43"/>
      <c r="OW139" s="42"/>
      <c r="PB139" s="43"/>
      <c r="PC139" s="42"/>
      <c r="PH139" s="43"/>
      <c r="PI139" s="42"/>
      <c r="PN139" s="43"/>
      <c r="PO139" s="42"/>
      <c r="PT139" s="43"/>
      <c r="PU139" s="42"/>
      <c r="PZ139" s="43"/>
      <c r="QA139" s="42"/>
      <c r="QD139" s="43"/>
      <c r="QE139" s="42"/>
      <c r="QH139" s="43"/>
      <c r="QI139" s="42"/>
      <c r="QL139" s="43"/>
      <c r="QM139" s="42"/>
      <c r="QR139" s="43"/>
      <c r="QS139" s="42"/>
      <c r="QV139" s="43"/>
      <c r="QW139" s="42"/>
      <c r="QY139" s="44"/>
      <c r="QZ139" s="43"/>
    </row>
    <row r="140" spans="1:468" x14ac:dyDescent="0.25">
      <c r="A140" s="47" t="s">
        <v>424</v>
      </c>
      <c r="B140" s="38">
        <v>1</v>
      </c>
      <c r="N140" s="39"/>
      <c r="O140" s="48"/>
      <c r="P140" s="48"/>
      <c r="Q140" s="48"/>
      <c r="R140" s="48">
        <f t="shared" si="16"/>
        <v>0</v>
      </c>
      <c r="S140" s="40"/>
      <c r="T140" s="39"/>
      <c r="U140" s="48"/>
      <c r="V140" s="48">
        <f t="shared" si="17"/>
        <v>0</v>
      </c>
      <c r="W140" s="40"/>
      <c r="X140" s="39"/>
      <c r="Y140" s="48"/>
      <c r="Z140" s="48"/>
      <c r="AA140" s="48"/>
      <c r="AB140" s="48">
        <f t="shared" si="18"/>
        <v>0</v>
      </c>
      <c r="AC140" s="40"/>
      <c r="AD140" s="48"/>
      <c r="AH140" s="44">
        <v>0</v>
      </c>
      <c r="AI140" s="40"/>
      <c r="AN140" s="44">
        <v>0</v>
      </c>
      <c r="AO140" s="40"/>
      <c r="AT140" s="44">
        <v>0</v>
      </c>
      <c r="AU140" s="40"/>
      <c r="AV140" s="39"/>
      <c r="AX140" s="44">
        <v>0</v>
      </c>
      <c r="AY140" s="40"/>
      <c r="AZ140" s="39"/>
      <c r="BB140" s="44">
        <v>0</v>
      </c>
      <c r="BC140" s="40"/>
      <c r="BH140" s="44">
        <v>0</v>
      </c>
      <c r="BI140" s="40"/>
      <c r="BL140" s="44">
        <v>0</v>
      </c>
      <c r="BM140" s="40"/>
      <c r="BN140" s="39"/>
      <c r="BR140" s="44">
        <v>0</v>
      </c>
      <c r="BS140" s="40"/>
      <c r="BV140" s="44">
        <v>0</v>
      </c>
      <c r="BW140" s="40"/>
      <c r="BX140" s="39"/>
      <c r="BZ140" s="44">
        <v>0</v>
      </c>
      <c r="CA140" s="40"/>
      <c r="CB140" s="39"/>
      <c r="CH140" s="44">
        <v>0</v>
      </c>
      <c r="CI140" s="40"/>
      <c r="CN140" s="44">
        <v>0</v>
      </c>
      <c r="CO140" s="40"/>
      <c r="CP140" s="39"/>
      <c r="CT140" s="44">
        <v>0</v>
      </c>
      <c r="CU140" s="40"/>
      <c r="CV140" s="39"/>
      <c r="CZ140" s="44">
        <v>0</v>
      </c>
      <c r="DA140" s="40"/>
      <c r="DB140" s="39"/>
      <c r="DF140" s="44">
        <v>0</v>
      </c>
      <c r="DG140" s="40"/>
      <c r="DN140" s="44">
        <v>0</v>
      </c>
      <c r="DO140" s="40"/>
      <c r="DP140" s="39"/>
      <c r="DR140" s="44">
        <v>0</v>
      </c>
      <c r="DS140" s="40"/>
      <c r="DT140" s="39"/>
      <c r="DX140" s="44">
        <v>0</v>
      </c>
      <c r="DY140" s="40"/>
      <c r="DZ140" s="39"/>
      <c r="EB140" s="44">
        <v>0</v>
      </c>
      <c r="EC140" s="40"/>
      <c r="EK140" s="44">
        <v>0</v>
      </c>
      <c r="EL140" s="40"/>
      <c r="ES140" s="44">
        <v>0</v>
      </c>
      <c r="ET140" s="40"/>
      <c r="EU140" s="39"/>
      <c r="EW140">
        <v>27</v>
      </c>
      <c r="EX140">
        <v>26</v>
      </c>
      <c r="EY140" s="44">
        <v>1</v>
      </c>
      <c r="EZ140" s="40"/>
      <c r="FA140" s="39"/>
      <c r="FD140" s="44">
        <v>0</v>
      </c>
      <c r="FE140" s="40"/>
      <c r="FF140">
        <v>4</v>
      </c>
      <c r="FG140">
        <v>5</v>
      </c>
      <c r="FH140" s="44">
        <v>-1</v>
      </c>
      <c r="FI140" s="40"/>
      <c r="FJ140" s="39"/>
      <c r="FO140">
        <v>43</v>
      </c>
      <c r="FP140">
        <v>44</v>
      </c>
      <c r="FQ140" s="44">
        <v>-1</v>
      </c>
      <c r="FR140" s="40"/>
      <c r="FW140" s="44">
        <v>0</v>
      </c>
      <c r="FX140" s="40"/>
      <c r="FY140" s="39"/>
      <c r="GC140" s="44">
        <v>0</v>
      </c>
      <c r="GD140" s="40"/>
      <c r="GI140" s="44">
        <v>0</v>
      </c>
      <c r="GJ140" s="40"/>
      <c r="GK140">
        <v>59</v>
      </c>
      <c r="GL140" s="47">
        <v>56.246200000000002</v>
      </c>
      <c r="GM140" s="44">
        <v>2.7537999999999978</v>
      </c>
      <c r="GN140" s="40"/>
      <c r="GO140" s="39"/>
      <c r="GQ140" s="44">
        <v>0</v>
      </c>
      <c r="GR140" s="40"/>
      <c r="GV140">
        <v>55</v>
      </c>
      <c r="GW140">
        <v>53</v>
      </c>
      <c r="GX140" s="44">
        <v>2</v>
      </c>
      <c r="GY140" s="40"/>
      <c r="HB140">
        <v>8</v>
      </c>
      <c r="HC140">
        <v>9</v>
      </c>
      <c r="HD140" s="44">
        <v>-1</v>
      </c>
      <c r="HE140" s="40"/>
      <c r="HF140" s="39"/>
      <c r="HH140">
        <v>61</v>
      </c>
      <c r="HI140">
        <v>61</v>
      </c>
      <c r="HJ140" s="44">
        <v>0</v>
      </c>
      <c r="HK140" s="40"/>
      <c r="HL140" s="39"/>
      <c r="HP140" s="44">
        <v>0</v>
      </c>
      <c r="HQ140" s="40"/>
      <c r="HT140">
        <v>20</v>
      </c>
      <c r="HU140">
        <v>20</v>
      </c>
      <c r="HV140" s="44">
        <v>0</v>
      </c>
      <c r="HW140" s="43"/>
      <c r="IB140" s="44">
        <v>0</v>
      </c>
      <c r="IC140" s="43"/>
      <c r="IF140">
        <v>51</v>
      </c>
      <c r="IG140">
        <v>50</v>
      </c>
      <c r="IH140" s="44">
        <v>1</v>
      </c>
      <c r="II140" s="43"/>
      <c r="IL140">
        <v>16</v>
      </c>
      <c r="IM140">
        <v>16</v>
      </c>
      <c r="IN140" s="44">
        <v>0</v>
      </c>
      <c r="IO140" s="40"/>
      <c r="IP140">
        <v>58</v>
      </c>
      <c r="IQ140">
        <v>61</v>
      </c>
      <c r="IR140" s="44">
        <v>-3</v>
      </c>
      <c r="IS140" s="40"/>
      <c r="IT140">
        <v>28</v>
      </c>
      <c r="IU140">
        <v>25</v>
      </c>
      <c r="IX140" s="44">
        <v>3</v>
      </c>
      <c r="IY140" s="43"/>
      <c r="JB140" s="44">
        <v>0</v>
      </c>
      <c r="JC140" s="40"/>
      <c r="JH140" s="44">
        <v>0</v>
      </c>
      <c r="JI140" s="40"/>
      <c r="JN140" s="44">
        <v>0</v>
      </c>
      <c r="JO140" s="43"/>
      <c r="JT140" s="44">
        <v>0</v>
      </c>
      <c r="JU140" s="43"/>
      <c r="JZ140" s="44">
        <v>0</v>
      </c>
      <c r="KA140" s="43"/>
      <c r="KB140" s="41">
        <v>71</v>
      </c>
      <c r="KC140">
        <v>70</v>
      </c>
      <c r="KE140">
        <v>103</v>
      </c>
      <c r="KF140">
        <v>100</v>
      </c>
      <c r="KG140">
        <v>83</v>
      </c>
      <c r="KH140">
        <v>80</v>
      </c>
      <c r="KI140" s="44">
        <v>7</v>
      </c>
      <c r="KJ140" s="43"/>
      <c r="KK140" s="47">
        <v>0</v>
      </c>
      <c r="KL140" s="47">
        <v>0</v>
      </c>
      <c r="KM140" s="47">
        <v>0</v>
      </c>
      <c r="KN140" s="47">
        <v>0</v>
      </c>
      <c r="KO140" s="44">
        <v>0</v>
      </c>
      <c r="KP140" s="43"/>
      <c r="KQ140" s="47">
        <v>0</v>
      </c>
      <c r="KR140" s="47">
        <v>0</v>
      </c>
      <c r="KS140" s="47">
        <v>58.701999999999998</v>
      </c>
      <c r="KT140" s="47">
        <v>59</v>
      </c>
      <c r="KU140" s="44">
        <v>-0.29800000000000182</v>
      </c>
      <c r="KV140" s="43"/>
      <c r="KW140" s="42">
        <v>0</v>
      </c>
      <c r="KX140" s="47">
        <v>0</v>
      </c>
      <c r="KY140" s="44">
        <v>0</v>
      </c>
      <c r="KZ140" s="43"/>
      <c r="LA140" s="42">
        <v>51.750999999999998</v>
      </c>
      <c r="LB140" s="47">
        <v>50</v>
      </c>
      <c r="LC140" s="47">
        <v>40.033000000000001</v>
      </c>
      <c r="LD140" s="47">
        <v>40</v>
      </c>
      <c r="LE140" s="44">
        <v>1.783999999999992</v>
      </c>
      <c r="LF140" s="43"/>
      <c r="LG140" s="42">
        <v>39.152000000000001</v>
      </c>
      <c r="LH140" s="47">
        <v>40</v>
      </c>
      <c r="LI140" s="47">
        <v>50.232999999999997</v>
      </c>
      <c r="LJ140" s="47">
        <v>50</v>
      </c>
      <c r="LK140" s="44">
        <v>-0.61500000000000909</v>
      </c>
      <c r="LL140" s="43"/>
      <c r="LM140" s="42">
        <v>0</v>
      </c>
      <c r="LN140" s="47">
        <v>0</v>
      </c>
      <c r="LO140" s="44">
        <v>0</v>
      </c>
      <c r="LP140" s="43"/>
      <c r="LQ140" s="42">
        <v>0</v>
      </c>
      <c r="LR140" s="47">
        <v>0</v>
      </c>
      <c r="LS140" s="47">
        <v>0</v>
      </c>
      <c r="LT140" s="47">
        <v>0</v>
      </c>
      <c r="LU140" s="44">
        <v>0</v>
      </c>
      <c r="LV140" s="43"/>
      <c r="LW140" s="42">
        <v>129.191</v>
      </c>
      <c r="LX140" s="47">
        <v>130</v>
      </c>
      <c r="LY140" s="47">
        <v>0</v>
      </c>
      <c r="LZ140" s="47">
        <v>0</v>
      </c>
      <c r="MA140" s="44">
        <v>-0.8089999999999975</v>
      </c>
      <c r="MB140" s="43"/>
      <c r="MC140" s="42">
        <v>19.821000000000002</v>
      </c>
      <c r="MD140" s="47">
        <v>20</v>
      </c>
      <c r="ME140" s="47">
        <v>47.962000000000003</v>
      </c>
      <c r="MF140" s="47">
        <v>45</v>
      </c>
      <c r="MG140" s="44">
        <v>2.7830000000000008</v>
      </c>
      <c r="MH140" s="43"/>
      <c r="MI140" s="42">
        <v>0</v>
      </c>
      <c r="MJ140" s="47">
        <v>0</v>
      </c>
      <c r="MK140" s="47">
        <v>0</v>
      </c>
      <c r="ML140" s="47">
        <v>0</v>
      </c>
      <c r="MM140" s="44">
        <v>0</v>
      </c>
      <c r="MN140" s="43"/>
      <c r="MO140" s="42">
        <v>0</v>
      </c>
      <c r="MP140" s="47">
        <v>0</v>
      </c>
      <c r="MQ140" s="47">
        <v>0</v>
      </c>
      <c r="MR140" s="47">
        <v>0</v>
      </c>
      <c r="MS140" s="44">
        <v>0</v>
      </c>
      <c r="MT140" s="43"/>
      <c r="MU140" s="42">
        <v>0</v>
      </c>
      <c r="MV140" s="26">
        <v>30</v>
      </c>
      <c r="MW140" s="47">
        <v>117.18300000000001</v>
      </c>
      <c r="MX140" s="47">
        <v>120.3832</v>
      </c>
      <c r="MY140" s="46">
        <v>-33.200199999999981</v>
      </c>
      <c r="MZ140" s="43">
        <v>33.200199999999981</v>
      </c>
      <c r="NA140" s="42">
        <v>0</v>
      </c>
      <c r="NB140" s="47">
        <v>0</v>
      </c>
      <c r="NC140" s="47">
        <v>40.024999999999999</v>
      </c>
      <c r="ND140" s="47">
        <v>37</v>
      </c>
      <c r="NE140" s="44">
        <v>3.024999999999999</v>
      </c>
      <c r="NF140" s="43"/>
      <c r="NG140" s="42">
        <v>0</v>
      </c>
      <c r="NH140" s="47">
        <v>0</v>
      </c>
      <c r="NI140" s="47">
        <v>0</v>
      </c>
      <c r="NJ140" s="47">
        <v>0</v>
      </c>
      <c r="NK140" s="44">
        <v>0</v>
      </c>
      <c r="NL140" s="43"/>
      <c r="NM140" s="42">
        <v>0</v>
      </c>
      <c r="NN140" s="47">
        <v>0</v>
      </c>
      <c r="NO140" s="47">
        <v>0</v>
      </c>
      <c r="NP140" s="47">
        <v>0</v>
      </c>
      <c r="NQ140" s="44">
        <v>0</v>
      </c>
      <c r="NR140" s="43"/>
      <c r="NS140" s="42">
        <v>252.19900000000001</v>
      </c>
      <c r="NT140" s="47">
        <v>250</v>
      </c>
      <c r="NU140" s="47">
        <v>0</v>
      </c>
      <c r="NV140" s="47">
        <v>0</v>
      </c>
      <c r="NW140" s="44">
        <v>2.1990000000000118</v>
      </c>
      <c r="NX140" s="43"/>
      <c r="NY140" s="42">
        <v>0</v>
      </c>
      <c r="NZ140" s="47">
        <v>0</v>
      </c>
      <c r="OA140" s="47">
        <v>0</v>
      </c>
      <c r="OB140" s="47">
        <v>0</v>
      </c>
      <c r="OC140" s="44">
        <v>0</v>
      </c>
      <c r="OD140" s="43"/>
      <c r="OE140" s="42">
        <v>157.74</v>
      </c>
      <c r="OF140" s="47">
        <v>150</v>
      </c>
      <c r="OG140" s="47">
        <v>146.28100000000001</v>
      </c>
      <c r="OH140" s="47">
        <v>144</v>
      </c>
      <c r="OI140" s="44">
        <v>10.02100000000002</v>
      </c>
      <c r="OJ140" s="43"/>
      <c r="OK140" s="42">
        <v>0</v>
      </c>
      <c r="OL140" s="47">
        <v>0</v>
      </c>
      <c r="OM140" s="47">
        <v>19.431000000000001</v>
      </c>
      <c r="ON140" s="47">
        <v>20</v>
      </c>
      <c r="OO140" s="44">
        <v>-0.56899999999999906</v>
      </c>
      <c r="OP140" s="43"/>
      <c r="OQ140" s="42">
        <v>0</v>
      </c>
      <c r="OR140" s="47">
        <v>0</v>
      </c>
      <c r="OS140" s="12">
        <v>67.343000000000004</v>
      </c>
      <c r="OT140" s="47">
        <v>0</v>
      </c>
      <c r="OU140" s="44">
        <v>0</v>
      </c>
      <c r="OV140" s="43"/>
      <c r="OW140" s="13">
        <v>59.366</v>
      </c>
      <c r="OX140" s="47">
        <v>0</v>
      </c>
      <c r="OY140" s="12">
        <v>91.358999999999995</v>
      </c>
      <c r="OZ140" s="47">
        <v>0</v>
      </c>
      <c r="PA140" s="44">
        <v>0</v>
      </c>
      <c r="PB140" s="43"/>
      <c r="PC140" s="42"/>
      <c r="PH140" s="43"/>
      <c r="PI140" s="42"/>
      <c r="PN140" s="43"/>
      <c r="PO140" s="42"/>
      <c r="PT140" s="43"/>
      <c r="PU140" s="42"/>
      <c r="PZ140" s="43"/>
      <c r="QA140" s="42"/>
      <c r="QD140" s="43"/>
      <c r="QE140" s="42"/>
      <c r="QH140" s="43"/>
      <c r="QI140" s="42"/>
      <c r="QL140" s="43"/>
      <c r="QM140" s="42"/>
      <c r="QR140" s="43"/>
      <c r="QS140" s="42"/>
      <c r="QV140" s="43"/>
      <c r="QW140" s="42"/>
      <c r="QY140" s="44"/>
      <c r="QZ140" s="43"/>
    </row>
    <row r="141" spans="1:468" x14ac:dyDescent="0.25">
      <c r="A141" s="47" t="s">
        <v>425</v>
      </c>
      <c r="B141" s="38">
        <v>1</v>
      </c>
      <c r="N141" s="39"/>
      <c r="O141" s="48"/>
      <c r="P141" s="48"/>
      <c r="Q141" s="48"/>
      <c r="R141" s="48">
        <f t="shared" si="16"/>
        <v>0</v>
      </c>
      <c r="S141" s="40"/>
      <c r="T141" s="39"/>
      <c r="U141" s="48"/>
      <c r="V141" s="48">
        <f t="shared" si="17"/>
        <v>0</v>
      </c>
      <c r="W141" s="40"/>
      <c r="X141" s="39"/>
      <c r="Y141" s="48"/>
      <c r="Z141" s="48"/>
      <c r="AA141" s="48"/>
      <c r="AB141" s="48">
        <f t="shared" si="18"/>
        <v>0</v>
      </c>
      <c r="AC141" s="40"/>
      <c r="AD141" s="48"/>
      <c r="AH141" s="44">
        <v>0</v>
      </c>
      <c r="AI141" s="40"/>
      <c r="AN141" s="44">
        <v>0</v>
      </c>
      <c r="AO141" s="40"/>
      <c r="AT141" s="44">
        <v>0</v>
      </c>
      <c r="AU141" s="40"/>
      <c r="AV141" s="39"/>
      <c r="AX141" s="44">
        <v>0</v>
      </c>
      <c r="AY141" s="40"/>
      <c r="AZ141" s="39"/>
      <c r="BB141" s="44">
        <v>0</v>
      </c>
      <c r="BC141" s="40"/>
      <c r="BH141" s="44">
        <v>0</v>
      </c>
      <c r="BI141" s="40"/>
      <c r="BL141" s="44">
        <v>0</v>
      </c>
      <c r="BM141" s="40"/>
      <c r="BN141" s="39"/>
      <c r="BR141" s="44">
        <v>0</v>
      </c>
      <c r="BS141" s="40"/>
      <c r="BV141" s="44">
        <v>0</v>
      </c>
      <c r="BW141" s="40"/>
      <c r="BX141" s="39"/>
      <c r="BZ141" s="44">
        <v>0</v>
      </c>
      <c r="CA141" s="40"/>
      <c r="CB141" s="39"/>
      <c r="CH141" s="44">
        <v>0</v>
      </c>
      <c r="CI141" s="40"/>
      <c r="CN141" s="44">
        <v>0</v>
      </c>
      <c r="CO141" s="40"/>
      <c r="CP141" s="39"/>
      <c r="CT141" s="44">
        <v>0</v>
      </c>
      <c r="CU141" s="40"/>
      <c r="CV141" s="39"/>
      <c r="CZ141" s="44">
        <v>0</v>
      </c>
      <c r="DA141" s="40"/>
      <c r="DB141" s="39"/>
      <c r="DF141" s="44">
        <v>0</v>
      </c>
      <c r="DG141" s="40"/>
      <c r="DN141" s="44">
        <v>0</v>
      </c>
      <c r="DO141" s="40"/>
      <c r="DP141" s="39"/>
      <c r="DR141" s="44">
        <v>0</v>
      </c>
      <c r="DS141" s="40"/>
      <c r="DT141" s="39"/>
      <c r="DX141" s="44">
        <v>0</v>
      </c>
      <c r="DY141" s="40"/>
      <c r="DZ141" s="39"/>
      <c r="EB141" s="44">
        <v>0</v>
      </c>
      <c r="EC141" s="40"/>
      <c r="EK141" s="44">
        <v>0</v>
      </c>
      <c r="EL141" s="40"/>
      <c r="ES141" s="44">
        <v>0</v>
      </c>
      <c r="ET141" s="40"/>
      <c r="EU141" s="39"/>
      <c r="EY141" s="44">
        <v>0</v>
      </c>
      <c r="EZ141" s="40"/>
      <c r="FA141" s="39"/>
      <c r="FD141" s="44">
        <v>0</v>
      </c>
      <c r="FE141" s="40"/>
      <c r="FH141" s="44">
        <v>0</v>
      </c>
      <c r="FI141" s="40"/>
      <c r="FJ141" s="39"/>
      <c r="FQ141" s="44">
        <v>0</v>
      </c>
      <c r="FR141" s="40"/>
      <c r="FW141" s="44">
        <v>0</v>
      </c>
      <c r="FX141" s="40"/>
      <c r="FY141" s="39"/>
      <c r="GC141" s="44">
        <v>0</v>
      </c>
      <c r="GD141" s="40"/>
      <c r="GI141" s="44">
        <v>0</v>
      </c>
      <c r="GJ141" s="40"/>
      <c r="GM141" s="44">
        <v>0</v>
      </c>
      <c r="GN141" s="40"/>
      <c r="GO141" s="39"/>
      <c r="GQ141" s="44">
        <v>0</v>
      </c>
      <c r="GR141" s="40"/>
      <c r="GS141">
        <v>31</v>
      </c>
      <c r="GT141">
        <v>30</v>
      </c>
      <c r="GV141">
        <v>90</v>
      </c>
      <c r="GW141">
        <v>90</v>
      </c>
      <c r="GX141" s="44">
        <v>1</v>
      </c>
      <c r="GY141" s="40"/>
      <c r="HB141">
        <v>4</v>
      </c>
      <c r="HC141">
        <v>4</v>
      </c>
      <c r="HD141" s="44">
        <v>0</v>
      </c>
      <c r="HE141" s="40"/>
      <c r="HF141" s="39"/>
      <c r="HH141">
        <v>63</v>
      </c>
      <c r="HI141">
        <v>61</v>
      </c>
      <c r="HJ141" s="44">
        <v>2</v>
      </c>
      <c r="HK141" s="40"/>
      <c r="HL141" s="39"/>
      <c r="HP141" s="44">
        <v>0</v>
      </c>
      <c r="HQ141" s="40"/>
      <c r="HT141">
        <v>24</v>
      </c>
      <c r="HU141">
        <v>22</v>
      </c>
      <c r="HV141" s="44">
        <v>2</v>
      </c>
      <c r="HW141" s="43"/>
      <c r="IB141" s="44">
        <v>0</v>
      </c>
      <c r="IC141" s="43"/>
      <c r="IF141">
        <v>51</v>
      </c>
      <c r="IG141">
        <v>50</v>
      </c>
      <c r="IH141" s="44">
        <v>1</v>
      </c>
      <c r="II141" s="43"/>
      <c r="IN141" s="44">
        <v>0</v>
      </c>
      <c r="IO141" s="40"/>
      <c r="IP141">
        <v>24</v>
      </c>
      <c r="IQ141">
        <v>23</v>
      </c>
      <c r="IR141" s="44">
        <v>1</v>
      </c>
      <c r="IS141" s="40"/>
      <c r="IT141">
        <v>31</v>
      </c>
      <c r="IU141">
        <v>30</v>
      </c>
      <c r="IV141">
        <v>20</v>
      </c>
      <c r="IW141">
        <v>20</v>
      </c>
      <c r="IX141" s="44">
        <v>1</v>
      </c>
      <c r="IY141" s="43"/>
      <c r="JB141" s="44">
        <v>0</v>
      </c>
      <c r="JC141" s="40"/>
      <c r="JF141">
        <v>20</v>
      </c>
      <c r="JG141">
        <v>20</v>
      </c>
      <c r="JH141" s="44">
        <v>0</v>
      </c>
      <c r="JI141" s="40"/>
      <c r="JL141">
        <v>35</v>
      </c>
      <c r="JM141">
        <v>34</v>
      </c>
      <c r="JN141" s="44">
        <v>1</v>
      </c>
      <c r="JO141" s="43"/>
      <c r="JT141" s="44">
        <v>0</v>
      </c>
      <c r="JU141" s="43"/>
      <c r="JZ141" s="44">
        <v>0</v>
      </c>
      <c r="KA141" s="43"/>
      <c r="KB141" s="41">
        <v>39</v>
      </c>
      <c r="KC141">
        <v>40</v>
      </c>
      <c r="KE141">
        <v>50</v>
      </c>
      <c r="KF141">
        <v>50</v>
      </c>
      <c r="KG141">
        <v>51</v>
      </c>
      <c r="KH141">
        <v>50</v>
      </c>
      <c r="KI141" s="44">
        <v>0</v>
      </c>
      <c r="KJ141" s="43"/>
      <c r="KK141" s="47">
        <v>0</v>
      </c>
      <c r="KL141" s="47">
        <v>0</v>
      </c>
      <c r="KM141" s="47">
        <v>0</v>
      </c>
      <c r="KN141" s="47">
        <v>0</v>
      </c>
      <c r="KO141" s="44">
        <v>0</v>
      </c>
      <c r="KP141" s="43"/>
      <c r="KQ141" s="47">
        <v>0</v>
      </c>
      <c r="KR141" s="47">
        <v>0</v>
      </c>
      <c r="KS141" s="47">
        <v>15.696999999999999</v>
      </c>
      <c r="KT141" s="47">
        <v>16</v>
      </c>
      <c r="KU141" s="44">
        <v>-0.30300000000000082</v>
      </c>
      <c r="KV141" s="43"/>
      <c r="KW141" s="42">
        <v>11.752000000000001</v>
      </c>
      <c r="KX141" s="47">
        <v>10</v>
      </c>
      <c r="KY141" s="44">
        <v>1.7520000000000009</v>
      </c>
      <c r="KZ141" s="43"/>
      <c r="LA141" s="42">
        <v>19.559999999999999</v>
      </c>
      <c r="LB141" s="47">
        <v>20</v>
      </c>
      <c r="LC141" s="47">
        <v>0</v>
      </c>
      <c r="LD141" s="47">
        <v>0</v>
      </c>
      <c r="LE141" s="44">
        <v>-0.44000000000000128</v>
      </c>
      <c r="LF141" s="43"/>
      <c r="LG141" s="42">
        <v>65.432000000000002</v>
      </c>
      <c r="LH141" s="47">
        <v>70</v>
      </c>
      <c r="LI141" s="47">
        <v>70.043999999999997</v>
      </c>
      <c r="LJ141" s="47">
        <v>70</v>
      </c>
      <c r="LK141" s="46">
        <v>-4.5240000000000009</v>
      </c>
      <c r="LL141" s="43">
        <v>4.5240000000000009</v>
      </c>
      <c r="LM141" s="42">
        <v>0</v>
      </c>
      <c r="LN141" s="47">
        <v>0</v>
      </c>
      <c r="LO141" s="44">
        <v>0</v>
      </c>
      <c r="LP141" s="43"/>
      <c r="LQ141" s="42">
        <v>0</v>
      </c>
      <c r="LR141" s="47">
        <v>0</v>
      </c>
      <c r="LS141" s="47">
        <v>0</v>
      </c>
      <c r="LT141" s="47">
        <v>0</v>
      </c>
      <c r="LU141" s="44">
        <v>0</v>
      </c>
      <c r="LV141" s="43"/>
      <c r="LW141" s="42">
        <v>35.680999999999997</v>
      </c>
      <c r="LX141" s="47">
        <v>35</v>
      </c>
      <c r="LY141" s="47">
        <v>0</v>
      </c>
      <c r="LZ141" s="47">
        <v>0</v>
      </c>
      <c r="MA141" s="44">
        <v>0.68099999999999739</v>
      </c>
      <c r="MB141" s="43"/>
      <c r="MC141" s="42">
        <v>31.306000000000001</v>
      </c>
      <c r="MD141" s="47">
        <v>30</v>
      </c>
      <c r="ME141" s="47">
        <v>117.8</v>
      </c>
      <c r="MF141" s="47">
        <v>115</v>
      </c>
      <c r="MG141" s="44">
        <v>4.1059999999999954</v>
      </c>
      <c r="MH141" s="43"/>
      <c r="MI141" s="42">
        <v>0</v>
      </c>
      <c r="MJ141" s="47">
        <v>0</v>
      </c>
      <c r="MK141" s="47">
        <v>0</v>
      </c>
      <c r="ML141" s="47">
        <v>0</v>
      </c>
      <c r="MM141" s="44">
        <v>0</v>
      </c>
      <c r="MN141" s="43"/>
      <c r="MO141" s="42">
        <v>0</v>
      </c>
      <c r="MP141" s="47">
        <v>0</v>
      </c>
      <c r="MQ141" s="47">
        <v>0</v>
      </c>
      <c r="MR141" s="47">
        <v>0</v>
      </c>
      <c r="MS141" s="44">
        <v>0</v>
      </c>
      <c r="MT141" s="43"/>
      <c r="MU141" s="42">
        <v>0</v>
      </c>
      <c r="MV141" s="26">
        <v>30</v>
      </c>
      <c r="MW141" s="47">
        <v>103.089</v>
      </c>
      <c r="MX141" s="47">
        <v>99.168999999999983</v>
      </c>
      <c r="MY141" s="46">
        <v>-26.079999999999981</v>
      </c>
      <c r="MZ141" s="43">
        <v>26.079999999999981</v>
      </c>
      <c r="NA141" s="42">
        <v>0</v>
      </c>
      <c r="NB141" s="47">
        <v>0</v>
      </c>
      <c r="NC141" s="47">
        <v>0</v>
      </c>
      <c r="ND141" s="47">
        <v>0</v>
      </c>
      <c r="NE141" s="44">
        <v>0</v>
      </c>
      <c r="NF141" s="43"/>
      <c r="NG141" s="42">
        <v>0</v>
      </c>
      <c r="NH141" s="47">
        <v>0</v>
      </c>
      <c r="NI141" s="47">
        <v>0</v>
      </c>
      <c r="NJ141" s="47">
        <v>0</v>
      </c>
      <c r="NK141" s="44">
        <v>0</v>
      </c>
      <c r="NL141" s="43"/>
      <c r="NM141" s="42">
        <v>0</v>
      </c>
      <c r="NN141" s="47">
        <v>0</v>
      </c>
      <c r="NO141" s="47">
        <v>59.107999999999997</v>
      </c>
      <c r="NP141" s="47">
        <v>56</v>
      </c>
      <c r="NQ141" s="44">
        <v>3.107999999999997</v>
      </c>
      <c r="NR141" s="43"/>
      <c r="NS141" s="42">
        <v>161.76</v>
      </c>
      <c r="NT141" s="47">
        <v>160</v>
      </c>
      <c r="NU141" s="47">
        <v>0</v>
      </c>
      <c r="NV141" s="47">
        <v>0</v>
      </c>
      <c r="NW141" s="44">
        <v>1.7599999999999909</v>
      </c>
      <c r="NX141" s="43"/>
      <c r="NY141" s="42">
        <v>0</v>
      </c>
      <c r="NZ141" s="47">
        <v>0</v>
      </c>
      <c r="OA141" s="47">
        <v>0</v>
      </c>
      <c r="OB141" s="47">
        <v>0</v>
      </c>
      <c r="OC141" s="44">
        <v>0</v>
      </c>
      <c r="OD141" s="43"/>
      <c r="OE141" s="42">
        <v>121.834</v>
      </c>
      <c r="OF141" s="47">
        <v>120</v>
      </c>
      <c r="OG141" s="47">
        <v>106.60899999999999</v>
      </c>
      <c r="OH141" s="47">
        <v>104</v>
      </c>
      <c r="OI141" s="44">
        <v>4.4429999999999836</v>
      </c>
      <c r="OJ141" s="43"/>
      <c r="OK141" s="42">
        <v>0</v>
      </c>
      <c r="OL141" s="47">
        <v>0</v>
      </c>
      <c r="OM141" s="47">
        <v>0</v>
      </c>
      <c r="ON141" s="47">
        <v>0</v>
      </c>
      <c r="OO141" s="44">
        <v>0</v>
      </c>
      <c r="OP141" s="43"/>
      <c r="OQ141" s="42">
        <v>0</v>
      </c>
      <c r="OR141" s="47">
        <v>0</v>
      </c>
      <c r="OS141" s="47">
        <v>0</v>
      </c>
      <c r="OT141" s="47">
        <v>0</v>
      </c>
      <c r="OU141" s="44">
        <v>0</v>
      </c>
      <c r="OV141" s="43"/>
      <c r="OW141" s="13">
        <v>98.947000000000003</v>
      </c>
      <c r="OX141" s="47">
        <v>0</v>
      </c>
      <c r="OY141" s="12">
        <v>109.68300000000001</v>
      </c>
      <c r="OZ141" s="47">
        <v>0</v>
      </c>
      <c r="PA141" s="44">
        <v>0</v>
      </c>
      <c r="PB141" s="43"/>
      <c r="PC141" s="42"/>
      <c r="PH141" s="43"/>
      <c r="PI141" s="42"/>
      <c r="PN141" s="43"/>
      <c r="PO141" s="42"/>
      <c r="PT141" s="43"/>
      <c r="PU141" s="42"/>
      <c r="PZ141" s="43"/>
      <c r="QA141" s="42"/>
      <c r="QD141" s="43"/>
      <c r="QE141" s="42"/>
      <c r="QH141" s="43"/>
      <c r="QI141" s="42"/>
      <c r="QL141" s="43"/>
      <c r="QM141" s="42"/>
      <c r="QR141" s="43"/>
      <c r="QS141" s="42"/>
      <c r="QV141" s="43"/>
      <c r="QW141" s="42"/>
      <c r="QY141" s="44"/>
      <c r="QZ141" s="43"/>
    </row>
    <row r="142" spans="1:468" x14ac:dyDescent="0.25">
      <c r="A142" s="47" t="s">
        <v>426</v>
      </c>
      <c r="B142" s="38">
        <v>1</v>
      </c>
      <c r="N142" s="39"/>
      <c r="O142" s="48"/>
      <c r="P142" s="48"/>
      <c r="Q142" s="48"/>
      <c r="R142" s="48">
        <f t="shared" si="16"/>
        <v>0</v>
      </c>
      <c r="S142" s="40"/>
      <c r="T142" s="39"/>
      <c r="U142" s="48"/>
      <c r="V142" s="48">
        <f t="shared" si="17"/>
        <v>0</v>
      </c>
      <c r="W142" s="40"/>
      <c r="X142" s="39"/>
      <c r="Y142" s="48"/>
      <c r="Z142" s="48"/>
      <c r="AA142" s="48"/>
      <c r="AB142" s="48">
        <f t="shared" si="18"/>
        <v>0</v>
      </c>
      <c r="AC142" s="40"/>
      <c r="AD142" s="48"/>
      <c r="AH142" s="44">
        <v>0</v>
      </c>
      <c r="AI142" s="40"/>
      <c r="AN142" s="44">
        <v>0</v>
      </c>
      <c r="AO142" s="40"/>
      <c r="AT142" s="44">
        <v>0</v>
      </c>
      <c r="AU142" s="40"/>
      <c r="AV142" s="39"/>
      <c r="AX142" s="44">
        <v>0</v>
      </c>
      <c r="AY142" s="40"/>
      <c r="AZ142" s="39"/>
      <c r="BB142" s="44">
        <v>0</v>
      </c>
      <c r="BC142" s="40"/>
      <c r="BH142" s="44">
        <v>0</v>
      </c>
      <c r="BI142" s="40"/>
      <c r="BL142" s="44">
        <v>0</v>
      </c>
      <c r="BM142" s="40"/>
      <c r="BN142" s="39"/>
      <c r="BR142" s="44">
        <v>0</v>
      </c>
      <c r="BS142" s="40"/>
      <c r="BV142" s="44">
        <v>0</v>
      </c>
      <c r="BW142" s="40"/>
      <c r="BX142" s="39"/>
      <c r="BZ142" s="44">
        <v>0</v>
      </c>
      <c r="CA142" s="40"/>
      <c r="CB142" s="39"/>
      <c r="CH142" s="44">
        <v>0</v>
      </c>
      <c r="CI142" s="40"/>
      <c r="CN142" s="44">
        <v>0</v>
      </c>
      <c r="CO142" s="40"/>
      <c r="CP142" s="39"/>
      <c r="CT142" s="44">
        <v>0</v>
      </c>
      <c r="CU142" s="40"/>
      <c r="CV142" s="39"/>
      <c r="CZ142" s="44">
        <v>0</v>
      </c>
      <c r="DA142" s="40"/>
      <c r="DB142" s="39"/>
      <c r="DF142" s="44">
        <v>0</v>
      </c>
      <c r="DG142" s="40"/>
      <c r="DN142" s="44">
        <v>0</v>
      </c>
      <c r="DO142" s="40"/>
      <c r="DP142" s="39"/>
      <c r="DR142" s="44">
        <v>0</v>
      </c>
      <c r="DS142" s="40"/>
      <c r="DT142" s="39"/>
      <c r="DX142" s="44">
        <v>0</v>
      </c>
      <c r="DY142" s="40"/>
      <c r="DZ142" s="39"/>
      <c r="EB142" s="44">
        <v>0</v>
      </c>
      <c r="EC142" s="40"/>
      <c r="EK142" s="44">
        <v>0</v>
      </c>
      <c r="EL142" s="40"/>
      <c r="ES142" s="44">
        <v>0</v>
      </c>
      <c r="ET142" s="40"/>
      <c r="EU142" s="39"/>
      <c r="EY142" s="44">
        <v>0</v>
      </c>
      <c r="EZ142" s="40"/>
      <c r="FA142" s="39"/>
      <c r="FD142" s="44">
        <v>0</v>
      </c>
      <c r="FE142" s="40"/>
      <c r="FH142" s="44">
        <v>0</v>
      </c>
      <c r="FI142" s="40"/>
      <c r="FJ142" s="39"/>
      <c r="FQ142" s="44">
        <v>0</v>
      </c>
      <c r="FR142" s="40"/>
      <c r="FW142" s="44">
        <v>0</v>
      </c>
      <c r="FX142" s="40"/>
      <c r="FY142" s="39"/>
      <c r="GC142" s="44">
        <v>0</v>
      </c>
      <c r="GD142" s="40"/>
      <c r="GI142" s="44">
        <v>0</v>
      </c>
      <c r="GJ142" s="40"/>
      <c r="GM142" s="44">
        <v>0</v>
      </c>
      <c r="GN142" s="40"/>
      <c r="GO142" s="39"/>
      <c r="GQ142" s="44">
        <v>0</v>
      </c>
      <c r="GR142" s="40"/>
      <c r="GX142" s="44">
        <v>0</v>
      </c>
      <c r="GY142" s="40"/>
      <c r="HD142" s="44">
        <v>0</v>
      </c>
      <c r="HE142" s="40"/>
      <c r="HF142" s="39"/>
      <c r="HJ142" s="44">
        <v>0</v>
      </c>
      <c r="HK142" s="40"/>
      <c r="HL142" s="39"/>
      <c r="HP142" s="44">
        <v>0</v>
      </c>
      <c r="HQ142" s="40"/>
      <c r="HV142" s="44">
        <v>0</v>
      </c>
      <c r="HW142" s="43"/>
      <c r="IB142" s="44">
        <v>0</v>
      </c>
      <c r="IC142" s="43"/>
      <c r="IH142" s="44">
        <v>0</v>
      </c>
      <c r="II142" s="43"/>
      <c r="IN142" s="44">
        <v>0</v>
      </c>
      <c r="IO142" s="40"/>
      <c r="IR142" s="44">
        <v>0</v>
      </c>
      <c r="IS142" s="40"/>
      <c r="IX142" s="44">
        <v>0</v>
      </c>
      <c r="IY142" s="43"/>
      <c r="JB142" s="44">
        <v>0</v>
      </c>
      <c r="JC142" s="40"/>
      <c r="JH142" s="44">
        <v>0</v>
      </c>
      <c r="JI142" s="40"/>
      <c r="JN142" s="44">
        <v>0</v>
      </c>
      <c r="JO142" s="43"/>
      <c r="JT142" s="44">
        <v>0</v>
      </c>
      <c r="JU142" s="43"/>
      <c r="JZ142" s="44">
        <v>0</v>
      </c>
      <c r="KA142" s="43"/>
      <c r="KB142" s="42"/>
      <c r="KI142" s="44">
        <v>0</v>
      </c>
      <c r="KJ142" s="43"/>
      <c r="KK142" s="47">
        <v>0</v>
      </c>
      <c r="KL142" s="47">
        <v>0</v>
      </c>
      <c r="KM142" s="47">
        <v>0</v>
      </c>
      <c r="KN142" s="47">
        <v>0</v>
      </c>
      <c r="KO142" s="44">
        <v>0</v>
      </c>
      <c r="KP142" s="43"/>
      <c r="KQ142" s="47">
        <v>0</v>
      </c>
      <c r="KR142" s="47">
        <v>0</v>
      </c>
      <c r="KS142" s="47">
        <v>0</v>
      </c>
      <c r="KT142" s="47">
        <v>0</v>
      </c>
      <c r="KU142" s="44">
        <v>0</v>
      </c>
      <c r="KV142" s="43"/>
      <c r="KW142" s="42">
        <v>0</v>
      </c>
      <c r="KX142" s="34">
        <v>26</v>
      </c>
      <c r="KY142" s="44">
        <v>-2</v>
      </c>
      <c r="KZ142" s="43"/>
      <c r="LA142" s="42">
        <v>0</v>
      </c>
      <c r="LB142" s="21">
        <v>55</v>
      </c>
      <c r="LC142" s="47">
        <v>0</v>
      </c>
      <c r="LD142" s="21">
        <v>50</v>
      </c>
      <c r="LE142" s="44">
        <v>-3.1500000000000061</v>
      </c>
      <c r="LF142" s="43"/>
      <c r="LG142" s="42">
        <v>0</v>
      </c>
      <c r="LH142" s="47">
        <v>0</v>
      </c>
      <c r="LI142" s="47">
        <v>0</v>
      </c>
      <c r="LJ142" s="47">
        <v>0</v>
      </c>
      <c r="LK142" s="44">
        <v>0</v>
      </c>
      <c r="LL142" s="43"/>
      <c r="LM142" s="42">
        <v>0</v>
      </c>
      <c r="LN142" s="47">
        <v>0</v>
      </c>
      <c r="LO142" s="44">
        <v>0</v>
      </c>
      <c r="LP142" s="43"/>
      <c r="LQ142" s="42">
        <v>30.19</v>
      </c>
      <c r="LR142" s="47">
        <v>30</v>
      </c>
      <c r="LS142" s="47">
        <v>0</v>
      </c>
      <c r="LT142" s="47">
        <v>0</v>
      </c>
      <c r="LU142" s="44">
        <v>0.19000000000000131</v>
      </c>
      <c r="LV142" s="43"/>
      <c r="LW142" s="42">
        <v>228.45500000000001</v>
      </c>
      <c r="LX142" s="47">
        <v>228</v>
      </c>
      <c r="LY142" s="47">
        <v>0</v>
      </c>
      <c r="LZ142" s="47">
        <v>0</v>
      </c>
      <c r="MA142" s="44">
        <v>0.45500000000001251</v>
      </c>
      <c r="MB142" s="43"/>
      <c r="MC142" s="42">
        <v>30.225000000000001</v>
      </c>
      <c r="MD142" s="47">
        <v>30</v>
      </c>
      <c r="ME142" s="47">
        <v>42.195</v>
      </c>
      <c r="MF142" s="47">
        <v>40</v>
      </c>
      <c r="MG142" s="44">
        <v>2.4200000000000021</v>
      </c>
      <c r="MH142" s="43"/>
      <c r="MI142" s="42">
        <v>0</v>
      </c>
      <c r="MJ142" s="47">
        <v>0</v>
      </c>
      <c r="MK142" s="47">
        <v>132.4</v>
      </c>
      <c r="ML142" s="47">
        <v>130</v>
      </c>
      <c r="MM142" s="44">
        <v>2.4000000000000061</v>
      </c>
      <c r="MN142" s="43"/>
      <c r="MO142" s="42">
        <v>0</v>
      </c>
      <c r="MP142" s="47">
        <v>0</v>
      </c>
      <c r="MQ142" s="47">
        <v>42.195</v>
      </c>
      <c r="MR142" s="47">
        <v>40</v>
      </c>
      <c r="MS142" s="44">
        <v>2.1949999999999998</v>
      </c>
      <c r="MT142" s="43"/>
      <c r="MU142" s="42">
        <v>0</v>
      </c>
      <c r="MV142" s="26">
        <v>20</v>
      </c>
      <c r="MW142" s="47">
        <v>90.424999999999997</v>
      </c>
      <c r="MX142" s="47">
        <v>88.606399999999979</v>
      </c>
      <c r="MY142" s="46">
        <v>-18.181399999999979</v>
      </c>
      <c r="MZ142" s="43">
        <v>18.181399999999979</v>
      </c>
      <c r="NA142" s="42">
        <v>0</v>
      </c>
      <c r="NB142" s="47">
        <v>0</v>
      </c>
      <c r="NC142" s="47">
        <v>66.709999999999994</v>
      </c>
      <c r="ND142" s="47">
        <v>67</v>
      </c>
      <c r="NE142" s="44">
        <v>-0.29000000000000631</v>
      </c>
      <c r="NF142" s="43"/>
      <c r="NG142" s="42">
        <v>0</v>
      </c>
      <c r="NH142" s="47">
        <v>0</v>
      </c>
      <c r="NI142" s="47">
        <v>0</v>
      </c>
      <c r="NJ142" s="47">
        <v>0</v>
      </c>
      <c r="NK142" s="44">
        <v>0</v>
      </c>
      <c r="NL142" s="43"/>
      <c r="NM142" s="42">
        <v>0</v>
      </c>
      <c r="NN142" s="47">
        <v>0</v>
      </c>
      <c r="NO142" s="47">
        <v>132.285</v>
      </c>
      <c r="NP142" s="47">
        <v>130</v>
      </c>
      <c r="NQ142" s="44">
        <v>2.284999999999997</v>
      </c>
      <c r="NR142" s="43"/>
      <c r="NS142" s="42">
        <v>150.22499999999999</v>
      </c>
      <c r="NT142" s="47">
        <v>150</v>
      </c>
      <c r="NU142" s="47">
        <v>0</v>
      </c>
      <c r="NV142" s="47">
        <v>0</v>
      </c>
      <c r="NW142" s="44">
        <v>0.22499999999999429</v>
      </c>
      <c r="NX142" s="43"/>
      <c r="NY142" s="42">
        <v>0</v>
      </c>
      <c r="NZ142" s="47">
        <v>0</v>
      </c>
      <c r="OA142" s="47">
        <v>84.43</v>
      </c>
      <c r="OB142" s="47">
        <v>87</v>
      </c>
      <c r="OC142" s="44">
        <v>-2.5699999999999932</v>
      </c>
      <c r="OD142" s="43"/>
      <c r="OE142" s="42">
        <v>0</v>
      </c>
      <c r="OF142" s="47">
        <v>0</v>
      </c>
      <c r="OG142" s="47">
        <v>59.86</v>
      </c>
      <c r="OH142" s="47">
        <v>59</v>
      </c>
      <c r="OI142" s="44">
        <v>0.85999999999999943</v>
      </c>
      <c r="OJ142" s="43"/>
      <c r="OK142" s="42">
        <v>0</v>
      </c>
      <c r="OL142" s="47">
        <v>0</v>
      </c>
      <c r="OM142" s="47">
        <v>0</v>
      </c>
      <c r="ON142" s="47">
        <v>0</v>
      </c>
      <c r="OO142" s="44">
        <v>0</v>
      </c>
      <c r="OP142" s="43"/>
      <c r="OQ142" s="42">
        <v>0</v>
      </c>
      <c r="OR142" s="47">
        <v>0</v>
      </c>
      <c r="OS142" s="47">
        <v>96.24</v>
      </c>
      <c r="OT142" s="47">
        <v>98</v>
      </c>
      <c r="OU142" s="44">
        <v>-1.7600000000000049</v>
      </c>
      <c r="OV142" s="43"/>
      <c r="OW142" s="42">
        <v>0</v>
      </c>
      <c r="OX142" s="47">
        <v>0</v>
      </c>
      <c r="OY142" s="47">
        <v>0</v>
      </c>
      <c r="OZ142" s="47">
        <v>0</v>
      </c>
      <c r="PA142" s="44">
        <v>0</v>
      </c>
      <c r="PB142" s="43"/>
      <c r="PC142" s="42">
        <v>0</v>
      </c>
      <c r="PD142" s="47">
        <v>0</v>
      </c>
      <c r="PE142" s="47">
        <v>106.715</v>
      </c>
      <c r="PF142" s="47">
        <v>106</v>
      </c>
      <c r="PG142" s="44">
        <v>0.71500000000000341</v>
      </c>
      <c r="PH142" s="43"/>
      <c r="PI142" s="13">
        <v>47.863</v>
      </c>
      <c r="PJ142" s="47">
        <v>0</v>
      </c>
      <c r="PK142" s="12">
        <v>101.48</v>
      </c>
      <c r="PL142" s="47">
        <v>0</v>
      </c>
      <c r="PM142" s="44">
        <v>0</v>
      </c>
      <c r="PN142" s="43"/>
      <c r="PO142" s="13">
        <v>119.77500000000001</v>
      </c>
      <c r="PP142" s="47">
        <v>0</v>
      </c>
      <c r="PQ142" s="47">
        <v>0</v>
      </c>
      <c r="PR142" s="47">
        <v>0</v>
      </c>
      <c r="PS142" s="44">
        <v>0</v>
      </c>
      <c r="PT142" s="43"/>
      <c r="PU142" s="42"/>
      <c r="PZ142" s="43"/>
      <c r="QA142" s="42"/>
      <c r="QD142" s="43"/>
      <c r="QE142" s="42"/>
      <c r="QH142" s="43"/>
      <c r="QI142" s="42"/>
      <c r="QL142" s="43"/>
      <c r="QM142" s="42"/>
      <c r="QR142" s="43"/>
      <c r="QS142" s="42"/>
      <c r="QV142" s="43"/>
      <c r="QW142" s="42"/>
      <c r="QY142" s="44"/>
      <c r="QZ142" s="43"/>
    </row>
    <row r="143" spans="1:468" x14ac:dyDescent="0.25">
      <c r="A143" s="47" t="s">
        <v>427</v>
      </c>
      <c r="B143" s="38">
        <v>1</v>
      </c>
      <c r="N143" s="39"/>
      <c r="O143" s="48"/>
      <c r="P143" s="49">
        <v>54</v>
      </c>
      <c r="Q143" s="49">
        <v>52</v>
      </c>
      <c r="R143" s="48">
        <f t="shared" si="16"/>
        <v>2</v>
      </c>
      <c r="S143" s="40"/>
      <c r="T143" s="39"/>
      <c r="U143" s="48"/>
      <c r="V143" s="48">
        <f t="shared" si="17"/>
        <v>0</v>
      </c>
      <c r="W143" s="40"/>
      <c r="X143" s="39"/>
      <c r="Y143" s="48"/>
      <c r="Z143" s="49">
        <v>41</v>
      </c>
      <c r="AA143" s="49">
        <v>40</v>
      </c>
      <c r="AB143" s="48">
        <f t="shared" si="18"/>
        <v>1</v>
      </c>
      <c r="AC143" s="40"/>
      <c r="AD143" s="48"/>
      <c r="AF143">
        <v>30</v>
      </c>
      <c r="AG143">
        <v>32</v>
      </c>
      <c r="AH143" s="44">
        <v>-2</v>
      </c>
      <c r="AI143" s="40"/>
      <c r="AN143" s="44">
        <v>0</v>
      </c>
      <c r="AO143" s="40"/>
      <c r="AP143">
        <v>18</v>
      </c>
      <c r="AQ143">
        <v>20</v>
      </c>
      <c r="AT143" s="44">
        <v>-2</v>
      </c>
      <c r="AU143" s="40"/>
      <c r="AV143" s="41">
        <v>55</v>
      </c>
      <c r="AW143">
        <v>57</v>
      </c>
      <c r="AX143" s="44">
        <v>-2</v>
      </c>
      <c r="AY143" s="40"/>
      <c r="AZ143" s="39"/>
      <c r="BB143" s="44">
        <v>0</v>
      </c>
      <c r="BC143" s="40"/>
      <c r="BF143">
        <v>24</v>
      </c>
      <c r="BG143">
        <v>25</v>
      </c>
      <c r="BH143" s="44">
        <v>-1</v>
      </c>
      <c r="BI143" s="40"/>
      <c r="BJ143">
        <v>54</v>
      </c>
      <c r="BK143">
        <v>52</v>
      </c>
      <c r="BL143" s="44">
        <v>2</v>
      </c>
      <c r="BM143" s="40"/>
      <c r="BN143" s="39"/>
      <c r="BR143" s="44">
        <v>0</v>
      </c>
      <c r="BS143" s="40"/>
      <c r="BT143">
        <v>18</v>
      </c>
      <c r="BU143">
        <v>20</v>
      </c>
      <c r="BV143" s="44">
        <v>-2</v>
      </c>
      <c r="BW143" s="40"/>
      <c r="BX143" s="39"/>
      <c r="BZ143" s="44">
        <v>0</v>
      </c>
      <c r="CA143" s="40"/>
      <c r="CB143" s="39"/>
      <c r="CD143">
        <v>12</v>
      </c>
      <c r="CG143">
        <v>10</v>
      </c>
      <c r="CH143" s="44">
        <v>2</v>
      </c>
      <c r="CI143" s="40"/>
      <c r="CL143">
        <v>73</v>
      </c>
      <c r="CM143">
        <v>70</v>
      </c>
      <c r="CN143" s="44">
        <v>3</v>
      </c>
      <c r="CO143" s="40"/>
      <c r="CP143" s="39"/>
      <c r="CR143">
        <v>18</v>
      </c>
      <c r="CS143">
        <v>20</v>
      </c>
      <c r="CT143" s="44">
        <v>-2</v>
      </c>
      <c r="CU143" s="40"/>
      <c r="CV143" s="39"/>
      <c r="CX143">
        <v>48</v>
      </c>
      <c r="CY143">
        <v>46</v>
      </c>
      <c r="CZ143" s="44">
        <v>2</v>
      </c>
      <c r="DA143" s="40"/>
      <c r="DB143" s="41">
        <v>30</v>
      </c>
      <c r="DC143">
        <v>30</v>
      </c>
      <c r="DD143">
        <v>42</v>
      </c>
      <c r="DE143">
        <v>40</v>
      </c>
      <c r="DF143" s="44">
        <v>2</v>
      </c>
      <c r="DG143" s="40"/>
      <c r="DJ143">
        <v>42</v>
      </c>
      <c r="DK143">
        <v>40</v>
      </c>
      <c r="DN143" s="44">
        <v>2</v>
      </c>
      <c r="DO143" s="40"/>
      <c r="DP143" s="39"/>
      <c r="DR143" s="44">
        <v>0</v>
      </c>
      <c r="DS143" s="40"/>
      <c r="DT143" s="39"/>
      <c r="DX143" s="44">
        <v>0</v>
      </c>
      <c r="DY143" s="40"/>
      <c r="DZ143" s="41">
        <v>78</v>
      </c>
      <c r="EA143">
        <v>80</v>
      </c>
      <c r="EB143" s="44">
        <v>-2</v>
      </c>
      <c r="EC143" s="40"/>
      <c r="EK143" s="44">
        <v>0</v>
      </c>
      <c r="EL143" s="40"/>
      <c r="EN143">
        <v>30</v>
      </c>
      <c r="EO143">
        <v>32</v>
      </c>
      <c r="EQ143">
        <v>30</v>
      </c>
      <c r="ER143">
        <v>32</v>
      </c>
      <c r="ES143" s="44">
        <v>-4</v>
      </c>
      <c r="ET143" s="40"/>
      <c r="EU143" s="39"/>
      <c r="EW143">
        <v>31</v>
      </c>
      <c r="EX143">
        <v>30</v>
      </c>
      <c r="EY143" s="44">
        <v>1</v>
      </c>
      <c r="EZ143" s="40"/>
      <c r="FA143" s="39"/>
      <c r="FD143" s="44">
        <v>0</v>
      </c>
      <c r="FE143" s="40"/>
      <c r="FH143" s="44">
        <v>0</v>
      </c>
      <c r="FI143" s="40"/>
      <c r="FJ143" s="39"/>
      <c r="FO143">
        <v>73</v>
      </c>
      <c r="FP143">
        <v>72</v>
      </c>
      <c r="FQ143" s="44">
        <v>1</v>
      </c>
      <c r="FR143" s="40"/>
      <c r="FW143" s="44">
        <v>0</v>
      </c>
      <c r="FX143" s="40"/>
      <c r="FY143" s="39"/>
      <c r="GA143">
        <v>12</v>
      </c>
      <c r="GB143">
        <v>12</v>
      </c>
      <c r="GC143" s="44">
        <v>0</v>
      </c>
      <c r="GD143" s="40"/>
      <c r="GE143">
        <v>48</v>
      </c>
      <c r="GF143">
        <v>50</v>
      </c>
      <c r="GG143">
        <v>48</v>
      </c>
      <c r="GH143">
        <v>50</v>
      </c>
      <c r="GI143" s="44">
        <v>-4</v>
      </c>
      <c r="GJ143" s="40"/>
      <c r="GM143" s="44">
        <v>0</v>
      </c>
      <c r="GN143" s="40"/>
      <c r="GO143" s="39"/>
      <c r="GQ143" s="44">
        <v>0</v>
      </c>
      <c r="GR143" s="40"/>
      <c r="GX143" s="44">
        <v>0</v>
      </c>
      <c r="GY143" s="40"/>
      <c r="HB143">
        <v>78</v>
      </c>
      <c r="HC143">
        <v>80</v>
      </c>
      <c r="HD143" s="44">
        <v>-2</v>
      </c>
      <c r="HE143" s="40"/>
      <c r="HF143" s="39"/>
      <c r="HH143">
        <v>30</v>
      </c>
      <c r="HI143">
        <v>30</v>
      </c>
      <c r="HJ143" s="44">
        <v>0</v>
      </c>
      <c r="HK143" s="40"/>
      <c r="HL143" s="39"/>
      <c r="HN143">
        <v>48</v>
      </c>
      <c r="HO143">
        <v>50</v>
      </c>
      <c r="HP143" s="44">
        <v>-2</v>
      </c>
      <c r="HQ143" s="40"/>
      <c r="HV143" s="44">
        <v>0</v>
      </c>
      <c r="HW143" s="43"/>
      <c r="HX143">
        <v>18</v>
      </c>
      <c r="HY143">
        <v>20</v>
      </c>
      <c r="HZ143">
        <v>18</v>
      </c>
      <c r="IA143">
        <v>20</v>
      </c>
      <c r="IB143" s="44">
        <v>-4</v>
      </c>
      <c r="IC143" s="43"/>
      <c r="IF143">
        <v>73</v>
      </c>
      <c r="IG143">
        <v>70</v>
      </c>
      <c r="IH143" s="44">
        <v>3</v>
      </c>
      <c r="II143" s="43"/>
      <c r="IL143">
        <v>60</v>
      </c>
      <c r="IM143">
        <v>60</v>
      </c>
      <c r="IN143" s="44">
        <v>0</v>
      </c>
      <c r="IO143" s="40"/>
      <c r="IP143">
        <v>48</v>
      </c>
      <c r="IQ143">
        <v>50</v>
      </c>
      <c r="IR143" s="44">
        <v>-2</v>
      </c>
      <c r="IS143" s="40"/>
      <c r="IX143" s="44">
        <v>0</v>
      </c>
      <c r="IY143" s="43"/>
      <c r="IZ143">
        <v>48</v>
      </c>
      <c r="JA143" s="47">
        <v>50</v>
      </c>
      <c r="JB143" s="44">
        <v>-2</v>
      </c>
      <c r="JC143" s="40"/>
      <c r="JF143">
        <v>48</v>
      </c>
      <c r="JG143">
        <v>50</v>
      </c>
      <c r="JH143" s="44">
        <v>-2</v>
      </c>
      <c r="JI143" s="40"/>
      <c r="JJ143">
        <v>60</v>
      </c>
      <c r="JK143">
        <v>60</v>
      </c>
      <c r="JL143">
        <v>102</v>
      </c>
      <c r="JM143">
        <v>100</v>
      </c>
      <c r="JN143" s="44">
        <v>2</v>
      </c>
      <c r="JO143" s="43"/>
      <c r="JP143">
        <v>30</v>
      </c>
      <c r="JQ143">
        <v>30</v>
      </c>
      <c r="JT143" s="44">
        <v>0</v>
      </c>
      <c r="JU143" s="43"/>
      <c r="JV143">
        <v>30</v>
      </c>
      <c r="JW143">
        <v>30</v>
      </c>
      <c r="JX143">
        <v>37</v>
      </c>
      <c r="JY143">
        <v>35</v>
      </c>
      <c r="JZ143" s="44">
        <v>2</v>
      </c>
      <c r="KA143" s="43"/>
      <c r="KB143" s="42"/>
      <c r="KG143">
        <v>42</v>
      </c>
      <c r="KH143">
        <v>43</v>
      </c>
      <c r="KI143" s="44">
        <v>-1</v>
      </c>
      <c r="KJ143" s="43"/>
      <c r="KK143" s="47">
        <v>0</v>
      </c>
      <c r="KL143" s="47">
        <v>0</v>
      </c>
      <c r="KM143" s="47">
        <v>120.42</v>
      </c>
      <c r="KN143" s="47">
        <v>122</v>
      </c>
      <c r="KO143" s="44">
        <v>-1.5799999999999981</v>
      </c>
      <c r="KP143" s="43"/>
      <c r="KQ143" s="47">
        <v>0</v>
      </c>
      <c r="KR143" s="47">
        <v>0</v>
      </c>
      <c r="KS143" s="47">
        <v>11.98</v>
      </c>
      <c r="KT143" s="47">
        <v>14</v>
      </c>
      <c r="KU143" s="44">
        <v>-2.02</v>
      </c>
      <c r="KV143" s="43"/>
      <c r="KW143" s="25">
        <v>24</v>
      </c>
      <c r="KX143" s="47">
        <v>0</v>
      </c>
      <c r="KY143" s="44">
        <v>0</v>
      </c>
      <c r="KZ143" s="43"/>
      <c r="LA143" s="22">
        <v>54.04</v>
      </c>
      <c r="LB143" s="47">
        <v>0</v>
      </c>
      <c r="LC143" s="47">
        <v>47.81</v>
      </c>
      <c r="LD143" s="47">
        <v>0</v>
      </c>
      <c r="LE143" s="44">
        <v>0</v>
      </c>
      <c r="LF143" s="43"/>
      <c r="LG143" s="42"/>
      <c r="LL143" s="43"/>
      <c r="LM143" s="42"/>
      <c r="LP143" s="43"/>
      <c r="LQ143" s="42"/>
      <c r="LV143" s="43"/>
      <c r="LW143" s="42"/>
      <c r="MB143" s="43"/>
      <c r="MC143" s="42"/>
      <c r="MH143" s="43"/>
      <c r="MI143" s="42"/>
      <c r="MN143" s="43"/>
      <c r="MO143" s="42"/>
      <c r="MT143" s="43"/>
      <c r="MU143" s="42"/>
      <c r="MZ143" s="43"/>
      <c r="NA143" s="42"/>
      <c r="NF143" s="43"/>
      <c r="NG143" s="42"/>
      <c r="NL143" s="43"/>
      <c r="NM143" s="42"/>
      <c r="NR143" s="43"/>
      <c r="NS143" s="42"/>
      <c r="NX143" s="43"/>
      <c r="NY143" s="42"/>
      <c r="OD143" s="43"/>
      <c r="OE143" s="42"/>
      <c r="OJ143" s="43"/>
      <c r="OK143" s="42"/>
      <c r="OP143" s="43"/>
      <c r="OQ143" s="42"/>
      <c r="OV143" s="43"/>
      <c r="OW143" s="42"/>
      <c r="PB143" s="43"/>
      <c r="PC143" s="42"/>
      <c r="PH143" s="43"/>
      <c r="PI143" s="42"/>
      <c r="PN143" s="43"/>
      <c r="PO143" s="42"/>
      <c r="PT143" s="43"/>
      <c r="PU143" s="42"/>
      <c r="PZ143" s="43"/>
      <c r="QA143" s="42"/>
      <c r="QD143" s="43"/>
      <c r="QE143" s="42"/>
      <c r="QH143" s="43"/>
      <c r="QI143" s="42"/>
      <c r="QL143" s="43"/>
      <c r="QM143" s="42"/>
      <c r="QR143" s="43"/>
      <c r="QS143" s="42"/>
      <c r="QV143" s="43"/>
      <c r="QW143" s="42"/>
      <c r="QY143" s="44"/>
      <c r="QZ143" s="43"/>
    </row>
    <row r="144" spans="1:468" x14ac:dyDescent="0.25">
      <c r="A144" s="47" t="s">
        <v>428</v>
      </c>
      <c r="B144" s="38">
        <v>1</v>
      </c>
      <c r="N144" s="39"/>
      <c r="O144" s="48"/>
      <c r="P144" s="48"/>
      <c r="Q144" s="48"/>
      <c r="R144" s="48">
        <f t="shared" si="16"/>
        <v>0</v>
      </c>
      <c r="S144" s="40"/>
      <c r="T144" s="39"/>
      <c r="U144" s="48"/>
      <c r="V144" s="48">
        <f t="shared" si="17"/>
        <v>0</v>
      </c>
      <c r="W144" s="40"/>
      <c r="X144" s="39"/>
      <c r="Y144" s="48"/>
      <c r="Z144" s="48"/>
      <c r="AA144" s="48"/>
      <c r="AB144" s="48">
        <f t="shared" si="18"/>
        <v>0</v>
      </c>
      <c r="AC144" s="40"/>
      <c r="AD144" s="48"/>
      <c r="AH144" s="44">
        <v>0</v>
      </c>
      <c r="AI144" s="40"/>
      <c r="AN144" s="44">
        <v>0</v>
      </c>
      <c r="AO144" s="40"/>
      <c r="AT144" s="44">
        <v>0</v>
      </c>
      <c r="AU144" s="40"/>
      <c r="AV144" s="39"/>
      <c r="AX144" s="44">
        <v>0</v>
      </c>
      <c r="AY144" s="40"/>
      <c r="AZ144" s="39"/>
      <c r="BB144" s="44">
        <v>0</v>
      </c>
      <c r="BC144" s="40"/>
      <c r="BH144" s="44">
        <v>0</v>
      </c>
      <c r="BI144" s="40"/>
      <c r="BL144" s="44">
        <v>0</v>
      </c>
      <c r="BM144" s="40"/>
      <c r="BN144" s="39"/>
      <c r="BR144" s="44">
        <v>0</v>
      </c>
      <c r="BS144" s="40"/>
      <c r="BV144" s="44">
        <v>0</v>
      </c>
      <c r="BW144" s="40"/>
      <c r="BX144" s="39"/>
      <c r="BZ144" s="44">
        <v>0</v>
      </c>
      <c r="CA144" s="40"/>
      <c r="CB144" s="39"/>
      <c r="CH144" s="44">
        <v>0</v>
      </c>
      <c r="CI144" s="40"/>
      <c r="CN144" s="44">
        <v>0</v>
      </c>
      <c r="CO144" s="40"/>
      <c r="CP144" s="39"/>
      <c r="CT144" s="44">
        <v>0</v>
      </c>
      <c r="CU144" s="40"/>
      <c r="CV144" s="39"/>
      <c r="CZ144" s="44">
        <v>0</v>
      </c>
      <c r="DA144" s="40"/>
      <c r="DB144" s="39"/>
      <c r="DF144" s="44">
        <v>0</v>
      </c>
      <c r="DG144" s="40"/>
      <c r="DN144" s="44">
        <v>0</v>
      </c>
      <c r="DO144" s="40"/>
      <c r="DP144" s="39"/>
      <c r="DR144" s="44">
        <v>0</v>
      </c>
      <c r="DS144" s="40"/>
      <c r="DT144" s="39"/>
      <c r="DX144" s="44">
        <v>0</v>
      </c>
      <c r="DY144" s="40"/>
      <c r="DZ144" s="39"/>
      <c r="EB144" s="44">
        <v>0</v>
      </c>
      <c r="EC144" s="40"/>
      <c r="EK144" s="44">
        <v>0</v>
      </c>
      <c r="EL144" s="40"/>
      <c r="ES144" s="44">
        <v>0</v>
      </c>
      <c r="ET144" s="40"/>
      <c r="EU144" s="39"/>
      <c r="EY144" s="44">
        <v>0</v>
      </c>
      <c r="EZ144" s="40"/>
      <c r="FA144" s="39"/>
      <c r="FD144" s="44">
        <v>0</v>
      </c>
      <c r="FE144" s="40"/>
      <c r="FH144" s="44">
        <v>0</v>
      </c>
      <c r="FI144" s="40"/>
      <c r="FJ144" s="39"/>
      <c r="FQ144" s="44">
        <v>0</v>
      </c>
      <c r="FR144" s="40"/>
      <c r="FW144" s="44">
        <v>0</v>
      </c>
      <c r="FX144" s="40"/>
      <c r="FY144" s="39"/>
      <c r="GC144" s="44">
        <v>0</v>
      </c>
      <c r="GD144" s="40"/>
      <c r="GI144" s="44">
        <v>0</v>
      </c>
      <c r="GJ144" s="40"/>
      <c r="GM144" s="44">
        <v>0</v>
      </c>
      <c r="GN144" s="40"/>
      <c r="GO144" s="39"/>
      <c r="GQ144" s="44">
        <v>0</v>
      </c>
      <c r="GR144" s="40"/>
      <c r="GX144" s="44">
        <v>0</v>
      </c>
      <c r="GY144" s="40"/>
      <c r="HD144" s="44">
        <v>0</v>
      </c>
      <c r="HE144" s="40"/>
      <c r="HF144" s="39"/>
      <c r="HJ144" s="44">
        <v>0</v>
      </c>
      <c r="HK144" s="40"/>
      <c r="HL144" s="39"/>
      <c r="HP144" s="44">
        <v>0</v>
      </c>
      <c r="HQ144" s="40"/>
      <c r="HV144" s="44">
        <v>0</v>
      </c>
      <c r="HW144" s="43"/>
      <c r="IB144" s="44">
        <v>0</v>
      </c>
      <c r="IC144" s="43"/>
      <c r="IH144" s="44">
        <v>0</v>
      </c>
      <c r="II144" s="43"/>
      <c r="IN144" s="44">
        <v>0</v>
      </c>
      <c r="IO144" s="40"/>
      <c r="IR144" s="44">
        <v>0</v>
      </c>
      <c r="IS144" s="40"/>
      <c r="IX144" s="44">
        <v>0</v>
      </c>
      <c r="IY144" s="43"/>
      <c r="JB144" s="44">
        <v>0</v>
      </c>
      <c r="JC144" s="40"/>
      <c r="JH144" s="44">
        <v>0</v>
      </c>
      <c r="JI144" s="40"/>
      <c r="JN144" s="44">
        <v>0</v>
      </c>
      <c r="JO144" s="43"/>
      <c r="JT144" s="44">
        <v>0</v>
      </c>
      <c r="JU144" s="43"/>
      <c r="JZ144" s="44">
        <v>0</v>
      </c>
      <c r="KA144" s="43"/>
      <c r="KB144" s="42"/>
      <c r="KI144" s="44">
        <v>0</v>
      </c>
      <c r="KJ144" s="43"/>
      <c r="KK144" s="47">
        <v>0</v>
      </c>
      <c r="KL144" s="47">
        <v>0</v>
      </c>
      <c r="KM144" s="47">
        <v>0</v>
      </c>
      <c r="KN144" s="47">
        <v>0</v>
      </c>
      <c r="KO144" s="44">
        <v>0</v>
      </c>
      <c r="KP144" s="43"/>
      <c r="KQ144" s="47">
        <v>0</v>
      </c>
      <c r="KR144" s="47">
        <v>0</v>
      </c>
      <c r="KS144" s="47">
        <v>0</v>
      </c>
      <c r="KT144" s="47">
        <v>0</v>
      </c>
      <c r="KU144" s="44">
        <v>0</v>
      </c>
      <c r="KV144" s="43"/>
      <c r="KW144" s="42">
        <v>0</v>
      </c>
      <c r="KX144" s="47">
        <v>0</v>
      </c>
      <c r="KY144" s="44">
        <v>0</v>
      </c>
      <c r="KZ144" s="43"/>
      <c r="LA144" s="42">
        <v>0</v>
      </c>
      <c r="LB144" s="47">
        <v>0</v>
      </c>
      <c r="LC144" s="47">
        <v>0</v>
      </c>
      <c r="LD144" s="47">
        <v>0</v>
      </c>
      <c r="LE144" s="44">
        <v>0</v>
      </c>
      <c r="LF144" s="43"/>
      <c r="LG144" s="42">
        <v>0</v>
      </c>
      <c r="LH144" s="47">
        <v>0</v>
      </c>
      <c r="LI144" s="47">
        <v>0</v>
      </c>
      <c r="LJ144" s="47">
        <v>0</v>
      </c>
      <c r="LK144" s="44">
        <v>0</v>
      </c>
      <c r="LL144" s="43"/>
      <c r="LM144" s="42">
        <v>0</v>
      </c>
      <c r="LN144" s="47">
        <v>0</v>
      </c>
      <c r="LO144" s="44">
        <v>0</v>
      </c>
      <c r="LP144" s="43"/>
      <c r="LQ144" s="42">
        <v>0</v>
      </c>
      <c r="LR144" s="47">
        <v>0</v>
      </c>
      <c r="LS144" s="47">
        <v>0</v>
      </c>
      <c r="LT144" s="47">
        <v>0</v>
      </c>
      <c r="LU144" s="44">
        <v>0</v>
      </c>
      <c r="LV144" s="43"/>
      <c r="LW144" s="42">
        <v>0</v>
      </c>
      <c r="LX144" s="47">
        <v>0</v>
      </c>
      <c r="LY144" s="47">
        <v>0</v>
      </c>
      <c r="LZ144" s="47">
        <v>0</v>
      </c>
      <c r="MA144" s="44">
        <v>0</v>
      </c>
      <c r="MB144" s="43"/>
      <c r="MC144" s="42">
        <v>0</v>
      </c>
      <c r="MD144" s="47">
        <v>0</v>
      </c>
      <c r="ME144" s="47">
        <v>0</v>
      </c>
      <c r="MF144" s="47">
        <v>0</v>
      </c>
      <c r="MG144" s="44">
        <v>0</v>
      </c>
      <c r="MH144" s="43"/>
      <c r="MI144" s="42">
        <v>0</v>
      </c>
      <c r="MJ144" s="47">
        <v>0</v>
      </c>
      <c r="MK144" s="47">
        <v>0</v>
      </c>
      <c r="ML144" s="47">
        <v>0</v>
      </c>
      <c r="MM144" s="44">
        <v>0</v>
      </c>
      <c r="MN144" s="43"/>
      <c r="MO144" s="42">
        <v>0</v>
      </c>
      <c r="MP144" s="47">
        <v>0</v>
      </c>
      <c r="MQ144" s="47">
        <v>0</v>
      </c>
      <c r="MR144" s="47">
        <v>0</v>
      </c>
      <c r="MS144" s="44">
        <v>0</v>
      </c>
      <c r="MT144" s="43"/>
      <c r="MU144" s="42">
        <v>0</v>
      </c>
      <c r="MV144" s="47">
        <v>0</v>
      </c>
      <c r="MW144" s="47">
        <v>0</v>
      </c>
      <c r="MX144" s="47">
        <v>0</v>
      </c>
      <c r="MY144" s="44">
        <v>0</v>
      </c>
      <c r="MZ144" s="43"/>
      <c r="NA144" s="42">
        <v>0</v>
      </c>
      <c r="NB144" s="47">
        <v>0</v>
      </c>
      <c r="NC144" s="47">
        <v>0</v>
      </c>
      <c r="ND144" s="47">
        <v>0</v>
      </c>
      <c r="NE144" s="44">
        <v>0</v>
      </c>
      <c r="NF144" s="43"/>
      <c r="NG144" s="42">
        <v>0</v>
      </c>
      <c r="NH144" s="47">
        <v>0</v>
      </c>
      <c r="NI144" s="47">
        <v>41.033999999999999</v>
      </c>
      <c r="NJ144" s="47">
        <v>40</v>
      </c>
      <c r="NK144" s="44">
        <v>1.0339999999999989</v>
      </c>
      <c r="NL144" s="43"/>
      <c r="NM144" s="42">
        <v>0</v>
      </c>
      <c r="NN144" s="47">
        <v>0</v>
      </c>
      <c r="NO144" s="47">
        <v>0</v>
      </c>
      <c r="NP144" s="47">
        <v>0</v>
      </c>
      <c r="NQ144" s="44">
        <v>0</v>
      </c>
      <c r="NR144" s="43"/>
      <c r="NS144" s="42">
        <v>0</v>
      </c>
      <c r="NT144" s="47">
        <v>0</v>
      </c>
      <c r="NU144" s="47">
        <v>0</v>
      </c>
      <c r="NV144" s="47">
        <v>0</v>
      </c>
      <c r="NW144" s="44">
        <v>0</v>
      </c>
      <c r="NX144" s="43"/>
      <c r="NY144" s="42">
        <v>0</v>
      </c>
      <c r="NZ144" s="47">
        <v>0</v>
      </c>
      <c r="OA144" s="47">
        <v>0</v>
      </c>
      <c r="OB144" s="47">
        <v>0</v>
      </c>
      <c r="OC144" s="44">
        <v>0</v>
      </c>
      <c r="OD144" s="43"/>
      <c r="OE144" s="42">
        <v>0</v>
      </c>
      <c r="OF144" s="47">
        <v>0</v>
      </c>
      <c r="OG144" s="47">
        <v>32.427999999999997</v>
      </c>
      <c r="OH144" s="47">
        <v>30</v>
      </c>
      <c r="OI144" s="44">
        <v>2.4279999999999968</v>
      </c>
      <c r="OJ144" s="43"/>
      <c r="OK144" s="42">
        <v>0</v>
      </c>
      <c r="OL144" s="47">
        <v>0</v>
      </c>
      <c r="OM144" s="47">
        <v>16.472000000000001</v>
      </c>
      <c r="ON144" s="47">
        <v>20</v>
      </c>
      <c r="OO144" s="44">
        <v>-3.5279999999999991</v>
      </c>
      <c r="OP144" s="43"/>
      <c r="OQ144" s="42">
        <v>0</v>
      </c>
      <c r="OR144" s="47">
        <v>0</v>
      </c>
      <c r="OS144" s="47">
        <v>41.747999999999998</v>
      </c>
      <c r="OT144" s="47">
        <v>40</v>
      </c>
      <c r="OU144" s="44">
        <v>1.747999999999998</v>
      </c>
      <c r="OV144" s="43"/>
      <c r="OW144" s="42">
        <v>0</v>
      </c>
      <c r="OX144" s="47">
        <v>0</v>
      </c>
      <c r="OY144" s="47">
        <v>0</v>
      </c>
      <c r="OZ144" s="47">
        <v>0</v>
      </c>
      <c r="PA144" s="47">
        <v>0</v>
      </c>
      <c r="PB144" s="43"/>
      <c r="PC144" s="42"/>
      <c r="PH144" s="43"/>
      <c r="PI144" s="42"/>
      <c r="PN144" s="43"/>
      <c r="PO144" s="42"/>
      <c r="PT144" s="43"/>
      <c r="PU144" s="42"/>
      <c r="PZ144" s="43"/>
      <c r="QA144" s="42"/>
      <c r="QD144" s="43"/>
      <c r="QE144" s="42"/>
      <c r="QH144" s="43"/>
      <c r="QI144" s="42"/>
      <c r="QL144" s="43"/>
      <c r="QM144" s="42"/>
      <c r="QR144" s="43"/>
      <c r="QS144" s="42"/>
      <c r="QV144" s="43"/>
      <c r="QW144" s="42"/>
      <c r="QY144" s="44"/>
      <c r="QZ144" s="43"/>
    </row>
    <row r="145" spans="1:468" x14ac:dyDescent="0.25">
      <c r="A145" s="47" t="s">
        <v>429</v>
      </c>
      <c r="B145" s="38">
        <v>1</v>
      </c>
      <c r="N145" s="39"/>
      <c r="O145" s="48"/>
      <c r="P145" s="48"/>
      <c r="Q145" s="48"/>
      <c r="R145" s="48">
        <f t="shared" si="16"/>
        <v>0</v>
      </c>
      <c r="S145" s="40"/>
      <c r="T145" s="39"/>
      <c r="U145" s="48"/>
      <c r="V145" s="48">
        <f t="shared" si="17"/>
        <v>0</v>
      </c>
      <c r="W145" s="40"/>
      <c r="X145" s="39"/>
      <c r="Y145" s="48"/>
      <c r="Z145" s="48"/>
      <c r="AA145" s="48"/>
      <c r="AB145" s="48">
        <f t="shared" si="18"/>
        <v>0</v>
      </c>
      <c r="AC145" s="40"/>
      <c r="AD145" s="48"/>
      <c r="AH145" s="44">
        <v>0</v>
      </c>
      <c r="AI145" s="40"/>
      <c r="AN145" s="44">
        <v>0</v>
      </c>
      <c r="AO145" s="40"/>
      <c r="AT145" s="44">
        <v>0</v>
      </c>
      <c r="AU145" s="40"/>
      <c r="AV145" s="39"/>
      <c r="AX145" s="44">
        <v>0</v>
      </c>
      <c r="AY145" s="40"/>
      <c r="AZ145" s="39"/>
      <c r="BB145" s="44">
        <v>0</v>
      </c>
      <c r="BC145" s="40"/>
      <c r="BH145" s="44">
        <v>0</v>
      </c>
      <c r="BI145" s="40"/>
      <c r="BL145" s="44">
        <v>0</v>
      </c>
      <c r="BM145" s="40"/>
      <c r="BN145" s="39"/>
      <c r="BR145" s="44">
        <v>0</v>
      </c>
      <c r="BS145" s="40"/>
      <c r="BV145" s="44">
        <v>0</v>
      </c>
      <c r="BW145" s="40"/>
      <c r="BX145" s="39"/>
      <c r="BZ145" s="44">
        <v>0</v>
      </c>
      <c r="CA145" s="40"/>
      <c r="CB145" s="39"/>
      <c r="CH145" s="44">
        <v>0</v>
      </c>
      <c r="CI145" s="40"/>
      <c r="CN145" s="44">
        <v>0</v>
      </c>
      <c r="CO145" s="40"/>
      <c r="CP145" s="39"/>
      <c r="CT145" s="44">
        <v>0</v>
      </c>
      <c r="CU145" s="40"/>
      <c r="CV145" s="39"/>
      <c r="CZ145" s="44">
        <v>0</v>
      </c>
      <c r="DA145" s="40"/>
      <c r="DB145" s="39"/>
      <c r="DF145" s="44">
        <v>0</v>
      </c>
      <c r="DG145" s="40"/>
      <c r="DN145" s="44">
        <v>0</v>
      </c>
      <c r="DO145" s="40"/>
      <c r="DP145" s="39"/>
      <c r="DR145" s="44">
        <v>0</v>
      </c>
      <c r="DS145" s="40"/>
      <c r="DT145" s="39"/>
      <c r="DX145" s="44">
        <v>0</v>
      </c>
      <c r="DY145" s="40"/>
      <c r="DZ145" s="39"/>
      <c r="EB145" s="44">
        <v>0</v>
      </c>
      <c r="EC145" s="40"/>
      <c r="EK145" s="44">
        <v>0</v>
      </c>
      <c r="EL145" s="40"/>
      <c r="EM145">
        <v>49</v>
      </c>
      <c r="EO145" s="44">
        <v>50</v>
      </c>
      <c r="EP145">
        <v>56</v>
      </c>
      <c r="ER145" s="44">
        <v>55</v>
      </c>
      <c r="ES145" s="44">
        <v>0</v>
      </c>
      <c r="ET145" s="40"/>
      <c r="EU145" s="39"/>
      <c r="EY145" s="44">
        <v>0</v>
      </c>
      <c r="EZ145" s="40"/>
      <c r="FA145" s="41">
        <v>20</v>
      </c>
      <c r="FC145" s="44">
        <v>20</v>
      </c>
      <c r="FD145" s="44">
        <v>0</v>
      </c>
      <c r="FE145" s="40"/>
      <c r="FH145" s="44">
        <v>0</v>
      </c>
      <c r="FI145" s="40"/>
      <c r="FJ145" s="39"/>
      <c r="FM145" s="44">
        <v>36</v>
      </c>
      <c r="FQ145" s="44">
        <v>36</v>
      </c>
      <c r="FR145" s="40"/>
      <c r="FX145" s="40"/>
      <c r="FY145" s="39"/>
      <c r="GD145" s="40"/>
      <c r="GJ145" s="40"/>
      <c r="GN145" s="40"/>
      <c r="GO145" s="39"/>
      <c r="GR145" s="40"/>
      <c r="GY145" s="40"/>
      <c r="HE145" s="40"/>
      <c r="HF145" s="39"/>
      <c r="HK145" s="40"/>
      <c r="HL145" s="39"/>
      <c r="HQ145" s="40"/>
      <c r="HW145" s="43"/>
      <c r="IC145" s="43"/>
      <c r="II145" s="43"/>
      <c r="IO145" s="40"/>
      <c r="IS145" s="40"/>
      <c r="IY145" s="43"/>
      <c r="JC145" s="40"/>
      <c r="JI145" s="40"/>
      <c r="JO145" s="43"/>
      <c r="JU145" s="43"/>
      <c r="KA145" s="43"/>
      <c r="KB145" s="42"/>
      <c r="KJ145" s="43"/>
      <c r="KP145" s="43"/>
      <c r="KV145" s="43"/>
      <c r="KW145" s="42"/>
      <c r="KZ145" s="43"/>
      <c r="LA145" s="42"/>
      <c r="LF145" s="43"/>
      <c r="LG145" s="42"/>
      <c r="LL145" s="43"/>
      <c r="LM145" s="42"/>
      <c r="LP145" s="43"/>
      <c r="LQ145" s="42"/>
      <c r="LV145" s="43"/>
      <c r="LW145" s="42"/>
      <c r="MB145" s="43"/>
      <c r="MC145" s="42"/>
      <c r="MH145" s="43"/>
      <c r="MI145" s="42"/>
      <c r="MN145" s="43"/>
      <c r="MO145" s="42"/>
      <c r="MT145" s="43"/>
      <c r="MU145" s="42"/>
      <c r="MZ145" s="43"/>
      <c r="NA145" s="42"/>
      <c r="NF145" s="43"/>
      <c r="NG145" s="42"/>
      <c r="NL145" s="43"/>
      <c r="NM145" s="42"/>
      <c r="NQ145" s="44"/>
      <c r="NR145" s="43"/>
      <c r="NS145" s="42"/>
      <c r="NW145" s="44"/>
      <c r="NX145" s="43"/>
      <c r="NY145" s="42"/>
      <c r="OC145" s="44"/>
      <c r="OD145" s="43"/>
      <c r="OE145" s="42"/>
      <c r="OI145" s="44"/>
      <c r="OJ145" s="43"/>
      <c r="OK145" s="42"/>
      <c r="OO145" s="44"/>
      <c r="OP145" s="43"/>
      <c r="OQ145" s="42"/>
      <c r="OU145" s="44"/>
      <c r="OV145" s="43"/>
      <c r="OW145" s="42"/>
      <c r="PB145" s="43"/>
      <c r="PC145" s="42"/>
      <c r="PH145" s="43"/>
      <c r="PI145" s="42"/>
      <c r="PN145" s="43"/>
      <c r="PO145" s="42"/>
      <c r="PT145" s="43"/>
      <c r="PU145" s="42"/>
      <c r="PZ145" s="43"/>
      <c r="QA145" s="42"/>
      <c r="QD145" s="43"/>
      <c r="QE145" s="42"/>
      <c r="QH145" s="43"/>
      <c r="QI145" s="42"/>
      <c r="QL145" s="43"/>
      <c r="QM145" s="42"/>
      <c r="QR145" s="43"/>
      <c r="QS145" s="42"/>
      <c r="QV145" s="43"/>
      <c r="QW145" s="42"/>
      <c r="QY145" s="44"/>
      <c r="QZ145" s="43"/>
    </row>
    <row r="146" spans="1:468" x14ac:dyDescent="0.25">
      <c r="A146" s="47" t="s">
        <v>430</v>
      </c>
      <c r="B146" s="38">
        <v>1</v>
      </c>
      <c r="N146" s="39"/>
      <c r="O146" s="48"/>
      <c r="P146" s="48"/>
      <c r="Q146" s="48"/>
      <c r="R146" s="48">
        <f t="shared" si="16"/>
        <v>0</v>
      </c>
      <c r="S146" s="40"/>
      <c r="T146" s="39"/>
      <c r="U146" s="48"/>
      <c r="V146" s="48">
        <f t="shared" si="17"/>
        <v>0</v>
      </c>
      <c r="W146" s="40"/>
      <c r="X146" s="39"/>
      <c r="Y146" s="48"/>
      <c r="Z146" s="48"/>
      <c r="AA146" s="48"/>
      <c r="AB146" s="48">
        <f t="shared" si="18"/>
        <v>0</v>
      </c>
      <c r="AC146" s="40"/>
      <c r="AD146" s="48"/>
      <c r="AH146" s="44">
        <v>0</v>
      </c>
      <c r="AI146" s="40"/>
      <c r="AN146" s="44">
        <v>0</v>
      </c>
      <c r="AO146" s="40"/>
      <c r="AT146" s="44">
        <v>0</v>
      </c>
      <c r="AU146" s="40"/>
      <c r="AV146" s="39"/>
      <c r="AX146" s="44">
        <v>0</v>
      </c>
      <c r="AY146" s="40"/>
      <c r="AZ146" s="39"/>
      <c r="BB146" s="44">
        <v>0</v>
      </c>
      <c r="BC146" s="40"/>
      <c r="BH146" s="44">
        <v>0</v>
      </c>
      <c r="BI146" s="40"/>
      <c r="BL146" s="44">
        <v>0</v>
      </c>
      <c r="BM146" s="40"/>
      <c r="BN146" s="39"/>
      <c r="BR146" s="44">
        <v>0</v>
      </c>
      <c r="BS146" s="40"/>
      <c r="BV146" s="44">
        <v>0</v>
      </c>
      <c r="BW146" s="40"/>
      <c r="BX146" s="39"/>
      <c r="BZ146" s="44">
        <v>0</v>
      </c>
      <c r="CA146" s="40"/>
      <c r="CB146" s="39"/>
      <c r="CH146" s="44">
        <v>0</v>
      </c>
      <c r="CI146" s="40"/>
      <c r="CN146" s="44">
        <v>0</v>
      </c>
      <c r="CO146" s="40"/>
      <c r="CP146" s="39"/>
      <c r="CT146" s="44">
        <v>0</v>
      </c>
      <c r="CU146" s="40"/>
      <c r="CV146" s="39"/>
      <c r="CZ146" s="44">
        <v>0</v>
      </c>
      <c r="DA146" s="40"/>
      <c r="DB146" s="39"/>
      <c r="DF146" s="44">
        <v>0</v>
      </c>
      <c r="DG146" s="40"/>
      <c r="DN146" s="44">
        <v>0</v>
      </c>
      <c r="DO146" s="40"/>
      <c r="DP146" s="39"/>
      <c r="DR146" s="44">
        <v>0</v>
      </c>
      <c r="DS146" s="40"/>
      <c r="DT146" s="39"/>
      <c r="DX146" s="44">
        <v>0</v>
      </c>
      <c r="DY146" s="40"/>
      <c r="DZ146" s="39"/>
      <c r="EB146" s="44">
        <v>0</v>
      </c>
      <c r="EC146" s="40"/>
      <c r="EK146" s="44">
        <v>0</v>
      </c>
      <c r="EL146" s="40"/>
      <c r="ES146" s="44">
        <v>0</v>
      </c>
      <c r="ET146" s="40"/>
      <c r="EU146" s="39"/>
      <c r="EW146">
        <v>40</v>
      </c>
      <c r="EX146">
        <v>40</v>
      </c>
      <c r="EY146" s="44">
        <v>0</v>
      </c>
      <c r="EZ146" s="40"/>
      <c r="FA146" s="39"/>
      <c r="FD146" s="44">
        <v>0</v>
      </c>
      <c r="FE146" s="40"/>
      <c r="FH146" s="44">
        <v>0</v>
      </c>
      <c r="FI146" s="40"/>
      <c r="FJ146" s="39">
        <v>53</v>
      </c>
      <c r="FK146" s="44">
        <v>52</v>
      </c>
      <c r="FQ146" s="44">
        <v>1</v>
      </c>
      <c r="FR146" s="40"/>
      <c r="FW146" s="44">
        <v>0</v>
      </c>
      <c r="FX146" s="40"/>
      <c r="FY146" s="42"/>
      <c r="GD146" s="40"/>
      <c r="GJ146" s="40"/>
      <c r="GN146" s="40"/>
      <c r="GO146" s="39"/>
      <c r="GR146" s="40"/>
      <c r="GY146" s="40"/>
      <c r="HE146" s="40"/>
      <c r="HF146" s="39"/>
      <c r="HK146" s="40"/>
      <c r="HL146" s="39"/>
      <c r="HQ146" s="40"/>
      <c r="HW146" s="43"/>
      <c r="IC146" s="43"/>
      <c r="II146" s="43"/>
      <c r="IO146" s="40"/>
      <c r="IS146" s="40"/>
      <c r="IY146" s="43"/>
      <c r="JC146" s="40"/>
      <c r="JI146" s="40"/>
      <c r="JO146" s="43"/>
      <c r="JU146" s="43"/>
      <c r="KA146" s="43"/>
      <c r="KB146" s="42"/>
      <c r="KJ146" s="43"/>
      <c r="KP146" s="43"/>
      <c r="KV146" s="43"/>
      <c r="KW146" s="42"/>
      <c r="KZ146" s="43"/>
      <c r="LA146" s="42"/>
      <c r="LF146" s="43"/>
      <c r="LG146" s="42"/>
      <c r="LL146" s="43"/>
      <c r="LM146" s="42"/>
      <c r="LP146" s="43"/>
      <c r="LQ146" s="42"/>
      <c r="LV146" s="43"/>
      <c r="LW146" s="42"/>
      <c r="MB146" s="43"/>
      <c r="MC146" s="42"/>
      <c r="MH146" s="43"/>
      <c r="MI146" s="42"/>
      <c r="MN146" s="43"/>
      <c r="MO146" s="42"/>
      <c r="MT146" s="43"/>
      <c r="MU146" s="42"/>
      <c r="MZ146" s="43"/>
      <c r="NA146" s="42"/>
      <c r="NF146" s="43"/>
      <c r="NG146" s="42"/>
      <c r="NL146" s="43"/>
      <c r="NM146" s="42"/>
      <c r="NR146" s="43"/>
      <c r="NS146" s="42"/>
      <c r="NW146" s="44"/>
      <c r="NX146" s="43"/>
      <c r="NY146" s="42"/>
      <c r="OC146" s="44"/>
      <c r="OD146" s="43"/>
      <c r="OE146" s="42"/>
      <c r="OI146" s="44"/>
      <c r="OJ146" s="43"/>
      <c r="OK146" s="42"/>
      <c r="OO146" s="44"/>
      <c r="OP146" s="43"/>
      <c r="OQ146" s="42"/>
      <c r="OU146" s="44"/>
      <c r="OV146" s="43"/>
      <c r="OW146" s="42"/>
      <c r="PB146" s="43"/>
      <c r="PC146" s="42"/>
      <c r="PH146" s="43"/>
      <c r="PI146" s="42"/>
      <c r="PN146" s="43"/>
      <c r="PO146" s="42"/>
      <c r="PT146" s="43"/>
      <c r="PU146" s="42"/>
      <c r="PZ146" s="43"/>
      <c r="QA146" s="42"/>
      <c r="QD146" s="43"/>
      <c r="QE146" s="42"/>
      <c r="QH146" s="43"/>
      <c r="QI146" s="42"/>
      <c r="QL146" s="43"/>
      <c r="QM146" s="42"/>
      <c r="QR146" s="43"/>
      <c r="QS146" s="42"/>
      <c r="QV146" s="43"/>
      <c r="QW146" s="42"/>
      <c r="QY146" s="44"/>
      <c r="QZ146" s="43"/>
    </row>
    <row r="147" spans="1:468" x14ac:dyDescent="0.25">
      <c r="A147" s="47" t="s">
        <v>431</v>
      </c>
      <c r="B147" s="38">
        <v>1</v>
      </c>
      <c r="N147" s="39"/>
      <c r="O147" s="48"/>
      <c r="P147" s="48"/>
      <c r="Q147" s="48"/>
      <c r="R147" s="48">
        <f t="shared" si="16"/>
        <v>0</v>
      </c>
      <c r="S147" s="40"/>
      <c r="T147" s="39"/>
      <c r="U147" s="48"/>
      <c r="V147" s="48">
        <f t="shared" si="17"/>
        <v>0</v>
      </c>
      <c r="W147" s="40"/>
      <c r="X147" s="39"/>
      <c r="Y147" s="48"/>
      <c r="Z147" s="48"/>
      <c r="AA147" s="48"/>
      <c r="AB147" s="48">
        <f t="shared" si="18"/>
        <v>0</v>
      </c>
      <c r="AC147" s="40"/>
      <c r="AD147" s="48"/>
      <c r="AH147" s="44">
        <v>0</v>
      </c>
      <c r="AI147" s="40"/>
      <c r="AN147" s="44">
        <v>0</v>
      </c>
      <c r="AO147" s="40"/>
      <c r="AT147" s="44">
        <v>0</v>
      </c>
      <c r="AU147" s="40"/>
      <c r="AV147" s="39"/>
      <c r="AX147" s="44">
        <v>0</v>
      </c>
      <c r="AY147" s="40"/>
      <c r="AZ147" s="39"/>
      <c r="BB147" s="44">
        <v>0</v>
      </c>
      <c r="BC147" s="40"/>
      <c r="BH147" s="44">
        <v>0</v>
      </c>
      <c r="BI147" s="40"/>
      <c r="BL147" s="44">
        <v>0</v>
      </c>
      <c r="BM147" s="40"/>
      <c r="BN147" s="39"/>
      <c r="BR147" s="44">
        <v>0</v>
      </c>
      <c r="BS147" s="40"/>
      <c r="BV147" s="44">
        <v>0</v>
      </c>
      <c r="BW147" s="40"/>
      <c r="BX147" s="39"/>
      <c r="BZ147" s="44">
        <v>0</v>
      </c>
      <c r="CA147" s="40"/>
      <c r="CB147" s="39"/>
      <c r="CH147" s="44">
        <v>0</v>
      </c>
      <c r="CI147" s="40"/>
      <c r="CN147" s="44">
        <v>0</v>
      </c>
      <c r="CO147" s="40"/>
      <c r="CP147" s="39"/>
      <c r="CT147" s="44">
        <v>0</v>
      </c>
      <c r="CU147" s="40"/>
      <c r="CV147" s="39"/>
      <c r="CZ147" s="44">
        <v>0</v>
      </c>
      <c r="DA147" s="40"/>
      <c r="DB147" s="39"/>
      <c r="DF147" s="44">
        <v>0</v>
      </c>
      <c r="DG147" s="40"/>
      <c r="DN147" s="44">
        <v>0</v>
      </c>
      <c r="DO147" s="40"/>
      <c r="DP147" s="39"/>
      <c r="DR147" s="44">
        <v>0</v>
      </c>
      <c r="DS147" s="40"/>
      <c r="DT147" s="39"/>
      <c r="DX147" s="44">
        <v>0</v>
      </c>
      <c r="DY147" s="40"/>
      <c r="DZ147" s="39"/>
      <c r="EB147" s="44">
        <v>0</v>
      </c>
      <c r="EC147" s="40"/>
      <c r="EK147" s="44">
        <v>0</v>
      </c>
      <c r="EL147" s="40"/>
      <c r="EO147">
        <v>10</v>
      </c>
      <c r="ER147">
        <v>30</v>
      </c>
      <c r="ES147" s="46">
        <v>-40</v>
      </c>
      <c r="ET147" s="40">
        <v>40</v>
      </c>
      <c r="EU147" s="39"/>
      <c r="EY147" s="44">
        <v>0</v>
      </c>
      <c r="EZ147" s="40"/>
      <c r="FA147" s="39"/>
      <c r="FD147" s="44">
        <v>0</v>
      </c>
      <c r="FE147" s="40"/>
      <c r="FH147" s="44">
        <v>0</v>
      </c>
      <c r="FI147" s="40"/>
      <c r="FJ147" s="39">
        <v>52</v>
      </c>
      <c r="FK147" s="44">
        <v>52</v>
      </c>
      <c r="FQ147" s="44">
        <v>0</v>
      </c>
      <c r="FR147" s="40"/>
      <c r="FW147" s="44">
        <v>0</v>
      </c>
      <c r="FX147" s="40"/>
      <c r="FY147" s="42"/>
      <c r="GD147" s="40"/>
      <c r="GJ147" s="40"/>
      <c r="GN147" s="40"/>
      <c r="GO147" s="39"/>
      <c r="GR147" s="40"/>
      <c r="GY147" s="40"/>
      <c r="HE147" s="40"/>
      <c r="HF147" s="39"/>
      <c r="HK147" s="40"/>
      <c r="HL147" s="39"/>
      <c r="HQ147" s="40"/>
      <c r="HW147" s="43"/>
      <c r="IC147" s="43"/>
      <c r="II147" s="43"/>
      <c r="IO147" s="40"/>
      <c r="IS147" s="40"/>
      <c r="IY147" s="43"/>
      <c r="JC147" s="40"/>
      <c r="JI147" s="40"/>
      <c r="JO147" s="43"/>
      <c r="JU147" s="43"/>
      <c r="KA147" s="43"/>
      <c r="KB147" s="42"/>
      <c r="KJ147" s="43"/>
      <c r="KP147" s="43"/>
      <c r="KV147" s="43"/>
      <c r="KW147" s="42"/>
      <c r="KZ147" s="43"/>
      <c r="LA147" s="42"/>
      <c r="LF147" s="43"/>
      <c r="LG147" s="42"/>
      <c r="LL147" s="43"/>
      <c r="LM147" s="42"/>
      <c r="LP147" s="43"/>
      <c r="LQ147" s="42"/>
      <c r="LV147" s="43"/>
      <c r="LW147" s="42"/>
      <c r="MB147" s="43"/>
      <c r="MC147" s="42"/>
      <c r="MH147" s="43"/>
      <c r="MI147" s="42"/>
      <c r="MN147" s="43"/>
      <c r="MO147" s="42"/>
      <c r="MT147" s="43"/>
      <c r="MU147" s="42"/>
      <c r="MZ147" s="43"/>
      <c r="NA147" s="42"/>
      <c r="NF147" s="43"/>
      <c r="NG147" s="42"/>
      <c r="NL147" s="43"/>
      <c r="NM147" s="42"/>
      <c r="NR147" s="43"/>
      <c r="NS147" s="42"/>
      <c r="NW147" s="44"/>
      <c r="NX147" s="43"/>
      <c r="NY147" s="42"/>
      <c r="OC147" s="44"/>
      <c r="OD147" s="43"/>
      <c r="OE147" s="42"/>
      <c r="OI147" s="44"/>
      <c r="OJ147" s="43"/>
      <c r="OK147" s="42"/>
      <c r="OO147" s="44"/>
      <c r="OP147" s="43"/>
      <c r="OQ147" s="42"/>
      <c r="OU147" s="44"/>
      <c r="OV147" s="43"/>
      <c r="OW147" s="42"/>
      <c r="PB147" s="43"/>
      <c r="PC147" s="42"/>
      <c r="PH147" s="43"/>
      <c r="PI147" s="42"/>
      <c r="PN147" s="43"/>
      <c r="PO147" s="42"/>
      <c r="PT147" s="43"/>
      <c r="PU147" s="42"/>
      <c r="PZ147" s="43"/>
      <c r="QA147" s="42"/>
      <c r="QD147" s="43"/>
      <c r="QE147" s="42"/>
      <c r="QH147" s="43"/>
      <c r="QI147" s="42"/>
      <c r="QL147" s="43"/>
      <c r="QM147" s="42"/>
      <c r="QR147" s="43"/>
      <c r="QS147" s="42"/>
      <c r="QV147" s="43"/>
      <c r="QW147" s="42"/>
      <c r="QY147" s="44"/>
      <c r="QZ147" s="43"/>
    </row>
    <row r="148" spans="1:468" x14ac:dyDescent="0.25">
      <c r="A148" s="47" t="s">
        <v>432</v>
      </c>
      <c r="B148" s="38">
        <v>0.4</v>
      </c>
      <c r="N148" s="39"/>
      <c r="O148" s="48"/>
      <c r="P148" s="48"/>
      <c r="Q148" s="48"/>
      <c r="R148" s="48">
        <f t="shared" si="16"/>
        <v>0</v>
      </c>
      <c r="S148" s="40"/>
      <c r="T148" s="39"/>
      <c r="U148" s="48"/>
      <c r="V148" s="48">
        <f t="shared" si="17"/>
        <v>0</v>
      </c>
      <c r="W148" s="40"/>
      <c r="X148" s="39"/>
      <c r="Y148" s="48"/>
      <c r="Z148" s="48"/>
      <c r="AA148" s="48"/>
      <c r="AB148" s="48">
        <f t="shared" si="18"/>
        <v>0</v>
      </c>
      <c r="AC148" s="40"/>
      <c r="AD148" s="48"/>
      <c r="AH148" s="44">
        <v>0</v>
      </c>
      <c r="AI148" s="40"/>
      <c r="AN148" s="44">
        <v>0</v>
      </c>
      <c r="AO148" s="40"/>
      <c r="AT148" s="44">
        <v>0</v>
      </c>
      <c r="AU148" s="40"/>
      <c r="AV148" s="39"/>
      <c r="AX148" s="44">
        <v>0</v>
      </c>
      <c r="AY148" s="40"/>
      <c r="AZ148" s="39"/>
      <c r="BB148" s="44">
        <v>0</v>
      </c>
      <c r="BC148" s="40"/>
      <c r="BH148" s="44">
        <v>0</v>
      </c>
      <c r="BI148" s="40"/>
      <c r="BL148" s="44">
        <v>0</v>
      </c>
      <c r="BM148" s="40"/>
      <c r="BN148" s="39"/>
      <c r="BR148" s="44">
        <v>0</v>
      </c>
      <c r="BS148" s="40"/>
      <c r="BV148" s="44">
        <v>0</v>
      </c>
      <c r="BW148" s="40"/>
      <c r="BX148" s="39"/>
      <c r="BZ148" s="44">
        <v>0</v>
      </c>
      <c r="CA148" s="40"/>
      <c r="CB148" s="39"/>
      <c r="CH148" s="44">
        <v>0</v>
      </c>
      <c r="CI148" s="40"/>
      <c r="CM148">
        <v>8</v>
      </c>
      <c r="CN148" s="46">
        <v>-8</v>
      </c>
      <c r="CO148" s="40">
        <v>3.2</v>
      </c>
      <c r="CP148" s="39"/>
      <c r="CS148">
        <v>8</v>
      </c>
      <c r="CT148" s="46">
        <v>-8</v>
      </c>
      <c r="CU148" s="40">
        <v>3.2</v>
      </c>
      <c r="CV148" s="39"/>
      <c r="CY148">
        <v>8</v>
      </c>
      <c r="CZ148" s="46">
        <v>-8</v>
      </c>
      <c r="DA148" s="40">
        <v>3.2</v>
      </c>
      <c r="DB148" s="39"/>
      <c r="DE148">
        <v>8</v>
      </c>
      <c r="DF148" s="46">
        <v>-8</v>
      </c>
      <c r="DG148" s="40">
        <v>3.2</v>
      </c>
      <c r="DK148">
        <v>8</v>
      </c>
      <c r="DN148" s="46">
        <v>-8</v>
      </c>
      <c r="DO148" s="40">
        <v>3.2</v>
      </c>
      <c r="DP148" s="39"/>
      <c r="DQ148">
        <v>8</v>
      </c>
      <c r="DR148" s="46">
        <v>-8</v>
      </c>
      <c r="DS148" s="40">
        <v>3.2</v>
      </c>
      <c r="DT148" s="39"/>
      <c r="DW148">
        <v>8</v>
      </c>
      <c r="DX148" s="46">
        <v>-8</v>
      </c>
      <c r="DY148" s="40">
        <v>3.2</v>
      </c>
      <c r="DZ148" s="39"/>
      <c r="EA148">
        <v>8</v>
      </c>
      <c r="EB148" s="46">
        <v>-8</v>
      </c>
      <c r="EC148" s="40">
        <v>3.2</v>
      </c>
      <c r="EJ148">
        <v>8</v>
      </c>
      <c r="EK148" s="46">
        <v>-8</v>
      </c>
      <c r="EL148" s="40">
        <v>3.2</v>
      </c>
      <c r="ER148">
        <v>8</v>
      </c>
      <c r="ES148" s="46">
        <v>-8</v>
      </c>
      <c r="ET148" s="40">
        <v>3.2</v>
      </c>
      <c r="EU148" s="39"/>
      <c r="EY148" s="44">
        <v>0</v>
      </c>
      <c r="EZ148" s="40"/>
      <c r="FA148" s="39"/>
      <c r="FC148">
        <v>16</v>
      </c>
      <c r="FD148" s="46">
        <v>-16</v>
      </c>
      <c r="FE148" s="40">
        <v>6.4</v>
      </c>
      <c r="FH148" s="44">
        <v>0</v>
      </c>
      <c r="FI148" s="40"/>
      <c r="FJ148" s="39"/>
      <c r="FP148">
        <v>8</v>
      </c>
      <c r="FQ148" s="46">
        <v>-8</v>
      </c>
      <c r="FR148" s="40">
        <v>3.2</v>
      </c>
      <c r="FW148" s="44">
        <v>0</v>
      </c>
      <c r="FX148" s="40"/>
      <c r="FY148" s="39"/>
      <c r="GB148" s="44">
        <v>17</v>
      </c>
      <c r="GC148" s="46">
        <v>-17</v>
      </c>
      <c r="GD148" s="43">
        <v>6.8000000000000007</v>
      </c>
      <c r="GI148" s="44">
        <v>0</v>
      </c>
      <c r="GJ148" s="40"/>
      <c r="GM148" s="44">
        <v>0</v>
      </c>
      <c r="GN148" s="40"/>
      <c r="GO148" s="39"/>
      <c r="GQ148" s="44">
        <v>0</v>
      </c>
      <c r="GR148" s="40"/>
      <c r="GV148">
        <v>32</v>
      </c>
      <c r="GW148" s="44">
        <v>32</v>
      </c>
      <c r="GX148" s="44">
        <v>0</v>
      </c>
      <c r="GY148" s="40"/>
      <c r="HD148" s="44">
        <v>0</v>
      </c>
      <c r="HE148" s="43"/>
      <c r="HF148" s="39"/>
      <c r="HJ148" s="44">
        <v>0</v>
      </c>
      <c r="HK148" s="40"/>
      <c r="HL148" s="39"/>
      <c r="HQ148" s="40"/>
      <c r="HW148" s="43"/>
      <c r="IC148" s="43"/>
      <c r="II148" s="43"/>
      <c r="IO148" s="40"/>
      <c r="IS148" s="40"/>
      <c r="IY148" s="43"/>
      <c r="JC148" s="40"/>
      <c r="JI148" s="40"/>
      <c r="JO148" s="43"/>
      <c r="JU148" s="43"/>
      <c r="KA148" s="43"/>
      <c r="KB148" s="42"/>
      <c r="KJ148" s="43"/>
      <c r="KP148" s="43"/>
      <c r="KV148" s="43"/>
      <c r="KW148" s="42"/>
      <c r="KZ148" s="43"/>
      <c r="LA148" s="42"/>
      <c r="LF148" s="43"/>
      <c r="LG148" s="42"/>
      <c r="LL148" s="43"/>
      <c r="LM148" s="42"/>
      <c r="LP148" s="43"/>
      <c r="LQ148" s="42"/>
      <c r="LV148" s="43"/>
      <c r="LW148" s="42"/>
      <c r="MB148" s="43"/>
      <c r="MC148" s="42"/>
      <c r="MH148" s="43"/>
      <c r="MI148" s="42"/>
      <c r="MN148" s="43"/>
      <c r="MO148" s="42"/>
      <c r="MT148" s="43"/>
      <c r="MU148" s="42"/>
      <c r="MZ148" s="43"/>
      <c r="NA148" s="42"/>
      <c r="NF148" s="43"/>
      <c r="NG148" s="42"/>
      <c r="NL148" s="43"/>
      <c r="NM148" s="42"/>
      <c r="NR148" s="43"/>
      <c r="NS148" s="42"/>
      <c r="NX148" s="43"/>
      <c r="NY148" s="42"/>
      <c r="OD148" s="43"/>
      <c r="OE148" s="42"/>
      <c r="OJ148" s="43"/>
      <c r="OK148" s="42"/>
      <c r="OP148" s="43"/>
      <c r="OQ148" s="42"/>
      <c r="OU148" s="44"/>
      <c r="OV148" s="43"/>
      <c r="OW148" s="42"/>
      <c r="PB148" s="43"/>
      <c r="PC148" s="42"/>
      <c r="PH148" s="43"/>
      <c r="PI148" s="42"/>
      <c r="PN148" s="43"/>
      <c r="PO148" s="42"/>
      <c r="PT148" s="43"/>
      <c r="PU148" s="42"/>
      <c r="PZ148" s="43"/>
      <c r="QA148" s="42"/>
      <c r="QD148" s="43"/>
      <c r="QE148" s="42"/>
      <c r="QH148" s="43"/>
      <c r="QI148" s="42"/>
      <c r="QL148" s="43"/>
      <c r="QM148" s="42"/>
      <c r="QR148" s="43"/>
      <c r="QS148" s="42"/>
      <c r="QV148" s="43"/>
      <c r="QW148" s="42"/>
      <c r="QY148" s="44"/>
      <c r="QZ148" s="43"/>
    </row>
    <row r="149" spans="1:468" x14ac:dyDescent="0.25">
      <c r="A149" s="47" t="s">
        <v>433</v>
      </c>
      <c r="B149" s="38">
        <v>0.41</v>
      </c>
      <c r="N149" s="39"/>
      <c r="O149" s="48"/>
      <c r="P149" s="48"/>
      <c r="Q149" s="48"/>
      <c r="R149" s="48">
        <f t="shared" si="16"/>
        <v>0</v>
      </c>
      <c r="S149" s="40"/>
      <c r="T149" s="39"/>
      <c r="U149" s="48"/>
      <c r="V149" s="48">
        <f t="shared" si="17"/>
        <v>0</v>
      </c>
      <c r="W149" s="40"/>
      <c r="X149" s="39"/>
      <c r="Y149" s="48"/>
      <c r="Z149" s="48"/>
      <c r="AA149" s="48"/>
      <c r="AB149" s="48">
        <f t="shared" si="18"/>
        <v>0</v>
      </c>
      <c r="AC149" s="40"/>
      <c r="AD149" s="48"/>
      <c r="AH149" s="44">
        <v>0</v>
      </c>
      <c r="AI149" s="40"/>
      <c r="AN149" s="44">
        <v>0</v>
      </c>
      <c r="AO149" s="40"/>
      <c r="AT149" s="44">
        <v>0</v>
      </c>
      <c r="AU149" s="40"/>
      <c r="AV149" s="39"/>
      <c r="AX149" s="44">
        <v>0</v>
      </c>
      <c r="AY149" s="40"/>
      <c r="AZ149" s="39"/>
      <c r="BB149" s="44">
        <v>0</v>
      </c>
      <c r="BC149" s="40"/>
      <c r="BH149" s="44">
        <v>0</v>
      </c>
      <c r="BI149" s="40"/>
      <c r="BL149" s="44">
        <v>0</v>
      </c>
      <c r="BM149" s="40"/>
      <c r="BN149" s="39"/>
      <c r="BR149" s="44">
        <v>0</v>
      </c>
      <c r="BS149" s="40"/>
      <c r="BV149" s="44">
        <v>0</v>
      </c>
      <c r="BW149" s="40"/>
      <c r="BX149" s="39"/>
      <c r="BZ149" s="44">
        <v>0</v>
      </c>
      <c r="CA149" s="40"/>
      <c r="CB149" s="39"/>
      <c r="CH149" s="44">
        <v>0</v>
      </c>
      <c r="CI149" s="40"/>
      <c r="CN149" s="44">
        <v>0</v>
      </c>
      <c r="CO149" s="40"/>
      <c r="CP149" s="39"/>
      <c r="CT149" s="44">
        <v>0</v>
      </c>
      <c r="CU149" s="40"/>
      <c r="CV149" s="39"/>
      <c r="CZ149" s="44">
        <v>0</v>
      </c>
      <c r="DA149" s="40"/>
      <c r="DB149" s="39"/>
      <c r="DF149" s="44">
        <v>0</v>
      </c>
      <c r="DG149" s="40"/>
      <c r="DN149" s="44">
        <v>0</v>
      </c>
      <c r="DO149" s="40"/>
      <c r="DP149" s="39"/>
      <c r="DR149" s="44">
        <v>0</v>
      </c>
      <c r="DS149" s="40"/>
      <c r="DT149" s="39"/>
      <c r="DX149" s="44">
        <v>0</v>
      </c>
      <c r="DY149" s="40"/>
      <c r="DZ149" s="39"/>
      <c r="EB149" s="44">
        <v>0</v>
      </c>
      <c r="EC149" s="40"/>
      <c r="EK149" s="44">
        <v>0</v>
      </c>
      <c r="EL149" s="40"/>
      <c r="ES149" s="44">
        <v>0</v>
      </c>
      <c r="ET149" s="40"/>
      <c r="EU149" s="39"/>
      <c r="EY149" s="44">
        <v>0</v>
      </c>
      <c r="EZ149" s="40"/>
      <c r="FA149" s="39"/>
      <c r="FD149" s="44">
        <v>0</v>
      </c>
      <c r="FE149" s="40"/>
      <c r="FH149" s="44">
        <v>0</v>
      </c>
      <c r="FI149" s="40"/>
      <c r="FJ149" s="39"/>
      <c r="FQ149" s="44">
        <v>0</v>
      </c>
      <c r="FR149" s="40"/>
      <c r="FW149" s="44">
        <v>0</v>
      </c>
      <c r="FX149" s="40"/>
      <c r="FY149" s="39"/>
      <c r="GC149" s="44">
        <v>0</v>
      </c>
      <c r="GD149" s="40"/>
      <c r="GI149" s="44">
        <v>0</v>
      </c>
      <c r="GJ149" s="40"/>
      <c r="GM149" s="44">
        <v>0</v>
      </c>
      <c r="GN149" s="40"/>
      <c r="GO149" s="39"/>
      <c r="GQ149" s="44">
        <v>0</v>
      </c>
      <c r="GR149" s="40"/>
      <c r="GX149" s="44">
        <v>0</v>
      </c>
      <c r="GY149" s="40"/>
      <c r="HD149" s="44">
        <v>0</v>
      </c>
      <c r="HE149" s="40"/>
      <c r="HF149" s="39"/>
      <c r="HJ149" s="44">
        <v>0</v>
      </c>
      <c r="HK149" s="40"/>
      <c r="HL149" s="39"/>
      <c r="HP149" s="44">
        <v>0</v>
      </c>
      <c r="HQ149" s="40"/>
      <c r="HV149" s="44">
        <v>0</v>
      </c>
      <c r="HW149" s="43"/>
      <c r="IB149" s="44">
        <v>0</v>
      </c>
      <c r="IC149" s="43"/>
      <c r="IH149" s="44">
        <v>0</v>
      </c>
      <c r="II149" s="43"/>
      <c r="IN149" s="44">
        <v>0</v>
      </c>
      <c r="IO149" s="40"/>
      <c r="IR149" s="44">
        <v>0</v>
      </c>
      <c r="IS149" s="40"/>
      <c r="IX149" s="44">
        <v>0</v>
      </c>
      <c r="IY149" s="43"/>
      <c r="JB149" s="44">
        <v>0</v>
      </c>
      <c r="JC149" s="40"/>
      <c r="JH149" s="44">
        <v>0</v>
      </c>
      <c r="JI149" s="40"/>
      <c r="JN149" s="44">
        <v>0</v>
      </c>
      <c r="JO149" s="43"/>
      <c r="JT149" s="44">
        <v>0</v>
      </c>
      <c r="JU149" s="43"/>
      <c r="JZ149" s="44">
        <v>0</v>
      </c>
      <c r="KA149" s="43"/>
      <c r="KB149" s="42"/>
      <c r="KI149" s="44">
        <v>0</v>
      </c>
      <c r="KJ149" s="43"/>
      <c r="KK149" s="47">
        <v>0</v>
      </c>
      <c r="KL149" s="47">
        <v>0</v>
      </c>
      <c r="KM149" s="47">
        <v>0</v>
      </c>
      <c r="KN149" s="47">
        <v>0</v>
      </c>
      <c r="KO149" s="44">
        <v>0</v>
      </c>
      <c r="KP149" s="43"/>
      <c r="KQ149" s="47">
        <v>0</v>
      </c>
      <c r="KR149" s="47">
        <v>0</v>
      </c>
      <c r="KS149" s="47">
        <v>0</v>
      </c>
      <c r="KT149" s="47">
        <v>0</v>
      </c>
      <c r="KU149" s="44">
        <v>0</v>
      </c>
      <c r="KV149" s="43"/>
      <c r="KW149" s="42">
        <v>0</v>
      </c>
      <c r="KX149" s="47">
        <v>0</v>
      </c>
      <c r="KY149" s="44">
        <v>0</v>
      </c>
      <c r="KZ149" s="43"/>
      <c r="LA149" s="42">
        <v>0</v>
      </c>
      <c r="LB149" s="47">
        <v>0</v>
      </c>
      <c r="LC149" s="47">
        <v>0</v>
      </c>
      <c r="LD149" s="47">
        <v>0</v>
      </c>
      <c r="LE149" s="44">
        <v>0</v>
      </c>
      <c r="LF149" s="43"/>
      <c r="LG149" s="42">
        <v>0</v>
      </c>
      <c r="LH149" s="47">
        <v>0</v>
      </c>
      <c r="LI149" s="47">
        <v>0</v>
      </c>
      <c r="LJ149" s="47">
        <v>0</v>
      </c>
      <c r="LK149" s="44">
        <v>0</v>
      </c>
      <c r="LL149" s="43"/>
      <c r="LM149" s="42">
        <v>0</v>
      </c>
      <c r="LN149" s="47">
        <v>0</v>
      </c>
      <c r="LO149" s="44">
        <v>0</v>
      </c>
      <c r="LP149" s="43"/>
      <c r="LQ149" s="42">
        <v>0</v>
      </c>
      <c r="LR149" s="47">
        <v>0</v>
      </c>
      <c r="LS149" s="47">
        <v>0</v>
      </c>
      <c r="LT149" s="47">
        <v>0</v>
      </c>
      <c r="LU149" s="44">
        <v>0</v>
      </c>
      <c r="LV149" s="43"/>
      <c r="LW149" s="42">
        <v>0</v>
      </c>
      <c r="LX149" s="47">
        <v>0</v>
      </c>
      <c r="LY149" s="47">
        <v>0</v>
      </c>
      <c r="LZ149" s="47">
        <v>0</v>
      </c>
      <c r="MA149" s="44">
        <v>0</v>
      </c>
      <c r="MB149" s="43"/>
      <c r="MC149" s="42">
        <v>0</v>
      </c>
      <c r="MD149" s="47">
        <v>0</v>
      </c>
      <c r="ME149" s="47">
        <v>0</v>
      </c>
      <c r="MF149" s="47">
        <v>0</v>
      </c>
      <c r="MG149" s="44">
        <v>0</v>
      </c>
      <c r="MH149" s="43"/>
      <c r="MI149" s="42">
        <v>0</v>
      </c>
      <c r="MJ149" s="47">
        <v>0</v>
      </c>
      <c r="MK149" s="47">
        <v>0</v>
      </c>
      <c r="ML149" s="47">
        <v>0</v>
      </c>
      <c r="MM149" s="44">
        <v>0</v>
      </c>
      <c r="MN149" s="43"/>
      <c r="MO149" s="42">
        <v>0</v>
      </c>
      <c r="MP149" s="47">
        <v>0</v>
      </c>
      <c r="MQ149" s="47">
        <v>0</v>
      </c>
      <c r="MR149" s="47">
        <v>0</v>
      </c>
      <c r="MS149" s="44">
        <v>0</v>
      </c>
      <c r="MT149" s="43"/>
      <c r="MU149" s="42">
        <v>0</v>
      </c>
      <c r="MV149" s="47">
        <v>0</v>
      </c>
      <c r="MW149" s="47">
        <v>0</v>
      </c>
      <c r="MX149" s="47">
        <v>0</v>
      </c>
      <c r="MY149" s="44">
        <v>0</v>
      </c>
      <c r="MZ149" s="43"/>
      <c r="NA149" s="42">
        <v>0</v>
      </c>
      <c r="NB149" s="47">
        <v>0</v>
      </c>
      <c r="NC149" s="47">
        <v>0</v>
      </c>
      <c r="ND149" s="47">
        <v>0</v>
      </c>
      <c r="NE149" s="44">
        <v>0</v>
      </c>
      <c r="NF149" s="43"/>
      <c r="NG149" s="42">
        <v>0</v>
      </c>
      <c r="NH149" s="47">
        <v>0</v>
      </c>
      <c r="NI149" s="47">
        <v>0</v>
      </c>
      <c r="NJ149" s="47">
        <v>0</v>
      </c>
      <c r="NK149" s="44">
        <v>0</v>
      </c>
      <c r="NL149" s="43"/>
      <c r="NM149" s="42">
        <v>0</v>
      </c>
      <c r="NN149" s="47">
        <v>0</v>
      </c>
      <c r="NO149" s="47">
        <v>0</v>
      </c>
      <c r="NP149" s="47">
        <v>0</v>
      </c>
      <c r="NQ149" s="44">
        <v>0</v>
      </c>
      <c r="NR149" s="43"/>
      <c r="NS149" s="42">
        <v>0</v>
      </c>
      <c r="NT149" s="47">
        <v>0</v>
      </c>
      <c r="NU149" s="47">
        <v>0</v>
      </c>
      <c r="NV149" s="47">
        <v>0</v>
      </c>
      <c r="NW149" s="44">
        <v>0</v>
      </c>
      <c r="NX149" s="43"/>
      <c r="NY149" s="42">
        <v>0</v>
      </c>
      <c r="NZ149" s="47">
        <v>0</v>
      </c>
      <c r="OA149" s="47">
        <v>0</v>
      </c>
      <c r="OB149" s="47">
        <v>0</v>
      </c>
      <c r="OC149" s="44">
        <v>0</v>
      </c>
      <c r="OD149" s="43"/>
      <c r="OE149" s="42">
        <v>0</v>
      </c>
      <c r="OF149" s="47">
        <v>0</v>
      </c>
      <c r="OG149" s="47">
        <v>0</v>
      </c>
      <c r="OH149" s="47">
        <v>0</v>
      </c>
      <c r="OI149" s="44">
        <v>0</v>
      </c>
      <c r="OJ149" s="43"/>
      <c r="OK149" s="42">
        <v>0</v>
      </c>
      <c r="OL149" s="47">
        <v>0</v>
      </c>
      <c r="OM149" s="47">
        <v>0</v>
      </c>
      <c r="ON149" s="47">
        <v>0</v>
      </c>
      <c r="OO149" s="44">
        <v>0</v>
      </c>
      <c r="OP149" s="43"/>
      <c r="OQ149" s="13">
        <v>160</v>
      </c>
      <c r="OR149" s="47">
        <v>0</v>
      </c>
      <c r="OS149" s="12">
        <v>90</v>
      </c>
      <c r="OT149" s="47">
        <v>0</v>
      </c>
      <c r="OU149" s="44">
        <v>0</v>
      </c>
      <c r="OV149" s="43"/>
      <c r="OW149" s="42">
        <v>10</v>
      </c>
      <c r="OX149" s="47">
        <v>0</v>
      </c>
      <c r="OY149" s="47">
        <v>0</v>
      </c>
      <c r="OZ149" s="47">
        <v>0</v>
      </c>
      <c r="PA149" s="44">
        <v>10</v>
      </c>
      <c r="PB149" s="43"/>
      <c r="PC149" s="42"/>
      <c r="PH149" s="43"/>
      <c r="PI149" s="42"/>
      <c r="PN149" s="43"/>
      <c r="PO149" s="42"/>
      <c r="PT149" s="43"/>
      <c r="PU149" s="42"/>
      <c r="PZ149" s="43"/>
      <c r="QA149" s="42"/>
      <c r="QD149" s="43"/>
      <c r="QE149" s="42"/>
      <c r="QH149" s="43"/>
      <c r="QI149" s="42"/>
      <c r="QL149" s="43"/>
      <c r="QM149" s="42"/>
      <c r="QR149" s="43"/>
      <c r="QS149" s="42"/>
      <c r="QV149" s="43"/>
      <c r="QW149" s="42"/>
      <c r="QY149" s="44"/>
      <c r="QZ149" s="43"/>
    </row>
    <row r="150" spans="1:468" x14ac:dyDescent="0.25">
      <c r="A150" s="47" t="s">
        <v>434</v>
      </c>
      <c r="B150" s="38">
        <v>0.33</v>
      </c>
      <c r="N150" s="39"/>
      <c r="O150" s="48"/>
      <c r="P150" s="48"/>
      <c r="Q150" s="48"/>
      <c r="R150" s="48">
        <f t="shared" si="16"/>
        <v>0</v>
      </c>
      <c r="S150" s="40"/>
      <c r="T150" s="39"/>
      <c r="U150" s="48"/>
      <c r="V150" s="48">
        <f t="shared" si="17"/>
        <v>0</v>
      </c>
      <c r="W150" s="40"/>
      <c r="X150" s="39"/>
      <c r="Y150" s="48"/>
      <c r="Z150" s="48"/>
      <c r="AA150" s="48"/>
      <c r="AB150" s="48">
        <f t="shared" si="18"/>
        <v>0</v>
      </c>
      <c r="AC150" s="40"/>
      <c r="AD150" s="48"/>
      <c r="AH150" s="44">
        <v>0</v>
      </c>
      <c r="AI150" s="40"/>
      <c r="AN150" s="44">
        <v>0</v>
      </c>
      <c r="AO150" s="40"/>
      <c r="AT150" s="44">
        <v>0</v>
      </c>
      <c r="AU150" s="40"/>
      <c r="AV150" s="39"/>
      <c r="AX150" s="44">
        <v>0</v>
      </c>
      <c r="AY150" s="40"/>
      <c r="AZ150" s="39"/>
      <c r="BB150" s="44">
        <v>0</v>
      </c>
      <c r="BC150" s="40"/>
      <c r="BG150">
        <v>64</v>
      </c>
      <c r="BH150" s="44">
        <v>2</v>
      </c>
      <c r="BI150" s="40"/>
      <c r="BK150">
        <v>51</v>
      </c>
      <c r="BL150" s="44">
        <v>-3</v>
      </c>
      <c r="BM150" s="40"/>
      <c r="BN150" s="39"/>
      <c r="BR150" s="44">
        <v>0</v>
      </c>
      <c r="BS150" s="40"/>
      <c r="BU150" s="37">
        <v>30</v>
      </c>
      <c r="BV150" s="44">
        <v>0</v>
      </c>
      <c r="BW150" s="40"/>
      <c r="BX150" s="39"/>
      <c r="BY150" s="37">
        <v>44</v>
      </c>
      <c r="BZ150" s="44">
        <v>-2</v>
      </c>
      <c r="CA150" s="40"/>
      <c r="CB150" s="39"/>
      <c r="CG150" s="37">
        <v>8</v>
      </c>
      <c r="CH150" s="44">
        <v>-2</v>
      </c>
      <c r="CI150" s="40"/>
      <c r="CM150">
        <v>54</v>
      </c>
      <c r="CN150" s="44">
        <v>0</v>
      </c>
      <c r="CO150" s="40"/>
      <c r="CP150" s="39"/>
      <c r="CS150">
        <v>8</v>
      </c>
      <c r="CT150" s="44">
        <v>-2</v>
      </c>
      <c r="CU150" s="40"/>
      <c r="CV150" s="39"/>
      <c r="CZ150" s="44">
        <v>0</v>
      </c>
      <c r="DA150" s="40"/>
      <c r="DB150" s="39"/>
      <c r="DE150">
        <v>48</v>
      </c>
      <c r="DF150" s="44">
        <v>0</v>
      </c>
      <c r="DG150" s="40"/>
      <c r="DK150">
        <v>22</v>
      </c>
      <c r="DN150" s="46">
        <v>-22</v>
      </c>
      <c r="DO150" s="40">
        <v>7.2600000000000007</v>
      </c>
      <c r="DP150" s="39"/>
      <c r="DR150" s="44">
        <v>0</v>
      </c>
      <c r="DS150" s="40"/>
      <c r="DT150" s="39"/>
      <c r="DX150" s="44">
        <v>0</v>
      </c>
      <c r="DY150" s="40"/>
      <c r="DZ150" s="39"/>
      <c r="EA150">
        <v>48</v>
      </c>
      <c r="EB150" s="44">
        <v>0</v>
      </c>
      <c r="EC150" s="40"/>
      <c r="EI150">
        <v>8</v>
      </c>
      <c r="EJ150">
        <v>7</v>
      </c>
      <c r="EK150" s="44">
        <v>1</v>
      </c>
      <c r="EL150" s="40"/>
      <c r="EQ150">
        <v>16</v>
      </c>
      <c r="ER150">
        <v>16</v>
      </c>
      <c r="ES150" s="44">
        <v>0</v>
      </c>
      <c r="ET150" s="40"/>
      <c r="EU150" s="39"/>
      <c r="EW150">
        <v>16</v>
      </c>
      <c r="EX150">
        <v>21</v>
      </c>
      <c r="EY150" s="44">
        <v>-5</v>
      </c>
      <c r="EZ150" s="40"/>
      <c r="FA150" s="39"/>
      <c r="FD150" s="44">
        <v>0</v>
      </c>
      <c r="FE150" s="40"/>
      <c r="FH150" s="44">
        <v>0</v>
      </c>
      <c r="FI150" s="40"/>
      <c r="FJ150" s="39"/>
      <c r="FO150">
        <v>32</v>
      </c>
      <c r="FP150">
        <v>30</v>
      </c>
      <c r="FQ150" s="44">
        <v>2</v>
      </c>
      <c r="FR150" s="40"/>
      <c r="FU150">
        <v>8</v>
      </c>
      <c r="FV150">
        <v>8</v>
      </c>
      <c r="FW150" s="44">
        <v>0</v>
      </c>
      <c r="FX150" s="40"/>
      <c r="FY150" s="39"/>
      <c r="GC150" s="44">
        <v>0</v>
      </c>
      <c r="GD150" s="40"/>
      <c r="GG150">
        <v>24</v>
      </c>
      <c r="GH150">
        <v>24</v>
      </c>
      <c r="GI150" s="44">
        <v>0</v>
      </c>
      <c r="GJ150" s="40"/>
      <c r="GK150">
        <v>8</v>
      </c>
      <c r="GL150" s="47">
        <v>7</v>
      </c>
      <c r="GM150" s="44">
        <v>1</v>
      </c>
      <c r="GN150" s="40"/>
      <c r="GO150" s="39"/>
      <c r="GQ150" s="44">
        <v>0</v>
      </c>
      <c r="GR150" s="40"/>
      <c r="GV150">
        <v>16</v>
      </c>
      <c r="GW150">
        <v>16</v>
      </c>
      <c r="GX150" s="44">
        <v>0</v>
      </c>
      <c r="GY150" s="40"/>
      <c r="HD150" s="44">
        <v>0</v>
      </c>
      <c r="HE150" s="40"/>
      <c r="HF150" s="39"/>
      <c r="HI150">
        <v>8</v>
      </c>
      <c r="HJ150" s="44">
        <v>-8</v>
      </c>
      <c r="HK150" s="40"/>
      <c r="HL150" s="39"/>
      <c r="HP150" s="44">
        <v>0</v>
      </c>
      <c r="HQ150" s="40"/>
      <c r="HT150">
        <v>16</v>
      </c>
      <c r="HU150">
        <v>21</v>
      </c>
      <c r="HV150" s="44">
        <v>-5</v>
      </c>
      <c r="HW150" s="43"/>
      <c r="HZ150">
        <v>8</v>
      </c>
      <c r="IA150">
        <v>8</v>
      </c>
      <c r="IB150" s="44">
        <v>0</v>
      </c>
      <c r="IC150" s="43"/>
      <c r="IF150">
        <v>8</v>
      </c>
      <c r="IG150">
        <v>8</v>
      </c>
      <c r="IH150" s="44">
        <v>0</v>
      </c>
      <c r="II150" s="43"/>
      <c r="IN150" s="44">
        <v>0</v>
      </c>
      <c r="IO150" s="40"/>
      <c r="IP150">
        <v>16</v>
      </c>
      <c r="IQ150">
        <v>16</v>
      </c>
      <c r="IR150" s="44">
        <v>0</v>
      </c>
      <c r="IS150" s="40"/>
      <c r="IX150" s="44">
        <v>0</v>
      </c>
      <c r="IY150" s="43"/>
      <c r="JB150" s="44">
        <v>0</v>
      </c>
      <c r="JC150" s="40"/>
      <c r="JH150" s="44">
        <v>0</v>
      </c>
      <c r="JI150" s="40"/>
      <c r="JN150" s="44">
        <v>0</v>
      </c>
      <c r="JO150" s="43"/>
      <c r="JT150" s="44">
        <v>0</v>
      </c>
      <c r="JU150" s="43"/>
      <c r="JZ150" s="44">
        <v>0</v>
      </c>
      <c r="KA150" s="43"/>
      <c r="KB150" s="41">
        <v>40</v>
      </c>
      <c r="KC150">
        <v>40</v>
      </c>
      <c r="KE150">
        <v>56</v>
      </c>
      <c r="KF150">
        <v>56</v>
      </c>
      <c r="KG150">
        <v>40</v>
      </c>
      <c r="KH150">
        <v>54</v>
      </c>
      <c r="KI150" s="46">
        <v>-14</v>
      </c>
      <c r="KJ150" s="43">
        <v>4.62</v>
      </c>
      <c r="KK150" s="47">
        <v>0</v>
      </c>
      <c r="KL150" s="47">
        <v>0</v>
      </c>
      <c r="KM150" s="47">
        <v>0</v>
      </c>
      <c r="KN150" s="47">
        <v>0</v>
      </c>
      <c r="KO150" s="44">
        <v>0</v>
      </c>
      <c r="KP150" s="43"/>
      <c r="KQ150" s="47">
        <v>0</v>
      </c>
      <c r="KR150" s="47">
        <v>0</v>
      </c>
      <c r="KS150" s="47">
        <v>48</v>
      </c>
      <c r="KT150" s="47">
        <v>50</v>
      </c>
      <c r="KU150" s="44">
        <v>-2</v>
      </c>
      <c r="KV150" s="43"/>
      <c r="KW150" s="42">
        <v>0</v>
      </c>
      <c r="KX150" s="47">
        <v>0</v>
      </c>
      <c r="KY150" s="44">
        <v>0</v>
      </c>
      <c r="KZ150" s="43"/>
      <c r="LA150" s="42">
        <v>32</v>
      </c>
      <c r="LB150" s="47">
        <v>30</v>
      </c>
      <c r="LC150" s="47">
        <v>0</v>
      </c>
      <c r="LD150" s="47">
        <v>0</v>
      </c>
      <c r="LE150" s="44">
        <v>2</v>
      </c>
      <c r="LF150" s="43"/>
      <c r="LG150" s="42">
        <v>96</v>
      </c>
      <c r="LH150" s="47">
        <v>100</v>
      </c>
      <c r="LI150" s="47">
        <v>152</v>
      </c>
      <c r="LJ150" s="47">
        <v>150</v>
      </c>
      <c r="LK150" s="44">
        <v>-2</v>
      </c>
      <c r="LL150" s="43"/>
      <c r="LM150" s="42">
        <v>0</v>
      </c>
      <c r="LN150" s="47">
        <v>0</v>
      </c>
      <c r="LO150" s="44">
        <v>0</v>
      </c>
      <c r="LP150" s="43"/>
      <c r="LQ150" s="42">
        <v>0</v>
      </c>
      <c r="LR150" s="47">
        <v>0</v>
      </c>
      <c r="LS150" s="47">
        <v>120</v>
      </c>
      <c r="LT150" s="47">
        <v>120</v>
      </c>
      <c r="LU150" s="44">
        <v>0</v>
      </c>
      <c r="LV150" s="43"/>
      <c r="LW150" s="42">
        <v>40</v>
      </c>
      <c r="LX150" s="47">
        <v>40</v>
      </c>
      <c r="LY150" s="47">
        <v>0</v>
      </c>
      <c r="LZ150" s="47">
        <v>0</v>
      </c>
      <c r="MA150" s="44">
        <v>0</v>
      </c>
      <c r="MB150" s="43"/>
      <c r="MC150" s="42">
        <v>80</v>
      </c>
      <c r="MD150" s="47">
        <v>80</v>
      </c>
      <c r="ME150" s="47">
        <v>0</v>
      </c>
      <c r="MF150" s="47">
        <v>0</v>
      </c>
      <c r="MG150" s="44">
        <v>0</v>
      </c>
      <c r="MH150" s="43"/>
      <c r="MI150" s="42"/>
      <c r="MN150" s="43"/>
      <c r="MO150" s="42"/>
      <c r="MT150" s="43"/>
      <c r="MU150" s="42"/>
      <c r="MZ150" s="43"/>
      <c r="NA150" s="42"/>
      <c r="NF150" s="43"/>
      <c r="NG150" s="42"/>
      <c r="NL150" s="43"/>
      <c r="NM150" s="42"/>
      <c r="NR150" s="43"/>
      <c r="NS150" s="42"/>
      <c r="NX150" s="43"/>
      <c r="NY150" s="42"/>
      <c r="OD150" s="43"/>
      <c r="OE150" s="42"/>
      <c r="OJ150" s="43"/>
      <c r="OK150" s="42"/>
      <c r="OP150" s="43"/>
      <c r="OQ150" s="42"/>
      <c r="OV150" s="43"/>
      <c r="OW150" s="42"/>
      <c r="PB150" s="43"/>
      <c r="PC150" s="42"/>
      <c r="PH150" s="43"/>
      <c r="PI150" s="42"/>
      <c r="PN150" s="43"/>
      <c r="PO150" s="42"/>
      <c r="PT150" s="43"/>
      <c r="PU150" s="42"/>
      <c r="PZ150" s="43"/>
      <c r="QA150" s="42"/>
      <c r="QD150" s="43"/>
      <c r="QE150" s="42"/>
      <c r="QH150" s="43"/>
      <c r="QI150" s="42"/>
      <c r="QL150" s="43"/>
      <c r="QM150" s="42"/>
      <c r="QR150" s="43"/>
      <c r="QS150" s="42"/>
      <c r="QV150" s="43"/>
      <c r="QW150" s="42"/>
      <c r="QY150" s="44"/>
      <c r="QZ150" s="43"/>
    </row>
    <row r="151" spans="1:468" x14ac:dyDescent="0.25">
      <c r="A151" s="47" t="s">
        <v>435</v>
      </c>
      <c r="B151" s="38">
        <v>0.36</v>
      </c>
      <c r="N151" s="39"/>
      <c r="O151" s="48"/>
      <c r="P151" s="48"/>
      <c r="Q151" s="48"/>
      <c r="R151" s="48">
        <f t="shared" si="16"/>
        <v>0</v>
      </c>
      <c r="S151" s="40"/>
      <c r="T151" s="39"/>
      <c r="U151" s="48"/>
      <c r="V151" s="48">
        <f t="shared" si="17"/>
        <v>0</v>
      </c>
      <c r="W151" s="40"/>
      <c r="X151" s="39"/>
      <c r="Y151" s="48"/>
      <c r="Z151" s="48"/>
      <c r="AA151" s="48"/>
      <c r="AB151" s="48">
        <f t="shared" si="18"/>
        <v>0</v>
      </c>
      <c r="AC151" s="40"/>
      <c r="AD151" s="48"/>
      <c r="AH151" s="44">
        <v>0</v>
      </c>
      <c r="AI151" s="40"/>
      <c r="AN151" s="44">
        <v>0</v>
      </c>
      <c r="AO151" s="40"/>
      <c r="AT151" s="44">
        <v>0</v>
      </c>
      <c r="AU151" s="40"/>
      <c r="AV151" s="39"/>
      <c r="AX151" s="44">
        <v>0</v>
      </c>
      <c r="AY151" s="40"/>
      <c r="AZ151" s="39"/>
      <c r="BB151" s="44">
        <v>0</v>
      </c>
      <c r="BC151" s="40"/>
      <c r="BH151" s="44">
        <v>0</v>
      </c>
      <c r="BI151" s="40"/>
      <c r="BL151" s="44">
        <v>0</v>
      </c>
      <c r="BM151" s="40"/>
      <c r="BN151" s="39"/>
      <c r="BR151" s="44">
        <v>0</v>
      </c>
      <c r="BS151" s="40"/>
      <c r="BV151" s="44">
        <v>0</v>
      </c>
      <c r="BW151" s="40"/>
      <c r="BX151" s="39"/>
      <c r="BZ151" s="44">
        <v>0</v>
      </c>
      <c r="CA151" s="40"/>
      <c r="CB151" s="39"/>
      <c r="CH151" s="44">
        <v>0</v>
      </c>
      <c r="CI151" s="40"/>
      <c r="CN151" s="44">
        <v>0</v>
      </c>
      <c r="CO151" s="40"/>
      <c r="CP151" s="39"/>
      <c r="CT151" s="44">
        <v>0</v>
      </c>
      <c r="CU151" s="40"/>
      <c r="CV151" s="39"/>
      <c r="CZ151" s="44">
        <v>0</v>
      </c>
      <c r="DA151" s="40"/>
      <c r="DB151" s="39"/>
      <c r="DF151" s="44">
        <v>0</v>
      </c>
      <c r="DG151" s="40"/>
      <c r="DN151" s="44">
        <v>0</v>
      </c>
      <c r="DO151" s="40"/>
      <c r="DP151" s="39"/>
      <c r="DR151" s="44">
        <v>0</v>
      </c>
      <c r="DS151" s="40"/>
      <c r="DT151" s="39"/>
      <c r="DX151" s="44">
        <v>0</v>
      </c>
      <c r="DY151" s="40"/>
      <c r="DZ151" s="39"/>
      <c r="EB151" s="44">
        <v>0</v>
      </c>
      <c r="EC151" s="40"/>
      <c r="EK151" s="44">
        <v>0</v>
      </c>
      <c r="EL151" s="40"/>
      <c r="ES151" s="44">
        <v>0</v>
      </c>
      <c r="ET151" s="40"/>
      <c r="EU151" s="39"/>
      <c r="EY151" s="44">
        <v>0</v>
      </c>
      <c r="EZ151" s="40"/>
      <c r="FA151" s="39"/>
      <c r="FD151" s="44">
        <v>0</v>
      </c>
      <c r="FE151" s="40"/>
      <c r="FH151" s="44">
        <v>0</v>
      </c>
      <c r="FI151" s="40"/>
      <c r="FJ151" s="39"/>
      <c r="FQ151" s="44">
        <v>0</v>
      </c>
      <c r="FR151" s="40"/>
      <c r="FW151" s="44">
        <v>0</v>
      </c>
      <c r="FX151" s="40"/>
      <c r="FY151" s="39"/>
      <c r="GC151" s="44">
        <v>0</v>
      </c>
      <c r="GD151" s="40"/>
      <c r="GI151" s="44">
        <v>0</v>
      </c>
      <c r="GJ151" s="40"/>
      <c r="GM151" s="44">
        <v>0</v>
      </c>
      <c r="GN151" s="40"/>
      <c r="GO151" s="39"/>
      <c r="GQ151" s="44">
        <v>0</v>
      </c>
      <c r="GR151" s="40"/>
      <c r="GX151" s="44">
        <v>0</v>
      </c>
      <c r="GY151" s="40"/>
      <c r="HD151" s="44">
        <v>0</v>
      </c>
      <c r="HE151" s="40"/>
      <c r="HF151" s="39"/>
      <c r="HJ151" s="44">
        <v>0</v>
      </c>
      <c r="HK151" s="40"/>
      <c r="HL151" s="39"/>
      <c r="HP151" s="44">
        <v>0</v>
      </c>
      <c r="HQ151" s="40"/>
      <c r="HV151" s="44">
        <v>0</v>
      </c>
      <c r="HW151" s="43"/>
      <c r="IB151" s="44">
        <v>0</v>
      </c>
      <c r="IC151" s="43"/>
      <c r="IH151" s="44">
        <v>0</v>
      </c>
      <c r="II151" s="43"/>
      <c r="IN151" s="44">
        <v>0</v>
      </c>
      <c r="IO151" s="40"/>
      <c r="IR151" s="44">
        <v>0</v>
      </c>
      <c r="IS151" s="40"/>
      <c r="IX151" s="44">
        <v>0</v>
      </c>
      <c r="IY151" s="43"/>
      <c r="JB151" s="44">
        <v>0</v>
      </c>
      <c r="JC151" s="40"/>
      <c r="JH151" s="44">
        <v>0</v>
      </c>
      <c r="JI151" s="40"/>
      <c r="JN151" s="44">
        <v>0</v>
      </c>
      <c r="JO151" s="43"/>
      <c r="JT151" s="44">
        <v>0</v>
      </c>
      <c r="JU151" s="43"/>
      <c r="JZ151" s="44">
        <v>0</v>
      </c>
      <c r="KA151" s="43"/>
      <c r="KB151" s="42"/>
      <c r="KI151" s="44">
        <v>0</v>
      </c>
      <c r="KJ151" s="43"/>
      <c r="KK151" s="47">
        <v>0</v>
      </c>
      <c r="KL151" s="47">
        <v>0</v>
      </c>
      <c r="KM151" s="47">
        <v>0</v>
      </c>
      <c r="KN151" s="47">
        <v>0</v>
      </c>
      <c r="KO151" s="44">
        <v>0</v>
      </c>
      <c r="KP151" s="43"/>
      <c r="KQ151" s="47">
        <v>0</v>
      </c>
      <c r="KR151" s="47">
        <v>0</v>
      </c>
      <c r="KS151" s="47">
        <v>0</v>
      </c>
      <c r="KT151" s="47">
        <v>0</v>
      </c>
      <c r="KU151" s="44">
        <v>0</v>
      </c>
      <c r="KV151" s="43"/>
      <c r="KW151" s="42">
        <v>0</v>
      </c>
      <c r="KX151" s="47">
        <v>0</v>
      </c>
      <c r="KY151" s="44">
        <v>0</v>
      </c>
      <c r="KZ151" s="43"/>
      <c r="LA151" s="42">
        <v>0</v>
      </c>
      <c r="LB151" s="47">
        <v>0</v>
      </c>
      <c r="LC151" s="47">
        <v>0</v>
      </c>
      <c r="LD151" s="47">
        <v>0</v>
      </c>
      <c r="LE151" s="44">
        <v>0</v>
      </c>
      <c r="LF151" s="43"/>
      <c r="LG151" s="42">
        <v>0</v>
      </c>
      <c r="LH151" s="47">
        <v>0</v>
      </c>
      <c r="LI151" s="47">
        <v>0</v>
      </c>
      <c r="LJ151" s="47">
        <v>0</v>
      </c>
      <c r="LK151" s="44">
        <v>0</v>
      </c>
      <c r="LL151" s="43"/>
      <c r="LM151" s="42">
        <v>0</v>
      </c>
      <c r="LN151" s="47">
        <v>0</v>
      </c>
      <c r="LO151" s="44">
        <v>0</v>
      </c>
      <c r="LP151" s="43"/>
      <c r="LQ151" s="42">
        <v>0</v>
      </c>
      <c r="LR151" s="47">
        <v>0</v>
      </c>
      <c r="LS151" s="47">
        <v>0</v>
      </c>
      <c r="LT151" s="26">
        <v>35</v>
      </c>
      <c r="LU151" s="46">
        <v>-35</v>
      </c>
      <c r="LV151" s="43">
        <v>12.6</v>
      </c>
      <c r="LW151" s="42">
        <v>0</v>
      </c>
      <c r="LX151" s="26">
        <v>160</v>
      </c>
      <c r="LY151" s="47">
        <v>0</v>
      </c>
      <c r="LZ151" s="47">
        <v>0</v>
      </c>
      <c r="MA151" s="46">
        <v>-160</v>
      </c>
      <c r="MB151" s="43">
        <v>57.599999999999987</v>
      </c>
      <c r="MC151" s="42">
        <v>0</v>
      </c>
      <c r="MD151" s="47">
        <v>0</v>
      </c>
      <c r="ME151" s="47">
        <v>0</v>
      </c>
      <c r="MF151" s="23">
        <v>160</v>
      </c>
      <c r="MG151" s="44">
        <v>0</v>
      </c>
      <c r="MH151" s="43"/>
      <c r="MI151" s="42">
        <v>0</v>
      </c>
      <c r="MJ151" s="23">
        <v>100</v>
      </c>
      <c r="MK151" s="47">
        <v>0</v>
      </c>
      <c r="ML151" s="23">
        <v>50</v>
      </c>
      <c r="MM151" s="44">
        <v>-6</v>
      </c>
      <c r="MN151" s="43"/>
      <c r="MO151" s="42">
        <v>0</v>
      </c>
      <c r="MP151" s="47">
        <v>0</v>
      </c>
      <c r="MQ151" s="47">
        <v>0</v>
      </c>
      <c r="MR151" s="26">
        <v>95</v>
      </c>
      <c r="MS151" s="46">
        <v>-79</v>
      </c>
      <c r="MT151" s="43">
        <v>28.44</v>
      </c>
      <c r="MU151" s="42"/>
      <c r="MZ151" s="43"/>
      <c r="NA151" s="42"/>
      <c r="NF151" s="43"/>
      <c r="NG151" s="42"/>
      <c r="NL151" s="43"/>
      <c r="NM151" s="42"/>
      <c r="NR151" s="43"/>
      <c r="NS151" s="42"/>
      <c r="NX151" s="43"/>
      <c r="NY151" s="42"/>
      <c r="OD151" s="43"/>
      <c r="OE151" s="42"/>
      <c r="OJ151" s="43"/>
      <c r="OK151" s="42"/>
      <c r="OP151" s="43"/>
      <c r="OQ151" s="42"/>
      <c r="OV151" s="43"/>
      <c r="OW151" s="42"/>
      <c r="PB151" s="43"/>
      <c r="PC151" s="42"/>
      <c r="PH151" s="43"/>
      <c r="PI151" s="42"/>
      <c r="PN151" s="43"/>
      <c r="PO151" s="42"/>
      <c r="PT151" s="43"/>
      <c r="PU151" s="42"/>
      <c r="PZ151" s="43"/>
      <c r="QA151" s="42"/>
      <c r="QD151" s="43"/>
      <c r="QE151" s="42"/>
      <c r="QH151" s="43"/>
      <c r="QI151" s="42"/>
      <c r="QL151" s="43"/>
      <c r="QM151" s="42"/>
      <c r="QR151" s="43"/>
      <c r="QS151" s="42"/>
      <c r="QV151" s="43"/>
      <c r="QW151" s="42"/>
      <c r="QY151" s="44"/>
      <c r="QZ151" s="43"/>
    </row>
    <row r="152" spans="1:468" x14ac:dyDescent="0.25">
      <c r="A152" s="47" t="s">
        <v>436</v>
      </c>
      <c r="B152" s="38">
        <v>1</v>
      </c>
      <c r="N152" s="39"/>
      <c r="O152" s="48"/>
      <c r="P152" s="48"/>
      <c r="Q152" s="48"/>
      <c r="R152" s="48">
        <f t="shared" si="16"/>
        <v>0</v>
      </c>
      <c r="S152" s="40"/>
      <c r="T152" s="39"/>
      <c r="U152" s="48"/>
      <c r="V152" s="48">
        <f t="shared" si="17"/>
        <v>0</v>
      </c>
      <c r="W152" s="40"/>
      <c r="X152" s="39"/>
      <c r="Y152" s="48"/>
      <c r="Z152" s="48"/>
      <c r="AA152" s="48"/>
      <c r="AB152" s="48">
        <f t="shared" si="18"/>
        <v>0</v>
      </c>
      <c r="AC152" s="40"/>
      <c r="AD152" s="48"/>
      <c r="AH152" s="44">
        <v>0</v>
      </c>
      <c r="AI152" s="40"/>
      <c r="AN152" s="44">
        <v>0</v>
      </c>
      <c r="AO152" s="40"/>
      <c r="AT152" s="44">
        <v>0</v>
      </c>
      <c r="AU152" s="40"/>
      <c r="AV152" s="39"/>
      <c r="AX152" s="44">
        <v>0</v>
      </c>
      <c r="AY152" s="40"/>
      <c r="AZ152" s="39"/>
      <c r="BB152" s="44">
        <v>0</v>
      </c>
      <c r="BC152" s="40"/>
      <c r="BH152" s="44">
        <v>0</v>
      </c>
      <c r="BI152" s="40"/>
      <c r="BL152" s="44">
        <v>0</v>
      </c>
      <c r="BM152" s="40"/>
      <c r="BN152" s="39"/>
      <c r="BR152" s="44">
        <v>0</v>
      </c>
      <c r="BS152" s="40"/>
      <c r="BV152" s="44">
        <v>0</v>
      </c>
      <c r="BW152" s="40"/>
      <c r="BX152" s="39"/>
      <c r="BZ152" s="44">
        <v>0</v>
      </c>
      <c r="CA152" s="40"/>
      <c r="CB152" s="39"/>
      <c r="CH152" s="44">
        <v>0</v>
      </c>
      <c r="CI152" s="40"/>
      <c r="CN152" s="44">
        <v>0</v>
      </c>
      <c r="CO152" s="40"/>
      <c r="CP152" s="39"/>
      <c r="CT152" s="44">
        <v>0</v>
      </c>
      <c r="CU152" s="40"/>
      <c r="CV152" s="39"/>
      <c r="CZ152" s="44">
        <v>0</v>
      </c>
      <c r="DA152" s="40"/>
      <c r="DB152" s="39"/>
      <c r="DF152" s="44">
        <v>0</v>
      </c>
      <c r="DG152" s="40"/>
      <c r="DN152" s="44">
        <v>0</v>
      </c>
      <c r="DO152" s="40"/>
      <c r="DP152" s="39"/>
      <c r="DR152" s="44">
        <v>0</v>
      </c>
      <c r="DS152" s="40"/>
      <c r="DT152" s="39"/>
      <c r="DX152" s="44">
        <v>0</v>
      </c>
      <c r="DY152" s="40"/>
      <c r="DZ152" s="39"/>
      <c r="EB152" s="44">
        <v>0</v>
      </c>
      <c r="EC152" s="40"/>
      <c r="EK152" s="44">
        <v>0</v>
      </c>
      <c r="EL152" s="40"/>
      <c r="ES152" s="44">
        <v>0</v>
      </c>
      <c r="ET152" s="40"/>
      <c r="EU152" s="39"/>
      <c r="EY152" s="44">
        <v>0</v>
      </c>
      <c r="EZ152" s="40"/>
      <c r="FA152" s="39"/>
      <c r="FD152" s="44">
        <v>0</v>
      </c>
      <c r="FE152" s="40"/>
      <c r="FH152" s="44">
        <v>0</v>
      </c>
      <c r="FI152" s="40"/>
      <c r="FJ152" s="39"/>
      <c r="FQ152" s="44">
        <v>0</v>
      </c>
      <c r="FR152" s="40"/>
      <c r="FW152" s="44">
        <v>0</v>
      </c>
      <c r="FX152" s="40"/>
      <c r="FY152" s="39"/>
      <c r="GC152" s="44">
        <v>0</v>
      </c>
      <c r="GD152" s="40"/>
      <c r="GI152" s="44">
        <v>0</v>
      </c>
      <c r="GJ152" s="40"/>
      <c r="GM152" s="44">
        <v>0</v>
      </c>
      <c r="GN152" s="40"/>
      <c r="GO152" s="39"/>
      <c r="GQ152" s="44">
        <v>0</v>
      </c>
      <c r="GR152" s="40"/>
      <c r="GX152" s="44">
        <v>0</v>
      </c>
      <c r="GY152" s="40"/>
      <c r="HD152" s="44">
        <v>0</v>
      </c>
      <c r="HE152" s="40"/>
      <c r="HF152" s="39"/>
      <c r="HJ152" s="44">
        <v>0</v>
      </c>
      <c r="HK152" s="40"/>
      <c r="HL152" s="39"/>
      <c r="HP152" s="44">
        <v>0</v>
      </c>
      <c r="HQ152" s="40"/>
      <c r="HV152" s="44">
        <v>0</v>
      </c>
      <c r="HW152" s="43"/>
      <c r="IB152" s="44">
        <v>0</v>
      </c>
      <c r="IC152" s="43"/>
      <c r="IF152">
        <v>80</v>
      </c>
      <c r="IG152">
        <v>80</v>
      </c>
      <c r="IH152" s="44">
        <v>0</v>
      </c>
      <c r="II152" s="43"/>
      <c r="IN152" s="44">
        <v>0</v>
      </c>
      <c r="IO152" s="40"/>
      <c r="IP152">
        <v>55</v>
      </c>
      <c r="IQ152">
        <v>60</v>
      </c>
      <c r="IR152" s="44">
        <v>-5</v>
      </c>
      <c r="IS152" s="40"/>
      <c r="IT152">
        <v>13</v>
      </c>
      <c r="IU152">
        <v>21</v>
      </c>
      <c r="IX152" s="46">
        <v>-8</v>
      </c>
      <c r="IY152" s="43"/>
      <c r="IZ152">
        <v>25</v>
      </c>
      <c r="JA152" s="47">
        <v>25</v>
      </c>
      <c r="JB152" s="44">
        <v>0</v>
      </c>
      <c r="JC152" s="40"/>
      <c r="JF152">
        <v>37</v>
      </c>
      <c r="JG152">
        <v>36</v>
      </c>
      <c r="JH152" s="44">
        <v>1</v>
      </c>
      <c r="JI152" s="40"/>
      <c r="JL152">
        <v>55</v>
      </c>
      <c r="JM152">
        <v>56</v>
      </c>
      <c r="JN152" s="44">
        <v>-1</v>
      </c>
      <c r="JO152" s="43"/>
      <c r="JT152" s="44">
        <v>0</v>
      </c>
      <c r="JU152" s="43"/>
      <c r="JZ152" s="44">
        <v>0</v>
      </c>
      <c r="KA152" s="43"/>
      <c r="KB152" s="41">
        <v>49</v>
      </c>
      <c r="KC152">
        <v>50</v>
      </c>
      <c r="KE152">
        <v>50</v>
      </c>
      <c r="KF152">
        <v>50</v>
      </c>
      <c r="KG152">
        <v>44</v>
      </c>
      <c r="KH152">
        <v>46</v>
      </c>
      <c r="KI152" s="44">
        <v>-3</v>
      </c>
      <c r="KJ152" s="43"/>
      <c r="KK152" s="47">
        <v>0</v>
      </c>
      <c r="KL152" s="47">
        <v>0</v>
      </c>
      <c r="KM152" s="34">
        <v>130.03200000000001</v>
      </c>
      <c r="KN152" s="47">
        <v>0</v>
      </c>
      <c r="KO152" s="44">
        <v>0</v>
      </c>
      <c r="KP152" s="43"/>
      <c r="KV152" s="43"/>
      <c r="KW152" s="42"/>
      <c r="KZ152" s="43"/>
      <c r="LA152" s="42"/>
      <c r="LF152" s="43"/>
      <c r="LG152" s="42"/>
      <c r="LL152" s="43"/>
      <c r="LM152" s="42"/>
      <c r="LP152" s="43"/>
      <c r="LQ152" s="42"/>
      <c r="LV152" s="43"/>
      <c r="LW152" s="42"/>
      <c r="MB152" s="43"/>
      <c r="MC152" s="42"/>
      <c r="MH152" s="43"/>
      <c r="MI152" s="42"/>
      <c r="MN152" s="43"/>
      <c r="MO152" s="42"/>
      <c r="MT152" s="43"/>
      <c r="MU152" s="42"/>
      <c r="MZ152" s="43"/>
      <c r="NA152" s="42"/>
      <c r="NF152" s="43"/>
      <c r="NG152" s="42"/>
      <c r="NL152" s="43"/>
      <c r="NM152" s="42"/>
      <c r="NR152" s="43"/>
      <c r="NS152" s="42"/>
      <c r="NX152" s="43"/>
      <c r="NY152" s="42"/>
      <c r="OD152" s="43"/>
      <c r="OE152" s="42"/>
      <c r="OJ152" s="43"/>
      <c r="OK152" s="42"/>
      <c r="OP152" s="43"/>
      <c r="OQ152" s="42"/>
      <c r="OV152" s="43"/>
      <c r="OW152" s="42"/>
      <c r="PB152" s="43"/>
      <c r="PC152" s="42"/>
      <c r="PH152" s="43"/>
      <c r="PI152" s="42"/>
      <c r="PN152" s="43"/>
      <c r="PO152" s="42"/>
      <c r="PT152" s="43"/>
      <c r="PU152" s="42"/>
      <c r="PZ152" s="43"/>
      <c r="QA152" s="42"/>
      <c r="QD152" s="43"/>
      <c r="QE152" s="42"/>
      <c r="QH152" s="43"/>
      <c r="QI152" s="42"/>
      <c r="QL152" s="43"/>
      <c r="QM152" s="42"/>
      <c r="QR152" s="43"/>
      <c r="QS152" s="42"/>
      <c r="QV152" s="43"/>
      <c r="QW152" s="42"/>
      <c r="QY152" s="44"/>
      <c r="QZ152" s="43"/>
    </row>
    <row r="153" spans="1:468" x14ac:dyDescent="0.25">
      <c r="A153" s="47" t="s">
        <v>437</v>
      </c>
      <c r="B153" s="38">
        <v>1</v>
      </c>
      <c r="N153" s="39"/>
      <c r="O153" s="48"/>
      <c r="P153" s="48"/>
      <c r="Q153" s="48"/>
      <c r="R153" s="48">
        <f t="shared" si="16"/>
        <v>0</v>
      </c>
      <c r="S153" s="40"/>
      <c r="T153" s="39"/>
      <c r="U153" s="48"/>
      <c r="V153" s="48">
        <f t="shared" si="17"/>
        <v>0</v>
      </c>
      <c r="W153" s="40"/>
      <c r="X153" s="39"/>
      <c r="Y153" s="48"/>
      <c r="Z153" s="48"/>
      <c r="AA153" s="48"/>
      <c r="AB153" s="48">
        <f t="shared" si="18"/>
        <v>0</v>
      </c>
      <c r="AC153" s="40"/>
      <c r="AD153" s="48"/>
      <c r="AH153" s="44">
        <v>0</v>
      </c>
      <c r="AI153" s="40"/>
      <c r="AN153" s="44">
        <v>0</v>
      </c>
      <c r="AO153" s="40"/>
      <c r="AT153" s="44">
        <v>0</v>
      </c>
      <c r="AU153" s="40"/>
      <c r="AV153" s="39"/>
      <c r="AX153" s="44">
        <v>0</v>
      </c>
      <c r="AY153" s="40"/>
      <c r="AZ153" s="39"/>
      <c r="BB153" s="44">
        <v>0</v>
      </c>
      <c r="BC153" s="40"/>
      <c r="BH153" s="44">
        <v>0</v>
      </c>
      <c r="BI153" s="40"/>
      <c r="BL153" s="44">
        <v>0</v>
      </c>
      <c r="BM153" s="40"/>
      <c r="BN153" s="39"/>
      <c r="BR153" s="44">
        <v>0</v>
      </c>
      <c r="BS153" s="40"/>
      <c r="BV153" s="44">
        <v>0</v>
      </c>
      <c r="BW153" s="40"/>
      <c r="BX153" s="39"/>
      <c r="BZ153" s="44">
        <v>0</v>
      </c>
      <c r="CA153" s="40"/>
      <c r="CB153" s="39"/>
      <c r="CH153" s="44">
        <v>0</v>
      </c>
      <c r="CI153" s="40"/>
      <c r="CN153" s="44">
        <v>0</v>
      </c>
      <c r="CO153" s="40"/>
      <c r="CP153" s="39"/>
      <c r="CT153" s="44">
        <v>0</v>
      </c>
      <c r="CU153" s="40"/>
      <c r="CV153" s="39"/>
      <c r="CZ153" s="44">
        <v>0</v>
      </c>
      <c r="DA153" s="40"/>
      <c r="DB153" s="39"/>
      <c r="DF153" s="44">
        <v>0</v>
      </c>
      <c r="DG153" s="40"/>
      <c r="DN153" s="44">
        <v>0</v>
      </c>
      <c r="DO153" s="40"/>
      <c r="DP153" s="39"/>
      <c r="DR153" s="44">
        <v>0</v>
      </c>
      <c r="DS153" s="40"/>
      <c r="DT153" s="39"/>
      <c r="DX153" s="44">
        <v>0</v>
      </c>
      <c r="DY153" s="40"/>
      <c r="DZ153" s="39"/>
      <c r="EB153" s="44">
        <v>0</v>
      </c>
      <c r="EC153" s="40"/>
      <c r="EK153" s="44">
        <v>0</v>
      </c>
      <c r="EL153" s="40"/>
      <c r="ES153" s="44">
        <v>0</v>
      </c>
      <c r="ET153" s="40"/>
      <c r="EU153" s="39"/>
      <c r="EY153" s="44">
        <v>0</v>
      </c>
      <c r="EZ153" s="40"/>
      <c r="FA153" s="39"/>
      <c r="FD153" s="44">
        <v>0</v>
      </c>
      <c r="FE153" s="40"/>
      <c r="FH153" s="44">
        <v>0</v>
      </c>
      <c r="FI153" s="40"/>
      <c r="FJ153" s="39"/>
      <c r="FQ153" s="44">
        <v>0</v>
      </c>
      <c r="FR153" s="40"/>
      <c r="FW153" s="44">
        <v>0</v>
      </c>
      <c r="FX153" s="40"/>
      <c r="FY153" s="39"/>
      <c r="GC153" s="44">
        <v>0</v>
      </c>
      <c r="GD153" s="40"/>
      <c r="GI153" s="44">
        <v>0</v>
      </c>
      <c r="GJ153" s="40"/>
      <c r="GM153" s="44">
        <v>0</v>
      </c>
      <c r="GN153" s="40"/>
      <c r="GO153" s="39"/>
      <c r="GQ153" s="44">
        <v>0</v>
      </c>
      <c r="GR153" s="40"/>
      <c r="GX153" s="44">
        <v>0</v>
      </c>
      <c r="GY153" s="40"/>
      <c r="HD153" s="44">
        <v>0</v>
      </c>
      <c r="HE153" s="40"/>
      <c r="HF153" s="39"/>
      <c r="HJ153" s="44">
        <v>0</v>
      </c>
      <c r="HK153" s="40"/>
      <c r="HL153" s="39"/>
      <c r="HP153" s="44">
        <v>0</v>
      </c>
      <c r="HQ153" s="40"/>
      <c r="HV153" s="44">
        <v>0</v>
      </c>
      <c r="HW153" s="43"/>
      <c r="IB153" s="44">
        <v>0</v>
      </c>
      <c r="IC153" s="43"/>
      <c r="IH153" s="44">
        <v>0</v>
      </c>
      <c r="II153" s="43"/>
      <c r="IJ153">
        <v>168</v>
      </c>
      <c r="IK153">
        <v>170</v>
      </c>
      <c r="IL153">
        <v>130</v>
      </c>
      <c r="IM153">
        <v>130</v>
      </c>
      <c r="IN153" s="44">
        <v>-2</v>
      </c>
      <c r="IO153" s="40"/>
      <c r="IR153" s="44">
        <v>0</v>
      </c>
      <c r="IS153" s="40"/>
      <c r="IT153">
        <v>62</v>
      </c>
      <c r="IU153">
        <v>60</v>
      </c>
      <c r="IV153">
        <v>55</v>
      </c>
      <c r="IW153">
        <v>54</v>
      </c>
      <c r="IX153" s="44">
        <v>3</v>
      </c>
      <c r="IY153" s="43"/>
      <c r="IZ153">
        <v>158</v>
      </c>
      <c r="JA153" s="47">
        <v>160</v>
      </c>
      <c r="JB153" s="44">
        <v>-2</v>
      </c>
      <c r="JC153" s="40"/>
      <c r="JF153">
        <v>44</v>
      </c>
      <c r="JG153">
        <v>42</v>
      </c>
      <c r="JH153" s="44">
        <v>2</v>
      </c>
      <c r="JI153" s="40"/>
      <c r="JJ153">
        <v>49</v>
      </c>
      <c r="JK153">
        <v>50</v>
      </c>
      <c r="JL153">
        <v>100</v>
      </c>
      <c r="JM153">
        <v>100</v>
      </c>
      <c r="JN153" s="44">
        <v>-1</v>
      </c>
      <c r="JO153" s="43"/>
      <c r="JT153" s="44">
        <v>0</v>
      </c>
      <c r="JU153" s="43"/>
      <c r="JZ153" s="44">
        <v>0</v>
      </c>
      <c r="KA153" s="43"/>
      <c r="KB153" s="41">
        <v>98</v>
      </c>
      <c r="KC153">
        <v>100</v>
      </c>
      <c r="KE153">
        <v>116</v>
      </c>
      <c r="KF153">
        <v>120</v>
      </c>
      <c r="KG153">
        <v>87</v>
      </c>
      <c r="KH153">
        <v>90</v>
      </c>
      <c r="KI153" s="44">
        <v>-9</v>
      </c>
      <c r="KJ153" s="43"/>
      <c r="KM153" s="34"/>
      <c r="KP153" s="43"/>
      <c r="KV153" s="43"/>
      <c r="KW153" s="42"/>
      <c r="KZ153" s="43"/>
      <c r="LA153" s="42"/>
      <c r="LF153" s="43"/>
      <c r="LG153" s="42"/>
      <c r="LL153" s="43"/>
      <c r="LM153" s="42"/>
      <c r="LP153" s="43"/>
      <c r="LQ153" s="42"/>
      <c r="LV153" s="43"/>
      <c r="LW153" s="42"/>
      <c r="MB153" s="43"/>
      <c r="MC153" s="42"/>
      <c r="MH153" s="43"/>
      <c r="MI153" s="42"/>
      <c r="MN153" s="43"/>
      <c r="MO153" s="42"/>
      <c r="MT153" s="43"/>
      <c r="MU153" s="42"/>
      <c r="MZ153" s="43"/>
      <c r="NA153" s="42"/>
      <c r="NF153" s="43"/>
      <c r="NG153" s="42"/>
      <c r="NL153" s="43"/>
      <c r="NM153" s="42"/>
      <c r="NR153" s="43"/>
      <c r="NS153" s="42"/>
      <c r="NX153" s="43"/>
      <c r="NY153" s="42"/>
      <c r="OD153" s="43"/>
      <c r="OE153" s="42"/>
      <c r="OJ153" s="43"/>
      <c r="OK153" s="42"/>
      <c r="OP153" s="43"/>
      <c r="OQ153" s="42"/>
      <c r="OV153" s="43"/>
      <c r="OW153" s="42"/>
      <c r="PB153" s="43"/>
      <c r="PC153" s="42"/>
      <c r="PH153" s="43"/>
      <c r="PI153" s="42"/>
      <c r="PN153" s="43"/>
      <c r="PO153" s="42"/>
      <c r="PT153" s="43"/>
      <c r="PU153" s="42"/>
      <c r="PZ153" s="43"/>
      <c r="QA153" s="42"/>
      <c r="QD153" s="43"/>
      <c r="QE153" s="42"/>
      <c r="QH153" s="43"/>
      <c r="QI153" s="42"/>
      <c r="QL153" s="43"/>
      <c r="QM153" s="42"/>
      <c r="QR153" s="43"/>
      <c r="QS153" s="42"/>
      <c r="QV153" s="43"/>
      <c r="QW153" s="42"/>
      <c r="QY153" s="44"/>
      <c r="QZ153" s="43"/>
    </row>
    <row r="154" spans="1:468" x14ac:dyDescent="0.25">
      <c r="A154" s="47" t="s">
        <v>438</v>
      </c>
      <c r="B154" s="38">
        <v>1</v>
      </c>
      <c r="N154" s="39"/>
      <c r="O154" s="48"/>
      <c r="P154" s="48"/>
      <c r="Q154" s="48"/>
      <c r="R154" s="48">
        <f t="shared" si="16"/>
        <v>0</v>
      </c>
      <c r="S154" s="40"/>
      <c r="T154" s="39"/>
      <c r="U154" s="48"/>
      <c r="V154" s="48">
        <f t="shared" si="17"/>
        <v>0</v>
      </c>
      <c r="W154" s="40"/>
      <c r="X154" s="39"/>
      <c r="Y154" s="48"/>
      <c r="Z154" s="48"/>
      <c r="AA154" s="48"/>
      <c r="AB154" s="48">
        <f t="shared" si="18"/>
        <v>0</v>
      </c>
      <c r="AC154" s="40"/>
      <c r="AD154" s="48"/>
      <c r="AH154" s="44">
        <v>0</v>
      </c>
      <c r="AI154" s="40"/>
      <c r="AN154" s="44">
        <v>0</v>
      </c>
      <c r="AO154" s="40"/>
      <c r="AT154" s="44">
        <v>0</v>
      </c>
      <c r="AU154" s="40"/>
      <c r="AV154" s="39"/>
      <c r="AX154" s="44">
        <v>0</v>
      </c>
      <c r="AY154" s="40"/>
      <c r="AZ154" s="39"/>
      <c r="BB154" s="44">
        <v>0</v>
      </c>
      <c r="BC154" s="40"/>
      <c r="BH154" s="44">
        <v>0</v>
      </c>
      <c r="BI154" s="40"/>
      <c r="BL154" s="44">
        <v>0</v>
      </c>
      <c r="BM154" s="40"/>
      <c r="BN154" s="39"/>
      <c r="BR154" s="44">
        <v>0</v>
      </c>
      <c r="BS154" s="40"/>
      <c r="BV154" s="44">
        <v>0</v>
      </c>
      <c r="BW154" s="40"/>
      <c r="BX154" s="39"/>
      <c r="BZ154" s="44">
        <v>0</v>
      </c>
      <c r="CA154" s="40"/>
      <c r="CB154" s="39"/>
      <c r="CH154" s="44">
        <v>0</v>
      </c>
      <c r="CI154" s="40"/>
      <c r="CN154" s="44">
        <v>0</v>
      </c>
      <c r="CO154" s="40"/>
      <c r="CP154" s="39"/>
      <c r="CT154" s="44">
        <v>0</v>
      </c>
      <c r="CU154" s="40"/>
      <c r="CV154" s="39"/>
      <c r="CZ154" s="44">
        <v>0</v>
      </c>
      <c r="DA154" s="40"/>
      <c r="DB154" s="39"/>
      <c r="DF154" s="44">
        <v>0</v>
      </c>
      <c r="DG154" s="40"/>
      <c r="DN154" s="44">
        <v>0</v>
      </c>
      <c r="DO154" s="40"/>
      <c r="DP154" s="39"/>
      <c r="DR154" s="44">
        <v>0</v>
      </c>
      <c r="DS154" s="40"/>
      <c r="DT154" s="39"/>
      <c r="DX154" s="44">
        <v>0</v>
      </c>
      <c r="DY154" s="40"/>
      <c r="DZ154" s="39"/>
      <c r="EB154" s="44">
        <v>0</v>
      </c>
      <c r="EC154" s="40"/>
      <c r="EK154" s="44">
        <v>0</v>
      </c>
      <c r="EL154" s="40"/>
      <c r="ES154" s="44">
        <v>0</v>
      </c>
      <c r="ET154" s="40"/>
      <c r="EU154" s="39"/>
      <c r="EY154" s="44">
        <v>0</v>
      </c>
      <c r="EZ154" s="40"/>
      <c r="FA154" s="39"/>
      <c r="FD154" s="44">
        <v>0</v>
      </c>
      <c r="FE154" s="40"/>
      <c r="FH154" s="44">
        <v>0</v>
      </c>
      <c r="FI154" s="40"/>
      <c r="FJ154" s="39"/>
      <c r="FQ154" s="44">
        <v>0</v>
      </c>
      <c r="FR154" s="40"/>
      <c r="FW154" s="44">
        <v>0</v>
      </c>
      <c r="FX154" s="40"/>
      <c r="FY154" s="39"/>
      <c r="GC154" s="44">
        <v>0</v>
      </c>
      <c r="GD154" s="40"/>
      <c r="GI154" s="44">
        <v>0</v>
      </c>
      <c r="GJ154" s="40"/>
      <c r="GM154" s="44">
        <v>0</v>
      </c>
      <c r="GN154" s="40"/>
      <c r="GO154" s="39"/>
      <c r="GQ154" s="44">
        <v>0</v>
      </c>
      <c r="GR154" s="40"/>
      <c r="GX154" s="44">
        <v>0</v>
      </c>
      <c r="GY154" s="40"/>
      <c r="HD154" s="44">
        <v>0</v>
      </c>
      <c r="HE154" s="40"/>
      <c r="HF154" s="39"/>
      <c r="HJ154" s="44">
        <v>0</v>
      </c>
      <c r="HK154" s="40"/>
      <c r="HL154" s="39"/>
      <c r="HP154" s="44">
        <v>0</v>
      </c>
      <c r="HQ154" s="40"/>
      <c r="HV154" s="44">
        <v>0</v>
      </c>
      <c r="HW154" s="43"/>
      <c r="IB154" s="44">
        <v>0</v>
      </c>
      <c r="IC154" s="43"/>
      <c r="ID154">
        <v>61</v>
      </c>
      <c r="IE154">
        <v>60</v>
      </c>
      <c r="IF154">
        <v>135</v>
      </c>
      <c r="IG154">
        <v>130</v>
      </c>
      <c r="IH154" s="44">
        <v>6</v>
      </c>
      <c r="II154" s="43"/>
      <c r="IJ154">
        <v>266</v>
      </c>
      <c r="IK154">
        <v>260</v>
      </c>
      <c r="IL154">
        <v>204</v>
      </c>
      <c r="IM154">
        <v>200</v>
      </c>
      <c r="IN154" s="44">
        <v>10</v>
      </c>
      <c r="IO154" s="40"/>
      <c r="IP154">
        <v>100</v>
      </c>
      <c r="IQ154">
        <v>100</v>
      </c>
      <c r="IR154" s="44">
        <v>0</v>
      </c>
      <c r="IS154" s="40"/>
      <c r="IX154" s="44">
        <v>0</v>
      </c>
      <c r="IY154" s="43"/>
      <c r="IZ154">
        <v>362</v>
      </c>
      <c r="JA154" s="47">
        <v>350</v>
      </c>
      <c r="JB154" s="44">
        <v>12</v>
      </c>
      <c r="JC154" s="40"/>
      <c r="JF154">
        <v>245</v>
      </c>
      <c r="JG154">
        <v>240</v>
      </c>
      <c r="JH154" s="44">
        <v>5</v>
      </c>
      <c r="JI154" s="40"/>
      <c r="JJ154">
        <v>50</v>
      </c>
      <c r="JK154">
        <v>50</v>
      </c>
      <c r="JL154">
        <v>49</v>
      </c>
      <c r="JM154">
        <v>50</v>
      </c>
      <c r="JN154" s="44">
        <v>-1</v>
      </c>
      <c r="JO154" s="43"/>
      <c r="JP154">
        <v>222</v>
      </c>
      <c r="JQ154" s="47">
        <v>210</v>
      </c>
      <c r="JR154">
        <v>113</v>
      </c>
      <c r="JS154" s="47">
        <v>110</v>
      </c>
      <c r="JT154" s="44">
        <v>15</v>
      </c>
      <c r="JU154" s="43"/>
      <c r="JZ154" s="44">
        <v>0</v>
      </c>
      <c r="KA154" s="43"/>
      <c r="KB154" s="42"/>
      <c r="KI154" s="44">
        <v>0</v>
      </c>
      <c r="KJ154" s="43"/>
      <c r="KP154" s="43"/>
      <c r="KV154" s="43"/>
      <c r="KW154" s="42"/>
      <c r="KZ154" s="43"/>
      <c r="LA154" s="42"/>
      <c r="LF154" s="43"/>
      <c r="LG154" s="42"/>
      <c r="LL154" s="43"/>
      <c r="LM154" s="42"/>
      <c r="LP154" s="43"/>
      <c r="LQ154" s="42"/>
      <c r="LV154" s="43"/>
      <c r="LW154" s="42"/>
      <c r="MB154" s="43"/>
      <c r="MC154" s="42"/>
      <c r="MH154" s="43"/>
      <c r="MI154" s="42"/>
      <c r="MN154" s="43"/>
      <c r="MO154" s="42"/>
      <c r="MT154" s="43"/>
      <c r="MU154" s="42"/>
      <c r="MZ154" s="43"/>
      <c r="NA154" s="42"/>
      <c r="NF154" s="43"/>
      <c r="NG154" s="42"/>
      <c r="NL154" s="43"/>
      <c r="NM154" s="42"/>
      <c r="NR154" s="43"/>
      <c r="NS154" s="42"/>
      <c r="NX154" s="43"/>
      <c r="NY154" s="42"/>
      <c r="OD154" s="43"/>
      <c r="OE154" s="42"/>
      <c r="OJ154" s="43"/>
      <c r="OK154" s="42"/>
      <c r="OP154" s="43"/>
      <c r="OQ154" s="42"/>
      <c r="OV154" s="43"/>
      <c r="OW154" s="42"/>
      <c r="PB154" s="43"/>
      <c r="PC154" s="42"/>
      <c r="PH154" s="43"/>
      <c r="PI154" s="42"/>
      <c r="PN154" s="43"/>
      <c r="PO154" s="42"/>
      <c r="PT154" s="43"/>
      <c r="PU154" s="42"/>
      <c r="PZ154" s="43"/>
      <c r="QA154" s="42"/>
      <c r="QD154" s="43"/>
      <c r="QE154" s="42"/>
      <c r="QH154" s="43"/>
      <c r="QI154" s="42"/>
      <c r="QL154" s="43"/>
      <c r="QM154" s="42"/>
      <c r="QQ154" s="44"/>
      <c r="QR154" s="43"/>
      <c r="QS154" s="42"/>
      <c r="QV154" s="43"/>
      <c r="QW154" s="42"/>
      <c r="QY154" s="44"/>
      <c r="QZ154" s="43"/>
    </row>
    <row r="155" spans="1:468" x14ac:dyDescent="0.25">
      <c r="A155" s="47" t="s">
        <v>439</v>
      </c>
      <c r="B155" s="38">
        <v>0.25</v>
      </c>
      <c r="E155">
        <v>24</v>
      </c>
      <c r="F155">
        <v>42</v>
      </c>
      <c r="N155" s="39"/>
      <c r="O155" s="48"/>
      <c r="P155" s="49">
        <v>120</v>
      </c>
      <c r="Q155" s="49">
        <v>120</v>
      </c>
      <c r="R155" s="48">
        <f t="shared" si="16"/>
        <v>0</v>
      </c>
      <c r="S155" s="40"/>
      <c r="T155" s="39"/>
      <c r="U155" s="48"/>
      <c r="V155" s="48">
        <f t="shared" si="17"/>
        <v>0</v>
      </c>
      <c r="W155" s="40"/>
      <c r="X155" s="39"/>
      <c r="Y155" s="48"/>
      <c r="Z155" s="48"/>
      <c r="AA155" s="48"/>
      <c r="AB155" s="48">
        <f t="shared" si="18"/>
        <v>0</v>
      </c>
      <c r="AC155" s="40"/>
      <c r="AD155" s="49">
        <v>72</v>
      </c>
      <c r="AE155" s="44">
        <v>70</v>
      </c>
      <c r="AH155" s="44">
        <v>2</v>
      </c>
      <c r="AI155" s="40"/>
      <c r="AL155" s="44">
        <v>248</v>
      </c>
      <c r="AN155" s="44">
        <v>248</v>
      </c>
      <c r="AO155" s="40"/>
      <c r="AP155" s="47"/>
      <c r="AR155" s="47"/>
      <c r="AT155" s="44">
        <v>0</v>
      </c>
      <c r="AU155" s="40"/>
      <c r="AV155" s="42"/>
      <c r="AX155" s="44">
        <v>0</v>
      </c>
      <c r="AY155" s="40"/>
      <c r="AZ155" s="42"/>
      <c r="BB155" s="44">
        <v>0</v>
      </c>
      <c r="BC155" s="40"/>
      <c r="BI155" s="40"/>
      <c r="BM155" s="40"/>
      <c r="BN155" s="39"/>
      <c r="BS155" s="40"/>
      <c r="BW155" s="40"/>
      <c r="BX155" s="39"/>
      <c r="CA155" s="40"/>
      <c r="CB155" s="39"/>
      <c r="CI155" s="40"/>
      <c r="CO155" s="40"/>
      <c r="CP155" s="39"/>
      <c r="CU155" s="40"/>
      <c r="CV155" s="39"/>
      <c r="DA155" s="40"/>
      <c r="DB155" s="39"/>
      <c r="DG155" s="40"/>
      <c r="DO155" s="40"/>
      <c r="DP155" s="39"/>
      <c r="DS155" s="40"/>
      <c r="DT155" s="39"/>
      <c r="DY155" s="40"/>
      <c r="DZ155" s="39"/>
      <c r="EC155" s="40"/>
      <c r="EL155" s="40"/>
      <c r="ET155" s="40"/>
      <c r="EU155" s="39"/>
      <c r="EZ155" s="40"/>
      <c r="FA155" s="39"/>
      <c r="FE155" s="40"/>
      <c r="FH155" s="44"/>
      <c r="FI155" s="40"/>
      <c r="FJ155" s="39"/>
      <c r="FR155" s="40"/>
      <c r="FX155" s="40"/>
      <c r="FY155" s="39"/>
      <c r="GD155" s="40"/>
      <c r="GJ155" s="40"/>
      <c r="GN155" s="40"/>
      <c r="GO155" s="39"/>
      <c r="GQ155" s="44"/>
      <c r="GR155" s="40"/>
      <c r="GX155" s="44"/>
      <c r="GY155" s="40"/>
      <c r="HD155" s="44"/>
      <c r="HE155" s="40"/>
      <c r="HF155" s="39"/>
      <c r="HJ155" s="44"/>
      <c r="HK155" s="40"/>
      <c r="HL155" s="39"/>
      <c r="HP155" s="44"/>
      <c r="HQ155" s="40"/>
      <c r="HV155" s="44"/>
      <c r="HW155" s="43"/>
      <c r="IB155" s="44"/>
      <c r="IC155" s="43"/>
      <c r="IH155" s="44"/>
      <c r="II155" s="43"/>
      <c r="IN155" s="44"/>
      <c r="IO155" s="40"/>
      <c r="IS155" s="40"/>
      <c r="IY155" s="43"/>
      <c r="JC155" s="40"/>
      <c r="JI155" s="40"/>
      <c r="JO155" s="43"/>
      <c r="JU155" s="43"/>
      <c r="KA155" s="43"/>
      <c r="KB155" s="42"/>
      <c r="KJ155" s="43"/>
      <c r="KM155" s="44"/>
      <c r="KP155" s="43"/>
      <c r="KV155" s="43"/>
      <c r="KW155" s="42"/>
      <c r="KZ155" s="43"/>
      <c r="LA155" s="42"/>
      <c r="LF155" s="43"/>
      <c r="LG155" s="42"/>
      <c r="LL155" s="43"/>
      <c r="LM155" s="42"/>
      <c r="LP155" s="43"/>
      <c r="LQ155" s="42"/>
      <c r="LV155" s="43"/>
      <c r="LW155" s="42"/>
      <c r="MB155" s="43"/>
      <c r="MC155" s="42"/>
      <c r="MH155" s="43"/>
      <c r="MI155" s="42"/>
      <c r="MN155" s="43"/>
      <c r="MO155" s="42"/>
      <c r="MT155" s="43"/>
      <c r="MU155" s="42"/>
      <c r="MZ155" s="43"/>
      <c r="NA155" s="42"/>
      <c r="NF155" s="43"/>
      <c r="NG155" s="42"/>
      <c r="NL155" s="43"/>
      <c r="NM155" s="42"/>
      <c r="NR155" s="43"/>
      <c r="NS155" s="42"/>
      <c r="NX155" s="43"/>
      <c r="NY155" s="42"/>
      <c r="OD155" s="43"/>
      <c r="OE155" s="42"/>
      <c r="OJ155" s="43"/>
      <c r="OK155" s="42"/>
      <c r="OP155" s="43"/>
      <c r="OQ155" s="42"/>
      <c r="OV155" s="43"/>
      <c r="OW155" s="42"/>
      <c r="PB155" s="43"/>
      <c r="PC155" s="42"/>
      <c r="PH155" s="43"/>
      <c r="PI155" s="42"/>
      <c r="PN155" s="43"/>
      <c r="PO155" s="42"/>
      <c r="PT155" s="43"/>
      <c r="PU155" s="42"/>
      <c r="PZ155" s="43"/>
      <c r="QA155" s="42"/>
      <c r="QD155" s="43"/>
      <c r="QE155" s="42"/>
      <c r="QH155" s="43"/>
      <c r="QI155" s="42"/>
      <c r="QL155" s="43"/>
      <c r="QM155" s="42"/>
      <c r="QQ155" s="44"/>
      <c r="QR155" s="43"/>
      <c r="QS155" s="42"/>
      <c r="QV155" s="43"/>
      <c r="QW155" s="42"/>
      <c r="QY155" s="44"/>
      <c r="QZ155" s="43"/>
    </row>
    <row r="156" spans="1:468" x14ac:dyDescent="0.25">
      <c r="A156" s="47" t="s">
        <v>440</v>
      </c>
      <c r="B156" s="38">
        <v>1</v>
      </c>
      <c r="J156">
        <v>12</v>
      </c>
      <c r="K156">
        <v>11</v>
      </c>
      <c r="N156" s="39"/>
      <c r="O156" s="48"/>
      <c r="P156" s="49">
        <v>19</v>
      </c>
      <c r="Q156" s="49">
        <v>16</v>
      </c>
      <c r="R156" s="48">
        <f t="shared" si="16"/>
        <v>3</v>
      </c>
      <c r="S156" s="40"/>
      <c r="T156" s="41">
        <v>12</v>
      </c>
      <c r="U156" s="49">
        <v>12</v>
      </c>
      <c r="V156" s="48">
        <f t="shared" si="17"/>
        <v>0</v>
      </c>
      <c r="W156" s="40"/>
      <c r="X156" s="39"/>
      <c r="Y156" s="48"/>
      <c r="Z156" s="48"/>
      <c r="AA156" s="48"/>
      <c r="AB156" s="48">
        <f t="shared" si="18"/>
        <v>0</v>
      </c>
      <c r="AC156" s="40"/>
      <c r="AD156" s="48"/>
      <c r="AF156">
        <v>21</v>
      </c>
      <c r="AG156">
        <v>21</v>
      </c>
      <c r="AH156" s="44">
        <v>0</v>
      </c>
      <c r="AI156" s="40"/>
      <c r="AL156">
        <v>13</v>
      </c>
      <c r="AM156">
        <v>11</v>
      </c>
      <c r="AN156" s="44">
        <v>2</v>
      </c>
      <c r="AO156" s="40"/>
      <c r="AP156">
        <v>6</v>
      </c>
      <c r="AQ156">
        <v>6</v>
      </c>
      <c r="AT156" s="44">
        <v>0</v>
      </c>
      <c r="AU156" s="40"/>
      <c r="AV156" s="39"/>
      <c r="AX156" s="44">
        <v>0</v>
      </c>
      <c r="AY156" s="40"/>
      <c r="AZ156" s="41">
        <v>31</v>
      </c>
      <c r="BA156">
        <v>28</v>
      </c>
      <c r="BB156" s="44">
        <v>3</v>
      </c>
      <c r="BC156" s="40"/>
      <c r="BH156" s="44">
        <v>0</v>
      </c>
      <c r="BI156" s="40"/>
      <c r="BJ156">
        <v>13</v>
      </c>
      <c r="BK156">
        <v>12</v>
      </c>
      <c r="BL156" s="44">
        <v>1</v>
      </c>
      <c r="BM156" s="40"/>
      <c r="BN156" s="39"/>
      <c r="BP156">
        <v>34</v>
      </c>
      <c r="BQ156">
        <v>32</v>
      </c>
      <c r="BR156" s="44">
        <v>2</v>
      </c>
      <c r="BS156" s="40"/>
      <c r="BV156" s="44">
        <v>0</v>
      </c>
      <c r="BW156" s="40"/>
      <c r="BX156" s="41">
        <v>13</v>
      </c>
      <c r="BY156">
        <v>11</v>
      </c>
      <c r="BZ156" s="44">
        <v>2</v>
      </c>
      <c r="CA156" s="40"/>
      <c r="CB156" s="39"/>
      <c r="CD156">
        <v>31</v>
      </c>
      <c r="CG156">
        <v>30</v>
      </c>
      <c r="CH156" s="44">
        <v>1</v>
      </c>
      <c r="CI156" s="40"/>
      <c r="CL156">
        <v>22</v>
      </c>
      <c r="CM156">
        <v>21</v>
      </c>
      <c r="CN156" s="44">
        <v>1</v>
      </c>
      <c r="CO156" s="40"/>
      <c r="CP156" s="39"/>
      <c r="CT156" s="44">
        <v>0</v>
      </c>
      <c r="CU156" s="40"/>
      <c r="CV156" s="39"/>
      <c r="CZ156" s="44">
        <v>0</v>
      </c>
      <c r="DA156" s="40"/>
      <c r="DB156" s="39"/>
      <c r="DD156">
        <v>50</v>
      </c>
      <c r="DE156">
        <v>48</v>
      </c>
      <c r="DF156" s="44">
        <v>2</v>
      </c>
      <c r="DG156" s="40"/>
      <c r="DN156" s="44">
        <v>0</v>
      </c>
      <c r="DO156" s="40"/>
      <c r="DP156" s="39"/>
      <c r="DQ156">
        <v>6</v>
      </c>
      <c r="DR156" s="46">
        <v>-6</v>
      </c>
      <c r="DS156" s="40">
        <v>6</v>
      </c>
      <c r="DT156" s="39"/>
      <c r="DV156">
        <v>37</v>
      </c>
      <c r="DW156">
        <v>36</v>
      </c>
      <c r="DX156" s="44">
        <v>1</v>
      </c>
      <c r="DY156" s="40"/>
      <c r="DZ156" s="39"/>
      <c r="EB156" s="44">
        <v>0</v>
      </c>
      <c r="EC156" s="40"/>
      <c r="EI156">
        <v>37</v>
      </c>
      <c r="EJ156">
        <v>36</v>
      </c>
      <c r="EK156" s="44">
        <v>1</v>
      </c>
      <c r="EL156" s="40"/>
      <c r="EQ156">
        <v>18</v>
      </c>
      <c r="ER156">
        <v>18</v>
      </c>
      <c r="ES156" s="44">
        <v>0</v>
      </c>
      <c r="ET156" s="40"/>
      <c r="EU156" s="39"/>
      <c r="EY156" s="44">
        <v>0</v>
      </c>
      <c r="EZ156" s="40"/>
      <c r="FA156" s="39"/>
      <c r="FB156">
        <v>22</v>
      </c>
      <c r="FC156">
        <v>21</v>
      </c>
      <c r="FD156" s="44">
        <v>1</v>
      </c>
      <c r="FE156" s="40"/>
      <c r="FH156" s="44">
        <v>0</v>
      </c>
      <c r="FI156" s="40"/>
      <c r="FJ156" s="39"/>
      <c r="FQ156" s="44">
        <v>0</v>
      </c>
      <c r="FR156" s="40"/>
      <c r="FU156">
        <v>53</v>
      </c>
      <c r="FV156">
        <v>50</v>
      </c>
      <c r="FW156" s="44">
        <v>3</v>
      </c>
      <c r="FX156" s="40"/>
      <c r="FY156" s="39"/>
      <c r="GC156" s="44">
        <v>0</v>
      </c>
      <c r="GD156" s="40"/>
      <c r="GG156">
        <v>22</v>
      </c>
      <c r="GH156">
        <v>21</v>
      </c>
      <c r="GI156" s="44">
        <v>1</v>
      </c>
      <c r="GJ156" s="40"/>
      <c r="GM156" s="44">
        <v>0</v>
      </c>
      <c r="GN156" s="40"/>
      <c r="GO156" s="39"/>
      <c r="GQ156" s="44">
        <v>0</v>
      </c>
      <c r="GR156" s="40"/>
      <c r="GX156" s="44">
        <v>0</v>
      </c>
      <c r="GY156" s="40"/>
      <c r="HB156">
        <v>81</v>
      </c>
      <c r="HC156">
        <v>75</v>
      </c>
      <c r="HD156" s="44">
        <v>6</v>
      </c>
      <c r="HE156" s="40"/>
      <c r="HF156" s="39"/>
      <c r="HH156">
        <v>78</v>
      </c>
      <c r="HI156">
        <v>70</v>
      </c>
      <c r="HJ156" s="44">
        <v>8</v>
      </c>
      <c r="HK156" s="40"/>
      <c r="HL156" s="39"/>
      <c r="HN156">
        <v>33</v>
      </c>
      <c r="HO156">
        <v>30</v>
      </c>
      <c r="HP156" s="44">
        <v>3</v>
      </c>
      <c r="HQ156" s="40"/>
      <c r="HT156">
        <v>65</v>
      </c>
      <c r="HU156">
        <v>60</v>
      </c>
      <c r="HV156" s="44">
        <v>5</v>
      </c>
      <c r="HW156" s="43"/>
      <c r="HX156">
        <v>64</v>
      </c>
      <c r="HY156" s="44">
        <v>60</v>
      </c>
      <c r="HZ156" s="44">
        <v>45</v>
      </c>
      <c r="IA156" s="44">
        <v>40</v>
      </c>
      <c r="IB156" s="44">
        <v>9</v>
      </c>
      <c r="IC156" s="43"/>
      <c r="IH156" s="44">
        <v>0</v>
      </c>
      <c r="II156" s="43"/>
      <c r="IO156" s="40"/>
      <c r="IS156" s="40"/>
      <c r="IY156" s="43"/>
      <c r="JC156" s="40"/>
      <c r="JI156" s="40"/>
      <c r="JO156" s="43"/>
      <c r="JU156" s="43"/>
      <c r="KA156" s="43"/>
      <c r="KB156" s="42"/>
      <c r="KJ156" s="43"/>
      <c r="KP156" s="43"/>
      <c r="KV156" s="43"/>
      <c r="KW156" s="42"/>
      <c r="KZ156" s="43"/>
      <c r="LA156" s="42"/>
      <c r="LF156" s="43"/>
      <c r="LG156" s="42"/>
      <c r="LL156" s="43"/>
      <c r="LM156" s="42"/>
      <c r="LP156" s="43"/>
      <c r="LQ156" s="42"/>
      <c r="LV156" s="43"/>
      <c r="LW156" s="42"/>
      <c r="MB156" s="43"/>
      <c r="MC156" s="42"/>
      <c r="MH156" s="43"/>
      <c r="MI156" s="42"/>
      <c r="MN156" s="43"/>
      <c r="MO156" s="42"/>
      <c r="MT156" s="43"/>
      <c r="MU156" s="42"/>
      <c r="MZ156" s="43"/>
      <c r="NA156" s="42"/>
      <c r="NF156" s="43"/>
      <c r="NG156" s="42"/>
      <c r="NL156" s="43"/>
      <c r="NM156" s="42"/>
      <c r="NR156" s="43"/>
      <c r="NS156" s="42"/>
      <c r="NX156" s="43"/>
      <c r="NY156" s="42"/>
      <c r="OD156" s="43"/>
      <c r="OE156" s="42"/>
      <c r="OJ156" s="43"/>
      <c r="OK156" s="42"/>
      <c r="OP156" s="43"/>
      <c r="OQ156" s="42"/>
      <c r="OV156" s="43"/>
      <c r="OW156" s="42"/>
      <c r="PB156" s="43"/>
      <c r="PC156" s="42"/>
      <c r="PH156" s="43"/>
      <c r="PI156" s="42"/>
      <c r="PK156" s="44"/>
      <c r="PN156" s="43"/>
      <c r="PO156" s="42"/>
      <c r="PT156" s="43"/>
      <c r="PU156" s="42"/>
      <c r="PZ156" s="43"/>
      <c r="QA156" s="42"/>
      <c r="QD156" s="43"/>
      <c r="QE156" s="42"/>
      <c r="QH156" s="43"/>
      <c r="QI156" s="42"/>
      <c r="QL156" s="43"/>
      <c r="QM156" s="42"/>
      <c r="QQ156" s="44"/>
      <c r="QR156" s="43"/>
      <c r="QS156" s="42"/>
      <c r="QV156" s="43"/>
      <c r="QW156" s="42"/>
      <c r="QY156" s="44"/>
      <c r="QZ156" s="43"/>
    </row>
    <row r="157" spans="1:468" x14ac:dyDescent="0.25">
      <c r="A157" s="47" t="s">
        <v>441</v>
      </c>
      <c r="B157" s="38">
        <v>0.41</v>
      </c>
      <c r="E157">
        <v>320</v>
      </c>
      <c r="F157">
        <v>168</v>
      </c>
      <c r="I157">
        <v>370</v>
      </c>
      <c r="J157">
        <v>400</v>
      </c>
      <c r="K157">
        <v>399</v>
      </c>
      <c r="N157" s="41">
        <v>300</v>
      </c>
      <c r="O157" s="49">
        <v>300</v>
      </c>
      <c r="P157" s="48"/>
      <c r="Q157" s="49">
        <v>120</v>
      </c>
      <c r="R157" s="53">
        <f t="shared" si="16"/>
        <v>-120</v>
      </c>
      <c r="S157" s="40">
        <f>-1*R157*B157</f>
        <v>49.199999999999996</v>
      </c>
      <c r="T157" s="41">
        <v>1010</v>
      </c>
      <c r="U157" s="49">
        <v>1013</v>
      </c>
      <c r="V157" s="48">
        <f t="shared" si="17"/>
        <v>-3</v>
      </c>
      <c r="W157" s="40"/>
      <c r="X157" s="41">
        <v>350</v>
      </c>
      <c r="Y157" s="49">
        <v>350</v>
      </c>
      <c r="Z157" s="49">
        <v>190</v>
      </c>
      <c r="AA157" s="49">
        <v>193</v>
      </c>
      <c r="AB157" s="48">
        <f t="shared" si="18"/>
        <v>-3</v>
      </c>
      <c r="AC157" s="40"/>
      <c r="AD157" s="48"/>
      <c r="AH157" s="44">
        <v>0</v>
      </c>
      <c r="AI157" s="40"/>
      <c r="AJ157">
        <v>680</v>
      </c>
      <c r="AK157">
        <v>680</v>
      </c>
      <c r="AL157">
        <v>720</v>
      </c>
      <c r="AM157">
        <v>720</v>
      </c>
      <c r="AN157" s="44">
        <v>0</v>
      </c>
      <c r="AO157" s="40"/>
      <c r="AP157">
        <v>200</v>
      </c>
      <c r="AQ157">
        <v>200</v>
      </c>
      <c r="AR157">
        <v>90</v>
      </c>
      <c r="AS157">
        <v>93</v>
      </c>
      <c r="AT157" s="44">
        <v>-3</v>
      </c>
      <c r="AU157" s="40"/>
      <c r="AV157" s="41">
        <v>450</v>
      </c>
      <c r="AW157">
        <v>450</v>
      </c>
      <c r="AX157" s="44">
        <v>0</v>
      </c>
      <c r="AY157" s="40"/>
      <c r="AZ157" s="41">
        <v>630</v>
      </c>
      <c r="BA157">
        <v>637</v>
      </c>
      <c r="BB157" s="44">
        <v>-7</v>
      </c>
      <c r="BC157" s="40"/>
      <c r="BD157">
        <v>250</v>
      </c>
      <c r="BE157">
        <v>250</v>
      </c>
      <c r="BF157">
        <v>120</v>
      </c>
      <c r="BG157">
        <v>100</v>
      </c>
      <c r="BH157" s="44">
        <v>20</v>
      </c>
      <c r="BI157" s="40"/>
      <c r="BJ157">
        <v>1290</v>
      </c>
      <c r="BK157">
        <v>1292</v>
      </c>
      <c r="BL157" s="44">
        <v>-2</v>
      </c>
      <c r="BM157" s="40"/>
      <c r="BN157" s="41">
        <v>500</v>
      </c>
      <c r="BO157">
        <v>500</v>
      </c>
      <c r="BP157">
        <v>970</v>
      </c>
      <c r="BQ157">
        <v>976</v>
      </c>
      <c r="BR157" s="44">
        <v>-6</v>
      </c>
      <c r="BS157" s="40"/>
      <c r="BV157" s="44">
        <v>0</v>
      </c>
      <c r="BW157" s="40"/>
      <c r="BX157" s="39"/>
      <c r="BY157">
        <v>558</v>
      </c>
      <c r="BZ157" s="46">
        <v>-558</v>
      </c>
      <c r="CA157" s="40">
        <v>228.78</v>
      </c>
      <c r="CB157" s="41">
        <v>400</v>
      </c>
      <c r="CC157">
        <v>400</v>
      </c>
      <c r="CD157">
        <v>400</v>
      </c>
      <c r="CE157">
        <v>800</v>
      </c>
      <c r="CF157">
        <v>800</v>
      </c>
      <c r="CG157">
        <v>400</v>
      </c>
      <c r="CH157" s="44">
        <v>0</v>
      </c>
      <c r="CI157" s="40"/>
      <c r="CJ157">
        <v>500</v>
      </c>
      <c r="CK157">
        <v>500</v>
      </c>
      <c r="CL157">
        <v>710</v>
      </c>
      <c r="CM157">
        <v>716</v>
      </c>
      <c r="CN157" s="44">
        <v>-6</v>
      </c>
      <c r="CO157" s="40"/>
      <c r="CP157" s="41">
        <v>350</v>
      </c>
      <c r="CQ157">
        <v>350</v>
      </c>
      <c r="CR157">
        <v>190</v>
      </c>
      <c r="CS157">
        <v>190</v>
      </c>
      <c r="CT157" s="44">
        <v>0</v>
      </c>
      <c r="CU157" s="40"/>
      <c r="CV157" s="39"/>
      <c r="CX157">
        <v>890</v>
      </c>
      <c r="CY157">
        <v>897</v>
      </c>
      <c r="CZ157" s="44">
        <v>-7</v>
      </c>
      <c r="DA157" s="40"/>
      <c r="DB157" s="41">
        <v>220</v>
      </c>
      <c r="DC157">
        <v>220</v>
      </c>
      <c r="DD157">
        <v>430</v>
      </c>
      <c r="DE157">
        <v>430</v>
      </c>
      <c r="DF157" s="44">
        <v>0</v>
      </c>
      <c r="DG157" s="40"/>
      <c r="DH157">
        <v>500</v>
      </c>
      <c r="DI157">
        <v>500</v>
      </c>
      <c r="DJ157">
        <v>600</v>
      </c>
      <c r="DK157">
        <v>600</v>
      </c>
      <c r="DL157">
        <v>500</v>
      </c>
      <c r="DM157">
        <v>500</v>
      </c>
      <c r="DN157" s="44">
        <v>0</v>
      </c>
      <c r="DO157" s="40"/>
      <c r="DP157" s="41">
        <v>510</v>
      </c>
      <c r="DQ157">
        <v>510</v>
      </c>
      <c r="DR157" s="44">
        <v>0</v>
      </c>
      <c r="DS157" s="40"/>
      <c r="DT157" s="41">
        <v>300</v>
      </c>
      <c r="DU157">
        <v>300</v>
      </c>
      <c r="DV157">
        <v>350</v>
      </c>
      <c r="DW157">
        <v>350</v>
      </c>
      <c r="DX157" s="44">
        <v>0</v>
      </c>
      <c r="DY157" s="40"/>
      <c r="DZ157" s="41">
        <v>140</v>
      </c>
      <c r="EA157">
        <v>140</v>
      </c>
      <c r="EB157" s="44">
        <v>0</v>
      </c>
      <c r="EC157" s="40"/>
      <c r="ED157">
        <v>350</v>
      </c>
      <c r="EE157">
        <v>350</v>
      </c>
      <c r="EG157">
        <v>400</v>
      </c>
      <c r="EH157">
        <v>400</v>
      </c>
      <c r="EI157">
        <v>500</v>
      </c>
      <c r="EJ157">
        <v>500</v>
      </c>
      <c r="EK157" s="44">
        <v>0</v>
      </c>
      <c r="EL157" s="40"/>
      <c r="EN157">
        <v>70</v>
      </c>
      <c r="EO157">
        <v>70</v>
      </c>
      <c r="EQ157">
        <v>100</v>
      </c>
      <c r="ER157">
        <v>100</v>
      </c>
      <c r="ES157" s="44">
        <v>0</v>
      </c>
      <c r="ET157" s="40"/>
      <c r="EU157" s="41">
        <v>220</v>
      </c>
      <c r="EV157">
        <v>220</v>
      </c>
      <c r="EW157">
        <v>400</v>
      </c>
      <c r="EX157">
        <v>400</v>
      </c>
      <c r="EY157" s="44">
        <v>0</v>
      </c>
      <c r="EZ157" s="40"/>
      <c r="FA157" s="39"/>
      <c r="FB157">
        <v>570</v>
      </c>
      <c r="FC157">
        <v>574</v>
      </c>
      <c r="FD157" s="44">
        <v>-4</v>
      </c>
      <c r="FE157" s="40"/>
      <c r="FH157" s="44">
        <v>0</v>
      </c>
      <c r="FI157" s="40"/>
      <c r="FJ157" s="41">
        <v>400</v>
      </c>
      <c r="FK157">
        <v>400</v>
      </c>
      <c r="FO157">
        <v>500</v>
      </c>
      <c r="FP157">
        <v>500</v>
      </c>
      <c r="FQ157" s="44">
        <v>0</v>
      </c>
      <c r="FR157" s="40"/>
      <c r="FS157">
        <v>130</v>
      </c>
      <c r="FT157">
        <v>130</v>
      </c>
      <c r="FU157">
        <v>130</v>
      </c>
      <c r="FV157">
        <v>130</v>
      </c>
      <c r="FW157" s="44">
        <v>0</v>
      </c>
      <c r="FX157" s="40"/>
      <c r="FY157" s="41">
        <v>210</v>
      </c>
      <c r="FZ157">
        <v>200</v>
      </c>
      <c r="GA157">
        <v>240</v>
      </c>
      <c r="GB157">
        <v>230</v>
      </c>
      <c r="GC157" s="44">
        <v>20</v>
      </c>
      <c r="GD157" s="40"/>
      <c r="GE157">
        <v>280</v>
      </c>
      <c r="GF157">
        <v>280</v>
      </c>
      <c r="GG157">
        <v>300</v>
      </c>
      <c r="GH157">
        <v>300</v>
      </c>
      <c r="GI157" s="44">
        <v>0</v>
      </c>
      <c r="GJ157" s="40"/>
      <c r="GK157">
        <v>400</v>
      </c>
      <c r="GL157" s="47">
        <v>400</v>
      </c>
      <c r="GM157" s="44">
        <v>0</v>
      </c>
      <c r="GN157" s="40"/>
      <c r="GO157" s="41">
        <v>130</v>
      </c>
      <c r="GP157">
        <v>130</v>
      </c>
      <c r="GQ157" s="44">
        <v>0</v>
      </c>
      <c r="GR157" s="40"/>
      <c r="GS157">
        <v>400</v>
      </c>
      <c r="GT157">
        <v>400</v>
      </c>
      <c r="GV157">
        <v>470</v>
      </c>
      <c r="GW157">
        <v>470</v>
      </c>
      <c r="GX157" s="44">
        <v>0</v>
      </c>
      <c r="GY157" s="40"/>
      <c r="GZ157">
        <v>90</v>
      </c>
      <c r="HA157">
        <v>90</v>
      </c>
      <c r="HD157" s="44">
        <v>0</v>
      </c>
      <c r="HE157" s="40"/>
      <c r="HF157" s="39"/>
      <c r="HG157">
        <v>450</v>
      </c>
      <c r="HH157">
        <v>460</v>
      </c>
      <c r="HI157">
        <v>460</v>
      </c>
      <c r="HJ157" s="46">
        <v>-450</v>
      </c>
      <c r="HK157" s="40">
        <v>184.5</v>
      </c>
      <c r="HL157" s="41">
        <v>160</v>
      </c>
      <c r="HM157">
        <v>150</v>
      </c>
      <c r="HN157">
        <v>150</v>
      </c>
      <c r="HO157">
        <v>150</v>
      </c>
      <c r="HP157" s="44">
        <v>10</v>
      </c>
      <c r="HQ157" s="40"/>
      <c r="HR157">
        <v>200</v>
      </c>
      <c r="HS157">
        <v>200</v>
      </c>
      <c r="HT157">
        <v>200</v>
      </c>
      <c r="HU157">
        <v>200</v>
      </c>
      <c r="HV157" s="44">
        <v>0</v>
      </c>
      <c r="HW157" s="43"/>
      <c r="HX157" s="44">
        <v>190</v>
      </c>
      <c r="HY157" s="44">
        <v>190</v>
      </c>
      <c r="IB157" s="44">
        <v>0</v>
      </c>
      <c r="IC157" s="43"/>
      <c r="IH157" s="44">
        <v>0</v>
      </c>
      <c r="II157" s="43"/>
      <c r="IO157" s="40"/>
      <c r="IS157" s="40"/>
      <c r="IY157" s="43"/>
      <c r="JC157" s="40"/>
      <c r="JI157" s="40"/>
      <c r="JO157" s="43"/>
      <c r="JU157" s="43"/>
      <c r="KA157" s="43"/>
      <c r="KB157" s="42"/>
      <c r="KJ157" s="43"/>
      <c r="KP157" s="43"/>
      <c r="KV157" s="43"/>
      <c r="KW157" s="42"/>
      <c r="KZ157" s="43"/>
      <c r="LA157" s="42"/>
      <c r="LF157" s="43"/>
      <c r="LG157" s="42"/>
      <c r="LL157" s="43"/>
      <c r="LM157" s="42"/>
      <c r="LP157" s="43"/>
      <c r="LQ157" s="42"/>
      <c r="LV157" s="43"/>
      <c r="LW157" s="42"/>
      <c r="MB157" s="43"/>
      <c r="MC157" s="42"/>
      <c r="MH157" s="43"/>
      <c r="MI157" s="42"/>
      <c r="MN157" s="43"/>
      <c r="MO157" s="42"/>
      <c r="MT157" s="43"/>
      <c r="MU157" s="42"/>
      <c r="MZ157" s="43"/>
      <c r="NA157" s="42"/>
      <c r="NF157" s="43"/>
      <c r="NG157" s="42"/>
      <c r="NL157" s="43"/>
      <c r="NM157" s="42"/>
      <c r="NR157" s="43"/>
      <c r="NS157" s="42"/>
      <c r="NX157" s="43"/>
      <c r="NY157" s="42"/>
      <c r="OD157" s="43"/>
      <c r="OE157" s="42"/>
      <c r="OJ157" s="43"/>
      <c r="OK157" s="42"/>
      <c r="OP157" s="43"/>
      <c r="OQ157" s="42"/>
      <c r="OV157" s="43"/>
      <c r="OW157" s="42"/>
      <c r="PB157" s="43"/>
      <c r="PC157" s="42"/>
      <c r="PH157" s="43"/>
      <c r="PI157" s="42"/>
      <c r="PK157" s="44"/>
      <c r="PN157" s="43"/>
      <c r="PO157" s="42"/>
      <c r="PT157" s="43"/>
      <c r="PU157" s="42"/>
      <c r="PZ157" s="43"/>
      <c r="QA157" s="42"/>
      <c r="QD157" s="43"/>
      <c r="QE157" s="42"/>
      <c r="QH157" s="43"/>
      <c r="QI157" s="42"/>
      <c r="QL157" s="43"/>
      <c r="QM157" s="42"/>
      <c r="QQ157" s="44"/>
      <c r="QR157" s="43"/>
      <c r="QS157" s="42"/>
      <c r="QV157" s="43"/>
      <c r="QW157" s="42"/>
      <c r="QY157" s="44"/>
      <c r="QZ157" s="43"/>
    </row>
    <row r="158" spans="1:468" x14ac:dyDescent="0.25">
      <c r="A158" s="47" t="s">
        <v>442</v>
      </c>
      <c r="B158" s="38">
        <v>1</v>
      </c>
      <c r="F158">
        <v>19</v>
      </c>
      <c r="I158">
        <v>70</v>
      </c>
      <c r="J158">
        <v>87</v>
      </c>
      <c r="K158">
        <v>85</v>
      </c>
      <c r="N158" s="39"/>
      <c r="O158" s="48"/>
      <c r="P158" s="49">
        <v>113</v>
      </c>
      <c r="Q158" s="49">
        <v>111</v>
      </c>
      <c r="R158" s="48">
        <f t="shared" si="16"/>
        <v>2</v>
      </c>
      <c r="S158" s="40"/>
      <c r="T158" s="41">
        <v>74</v>
      </c>
      <c r="U158" s="49">
        <v>71</v>
      </c>
      <c r="V158" s="48">
        <f t="shared" si="17"/>
        <v>3</v>
      </c>
      <c r="W158" s="40"/>
      <c r="X158" s="41">
        <v>76</v>
      </c>
      <c r="Y158" s="49">
        <v>70</v>
      </c>
      <c r="Z158" s="49">
        <v>30</v>
      </c>
      <c r="AA158" s="49">
        <v>29</v>
      </c>
      <c r="AB158" s="48">
        <f t="shared" si="18"/>
        <v>7</v>
      </c>
      <c r="AC158" s="40"/>
      <c r="AD158" s="48"/>
      <c r="AF158">
        <v>49</v>
      </c>
      <c r="AG158">
        <v>50</v>
      </c>
      <c r="AH158" s="44">
        <v>-1</v>
      </c>
      <c r="AI158" s="40"/>
      <c r="AJ158">
        <v>50</v>
      </c>
      <c r="AK158">
        <v>50</v>
      </c>
      <c r="AL158">
        <v>67</v>
      </c>
      <c r="AM158">
        <v>64</v>
      </c>
      <c r="AN158" s="44">
        <v>3</v>
      </c>
      <c r="AO158" s="40"/>
      <c r="AP158">
        <v>123</v>
      </c>
      <c r="AQ158">
        <v>120</v>
      </c>
      <c r="AR158">
        <v>138</v>
      </c>
      <c r="AS158">
        <v>135</v>
      </c>
      <c r="AT158" s="44">
        <v>6</v>
      </c>
      <c r="AU158" s="40"/>
      <c r="AV158" s="41">
        <v>19</v>
      </c>
      <c r="AW158">
        <v>16</v>
      </c>
      <c r="AX158" s="44">
        <v>3</v>
      </c>
      <c r="AY158" s="40"/>
      <c r="AZ158" s="39"/>
      <c r="BB158" s="44">
        <v>0</v>
      </c>
      <c r="BC158" s="40"/>
      <c r="BD158">
        <v>75</v>
      </c>
      <c r="BE158">
        <v>70</v>
      </c>
      <c r="BF158">
        <v>75</v>
      </c>
      <c r="BG158">
        <v>74</v>
      </c>
      <c r="BH158" s="44">
        <v>6</v>
      </c>
      <c r="BI158" s="40"/>
      <c r="BJ158">
        <v>137</v>
      </c>
      <c r="BK158">
        <v>134</v>
      </c>
      <c r="BL158" s="44">
        <v>3</v>
      </c>
      <c r="BM158" s="40"/>
      <c r="BN158" s="41">
        <v>107</v>
      </c>
      <c r="BO158">
        <v>100</v>
      </c>
      <c r="BP158">
        <v>192</v>
      </c>
      <c r="BQ158">
        <v>184</v>
      </c>
      <c r="BR158" s="44">
        <v>15</v>
      </c>
      <c r="BS158" s="40"/>
      <c r="BV158" s="44">
        <v>0</v>
      </c>
      <c r="BW158" s="40"/>
      <c r="BX158" s="41">
        <v>225</v>
      </c>
      <c r="BY158">
        <v>220</v>
      </c>
      <c r="BZ158" s="44">
        <v>5</v>
      </c>
      <c r="CA158" s="40"/>
      <c r="CB158" s="41">
        <v>50</v>
      </c>
      <c r="CC158">
        <v>50</v>
      </c>
      <c r="CD158">
        <v>104</v>
      </c>
      <c r="CG158">
        <v>100</v>
      </c>
      <c r="CH158" s="44">
        <v>4</v>
      </c>
      <c r="CI158" s="40"/>
      <c r="CL158">
        <v>74</v>
      </c>
      <c r="CM158">
        <v>70</v>
      </c>
      <c r="CN158" s="44">
        <v>4</v>
      </c>
      <c r="CO158" s="40"/>
      <c r="CP158" s="41">
        <v>51</v>
      </c>
      <c r="CQ158">
        <v>50</v>
      </c>
      <c r="CT158" s="44">
        <v>1</v>
      </c>
      <c r="CU158" s="40"/>
      <c r="CV158" s="39"/>
      <c r="CX158">
        <v>143</v>
      </c>
      <c r="CY158">
        <v>137</v>
      </c>
      <c r="CZ158" s="44">
        <v>6</v>
      </c>
      <c r="DA158" s="40"/>
      <c r="DB158" s="41">
        <v>105</v>
      </c>
      <c r="DC158">
        <v>100</v>
      </c>
      <c r="DD158">
        <v>218</v>
      </c>
      <c r="DE158">
        <v>210</v>
      </c>
      <c r="DF158" s="44">
        <v>13</v>
      </c>
      <c r="DG158" s="40"/>
      <c r="DJ158">
        <v>187</v>
      </c>
      <c r="DK158">
        <v>180</v>
      </c>
      <c r="DN158" s="44">
        <v>7</v>
      </c>
      <c r="DO158" s="40"/>
      <c r="DP158" s="39"/>
      <c r="DR158" s="44">
        <v>0</v>
      </c>
      <c r="DS158" s="40"/>
      <c r="DT158" s="41">
        <v>108</v>
      </c>
      <c r="DU158">
        <v>100</v>
      </c>
      <c r="DV158">
        <v>126</v>
      </c>
      <c r="DW158">
        <v>120</v>
      </c>
      <c r="DX158" s="44">
        <v>14</v>
      </c>
      <c r="DY158" s="40"/>
      <c r="DZ158" s="41">
        <v>125</v>
      </c>
      <c r="EA158">
        <v>120</v>
      </c>
      <c r="EB158" s="44">
        <v>5</v>
      </c>
      <c r="EC158" s="40"/>
      <c r="ED158">
        <v>49</v>
      </c>
      <c r="EE158">
        <v>50</v>
      </c>
      <c r="EG158">
        <v>50</v>
      </c>
      <c r="EH158">
        <v>50</v>
      </c>
      <c r="EI158">
        <v>105</v>
      </c>
      <c r="EJ158">
        <v>100</v>
      </c>
      <c r="EK158" s="44">
        <v>4</v>
      </c>
      <c r="EL158" s="40"/>
      <c r="EN158">
        <v>43</v>
      </c>
      <c r="EO158">
        <v>40</v>
      </c>
      <c r="EQ158">
        <v>44</v>
      </c>
      <c r="ER158">
        <v>40</v>
      </c>
      <c r="ES158" s="44">
        <v>7</v>
      </c>
      <c r="ET158" s="40"/>
      <c r="EU158" s="41">
        <v>105</v>
      </c>
      <c r="EV158">
        <v>100</v>
      </c>
      <c r="EW158">
        <v>165</v>
      </c>
      <c r="EX158">
        <v>160</v>
      </c>
      <c r="EY158" s="44">
        <v>10</v>
      </c>
      <c r="EZ158" s="40"/>
      <c r="FA158" s="39"/>
      <c r="FD158" s="44">
        <v>0</v>
      </c>
      <c r="FE158" s="40"/>
      <c r="FF158">
        <v>31</v>
      </c>
      <c r="FG158">
        <v>30</v>
      </c>
      <c r="FH158" s="44">
        <v>1</v>
      </c>
      <c r="FI158" s="40"/>
      <c r="FJ158" s="39"/>
      <c r="FO158">
        <v>327</v>
      </c>
      <c r="FP158">
        <v>310</v>
      </c>
      <c r="FQ158" s="44">
        <v>17</v>
      </c>
      <c r="FR158" s="40"/>
      <c r="FU158">
        <v>57</v>
      </c>
      <c r="FV158">
        <v>55</v>
      </c>
      <c r="FW158" s="44">
        <v>2</v>
      </c>
      <c r="FX158" s="40"/>
      <c r="FY158" s="41">
        <v>50</v>
      </c>
      <c r="FZ158">
        <v>50</v>
      </c>
      <c r="GA158">
        <v>106</v>
      </c>
      <c r="GB158">
        <v>100</v>
      </c>
      <c r="GC158" s="44">
        <v>6</v>
      </c>
      <c r="GD158" s="40"/>
      <c r="GE158">
        <v>106</v>
      </c>
      <c r="GF158">
        <v>100</v>
      </c>
      <c r="GG158">
        <v>106</v>
      </c>
      <c r="GH158">
        <v>100</v>
      </c>
      <c r="GI158" s="44">
        <v>12</v>
      </c>
      <c r="GJ158" s="40"/>
      <c r="GK158">
        <v>131</v>
      </c>
      <c r="GL158" s="47">
        <v>125.4294</v>
      </c>
      <c r="GM158" s="44">
        <v>5.5705999999999989</v>
      </c>
      <c r="GN158" s="40"/>
      <c r="GO158" s="41">
        <v>105</v>
      </c>
      <c r="GP158">
        <v>100</v>
      </c>
      <c r="GQ158" s="44">
        <v>5</v>
      </c>
      <c r="GR158" s="40"/>
      <c r="GS158">
        <v>43</v>
      </c>
      <c r="GT158">
        <v>40</v>
      </c>
      <c r="GV158">
        <v>49</v>
      </c>
      <c r="GW158">
        <v>50</v>
      </c>
      <c r="GX158" s="44">
        <v>2</v>
      </c>
      <c r="GY158" s="40"/>
      <c r="HB158">
        <v>263</v>
      </c>
      <c r="HC158">
        <v>260</v>
      </c>
      <c r="HD158" s="44">
        <v>3</v>
      </c>
      <c r="HE158" s="40"/>
      <c r="HF158" s="41">
        <v>105</v>
      </c>
      <c r="HG158">
        <v>100</v>
      </c>
      <c r="HH158">
        <v>111</v>
      </c>
      <c r="HI158">
        <v>110</v>
      </c>
      <c r="HJ158" s="44">
        <v>6</v>
      </c>
      <c r="HK158" s="40"/>
      <c r="HL158" s="41">
        <v>50</v>
      </c>
      <c r="HM158">
        <v>50</v>
      </c>
      <c r="HN158">
        <v>49</v>
      </c>
      <c r="HO158">
        <v>50</v>
      </c>
      <c r="HP158" s="44">
        <v>-1</v>
      </c>
      <c r="HQ158" s="40"/>
      <c r="HR158">
        <v>18</v>
      </c>
      <c r="HS158">
        <v>20</v>
      </c>
      <c r="HT158">
        <v>105</v>
      </c>
      <c r="HU158">
        <v>100</v>
      </c>
      <c r="HV158" s="44">
        <v>3</v>
      </c>
      <c r="HW158" s="43"/>
      <c r="HX158">
        <v>107</v>
      </c>
      <c r="HY158" s="44">
        <v>100</v>
      </c>
      <c r="HZ158" s="44">
        <v>105</v>
      </c>
      <c r="IA158" s="44">
        <v>100</v>
      </c>
      <c r="IB158" s="44">
        <v>12</v>
      </c>
      <c r="IC158" s="43"/>
      <c r="IH158" s="44">
        <v>0</v>
      </c>
      <c r="II158" s="43"/>
      <c r="IO158" s="40"/>
      <c r="IS158" s="40"/>
      <c r="IY158" s="43"/>
      <c r="JC158" s="40"/>
      <c r="JI158" s="40"/>
      <c r="JO158" s="43"/>
      <c r="JU158" s="43"/>
      <c r="KA158" s="43"/>
      <c r="KB158" s="42"/>
      <c r="KJ158" s="43"/>
      <c r="KP158" s="43"/>
      <c r="KV158" s="43"/>
      <c r="KW158" s="42"/>
      <c r="KZ158" s="43"/>
      <c r="LA158" s="42"/>
      <c r="LF158" s="43"/>
      <c r="LG158" s="42"/>
      <c r="LL158" s="43"/>
      <c r="LM158" s="42"/>
      <c r="LP158" s="43"/>
      <c r="LQ158" s="42"/>
      <c r="LV158" s="43"/>
      <c r="LW158" s="42"/>
      <c r="MB158" s="43"/>
      <c r="MC158" s="42"/>
      <c r="MH158" s="43"/>
      <c r="MI158" s="42"/>
      <c r="MN158" s="43"/>
      <c r="MO158" s="42"/>
      <c r="MT158" s="43"/>
      <c r="MU158" s="42"/>
      <c r="MZ158" s="43"/>
      <c r="NA158" s="42"/>
      <c r="NF158" s="43"/>
      <c r="NG158" s="42"/>
      <c r="NL158" s="43"/>
      <c r="NM158" s="42"/>
      <c r="NR158" s="43"/>
      <c r="NS158" s="42"/>
      <c r="NX158" s="43"/>
      <c r="NY158" s="42"/>
      <c r="OD158" s="43"/>
      <c r="OE158" s="42"/>
      <c r="OJ158" s="43"/>
      <c r="OK158" s="42"/>
      <c r="OP158" s="43"/>
      <c r="OQ158" s="42"/>
      <c r="OV158" s="43"/>
      <c r="OW158" s="42"/>
      <c r="PB158" s="43"/>
      <c r="PC158" s="42"/>
      <c r="PH158" s="43"/>
      <c r="PI158" s="42"/>
      <c r="PK158" s="44"/>
      <c r="PN158" s="43"/>
      <c r="PO158" s="42"/>
      <c r="PT158" s="43"/>
      <c r="PU158" s="42"/>
      <c r="PZ158" s="43"/>
      <c r="QA158" s="42"/>
      <c r="QD158" s="43"/>
      <c r="QE158" s="42"/>
      <c r="QH158" s="43"/>
      <c r="QI158" s="42"/>
      <c r="QL158" s="43"/>
      <c r="QM158" s="42"/>
      <c r="QQ158" s="44"/>
      <c r="QR158" s="43"/>
      <c r="QS158" s="42"/>
      <c r="QV158" s="43"/>
      <c r="QW158" s="42"/>
      <c r="QY158" s="44"/>
      <c r="QZ158" s="43"/>
    </row>
    <row r="159" spans="1:468" x14ac:dyDescent="0.25">
      <c r="A159" s="47" t="s">
        <v>443</v>
      </c>
      <c r="B159" s="38">
        <v>0.35</v>
      </c>
      <c r="I159">
        <v>200</v>
      </c>
      <c r="J159">
        <v>288</v>
      </c>
      <c r="K159">
        <v>287</v>
      </c>
      <c r="N159" s="39"/>
      <c r="O159" s="48"/>
      <c r="P159" s="48"/>
      <c r="Q159" s="48"/>
      <c r="R159" s="48">
        <f t="shared" si="16"/>
        <v>0</v>
      </c>
      <c r="S159" s="40"/>
      <c r="T159" s="41">
        <v>256</v>
      </c>
      <c r="U159" s="49">
        <v>256</v>
      </c>
      <c r="V159" s="48">
        <f t="shared" si="17"/>
        <v>0</v>
      </c>
      <c r="W159" s="40"/>
      <c r="X159" s="41">
        <v>136</v>
      </c>
      <c r="Y159" s="49">
        <v>140</v>
      </c>
      <c r="Z159" s="49">
        <v>176</v>
      </c>
      <c r="AA159" s="49">
        <v>180</v>
      </c>
      <c r="AB159" s="48">
        <f t="shared" si="18"/>
        <v>-8</v>
      </c>
      <c r="AC159" s="40"/>
      <c r="AD159" s="48"/>
      <c r="AH159" s="44">
        <v>0</v>
      </c>
      <c r="AI159" s="40"/>
      <c r="AJ159">
        <v>96</v>
      </c>
      <c r="AK159">
        <v>100</v>
      </c>
      <c r="AL159">
        <v>120</v>
      </c>
      <c r="AM159">
        <v>120</v>
      </c>
      <c r="AN159" s="44">
        <v>-4</v>
      </c>
      <c r="AO159" s="40"/>
      <c r="AP159">
        <v>160</v>
      </c>
      <c r="AQ159">
        <v>160</v>
      </c>
      <c r="AR159">
        <v>96</v>
      </c>
      <c r="AS159">
        <v>100</v>
      </c>
      <c r="AT159" s="44">
        <v>-4</v>
      </c>
      <c r="AU159" s="40"/>
      <c r="AV159" s="41">
        <v>200</v>
      </c>
      <c r="AW159">
        <v>200</v>
      </c>
      <c r="AX159" s="44">
        <v>0</v>
      </c>
      <c r="AY159" s="40"/>
      <c r="AZ159" s="39"/>
      <c r="BB159" s="44">
        <v>0</v>
      </c>
      <c r="BC159" s="40"/>
      <c r="BD159">
        <v>96</v>
      </c>
      <c r="BE159">
        <v>101</v>
      </c>
      <c r="BH159" s="44">
        <v>-5</v>
      </c>
      <c r="BI159" s="40"/>
      <c r="BJ159">
        <v>96</v>
      </c>
      <c r="BK159">
        <v>100</v>
      </c>
      <c r="BL159" s="44">
        <v>-4</v>
      </c>
      <c r="BM159" s="40"/>
      <c r="BN159" s="41">
        <v>200</v>
      </c>
      <c r="BO159">
        <v>200</v>
      </c>
      <c r="BP159">
        <v>408</v>
      </c>
      <c r="BQ159">
        <v>409</v>
      </c>
      <c r="BR159" s="44">
        <v>-1</v>
      </c>
      <c r="BS159" s="40"/>
      <c r="BV159" s="44">
        <v>0</v>
      </c>
      <c r="BW159" s="40"/>
      <c r="BX159" s="41">
        <v>192</v>
      </c>
      <c r="BY159">
        <v>196</v>
      </c>
      <c r="BZ159" s="44">
        <v>-4</v>
      </c>
      <c r="CA159" s="40"/>
      <c r="CB159" s="39"/>
      <c r="CD159">
        <v>320</v>
      </c>
      <c r="CE159">
        <v>500</v>
      </c>
      <c r="CF159">
        <v>496</v>
      </c>
      <c r="CG159">
        <v>320</v>
      </c>
      <c r="CH159" s="44">
        <v>-4</v>
      </c>
      <c r="CI159" s="40"/>
      <c r="CJ159">
        <v>96</v>
      </c>
      <c r="CK159">
        <v>100</v>
      </c>
      <c r="CL159">
        <v>48</v>
      </c>
      <c r="CM159">
        <v>50</v>
      </c>
      <c r="CN159" s="44">
        <v>-6</v>
      </c>
      <c r="CO159" s="40"/>
      <c r="CP159" s="41">
        <v>96</v>
      </c>
      <c r="CQ159">
        <v>100</v>
      </c>
      <c r="CR159">
        <v>152</v>
      </c>
      <c r="CS159">
        <v>150</v>
      </c>
      <c r="CT159" s="44">
        <v>-2</v>
      </c>
      <c r="CU159" s="40"/>
      <c r="CV159" s="39"/>
      <c r="CX159">
        <v>512</v>
      </c>
      <c r="CY159">
        <v>514</v>
      </c>
      <c r="CZ159" s="44">
        <v>-2</v>
      </c>
      <c r="DA159" s="40"/>
      <c r="DB159" s="39"/>
      <c r="DD159">
        <v>72</v>
      </c>
      <c r="DE159">
        <v>70</v>
      </c>
      <c r="DF159" s="44">
        <v>2</v>
      </c>
      <c r="DG159" s="40"/>
      <c r="DH159">
        <v>152</v>
      </c>
      <c r="DI159">
        <v>150</v>
      </c>
      <c r="DJ159">
        <v>168</v>
      </c>
      <c r="DK159">
        <v>170</v>
      </c>
      <c r="DL159">
        <v>200</v>
      </c>
      <c r="DM159">
        <v>200</v>
      </c>
      <c r="DN159" s="44">
        <v>0</v>
      </c>
      <c r="DO159" s="40"/>
      <c r="DP159" s="41">
        <v>200</v>
      </c>
      <c r="DQ159">
        <v>200</v>
      </c>
      <c r="DR159" s="44">
        <v>0</v>
      </c>
      <c r="DS159" s="40"/>
      <c r="DT159" s="39"/>
      <c r="DX159" s="44">
        <v>0</v>
      </c>
      <c r="DY159" s="40"/>
      <c r="DZ159" s="41">
        <v>192</v>
      </c>
      <c r="EA159">
        <v>190</v>
      </c>
      <c r="EB159" s="44">
        <v>2</v>
      </c>
      <c r="EC159" s="40"/>
      <c r="ED159">
        <v>96</v>
      </c>
      <c r="EE159">
        <v>100</v>
      </c>
      <c r="EG159">
        <v>96</v>
      </c>
      <c r="EH159">
        <v>100</v>
      </c>
      <c r="EI159">
        <v>120</v>
      </c>
      <c r="EJ159">
        <v>120</v>
      </c>
      <c r="EK159" s="44">
        <v>-8</v>
      </c>
      <c r="EL159" s="40"/>
      <c r="EN159">
        <v>120</v>
      </c>
      <c r="EO159">
        <v>120</v>
      </c>
      <c r="EQ159">
        <v>136</v>
      </c>
      <c r="ER159">
        <v>140</v>
      </c>
      <c r="ES159" s="44">
        <v>-4</v>
      </c>
      <c r="ET159" s="40"/>
      <c r="EU159" s="39"/>
      <c r="EW159">
        <v>240</v>
      </c>
      <c r="EX159">
        <v>242</v>
      </c>
      <c r="EY159" s="44">
        <v>-2</v>
      </c>
      <c r="EZ159" s="40"/>
      <c r="FA159" s="39"/>
      <c r="FD159" s="44">
        <v>0</v>
      </c>
      <c r="FE159" s="40"/>
      <c r="FF159">
        <v>288</v>
      </c>
      <c r="FG159">
        <v>300</v>
      </c>
      <c r="FH159" s="46">
        <v>-12</v>
      </c>
      <c r="FI159" s="40">
        <v>4.1999999999999993</v>
      </c>
      <c r="FJ159" s="39"/>
      <c r="FO159">
        <v>160</v>
      </c>
      <c r="FP159">
        <v>160</v>
      </c>
      <c r="FQ159" s="44">
        <v>0</v>
      </c>
      <c r="FR159" s="40"/>
      <c r="FU159">
        <v>24</v>
      </c>
      <c r="FV159">
        <v>24</v>
      </c>
      <c r="FW159" s="44">
        <v>0</v>
      </c>
      <c r="FX159" s="40"/>
      <c r="FY159" s="39"/>
      <c r="GA159">
        <v>16</v>
      </c>
      <c r="GB159">
        <v>20</v>
      </c>
      <c r="GC159" s="44">
        <v>-4</v>
      </c>
      <c r="GD159" s="40"/>
      <c r="GE159">
        <v>96</v>
      </c>
      <c r="GF159">
        <v>100</v>
      </c>
      <c r="GG159">
        <v>136</v>
      </c>
      <c r="GH159">
        <v>140</v>
      </c>
      <c r="GI159" s="44">
        <v>-8</v>
      </c>
      <c r="GJ159" s="40"/>
      <c r="GK159">
        <v>88</v>
      </c>
      <c r="GL159" s="47">
        <v>90</v>
      </c>
      <c r="GM159" s="44">
        <v>-2</v>
      </c>
      <c r="GN159" s="40"/>
      <c r="GO159" s="41">
        <v>16</v>
      </c>
      <c r="GP159">
        <v>20</v>
      </c>
      <c r="GQ159" s="44">
        <v>-4</v>
      </c>
      <c r="GR159" s="40"/>
      <c r="GV159">
        <v>80</v>
      </c>
      <c r="GW159">
        <v>80</v>
      </c>
      <c r="GX159" s="44">
        <v>0</v>
      </c>
      <c r="GY159" s="40"/>
      <c r="HB159">
        <v>168</v>
      </c>
      <c r="HC159">
        <v>170</v>
      </c>
      <c r="HD159" s="44">
        <v>-2</v>
      </c>
      <c r="HE159" s="40"/>
      <c r="HF159" s="39"/>
      <c r="HH159">
        <v>136</v>
      </c>
      <c r="HI159">
        <v>140</v>
      </c>
      <c r="HJ159" s="44">
        <v>-4</v>
      </c>
      <c r="HK159" s="40"/>
      <c r="HL159" s="39"/>
      <c r="HP159" s="44">
        <v>0</v>
      </c>
      <c r="HQ159" s="40"/>
      <c r="HT159">
        <v>96</v>
      </c>
      <c r="HU159">
        <v>100</v>
      </c>
      <c r="HV159" s="44">
        <v>-4</v>
      </c>
      <c r="HW159" s="43"/>
      <c r="HX159">
        <v>80</v>
      </c>
      <c r="HY159" s="44">
        <v>80</v>
      </c>
      <c r="HZ159" s="44">
        <v>72</v>
      </c>
      <c r="IA159" s="44">
        <v>70</v>
      </c>
      <c r="IB159" s="44">
        <v>2</v>
      </c>
      <c r="IC159" s="43"/>
      <c r="IH159" s="44">
        <v>0</v>
      </c>
      <c r="II159" s="43"/>
      <c r="IO159" s="40"/>
      <c r="IS159" s="40"/>
      <c r="IY159" s="43"/>
      <c r="JC159" s="40"/>
      <c r="JI159" s="40"/>
      <c r="JO159" s="43"/>
      <c r="JU159" s="43"/>
      <c r="KA159" s="43"/>
      <c r="KB159" s="42"/>
      <c r="KJ159" s="43"/>
      <c r="KP159" s="43"/>
      <c r="KV159" s="43"/>
      <c r="KW159" s="42"/>
      <c r="KZ159" s="43"/>
      <c r="LA159" s="42"/>
      <c r="LF159" s="43"/>
      <c r="LG159" s="42"/>
      <c r="LL159" s="43"/>
      <c r="LM159" s="42"/>
      <c r="LP159" s="43"/>
      <c r="LQ159" s="42"/>
      <c r="LV159" s="43"/>
      <c r="LW159" s="42"/>
      <c r="MB159" s="43"/>
      <c r="MC159" s="42"/>
      <c r="MH159" s="43"/>
      <c r="MI159" s="42"/>
      <c r="MN159" s="43"/>
      <c r="MO159" s="42"/>
      <c r="MT159" s="43"/>
      <c r="MU159" s="42"/>
      <c r="MZ159" s="43"/>
      <c r="NA159" s="42"/>
      <c r="NF159" s="43"/>
      <c r="NG159" s="42"/>
      <c r="NL159" s="43"/>
      <c r="NM159" s="42"/>
      <c r="NR159" s="43"/>
      <c r="NS159" s="42"/>
      <c r="NX159" s="43"/>
      <c r="NY159" s="42"/>
      <c r="OD159" s="43"/>
      <c r="OE159" s="42"/>
      <c r="OJ159" s="43"/>
      <c r="OK159" s="42"/>
      <c r="OP159" s="43"/>
      <c r="OQ159" s="42"/>
      <c r="OV159" s="43"/>
      <c r="OW159" s="42"/>
      <c r="PB159" s="43"/>
      <c r="PC159" s="42"/>
      <c r="PH159" s="43"/>
      <c r="PI159" s="42"/>
      <c r="PK159" s="44"/>
      <c r="PN159" s="43"/>
      <c r="PO159" s="42"/>
      <c r="PT159" s="43"/>
      <c r="PU159" s="42"/>
      <c r="PZ159" s="43"/>
      <c r="QA159" s="42"/>
      <c r="QD159" s="43"/>
      <c r="QE159" s="42"/>
      <c r="QH159" s="43"/>
      <c r="QI159" s="42"/>
      <c r="QL159" s="43"/>
      <c r="QM159" s="42"/>
      <c r="QQ159" s="44"/>
      <c r="QR159" s="43"/>
      <c r="QS159" s="42"/>
      <c r="QV159" s="43"/>
      <c r="QW159" s="42"/>
      <c r="QY159" s="44"/>
      <c r="QZ159" s="43"/>
    </row>
    <row r="160" spans="1:468" x14ac:dyDescent="0.25">
      <c r="A160" s="47" t="s">
        <v>444</v>
      </c>
      <c r="B160" s="38">
        <v>1</v>
      </c>
      <c r="N160" s="39"/>
      <c r="O160" s="48"/>
      <c r="P160" s="48"/>
      <c r="Q160" s="48"/>
      <c r="R160" s="48">
        <f t="shared" si="16"/>
        <v>0</v>
      </c>
      <c r="S160" s="40"/>
      <c r="T160" s="41">
        <v>31</v>
      </c>
      <c r="U160" s="49">
        <v>30</v>
      </c>
      <c r="V160" s="48">
        <f t="shared" si="17"/>
        <v>1</v>
      </c>
      <c r="W160" s="40"/>
      <c r="X160" s="39"/>
      <c r="Y160" s="48"/>
      <c r="Z160" s="48"/>
      <c r="AA160" s="48"/>
      <c r="AB160" s="48">
        <f t="shared" si="18"/>
        <v>0</v>
      </c>
      <c r="AC160" s="40"/>
      <c r="AD160" s="48"/>
      <c r="AH160" s="44">
        <v>0</v>
      </c>
      <c r="AI160" s="40"/>
      <c r="AN160" s="44">
        <v>0</v>
      </c>
      <c r="AO160" s="40"/>
      <c r="AR160">
        <v>25</v>
      </c>
      <c r="AS160">
        <v>26</v>
      </c>
      <c r="AT160" s="44">
        <v>-1</v>
      </c>
      <c r="AU160" s="40"/>
      <c r="AV160" s="39"/>
      <c r="AX160" s="44">
        <v>0</v>
      </c>
      <c r="AY160" s="40"/>
      <c r="AZ160" s="39"/>
      <c r="BB160" s="44">
        <v>0</v>
      </c>
      <c r="BC160" s="40"/>
      <c r="BF160">
        <v>12</v>
      </c>
      <c r="BG160">
        <v>15</v>
      </c>
      <c r="BH160" s="44">
        <v>-3</v>
      </c>
      <c r="BI160" s="40"/>
      <c r="BL160" s="44">
        <v>0</v>
      </c>
      <c r="BM160" s="40"/>
      <c r="BN160" s="39"/>
      <c r="BR160" s="44">
        <v>0</v>
      </c>
      <c r="BS160" s="40"/>
      <c r="BV160" s="44">
        <v>0</v>
      </c>
      <c r="BW160" s="40"/>
      <c r="BX160" s="41">
        <v>38</v>
      </c>
      <c r="BY160">
        <v>37</v>
      </c>
      <c r="BZ160" s="44">
        <v>1</v>
      </c>
      <c r="CA160" s="40"/>
      <c r="CB160" s="39"/>
      <c r="CD160">
        <v>13</v>
      </c>
      <c r="CG160">
        <v>14</v>
      </c>
      <c r="CH160" s="44">
        <v>-1</v>
      </c>
      <c r="CI160" s="40"/>
      <c r="CN160" s="44">
        <v>0</v>
      </c>
      <c r="CO160" s="40"/>
      <c r="CP160" s="39"/>
      <c r="CT160" s="44">
        <v>0</v>
      </c>
      <c r="CU160" s="40"/>
      <c r="CV160" s="39"/>
      <c r="CX160">
        <v>56</v>
      </c>
      <c r="CY160">
        <v>52</v>
      </c>
      <c r="CZ160" s="44">
        <v>4</v>
      </c>
      <c r="DA160" s="40"/>
      <c r="DB160" s="39"/>
      <c r="DD160">
        <v>25</v>
      </c>
      <c r="DE160">
        <v>24</v>
      </c>
      <c r="DF160" s="44">
        <v>1</v>
      </c>
      <c r="DG160" s="40"/>
      <c r="DN160" s="44">
        <v>0</v>
      </c>
      <c r="DO160" s="40"/>
      <c r="DP160" s="39"/>
      <c r="DR160" s="44">
        <v>0</v>
      </c>
      <c r="DS160" s="40"/>
      <c r="DT160" s="39"/>
      <c r="DV160">
        <v>69</v>
      </c>
      <c r="DW160">
        <v>69</v>
      </c>
      <c r="DX160" s="44">
        <v>0</v>
      </c>
      <c r="DY160" s="40"/>
      <c r="DZ160" s="41">
        <v>31</v>
      </c>
      <c r="EA160">
        <v>32</v>
      </c>
      <c r="EB160" s="44">
        <v>-1</v>
      </c>
      <c r="EC160" s="40"/>
      <c r="EG160">
        <v>12</v>
      </c>
      <c r="EH160">
        <v>12</v>
      </c>
      <c r="EK160" s="44">
        <v>0</v>
      </c>
      <c r="EL160" s="40"/>
      <c r="EQ160">
        <v>6</v>
      </c>
      <c r="ER160">
        <v>6</v>
      </c>
      <c r="ES160" s="44">
        <v>0</v>
      </c>
      <c r="ET160" s="40"/>
      <c r="EU160" s="39"/>
      <c r="EW160">
        <v>75</v>
      </c>
      <c r="EX160">
        <v>72</v>
      </c>
      <c r="EY160" s="44">
        <v>3</v>
      </c>
      <c r="EZ160" s="40"/>
      <c r="FA160" s="39"/>
      <c r="FD160" s="44">
        <v>0</v>
      </c>
      <c r="FE160" s="40"/>
      <c r="FH160" s="44">
        <v>0</v>
      </c>
      <c r="FI160" s="40"/>
      <c r="FJ160" s="39"/>
      <c r="FO160">
        <v>93</v>
      </c>
      <c r="FP160">
        <v>90</v>
      </c>
      <c r="FQ160" s="44">
        <v>3</v>
      </c>
      <c r="FR160" s="40"/>
      <c r="FU160">
        <v>19</v>
      </c>
      <c r="FV160">
        <v>20</v>
      </c>
      <c r="FW160" s="44">
        <v>-1</v>
      </c>
      <c r="FX160" s="40"/>
      <c r="FY160" s="39"/>
      <c r="GC160" s="44">
        <v>0</v>
      </c>
      <c r="GD160" s="40"/>
      <c r="GI160" s="44">
        <v>0</v>
      </c>
      <c r="GJ160" s="40"/>
      <c r="GM160" s="44">
        <v>0</v>
      </c>
      <c r="GN160" s="40"/>
      <c r="GO160" s="39"/>
      <c r="GQ160" s="44">
        <v>0</v>
      </c>
      <c r="GR160" s="40"/>
      <c r="GS160">
        <v>62</v>
      </c>
      <c r="GT160">
        <v>60</v>
      </c>
      <c r="GV160">
        <v>63</v>
      </c>
      <c r="GW160">
        <v>60</v>
      </c>
      <c r="GX160" s="44">
        <v>5</v>
      </c>
      <c r="GY160" s="40"/>
      <c r="HB160">
        <v>25</v>
      </c>
      <c r="HC160">
        <v>25</v>
      </c>
      <c r="HD160" s="44">
        <v>0</v>
      </c>
      <c r="HE160" s="40"/>
      <c r="HF160" s="39"/>
      <c r="HH160">
        <v>19</v>
      </c>
      <c r="HI160">
        <v>20</v>
      </c>
      <c r="HJ160" s="44">
        <v>-1</v>
      </c>
      <c r="HK160" s="40"/>
      <c r="HL160" s="41">
        <v>13</v>
      </c>
      <c r="HM160">
        <v>10</v>
      </c>
      <c r="HP160" s="44">
        <v>3</v>
      </c>
      <c r="HQ160" s="40"/>
      <c r="HT160">
        <v>44</v>
      </c>
      <c r="HU160">
        <v>40</v>
      </c>
      <c r="HV160" s="44">
        <v>4</v>
      </c>
      <c r="HW160" s="43"/>
      <c r="HX160">
        <v>18</v>
      </c>
      <c r="HY160" s="44">
        <v>20</v>
      </c>
      <c r="HZ160" s="44">
        <v>19</v>
      </c>
      <c r="IA160" s="44">
        <v>20</v>
      </c>
      <c r="IB160" s="44">
        <v>-3</v>
      </c>
      <c r="IC160" s="43"/>
      <c r="IH160" s="44">
        <v>0</v>
      </c>
      <c r="II160" s="43"/>
      <c r="IO160" s="40"/>
      <c r="IS160" s="40"/>
      <c r="IY160" s="43"/>
      <c r="JC160" s="40"/>
      <c r="JI160" s="40"/>
      <c r="JO160" s="43"/>
      <c r="JU160" s="43"/>
      <c r="KA160" s="43"/>
      <c r="KB160" s="42"/>
      <c r="KJ160" s="43"/>
      <c r="KP160" s="43"/>
      <c r="KV160" s="43"/>
      <c r="KW160" s="42"/>
      <c r="KZ160" s="43"/>
      <c r="LA160" s="42"/>
      <c r="LF160" s="43"/>
      <c r="LG160" s="42"/>
      <c r="LL160" s="43"/>
      <c r="LM160" s="42"/>
      <c r="LP160" s="43"/>
      <c r="LQ160" s="42"/>
      <c r="LV160" s="43"/>
      <c r="LW160" s="42"/>
      <c r="MB160" s="43"/>
      <c r="MC160" s="42"/>
      <c r="MH160" s="43"/>
      <c r="MI160" s="42"/>
      <c r="MN160" s="43"/>
      <c r="MO160" s="42"/>
      <c r="MT160" s="43"/>
      <c r="MU160" s="42"/>
      <c r="MZ160" s="43"/>
      <c r="NA160" s="42"/>
      <c r="NF160" s="43"/>
      <c r="NG160" s="42"/>
      <c r="NL160" s="43"/>
      <c r="NM160" s="42"/>
      <c r="NR160" s="43"/>
      <c r="NS160" s="42"/>
      <c r="NX160" s="43"/>
      <c r="NY160" s="42"/>
      <c r="OD160" s="43"/>
      <c r="OE160" s="42"/>
      <c r="OJ160" s="43"/>
      <c r="OK160" s="42"/>
      <c r="OP160" s="43"/>
      <c r="OQ160" s="42"/>
      <c r="OV160" s="43"/>
      <c r="OW160" s="42"/>
      <c r="PB160" s="43"/>
      <c r="PC160" s="42"/>
      <c r="PH160" s="43"/>
      <c r="PI160" s="42"/>
      <c r="PK160" s="44"/>
      <c r="PN160" s="43"/>
      <c r="PO160" s="42"/>
      <c r="PQ160" s="44"/>
      <c r="PT160" s="43"/>
      <c r="PU160" s="42"/>
      <c r="PZ160" s="43"/>
      <c r="QA160" s="42"/>
      <c r="QD160" s="43"/>
      <c r="QE160" s="42"/>
      <c r="QH160" s="43"/>
      <c r="QI160" s="42"/>
      <c r="QL160" s="43"/>
      <c r="QM160" s="42"/>
      <c r="QQ160" s="44"/>
      <c r="QR160" s="43"/>
      <c r="QS160" s="42"/>
      <c r="QV160" s="43"/>
      <c r="QW160" s="42"/>
      <c r="QY160" s="44"/>
      <c r="QZ160" s="43"/>
    </row>
    <row r="161" spans="1:468" x14ac:dyDescent="0.25">
      <c r="A161" s="47" t="s">
        <v>445</v>
      </c>
      <c r="B161" s="38">
        <v>0.4</v>
      </c>
      <c r="E161">
        <v>70</v>
      </c>
      <c r="F161">
        <v>80</v>
      </c>
      <c r="I161">
        <v>550</v>
      </c>
      <c r="J161">
        <v>650</v>
      </c>
      <c r="K161">
        <v>650</v>
      </c>
      <c r="N161" s="41">
        <v>140</v>
      </c>
      <c r="O161" s="49">
        <v>140</v>
      </c>
      <c r="P161" s="49">
        <v>100</v>
      </c>
      <c r="Q161" s="49">
        <v>107</v>
      </c>
      <c r="R161" s="48">
        <f t="shared" si="16"/>
        <v>-7</v>
      </c>
      <c r="S161" s="40"/>
      <c r="T161" s="41">
        <v>150</v>
      </c>
      <c r="U161" s="49">
        <v>150</v>
      </c>
      <c r="V161" s="48">
        <f t="shared" si="17"/>
        <v>0</v>
      </c>
      <c r="W161" s="40"/>
      <c r="X161" s="41">
        <v>300</v>
      </c>
      <c r="Y161" s="49">
        <v>300</v>
      </c>
      <c r="Z161" s="49">
        <v>380</v>
      </c>
      <c r="AA161" s="49">
        <v>380</v>
      </c>
      <c r="AB161" s="48">
        <f t="shared" si="18"/>
        <v>0</v>
      </c>
      <c r="AC161" s="40"/>
      <c r="AD161" s="49">
        <v>400</v>
      </c>
      <c r="AE161">
        <v>400</v>
      </c>
      <c r="AF161">
        <v>450</v>
      </c>
      <c r="AG161">
        <v>450</v>
      </c>
      <c r="AH161" s="44">
        <v>0</v>
      </c>
      <c r="AI161" s="40"/>
      <c r="AL161">
        <v>70</v>
      </c>
      <c r="AM161">
        <v>72</v>
      </c>
      <c r="AN161" s="44">
        <v>-2</v>
      </c>
      <c r="AO161" s="40"/>
      <c r="AP161">
        <v>360</v>
      </c>
      <c r="AQ161">
        <v>360</v>
      </c>
      <c r="AR161">
        <v>400</v>
      </c>
      <c r="AS161">
        <v>400</v>
      </c>
      <c r="AT161" s="44">
        <v>0</v>
      </c>
      <c r="AU161" s="40"/>
      <c r="AV161" s="41">
        <v>150</v>
      </c>
      <c r="AW161">
        <v>150</v>
      </c>
      <c r="AX161" s="44">
        <v>0</v>
      </c>
      <c r="AY161" s="40"/>
      <c r="AZ161" s="39"/>
      <c r="BB161" s="44">
        <v>0</v>
      </c>
      <c r="BC161" s="40"/>
      <c r="BD161">
        <v>510</v>
      </c>
      <c r="BE161">
        <v>510</v>
      </c>
      <c r="BF161">
        <v>540</v>
      </c>
      <c r="BG161">
        <v>543</v>
      </c>
      <c r="BH161" s="44">
        <v>-3</v>
      </c>
      <c r="BI161" s="40"/>
      <c r="BJ161">
        <v>640</v>
      </c>
      <c r="BK161">
        <v>643</v>
      </c>
      <c r="BL161" s="44">
        <v>-3</v>
      </c>
      <c r="BM161" s="40"/>
      <c r="BN161" s="41">
        <v>300</v>
      </c>
      <c r="BO161">
        <v>300</v>
      </c>
      <c r="BP161">
        <v>190</v>
      </c>
      <c r="BQ161">
        <v>188</v>
      </c>
      <c r="BR161" s="44">
        <v>2</v>
      </c>
      <c r="BS161" s="40"/>
      <c r="BT161">
        <v>1200</v>
      </c>
      <c r="BU161">
        <v>1200</v>
      </c>
      <c r="BV161" s="44">
        <v>0</v>
      </c>
      <c r="BW161" s="40"/>
      <c r="BX161" s="41">
        <v>200</v>
      </c>
      <c r="BY161">
        <v>200</v>
      </c>
      <c r="BZ161" s="44">
        <v>0</v>
      </c>
      <c r="CA161" s="40"/>
      <c r="CB161" s="41">
        <v>100</v>
      </c>
      <c r="CC161">
        <v>100</v>
      </c>
      <c r="CD161">
        <v>200</v>
      </c>
      <c r="CG161">
        <v>200</v>
      </c>
      <c r="CH161" s="44">
        <v>0</v>
      </c>
      <c r="CI161" s="40"/>
      <c r="CJ161">
        <v>500</v>
      </c>
      <c r="CK161">
        <v>500</v>
      </c>
      <c r="CL161">
        <v>600</v>
      </c>
      <c r="CM161">
        <v>600</v>
      </c>
      <c r="CN161" s="44">
        <v>0</v>
      </c>
      <c r="CO161" s="40"/>
      <c r="CP161" s="41">
        <v>200</v>
      </c>
      <c r="CQ161">
        <v>200</v>
      </c>
      <c r="CR161">
        <v>110</v>
      </c>
      <c r="CS161">
        <v>110</v>
      </c>
      <c r="CT161" s="44">
        <v>0</v>
      </c>
      <c r="CU161" s="40"/>
      <c r="CV161" s="39"/>
      <c r="CW161">
        <v>150</v>
      </c>
      <c r="CY161">
        <v>832</v>
      </c>
      <c r="CZ161" s="46">
        <v>-982</v>
      </c>
      <c r="DA161" s="40">
        <v>392.8</v>
      </c>
      <c r="DB161" s="39"/>
      <c r="DD161">
        <v>140</v>
      </c>
      <c r="DE161">
        <v>140</v>
      </c>
      <c r="DF161" s="44">
        <v>0</v>
      </c>
      <c r="DG161" s="40"/>
      <c r="DH161">
        <v>500</v>
      </c>
      <c r="DI161">
        <v>500</v>
      </c>
      <c r="DJ161">
        <v>500</v>
      </c>
      <c r="DK161">
        <v>500</v>
      </c>
      <c r="DL161">
        <v>500</v>
      </c>
      <c r="DM161">
        <v>500</v>
      </c>
      <c r="DN161" s="44">
        <v>0</v>
      </c>
      <c r="DO161" s="40"/>
      <c r="DP161" s="39"/>
      <c r="DR161" s="44">
        <v>0</v>
      </c>
      <c r="DS161" s="40"/>
      <c r="DT161" s="41">
        <v>400</v>
      </c>
      <c r="DU161">
        <v>400</v>
      </c>
      <c r="DV161">
        <v>500</v>
      </c>
      <c r="DW161">
        <v>500</v>
      </c>
      <c r="DX161" s="44">
        <v>0</v>
      </c>
      <c r="DY161" s="40"/>
      <c r="DZ161" s="39"/>
      <c r="EB161" s="44">
        <v>0</v>
      </c>
      <c r="EC161" s="40"/>
      <c r="ED161">
        <v>300</v>
      </c>
      <c r="EE161">
        <v>300</v>
      </c>
      <c r="EG161">
        <v>300</v>
      </c>
      <c r="EH161">
        <v>300</v>
      </c>
      <c r="EI161">
        <v>360</v>
      </c>
      <c r="EJ161">
        <v>360</v>
      </c>
      <c r="EK161" s="44">
        <v>0</v>
      </c>
      <c r="EL161" s="40"/>
      <c r="EN161">
        <v>40</v>
      </c>
      <c r="EO161">
        <v>40</v>
      </c>
      <c r="EQ161">
        <v>60</v>
      </c>
      <c r="ER161">
        <v>60</v>
      </c>
      <c r="ES161" s="44">
        <v>0</v>
      </c>
      <c r="ET161" s="40"/>
      <c r="EU161" s="41">
        <v>250</v>
      </c>
      <c r="EV161">
        <v>250</v>
      </c>
      <c r="EW161">
        <v>540</v>
      </c>
      <c r="EX161">
        <v>540</v>
      </c>
      <c r="EY161" s="44">
        <v>0</v>
      </c>
      <c r="EZ161" s="40"/>
      <c r="FA161" s="39"/>
      <c r="FB161">
        <v>190</v>
      </c>
      <c r="FC161">
        <v>189</v>
      </c>
      <c r="FD161" s="44">
        <v>1</v>
      </c>
      <c r="FE161" s="40"/>
      <c r="FH161" s="44">
        <v>0</v>
      </c>
      <c r="FI161" s="40"/>
      <c r="FJ161" s="41">
        <v>300</v>
      </c>
      <c r="FK161">
        <v>300</v>
      </c>
      <c r="FO161">
        <v>390</v>
      </c>
      <c r="FP161">
        <v>390</v>
      </c>
      <c r="FQ161" s="44">
        <v>0</v>
      </c>
      <c r="FR161" s="40"/>
      <c r="FS161">
        <v>260</v>
      </c>
      <c r="FT161">
        <v>260</v>
      </c>
      <c r="FU161">
        <v>260</v>
      </c>
      <c r="FV161">
        <v>260</v>
      </c>
      <c r="FW161" s="44">
        <v>0</v>
      </c>
      <c r="FX161" s="40"/>
      <c r="FY161" s="41">
        <v>250</v>
      </c>
      <c r="FZ161">
        <v>250</v>
      </c>
      <c r="GA161">
        <v>260</v>
      </c>
      <c r="GB161">
        <v>260</v>
      </c>
      <c r="GC161" s="44">
        <v>0</v>
      </c>
      <c r="GD161" s="40"/>
      <c r="GE161">
        <v>150</v>
      </c>
      <c r="GF161">
        <v>150</v>
      </c>
      <c r="GG161">
        <v>210</v>
      </c>
      <c r="GH161">
        <v>210</v>
      </c>
      <c r="GI161" s="44">
        <v>0</v>
      </c>
      <c r="GJ161" s="40"/>
      <c r="GK161">
        <v>100</v>
      </c>
      <c r="GL161" s="47">
        <v>100</v>
      </c>
      <c r="GM161" s="44">
        <v>0</v>
      </c>
      <c r="GN161" s="40"/>
      <c r="GO161" s="41">
        <v>280</v>
      </c>
      <c r="GP161">
        <v>280</v>
      </c>
      <c r="GQ161" s="44">
        <v>0</v>
      </c>
      <c r="GR161" s="40"/>
      <c r="GS161">
        <v>300</v>
      </c>
      <c r="GT161">
        <v>300</v>
      </c>
      <c r="GV161">
        <v>350</v>
      </c>
      <c r="GW161">
        <v>350</v>
      </c>
      <c r="GX161" s="44">
        <v>0</v>
      </c>
      <c r="GY161" s="40"/>
      <c r="GZ161">
        <v>200</v>
      </c>
      <c r="HA161">
        <v>200</v>
      </c>
      <c r="HB161">
        <v>180</v>
      </c>
      <c r="HC161">
        <v>180</v>
      </c>
      <c r="HD161" s="44">
        <v>0</v>
      </c>
      <c r="HE161" s="40"/>
      <c r="HF161" s="41">
        <v>500</v>
      </c>
      <c r="HG161">
        <v>500</v>
      </c>
      <c r="HH161">
        <v>450</v>
      </c>
      <c r="HI161">
        <v>450</v>
      </c>
      <c r="HJ161" s="44">
        <v>0</v>
      </c>
      <c r="HK161" s="40"/>
      <c r="HL161" s="41">
        <v>100</v>
      </c>
      <c r="HM161">
        <v>100</v>
      </c>
      <c r="HN161">
        <v>100</v>
      </c>
      <c r="HO161">
        <v>100</v>
      </c>
      <c r="HP161" s="44">
        <v>0</v>
      </c>
      <c r="HQ161" s="40"/>
      <c r="HR161">
        <v>150</v>
      </c>
      <c r="HS161">
        <v>150</v>
      </c>
      <c r="HT161">
        <v>200</v>
      </c>
      <c r="HU161">
        <v>200</v>
      </c>
      <c r="HV161" s="44">
        <v>0</v>
      </c>
      <c r="HW161" s="43"/>
      <c r="HX161" s="44">
        <v>200</v>
      </c>
      <c r="HY161" s="44">
        <v>200</v>
      </c>
      <c r="IB161" s="44">
        <v>0</v>
      </c>
      <c r="IC161" s="43"/>
      <c r="IH161" s="44">
        <v>0</v>
      </c>
      <c r="II161" s="43"/>
      <c r="IO161" s="40"/>
      <c r="IS161" s="40"/>
      <c r="IY161" s="43"/>
      <c r="JC161" s="40"/>
      <c r="JI161" s="40"/>
      <c r="JO161" s="43"/>
      <c r="JU161" s="43"/>
      <c r="KA161" s="43"/>
      <c r="KB161" s="42"/>
      <c r="KJ161" s="43"/>
      <c r="KP161" s="43"/>
      <c r="KV161" s="43"/>
      <c r="KW161" s="42"/>
      <c r="KZ161" s="43"/>
      <c r="LA161" s="42"/>
      <c r="LF161" s="43"/>
      <c r="LG161" s="42"/>
      <c r="LL161" s="43"/>
      <c r="LM161" s="42"/>
      <c r="LP161" s="43"/>
      <c r="LQ161" s="42"/>
      <c r="LV161" s="43"/>
      <c r="LW161" s="42"/>
      <c r="MB161" s="43"/>
      <c r="MC161" s="42"/>
      <c r="MH161" s="43"/>
      <c r="MI161" s="42"/>
      <c r="MN161" s="43"/>
      <c r="MO161" s="42"/>
      <c r="MT161" s="43"/>
      <c r="MU161" s="42"/>
      <c r="MZ161" s="43"/>
      <c r="NA161" s="42"/>
      <c r="NF161" s="43"/>
      <c r="NG161" s="42"/>
      <c r="NL161" s="43"/>
      <c r="NM161" s="42"/>
      <c r="NR161" s="43"/>
      <c r="NS161" s="42"/>
      <c r="NX161" s="43"/>
      <c r="NY161" s="42"/>
      <c r="OD161" s="43"/>
      <c r="OE161" s="42"/>
      <c r="OJ161" s="43"/>
      <c r="OK161" s="42"/>
      <c r="OP161" s="43"/>
      <c r="OQ161" s="42"/>
      <c r="OV161" s="43"/>
      <c r="OW161" s="42"/>
      <c r="PB161" s="43"/>
      <c r="PC161" s="42"/>
      <c r="PH161" s="43"/>
      <c r="PI161" s="42"/>
      <c r="PK161" s="44"/>
      <c r="PN161" s="43"/>
      <c r="PO161" s="42"/>
      <c r="PQ161" s="44"/>
      <c r="PT161" s="43"/>
      <c r="PU161" s="42"/>
      <c r="PZ161" s="43"/>
      <c r="QA161" s="42"/>
      <c r="QD161" s="43"/>
      <c r="QE161" s="42"/>
      <c r="QH161" s="43"/>
      <c r="QI161" s="42"/>
      <c r="QL161" s="43"/>
      <c r="QM161" s="42"/>
      <c r="QQ161" s="44"/>
      <c r="QR161" s="43"/>
      <c r="QS161" s="42"/>
      <c r="QV161" s="43"/>
      <c r="QW161" s="42"/>
      <c r="QY161" s="44"/>
      <c r="QZ161" s="43"/>
    </row>
    <row r="162" spans="1:468" x14ac:dyDescent="0.25">
      <c r="A162" s="47" t="s">
        <v>446</v>
      </c>
      <c r="B162" s="38">
        <v>0.41</v>
      </c>
      <c r="E162">
        <v>484</v>
      </c>
      <c r="I162">
        <v>300</v>
      </c>
      <c r="J162">
        <v>420</v>
      </c>
      <c r="K162">
        <v>418</v>
      </c>
      <c r="N162" s="41">
        <v>350</v>
      </c>
      <c r="O162" s="49">
        <v>350</v>
      </c>
      <c r="P162" s="49">
        <v>420</v>
      </c>
      <c r="Q162" s="49">
        <v>422</v>
      </c>
      <c r="R162" s="48">
        <f t="shared" si="16"/>
        <v>-2</v>
      </c>
      <c r="S162" s="40"/>
      <c r="T162" s="41">
        <v>150</v>
      </c>
      <c r="U162" s="49">
        <v>150</v>
      </c>
      <c r="V162" s="48">
        <f t="shared" si="17"/>
        <v>0</v>
      </c>
      <c r="W162" s="40"/>
      <c r="X162" s="41">
        <v>440</v>
      </c>
      <c r="Y162" s="49">
        <v>440</v>
      </c>
      <c r="Z162" s="49">
        <v>630</v>
      </c>
      <c r="AA162" s="49">
        <v>632</v>
      </c>
      <c r="AB162" s="48">
        <f t="shared" si="18"/>
        <v>-2</v>
      </c>
      <c r="AC162" s="40"/>
      <c r="AD162" s="49">
        <v>100</v>
      </c>
      <c r="AE162">
        <v>100</v>
      </c>
      <c r="AF162">
        <v>150</v>
      </c>
      <c r="AG162">
        <v>150</v>
      </c>
      <c r="AH162" s="44">
        <v>0</v>
      </c>
      <c r="AI162" s="40"/>
      <c r="AJ162">
        <v>140</v>
      </c>
      <c r="AK162">
        <v>140</v>
      </c>
      <c r="AL162">
        <v>160</v>
      </c>
      <c r="AM162">
        <v>160</v>
      </c>
      <c r="AN162" s="44">
        <v>0</v>
      </c>
      <c r="AO162" s="40"/>
      <c r="AP162">
        <v>550</v>
      </c>
      <c r="AQ162">
        <v>550</v>
      </c>
      <c r="AR162">
        <v>650</v>
      </c>
      <c r="AS162">
        <v>650</v>
      </c>
      <c r="AT162" s="44">
        <v>0</v>
      </c>
      <c r="AU162" s="40"/>
      <c r="AV162" s="41">
        <v>200</v>
      </c>
      <c r="AW162">
        <v>200</v>
      </c>
      <c r="AX162" s="44">
        <v>0</v>
      </c>
      <c r="AY162" s="40"/>
      <c r="AZ162" s="41">
        <v>800</v>
      </c>
      <c r="BA162">
        <v>802</v>
      </c>
      <c r="BB162" s="44">
        <v>-2</v>
      </c>
      <c r="BC162" s="40"/>
      <c r="BD162">
        <v>250</v>
      </c>
      <c r="BE162">
        <v>250</v>
      </c>
      <c r="BF162">
        <v>140</v>
      </c>
      <c r="BG162">
        <v>147</v>
      </c>
      <c r="BH162" s="44">
        <v>-7</v>
      </c>
      <c r="BI162" s="40"/>
      <c r="BJ162">
        <v>460</v>
      </c>
      <c r="BK162">
        <v>463</v>
      </c>
      <c r="BL162" s="44">
        <v>-3</v>
      </c>
      <c r="BM162" s="40"/>
      <c r="BN162" s="41">
        <v>400</v>
      </c>
      <c r="BO162">
        <v>400</v>
      </c>
      <c r="BP162">
        <v>790</v>
      </c>
      <c r="BQ162">
        <v>795</v>
      </c>
      <c r="BR162" s="44">
        <v>-5</v>
      </c>
      <c r="BS162" s="40"/>
      <c r="BT162">
        <v>70</v>
      </c>
      <c r="BU162">
        <v>70</v>
      </c>
      <c r="BV162" s="44">
        <v>0</v>
      </c>
      <c r="BW162" s="40"/>
      <c r="BX162" s="39"/>
      <c r="BZ162" s="44">
        <v>0</v>
      </c>
      <c r="CA162" s="40"/>
      <c r="CB162" s="41">
        <v>300</v>
      </c>
      <c r="CC162">
        <v>300</v>
      </c>
      <c r="CD162">
        <v>450</v>
      </c>
      <c r="CE162">
        <v>1000</v>
      </c>
      <c r="CF162">
        <v>1000</v>
      </c>
      <c r="CG162">
        <v>450</v>
      </c>
      <c r="CH162" s="44">
        <v>0</v>
      </c>
      <c r="CI162" s="40"/>
      <c r="CJ162">
        <v>300</v>
      </c>
      <c r="CK162">
        <v>300</v>
      </c>
      <c r="CL162">
        <v>460</v>
      </c>
      <c r="CM162">
        <v>458</v>
      </c>
      <c r="CN162" s="44">
        <v>2</v>
      </c>
      <c r="CO162" s="40"/>
      <c r="CP162" s="41">
        <v>200</v>
      </c>
      <c r="CQ162">
        <v>200</v>
      </c>
      <c r="CR162">
        <v>120</v>
      </c>
      <c r="CS162">
        <v>120</v>
      </c>
      <c r="CT162" s="44">
        <v>0</v>
      </c>
      <c r="CU162" s="40"/>
      <c r="CV162" s="41">
        <v>190</v>
      </c>
      <c r="CW162">
        <v>190</v>
      </c>
      <c r="CX162">
        <v>610</v>
      </c>
      <c r="CY162">
        <v>609</v>
      </c>
      <c r="CZ162" s="44">
        <v>1</v>
      </c>
      <c r="DA162" s="40"/>
      <c r="DB162" s="41">
        <v>200</v>
      </c>
      <c r="DC162">
        <v>200</v>
      </c>
      <c r="DD162">
        <v>220</v>
      </c>
      <c r="DE162">
        <v>220</v>
      </c>
      <c r="DF162" s="44">
        <v>0</v>
      </c>
      <c r="DG162" s="40"/>
      <c r="DH162">
        <v>200</v>
      </c>
      <c r="DI162">
        <v>200</v>
      </c>
      <c r="DJ162">
        <v>290</v>
      </c>
      <c r="DK162">
        <v>290</v>
      </c>
      <c r="DL162">
        <v>200</v>
      </c>
      <c r="DM162">
        <v>200</v>
      </c>
      <c r="DN162" s="44">
        <v>0</v>
      </c>
      <c r="DO162" s="40"/>
      <c r="DP162" s="41">
        <v>380</v>
      </c>
      <c r="DQ162">
        <v>380</v>
      </c>
      <c r="DR162" s="44">
        <v>0</v>
      </c>
      <c r="DS162" s="40"/>
      <c r="DT162" s="39"/>
      <c r="DX162" s="44">
        <v>0</v>
      </c>
      <c r="DY162" s="40"/>
      <c r="DZ162" s="41">
        <v>700</v>
      </c>
      <c r="EA162">
        <v>700</v>
      </c>
      <c r="EB162" s="44">
        <v>0</v>
      </c>
      <c r="EC162" s="40"/>
      <c r="EG162">
        <v>60</v>
      </c>
      <c r="EH162">
        <v>60</v>
      </c>
      <c r="EI162">
        <v>60</v>
      </c>
      <c r="EJ162">
        <v>60</v>
      </c>
      <c r="EK162" s="44">
        <v>0</v>
      </c>
      <c r="EL162" s="40"/>
      <c r="EN162">
        <v>120</v>
      </c>
      <c r="EO162">
        <v>120</v>
      </c>
      <c r="EQ162">
        <v>130</v>
      </c>
      <c r="ER162">
        <v>130</v>
      </c>
      <c r="ES162" s="44">
        <v>0</v>
      </c>
      <c r="ET162" s="40"/>
      <c r="EU162" s="41">
        <v>300</v>
      </c>
      <c r="EV162">
        <v>300</v>
      </c>
      <c r="EW162">
        <v>520</v>
      </c>
      <c r="EX162">
        <v>520</v>
      </c>
      <c r="EY162" s="44">
        <v>0</v>
      </c>
      <c r="EZ162" s="40"/>
      <c r="FA162" s="39"/>
      <c r="FD162" s="44">
        <v>0</v>
      </c>
      <c r="FE162" s="40"/>
      <c r="FF162">
        <v>170</v>
      </c>
      <c r="FG162">
        <v>170</v>
      </c>
      <c r="FH162" s="44">
        <v>0</v>
      </c>
      <c r="FI162" s="40"/>
      <c r="FJ162" s="41">
        <v>390</v>
      </c>
      <c r="FK162">
        <v>400</v>
      </c>
      <c r="FO162">
        <v>550</v>
      </c>
      <c r="FP162">
        <v>550</v>
      </c>
      <c r="FQ162" s="46">
        <v>-10</v>
      </c>
      <c r="FR162" s="40">
        <v>4.0999999999999996</v>
      </c>
      <c r="FW162" s="44">
        <v>0</v>
      </c>
      <c r="FX162" s="40"/>
      <c r="FY162" s="41">
        <v>50</v>
      </c>
      <c r="FZ162">
        <v>50</v>
      </c>
      <c r="GC162" s="44">
        <v>0</v>
      </c>
      <c r="GD162" s="40"/>
      <c r="GE162">
        <v>500</v>
      </c>
      <c r="GF162">
        <v>500</v>
      </c>
      <c r="GG162">
        <v>500</v>
      </c>
      <c r="GH162">
        <v>500</v>
      </c>
      <c r="GI162" s="44">
        <v>0</v>
      </c>
      <c r="GJ162" s="40"/>
      <c r="GK162">
        <v>80</v>
      </c>
      <c r="GL162" s="47">
        <v>80</v>
      </c>
      <c r="GM162" s="44">
        <v>0</v>
      </c>
      <c r="GN162" s="40"/>
      <c r="GO162" s="41">
        <v>420</v>
      </c>
      <c r="GP162">
        <v>420</v>
      </c>
      <c r="GQ162" s="44">
        <v>0</v>
      </c>
      <c r="GR162" s="40"/>
      <c r="GS162">
        <v>300</v>
      </c>
      <c r="GT162">
        <v>300</v>
      </c>
      <c r="GV162">
        <v>320</v>
      </c>
      <c r="GW162">
        <v>320</v>
      </c>
      <c r="GX162" s="44">
        <v>0</v>
      </c>
      <c r="GY162" s="40"/>
      <c r="HD162" s="44">
        <v>0</v>
      </c>
      <c r="HE162" s="40"/>
      <c r="HF162" s="41">
        <v>300</v>
      </c>
      <c r="HG162">
        <v>300</v>
      </c>
      <c r="HH162">
        <v>300</v>
      </c>
      <c r="HI162">
        <v>300</v>
      </c>
      <c r="HJ162" s="44">
        <v>0</v>
      </c>
      <c r="HK162" s="40"/>
      <c r="HL162" s="41">
        <v>200</v>
      </c>
      <c r="HM162">
        <v>200</v>
      </c>
      <c r="HN162">
        <v>200</v>
      </c>
      <c r="HO162">
        <v>200</v>
      </c>
      <c r="HP162" s="44">
        <v>0</v>
      </c>
      <c r="HQ162" s="40"/>
      <c r="HR162">
        <v>150</v>
      </c>
      <c r="HS162">
        <v>150</v>
      </c>
      <c r="HT162">
        <v>150</v>
      </c>
      <c r="HU162">
        <v>150</v>
      </c>
      <c r="HV162" s="44">
        <v>0</v>
      </c>
      <c r="HW162" s="43"/>
      <c r="HX162" s="44">
        <v>100</v>
      </c>
      <c r="HY162" s="44">
        <v>100</v>
      </c>
      <c r="IB162" s="44">
        <v>0</v>
      </c>
      <c r="IC162" s="43"/>
      <c r="IH162" s="44">
        <v>0</v>
      </c>
      <c r="II162" s="43"/>
      <c r="IO162" s="40"/>
      <c r="IS162" s="40"/>
      <c r="IY162" s="43"/>
      <c r="JC162" s="40"/>
      <c r="JI162" s="40"/>
      <c r="JO162" s="43"/>
      <c r="JU162" s="43"/>
      <c r="KA162" s="43"/>
      <c r="KB162" s="42"/>
      <c r="KJ162" s="43"/>
      <c r="KP162" s="43"/>
      <c r="KV162" s="43"/>
      <c r="KW162" s="42"/>
      <c r="KZ162" s="43"/>
      <c r="LA162" s="42"/>
      <c r="LF162" s="43"/>
      <c r="LG162" s="42"/>
      <c r="LL162" s="43"/>
      <c r="LM162" s="42"/>
      <c r="LP162" s="43"/>
      <c r="LQ162" s="42"/>
      <c r="LV162" s="43"/>
      <c r="LW162" s="42"/>
      <c r="MB162" s="43"/>
      <c r="MC162" s="42"/>
      <c r="MH162" s="43"/>
      <c r="MI162" s="42"/>
      <c r="MN162" s="43"/>
      <c r="MO162" s="42"/>
      <c r="MT162" s="43"/>
      <c r="MU162" s="42"/>
      <c r="MZ162" s="43"/>
      <c r="NA162" s="42"/>
      <c r="NF162" s="43"/>
      <c r="NG162" s="42"/>
      <c r="NL162" s="43"/>
      <c r="NM162" s="42"/>
      <c r="NR162" s="43"/>
      <c r="NS162" s="42"/>
      <c r="NX162" s="43"/>
      <c r="NY162" s="42"/>
      <c r="OD162" s="43"/>
      <c r="OE162" s="42"/>
      <c r="OJ162" s="43"/>
      <c r="OK162" s="42"/>
      <c r="OP162" s="43"/>
      <c r="OQ162" s="42"/>
      <c r="OV162" s="43"/>
      <c r="OW162" s="42"/>
      <c r="PB162" s="43"/>
      <c r="PC162" s="42"/>
      <c r="PH162" s="43"/>
      <c r="PI162" s="42"/>
      <c r="PK162" s="44"/>
      <c r="PN162" s="43"/>
      <c r="PO162" s="42"/>
      <c r="PQ162" s="44"/>
      <c r="PT162" s="43"/>
      <c r="PU162" s="42"/>
      <c r="PZ162" s="43"/>
      <c r="QA162" s="42"/>
      <c r="QD162" s="43"/>
      <c r="QE162" s="42"/>
      <c r="QH162" s="43"/>
      <c r="QI162" s="42"/>
      <c r="QL162" s="43"/>
      <c r="QM162" s="42"/>
      <c r="QQ162" s="44"/>
      <c r="QR162" s="43"/>
      <c r="QS162" s="42"/>
      <c r="QV162" s="43"/>
      <c r="QW162" s="42"/>
      <c r="QY162" s="44"/>
      <c r="QZ162" s="43"/>
    </row>
    <row r="163" spans="1:468" x14ac:dyDescent="0.25">
      <c r="A163" s="47" t="s">
        <v>447</v>
      </c>
      <c r="B163" s="38">
        <v>1</v>
      </c>
      <c r="F163">
        <v>6</v>
      </c>
      <c r="I163">
        <v>50</v>
      </c>
      <c r="J163">
        <v>75</v>
      </c>
      <c r="K163">
        <v>72</v>
      </c>
      <c r="N163" s="39"/>
      <c r="O163" s="48"/>
      <c r="P163" s="48"/>
      <c r="Q163" s="48"/>
      <c r="R163" s="48">
        <f t="shared" si="16"/>
        <v>0</v>
      </c>
      <c r="S163" s="40"/>
      <c r="T163" s="39"/>
      <c r="U163" s="48"/>
      <c r="V163" s="48">
        <f t="shared" si="17"/>
        <v>0</v>
      </c>
      <c r="W163" s="40"/>
      <c r="X163" s="39"/>
      <c r="Y163" s="48"/>
      <c r="Z163" s="49">
        <v>120</v>
      </c>
      <c r="AA163" s="49">
        <v>117</v>
      </c>
      <c r="AB163" s="48">
        <f t="shared" si="18"/>
        <v>3</v>
      </c>
      <c r="AC163" s="40"/>
      <c r="AD163" s="48"/>
      <c r="AF163">
        <v>13</v>
      </c>
      <c r="AG163">
        <v>14</v>
      </c>
      <c r="AH163" s="44">
        <v>-1</v>
      </c>
      <c r="AI163" s="40"/>
      <c r="AJ163">
        <v>31</v>
      </c>
      <c r="AK163">
        <v>30</v>
      </c>
      <c r="AL163">
        <v>43</v>
      </c>
      <c r="AM163">
        <v>43</v>
      </c>
      <c r="AN163" s="44">
        <v>1</v>
      </c>
      <c r="AO163" s="40"/>
      <c r="AP163">
        <v>31</v>
      </c>
      <c r="AQ163">
        <v>30</v>
      </c>
      <c r="AR163">
        <v>13</v>
      </c>
      <c r="AS163">
        <v>10</v>
      </c>
      <c r="AT163" s="44">
        <v>4</v>
      </c>
      <c r="AU163" s="40"/>
      <c r="AV163" s="39"/>
      <c r="AX163" s="44">
        <v>0</v>
      </c>
      <c r="AY163" s="40"/>
      <c r="AZ163" s="41">
        <v>107</v>
      </c>
      <c r="BA163">
        <v>104</v>
      </c>
      <c r="BB163" s="44">
        <v>3</v>
      </c>
      <c r="BC163" s="40"/>
      <c r="BF163">
        <v>118</v>
      </c>
      <c r="BG163">
        <v>64</v>
      </c>
      <c r="BH163" s="44">
        <v>54</v>
      </c>
      <c r="BI163" s="40"/>
      <c r="BJ163">
        <v>19</v>
      </c>
      <c r="BK163">
        <v>20</v>
      </c>
      <c r="BL163" s="44">
        <v>-1</v>
      </c>
      <c r="BM163" s="40"/>
      <c r="BN163" s="39"/>
      <c r="BP163">
        <v>119</v>
      </c>
      <c r="BQ163">
        <v>114</v>
      </c>
      <c r="BR163" s="44">
        <v>5</v>
      </c>
      <c r="BS163" s="40"/>
      <c r="BV163" s="44">
        <v>0</v>
      </c>
      <c r="BW163" s="40"/>
      <c r="BX163" s="39"/>
      <c r="BZ163" s="44">
        <v>0</v>
      </c>
      <c r="CA163" s="40"/>
      <c r="CB163" s="39"/>
      <c r="CD163">
        <v>189</v>
      </c>
      <c r="CG163">
        <v>180</v>
      </c>
      <c r="CH163" s="44">
        <v>9</v>
      </c>
      <c r="CI163" s="40"/>
      <c r="CL163">
        <v>88</v>
      </c>
      <c r="CM163">
        <v>83</v>
      </c>
      <c r="CN163" s="44">
        <v>5</v>
      </c>
      <c r="CO163" s="40"/>
      <c r="CP163" s="39"/>
      <c r="CT163" s="44">
        <v>0</v>
      </c>
      <c r="CU163" s="40"/>
      <c r="CV163" s="39"/>
      <c r="CX163">
        <v>19</v>
      </c>
      <c r="CY163">
        <v>20</v>
      </c>
      <c r="CZ163" s="44">
        <v>-1</v>
      </c>
      <c r="DA163" s="40"/>
      <c r="DB163" s="39"/>
      <c r="DD163">
        <v>157</v>
      </c>
      <c r="DE163">
        <v>150</v>
      </c>
      <c r="DF163" s="44">
        <v>7</v>
      </c>
      <c r="DG163" s="40"/>
      <c r="DJ163">
        <v>18</v>
      </c>
      <c r="DK163">
        <v>20</v>
      </c>
      <c r="DN163" s="44">
        <v>-2</v>
      </c>
      <c r="DO163" s="40"/>
      <c r="DP163" s="41">
        <v>104</v>
      </c>
      <c r="DQ163">
        <v>100</v>
      </c>
      <c r="DR163" s="44">
        <v>4</v>
      </c>
      <c r="DS163" s="40"/>
      <c r="DT163" s="39"/>
      <c r="DX163" s="44">
        <v>0</v>
      </c>
      <c r="DY163" s="40"/>
      <c r="DZ163" s="41">
        <v>19</v>
      </c>
      <c r="EA163">
        <v>20</v>
      </c>
      <c r="EB163" s="44">
        <v>-1</v>
      </c>
      <c r="EC163" s="40"/>
      <c r="EG163">
        <v>51</v>
      </c>
      <c r="EH163">
        <v>50</v>
      </c>
      <c r="EI163">
        <v>50</v>
      </c>
      <c r="EJ163">
        <v>50</v>
      </c>
      <c r="EK163" s="44">
        <v>1</v>
      </c>
      <c r="EL163" s="40"/>
      <c r="ES163" s="44">
        <v>0</v>
      </c>
      <c r="ET163" s="40"/>
      <c r="EU163" s="39"/>
      <c r="EY163" s="44">
        <v>0</v>
      </c>
      <c r="EZ163" s="40"/>
      <c r="FA163" s="39"/>
      <c r="FB163">
        <v>156</v>
      </c>
      <c r="FC163">
        <v>148</v>
      </c>
      <c r="FD163" s="44">
        <v>8</v>
      </c>
      <c r="FE163" s="40"/>
      <c r="FH163" s="44">
        <v>0</v>
      </c>
      <c r="FI163" s="40"/>
      <c r="FJ163" s="39"/>
      <c r="FQ163" s="44">
        <v>0</v>
      </c>
      <c r="FR163" s="40"/>
      <c r="FU163">
        <v>31</v>
      </c>
      <c r="FV163">
        <v>30</v>
      </c>
      <c r="FW163" s="44">
        <v>1</v>
      </c>
      <c r="FX163" s="40"/>
      <c r="FY163" s="41">
        <v>50</v>
      </c>
      <c r="FZ163">
        <v>50</v>
      </c>
      <c r="GA163">
        <v>94</v>
      </c>
      <c r="GB163">
        <v>90</v>
      </c>
      <c r="GC163" s="44">
        <v>4</v>
      </c>
      <c r="GD163" s="40"/>
      <c r="GI163" s="44">
        <v>0</v>
      </c>
      <c r="GJ163" s="40"/>
      <c r="GM163" s="44">
        <v>0</v>
      </c>
      <c r="GN163" s="40"/>
      <c r="GO163" s="41">
        <v>176</v>
      </c>
      <c r="GP163">
        <v>170</v>
      </c>
      <c r="GQ163" s="44">
        <v>6</v>
      </c>
      <c r="GR163" s="40"/>
      <c r="GV163">
        <v>19</v>
      </c>
      <c r="GW163">
        <v>20</v>
      </c>
      <c r="GX163" s="44">
        <v>-1</v>
      </c>
      <c r="GY163" s="40"/>
      <c r="HB163">
        <v>12</v>
      </c>
      <c r="HC163">
        <v>10</v>
      </c>
      <c r="HD163" s="44">
        <v>2</v>
      </c>
      <c r="HE163" s="40"/>
      <c r="HF163" s="39"/>
      <c r="HH163">
        <v>81</v>
      </c>
      <c r="HI163">
        <v>80</v>
      </c>
      <c r="HJ163" s="44">
        <v>1</v>
      </c>
      <c r="HK163" s="40"/>
      <c r="HL163" s="39"/>
      <c r="HN163">
        <v>43</v>
      </c>
      <c r="HO163">
        <v>40</v>
      </c>
      <c r="HP163" s="44">
        <v>3</v>
      </c>
      <c r="HQ163" s="40"/>
      <c r="HT163">
        <v>50</v>
      </c>
      <c r="HU163">
        <v>50</v>
      </c>
      <c r="HV163" s="44">
        <v>0</v>
      </c>
      <c r="HW163" s="43"/>
      <c r="HX163">
        <v>51</v>
      </c>
      <c r="HY163" s="44">
        <v>50</v>
      </c>
      <c r="HZ163" s="44">
        <v>49</v>
      </c>
      <c r="IA163" s="44">
        <v>50</v>
      </c>
      <c r="IB163" s="44">
        <v>0</v>
      </c>
      <c r="IC163" s="43"/>
      <c r="IH163" s="44">
        <v>0</v>
      </c>
      <c r="II163" s="43"/>
      <c r="IO163" s="40"/>
      <c r="IS163" s="40"/>
      <c r="IY163" s="43"/>
      <c r="JC163" s="40"/>
      <c r="JI163" s="40"/>
      <c r="JO163" s="43"/>
      <c r="JU163" s="43"/>
      <c r="KA163" s="43"/>
      <c r="KB163" s="42"/>
      <c r="KJ163" s="43"/>
      <c r="KP163" s="43"/>
      <c r="KV163" s="43"/>
      <c r="KW163" s="42"/>
      <c r="KZ163" s="43"/>
      <c r="LA163" s="42"/>
      <c r="LF163" s="43"/>
      <c r="LG163" s="42"/>
      <c r="LL163" s="43"/>
      <c r="LM163" s="42"/>
      <c r="LP163" s="43"/>
      <c r="LQ163" s="42"/>
      <c r="LV163" s="43"/>
      <c r="LW163" s="42"/>
      <c r="MB163" s="43"/>
      <c r="MC163" s="42"/>
      <c r="MH163" s="43"/>
      <c r="MI163" s="42"/>
      <c r="MN163" s="43"/>
      <c r="MO163" s="42"/>
      <c r="MT163" s="43"/>
      <c r="MU163" s="42"/>
      <c r="MZ163" s="43"/>
      <c r="NA163" s="42"/>
      <c r="NF163" s="43"/>
      <c r="NG163" s="42"/>
      <c r="NL163" s="43"/>
      <c r="NM163" s="42"/>
      <c r="NR163" s="43"/>
      <c r="NS163" s="42"/>
      <c r="NX163" s="43"/>
      <c r="NY163" s="42"/>
      <c r="OD163" s="43"/>
      <c r="OE163" s="42"/>
      <c r="OJ163" s="43"/>
      <c r="OK163" s="42"/>
      <c r="OP163" s="43"/>
      <c r="OQ163" s="42"/>
      <c r="OV163" s="43"/>
      <c r="OW163" s="42"/>
      <c r="PB163" s="43"/>
      <c r="PC163" s="42"/>
      <c r="PH163" s="43"/>
      <c r="PI163" s="42"/>
      <c r="PK163" s="44"/>
      <c r="PN163" s="43"/>
      <c r="PO163" s="42"/>
      <c r="PQ163" s="44"/>
      <c r="PT163" s="43"/>
      <c r="PU163" s="42"/>
      <c r="PZ163" s="43"/>
      <c r="QA163" s="42"/>
      <c r="QD163" s="43"/>
      <c r="QE163" s="42"/>
      <c r="QH163" s="43"/>
      <c r="QI163" s="42"/>
      <c r="QL163" s="43"/>
      <c r="QM163" s="42"/>
      <c r="QQ163" s="44"/>
      <c r="QR163" s="43"/>
      <c r="QS163" s="42"/>
      <c r="QV163" s="43"/>
      <c r="QW163" s="42"/>
      <c r="QY163" s="44"/>
      <c r="QZ163" s="43"/>
    </row>
    <row r="164" spans="1:468" x14ac:dyDescent="0.25">
      <c r="A164" s="47" t="s">
        <v>448</v>
      </c>
      <c r="B164" s="38">
        <v>0.3</v>
      </c>
      <c r="F164">
        <v>97</v>
      </c>
      <c r="I164">
        <v>10</v>
      </c>
      <c r="N164" s="39"/>
      <c r="O164" s="48"/>
      <c r="P164" s="49">
        <v>72</v>
      </c>
      <c r="Q164" s="49">
        <v>74</v>
      </c>
      <c r="R164" s="48">
        <f t="shared" si="16"/>
        <v>-2</v>
      </c>
      <c r="S164" s="40"/>
      <c r="T164" s="41">
        <v>108</v>
      </c>
      <c r="U164" s="49">
        <v>111</v>
      </c>
      <c r="V164" s="48">
        <f t="shared" si="17"/>
        <v>-3</v>
      </c>
      <c r="W164" s="40"/>
      <c r="X164" s="39"/>
      <c r="Y164" s="48"/>
      <c r="Z164" s="48"/>
      <c r="AA164" s="48"/>
      <c r="AB164" s="48">
        <f t="shared" si="18"/>
        <v>0</v>
      </c>
      <c r="AC164" s="40"/>
      <c r="AD164" s="48"/>
      <c r="AH164" s="44">
        <v>0</v>
      </c>
      <c r="AI164" s="40"/>
      <c r="AJ164">
        <v>78</v>
      </c>
      <c r="AK164">
        <v>80</v>
      </c>
      <c r="AL164">
        <v>102</v>
      </c>
      <c r="AM164">
        <v>100</v>
      </c>
      <c r="AN164" s="44">
        <v>0</v>
      </c>
      <c r="AO164" s="40"/>
      <c r="AT164" s="44">
        <v>0</v>
      </c>
      <c r="AU164" s="40"/>
      <c r="AV164" s="39"/>
      <c r="AX164" s="44">
        <v>0</v>
      </c>
      <c r="AY164" s="40"/>
      <c r="AZ164" s="41">
        <v>96</v>
      </c>
      <c r="BA164">
        <v>97</v>
      </c>
      <c r="BB164" s="44">
        <v>-1</v>
      </c>
      <c r="BC164" s="40"/>
      <c r="BG164">
        <v>4</v>
      </c>
      <c r="BH164" s="44">
        <v>-4</v>
      </c>
      <c r="BI164" s="40"/>
      <c r="BL164" s="44">
        <v>0</v>
      </c>
      <c r="BM164" s="40"/>
      <c r="BN164" s="39"/>
      <c r="BR164" s="44">
        <v>0</v>
      </c>
      <c r="BS164" s="40"/>
      <c r="BT164">
        <v>318</v>
      </c>
      <c r="BU164">
        <v>320</v>
      </c>
      <c r="BV164" s="44">
        <v>-2</v>
      </c>
      <c r="BW164" s="40"/>
      <c r="BX164" s="39"/>
      <c r="BZ164" s="44">
        <v>0</v>
      </c>
      <c r="CA164" s="40"/>
      <c r="CB164" s="39"/>
      <c r="CD164">
        <v>102</v>
      </c>
      <c r="CE164">
        <v>100</v>
      </c>
      <c r="CF164">
        <v>102</v>
      </c>
      <c r="CG164">
        <v>100</v>
      </c>
      <c r="CH164" s="44">
        <v>4</v>
      </c>
      <c r="CI164" s="40"/>
      <c r="CL164">
        <v>90</v>
      </c>
      <c r="CM164">
        <v>91</v>
      </c>
      <c r="CN164" s="44">
        <v>-1</v>
      </c>
      <c r="CO164" s="40"/>
      <c r="CP164" s="41">
        <v>150</v>
      </c>
      <c r="CQ164">
        <v>150</v>
      </c>
      <c r="CR164">
        <v>294</v>
      </c>
      <c r="CS164">
        <v>297</v>
      </c>
      <c r="CT164" s="44">
        <v>-3</v>
      </c>
      <c r="CU164" s="40"/>
      <c r="CV164" s="39"/>
      <c r="CZ164" s="44">
        <v>0</v>
      </c>
      <c r="DA164" s="40"/>
      <c r="DB164" s="39"/>
      <c r="DD164">
        <v>90</v>
      </c>
      <c r="DE164">
        <v>90</v>
      </c>
      <c r="DF164" s="44">
        <v>0</v>
      </c>
      <c r="DG164" s="40"/>
      <c r="DH164">
        <v>102</v>
      </c>
      <c r="DI164">
        <v>100</v>
      </c>
      <c r="DJ164">
        <v>162</v>
      </c>
      <c r="DK164">
        <v>160</v>
      </c>
      <c r="DL164">
        <v>102</v>
      </c>
      <c r="DM164">
        <v>100</v>
      </c>
      <c r="DN164" s="44">
        <v>6</v>
      </c>
      <c r="DO164" s="40"/>
      <c r="DP164" s="41">
        <v>90</v>
      </c>
      <c r="DQ164">
        <v>90</v>
      </c>
      <c r="DR164" s="44">
        <v>0</v>
      </c>
      <c r="DS164" s="40"/>
      <c r="DT164" s="41">
        <v>102</v>
      </c>
      <c r="DU164">
        <v>100</v>
      </c>
      <c r="DV164">
        <v>138</v>
      </c>
      <c r="DW164">
        <v>140</v>
      </c>
      <c r="DX164" s="44">
        <v>0</v>
      </c>
      <c r="DY164" s="40"/>
      <c r="DZ164" s="39"/>
      <c r="EB164" s="44">
        <v>0</v>
      </c>
      <c r="EC164" s="40"/>
      <c r="ED164">
        <v>48</v>
      </c>
      <c r="EE164">
        <v>50</v>
      </c>
      <c r="EG164">
        <v>48</v>
      </c>
      <c r="EH164">
        <v>50</v>
      </c>
      <c r="EI164">
        <v>102</v>
      </c>
      <c r="EJ164">
        <v>100</v>
      </c>
      <c r="EK164" s="44">
        <v>-2</v>
      </c>
      <c r="EL164" s="40"/>
      <c r="ES164" s="44">
        <v>0</v>
      </c>
      <c r="ET164" s="40"/>
      <c r="EU164" s="39"/>
      <c r="EW164">
        <v>168</v>
      </c>
      <c r="EX164">
        <v>170</v>
      </c>
      <c r="EY164" s="44">
        <v>-2</v>
      </c>
      <c r="EZ164" s="40"/>
      <c r="FA164" s="39"/>
      <c r="FD164" s="44">
        <v>0</v>
      </c>
      <c r="FE164" s="40"/>
      <c r="FH164" s="44">
        <v>0</v>
      </c>
      <c r="FI164" s="40"/>
      <c r="FJ164" s="41">
        <v>78</v>
      </c>
      <c r="FK164">
        <v>80</v>
      </c>
      <c r="FO164">
        <v>102</v>
      </c>
      <c r="FP164">
        <v>100</v>
      </c>
      <c r="FQ164" s="44">
        <v>0</v>
      </c>
      <c r="FR164" s="40"/>
      <c r="FW164" s="44">
        <v>0</v>
      </c>
      <c r="FX164" s="40"/>
      <c r="FY164" s="39"/>
      <c r="GC164" s="44">
        <v>0</v>
      </c>
      <c r="GD164" s="40"/>
      <c r="GG164">
        <v>138</v>
      </c>
      <c r="GH164">
        <v>140</v>
      </c>
      <c r="GI164" s="44">
        <v>-2</v>
      </c>
      <c r="GJ164" s="40"/>
      <c r="GM164" s="44">
        <v>0</v>
      </c>
      <c r="GN164" s="40"/>
      <c r="GO164" s="41">
        <v>12</v>
      </c>
      <c r="GP164">
        <v>10</v>
      </c>
      <c r="GQ164" s="44">
        <v>2</v>
      </c>
      <c r="GR164" s="40"/>
      <c r="GV164">
        <v>72</v>
      </c>
      <c r="GW164">
        <v>75</v>
      </c>
      <c r="GX164" s="44">
        <v>-3</v>
      </c>
      <c r="GY164" s="40"/>
      <c r="HD164" s="44">
        <v>0</v>
      </c>
      <c r="HE164" s="40"/>
      <c r="HF164" s="39"/>
      <c r="HJ164" s="44">
        <v>0</v>
      </c>
      <c r="HK164" s="40"/>
      <c r="HL164" s="41">
        <v>42</v>
      </c>
      <c r="HM164">
        <v>40</v>
      </c>
      <c r="HP164" s="44">
        <v>2</v>
      </c>
      <c r="HQ164" s="40"/>
      <c r="HT164">
        <v>78</v>
      </c>
      <c r="HU164">
        <v>80</v>
      </c>
      <c r="HV164" s="44">
        <v>-2</v>
      </c>
      <c r="HW164" s="43"/>
      <c r="HX164" s="44">
        <v>18</v>
      </c>
      <c r="HY164" s="44">
        <v>20</v>
      </c>
      <c r="IB164" s="44">
        <v>-2</v>
      </c>
      <c r="IC164" s="43"/>
      <c r="IH164" s="44">
        <v>0</v>
      </c>
      <c r="II164" s="43"/>
      <c r="IO164" s="40"/>
      <c r="IS164" s="40"/>
      <c r="IY164" s="43"/>
      <c r="JC164" s="40"/>
      <c r="JI164" s="40"/>
      <c r="JO164" s="43"/>
      <c r="JU164" s="43"/>
      <c r="KA164" s="43"/>
      <c r="KB164" s="42"/>
      <c r="KJ164" s="43"/>
      <c r="KP164" s="43"/>
      <c r="KV164" s="43"/>
      <c r="KW164" s="42"/>
      <c r="KZ164" s="43"/>
      <c r="LA164" s="42"/>
      <c r="LF164" s="43"/>
      <c r="LG164" s="42"/>
      <c r="LL164" s="43"/>
      <c r="LM164" s="42"/>
      <c r="LP164" s="43"/>
      <c r="LQ164" s="42"/>
      <c r="LV164" s="43"/>
      <c r="LW164" s="42"/>
      <c r="MB164" s="43"/>
      <c r="MC164" s="42"/>
      <c r="MH164" s="43"/>
      <c r="MI164" s="42"/>
      <c r="MN164" s="43"/>
      <c r="MO164" s="42"/>
      <c r="MT164" s="43"/>
      <c r="MU164" s="42"/>
      <c r="MZ164" s="43"/>
      <c r="NA164" s="42"/>
      <c r="NF164" s="43"/>
      <c r="NG164" s="42"/>
      <c r="NL164" s="43"/>
      <c r="NM164" s="42"/>
      <c r="NR164" s="43"/>
      <c r="NS164" s="42"/>
      <c r="NX164" s="43"/>
      <c r="NY164" s="42"/>
      <c r="OD164" s="43"/>
      <c r="OE164" s="42"/>
      <c r="OJ164" s="43"/>
      <c r="OK164" s="42"/>
      <c r="OP164" s="43"/>
      <c r="OQ164" s="42"/>
      <c r="OV164" s="43"/>
      <c r="OW164" s="42"/>
      <c r="PB164" s="43"/>
      <c r="PC164" s="42"/>
      <c r="PH164" s="43"/>
      <c r="PI164" s="42"/>
      <c r="PK164" s="44"/>
      <c r="PN164" s="43"/>
      <c r="PO164" s="42"/>
      <c r="PQ164" s="44"/>
      <c r="PT164" s="43"/>
      <c r="PU164" s="42"/>
      <c r="PZ164" s="43"/>
      <c r="QA164" s="42"/>
      <c r="QD164" s="43"/>
      <c r="QE164" s="42"/>
      <c r="QH164" s="43"/>
      <c r="QI164" s="42"/>
      <c r="QL164" s="43"/>
      <c r="QM164" s="42"/>
      <c r="QQ164" s="44"/>
      <c r="QR164" s="43"/>
      <c r="QS164" s="42"/>
      <c r="QV164" s="43"/>
      <c r="QW164" s="42"/>
      <c r="QY164" s="44"/>
      <c r="QZ164" s="43"/>
    </row>
    <row r="165" spans="1:468" x14ac:dyDescent="0.25">
      <c r="A165" s="47" t="s">
        <v>449</v>
      </c>
      <c r="B165" s="38">
        <v>0.14000000000000001</v>
      </c>
      <c r="I165">
        <v>6</v>
      </c>
      <c r="N165" s="39"/>
      <c r="O165" s="48"/>
      <c r="P165" s="49">
        <v>50</v>
      </c>
      <c r="Q165" s="49">
        <v>56</v>
      </c>
      <c r="R165" s="48">
        <f t="shared" si="16"/>
        <v>-6</v>
      </c>
      <c r="S165" s="40"/>
      <c r="T165" s="39"/>
      <c r="U165" s="48"/>
      <c r="V165" s="48">
        <f t="shared" si="17"/>
        <v>0</v>
      </c>
      <c r="W165" s="40"/>
      <c r="X165" s="39"/>
      <c r="Y165" s="48"/>
      <c r="Z165" s="48"/>
      <c r="AA165" s="48"/>
      <c r="AB165" s="48">
        <f t="shared" si="18"/>
        <v>0</v>
      </c>
      <c r="AC165" s="40"/>
      <c r="AD165" s="48"/>
      <c r="AH165" s="44">
        <v>0</v>
      </c>
      <c r="AI165" s="40"/>
      <c r="AJ165">
        <v>60</v>
      </c>
      <c r="AK165">
        <v>60</v>
      </c>
      <c r="AL165">
        <v>90</v>
      </c>
      <c r="AM165">
        <v>90</v>
      </c>
      <c r="AN165" s="44">
        <v>0</v>
      </c>
      <c r="AO165" s="40"/>
      <c r="AT165" s="44">
        <v>0</v>
      </c>
      <c r="AU165" s="40"/>
      <c r="AV165" s="39"/>
      <c r="AX165" s="44">
        <v>0</v>
      </c>
      <c r="AY165" s="40"/>
      <c r="AZ165" s="41">
        <v>20</v>
      </c>
      <c r="BA165">
        <v>20</v>
      </c>
      <c r="BB165" s="44">
        <v>0</v>
      </c>
      <c r="BC165" s="40"/>
      <c r="BH165" s="44">
        <v>0</v>
      </c>
      <c r="BI165" s="40"/>
      <c r="BJ165">
        <v>120</v>
      </c>
      <c r="BK165">
        <v>120</v>
      </c>
      <c r="BL165" s="44">
        <v>0</v>
      </c>
      <c r="BM165" s="40"/>
      <c r="BN165" s="39"/>
      <c r="BP165">
        <v>10</v>
      </c>
      <c r="BQ165" s="44">
        <v>13</v>
      </c>
      <c r="BR165" s="44">
        <v>-3</v>
      </c>
      <c r="BS165" s="40"/>
      <c r="BV165" s="44">
        <v>0</v>
      </c>
      <c r="BW165" s="40"/>
      <c r="BX165" s="41">
        <v>64</v>
      </c>
      <c r="BY165">
        <v>50</v>
      </c>
      <c r="BZ165" s="44">
        <v>14</v>
      </c>
      <c r="CA165" s="40"/>
      <c r="CB165" s="41">
        <v>100</v>
      </c>
      <c r="CC165" s="44">
        <v>100</v>
      </c>
      <c r="CE165" s="47"/>
      <c r="CH165" s="44">
        <v>0</v>
      </c>
      <c r="CI165" s="40"/>
      <c r="CM165" s="47"/>
      <c r="CN165" s="44">
        <v>0</v>
      </c>
      <c r="CO165" s="40"/>
      <c r="CP165" s="39"/>
      <c r="CQ165" s="47"/>
      <c r="CT165" s="44">
        <v>0</v>
      </c>
      <c r="CU165" s="40"/>
      <c r="CV165" s="42"/>
      <c r="CZ165" s="44">
        <v>0</v>
      </c>
      <c r="DA165" s="40"/>
      <c r="DB165" s="42"/>
      <c r="DF165" s="44">
        <v>0</v>
      </c>
      <c r="DG165" s="40"/>
      <c r="DO165" s="40"/>
      <c r="DP165" s="41"/>
      <c r="DS165" s="40"/>
      <c r="DT165" s="41"/>
      <c r="DY165" s="40"/>
      <c r="DZ165" s="39"/>
      <c r="EC165" s="40"/>
      <c r="EL165" s="40"/>
      <c r="ET165" s="40"/>
      <c r="EU165" s="39"/>
      <c r="EZ165" s="40"/>
      <c r="FA165" s="39"/>
      <c r="FE165" s="40"/>
      <c r="FI165" s="40"/>
      <c r="FJ165" s="41"/>
      <c r="FR165" s="40"/>
      <c r="FX165" s="40"/>
      <c r="FY165" s="39"/>
      <c r="GD165" s="40"/>
      <c r="GJ165" s="40"/>
      <c r="GN165" s="40"/>
      <c r="GO165" s="41"/>
      <c r="GR165" s="40"/>
      <c r="GY165" s="40"/>
      <c r="HE165" s="40"/>
      <c r="HF165" s="39"/>
      <c r="HK165" s="40"/>
      <c r="HL165" s="41"/>
      <c r="HQ165" s="40"/>
      <c r="HW165" s="43"/>
      <c r="IC165" s="43"/>
      <c r="II165" s="43"/>
      <c r="IO165" s="40"/>
      <c r="IS165" s="40"/>
      <c r="IY165" s="43"/>
      <c r="JC165" s="40"/>
      <c r="JI165" s="40"/>
      <c r="JO165" s="43"/>
      <c r="JU165" s="43"/>
      <c r="KA165" s="43"/>
      <c r="KB165" s="42"/>
      <c r="KJ165" s="43"/>
      <c r="KP165" s="43"/>
      <c r="KV165" s="43"/>
      <c r="KW165" s="42"/>
      <c r="KZ165" s="43"/>
      <c r="LA165" s="42"/>
      <c r="LE165" s="44"/>
      <c r="LF165" s="43"/>
      <c r="LG165" s="42"/>
      <c r="LL165" s="43"/>
      <c r="LM165" s="42"/>
      <c r="LO165" s="44"/>
      <c r="LP165" s="43"/>
      <c r="LQ165" s="42"/>
      <c r="LS165" s="44"/>
      <c r="LV165" s="43"/>
      <c r="LW165" s="42"/>
      <c r="MB165" s="43"/>
      <c r="MC165" s="42"/>
      <c r="MH165" s="43"/>
      <c r="MI165" s="42"/>
      <c r="MN165" s="43"/>
      <c r="MO165" s="42"/>
      <c r="MT165" s="43"/>
      <c r="MU165" s="42"/>
      <c r="MZ165" s="43"/>
      <c r="NA165" s="42"/>
      <c r="NF165" s="43"/>
      <c r="NG165" s="42"/>
      <c r="NL165" s="43"/>
      <c r="NM165" s="42"/>
      <c r="NR165" s="43"/>
      <c r="NS165" s="42"/>
      <c r="NX165" s="43"/>
      <c r="NY165" s="42"/>
      <c r="OD165" s="43"/>
      <c r="OE165" s="42"/>
      <c r="OJ165" s="43"/>
      <c r="OK165" s="42"/>
      <c r="OP165" s="43"/>
      <c r="OQ165" s="42"/>
      <c r="OV165" s="43"/>
      <c r="OW165" s="42"/>
      <c r="PB165" s="43"/>
      <c r="PC165" s="42"/>
      <c r="PH165" s="43"/>
      <c r="PI165" s="42"/>
      <c r="PK165" s="44"/>
      <c r="PN165" s="43"/>
      <c r="PO165" s="42"/>
      <c r="PQ165" s="44"/>
      <c r="PT165" s="43"/>
      <c r="PU165" s="42"/>
      <c r="PZ165" s="43"/>
      <c r="QA165" s="42"/>
      <c r="QD165" s="43"/>
      <c r="QE165" s="42"/>
      <c r="QH165" s="43"/>
      <c r="QI165" s="42"/>
      <c r="QL165" s="43"/>
      <c r="QM165" s="42"/>
      <c r="QQ165" s="44"/>
      <c r="QR165" s="43"/>
      <c r="QS165" s="42"/>
      <c r="QV165" s="43"/>
      <c r="QW165" s="42"/>
      <c r="QY165" s="44"/>
      <c r="QZ165" s="43"/>
    </row>
    <row r="166" spans="1:468" x14ac:dyDescent="0.25">
      <c r="A166" s="47" t="s">
        <v>450</v>
      </c>
      <c r="B166" s="38">
        <v>0.18</v>
      </c>
      <c r="F166">
        <v>39</v>
      </c>
      <c r="I166">
        <v>59</v>
      </c>
      <c r="N166" s="39"/>
      <c r="O166" s="48"/>
      <c r="P166" s="49">
        <v>130</v>
      </c>
      <c r="Q166" s="49">
        <v>136</v>
      </c>
      <c r="R166" s="48">
        <f t="shared" si="16"/>
        <v>-6</v>
      </c>
      <c r="S166" s="40"/>
      <c r="T166" s="39"/>
      <c r="U166" s="48"/>
      <c r="V166" s="48">
        <f t="shared" si="17"/>
        <v>0</v>
      </c>
      <c r="W166" s="40"/>
      <c r="X166" s="39"/>
      <c r="Y166" s="48"/>
      <c r="Z166" s="49">
        <v>110</v>
      </c>
      <c r="AA166" s="49">
        <v>108</v>
      </c>
      <c r="AB166" s="48">
        <f t="shared" si="18"/>
        <v>2</v>
      </c>
      <c r="AC166" s="40"/>
      <c r="AD166" s="48"/>
      <c r="AH166" s="44">
        <v>0</v>
      </c>
      <c r="AI166" s="40"/>
      <c r="AJ166">
        <v>100</v>
      </c>
      <c r="AK166">
        <v>100</v>
      </c>
      <c r="AL166">
        <v>120</v>
      </c>
      <c r="AM166">
        <v>120</v>
      </c>
      <c r="AN166" s="44">
        <v>0</v>
      </c>
      <c r="AO166" s="40"/>
      <c r="AT166" s="44">
        <v>0</v>
      </c>
      <c r="AU166" s="40"/>
      <c r="AV166" s="41">
        <v>110</v>
      </c>
      <c r="AW166">
        <v>117</v>
      </c>
      <c r="AX166" s="44">
        <v>-7</v>
      </c>
      <c r="AY166" s="40"/>
      <c r="AZ166" s="39"/>
      <c r="BB166" s="44">
        <v>0</v>
      </c>
      <c r="BC166" s="40"/>
      <c r="BD166">
        <v>100</v>
      </c>
      <c r="BE166">
        <v>100</v>
      </c>
      <c r="BF166">
        <v>160</v>
      </c>
      <c r="BG166">
        <v>170</v>
      </c>
      <c r="BH166" s="46">
        <v>-10</v>
      </c>
      <c r="BI166" s="40">
        <v>1.8</v>
      </c>
      <c r="BJ166">
        <v>210</v>
      </c>
      <c r="BK166">
        <v>212</v>
      </c>
      <c r="BL166" s="44">
        <v>-2</v>
      </c>
      <c r="BM166" s="40"/>
      <c r="BN166" s="39"/>
      <c r="BR166" s="44">
        <v>0</v>
      </c>
      <c r="BS166" s="40"/>
      <c r="BT166">
        <v>270</v>
      </c>
      <c r="BU166">
        <v>270</v>
      </c>
      <c r="BV166" s="44">
        <v>0</v>
      </c>
      <c r="BW166" s="40"/>
      <c r="BX166" s="39"/>
      <c r="BZ166" s="44">
        <v>0</v>
      </c>
      <c r="CA166" s="40"/>
      <c r="CB166" s="39"/>
      <c r="CD166">
        <v>180</v>
      </c>
      <c r="CE166">
        <v>100</v>
      </c>
      <c r="CF166">
        <v>100</v>
      </c>
      <c r="CG166">
        <v>180</v>
      </c>
      <c r="CH166" s="44">
        <v>0</v>
      </c>
      <c r="CI166" s="40"/>
      <c r="CJ166">
        <v>100</v>
      </c>
      <c r="CK166">
        <v>100</v>
      </c>
      <c r="CL166">
        <v>210</v>
      </c>
      <c r="CM166">
        <v>209</v>
      </c>
      <c r="CN166" s="44">
        <v>1</v>
      </c>
      <c r="CO166" s="40"/>
      <c r="CP166" s="39"/>
      <c r="CT166" s="44">
        <v>0</v>
      </c>
      <c r="CU166" s="40"/>
      <c r="CV166" s="39"/>
      <c r="CX166">
        <v>70</v>
      </c>
      <c r="CY166">
        <v>70</v>
      </c>
      <c r="CZ166" s="44">
        <v>0</v>
      </c>
      <c r="DA166" s="40"/>
      <c r="DB166" s="41">
        <v>100</v>
      </c>
      <c r="DC166">
        <v>100</v>
      </c>
      <c r="DD166">
        <v>190</v>
      </c>
      <c r="DE166">
        <v>190</v>
      </c>
      <c r="DF166" s="44">
        <v>0</v>
      </c>
      <c r="DG166" s="40"/>
      <c r="DJ166">
        <v>120</v>
      </c>
      <c r="DK166">
        <v>120</v>
      </c>
      <c r="DN166" s="44">
        <v>0</v>
      </c>
      <c r="DO166" s="40"/>
      <c r="DP166" s="39"/>
      <c r="DR166" s="44">
        <v>0</v>
      </c>
      <c r="DS166" s="40"/>
      <c r="DT166" s="41">
        <v>100</v>
      </c>
      <c r="DU166">
        <v>100</v>
      </c>
      <c r="DV166">
        <v>150</v>
      </c>
      <c r="DW166">
        <v>150</v>
      </c>
      <c r="DX166" s="44">
        <v>0</v>
      </c>
      <c r="DY166" s="40"/>
      <c r="DZ166" s="39"/>
      <c r="EB166" s="44">
        <v>0</v>
      </c>
      <c r="EC166" s="40"/>
      <c r="ED166">
        <v>50</v>
      </c>
      <c r="EE166">
        <v>50</v>
      </c>
      <c r="EG166">
        <v>50</v>
      </c>
      <c r="EH166">
        <v>50</v>
      </c>
      <c r="EI166">
        <v>120</v>
      </c>
      <c r="EJ166">
        <v>120</v>
      </c>
      <c r="EK166" s="44">
        <v>0</v>
      </c>
      <c r="EL166" s="40"/>
      <c r="ES166" s="44">
        <v>0</v>
      </c>
      <c r="ET166" s="40"/>
      <c r="EU166" s="39"/>
      <c r="EW166">
        <v>10</v>
      </c>
      <c r="EX166">
        <v>17</v>
      </c>
      <c r="EY166" s="44">
        <v>-7</v>
      </c>
      <c r="EZ166" s="40"/>
      <c r="FA166" s="39"/>
      <c r="FB166">
        <v>30</v>
      </c>
      <c r="FC166">
        <v>36</v>
      </c>
      <c r="FD166" s="44">
        <v>-6</v>
      </c>
      <c r="FE166" s="40"/>
      <c r="FH166" s="44">
        <v>0</v>
      </c>
      <c r="FI166" s="40"/>
      <c r="FJ166" s="39"/>
      <c r="FO166">
        <v>90</v>
      </c>
      <c r="FP166">
        <v>90</v>
      </c>
      <c r="FQ166" s="44">
        <v>0</v>
      </c>
      <c r="FR166" s="40"/>
      <c r="FS166">
        <v>50</v>
      </c>
      <c r="FT166">
        <v>50</v>
      </c>
      <c r="FU166">
        <v>70</v>
      </c>
      <c r="FV166">
        <v>70</v>
      </c>
      <c r="FW166" s="44">
        <v>0</v>
      </c>
      <c r="FX166" s="40"/>
      <c r="FY166" s="39"/>
      <c r="GA166">
        <v>80</v>
      </c>
      <c r="GB166">
        <v>85</v>
      </c>
      <c r="GC166" s="44">
        <v>-5</v>
      </c>
      <c r="GD166" s="40"/>
      <c r="GI166" s="44">
        <v>0</v>
      </c>
      <c r="GJ166" s="40"/>
      <c r="GM166" s="44">
        <v>0</v>
      </c>
      <c r="GN166" s="40"/>
      <c r="GO166" s="41">
        <v>170</v>
      </c>
      <c r="GP166">
        <v>170</v>
      </c>
      <c r="GQ166" s="44">
        <v>0</v>
      </c>
      <c r="GR166" s="40"/>
      <c r="GV166">
        <v>70</v>
      </c>
      <c r="GW166">
        <v>70</v>
      </c>
      <c r="GX166" s="44">
        <v>0</v>
      </c>
      <c r="GY166" s="40"/>
      <c r="HB166">
        <v>90</v>
      </c>
      <c r="HC166">
        <v>90</v>
      </c>
      <c r="HD166" s="44">
        <v>0</v>
      </c>
      <c r="HE166" s="40"/>
      <c r="HF166" s="39"/>
      <c r="HH166">
        <v>40</v>
      </c>
      <c r="HI166">
        <v>40</v>
      </c>
      <c r="HJ166" s="44">
        <v>0</v>
      </c>
      <c r="HK166" s="40"/>
      <c r="HL166" s="39"/>
      <c r="HN166">
        <v>50</v>
      </c>
      <c r="HO166">
        <v>50</v>
      </c>
      <c r="HP166" s="44">
        <v>0</v>
      </c>
      <c r="HQ166" s="40"/>
      <c r="HT166">
        <v>50</v>
      </c>
      <c r="HU166">
        <v>50</v>
      </c>
      <c r="HV166" s="44">
        <v>0</v>
      </c>
      <c r="HW166" s="43"/>
      <c r="HX166">
        <v>100</v>
      </c>
      <c r="HY166" s="44">
        <v>100</v>
      </c>
      <c r="IA166" s="31">
        <v>100</v>
      </c>
      <c r="IB166" s="44">
        <v>0</v>
      </c>
      <c r="IC166" s="43"/>
      <c r="IF166">
        <v>110</v>
      </c>
      <c r="IG166" s="47">
        <v>100</v>
      </c>
      <c r="IH166" s="44">
        <v>10</v>
      </c>
      <c r="II166" s="43"/>
      <c r="IM166">
        <v>30</v>
      </c>
      <c r="IN166" s="46">
        <v>-30</v>
      </c>
      <c r="IO166" s="40">
        <v>5.3999999999999986</v>
      </c>
      <c r="IS166" s="40"/>
      <c r="IY166" s="43"/>
      <c r="JC166" s="40"/>
      <c r="JI166" s="40"/>
      <c r="JO166" s="43"/>
      <c r="JU166" s="43"/>
      <c r="KA166" s="43"/>
      <c r="KB166" s="42"/>
      <c r="KJ166" s="43"/>
      <c r="KP166" s="43"/>
      <c r="KV166" s="43"/>
      <c r="KW166" s="42"/>
      <c r="KZ166" s="43"/>
      <c r="LA166" s="42"/>
      <c r="LF166" s="43"/>
      <c r="LG166" s="42"/>
      <c r="LL166" s="43"/>
      <c r="LM166" s="42"/>
      <c r="LP166" s="43"/>
      <c r="LQ166" s="42"/>
      <c r="LV166" s="43"/>
      <c r="LW166" s="42"/>
      <c r="MB166" s="43"/>
      <c r="MC166" s="42"/>
      <c r="MH166" s="43"/>
      <c r="MI166" s="42"/>
      <c r="MN166" s="43"/>
      <c r="MO166" s="42"/>
      <c r="MT166" s="43"/>
      <c r="MU166" s="42"/>
      <c r="MZ166" s="43"/>
      <c r="NA166" s="42"/>
      <c r="NF166" s="43"/>
      <c r="NG166" s="42"/>
      <c r="NL166" s="43"/>
      <c r="NM166" s="42"/>
      <c r="NR166" s="43"/>
      <c r="NS166" s="42"/>
      <c r="NX166" s="43"/>
      <c r="NY166" s="42"/>
      <c r="OD166" s="43"/>
      <c r="OE166" s="42"/>
      <c r="OJ166" s="43"/>
      <c r="OK166" s="42"/>
      <c r="OP166" s="43"/>
      <c r="OQ166" s="42"/>
      <c r="OV166" s="43"/>
      <c r="OW166" s="42"/>
      <c r="PB166" s="43"/>
      <c r="PC166" s="42"/>
      <c r="PH166" s="43"/>
      <c r="PI166" s="42"/>
      <c r="PN166" s="43"/>
      <c r="PO166" s="42"/>
      <c r="PQ166" s="44"/>
      <c r="PT166" s="43"/>
      <c r="PU166" s="42"/>
      <c r="PZ166" s="43"/>
      <c r="QA166" s="42"/>
      <c r="QD166" s="43"/>
      <c r="QE166" s="42"/>
      <c r="QH166" s="43"/>
      <c r="QI166" s="42"/>
      <c r="QL166" s="43"/>
      <c r="QM166" s="42"/>
      <c r="QQ166" s="44"/>
      <c r="QR166" s="43"/>
      <c r="QS166" s="42"/>
      <c r="QV166" s="43"/>
      <c r="QW166" s="42"/>
      <c r="QY166" s="44"/>
      <c r="QZ166" s="43"/>
    </row>
    <row r="167" spans="1:468" x14ac:dyDescent="0.25">
      <c r="A167" s="47" t="s">
        <v>451</v>
      </c>
      <c r="B167" s="38">
        <v>1</v>
      </c>
      <c r="N167" s="39"/>
      <c r="O167" s="48"/>
      <c r="P167" s="48"/>
      <c r="Q167" s="48"/>
      <c r="R167" s="48">
        <f t="shared" si="16"/>
        <v>0</v>
      </c>
      <c r="S167" s="40"/>
      <c r="T167" s="39"/>
      <c r="U167" s="48"/>
      <c r="V167" s="48">
        <f t="shared" si="17"/>
        <v>0</v>
      </c>
      <c r="W167" s="40"/>
      <c r="X167" s="39"/>
      <c r="Y167" s="48"/>
      <c r="Z167" s="48"/>
      <c r="AA167" s="48"/>
      <c r="AB167" s="48">
        <f t="shared" si="18"/>
        <v>0</v>
      </c>
      <c r="AC167" s="40"/>
      <c r="AD167" s="48"/>
      <c r="AH167" s="44">
        <v>0</v>
      </c>
      <c r="AI167" s="40"/>
      <c r="AN167" s="44">
        <v>0</v>
      </c>
      <c r="AO167" s="40"/>
      <c r="AT167" s="44">
        <v>0</v>
      </c>
      <c r="AU167" s="40"/>
      <c r="AV167" s="39"/>
      <c r="AX167" s="44">
        <v>0</v>
      </c>
      <c r="AY167" s="40"/>
      <c r="AZ167" s="39"/>
      <c r="BB167" s="44">
        <v>0</v>
      </c>
      <c r="BC167" s="40"/>
      <c r="BH167" s="44">
        <v>0</v>
      </c>
      <c r="BI167" s="40"/>
      <c r="BL167" s="44">
        <v>0</v>
      </c>
      <c r="BM167" s="40"/>
      <c r="BN167" s="39"/>
      <c r="BR167" s="44">
        <v>0</v>
      </c>
      <c r="BS167" s="40"/>
      <c r="BV167" s="44">
        <v>0</v>
      </c>
      <c r="BW167" s="40"/>
      <c r="BX167" s="39"/>
      <c r="BZ167" s="44">
        <v>0</v>
      </c>
      <c r="CA167" s="40"/>
      <c r="CB167" s="39"/>
      <c r="CH167" s="44">
        <v>0</v>
      </c>
      <c r="CI167" s="40"/>
      <c r="CN167" s="44">
        <v>0</v>
      </c>
      <c r="CO167" s="40"/>
      <c r="CP167" s="39"/>
      <c r="CT167" s="44">
        <v>0</v>
      </c>
      <c r="CU167" s="40"/>
      <c r="CV167" s="39"/>
      <c r="CZ167" s="44">
        <v>0</v>
      </c>
      <c r="DA167" s="40"/>
      <c r="DB167" s="39"/>
      <c r="DF167" s="44">
        <v>0</v>
      </c>
      <c r="DG167" s="40"/>
      <c r="DN167" s="44">
        <v>0</v>
      </c>
      <c r="DO167" s="40"/>
      <c r="DP167" s="39"/>
      <c r="DR167" s="44">
        <v>0</v>
      </c>
      <c r="DS167" s="40"/>
      <c r="DT167" s="39"/>
      <c r="DX167" s="44">
        <v>0</v>
      </c>
      <c r="DY167" s="40"/>
      <c r="DZ167" s="39"/>
      <c r="EB167" s="44">
        <v>0</v>
      </c>
      <c r="EC167" s="40"/>
      <c r="EK167" s="44">
        <v>0</v>
      </c>
      <c r="EL167" s="40"/>
      <c r="ES167" s="44">
        <v>0</v>
      </c>
      <c r="ET167" s="40"/>
      <c r="EU167" s="39"/>
      <c r="EY167" s="44">
        <v>0</v>
      </c>
      <c r="EZ167" s="40"/>
      <c r="FA167" s="39"/>
      <c r="FD167" s="44">
        <v>0</v>
      </c>
      <c r="FE167" s="40"/>
      <c r="FH167" s="44">
        <v>0</v>
      </c>
      <c r="FI167" s="40"/>
      <c r="FJ167" s="39"/>
      <c r="FQ167" s="44">
        <v>0</v>
      </c>
      <c r="FR167" s="40"/>
      <c r="FW167" s="44">
        <v>0</v>
      </c>
      <c r="FX167" s="40"/>
      <c r="FY167" s="39"/>
      <c r="GC167" s="44">
        <v>0</v>
      </c>
      <c r="GD167" s="40"/>
      <c r="GI167" s="44">
        <v>0</v>
      </c>
      <c r="GJ167" s="40"/>
      <c r="GM167" s="44">
        <v>0</v>
      </c>
      <c r="GN167" s="40"/>
      <c r="GO167" s="39"/>
      <c r="GQ167" s="44">
        <v>0</v>
      </c>
      <c r="GR167" s="40"/>
      <c r="GS167">
        <v>33</v>
      </c>
      <c r="GT167" s="44">
        <v>30</v>
      </c>
      <c r="GX167" s="44">
        <v>3</v>
      </c>
      <c r="GY167" s="40"/>
      <c r="HB167">
        <v>20</v>
      </c>
      <c r="HC167" s="47">
        <v>20</v>
      </c>
      <c r="HD167" s="44">
        <v>0</v>
      </c>
      <c r="HE167" s="40"/>
      <c r="HF167" s="39"/>
      <c r="HH167" s="44">
        <v>20</v>
      </c>
      <c r="HI167">
        <v>20</v>
      </c>
      <c r="HJ167" s="44">
        <v>0</v>
      </c>
      <c r="HK167" s="40"/>
      <c r="HL167" s="39"/>
      <c r="HQ167" s="40"/>
      <c r="HW167" s="43"/>
      <c r="IC167" s="43"/>
      <c r="II167" s="43"/>
      <c r="IO167" s="40"/>
      <c r="IS167" s="40"/>
      <c r="IY167" s="43"/>
      <c r="JC167" s="40"/>
      <c r="JI167" s="40"/>
      <c r="JO167" s="43"/>
      <c r="JU167" s="43"/>
      <c r="KA167" s="43"/>
      <c r="KB167" s="42"/>
      <c r="KJ167" s="43"/>
      <c r="KP167" s="43"/>
      <c r="KV167" s="43"/>
      <c r="KW167" s="42"/>
      <c r="KZ167" s="43"/>
      <c r="LA167" s="42"/>
      <c r="LF167" s="43"/>
      <c r="LG167" s="42"/>
      <c r="LL167" s="43"/>
      <c r="LM167" s="42"/>
      <c r="LP167" s="43"/>
      <c r="LQ167" s="42"/>
      <c r="LV167" s="43"/>
      <c r="LW167" s="42"/>
      <c r="MB167" s="43"/>
      <c r="MC167" s="42"/>
      <c r="MH167" s="43"/>
      <c r="MI167" s="42"/>
      <c r="MN167" s="43"/>
      <c r="MO167" s="42"/>
      <c r="MT167" s="43"/>
      <c r="MU167" s="42"/>
      <c r="MZ167" s="43"/>
      <c r="NA167" s="42"/>
      <c r="NF167" s="43"/>
      <c r="NG167" s="42"/>
      <c r="NL167" s="43"/>
      <c r="NM167" s="42"/>
      <c r="NR167" s="43"/>
      <c r="NS167" s="42"/>
      <c r="NX167" s="43"/>
      <c r="NY167" s="42"/>
      <c r="OD167" s="43"/>
      <c r="OE167" s="42"/>
      <c r="OJ167" s="43"/>
      <c r="OK167" s="42"/>
      <c r="OP167" s="43"/>
      <c r="OQ167" s="42"/>
      <c r="OV167" s="43"/>
      <c r="OW167" s="42"/>
      <c r="PB167" s="43"/>
      <c r="PC167" s="42"/>
      <c r="PH167" s="43"/>
      <c r="PI167" s="42"/>
      <c r="PN167" s="43"/>
      <c r="PO167" s="42"/>
      <c r="PQ167" s="44"/>
      <c r="PT167" s="43"/>
      <c r="PU167" s="42"/>
      <c r="PZ167" s="43"/>
      <c r="QA167" s="42"/>
      <c r="QD167" s="43"/>
      <c r="QE167" s="42"/>
      <c r="QH167" s="43"/>
      <c r="QI167" s="42"/>
      <c r="QL167" s="43"/>
      <c r="QM167" s="42"/>
      <c r="QQ167" s="44"/>
      <c r="QR167" s="43"/>
      <c r="QS167" s="42"/>
      <c r="QV167" s="43"/>
      <c r="QW167" s="42"/>
      <c r="QY167" s="44"/>
      <c r="QZ167" s="43"/>
    </row>
    <row r="168" spans="1:468" x14ac:dyDescent="0.25">
      <c r="A168" s="47" t="s">
        <v>452</v>
      </c>
      <c r="B168" s="38">
        <v>0.4</v>
      </c>
      <c r="N168" s="39"/>
      <c r="O168" s="48"/>
      <c r="P168" s="48"/>
      <c r="Q168" s="49">
        <v>7</v>
      </c>
      <c r="R168" s="53">
        <f t="shared" si="16"/>
        <v>-7</v>
      </c>
      <c r="S168" s="40">
        <f>-1*R168*B168</f>
        <v>2.8000000000000003</v>
      </c>
      <c r="T168" s="39"/>
      <c r="U168" s="48"/>
      <c r="V168" s="48">
        <f t="shared" si="17"/>
        <v>0</v>
      </c>
      <c r="W168" s="40"/>
      <c r="X168" s="39"/>
      <c r="Y168" s="48"/>
      <c r="Z168" s="48"/>
      <c r="AA168" s="49">
        <v>93</v>
      </c>
      <c r="AB168" s="53">
        <f t="shared" si="18"/>
        <v>-93</v>
      </c>
      <c r="AC168" s="40">
        <f>-1*AB168*B168</f>
        <v>37.200000000000003</v>
      </c>
      <c r="AD168" s="48"/>
      <c r="AH168" s="44">
        <v>0</v>
      </c>
      <c r="AI168" s="40"/>
      <c r="AN168" s="44">
        <v>0</v>
      </c>
      <c r="AO168" s="40"/>
      <c r="AR168">
        <v>88</v>
      </c>
      <c r="AS168">
        <v>89</v>
      </c>
      <c r="AT168" s="44">
        <v>-1</v>
      </c>
      <c r="AU168" s="40"/>
      <c r="AV168" s="39"/>
      <c r="AX168" s="44">
        <v>0</v>
      </c>
      <c r="AY168" s="40"/>
      <c r="AZ168" s="41">
        <v>24</v>
      </c>
      <c r="BA168">
        <v>23</v>
      </c>
      <c r="BB168" s="44">
        <v>1</v>
      </c>
      <c r="BC168" s="40"/>
      <c r="BH168" s="44">
        <v>0</v>
      </c>
      <c r="BI168" s="40"/>
      <c r="BJ168">
        <v>80</v>
      </c>
      <c r="BK168">
        <v>78</v>
      </c>
      <c r="BL168" s="44">
        <v>2</v>
      </c>
      <c r="BM168" s="40"/>
      <c r="BN168" s="39"/>
      <c r="BP168">
        <v>56</v>
      </c>
      <c r="BQ168">
        <v>57</v>
      </c>
      <c r="BR168" s="44">
        <v>-1</v>
      </c>
      <c r="BS168" s="40"/>
      <c r="BV168" s="44">
        <v>0</v>
      </c>
      <c r="BW168" s="40"/>
      <c r="BX168" s="39"/>
      <c r="BZ168" s="44">
        <v>0</v>
      </c>
      <c r="CA168" s="40"/>
      <c r="CB168" s="39"/>
      <c r="CD168">
        <v>120</v>
      </c>
      <c r="CE168">
        <v>100</v>
      </c>
      <c r="CF168">
        <v>96</v>
      </c>
      <c r="CG168">
        <v>120</v>
      </c>
      <c r="CH168" s="44">
        <v>-4</v>
      </c>
      <c r="CI168" s="40"/>
      <c r="CN168" s="44">
        <v>0</v>
      </c>
      <c r="CO168" s="40"/>
      <c r="CP168" s="39"/>
      <c r="CT168" s="44">
        <v>0</v>
      </c>
      <c r="CU168" s="40"/>
      <c r="CV168" s="39"/>
      <c r="CX168">
        <v>128</v>
      </c>
      <c r="CY168">
        <v>128</v>
      </c>
      <c r="CZ168" s="44">
        <v>0</v>
      </c>
      <c r="DA168" s="40"/>
      <c r="DB168" s="39"/>
      <c r="DF168" s="44">
        <v>0</v>
      </c>
      <c r="DG168" s="40"/>
      <c r="DJ168">
        <v>136</v>
      </c>
      <c r="DK168">
        <v>140</v>
      </c>
      <c r="DN168" s="44">
        <v>-4</v>
      </c>
      <c r="DO168" s="40"/>
      <c r="DP168" s="39"/>
      <c r="DR168" s="44">
        <v>0</v>
      </c>
      <c r="DS168" s="40"/>
      <c r="DT168" s="39"/>
      <c r="DV168">
        <v>56</v>
      </c>
      <c r="DW168">
        <v>60</v>
      </c>
      <c r="DX168" s="44">
        <v>-4</v>
      </c>
      <c r="DY168" s="40"/>
      <c r="DZ168" s="41">
        <v>16</v>
      </c>
      <c r="EA168">
        <v>16</v>
      </c>
      <c r="EB168" s="44">
        <v>0</v>
      </c>
      <c r="EC168" s="40"/>
      <c r="EK168" s="44">
        <v>0</v>
      </c>
      <c r="EL168" s="40"/>
      <c r="EN168">
        <v>80</v>
      </c>
      <c r="EO168">
        <v>80</v>
      </c>
      <c r="EQ168">
        <v>80</v>
      </c>
      <c r="ER168">
        <v>80</v>
      </c>
      <c r="ES168" s="44">
        <v>0</v>
      </c>
      <c r="ET168" s="40"/>
      <c r="EU168" s="39"/>
      <c r="EW168">
        <v>24</v>
      </c>
      <c r="EX168">
        <v>27</v>
      </c>
      <c r="EY168" s="44">
        <v>-3</v>
      </c>
      <c r="EZ168" s="40"/>
      <c r="FA168" s="39"/>
      <c r="FB168">
        <v>16</v>
      </c>
      <c r="FC168">
        <v>19</v>
      </c>
      <c r="FD168" s="44">
        <v>-3</v>
      </c>
      <c r="FE168" s="40"/>
      <c r="FH168" s="44">
        <v>0</v>
      </c>
      <c r="FI168" s="40"/>
      <c r="FJ168" s="39"/>
      <c r="FQ168" s="44">
        <v>0</v>
      </c>
      <c r="FR168" s="40"/>
      <c r="FS168">
        <v>80</v>
      </c>
      <c r="FT168">
        <v>80</v>
      </c>
      <c r="FU168">
        <v>96</v>
      </c>
      <c r="FV168">
        <v>100</v>
      </c>
      <c r="FW168" s="44">
        <v>-4</v>
      </c>
      <c r="FX168" s="40"/>
      <c r="FY168" s="39"/>
      <c r="GC168" s="44">
        <v>0</v>
      </c>
      <c r="GD168" s="40"/>
      <c r="GG168">
        <v>8</v>
      </c>
      <c r="GH168">
        <v>8</v>
      </c>
      <c r="GI168" s="44">
        <v>0</v>
      </c>
      <c r="GJ168" s="40"/>
      <c r="GK168">
        <v>112</v>
      </c>
      <c r="GL168" s="47">
        <v>110</v>
      </c>
      <c r="GM168" s="44">
        <v>2</v>
      </c>
      <c r="GN168" s="40"/>
      <c r="GO168" s="39"/>
      <c r="GQ168" s="44">
        <v>0</v>
      </c>
      <c r="GR168" s="40"/>
      <c r="GS168">
        <v>32</v>
      </c>
      <c r="GT168">
        <v>30</v>
      </c>
      <c r="GX168" s="44">
        <v>2</v>
      </c>
      <c r="GY168" s="40"/>
      <c r="HB168">
        <v>96</v>
      </c>
      <c r="HC168">
        <v>100</v>
      </c>
      <c r="HD168" s="44">
        <v>-4</v>
      </c>
      <c r="HE168" s="40"/>
      <c r="HF168" s="39"/>
      <c r="HJ168" s="44">
        <v>0</v>
      </c>
      <c r="HK168" s="40"/>
      <c r="HL168" s="39">
        <v>24</v>
      </c>
      <c r="HM168">
        <v>24</v>
      </c>
      <c r="HP168" s="44">
        <v>0</v>
      </c>
      <c r="HQ168" s="40"/>
      <c r="HU168" s="33">
        <v>50</v>
      </c>
      <c r="HV168" s="44">
        <v>-2</v>
      </c>
      <c r="HW168" s="43"/>
      <c r="IB168" s="44">
        <v>0</v>
      </c>
      <c r="IC168" s="43"/>
      <c r="II168" s="43"/>
      <c r="IO168" s="40"/>
      <c r="IS168" s="40"/>
      <c r="IY168" s="43"/>
      <c r="JC168" s="40"/>
      <c r="JI168" s="40"/>
      <c r="JO168" s="43"/>
      <c r="JU168" s="43"/>
      <c r="KA168" s="43"/>
      <c r="KB168" s="42"/>
      <c r="KJ168" s="43"/>
      <c r="KP168" s="43"/>
      <c r="KV168" s="43"/>
      <c r="KW168" s="42"/>
      <c r="KZ168" s="43"/>
      <c r="LA168" s="42"/>
      <c r="LF168" s="43"/>
      <c r="LG168" s="42"/>
      <c r="LL168" s="43"/>
      <c r="LM168" s="42"/>
      <c r="LP168" s="43"/>
      <c r="LQ168" s="42"/>
      <c r="LV168" s="43"/>
      <c r="LW168" s="42"/>
      <c r="MB168" s="43"/>
      <c r="MC168" s="42"/>
      <c r="MH168" s="43"/>
      <c r="MI168" s="42"/>
      <c r="MN168" s="43"/>
      <c r="MO168" s="42"/>
      <c r="MT168" s="43"/>
      <c r="MU168" s="42"/>
      <c r="MZ168" s="43"/>
      <c r="NA168" s="42"/>
      <c r="NF168" s="43"/>
      <c r="NG168" s="42"/>
      <c r="NL168" s="43"/>
      <c r="NM168" s="42"/>
      <c r="NR168" s="43"/>
      <c r="NS168" s="42"/>
      <c r="NX168" s="43"/>
      <c r="NY168" s="42"/>
      <c r="OD168" s="43"/>
      <c r="OE168" s="42"/>
      <c r="OJ168" s="43"/>
      <c r="OK168" s="42"/>
      <c r="OP168" s="43"/>
      <c r="OQ168" s="42"/>
      <c r="OV168" s="43"/>
      <c r="OW168" s="42"/>
      <c r="PB168" s="43"/>
      <c r="PC168" s="42"/>
      <c r="PG168" s="44"/>
      <c r="PH168" s="43"/>
      <c r="PI168" s="42"/>
      <c r="PN168" s="43"/>
      <c r="PO168" s="42"/>
      <c r="PQ168" s="44"/>
      <c r="PT168" s="43"/>
      <c r="PU168" s="42"/>
      <c r="PZ168" s="43"/>
      <c r="QA168" s="42"/>
      <c r="QD168" s="43"/>
      <c r="QE168" s="42"/>
      <c r="QH168" s="43"/>
      <c r="QI168" s="42"/>
      <c r="QL168" s="43"/>
      <c r="QM168" s="42"/>
      <c r="QQ168" s="44"/>
      <c r="QR168" s="43"/>
      <c r="QS168" s="42"/>
      <c r="QV168" s="43"/>
      <c r="QW168" s="42"/>
      <c r="QY168" s="44"/>
      <c r="QZ168" s="43"/>
    </row>
    <row r="169" spans="1:468" x14ac:dyDescent="0.25">
      <c r="A169" s="47" t="s">
        <v>453</v>
      </c>
      <c r="B169" s="38">
        <v>1</v>
      </c>
      <c r="F169">
        <v>25</v>
      </c>
      <c r="I169">
        <v>10</v>
      </c>
      <c r="J169">
        <v>30</v>
      </c>
      <c r="K169">
        <v>30</v>
      </c>
      <c r="N169" s="39"/>
      <c r="O169" s="48"/>
      <c r="P169" s="48"/>
      <c r="Q169" s="48"/>
      <c r="R169" s="48">
        <f t="shared" si="16"/>
        <v>0</v>
      </c>
      <c r="S169" s="40"/>
      <c r="T169" s="41">
        <v>20</v>
      </c>
      <c r="U169" s="49">
        <v>20</v>
      </c>
      <c r="V169" s="48">
        <f t="shared" si="17"/>
        <v>0</v>
      </c>
      <c r="W169" s="40"/>
      <c r="X169" s="39"/>
      <c r="Y169" s="48"/>
      <c r="Z169" s="49">
        <v>41</v>
      </c>
      <c r="AA169" s="49">
        <v>42</v>
      </c>
      <c r="AB169" s="48">
        <f t="shared" si="18"/>
        <v>-1</v>
      </c>
      <c r="AC169" s="40"/>
      <c r="AD169" s="48"/>
      <c r="AH169" s="44">
        <v>0</v>
      </c>
      <c r="AI169" s="40"/>
      <c r="AN169" s="44">
        <v>0</v>
      </c>
      <c r="AO169" s="40"/>
      <c r="AR169">
        <v>41</v>
      </c>
      <c r="AS169">
        <v>40</v>
      </c>
      <c r="AT169" s="44">
        <v>1</v>
      </c>
      <c r="AU169" s="40"/>
      <c r="AV169" s="39"/>
      <c r="AX169" s="44">
        <v>0</v>
      </c>
      <c r="AY169" s="40"/>
      <c r="AZ169" s="39"/>
      <c r="BB169" s="44">
        <v>0</v>
      </c>
      <c r="BC169" s="40"/>
      <c r="BH169" s="44">
        <v>0</v>
      </c>
      <c r="BI169" s="40"/>
      <c r="BJ169">
        <v>40</v>
      </c>
      <c r="BK169">
        <v>38</v>
      </c>
      <c r="BL169" s="44">
        <v>2</v>
      </c>
      <c r="BM169" s="40"/>
      <c r="BN169" s="39"/>
      <c r="BR169" s="44">
        <v>0</v>
      </c>
      <c r="BS169" s="40"/>
      <c r="BV169" s="44">
        <v>0</v>
      </c>
      <c r="BW169" s="40"/>
      <c r="BX169" s="41">
        <v>10</v>
      </c>
      <c r="BY169">
        <v>11</v>
      </c>
      <c r="BZ169" s="44">
        <v>-1</v>
      </c>
      <c r="CA169" s="40"/>
      <c r="CB169" s="39"/>
      <c r="CD169">
        <v>26</v>
      </c>
      <c r="CG169">
        <v>24</v>
      </c>
      <c r="CH169" s="44">
        <v>2</v>
      </c>
      <c r="CI169" s="40"/>
      <c r="CN169" s="44">
        <v>0</v>
      </c>
      <c r="CO169" s="40"/>
      <c r="CP169" s="39"/>
      <c r="CR169">
        <v>25</v>
      </c>
      <c r="CS169">
        <v>25</v>
      </c>
      <c r="CT169" s="44">
        <v>0</v>
      </c>
      <c r="CU169" s="40"/>
      <c r="CV169" s="39"/>
      <c r="CX169">
        <v>20</v>
      </c>
      <c r="CY169">
        <v>20</v>
      </c>
      <c r="CZ169" s="44">
        <v>0</v>
      </c>
      <c r="DA169" s="40"/>
      <c r="DB169" s="39"/>
      <c r="DF169" s="44">
        <v>0</v>
      </c>
      <c r="DG169" s="40"/>
      <c r="DJ169">
        <v>25</v>
      </c>
      <c r="DK169">
        <v>23</v>
      </c>
      <c r="DN169" s="44">
        <v>2</v>
      </c>
      <c r="DO169" s="40"/>
      <c r="DP169" s="41">
        <v>10</v>
      </c>
      <c r="DQ169">
        <v>11</v>
      </c>
      <c r="DR169" s="44">
        <v>-1</v>
      </c>
      <c r="DS169" s="40"/>
      <c r="DT169" s="39"/>
      <c r="DV169">
        <v>5</v>
      </c>
      <c r="DW169">
        <v>4</v>
      </c>
      <c r="DX169" s="44">
        <v>1</v>
      </c>
      <c r="DY169" s="40"/>
      <c r="DZ169" s="39"/>
      <c r="EB169" s="44">
        <v>0</v>
      </c>
      <c r="EC169" s="40"/>
      <c r="EK169" s="44">
        <v>0</v>
      </c>
      <c r="EL169" s="40"/>
      <c r="EQ169">
        <v>31</v>
      </c>
      <c r="ER169">
        <v>30</v>
      </c>
      <c r="ES169" s="44">
        <v>1</v>
      </c>
      <c r="ET169" s="40"/>
      <c r="EU169" s="39"/>
      <c r="EY169" s="44">
        <v>0</v>
      </c>
      <c r="EZ169" s="40"/>
      <c r="FA169" s="39"/>
      <c r="FD169" s="44">
        <v>0</v>
      </c>
      <c r="FE169" s="40"/>
      <c r="FF169">
        <v>51</v>
      </c>
      <c r="FG169">
        <v>50</v>
      </c>
      <c r="FH169" s="44">
        <v>1</v>
      </c>
      <c r="FI169" s="40"/>
      <c r="FJ169" s="39"/>
      <c r="FQ169" s="44">
        <v>0</v>
      </c>
      <c r="FR169" s="40"/>
      <c r="FW169" s="44">
        <v>0</v>
      </c>
      <c r="FX169" s="40"/>
      <c r="FY169" s="39"/>
      <c r="GA169">
        <v>20</v>
      </c>
      <c r="GB169" s="44">
        <v>18</v>
      </c>
      <c r="GC169" s="44">
        <v>2</v>
      </c>
      <c r="GD169" s="40"/>
      <c r="GI169" s="44">
        <v>0</v>
      </c>
      <c r="GJ169" s="40"/>
      <c r="GM169" s="44">
        <v>0</v>
      </c>
      <c r="GN169" s="40"/>
      <c r="GO169" s="41">
        <v>10</v>
      </c>
      <c r="GP169" s="44">
        <v>8</v>
      </c>
      <c r="GQ169" s="44">
        <v>2</v>
      </c>
      <c r="GR169" s="40"/>
      <c r="GX169" s="44">
        <v>0</v>
      </c>
      <c r="GY169" s="40"/>
      <c r="HE169" s="40"/>
      <c r="HF169" s="39"/>
      <c r="HK169" s="40"/>
      <c r="HL169" s="39"/>
      <c r="HQ169" s="40"/>
      <c r="HW169" s="43"/>
      <c r="IC169" s="43"/>
      <c r="II169" s="43"/>
      <c r="IO169" s="40"/>
      <c r="IS169" s="40"/>
      <c r="IY169" s="43"/>
      <c r="JC169" s="40"/>
      <c r="JI169" s="40"/>
      <c r="JO169" s="43"/>
      <c r="JU169" s="43"/>
      <c r="KA169" s="43"/>
      <c r="KB169" s="42"/>
      <c r="KJ169" s="43"/>
      <c r="KP169" s="43"/>
      <c r="KV169" s="43"/>
      <c r="KW169" s="42"/>
      <c r="KZ169" s="43"/>
      <c r="LA169" s="42"/>
      <c r="LF169" s="43"/>
      <c r="LG169" s="42"/>
      <c r="LL169" s="43"/>
      <c r="LM169" s="42"/>
      <c r="LP169" s="43"/>
      <c r="LQ169" s="42"/>
      <c r="LV169" s="43"/>
      <c r="LW169" s="42"/>
      <c r="MB169" s="43"/>
      <c r="MC169" s="42"/>
      <c r="MH169" s="43"/>
      <c r="MI169" s="42"/>
      <c r="MN169" s="43"/>
      <c r="MO169" s="42"/>
      <c r="MT169" s="43"/>
      <c r="MU169" s="42"/>
      <c r="MZ169" s="43"/>
      <c r="NA169" s="42"/>
      <c r="NF169" s="43"/>
      <c r="NG169" s="42"/>
      <c r="NL169" s="43"/>
      <c r="NM169" s="42"/>
      <c r="NR169" s="43"/>
      <c r="NS169" s="42"/>
      <c r="NX169" s="43"/>
      <c r="NY169" s="42"/>
      <c r="OD169" s="43"/>
      <c r="OE169" s="42"/>
      <c r="OJ169" s="43"/>
      <c r="OK169" s="42"/>
      <c r="ON169" s="44"/>
      <c r="OP169" s="43"/>
      <c r="OQ169" s="42"/>
      <c r="OV169" s="43"/>
      <c r="OW169" s="42"/>
      <c r="PB169" s="43"/>
      <c r="PC169" s="42"/>
      <c r="PG169" s="44"/>
      <c r="PH169" s="43"/>
      <c r="PI169" s="42"/>
      <c r="PN169" s="43"/>
      <c r="PO169" s="42"/>
      <c r="PQ169" s="44"/>
      <c r="PT169" s="43"/>
      <c r="PU169" s="42"/>
      <c r="PZ169" s="43"/>
      <c r="QA169" s="42"/>
      <c r="QD169" s="43"/>
      <c r="QE169" s="42"/>
      <c r="QH169" s="43"/>
      <c r="QI169" s="42"/>
      <c r="QL169" s="43"/>
      <c r="QM169" s="42"/>
      <c r="QQ169" s="44"/>
      <c r="QR169" s="43"/>
      <c r="QS169" s="42"/>
      <c r="QV169" s="43"/>
      <c r="QW169" s="42"/>
      <c r="QY169" s="44"/>
      <c r="QZ169" s="43"/>
    </row>
    <row r="170" spans="1:468" x14ac:dyDescent="0.25">
      <c r="A170" s="47" t="s">
        <v>454</v>
      </c>
      <c r="B170" s="38">
        <v>1</v>
      </c>
      <c r="N170" s="39"/>
      <c r="O170" s="48"/>
      <c r="P170" s="48"/>
      <c r="Q170" s="48"/>
      <c r="R170" s="48">
        <f t="shared" si="16"/>
        <v>0</v>
      </c>
      <c r="S170" s="40"/>
      <c r="T170" s="39"/>
      <c r="U170" s="48"/>
      <c r="V170" s="48">
        <f t="shared" si="17"/>
        <v>0</v>
      </c>
      <c r="W170" s="40"/>
      <c r="X170" s="39"/>
      <c r="Y170" s="48"/>
      <c r="Z170" s="48"/>
      <c r="AA170" s="48"/>
      <c r="AB170" s="48">
        <f t="shared" si="18"/>
        <v>0</v>
      </c>
      <c r="AC170" s="40"/>
      <c r="AD170" s="48"/>
      <c r="AH170" s="44">
        <v>0</v>
      </c>
      <c r="AI170" s="40"/>
      <c r="AN170" s="44">
        <v>0</v>
      </c>
      <c r="AO170" s="40"/>
      <c r="AT170" s="44">
        <v>0</v>
      </c>
      <c r="AU170" s="40"/>
      <c r="AV170" s="39"/>
      <c r="AX170" s="44">
        <v>0</v>
      </c>
      <c r="AY170" s="40"/>
      <c r="AZ170" s="39"/>
      <c r="BB170" s="44">
        <v>0</v>
      </c>
      <c r="BC170" s="40"/>
      <c r="BH170" s="44">
        <v>0</v>
      </c>
      <c r="BI170" s="40"/>
      <c r="BL170" s="44">
        <v>0</v>
      </c>
      <c r="BM170" s="40"/>
      <c r="BN170" s="39"/>
      <c r="BR170" s="44">
        <v>0</v>
      </c>
      <c r="BS170" s="40"/>
      <c r="BV170" s="44">
        <v>0</v>
      </c>
      <c r="BW170" s="40"/>
      <c r="BX170" s="39"/>
      <c r="BZ170" s="44">
        <v>0</v>
      </c>
      <c r="CA170" s="40"/>
      <c r="CB170" s="39"/>
      <c r="CH170" s="44">
        <v>0</v>
      </c>
      <c r="CI170" s="40"/>
      <c r="CN170" s="44">
        <v>0</v>
      </c>
      <c r="CO170" s="40"/>
      <c r="CP170" s="39"/>
      <c r="CT170" s="44">
        <v>0</v>
      </c>
      <c r="CU170" s="40"/>
      <c r="CV170" s="39"/>
      <c r="CZ170" s="44">
        <v>0</v>
      </c>
      <c r="DA170" s="40"/>
      <c r="DB170" s="39"/>
      <c r="DF170" s="44">
        <v>0</v>
      </c>
      <c r="DG170" s="40"/>
      <c r="DN170" s="44">
        <v>0</v>
      </c>
      <c r="DO170" s="40"/>
      <c r="DP170" s="39"/>
      <c r="DR170" s="44">
        <v>0</v>
      </c>
      <c r="DS170" s="40"/>
      <c r="DT170" s="39"/>
      <c r="DX170" s="44">
        <v>0</v>
      </c>
      <c r="DY170" s="40"/>
      <c r="DZ170" s="39"/>
      <c r="EB170" s="44">
        <v>0</v>
      </c>
      <c r="EC170" s="40"/>
      <c r="EK170" s="44">
        <v>0</v>
      </c>
      <c r="EL170" s="40"/>
      <c r="ES170" s="44">
        <v>0</v>
      </c>
      <c r="ET170" s="40"/>
      <c r="EU170" s="39"/>
      <c r="EY170" s="44">
        <v>0</v>
      </c>
      <c r="EZ170" s="40"/>
      <c r="FA170" s="39"/>
      <c r="FD170" s="44">
        <v>0</v>
      </c>
      <c r="FE170" s="40"/>
      <c r="FH170" s="44">
        <v>0</v>
      </c>
      <c r="FI170" s="40"/>
      <c r="FJ170" s="39"/>
      <c r="FQ170" s="44">
        <v>0</v>
      </c>
      <c r="FR170" s="40"/>
      <c r="FW170" s="44">
        <v>0</v>
      </c>
      <c r="FX170" s="40"/>
      <c r="FY170" s="39"/>
      <c r="GA170">
        <v>10</v>
      </c>
      <c r="GB170">
        <v>8</v>
      </c>
      <c r="GC170" s="44">
        <v>2</v>
      </c>
      <c r="GD170" s="40"/>
      <c r="GG170">
        <v>10</v>
      </c>
      <c r="GH170" s="44">
        <v>9</v>
      </c>
      <c r="GI170" s="44">
        <v>1</v>
      </c>
      <c r="GJ170" s="40"/>
      <c r="GM170" s="44">
        <v>0</v>
      </c>
      <c r="GN170" s="40"/>
      <c r="GO170" s="39"/>
      <c r="GQ170" s="44">
        <v>0</v>
      </c>
      <c r="GR170" s="40"/>
      <c r="GV170">
        <v>10</v>
      </c>
      <c r="GW170" s="44">
        <v>10</v>
      </c>
      <c r="GX170" s="44">
        <v>0</v>
      </c>
      <c r="GY170" s="40"/>
      <c r="HD170" s="44">
        <v>0</v>
      </c>
      <c r="HE170" s="43"/>
      <c r="HF170" s="39"/>
      <c r="HJ170" s="44">
        <v>0</v>
      </c>
      <c r="HK170" s="40"/>
      <c r="HL170" s="39"/>
      <c r="HQ170" s="40"/>
      <c r="HW170" s="43"/>
      <c r="IC170" s="43"/>
      <c r="II170" s="43"/>
      <c r="IO170" s="40"/>
      <c r="IS170" s="40"/>
      <c r="IY170" s="43"/>
      <c r="JC170" s="40"/>
      <c r="JI170" s="40"/>
      <c r="JO170" s="43"/>
      <c r="JU170" s="43"/>
      <c r="KA170" s="43"/>
      <c r="KB170" s="42"/>
      <c r="KJ170" s="43"/>
      <c r="KP170" s="43"/>
      <c r="KV170" s="43"/>
      <c r="KW170" s="42"/>
      <c r="KZ170" s="43"/>
      <c r="LA170" s="42"/>
      <c r="LF170" s="43"/>
      <c r="LG170" s="42"/>
      <c r="LL170" s="43"/>
      <c r="LM170" s="42"/>
      <c r="LP170" s="43"/>
      <c r="LQ170" s="42"/>
      <c r="LV170" s="43"/>
      <c r="LW170" s="42"/>
      <c r="MB170" s="43"/>
      <c r="MC170" s="42"/>
      <c r="MH170" s="43"/>
      <c r="MI170" s="42"/>
      <c r="MN170" s="43"/>
      <c r="MO170" s="42"/>
      <c r="MT170" s="43"/>
      <c r="MU170" s="42"/>
      <c r="MZ170" s="43"/>
      <c r="NA170" s="42"/>
      <c r="NF170" s="43"/>
      <c r="NG170" s="42"/>
      <c r="NL170" s="43"/>
      <c r="NM170" s="42"/>
      <c r="NR170" s="43"/>
      <c r="NS170" s="42"/>
      <c r="NX170" s="43"/>
      <c r="NY170" s="42"/>
      <c r="OD170" s="43"/>
      <c r="OE170" s="42"/>
      <c r="OJ170" s="43"/>
      <c r="OK170" s="42"/>
      <c r="OP170" s="43"/>
      <c r="OQ170" s="42"/>
      <c r="OS170" s="44"/>
      <c r="OV170" s="43"/>
      <c r="OW170" s="42"/>
      <c r="PB170" s="43"/>
      <c r="PC170" s="42"/>
      <c r="PG170" s="44"/>
      <c r="PH170" s="43"/>
      <c r="PI170" s="42"/>
      <c r="PN170" s="43"/>
      <c r="PO170" s="42"/>
      <c r="PQ170" s="44"/>
      <c r="PT170" s="43"/>
      <c r="PU170" s="42"/>
      <c r="PZ170" s="43"/>
      <c r="QA170" s="42"/>
      <c r="QD170" s="43"/>
      <c r="QE170" s="42"/>
      <c r="QH170" s="43"/>
      <c r="QI170" s="42"/>
      <c r="QL170" s="43"/>
      <c r="QM170" s="42"/>
      <c r="QQ170" s="44"/>
      <c r="QR170" s="43"/>
      <c r="QS170" s="42"/>
      <c r="QV170" s="43"/>
      <c r="QW170" s="42"/>
      <c r="QY170" s="44"/>
      <c r="QZ170" s="43"/>
    </row>
    <row r="171" spans="1:468" x14ac:dyDescent="0.25">
      <c r="A171" s="47" t="s">
        <v>455</v>
      </c>
      <c r="B171" s="38">
        <v>0.84</v>
      </c>
      <c r="N171" s="39"/>
      <c r="O171" s="48"/>
      <c r="P171" s="48"/>
      <c r="Q171" s="48"/>
      <c r="R171" s="48">
        <f t="shared" si="16"/>
        <v>0</v>
      </c>
      <c r="S171" s="40"/>
      <c r="T171" s="39"/>
      <c r="U171" s="48"/>
      <c r="V171" s="48">
        <f t="shared" si="17"/>
        <v>0</v>
      </c>
      <c r="W171" s="40"/>
      <c r="X171" s="39"/>
      <c r="Y171" s="48"/>
      <c r="Z171" s="48"/>
      <c r="AA171" s="48"/>
      <c r="AB171" s="48">
        <f t="shared" si="18"/>
        <v>0</v>
      </c>
      <c r="AC171" s="40"/>
      <c r="AD171" s="48"/>
      <c r="AH171" s="44">
        <v>0</v>
      </c>
      <c r="AI171" s="40"/>
      <c r="AN171" s="44">
        <v>0</v>
      </c>
      <c r="AO171" s="40"/>
      <c r="AT171" s="44">
        <v>0</v>
      </c>
      <c r="AU171" s="40"/>
      <c r="AV171" s="39"/>
      <c r="AX171" s="44">
        <v>0</v>
      </c>
      <c r="AY171" s="40"/>
      <c r="AZ171" s="39"/>
      <c r="BB171" s="44">
        <v>0</v>
      </c>
      <c r="BC171" s="40"/>
      <c r="BH171" s="44">
        <v>0</v>
      </c>
      <c r="BI171" s="40"/>
      <c r="BL171" s="44">
        <v>0</v>
      </c>
      <c r="BM171" s="40"/>
      <c r="BN171" s="39"/>
      <c r="BR171" s="44">
        <v>0</v>
      </c>
      <c r="BS171" s="40"/>
      <c r="BV171" s="44">
        <v>0</v>
      </c>
      <c r="BW171" s="40"/>
      <c r="BX171" s="39"/>
      <c r="BZ171" s="44">
        <v>0</v>
      </c>
      <c r="CA171" s="40"/>
      <c r="CB171" s="39"/>
      <c r="CH171" s="44">
        <v>0</v>
      </c>
      <c r="CI171" s="40"/>
      <c r="CN171" s="44">
        <v>0</v>
      </c>
      <c r="CO171" s="40"/>
      <c r="CP171" s="39"/>
      <c r="CT171" s="44">
        <v>0</v>
      </c>
      <c r="CU171" s="40"/>
      <c r="CV171" s="39"/>
      <c r="CZ171" s="44">
        <v>0</v>
      </c>
      <c r="DA171" s="40"/>
      <c r="DB171" s="39"/>
      <c r="DF171" s="44">
        <v>0</v>
      </c>
      <c r="DG171" s="40"/>
      <c r="DN171" s="44">
        <v>0</v>
      </c>
      <c r="DO171" s="40"/>
      <c r="DP171" s="39"/>
      <c r="DR171" s="44">
        <v>0</v>
      </c>
      <c r="DS171" s="40"/>
      <c r="DT171" s="39"/>
      <c r="DX171" s="44">
        <v>0</v>
      </c>
      <c r="DY171" s="40"/>
      <c r="DZ171" s="39"/>
      <c r="EB171" s="44">
        <v>0</v>
      </c>
      <c r="EC171" s="40"/>
      <c r="EK171" s="44">
        <v>0</v>
      </c>
      <c r="EL171" s="40"/>
      <c r="ES171" s="44">
        <v>0</v>
      </c>
      <c r="ET171" s="40"/>
      <c r="EU171" s="39"/>
      <c r="EY171" s="44">
        <v>0</v>
      </c>
      <c r="EZ171" s="40"/>
      <c r="FA171" s="39"/>
      <c r="FD171" s="44">
        <v>0</v>
      </c>
      <c r="FE171" s="40"/>
      <c r="FH171" s="44">
        <v>0</v>
      </c>
      <c r="FI171" s="40"/>
      <c r="FJ171" s="39"/>
      <c r="FQ171" s="44">
        <v>0</v>
      </c>
      <c r="FR171" s="40"/>
      <c r="FW171" s="44">
        <v>0</v>
      </c>
      <c r="FX171" s="40"/>
      <c r="FY171" s="39"/>
      <c r="GB171">
        <v>6</v>
      </c>
      <c r="GC171" s="46">
        <v>-6</v>
      </c>
      <c r="GD171" s="43">
        <v>5.04</v>
      </c>
      <c r="GI171" s="44">
        <v>0</v>
      </c>
      <c r="GJ171" s="40"/>
      <c r="GL171" s="47">
        <v>6</v>
      </c>
      <c r="GM171" s="46">
        <v>-6</v>
      </c>
      <c r="GN171" s="40">
        <v>5.04</v>
      </c>
      <c r="GO171" s="39"/>
      <c r="GQ171" s="44">
        <v>0</v>
      </c>
      <c r="GR171" s="40"/>
      <c r="GS171">
        <v>6</v>
      </c>
      <c r="GT171">
        <v>6</v>
      </c>
      <c r="GX171" s="44">
        <v>0</v>
      </c>
      <c r="GY171" s="40"/>
      <c r="HD171" s="44">
        <v>0</v>
      </c>
      <c r="HE171" s="43"/>
      <c r="HF171" s="39"/>
      <c r="HJ171" s="44">
        <v>0</v>
      </c>
      <c r="HK171" s="40"/>
      <c r="HL171" s="39"/>
      <c r="HQ171" s="40"/>
      <c r="HW171" s="43"/>
      <c r="IC171" s="43"/>
      <c r="II171" s="43"/>
      <c r="IO171" s="40"/>
      <c r="IS171" s="40"/>
      <c r="IY171" s="43"/>
      <c r="JC171" s="40"/>
      <c r="JI171" s="40"/>
      <c r="JO171" s="43"/>
      <c r="JU171" s="43"/>
      <c r="KA171" s="43"/>
      <c r="KB171" s="42"/>
      <c r="KJ171" s="43"/>
      <c r="KP171" s="43"/>
      <c r="KV171" s="43"/>
      <c r="KW171" s="42"/>
      <c r="KZ171" s="43"/>
      <c r="LA171" s="42"/>
      <c r="LF171" s="43"/>
      <c r="LG171" s="42"/>
      <c r="LL171" s="43"/>
      <c r="LM171" s="42"/>
      <c r="LP171" s="43"/>
      <c r="LQ171" s="42"/>
      <c r="LV171" s="43"/>
      <c r="LW171" s="42"/>
      <c r="MB171" s="43"/>
      <c r="MC171" s="42"/>
      <c r="MH171" s="43"/>
      <c r="MI171" s="42"/>
      <c r="MN171" s="43"/>
      <c r="MO171" s="42"/>
      <c r="MT171" s="43"/>
      <c r="MU171" s="42"/>
      <c r="MZ171" s="43"/>
      <c r="NA171" s="42"/>
      <c r="NF171" s="43"/>
      <c r="NG171" s="42"/>
      <c r="NL171" s="43"/>
      <c r="NM171" s="42"/>
      <c r="NR171" s="43"/>
      <c r="NS171" s="42"/>
      <c r="NX171" s="43"/>
      <c r="NY171" s="42"/>
      <c r="OD171" s="43"/>
      <c r="OE171" s="42"/>
      <c r="OJ171" s="43"/>
      <c r="OK171" s="42"/>
      <c r="OP171" s="43"/>
      <c r="OQ171" s="42"/>
      <c r="OS171" s="44"/>
      <c r="OV171" s="43"/>
      <c r="OW171" s="42"/>
      <c r="PB171" s="43"/>
      <c r="PC171" s="42"/>
      <c r="PG171" s="44"/>
      <c r="PH171" s="43"/>
      <c r="PI171" s="42"/>
      <c r="PN171" s="43"/>
      <c r="PO171" s="42"/>
      <c r="PQ171" s="44"/>
      <c r="PT171" s="43"/>
      <c r="PU171" s="42"/>
      <c r="PZ171" s="43"/>
      <c r="QA171" s="42"/>
      <c r="QD171" s="43"/>
      <c r="QE171" s="42"/>
      <c r="QH171" s="43"/>
      <c r="QI171" s="42"/>
      <c r="QL171" s="43"/>
      <c r="QM171" s="42"/>
      <c r="QQ171" s="44"/>
      <c r="QR171" s="43"/>
      <c r="QS171" s="42"/>
      <c r="QV171" s="43"/>
      <c r="QW171" s="42"/>
      <c r="QY171" s="44"/>
      <c r="QZ171" s="43"/>
    </row>
    <row r="172" spans="1:468" x14ac:dyDescent="0.25">
      <c r="A172" s="47" t="s">
        <v>456</v>
      </c>
      <c r="B172" s="38">
        <v>0.84</v>
      </c>
      <c r="N172" s="39"/>
      <c r="O172" s="48"/>
      <c r="P172" s="48"/>
      <c r="Q172" s="48"/>
      <c r="R172" s="48">
        <f t="shared" si="16"/>
        <v>0</v>
      </c>
      <c r="S172" s="40"/>
      <c r="T172" s="39"/>
      <c r="U172" s="48"/>
      <c r="V172" s="48">
        <f t="shared" si="17"/>
        <v>0</v>
      </c>
      <c r="W172" s="40"/>
      <c r="X172" s="39"/>
      <c r="Y172" s="48"/>
      <c r="Z172" s="48"/>
      <c r="AA172" s="48"/>
      <c r="AB172" s="48">
        <f t="shared" si="18"/>
        <v>0</v>
      </c>
      <c r="AC172" s="40"/>
      <c r="AD172" s="48"/>
      <c r="AH172" s="44">
        <v>0</v>
      </c>
      <c r="AI172" s="40"/>
      <c r="AN172" s="44">
        <v>0</v>
      </c>
      <c r="AO172" s="40"/>
      <c r="AT172" s="44">
        <v>0</v>
      </c>
      <c r="AU172" s="40"/>
      <c r="AV172" s="39"/>
      <c r="AX172" s="44">
        <v>0</v>
      </c>
      <c r="AY172" s="40"/>
      <c r="AZ172" s="39"/>
      <c r="BB172" s="44">
        <v>0</v>
      </c>
      <c r="BC172" s="40"/>
      <c r="BH172" s="44">
        <v>0</v>
      </c>
      <c r="BI172" s="40"/>
      <c r="BL172" s="44">
        <v>0</v>
      </c>
      <c r="BM172" s="40"/>
      <c r="BN172" s="39"/>
      <c r="BR172" s="44">
        <v>0</v>
      </c>
      <c r="BS172" s="40"/>
      <c r="BV172" s="44">
        <v>0</v>
      </c>
      <c r="BW172" s="40"/>
      <c r="BX172" s="39"/>
      <c r="BZ172" s="44">
        <v>0</v>
      </c>
      <c r="CA172" s="40"/>
      <c r="CB172" s="39"/>
      <c r="CH172" s="44">
        <v>0</v>
      </c>
      <c r="CI172" s="40"/>
      <c r="CN172" s="44">
        <v>0</v>
      </c>
      <c r="CO172" s="40"/>
      <c r="CP172" s="39"/>
      <c r="CT172" s="44">
        <v>0</v>
      </c>
      <c r="CU172" s="40"/>
      <c r="CV172" s="39"/>
      <c r="CZ172" s="44">
        <v>0</v>
      </c>
      <c r="DA172" s="40"/>
      <c r="DB172" s="39"/>
      <c r="DF172" s="44">
        <v>0</v>
      </c>
      <c r="DG172" s="40"/>
      <c r="DN172" s="44">
        <v>0</v>
      </c>
      <c r="DO172" s="40"/>
      <c r="DP172" s="39"/>
      <c r="DR172" s="44">
        <v>0</v>
      </c>
      <c r="DS172" s="40"/>
      <c r="DT172" s="39"/>
      <c r="DX172" s="44">
        <v>0</v>
      </c>
      <c r="DY172" s="40"/>
      <c r="DZ172" s="39"/>
      <c r="EB172" s="44">
        <v>0</v>
      </c>
      <c r="EC172" s="40"/>
      <c r="EK172" s="44">
        <v>0</v>
      </c>
      <c r="EL172" s="40"/>
      <c r="ES172" s="44">
        <v>0</v>
      </c>
      <c r="ET172" s="40"/>
      <c r="EU172" s="39"/>
      <c r="EY172" s="44">
        <v>0</v>
      </c>
      <c r="EZ172" s="40"/>
      <c r="FA172" s="39"/>
      <c r="FD172" s="44">
        <v>0</v>
      </c>
      <c r="FE172" s="40"/>
      <c r="FH172" s="44">
        <v>0</v>
      </c>
      <c r="FI172" s="40"/>
      <c r="FJ172" s="39"/>
      <c r="FQ172" s="44">
        <v>0</v>
      </c>
      <c r="FR172" s="40"/>
      <c r="FV172">
        <v>8</v>
      </c>
      <c r="FW172" s="46">
        <v>-8</v>
      </c>
      <c r="FX172" s="40">
        <v>6.72</v>
      </c>
      <c r="FY172" s="39"/>
      <c r="GB172">
        <v>12</v>
      </c>
      <c r="GC172" s="46">
        <v>-12</v>
      </c>
      <c r="GD172" s="43">
        <v>10.08</v>
      </c>
      <c r="GI172" s="44">
        <v>0</v>
      </c>
      <c r="GJ172" s="40"/>
      <c r="GM172" s="44">
        <v>0</v>
      </c>
      <c r="GN172" s="40"/>
      <c r="GO172" s="39"/>
      <c r="GQ172" s="44">
        <v>0</v>
      </c>
      <c r="GR172" s="40"/>
      <c r="GX172" s="44">
        <v>0</v>
      </c>
      <c r="GY172" s="40"/>
      <c r="HE172" s="43"/>
      <c r="HF172" s="39"/>
      <c r="HK172" s="40"/>
      <c r="HL172" s="39"/>
      <c r="HQ172" s="40"/>
      <c r="HW172" s="43"/>
      <c r="IC172" s="43"/>
      <c r="II172" s="43"/>
      <c r="IO172" s="40"/>
      <c r="IS172" s="40"/>
      <c r="IY172" s="43"/>
      <c r="JC172" s="40"/>
      <c r="JI172" s="40"/>
      <c r="JO172" s="43"/>
      <c r="JU172" s="43"/>
      <c r="KA172" s="43"/>
      <c r="KB172" s="42"/>
      <c r="KJ172" s="43"/>
      <c r="KP172" s="43"/>
      <c r="KV172" s="43"/>
      <c r="KW172" s="42"/>
      <c r="KZ172" s="43"/>
      <c r="LA172" s="42"/>
      <c r="LF172" s="43"/>
      <c r="LG172" s="42"/>
      <c r="LL172" s="43"/>
      <c r="LM172" s="42"/>
      <c r="LP172" s="43"/>
      <c r="LQ172" s="42"/>
      <c r="LV172" s="43"/>
      <c r="LW172" s="42"/>
      <c r="MB172" s="43"/>
      <c r="MC172" s="42"/>
      <c r="MH172" s="43"/>
      <c r="MI172" s="42"/>
      <c r="MN172" s="43"/>
      <c r="MO172" s="42"/>
      <c r="MT172" s="43"/>
      <c r="MU172" s="42"/>
      <c r="MZ172" s="43"/>
      <c r="NA172" s="42"/>
      <c r="NF172" s="43"/>
      <c r="NG172" s="42"/>
      <c r="NL172" s="43"/>
      <c r="NM172" s="42"/>
      <c r="NR172" s="43"/>
      <c r="NS172" s="42"/>
      <c r="NX172" s="43"/>
      <c r="NY172" s="42"/>
      <c r="OD172" s="43"/>
      <c r="OE172" s="42"/>
      <c r="OJ172" s="43"/>
      <c r="OK172" s="42"/>
      <c r="OP172" s="43"/>
      <c r="OQ172" s="42"/>
      <c r="OS172" s="44"/>
      <c r="OV172" s="43"/>
      <c r="OW172" s="42"/>
      <c r="PB172" s="43"/>
      <c r="PC172" s="42"/>
      <c r="PG172" s="44"/>
      <c r="PH172" s="43"/>
      <c r="PI172" s="42"/>
      <c r="PN172" s="43"/>
      <c r="PO172" s="42"/>
      <c r="PQ172" s="44"/>
      <c r="PT172" s="43"/>
      <c r="PU172" s="42"/>
      <c r="PZ172" s="43"/>
      <c r="QA172" s="42"/>
      <c r="QD172" s="43"/>
      <c r="QE172" s="42"/>
      <c r="QH172" s="43"/>
      <c r="QI172" s="42"/>
      <c r="QL172" s="43"/>
      <c r="QM172" s="42"/>
      <c r="QQ172" s="44"/>
      <c r="QR172" s="43"/>
      <c r="QS172" s="42"/>
      <c r="QV172" s="43"/>
      <c r="QW172" s="42"/>
      <c r="QY172" s="44"/>
      <c r="QZ172" s="43"/>
    </row>
    <row r="173" spans="1:468" x14ac:dyDescent="0.25">
      <c r="A173" s="47" t="s">
        <v>457</v>
      </c>
      <c r="B173" s="38">
        <v>0.33</v>
      </c>
      <c r="N173" s="39"/>
      <c r="O173" s="48"/>
      <c r="P173" s="48"/>
      <c r="Q173" s="48"/>
      <c r="R173" s="48">
        <f t="shared" si="16"/>
        <v>0</v>
      </c>
      <c r="S173" s="40"/>
      <c r="T173" s="39"/>
      <c r="U173" s="48"/>
      <c r="V173" s="48">
        <f t="shared" si="17"/>
        <v>0</v>
      </c>
      <c r="W173" s="40"/>
      <c r="X173" s="39"/>
      <c r="Y173" s="48"/>
      <c r="Z173" s="48"/>
      <c r="AA173" s="48"/>
      <c r="AB173" s="48">
        <f t="shared" si="18"/>
        <v>0</v>
      </c>
      <c r="AC173" s="40"/>
      <c r="AD173" s="48"/>
      <c r="AH173" s="44">
        <v>0</v>
      </c>
      <c r="AI173" s="40"/>
      <c r="AN173" s="44">
        <v>0</v>
      </c>
      <c r="AO173" s="40"/>
      <c r="AT173" s="44">
        <v>0</v>
      </c>
      <c r="AU173" s="40"/>
      <c r="AV173" s="39"/>
      <c r="AX173" s="44">
        <v>0</v>
      </c>
      <c r="AY173" s="40"/>
      <c r="AZ173" s="39"/>
      <c r="BB173" s="44">
        <v>0</v>
      </c>
      <c r="BC173" s="40"/>
      <c r="BH173" s="44">
        <v>0</v>
      </c>
      <c r="BI173" s="40"/>
      <c r="BL173" s="44">
        <v>0</v>
      </c>
      <c r="BM173" s="40"/>
      <c r="BN173" s="39"/>
      <c r="BR173" s="44">
        <v>0</v>
      </c>
      <c r="BS173" s="40"/>
      <c r="BV173" s="44">
        <v>0</v>
      </c>
      <c r="BW173" s="40"/>
      <c r="BX173" s="39"/>
      <c r="BZ173" s="44">
        <v>0</v>
      </c>
      <c r="CA173" s="40"/>
      <c r="CB173" s="39"/>
      <c r="CH173" s="44">
        <v>0</v>
      </c>
      <c r="CI173" s="40"/>
      <c r="CN173" s="44">
        <v>0</v>
      </c>
      <c r="CO173" s="40"/>
      <c r="CP173" s="39"/>
      <c r="CT173" s="44">
        <v>0</v>
      </c>
      <c r="CU173" s="40"/>
      <c r="CV173" s="39"/>
      <c r="CZ173" s="44">
        <v>0</v>
      </c>
      <c r="DA173" s="40"/>
      <c r="DB173" s="39"/>
      <c r="DF173" s="44">
        <v>0</v>
      </c>
      <c r="DG173" s="40"/>
      <c r="DN173" s="44">
        <v>0</v>
      </c>
      <c r="DO173" s="40"/>
      <c r="DP173" s="39"/>
      <c r="DR173" s="44">
        <v>0</v>
      </c>
      <c r="DS173" s="40"/>
      <c r="DT173" s="39"/>
      <c r="DX173" s="44">
        <v>0</v>
      </c>
      <c r="DY173" s="40"/>
      <c r="DZ173" s="39"/>
      <c r="EB173" s="44">
        <v>0</v>
      </c>
      <c r="EC173" s="40"/>
      <c r="EI173">
        <v>8</v>
      </c>
      <c r="EJ173">
        <v>8</v>
      </c>
      <c r="EK173" s="44">
        <v>0</v>
      </c>
      <c r="EL173" s="40"/>
      <c r="EQ173">
        <v>8</v>
      </c>
      <c r="ER173">
        <v>8</v>
      </c>
      <c r="ES173" s="44">
        <v>0</v>
      </c>
      <c r="ET173" s="40"/>
      <c r="EU173" s="39"/>
      <c r="EY173" s="44">
        <v>0</v>
      </c>
      <c r="EZ173" s="40"/>
      <c r="FA173" s="39"/>
      <c r="FD173" s="44">
        <v>0</v>
      </c>
      <c r="FE173" s="40"/>
      <c r="FH173" s="44">
        <v>0</v>
      </c>
      <c r="FI173" s="40"/>
      <c r="FJ173" s="39"/>
      <c r="FQ173" s="44">
        <v>0</v>
      </c>
      <c r="FR173" s="40"/>
      <c r="FW173" s="44">
        <v>0</v>
      </c>
      <c r="FX173" s="40"/>
      <c r="FY173" s="39"/>
      <c r="GC173" s="44">
        <v>0</v>
      </c>
      <c r="GD173" s="40"/>
      <c r="GI173" s="44">
        <v>0</v>
      </c>
      <c r="GJ173" s="40"/>
      <c r="GM173" s="44">
        <v>0</v>
      </c>
      <c r="GN173" s="40"/>
      <c r="GO173" s="39"/>
      <c r="GQ173" s="44">
        <v>0</v>
      </c>
      <c r="GR173" s="40"/>
      <c r="GV173" s="47">
        <v>32</v>
      </c>
      <c r="GW173" s="44">
        <v>32</v>
      </c>
      <c r="GX173" s="44">
        <v>0</v>
      </c>
      <c r="GY173" s="40"/>
      <c r="HD173" s="44">
        <v>0</v>
      </c>
      <c r="HE173" s="43"/>
      <c r="HF173" s="39"/>
      <c r="HJ173" s="44">
        <v>0</v>
      </c>
      <c r="HK173" s="40"/>
      <c r="HL173" s="39"/>
      <c r="HQ173" s="40"/>
      <c r="HW173" s="43"/>
      <c r="IC173" s="43"/>
      <c r="II173" s="43"/>
      <c r="IO173" s="40"/>
      <c r="IS173" s="40"/>
      <c r="IY173" s="43"/>
      <c r="JC173" s="40"/>
      <c r="JI173" s="40"/>
      <c r="JO173" s="43"/>
      <c r="JU173" s="43"/>
      <c r="KA173" s="43"/>
      <c r="KB173" s="42"/>
      <c r="KJ173" s="43"/>
      <c r="KP173" s="43"/>
      <c r="KV173" s="43"/>
      <c r="KW173" s="42"/>
      <c r="KZ173" s="43"/>
      <c r="LA173" s="42"/>
      <c r="LF173" s="43"/>
      <c r="LG173" s="42"/>
      <c r="LL173" s="43"/>
      <c r="LM173" s="42"/>
      <c r="LP173" s="43"/>
      <c r="LQ173" s="42"/>
      <c r="LV173" s="43"/>
      <c r="LW173" s="42"/>
      <c r="MB173" s="43"/>
      <c r="MC173" s="42"/>
      <c r="MH173" s="43"/>
      <c r="MI173" s="42"/>
      <c r="MN173" s="43"/>
      <c r="MO173" s="42"/>
      <c r="MT173" s="43"/>
      <c r="MU173" s="42"/>
      <c r="MZ173" s="43"/>
      <c r="NA173" s="42"/>
      <c r="NF173" s="43"/>
      <c r="NG173" s="42"/>
      <c r="NL173" s="43"/>
      <c r="NM173" s="42"/>
      <c r="NR173" s="43"/>
      <c r="NS173" s="42"/>
      <c r="NX173" s="43"/>
      <c r="NY173" s="42"/>
      <c r="OD173" s="43"/>
      <c r="OE173" s="42"/>
      <c r="OJ173" s="43"/>
      <c r="OK173" s="42"/>
      <c r="OP173" s="43"/>
      <c r="OQ173" s="42"/>
      <c r="OS173" s="44"/>
      <c r="OV173" s="43"/>
      <c r="OW173" s="42"/>
      <c r="PB173" s="43"/>
      <c r="PC173" s="42"/>
      <c r="PG173" s="44"/>
      <c r="PH173" s="43"/>
      <c r="PI173" s="42"/>
      <c r="PN173" s="43"/>
      <c r="PO173" s="42"/>
      <c r="PQ173" s="44"/>
      <c r="PT173" s="43"/>
      <c r="PU173" s="42"/>
      <c r="PZ173" s="43"/>
      <c r="QA173" s="42"/>
      <c r="QD173" s="43"/>
      <c r="QE173" s="42"/>
      <c r="QH173" s="43"/>
      <c r="QI173" s="42"/>
      <c r="QL173" s="43"/>
      <c r="QM173" s="42"/>
      <c r="QQ173" s="44"/>
      <c r="QR173" s="43"/>
      <c r="QS173" s="42"/>
      <c r="QV173" s="43"/>
      <c r="QW173" s="42"/>
      <c r="QY173" s="44"/>
      <c r="QZ173" s="43"/>
    </row>
    <row r="174" spans="1:468" x14ac:dyDescent="0.25">
      <c r="A174" s="47" t="s">
        <v>458</v>
      </c>
      <c r="B174" s="38">
        <v>0.22</v>
      </c>
      <c r="J174">
        <v>16</v>
      </c>
      <c r="K174">
        <v>16</v>
      </c>
      <c r="N174" s="41">
        <v>16</v>
      </c>
      <c r="O174" s="49">
        <v>16</v>
      </c>
      <c r="P174" s="48"/>
      <c r="Q174" s="48"/>
      <c r="R174" s="48">
        <f t="shared" si="16"/>
        <v>0</v>
      </c>
      <c r="S174" s="40"/>
      <c r="T174" s="39"/>
      <c r="U174" s="49">
        <v>50</v>
      </c>
      <c r="V174" s="53">
        <f t="shared" si="17"/>
        <v>-50</v>
      </c>
      <c r="W174" s="40">
        <f>-1*V174*B174</f>
        <v>11</v>
      </c>
      <c r="X174" s="39"/>
      <c r="Y174" s="48"/>
      <c r="Z174" s="48"/>
      <c r="AA174" s="49">
        <v>8</v>
      </c>
      <c r="AB174" s="53">
        <f t="shared" si="18"/>
        <v>-8</v>
      </c>
      <c r="AC174" s="40">
        <f>-1*AB174*B174</f>
        <v>1.76</v>
      </c>
      <c r="AD174" s="48"/>
      <c r="AG174">
        <v>8</v>
      </c>
      <c r="AH174" s="46">
        <v>-8</v>
      </c>
      <c r="AI174" s="40">
        <v>1.76</v>
      </c>
      <c r="AM174">
        <v>16</v>
      </c>
      <c r="AN174" s="46">
        <v>-16</v>
      </c>
      <c r="AO174" s="40">
        <v>3.52</v>
      </c>
      <c r="AT174" s="44">
        <v>0</v>
      </c>
      <c r="AU174" s="40"/>
      <c r="AV174" s="39"/>
      <c r="AX174" s="44">
        <v>0</v>
      </c>
      <c r="AY174" s="40"/>
      <c r="AZ174" s="41">
        <v>8</v>
      </c>
      <c r="BA174">
        <v>8</v>
      </c>
      <c r="BB174" s="44">
        <v>0</v>
      </c>
      <c r="BC174" s="40"/>
      <c r="BG174">
        <v>8</v>
      </c>
      <c r="BH174" s="46">
        <v>-8</v>
      </c>
      <c r="BI174" s="40">
        <v>1.76</v>
      </c>
      <c r="BK174">
        <v>16</v>
      </c>
      <c r="BL174" s="46">
        <v>-16</v>
      </c>
      <c r="BM174" s="40">
        <v>3.52</v>
      </c>
      <c r="BN174" s="39"/>
      <c r="BR174" s="44">
        <v>0</v>
      </c>
      <c r="BS174" s="40"/>
      <c r="BU174">
        <v>10</v>
      </c>
      <c r="BV174" s="46">
        <v>-10</v>
      </c>
      <c r="BW174" s="40">
        <v>2.2000000000000002</v>
      </c>
      <c r="BX174" s="39"/>
      <c r="BZ174" s="44">
        <v>0</v>
      </c>
      <c r="CA174" s="40"/>
      <c r="CB174" s="39"/>
      <c r="CG174">
        <v>40</v>
      </c>
      <c r="CH174" s="46">
        <v>-40</v>
      </c>
      <c r="CI174" s="40">
        <v>8.8000000000000007</v>
      </c>
      <c r="CL174">
        <v>8</v>
      </c>
      <c r="CM174">
        <v>8</v>
      </c>
      <c r="CN174" s="44">
        <v>0</v>
      </c>
      <c r="CO174" s="40"/>
      <c r="CP174" s="39"/>
      <c r="CR174">
        <v>8</v>
      </c>
      <c r="CS174">
        <v>10</v>
      </c>
      <c r="CT174" s="44">
        <v>-2</v>
      </c>
      <c r="CU174" s="40"/>
      <c r="CV174" s="39"/>
      <c r="CX174">
        <v>8</v>
      </c>
      <c r="CY174">
        <v>8</v>
      </c>
      <c r="CZ174" s="44">
        <v>0</v>
      </c>
      <c r="DA174" s="40"/>
      <c r="DB174" s="39"/>
      <c r="DE174">
        <v>24</v>
      </c>
      <c r="DF174" s="46">
        <v>-24</v>
      </c>
      <c r="DG174" s="40">
        <v>5.28</v>
      </c>
      <c r="DN174" s="44">
        <v>0</v>
      </c>
      <c r="DO174" s="40"/>
      <c r="DP174" s="39"/>
      <c r="DR174" s="44">
        <v>0</v>
      </c>
      <c r="DS174" s="40"/>
      <c r="DT174" s="39"/>
      <c r="DX174" s="44">
        <v>0</v>
      </c>
      <c r="DY174" s="40"/>
      <c r="DZ174" s="41">
        <v>40</v>
      </c>
      <c r="EA174" s="44">
        <v>40</v>
      </c>
      <c r="EB174" s="44">
        <v>0</v>
      </c>
      <c r="EC174" s="40"/>
      <c r="EK174" s="44">
        <v>0</v>
      </c>
      <c r="EL174" s="40"/>
      <c r="ES174" s="44">
        <v>0</v>
      </c>
      <c r="ET174" s="40"/>
      <c r="EU174" s="39"/>
      <c r="EW174">
        <v>64</v>
      </c>
      <c r="EY174" s="44">
        <v>64</v>
      </c>
      <c r="EZ174" s="40"/>
      <c r="FA174" s="39"/>
      <c r="FD174" s="44">
        <v>0</v>
      </c>
      <c r="FE174" s="40"/>
      <c r="FI174" s="40"/>
      <c r="FJ174" s="39"/>
      <c r="FR174" s="40"/>
      <c r="FX174" s="40"/>
      <c r="FY174" s="39"/>
      <c r="GD174" s="40"/>
      <c r="GJ174" s="40"/>
      <c r="GN174" s="40"/>
      <c r="GO174" s="39"/>
      <c r="GR174" s="40"/>
      <c r="GY174" s="40"/>
      <c r="HE174" s="43"/>
      <c r="HF174" s="39"/>
      <c r="HK174" s="40"/>
      <c r="HL174" s="39"/>
      <c r="HQ174" s="40"/>
      <c r="HW174" s="43"/>
      <c r="IC174" s="43"/>
      <c r="II174" s="43"/>
      <c r="IO174" s="40"/>
      <c r="IS174" s="40"/>
      <c r="IY174" s="43"/>
      <c r="JC174" s="40"/>
      <c r="JI174" s="40"/>
      <c r="JO174" s="43"/>
      <c r="JU174" s="43"/>
      <c r="KA174" s="43"/>
      <c r="KB174" s="42"/>
      <c r="KJ174" s="43"/>
      <c r="KP174" s="43"/>
      <c r="KV174" s="43"/>
      <c r="KW174" s="42"/>
      <c r="KZ174" s="43"/>
      <c r="LA174" s="42"/>
      <c r="LF174" s="43"/>
      <c r="LG174" s="42"/>
      <c r="LL174" s="43"/>
      <c r="LM174" s="42"/>
      <c r="LP174" s="43"/>
      <c r="LQ174" s="42"/>
      <c r="LV174" s="43"/>
      <c r="LW174" s="42"/>
      <c r="MB174" s="43"/>
      <c r="MC174" s="42"/>
      <c r="MH174" s="43"/>
      <c r="MI174" s="42"/>
      <c r="MN174" s="43"/>
      <c r="MO174" s="42"/>
      <c r="MT174" s="43"/>
      <c r="MU174" s="42"/>
      <c r="MZ174" s="43"/>
      <c r="NA174" s="42"/>
      <c r="ND174" s="44"/>
      <c r="NF174" s="43"/>
      <c r="NG174" s="42"/>
      <c r="NL174" s="43"/>
      <c r="NM174" s="42"/>
      <c r="NR174" s="43"/>
      <c r="NS174" s="42"/>
      <c r="NX174" s="43"/>
      <c r="NY174" s="42"/>
      <c r="OD174" s="43"/>
      <c r="OE174" s="42"/>
      <c r="OJ174" s="43"/>
      <c r="OK174" s="42"/>
      <c r="OP174" s="43"/>
      <c r="OQ174" s="42"/>
      <c r="OS174" s="44"/>
      <c r="OV174" s="43"/>
      <c r="OW174" s="42"/>
      <c r="PB174" s="43"/>
      <c r="PC174" s="42"/>
      <c r="PG174" s="44"/>
      <c r="PH174" s="43"/>
      <c r="PI174" s="42"/>
      <c r="PN174" s="43"/>
      <c r="PO174" s="42"/>
      <c r="PQ174" s="44"/>
      <c r="PT174" s="43"/>
      <c r="PU174" s="42"/>
      <c r="PZ174" s="43"/>
      <c r="QA174" s="42"/>
      <c r="QD174" s="43"/>
      <c r="QE174" s="42"/>
      <c r="QH174" s="43"/>
      <c r="QI174" s="42"/>
      <c r="QL174" s="43"/>
      <c r="QM174" s="42"/>
      <c r="QQ174" s="44"/>
      <c r="QR174" s="43"/>
      <c r="QS174" s="42"/>
      <c r="QV174" s="43"/>
      <c r="QW174" s="42"/>
      <c r="QY174" s="44"/>
      <c r="QZ174" s="43"/>
    </row>
    <row r="175" spans="1:468" x14ac:dyDescent="0.25">
      <c r="A175" s="47" t="s">
        <v>459</v>
      </c>
      <c r="B175" s="38">
        <v>0.84</v>
      </c>
      <c r="N175" s="39"/>
      <c r="O175" s="48"/>
      <c r="P175" s="48"/>
      <c r="Q175" s="48"/>
      <c r="R175" s="48">
        <f t="shared" si="16"/>
        <v>0</v>
      </c>
      <c r="S175" s="40"/>
      <c r="T175" s="39"/>
      <c r="U175" s="48"/>
      <c r="V175" s="48">
        <f t="shared" si="17"/>
        <v>0</v>
      </c>
      <c r="W175" s="40"/>
      <c r="X175" s="39"/>
      <c r="Y175" s="48"/>
      <c r="Z175" s="48"/>
      <c r="AA175" s="48"/>
      <c r="AB175" s="48">
        <f t="shared" si="18"/>
        <v>0</v>
      </c>
      <c r="AC175" s="40"/>
      <c r="AD175" s="48"/>
      <c r="AH175" s="44">
        <v>0</v>
      </c>
      <c r="AI175" s="40"/>
      <c r="AN175" s="44">
        <v>0</v>
      </c>
      <c r="AO175" s="40"/>
      <c r="AT175" s="44">
        <v>0</v>
      </c>
      <c r="AU175" s="40"/>
      <c r="AV175" s="39"/>
      <c r="AX175" s="44">
        <v>0</v>
      </c>
      <c r="AY175" s="40"/>
      <c r="AZ175" s="41">
        <v>6</v>
      </c>
      <c r="BA175">
        <v>8</v>
      </c>
      <c r="BB175" s="44">
        <v>-2</v>
      </c>
      <c r="BC175" s="40"/>
      <c r="BH175" s="44">
        <v>0</v>
      </c>
      <c r="BI175" s="40"/>
      <c r="BL175" s="44">
        <v>0</v>
      </c>
      <c r="BM175" s="40"/>
      <c r="BN175" s="39"/>
      <c r="BR175" s="44">
        <v>0</v>
      </c>
      <c r="BS175" s="40"/>
      <c r="BV175" s="44">
        <v>0</v>
      </c>
      <c r="BW175" s="40"/>
      <c r="BX175" s="39"/>
      <c r="BZ175" s="44">
        <v>0</v>
      </c>
      <c r="CA175" s="40"/>
      <c r="CB175" s="39"/>
      <c r="CH175" s="44">
        <v>0</v>
      </c>
      <c r="CI175" s="40"/>
      <c r="CN175" s="44">
        <v>0</v>
      </c>
      <c r="CO175" s="40"/>
      <c r="CP175" s="39"/>
      <c r="CT175" s="44">
        <v>0</v>
      </c>
      <c r="CU175" s="40"/>
      <c r="CV175" s="39"/>
      <c r="CZ175" s="44">
        <v>0</v>
      </c>
      <c r="DA175" s="40"/>
      <c r="DB175" s="39"/>
      <c r="DF175" s="44">
        <v>0</v>
      </c>
      <c r="DG175" s="40"/>
      <c r="DN175" s="44">
        <v>0</v>
      </c>
      <c r="DO175" s="40"/>
      <c r="DP175" s="39"/>
      <c r="DR175" s="44">
        <v>0</v>
      </c>
      <c r="DS175" s="40"/>
      <c r="DT175" s="39"/>
      <c r="DV175">
        <v>6</v>
      </c>
      <c r="DW175">
        <v>4</v>
      </c>
      <c r="DX175" s="44">
        <v>2</v>
      </c>
      <c r="DY175" s="40"/>
      <c r="DZ175" s="41">
        <v>6</v>
      </c>
      <c r="EA175">
        <v>8</v>
      </c>
      <c r="EB175" s="44">
        <v>-2</v>
      </c>
      <c r="EC175" s="40"/>
      <c r="EK175" s="44">
        <v>0</v>
      </c>
      <c r="EL175" s="40"/>
      <c r="ES175" s="44">
        <v>0</v>
      </c>
      <c r="ET175" s="40"/>
      <c r="EU175" s="39"/>
      <c r="EY175" s="44">
        <v>0</v>
      </c>
      <c r="EZ175" s="40"/>
      <c r="FA175" s="39"/>
      <c r="FD175" s="44">
        <v>0</v>
      </c>
      <c r="FE175" s="40"/>
      <c r="FH175" s="44">
        <v>0</v>
      </c>
      <c r="FI175" s="40"/>
      <c r="FJ175" s="39"/>
      <c r="FQ175" s="44">
        <v>0</v>
      </c>
      <c r="FR175" s="40"/>
      <c r="FW175" s="44">
        <v>0</v>
      </c>
      <c r="FX175" s="40"/>
      <c r="FY175" s="39"/>
      <c r="GC175" s="44">
        <v>0</v>
      </c>
      <c r="GD175" s="40"/>
      <c r="GI175" s="44">
        <v>0</v>
      </c>
      <c r="GJ175" s="40"/>
      <c r="GM175" s="44">
        <v>0</v>
      </c>
      <c r="GN175" s="40"/>
      <c r="GO175" s="39"/>
      <c r="GQ175" s="44">
        <v>0</v>
      </c>
      <c r="GR175" s="40"/>
      <c r="GX175" s="44">
        <v>0</v>
      </c>
      <c r="GY175" s="40"/>
      <c r="HB175" s="44">
        <v>48</v>
      </c>
      <c r="HC175">
        <v>50</v>
      </c>
      <c r="HD175" s="44">
        <v>-2</v>
      </c>
      <c r="HE175" s="40"/>
      <c r="HF175" s="39"/>
      <c r="HJ175" s="44">
        <v>0</v>
      </c>
      <c r="HK175" s="40"/>
      <c r="HL175" s="39"/>
      <c r="HQ175" s="40"/>
      <c r="HW175" s="43"/>
      <c r="IC175" s="43"/>
      <c r="II175" s="43"/>
      <c r="IO175" s="40"/>
      <c r="IS175" s="40"/>
      <c r="IY175" s="43"/>
      <c r="JC175" s="40"/>
      <c r="JI175" s="40"/>
      <c r="JO175" s="43"/>
      <c r="JU175" s="43"/>
      <c r="KA175" s="43"/>
      <c r="KB175" s="42"/>
      <c r="KJ175" s="43"/>
      <c r="KP175" s="43"/>
      <c r="KV175" s="43"/>
      <c r="KW175" s="42"/>
      <c r="KZ175" s="43"/>
      <c r="LA175" s="42"/>
      <c r="LF175" s="43"/>
      <c r="LG175" s="42"/>
      <c r="LL175" s="43"/>
      <c r="LM175" s="42"/>
      <c r="LP175" s="43"/>
      <c r="LQ175" s="42"/>
      <c r="LV175" s="43"/>
      <c r="LW175" s="42"/>
      <c r="MB175" s="43"/>
      <c r="MC175" s="42"/>
      <c r="MH175" s="43"/>
      <c r="MI175" s="42"/>
      <c r="MN175" s="43"/>
      <c r="MO175" s="42"/>
      <c r="MT175" s="43"/>
      <c r="MU175" s="42"/>
      <c r="MZ175" s="43"/>
      <c r="NA175" s="42"/>
      <c r="NF175" s="43"/>
      <c r="NG175" s="42"/>
      <c r="NL175" s="43"/>
      <c r="NM175" s="42"/>
      <c r="NR175" s="43"/>
      <c r="NS175" s="42"/>
      <c r="NX175" s="43"/>
      <c r="NY175" s="42"/>
      <c r="OD175" s="43"/>
      <c r="OE175" s="42"/>
      <c r="OJ175" s="43"/>
      <c r="OK175" s="42"/>
      <c r="OP175" s="43"/>
      <c r="OQ175" s="42"/>
      <c r="OU175" s="44"/>
      <c r="OV175" s="43"/>
      <c r="OW175" s="42"/>
      <c r="PB175" s="43"/>
      <c r="PC175" s="42"/>
      <c r="PG175" s="44"/>
      <c r="PH175" s="43"/>
      <c r="PI175" s="42"/>
      <c r="PN175" s="43"/>
      <c r="PO175" s="42"/>
      <c r="PQ175" s="44"/>
      <c r="PT175" s="43"/>
      <c r="PU175" s="42"/>
      <c r="PZ175" s="43"/>
      <c r="QA175" s="42"/>
      <c r="QD175" s="43"/>
      <c r="QE175" s="42"/>
      <c r="QH175" s="43"/>
      <c r="QI175" s="42"/>
      <c r="QL175" s="43"/>
      <c r="QM175" s="42"/>
      <c r="QQ175" s="44"/>
      <c r="QR175" s="43"/>
      <c r="QS175" s="42"/>
      <c r="QV175" s="43"/>
      <c r="QW175" s="42"/>
      <c r="QY175" s="44"/>
      <c r="QZ175" s="43"/>
    </row>
    <row r="176" spans="1:468" x14ac:dyDescent="0.25">
      <c r="A176" s="47" t="s">
        <v>460</v>
      </c>
      <c r="B176" s="38">
        <v>1</v>
      </c>
      <c r="N176" s="39"/>
      <c r="O176" s="48"/>
      <c r="P176" s="48"/>
      <c r="Q176" s="48"/>
      <c r="R176" s="48">
        <f t="shared" si="16"/>
        <v>0</v>
      </c>
      <c r="S176" s="40"/>
      <c r="T176" s="39"/>
      <c r="U176" s="48"/>
      <c r="V176" s="48">
        <f t="shared" si="17"/>
        <v>0</v>
      </c>
      <c r="W176" s="40"/>
      <c r="X176" s="39"/>
      <c r="Y176" s="48"/>
      <c r="Z176" s="48"/>
      <c r="AA176" s="48"/>
      <c r="AB176" s="48">
        <f t="shared" si="18"/>
        <v>0</v>
      </c>
      <c r="AC176" s="40"/>
      <c r="AD176" s="48"/>
      <c r="AH176" s="44">
        <v>0</v>
      </c>
      <c r="AI176" s="40"/>
      <c r="AN176" s="44">
        <v>0</v>
      </c>
      <c r="AO176" s="40"/>
      <c r="AT176" s="44">
        <v>0</v>
      </c>
      <c r="AU176" s="40"/>
      <c r="AV176" s="39"/>
      <c r="AX176" s="44">
        <v>0</v>
      </c>
      <c r="AY176" s="40"/>
      <c r="AZ176" s="39"/>
      <c r="BB176" s="44">
        <v>0</v>
      </c>
      <c r="BC176" s="40"/>
      <c r="BH176" s="44">
        <v>0</v>
      </c>
      <c r="BI176" s="40"/>
      <c r="BL176" s="44">
        <v>0</v>
      </c>
      <c r="BM176" s="40"/>
      <c r="BN176" s="39"/>
      <c r="BR176" s="44">
        <v>0</v>
      </c>
      <c r="BS176" s="40"/>
      <c r="BV176" s="44">
        <v>0</v>
      </c>
      <c r="BW176" s="40"/>
      <c r="BX176" s="39"/>
      <c r="BZ176" s="44">
        <v>0</v>
      </c>
      <c r="CA176" s="40"/>
      <c r="CB176" s="39"/>
      <c r="CH176" s="44">
        <v>0</v>
      </c>
      <c r="CI176" s="40"/>
      <c r="CN176" s="44">
        <v>0</v>
      </c>
      <c r="CO176" s="40"/>
      <c r="CP176" s="39"/>
      <c r="CT176" s="44">
        <v>0</v>
      </c>
      <c r="CU176" s="40"/>
      <c r="CV176" s="39"/>
      <c r="CZ176" s="44">
        <v>0</v>
      </c>
      <c r="DA176" s="40"/>
      <c r="DB176" s="39"/>
      <c r="DF176" s="44">
        <v>0</v>
      </c>
      <c r="DG176" s="40"/>
      <c r="DN176" s="44">
        <v>0</v>
      </c>
      <c r="DO176" s="40"/>
      <c r="DP176" s="39"/>
      <c r="DR176" s="44">
        <v>0</v>
      </c>
      <c r="DS176" s="40"/>
      <c r="DT176" s="39"/>
      <c r="DX176" s="44">
        <v>0</v>
      </c>
      <c r="DY176" s="40"/>
      <c r="DZ176" s="39">
        <v>12</v>
      </c>
      <c r="EA176">
        <v>10</v>
      </c>
      <c r="EB176" s="44">
        <v>2</v>
      </c>
      <c r="EC176" s="40"/>
      <c r="EK176" s="44">
        <v>0</v>
      </c>
      <c r="EL176" s="40"/>
      <c r="ES176" s="44">
        <v>0</v>
      </c>
      <c r="ET176" s="40"/>
      <c r="EU176" s="39"/>
      <c r="EY176" s="44">
        <v>0</v>
      </c>
      <c r="EZ176" s="40"/>
      <c r="FA176" s="39"/>
      <c r="FD176" s="44">
        <v>0</v>
      </c>
      <c r="FE176" s="40"/>
      <c r="FI176" s="40"/>
      <c r="FJ176" s="39"/>
      <c r="FR176" s="40"/>
      <c r="FX176" s="40"/>
      <c r="FY176" s="39"/>
      <c r="GD176" s="40"/>
      <c r="GJ176" s="40"/>
      <c r="GN176" s="40"/>
      <c r="GO176" s="39"/>
      <c r="GR176" s="40"/>
      <c r="GY176" s="40"/>
      <c r="HE176" s="40"/>
      <c r="HF176" s="39"/>
      <c r="HK176" s="40"/>
      <c r="HL176" s="39"/>
      <c r="HQ176" s="40"/>
      <c r="HW176" s="43"/>
      <c r="IC176" s="43"/>
      <c r="II176" s="43"/>
      <c r="IO176" s="40"/>
      <c r="IS176" s="40"/>
      <c r="IY176" s="43"/>
      <c r="JC176" s="40"/>
      <c r="JI176" s="40"/>
      <c r="JO176" s="43"/>
      <c r="JU176" s="43"/>
      <c r="KA176" s="43"/>
      <c r="KB176" s="42"/>
      <c r="KJ176" s="43"/>
      <c r="KP176" s="43"/>
      <c r="KV176" s="43"/>
      <c r="KW176" s="42"/>
      <c r="KZ176" s="43"/>
      <c r="LA176" s="42"/>
      <c r="LF176" s="43"/>
      <c r="LG176" s="42"/>
      <c r="LL176" s="43"/>
      <c r="LM176" s="42"/>
      <c r="LP176" s="43"/>
      <c r="LQ176" s="42"/>
      <c r="LV176" s="43"/>
      <c r="LW176" s="42"/>
      <c r="MB176" s="43"/>
      <c r="MC176" s="42"/>
      <c r="MH176" s="43"/>
      <c r="MI176" s="42"/>
      <c r="MN176" s="43"/>
      <c r="MO176" s="42"/>
      <c r="MT176" s="43"/>
      <c r="MU176" s="42"/>
      <c r="MZ176" s="43"/>
      <c r="NA176" s="42"/>
      <c r="NF176" s="43"/>
      <c r="NG176" s="42"/>
      <c r="NL176" s="43"/>
      <c r="NM176" s="42"/>
      <c r="NR176" s="43"/>
      <c r="NS176" s="42"/>
      <c r="NX176" s="43"/>
      <c r="NY176" s="42"/>
      <c r="OD176" s="43"/>
      <c r="OE176" s="42"/>
      <c r="OJ176" s="43"/>
      <c r="OK176" s="42"/>
      <c r="OP176" s="43"/>
      <c r="OQ176" s="42"/>
      <c r="OU176" s="44"/>
      <c r="OV176" s="43"/>
      <c r="OW176" s="42"/>
      <c r="PB176" s="43"/>
      <c r="PC176" s="42"/>
      <c r="PG176" s="44"/>
      <c r="PH176" s="43"/>
      <c r="PI176" s="42"/>
      <c r="PN176" s="43"/>
      <c r="PO176" s="42"/>
      <c r="PQ176" s="44"/>
      <c r="PT176" s="43"/>
      <c r="PU176" s="42"/>
      <c r="PZ176" s="43"/>
      <c r="QA176" s="42"/>
      <c r="QD176" s="43"/>
      <c r="QE176" s="42"/>
      <c r="QH176" s="43"/>
      <c r="QI176" s="42"/>
      <c r="QL176" s="43"/>
      <c r="QM176" s="42"/>
      <c r="QQ176" s="44"/>
      <c r="QR176" s="43"/>
      <c r="QS176" s="42"/>
      <c r="QV176" s="43"/>
      <c r="QW176" s="42"/>
      <c r="QY176" s="44"/>
      <c r="QZ176" s="43"/>
    </row>
    <row r="177" spans="1:468" x14ac:dyDescent="0.25">
      <c r="A177" s="47" t="s">
        <v>461</v>
      </c>
      <c r="B177" s="38">
        <v>0.35</v>
      </c>
      <c r="I177">
        <v>250</v>
      </c>
      <c r="J177">
        <v>328</v>
      </c>
      <c r="K177">
        <v>333</v>
      </c>
      <c r="N177" s="41">
        <v>248</v>
      </c>
      <c r="O177" s="49">
        <v>250</v>
      </c>
      <c r="P177" s="49">
        <v>296</v>
      </c>
      <c r="Q177" s="49">
        <v>300</v>
      </c>
      <c r="R177" s="48">
        <f t="shared" si="16"/>
        <v>-6</v>
      </c>
      <c r="S177" s="40"/>
      <c r="T177" s="41">
        <v>96</v>
      </c>
      <c r="U177" s="49">
        <v>100</v>
      </c>
      <c r="V177" s="48">
        <f t="shared" si="17"/>
        <v>-4</v>
      </c>
      <c r="W177" s="40"/>
      <c r="X177" s="41">
        <v>296</v>
      </c>
      <c r="Y177" s="49">
        <v>300</v>
      </c>
      <c r="Z177" s="48"/>
      <c r="AA177" s="48"/>
      <c r="AB177" s="48">
        <f t="shared" si="18"/>
        <v>-4</v>
      </c>
      <c r="AC177" s="40"/>
      <c r="AD177" s="49">
        <v>296</v>
      </c>
      <c r="AE177">
        <v>300</v>
      </c>
      <c r="AF177">
        <v>376</v>
      </c>
      <c r="AG177">
        <v>380</v>
      </c>
      <c r="AH177" s="44">
        <v>-8</v>
      </c>
      <c r="AI177" s="40"/>
      <c r="AJ177">
        <v>48</v>
      </c>
      <c r="AK177">
        <v>50</v>
      </c>
      <c r="AL177">
        <v>72</v>
      </c>
      <c r="AM177">
        <v>70</v>
      </c>
      <c r="AN177" s="44">
        <v>0</v>
      </c>
      <c r="AO177" s="40"/>
      <c r="AP177">
        <v>96</v>
      </c>
      <c r="AQ177">
        <v>100</v>
      </c>
      <c r="AR177">
        <v>48</v>
      </c>
      <c r="AS177">
        <v>46</v>
      </c>
      <c r="AT177" s="44">
        <v>-2</v>
      </c>
      <c r="AU177" s="40"/>
      <c r="AV177" s="41">
        <v>400</v>
      </c>
      <c r="AW177">
        <v>400</v>
      </c>
      <c r="AX177" s="44">
        <v>0</v>
      </c>
      <c r="AY177" s="40"/>
      <c r="AZ177" s="41">
        <v>168</v>
      </c>
      <c r="BA177">
        <v>166</v>
      </c>
      <c r="BB177" s="44">
        <v>2</v>
      </c>
      <c r="BC177" s="40"/>
      <c r="BF177">
        <v>56</v>
      </c>
      <c r="BG177">
        <v>60</v>
      </c>
      <c r="BH177" s="44">
        <v>-4</v>
      </c>
      <c r="BI177" s="40"/>
      <c r="BJ177">
        <v>336</v>
      </c>
      <c r="BK177">
        <v>341</v>
      </c>
      <c r="BL177" s="44">
        <v>-5</v>
      </c>
      <c r="BM177" s="40"/>
      <c r="BN177" s="41">
        <v>200</v>
      </c>
      <c r="BO177">
        <v>200</v>
      </c>
      <c r="BP177">
        <v>696</v>
      </c>
      <c r="BQ177">
        <v>699</v>
      </c>
      <c r="BR177" s="44">
        <v>-3</v>
      </c>
      <c r="BS177" s="40"/>
      <c r="BT177">
        <v>80</v>
      </c>
      <c r="BU177">
        <v>80</v>
      </c>
      <c r="BV177" s="44">
        <v>0</v>
      </c>
      <c r="BW177" s="40"/>
      <c r="BX177" s="39"/>
      <c r="BZ177" s="44">
        <v>0</v>
      </c>
      <c r="CA177" s="40"/>
      <c r="CB177" s="39"/>
      <c r="CD177">
        <v>256</v>
      </c>
      <c r="CE177">
        <v>300</v>
      </c>
      <c r="CF177">
        <v>296</v>
      </c>
      <c r="CG177">
        <v>260</v>
      </c>
      <c r="CH177" s="44">
        <v>-8</v>
      </c>
      <c r="CI177" s="40"/>
      <c r="CJ177">
        <v>352</v>
      </c>
      <c r="CK177">
        <v>350</v>
      </c>
      <c r="CL177">
        <v>480</v>
      </c>
      <c r="CM177">
        <v>483</v>
      </c>
      <c r="CN177" s="44">
        <v>-1</v>
      </c>
      <c r="CO177" s="40"/>
      <c r="CP177" s="41">
        <v>96</v>
      </c>
      <c r="CQ177">
        <v>100</v>
      </c>
      <c r="CR177">
        <v>208</v>
      </c>
      <c r="CS177">
        <v>210</v>
      </c>
      <c r="CT177" s="44">
        <v>-6</v>
      </c>
      <c r="CU177" s="40"/>
      <c r="CV177" s="39"/>
      <c r="CX177">
        <v>392</v>
      </c>
      <c r="CY177">
        <v>395</v>
      </c>
      <c r="CZ177" s="44">
        <v>-3</v>
      </c>
      <c r="DA177" s="40"/>
      <c r="DB177" s="41">
        <v>102</v>
      </c>
      <c r="DC177">
        <v>100</v>
      </c>
      <c r="DD177">
        <v>120</v>
      </c>
      <c r="DE177">
        <v>120</v>
      </c>
      <c r="DF177" s="44">
        <v>2</v>
      </c>
      <c r="DG177" s="40"/>
      <c r="DH177">
        <v>248</v>
      </c>
      <c r="DI177">
        <v>250</v>
      </c>
      <c r="DJ177">
        <v>248</v>
      </c>
      <c r="DK177">
        <v>250</v>
      </c>
      <c r="DL177">
        <v>296</v>
      </c>
      <c r="DM177">
        <v>300</v>
      </c>
      <c r="DN177" s="44">
        <v>-8</v>
      </c>
      <c r="DO177" s="40"/>
      <c r="DP177" s="41">
        <v>232</v>
      </c>
      <c r="DQ177">
        <v>230</v>
      </c>
      <c r="DR177" s="44">
        <v>2</v>
      </c>
      <c r="DS177" s="40"/>
      <c r="DT177" s="41">
        <v>96</v>
      </c>
      <c r="DU177">
        <v>100</v>
      </c>
      <c r="DV177">
        <v>256</v>
      </c>
      <c r="DW177">
        <v>260</v>
      </c>
      <c r="DX177" s="44">
        <v>-8</v>
      </c>
      <c r="DY177" s="40"/>
      <c r="DZ177" s="41">
        <v>112</v>
      </c>
      <c r="EA177">
        <v>110</v>
      </c>
      <c r="EB177" s="44">
        <v>2</v>
      </c>
      <c r="EC177" s="40"/>
      <c r="ED177">
        <v>200</v>
      </c>
      <c r="EE177">
        <v>200</v>
      </c>
      <c r="EG177">
        <v>200</v>
      </c>
      <c r="EH177">
        <v>200</v>
      </c>
      <c r="EI177">
        <v>328</v>
      </c>
      <c r="EJ177">
        <v>330</v>
      </c>
      <c r="EK177" s="44">
        <v>-2</v>
      </c>
      <c r="EL177" s="40"/>
      <c r="ES177" s="44">
        <v>0</v>
      </c>
      <c r="ET177" s="40"/>
      <c r="EU177" s="41">
        <v>248</v>
      </c>
      <c r="EV177">
        <v>250</v>
      </c>
      <c r="EW177">
        <v>496</v>
      </c>
      <c r="EX177">
        <v>500</v>
      </c>
      <c r="EY177" s="44">
        <v>-6</v>
      </c>
      <c r="EZ177" s="40"/>
      <c r="FA177" s="39"/>
      <c r="FB177">
        <v>136</v>
      </c>
      <c r="FC177">
        <v>135</v>
      </c>
      <c r="FD177" s="44">
        <v>1</v>
      </c>
      <c r="FE177" s="40"/>
      <c r="FF177">
        <v>440</v>
      </c>
      <c r="FG177">
        <v>440</v>
      </c>
      <c r="FH177" s="44">
        <v>0</v>
      </c>
      <c r="FI177" s="40"/>
      <c r="FJ177" s="39"/>
      <c r="FO177">
        <v>16</v>
      </c>
      <c r="FP177">
        <v>20</v>
      </c>
      <c r="FQ177" s="44">
        <v>-4</v>
      </c>
      <c r="FR177" s="40"/>
      <c r="FS177">
        <v>360</v>
      </c>
      <c r="FT177">
        <v>360</v>
      </c>
      <c r="FU177">
        <v>376</v>
      </c>
      <c r="FV177">
        <v>380</v>
      </c>
      <c r="FW177" s="44">
        <v>-4</v>
      </c>
      <c r="FX177" s="40"/>
      <c r="FY177" s="41">
        <v>160</v>
      </c>
      <c r="FZ177">
        <v>160</v>
      </c>
      <c r="GA177">
        <v>216</v>
      </c>
      <c r="GB177">
        <v>200</v>
      </c>
      <c r="GC177" s="44">
        <v>16</v>
      </c>
      <c r="GD177" s="40"/>
      <c r="GE177">
        <v>56</v>
      </c>
      <c r="GF177">
        <v>60</v>
      </c>
      <c r="GG177">
        <v>56</v>
      </c>
      <c r="GH177">
        <v>60</v>
      </c>
      <c r="GI177" s="44">
        <v>-8</v>
      </c>
      <c r="GJ177" s="40"/>
      <c r="GK177">
        <v>160</v>
      </c>
      <c r="GL177" s="47">
        <v>160</v>
      </c>
      <c r="GM177" s="44">
        <v>0</v>
      </c>
      <c r="GN177" s="40"/>
      <c r="GO177" s="41">
        <v>352</v>
      </c>
      <c r="GP177">
        <v>350</v>
      </c>
      <c r="GQ177" s="44">
        <v>2</v>
      </c>
      <c r="GR177" s="40"/>
      <c r="GS177">
        <v>200</v>
      </c>
      <c r="GT177" s="47">
        <v>200</v>
      </c>
      <c r="GV177">
        <v>200</v>
      </c>
      <c r="GW177" s="47">
        <v>200</v>
      </c>
      <c r="GX177" s="44">
        <v>0</v>
      </c>
      <c r="GY177" s="40"/>
      <c r="HD177" s="44">
        <v>0</v>
      </c>
      <c r="HE177" s="40"/>
      <c r="HF177" s="39"/>
      <c r="HJ177" s="44">
        <v>0</v>
      </c>
      <c r="HK177" s="40"/>
      <c r="HL177" s="39"/>
      <c r="HQ177" s="40"/>
      <c r="HW177" s="43"/>
      <c r="IC177" s="43"/>
      <c r="II177" s="43"/>
      <c r="IO177" s="40"/>
      <c r="IS177" s="40"/>
      <c r="IY177" s="43"/>
      <c r="JC177" s="40"/>
      <c r="JI177" s="40"/>
      <c r="JO177" s="43"/>
      <c r="JU177" s="43"/>
      <c r="KA177" s="43"/>
      <c r="KB177" s="42"/>
      <c r="KJ177" s="43"/>
      <c r="KP177" s="43"/>
      <c r="KV177" s="43"/>
      <c r="KW177" s="42"/>
      <c r="KZ177" s="43"/>
      <c r="LA177" s="42"/>
      <c r="LF177" s="43"/>
      <c r="LG177" s="42"/>
      <c r="LL177" s="43"/>
      <c r="LM177" s="42"/>
      <c r="LP177" s="43"/>
      <c r="LQ177" s="42"/>
      <c r="LV177" s="43"/>
      <c r="LW177" s="42"/>
      <c r="MB177" s="43"/>
      <c r="MC177" s="42"/>
      <c r="MH177" s="43"/>
      <c r="MI177" s="42"/>
      <c r="MN177" s="43"/>
      <c r="MO177" s="42"/>
      <c r="MT177" s="43"/>
      <c r="MU177" s="42"/>
      <c r="MZ177" s="43"/>
      <c r="NA177" s="42"/>
      <c r="NF177" s="43"/>
      <c r="NG177" s="42"/>
      <c r="NL177" s="43"/>
      <c r="NM177" s="42"/>
      <c r="NR177" s="43"/>
      <c r="NS177" s="42"/>
      <c r="NX177" s="43"/>
      <c r="NY177" s="42"/>
      <c r="OD177" s="43"/>
      <c r="OE177" s="42"/>
      <c r="OJ177" s="43"/>
      <c r="OK177" s="42"/>
      <c r="OP177" s="43"/>
      <c r="OQ177" s="42"/>
      <c r="OU177" s="44"/>
      <c r="OV177" s="43"/>
      <c r="OW177" s="42"/>
      <c r="PB177" s="43"/>
      <c r="PC177" s="42"/>
      <c r="PG177" s="44"/>
      <c r="PH177" s="43"/>
      <c r="PI177" s="42"/>
      <c r="PN177" s="43"/>
      <c r="PO177" s="42"/>
      <c r="PQ177" s="44"/>
      <c r="PT177" s="43"/>
      <c r="PU177" s="42"/>
      <c r="PZ177" s="43"/>
      <c r="QA177" s="42"/>
      <c r="QD177" s="43"/>
      <c r="QE177" s="42"/>
      <c r="QH177" s="43"/>
      <c r="QI177" s="42"/>
      <c r="QL177" s="43"/>
      <c r="QM177" s="42"/>
      <c r="QQ177" s="44"/>
      <c r="QR177" s="43"/>
      <c r="QS177" s="42"/>
      <c r="QV177" s="43"/>
      <c r="QW177" s="42"/>
      <c r="QY177" s="44"/>
      <c r="QZ177" s="43"/>
    </row>
    <row r="178" spans="1:468" x14ac:dyDescent="0.25">
      <c r="A178" s="47" t="s">
        <v>462</v>
      </c>
      <c r="B178" s="38">
        <v>1</v>
      </c>
      <c r="I178">
        <v>10</v>
      </c>
      <c r="N178" s="39"/>
      <c r="O178" s="48"/>
      <c r="P178" s="48"/>
      <c r="Q178" s="49">
        <v>101</v>
      </c>
      <c r="R178" s="53">
        <f t="shared" si="16"/>
        <v>-101</v>
      </c>
      <c r="S178" s="40">
        <f>-1*R178*B178</f>
        <v>101</v>
      </c>
      <c r="T178" s="39"/>
      <c r="U178" s="48"/>
      <c r="V178" s="48">
        <f t="shared" si="17"/>
        <v>0</v>
      </c>
      <c r="W178" s="40"/>
      <c r="X178" s="39"/>
      <c r="Y178" s="48"/>
      <c r="Z178" s="48"/>
      <c r="AA178" s="48"/>
      <c r="AB178" s="48">
        <f t="shared" si="18"/>
        <v>0</v>
      </c>
      <c r="AC178" s="40"/>
      <c r="AD178" s="48">
        <v>56</v>
      </c>
      <c r="AE178">
        <v>50</v>
      </c>
      <c r="AG178" s="47"/>
      <c r="AH178" s="44">
        <v>6</v>
      </c>
      <c r="AI178" s="40"/>
      <c r="AK178" s="47"/>
      <c r="AM178" s="47"/>
      <c r="AN178" s="44">
        <v>0</v>
      </c>
      <c r="AO178" s="40"/>
      <c r="AP178" s="47"/>
      <c r="AQ178" s="47"/>
      <c r="AR178" s="47"/>
      <c r="AS178" s="47"/>
      <c r="AT178" s="44">
        <v>0</v>
      </c>
      <c r="AU178" s="40"/>
      <c r="AV178" s="42"/>
      <c r="AW178" s="47"/>
      <c r="AX178" s="44">
        <v>0</v>
      </c>
      <c r="AY178" s="40"/>
      <c r="AZ178" s="42"/>
      <c r="BA178" s="47"/>
      <c r="BB178" s="44">
        <v>0</v>
      </c>
      <c r="BC178" s="40"/>
      <c r="BF178" s="47"/>
      <c r="BG178" s="47"/>
      <c r="BI178" s="40"/>
      <c r="BJ178" s="47"/>
      <c r="BK178" s="47"/>
      <c r="BM178" s="40"/>
      <c r="BN178" s="41"/>
      <c r="BO178" s="47"/>
      <c r="BP178" s="47"/>
      <c r="BQ178" s="47"/>
      <c r="BS178" s="40"/>
      <c r="BT178" s="47"/>
      <c r="BU178" s="47"/>
      <c r="BW178" s="40"/>
      <c r="BX178" s="39"/>
      <c r="CA178" s="40"/>
      <c r="CB178" s="39"/>
      <c r="CD178" s="47"/>
      <c r="CE178" s="47"/>
      <c r="CF178" s="47"/>
      <c r="CI178" s="40"/>
      <c r="CJ178" s="47"/>
      <c r="CK178" s="47"/>
      <c r="CM178" s="47"/>
      <c r="CO178" s="40"/>
      <c r="CP178" s="41"/>
      <c r="CQ178" s="47"/>
      <c r="CU178" s="40"/>
      <c r="CV178" s="39"/>
      <c r="DA178" s="40"/>
      <c r="DB178" s="41"/>
      <c r="DG178" s="40"/>
      <c r="DO178" s="40"/>
      <c r="DP178" s="41"/>
      <c r="DS178" s="40"/>
      <c r="DT178" s="41"/>
      <c r="DY178" s="40"/>
      <c r="DZ178" s="41"/>
      <c r="EC178" s="40"/>
      <c r="EL178" s="40"/>
      <c r="ET178" s="40"/>
      <c r="EU178" s="41"/>
      <c r="EZ178" s="40"/>
      <c r="FA178" s="39"/>
      <c r="FE178" s="40"/>
      <c r="FH178" s="44"/>
      <c r="FI178" s="40"/>
      <c r="FJ178" s="39"/>
      <c r="FR178" s="40"/>
      <c r="FX178" s="40"/>
      <c r="FY178" s="41"/>
      <c r="GD178" s="40"/>
      <c r="GJ178" s="40"/>
      <c r="GN178" s="40"/>
      <c r="GO178" s="41"/>
      <c r="GQ178" s="44"/>
      <c r="GR178" s="40"/>
      <c r="GX178" s="44"/>
      <c r="GY178" s="40"/>
      <c r="HD178" s="44"/>
      <c r="HE178" s="40"/>
      <c r="HF178" s="39"/>
      <c r="HJ178" s="44"/>
      <c r="HK178" s="40"/>
      <c r="HL178" s="39"/>
      <c r="HQ178" s="40"/>
      <c r="HW178" s="43"/>
      <c r="IC178" s="43"/>
      <c r="II178" s="43"/>
      <c r="IO178" s="40"/>
      <c r="IS178" s="40"/>
      <c r="IY178" s="43"/>
      <c r="JC178" s="40"/>
      <c r="JI178" s="40"/>
      <c r="JO178" s="43"/>
      <c r="JU178" s="43"/>
      <c r="KA178" s="43"/>
      <c r="KB178" s="42"/>
      <c r="KJ178" s="43"/>
      <c r="KM178" s="44"/>
      <c r="KP178" s="43"/>
      <c r="KV178" s="43"/>
      <c r="KW178" s="42"/>
      <c r="KZ178" s="43"/>
      <c r="LA178" s="42"/>
      <c r="LF178" s="43"/>
      <c r="LG178" s="42"/>
      <c r="LL178" s="43"/>
      <c r="LM178" s="42"/>
      <c r="LP178" s="43"/>
      <c r="LQ178" s="42"/>
      <c r="LV178" s="43"/>
      <c r="LW178" s="42"/>
      <c r="MB178" s="43"/>
      <c r="MC178" s="42"/>
      <c r="MH178" s="43"/>
      <c r="MI178" s="42"/>
      <c r="MN178" s="43"/>
      <c r="MO178" s="42"/>
      <c r="MT178" s="43"/>
      <c r="MU178" s="42"/>
      <c r="MZ178" s="43"/>
      <c r="NA178" s="42"/>
      <c r="NF178" s="43"/>
      <c r="NG178" s="42"/>
      <c r="NL178" s="43"/>
      <c r="NM178" s="42"/>
      <c r="NR178" s="43"/>
      <c r="NS178" s="42"/>
      <c r="NX178" s="43"/>
      <c r="NY178" s="42"/>
      <c r="OD178" s="43"/>
      <c r="OE178" s="42"/>
      <c r="OJ178" s="43"/>
      <c r="OK178" s="42"/>
      <c r="OP178" s="43"/>
      <c r="OQ178" s="42"/>
      <c r="OU178" s="44"/>
      <c r="OV178" s="43"/>
      <c r="OW178" s="42"/>
      <c r="PB178" s="43"/>
      <c r="PC178" s="42"/>
      <c r="PG178" s="44"/>
      <c r="PH178" s="43"/>
      <c r="PI178" s="42"/>
      <c r="PN178" s="43"/>
      <c r="PO178" s="42"/>
      <c r="PQ178" s="44"/>
      <c r="PT178" s="43"/>
      <c r="PU178" s="42"/>
      <c r="PZ178" s="43"/>
      <c r="QA178" s="42"/>
      <c r="QD178" s="43"/>
      <c r="QE178" s="42"/>
      <c r="QH178" s="43"/>
      <c r="QI178" s="42"/>
      <c r="QL178" s="43"/>
      <c r="QM178" s="42"/>
      <c r="QQ178" s="44"/>
      <c r="QR178" s="43"/>
      <c r="QS178" s="42"/>
      <c r="QV178" s="43"/>
      <c r="QW178" s="42"/>
      <c r="QY178" s="44"/>
      <c r="QZ178" s="43"/>
    </row>
    <row r="179" spans="1:468" x14ac:dyDescent="0.25">
      <c r="A179" s="47" t="s">
        <v>463</v>
      </c>
      <c r="B179" s="38">
        <v>1</v>
      </c>
      <c r="E179">
        <v>120</v>
      </c>
      <c r="F179">
        <v>145</v>
      </c>
      <c r="I179">
        <v>57</v>
      </c>
      <c r="N179" s="41">
        <v>202</v>
      </c>
      <c r="O179" s="49">
        <v>200</v>
      </c>
      <c r="P179" s="49">
        <v>219</v>
      </c>
      <c r="Q179" s="49">
        <v>220</v>
      </c>
      <c r="R179" s="48">
        <f t="shared" si="16"/>
        <v>1</v>
      </c>
      <c r="S179" s="40"/>
      <c r="T179" s="39"/>
      <c r="U179" s="48"/>
      <c r="V179" s="48">
        <f t="shared" si="17"/>
        <v>0</v>
      </c>
      <c r="W179" s="40"/>
      <c r="X179" s="41">
        <v>153</v>
      </c>
      <c r="Y179" s="49">
        <v>150</v>
      </c>
      <c r="Z179" s="49">
        <v>197</v>
      </c>
      <c r="AA179" s="49">
        <v>197</v>
      </c>
      <c r="AB179" s="48">
        <f t="shared" si="18"/>
        <v>3</v>
      </c>
      <c r="AC179" s="40"/>
      <c r="AD179" s="49">
        <v>102</v>
      </c>
      <c r="AE179">
        <v>100</v>
      </c>
      <c r="AF179">
        <v>118</v>
      </c>
      <c r="AG179">
        <v>120</v>
      </c>
      <c r="AH179" s="44">
        <v>0</v>
      </c>
      <c r="AI179" s="40"/>
      <c r="AN179" s="44">
        <v>0</v>
      </c>
      <c r="AO179" s="40"/>
      <c r="AP179">
        <v>177</v>
      </c>
      <c r="AQ179">
        <v>180</v>
      </c>
      <c r="AR179">
        <v>218</v>
      </c>
      <c r="AS179">
        <v>220</v>
      </c>
      <c r="AT179" s="44">
        <v>-5</v>
      </c>
      <c r="AU179" s="40"/>
      <c r="AV179" s="41">
        <v>28</v>
      </c>
      <c r="AW179">
        <v>30</v>
      </c>
      <c r="AX179" s="44">
        <v>-2</v>
      </c>
      <c r="AY179" s="40"/>
      <c r="AZ179" s="41">
        <v>180</v>
      </c>
      <c r="BA179">
        <v>179</v>
      </c>
      <c r="BB179" s="44">
        <v>1</v>
      </c>
      <c r="BC179" s="40"/>
      <c r="BD179">
        <v>101</v>
      </c>
      <c r="BE179">
        <v>100</v>
      </c>
      <c r="BF179">
        <v>108</v>
      </c>
      <c r="BG179">
        <v>120</v>
      </c>
      <c r="BH179" s="46">
        <v>-11</v>
      </c>
      <c r="BI179" s="40">
        <v>11</v>
      </c>
      <c r="BJ179">
        <v>247</v>
      </c>
      <c r="BK179">
        <v>248</v>
      </c>
      <c r="BL179" s="44">
        <v>-1</v>
      </c>
      <c r="BM179" s="40"/>
      <c r="BN179" s="41">
        <v>101</v>
      </c>
      <c r="BO179">
        <v>100</v>
      </c>
      <c r="BP179">
        <v>50</v>
      </c>
      <c r="BQ179">
        <v>53</v>
      </c>
      <c r="BR179" s="44">
        <v>-2</v>
      </c>
      <c r="BS179" s="40"/>
      <c r="BT179">
        <v>252</v>
      </c>
      <c r="BU179">
        <v>250</v>
      </c>
      <c r="BV179" s="44">
        <v>2</v>
      </c>
      <c r="BW179" s="40"/>
      <c r="BX179" s="39"/>
      <c r="BZ179" s="44">
        <v>0</v>
      </c>
      <c r="CA179" s="40"/>
      <c r="CB179" s="39"/>
      <c r="CD179">
        <v>271</v>
      </c>
      <c r="CE179">
        <v>300</v>
      </c>
      <c r="CF179">
        <v>303</v>
      </c>
      <c r="CG179">
        <v>270</v>
      </c>
      <c r="CH179" s="44">
        <v>4</v>
      </c>
      <c r="CI179" s="40"/>
      <c r="CL179">
        <v>72</v>
      </c>
      <c r="CM179">
        <v>70</v>
      </c>
      <c r="CN179" s="44">
        <v>2</v>
      </c>
      <c r="CO179" s="40"/>
      <c r="CP179" s="41">
        <v>51</v>
      </c>
      <c r="CQ179">
        <v>50</v>
      </c>
      <c r="CR179">
        <v>114</v>
      </c>
      <c r="CS179">
        <v>110</v>
      </c>
      <c r="CT179" s="44">
        <v>5</v>
      </c>
      <c r="CU179" s="40"/>
      <c r="CV179" s="39"/>
      <c r="CZ179" s="44">
        <v>0</v>
      </c>
      <c r="DA179" s="40"/>
      <c r="DB179" s="41">
        <v>103</v>
      </c>
      <c r="DC179">
        <v>100</v>
      </c>
      <c r="DD179">
        <v>256</v>
      </c>
      <c r="DE179">
        <v>250</v>
      </c>
      <c r="DF179" s="44">
        <v>9</v>
      </c>
      <c r="DG179" s="40"/>
      <c r="DJ179">
        <v>130</v>
      </c>
      <c r="DK179">
        <v>130</v>
      </c>
      <c r="DN179" s="44">
        <v>0</v>
      </c>
      <c r="DO179" s="40"/>
      <c r="DP179" s="41">
        <v>307</v>
      </c>
      <c r="DQ179">
        <v>300</v>
      </c>
      <c r="DR179" s="44">
        <v>7</v>
      </c>
      <c r="DS179" s="40"/>
      <c r="DT179" s="39"/>
      <c r="DV179">
        <v>113</v>
      </c>
      <c r="DW179">
        <v>110</v>
      </c>
      <c r="DX179" s="44">
        <v>3</v>
      </c>
      <c r="DY179" s="40"/>
      <c r="DZ179" s="39"/>
      <c r="EB179" s="44">
        <v>0</v>
      </c>
      <c r="EC179" s="40"/>
      <c r="ED179">
        <v>102</v>
      </c>
      <c r="EE179">
        <v>100</v>
      </c>
      <c r="EG179">
        <v>102</v>
      </c>
      <c r="EH179">
        <v>100</v>
      </c>
      <c r="EI179">
        <v>168</v>
      </c>
      <c r="EJ179">
        <v>170</v>
      </c>
      <c r="EK179" s="44">
        <v>2</v>
      </c>
      <c r="EL179" s="40"/>
      <c r="EN179">
        <v>112</v>
      </c>
      <c r="EO179">
        <v>110</v>
      </c>
      <c r="EQ179">
        <v>112</v>
      </c>
      <c r="ER179">
        <v>110</v>
      </c>
      <c r="ES179" s="44">
        <v>4</v>
      </c>
      <c r="ET179" s="40"/>
      <c r="EU179" s="41">
        <v>45</v>
      </c>
      <c r="EV179">
        <v>50</v>
      </c>
      <c r="EW179">
        <v>152</v>
      </c>
      <c r="EX179">
        <v>152</v>
      </c>
      <c r="EY179" s="44">
        <v>-5</v>
      </c>
      <c r="EZ179" s="40"/>
      <c r="FA179" s="39"/>
      <c r="FB179">
        <v>190</v>
      </c>
      <c r="FC179">
        <v>191</v>
      </c>
      <c r="FD179" s="44">
        <v>-1</v>
      </c>
      <c r="FE179" s="40"/>
      <c r="FF179">
        <v>190</v>
      </c>
      <c r="FG179">
        <v>190</v>
      </c>
      <c r="FH179" s="44">
        <v>0</v>
      </c>
      <c r="FI179" s="40"/>
      <c r="FJ179" s="41">
        <v>78</v>
      </c>
      <c r="FK179">
        <v>80</v>
      </c>
      <c r="FO179">
        <v>102</v>
      </c>
      <c r="FP179">
        <v>100</v>
      </c>
      <c r="FQ179" s="44">
        <v>0</v>
      </c>
      <c r="FR179" s="40"/>
      <c r="FS179">
        <v>50</v>
      </c>
      <c r="FT179">
        <v>50</v>
      </c>
      <c r="FU179">
        <v>72</v>
      </c>
      <c r="FV179">
        <v>70</v>
      </c>
      <c r="FW179" s="44">
        <v>2</v>
      </c>
      <c r="FX179" s="40"/>
      <c r="FY179" s="41">
        <v>100</v>
      </c>
      <c r="FZ179">
        <v>100</v>
      </c>
      <c r="GA179">
        <v>163</v>
      </c>
      <c r="GB179">
        <v>160</v>
      </c>
      <c r="GC179" s="44">
        <v>3</v>
      </c>
      <c r="GD179" s="40"/>
      <c r="GE179">
        <v>50</v>
      </c>
      <c r="GF179">
        <v>50</v>
      </c>
      <c r="GG179">
        <v>73</v>
      </c>
      <c r="GH179">
        <v>70</v>
      </c>
      <c r="GI179" s="44">
        <v>3</v>
      </c>
      <c r="GJ179" s="40"/>
      <c r="GK179">
        <v>51</v>
      </c>
      <c r="GL179" s="47">
        <v>50</v>
      </c>
      <c r="GM179" s="44">
        <v>1</v>
      </c>
      <c r="GN179" s="40"/>
      <c r="GO179" s="41">
        <v>118</v>
      </c>
      <c r="GP179">
        <v>120</v>
      </c>
      <c r="GQ179" s="44">
        <v>-2</v>
      </c>
      <c r="GR179" s="40"/>
      <c r="GS179">
        <v>44</v>
      </c>
      <c r="GT179">
        <v>50</v>
      </c>
      <c r="GV179">
        <v>51</v>
      </c>
      <c r="GW179">
        <v>50</v>
      </c>
      <c r="GX179" s="44">
        <v>-5</v>
      </c>
      <c r="GY179" s="40"/>
      <c r="GZ179">
        <v>50</v>
      </c>
      <c r="HA179" s="44">
        <v>50</v>
      </c>
      <c r="HB179" s="44">
        <v>38</v>
      </c>
      <c r="HC179">
        <v>40</v>
      </c>
      <c r="HD179" s="44">
        <v>-2</v>
      </c>
      <c r="HE179" s="40"/>
      <c r="HF179" s="39"/>
      <c r="HJ179" s="44">
        <v>0</v>
      </c>
      <c r="HK179" s="40"/>
      <c r="HL179" s="39"/>
      <c r="HQ179" s="40"/>
      <c r="HW179" s="43"/>
      <c r="IC179" s="43"/>
      <c r="II179" s="43"/>
      <c r="IO179" s="40"/>
      <c r="IS179" s="40"/>
      <c r="IY179" s="43"/>
      <c r="JC179" s="40"/>
      <c r="JI179" s="40"/>
      <c r="JO179" s="43"/>
      <c r="JU179" s="43"/>
      <c r="KA179" s="43"/>
      <c r="KB179" s="42"/>
      <c r="KJ179" s="43"/>
      <c r="KP179" s="43"/>
      <c r="KV179" s="43"/>
      <c r="KW179" s="42"/>
      <c r="KZ179" s="43"/>
      <c r="LA179" s="42"/>
      <c r="LF179" s="43"/>
      <c r="LG179" s="42"/>
      <c r="LL179" s="43"/>
      <c r="LM179" s="42"/>
      <c r="LP179" s="43"/>
      <c r="LQ179" s="42"/>
      <c r="LV179" s="43"/>
      <c r="LW179" s="42"/>
      <c r="MB179" s="43"/>
      <c r="MC179" s="42"/>
      <c r="MH179" s="43"/>
      <c r="MI179" s="42"/>
      <c r="MN179" s="43"/>
      <c r="MO179" s="42"/>
      <c r="MT179" s="43"/>
      <c r="MU179" s="42"/>
      <c r="MZ179" s="43"/>
      <c r="NA179" s="42"/>
      <c r="NF179" s="43"/>
      <c r="NG179" s="42"/>
      <c r="NL179" s="43"/>
      <c r="NM179" s="42"/>
      <c r="NR179" s="43"/>
      <c r="NS179" s="42"/>
      <c r="NX179" s="43"/>
      <c r="NY179" s="42"/>
      <c r="OD179" s="43"/>
      <c r="OE179" s="42"/>
      <c r="OJ179" s="43"/>
      <c r="OK179" s="42"/>
      <c r="OP179" s="43"/>
      <c r="OQ179" s="42"/>
      <c r="OU179" s="44"/>
      <c r="OV179" s="43"/>
      <c r="OW179" s="42"/>
      <c r="PB179" s="43"/>
      <c r="PC179" s="42"/>
      <c r="PG179" s="44"/>
      <c r="PH179" s="43"/>
      <c r="PI179" s="42"/>
      <c r="PN179" s="43"/>
      <c r="PO179" s="42"/>
      <c r="PQ179" s="44"/>
      <c r="PT179" s="43"/>
      <c r="PU179" s="42"/>
      <c r="PZ179" s="43"/>
      <c r="QA179" s="42"/>
      <c r="QD179" s="43"/>
      <c r="QE179" s="42"/>
      <c r="QH179" s="43"/>
      <c r="QI179" s="42"/>
      <c r="QL179" s="43"/>
      <c r="QM179" s="42"/>
      <c r="QQ179" s="44"/>
      <c r="QR179" s="43"/>
      <c r="QS179" s="42"/>
      <c r="QV179" s="43"/>
      <c r="QW179" s="42"/>
      <c r="QY179" s="44"/>
      <c r="QZ179" s="43"/>
    </row>
    <row r="180" spans="1:468" x14ac:dyDescent="0.25">
      <c r="A180" s="47" t="s">
        <v>464</v>
      </c>
      <c r="B180" s="38">
        <v>0.35</v>
      </c>
      <c r="E180">
        <v>200</v>
      </c>
      <c r="F180">
        <v>221</v>
      </c>
      <c r="I180">
        <v>420</v>
      </c>
      <c r="J180">
        <v>496</v>
      </c>
      <c r="K180">
        <v>496</v>
      </c>
      <c r="N180" s="41">
        <v>144</v>
      </c>
      <c r="O180" s="49">
        <v>148</v>
      </c>
      <c r="P180" s="49">
        <v>96</v>
      </c>
      <c r="Q180" s="49">
        <v>100</v>
      </c>
      <c r="R180" s="48">
        <f t="shared" si="16"/>
        <v>-8</v>
      </c>
      <c r="S180" s="40"/>
      <c r="T180" s="41">
        <v>120</v>
      </c>
      <c r="U180" s="49">
        <v>120</v>
      </c>
      <c r="V180" s="48">
        <f t="shared" si="17"/>
        <v>0</v>
      </c>
      <c r="W180" s="40"/>
      <c r="X180" s="41">
        <v>448</v>
      </c>
      <c r="Y180" s="49">
        <v>450</v>
      </c>
      <c r="Z180" s="49">
        <v>616</v>
      </c>
      <c r="AA180" s="49">
        <v>614</v>
      </c>
      <c r="AB180" s="48">
        <f t="shared" si="18"/>
        <v>0</v>
      </c>
      <c r="AC180" s="40"/>
      <c r="AD180" s="49">
        <v>96</v>
      </c>
      <c r="AE180">
        <v>100</v>
      </c>
      <c r="AF180">
        <v>112</v>
      </c>
      <c r="AG180">
        <v>116</v>
      </c>
      <c r="AH180" s="44">
        <v>-8</v>
      </c>
      <c r="AI180" s="40"/>
      <c r="AN180" s="44">
        <v>0</v>
      </c>
      <c r="AO180" s="40"/>
      <c r="AP180">
        <v>400</v>
      </c>
      <c r="AQ180">
        <v>400</v>
      </c>
      <c r="AR180">
        <v>496</v>
      </c>
      <c r="AS180">
        <v>500</v>
      </c>
      <c r="AT180" s="44">
        <v>-4</v>
      </c>
      <c r="AU180" s="40"/>
      <c r="AV180" s="41">
        <v>288</v>
      </c>
      <c r="AW180">
        <v>290</v>
      </c>
      <c r="AX180" s="44">
        <v>-2</v>
      </c>
      <c r="AY180" s="40"/>
      <c r="AZ180" s="41">
        <v>448</v>
      </c>
      <c r="BA180">
        <v>450</v>
      </c>
      <c r="BB180" s="44">
        <v>-2</v>
      </c>
      <c r="BC180" s="40"/>
      <c r="BD180">
        <v>152</v>
      </c>
      <c r="BE180">
        <v>150</v>
      </c>
      <c r="BF180">
        <v>200</v>
      </c>
      <c r="BG180">
        <v>204</v>
      </c>
      <c r="BH180" s="44">
        <v>-2</v>
      </c>
      <c r="BI180" s="40"/>
      <c r="BJ180">
        <v>848</v>
      </c>
      <c r="BK180">
        <v>851</v>
      </c>
      <c r="BL180" s="44">
        <v>-3</v>
      </c>
      <c r="BM180" s="40"/>
      <c r="BN180" s="41">
        <v>96</v>
      </c>
      <c r="BO180">
        <v>100</v>
      </c>
      <c r="BP180">
        <v>96</v>
      </c>
      <c r="BQ180">
        <v>100</v>
      </c>
      <c r="BR180" s="44">
        <v>-8</v>
      </c>
      <c r="BS180" s="40"/>
      <c r="BT180">
        <v>352</v>
      </c>
      <c r="BU180">
        <v>350</v>
      </c>
      <c r="BV180" s="44">
        <v>2</v>
      </c>
      <c r="BW180" s="40"/>
      <c r="BX180" s="39"/>
      <c r="BZ180" s="44">
        <v>0</v>
      </c>
      <c r="CA180" s="40"/>
      <c r="CB180" s="41">
        <v>280</v>
      </c>
      <c r="CC180">
        <v>280</v>
      </c>
      <c r="CD180">
        <v>320</v>
      </c>
      <c r="CE180">
        <v>700</v>
      </c>
      <c r="CF180">
        <v>696</v>
      </c>
      <c r="CG180">
        <v>320</v>
      </c>
      <c r="CH180" s="44">
        <v>-4</v>
      </c>
      <c r="CI180" s="40"/>
      <c r="CJ180">
        <v>408</v>
      </c>
      <c r="CK180">
        <v>500</v>
      </c>
      <c r="CL180">
        <v>624</v>
      </c>
      <c r="CM180">
        <v>623</v>
      </c>
      <c r="CN180" s="46">
        <v>-91</v>
      </c>
      <c r="CO180" s="40">
        <v>31.85</v>
      </c>
      <c r="CP180" s="41">
        <v>152</v>
      </c>
      <c r="CQ180">
        <v>150</v>
      </c>
      <c r="CR180">
        <v>232</v>
      </c>
      <c r="CS180">
        <v>230</v>
      </c>
      <c r="CT180" s="44">
        <v>4</v>
      </c>
      <c r="CU180" s="40"/>
      <c r="CV180" s="39"/>
      <c r="CX180">
        <v>352</v>
      </c>
      <c r="CY180">
        <v>354</v>
      </c>
      <c r="CZ180" s="44">
        <v>-2</v>
      </c>
      <c r="DA180" s="40"/>
      <c r="DB180" s="41">
        <v>200</v>
      </c>
      <c r="DC180">
        <v>200</v>
      </c>
      <c r="DD180">
        <v>240</v>
      </c>
      <c r="DE180">
        <v>240</v>
      </c>
      <c r="DF180" s="44">
        <v>0</v>
      </c>
      <c r="DG180" s="40"/>
      <c r="DH180">
        <v>200</v>
      </c>
      <c r="DI180">
        <v>200</v>
      </c>
      <c r="DJ180">
        <v>280</v>
      </c>
      <c r="DK180">
        <v>280</v>
      </c>
      <c r="DL180">
        <v>296</v>
      </c>
      <c r="DM180">
        <v>300</v>
      </c>
      <c r="DN180" s="44">
        <v>-4</v>
      </c>
      <c r="DO180" s="40"/>
      <c r="DP180" s="41">
        <v>560</v>
      </c>
      <c r="DQ180">
        <v>560</v>
      </c>
      <c r="DR180" s="44">
        <v>0</v>
      </c>
      <c r="DS180" s="40"/>
      <c r="DT180" s="41">
        <v>200</v>
      </c>
      <c r="DU180">
        <v>200</v>
      </c>
      <c r="DV180">
        <v>272</v>
      </c>
      <c r="DW180">
        <v>270</v>
      </c>
      <c r="DX180" s="44">
        <v>2</v>
      </c>
      <c r="DY180" s="40"/>
      <c r="DZ180" s="41">
        <v>304</v>
      </c>
      <c r="EA180">
        <v>310</v>
      </c>
      <c r="EB180" s="44">
        <v>-6</v>
      </c>
      <c r="EC180" s="40"/>
      <c r="ED180">
        <v>296</v>
      </c>
      <c r="EE180">
        <v>300</v>
      </c>
      <c r="EG180">
        <v>296</v>
      </c>
      <c r="EH180">
        <v>300</v>
      </c>
      <c r="EI180">
        <v>320</v>
      </c>
      <c r="EJ180">
        <v>320</v>
      </c>
      <c r="EK180" s="44">
        <v>-8</v>
      </c>
      <c r="EL180" s="40"/>
      <c r="EN180">
        <v>248</v>
      </c>
      <c r="EO180">
        <v>250</v>
      </c>
      <c r="EQ180">
        <v>304</v>
      </c>
      <c r="ER180">
        <v>310</v>
      </c>
      <c r="ES180" s="44">
        <v>-8</v>
      </c>
      <c r="ET180" s="40"/>
      <c r="EU180" s="39"/>
      <c r="EY180" s="44">
        <v>0</v>
      </c>
      <c r="EZ180" s="40"/>
      <c r="FA180" s="39"/>
      <c r="FB180">
        <v>648</v>
      </c>
      <c r="FC180">
        <v>652</v>
      </c>
      <c r="FD180" s="44">
        <v>-4</v>
      </c>
      <c r="FE180" s="40"/>
      <c r="FF180">
        <v>440</v>
      </c>
      <c r="FG180">
        <v>440</v>
      </c>
      <c r="FH180" s="44">
        <v>0</v>
      </c>
      <c r="FI180" s="40"/>
      <c r="FJ180" s="41">
        <v>72</v>
      </c>
      <c r="FK180">
        <v>70</v>
      </c>
      <c r="FO180">
        <v>96</v>
      </c>
      <c r="FP180">
        <v>100</v>
      </c>
      <c r="FQ180" s="44">
        <v>-2</v>
      </c>
      <c r="FR180" s="40"/>
      <c r="FS180">
        <v>160</v>
      </c>
      <c r="FT180">
        <v>160</v>
      </c>
      <c r="FU180">
        <v>192</v>
      </c>
      <c r="FV180">
        <v>190</v>
      </c>
      <c r="FW180" s="44">
        <v>2</v>
      </c>
      <c r="FX180" s="40"/>
      <c r="FY180" s="39"/>
      <c r="GA180">
        <v>152</v>
      </c>
      <c r="GB180">
        <v>150</v>
      </c>
      <c r="GC180" s="44">
        <v>2</v>
      </c>
      <c r="GD180" s="40"/>
      <c r="GG180">
        <v>160</v>
      </c>
      <c r="GH180">
        <v>160</v>
      </c>
      <c r="GI180" s="44">
        <v>0</v>
      </c>
      <c r="GJ180" s="40"/>
      <c r="GK180">
        <v>72</v>
      </c>
      <c r="GL180" s="47">
        <v>70</v>
      </c>
      <c r="GM180" s="44">
        <v>2</v>
      </c>
      <c r="GN180" s="40"/>
      <c r="GO180" s="41">
        <v>200</v>
      </c>
      <c r="GP180">
        <v>200</v>
      </c>
      <c r="GQ180" s="44">
        <v>0</v>
      </c>
      <c r="GR180" s="40"/>
      <c r="GS180">
        <v>96</v>
      </c>
      <c r="GT180">
        <v>100</v>
      </c>
      <c r="GV180">
        <v>176</v>
      </c>
      <c r="GW180">
        <v>180</v>
      </c>
      <c r="GX180" s="44">
        <v>-8</v>
      </c>
      <c r="GY180" s="40"/>
      <c r="GZ180">
        <v>96</v>
      </c>
      <c r="HA180" s="44">
        <v>100</v>
      </c>
      <c r="HB180" s="44">
        <v>48</v>
      </c>
      <c r="HC180">
        <v>50</v>
      </c>
      <c r="HD180" s="44">
        <v>-6</v>
      </c>
      <c r="HE180" s="40"/>
      <c r="HF180" s="39"/>
      <c r="HJ180" s="44">
        <v>0</v>
      </c>
      <c r="HK180" s="40"/>
      <c r="HL180" s="39"/>
      <c r="HQ180" s="40"/>
      <c r="HW180" s="43"/>
      <c r="IC180" s="43"/>
      <c r="II180" s="43"/>
      <c r="IO180" s="40"/>
      <c r="IS180" s="40"/>
      <c r="IY180" s="43"/>
      <c r="JC180" s="40"/>
      <c r="JI180" s="40"/>
      <c r="JO180" s="43"/>
      <c r="JU180" s="43"/>
      <c r="KA180" s="43"/>
      <c r="KB180" s="42"/>
      <c r="KJ180" s="43"/>
      <c r="KP180" s="43"/>
      <c r="KV180" s="43"/>
      <c r="KW180" s="42"/>
      <c r="KZ180" s="43"/>
      <c r="LA180" s="42"/>
      <c r="LF180" s="43"/>
      <c r="LG180" s="42"/>
      <c r="LL180" s="43"/>
      <c r="LM180" s="42"/>
      <c r="LP180" s="43"/>
      <c r="LQ180" s="42"/>
      <c r="LV180" s="43"/>
      <c r="LW180" s="42"/>
      <c r="MB180" s="43"/>
      <c r="MC180" s="42"/>
      <c r="MH180" s="43"/>
      <c r="MI180" s="42"/>
      <c r="MN180" s="43"/>
      <c r="MO180" s="42"/>
      <c r="MT180" s="43"/>
      <c r="MU180" s="42"/>
      <c r="MZ180" s="43"/>
      <c r="NA180" s="42"/>
      <c r="NF180" s="43"/>
      <c r="NG180" s="42"/>
      <c r="NL180" s="43"/>
      <c r="NM180" s="42"/>
      <c r="NR180" s="43"/>
      <c r="NS180" s="42"/>
      <c r="NX180" s="43"/>
      <c r="NY180" s="42"/>
      <c r="OD180" s="43"/>
      <c r="OE180" s="42"/>
      <c r="OJ180" s="43"/>
      <c r="OK180" s="42"/>
      <c r="OP180" s="43"/>
      <c r="OQ180" s="42"/>
      <c r="OU180" s="44"/>
      <c r="OV180" s="43"/>
      <c r="OW180" s="42"/>
      <c r="PB180" s="43"/>
      <c r="PC180" s="42"/>
      <c r="PG180" s="44"/>
      <c r="PH180" s="43"/>
      <c r="PI180" s="42"/>
      <c r="PN180" s="43"/>
      <c r="PO180" s="42"/>
      <c r="PQ180" s="44"/>
      <c r="PT180" s="43"/>
      <c r="PU180" s="42"/>
      <c r="PZ180" s="43"/>
      <c r="QA180" s="42"/>
      <c r="QD180" s="43"/>
      <c r="QE180" s="42"/>
      <c r="QH180" s="43"/>
      <c r="QI180" s="42"/>
      <c r="QL180" s="43"/>
      <c r="QM180" s="42"/>
      <c r="QQ180" s="44"/>
      <c r="QR180" s="43"/>
      <c r="QS180" s="42"/>
      <c r="QV180" s="43"/>
      <c r="QW180" s="42"/>
      <c r="QY180" s="44"/>
      <c r="QZ180" s="43"/>
    </row>
    <row r="181" spans="1:468" x14ac:dyDescent="0.25">
      <c r="A181" s="47" t="s">
        <v>465</v>
      </c>
      <c r="B181" s="38">
        <v>0.28000000000000003</v>
      </c>
      <c r="N181" s="39"/>
      <c r="O181" s="48"/>
      <c r="P181" s="48"/>
      <c r="Q181" s="48"/>
      <c r="R181" s="48">
        <f t="shared" si="16"/>
        <v>0</v>
      </c>
      <c r="S181" s="40"/>
      <c r="T181" s="39"/>
      <c r="U181" s="48"/>
      <c r="V181" s="48">
        <f t="shared" si="17"/>
        <v>0</v>
      </c>
      <c r="W181" s="40"/>
      <c r="X181" s="39"/>
      <c r="Y181" s="48"/>
      <c r="Z181" s="48"/>
      <c r="AA181" s="48"/>
      <c r="AB181" s="48">
        <f t="shared" si="18"/>
        <v>0</v>
      </c>
      <c r="AC181" s="40"/>
      <c r="AD181" s="48"/>
      <c r="AH181" s="44">
        <v>0</v>
      </c>
      <c r="AI181" s="40"/>
      <c r="AN181" s="44">
        <v>0</v>
      </c>
      <c r="AO181" s="40"/>
      <c r="AT181" s="44">
        <v>0</v>
      </c>
      <c r="AU181" s="40"/>
      <c r="AV181" s="39"/>
      <c r="AX181" s="44">
        <v>0</v>
      </c>
      <c r="AY181" s="40"/>
      <c r="AZ181" s="39"/>
      <c r="BB181" s="44">
        <v>0</v>
      </c>
      <c r="BC181" s="40"/>
      <c r="BH181" s="44">
        <v>0</v>
      </c>
      <c r="BI181" s="40"/>
      <c r="BL181" s="44">
        <v>0</v>
      </c>
      <c r="BM181" s="40"/>
      <c r="BN181" s="39"/>
      <c r="BR181" s="44">
        <v>0</v>
      </c>
      <c r="BS181" s="40"/>
      <c r="BV181" s="44">
        <v>0</v>
      </c>
      <c r="BW181" s="40"/>
      <c r="BX181" s="39"/>
      <c r="BZ181" s="44">
        <v>0</v>
      </c>
      <c r="CA181" s="40"/>
      <c r="CB181" s="39"/>
      <c r="CH181" s="44">
        <v>0</v>
      </c>
      <c r="CI181" s="40"/>
      <c r="CN181" s="44">
        <v>0</v>
      </c>
      <c r="CO181" s="40"/>
      <c r="CP181" s="39"/>
      <c r="CT181" s="44">
        <v>0</v>
      </c>
      <c r="CU181" s="40"/>
      <c r="CV181" s="39"/>
      <c r="CZ181" s="44">
        <v>0</v>
      </c>
      <c r="DA181" s="40"/>
      <c r="DB181" s="39"/>
      <c r="DF181" s="44">
        <v>0</v>
      </c>
      <c r="DG181" s="40"/>
      <c r="DN181" s="44">
        <v>0</v>
      </c>
      <c r="DO181" s="40"/>
      <c r="DP181" s="39"/>
      <c r="DR181" s="44">
        <v>0</v>
      </c>
      <c r="DS181" s="40"/>
      <c r="DT181" s="39"/>
      <c r="DX181" s="44">
        <v>0</v>
      </c>
      <c r="DY181" s="40"/>
      <c r="DZ181" s="39"/>
      <c r="EB181" s="44">
        <v>0</v>
      </c>
      <c r="EC181" s="40"/>
      <c r="EK181" s="44">
        <v>0</v>
      </c>
      <c r="EL181" s="40"/>
      <c r="ES181" s="44">
        <v>0</v>
      </c>
      <c r="ET181" s="40"/>
      <c r="EU181" s="39"/>
      <c r="EY181" s="44">
        <v>0</v>
      </c>
      <c r="EZ181" s="40"/>
      <c r="FA181" s="39"/>
      <c r="FD181" s="44">
        <v>0</v>
      </c>
      <c r="FE181" s="40"/>
      <c r="FH181" s="44">
        <v>0</v>
      </c>
      <c r="FI181" s="40"/>
      <c r="FJ181" s="39"/>
      <c r="FK181">
        <v>150</v>
      </c>
      <c r="FP181">
        <v>310</v>
      </c>
      <c r="FQ181" s="44">
        <v>4</v>
      </c>
      <c r="FR181" s="40"/>
      <c r="FT181" s="35">
        <v>64</v>
      </c>
      <c r="FV181" s="35">
        <v>86</v>
      </c>
      <c r="FW181" s="44">
        <v>2</v>
      </c>
      <c r="FX181" s="40"/>
      <c r="FY181" s="41">
        <v>160</v>
      </c>
      <c r="FZ181">
        <v>150</v>
      </c>
      <c r="GA181">
        <v>168</v>
      </c>
      <c r="GB181">
        <v>170</v>
      </c>
      <c r="GC181" s="44">
        <v>8</v>
      </c>
      <c r="GD181" s="40"/>
      <c r="GE181">
        <v>56</v>
      </c>
      <c r="GF181">
        <v>60</v>
      </c>
      <c r="GG181">
        <v>96</v>
      </c>
      <c r="GH181">
        <v>100</v>
      </c>
      <c r="GI181" s="44">
        <v>-8</v>
      </c>
      <c r="GJ181" s="40"/>
      <c r="GK181">
        <v>120</v>
      </c>
      <c r="GL181" s="47">
        <v>120</v>
      </c>
      <c r="GM181" s="44">
        <v>0</v>
      </c>
      <c r="GN181" s="40"/>
      <c r="GO181" s="41">
        <v>152</v>
      </c>
      <c r="GP181">
        <v>150</v>
      </c>
      <c r="GQ181" s="44">
        <v>2</v>
      </c>
      <c r="GR181" s="40"/>
      <c r="GS181">
        <v>152</v>
      </c>
      <c r="GT181">
        <v>150</v>
      </c>
      <c r="GV181">
        <v>152</v>
      </c>
      <c r="GW181">
        <v>150</v>
      </c>
      <c r="GX181" s="44">
        <v>4</v>
      </c>
      <c r="GY181" s="40"/>
      <c r="GZ181">
        <v>96</v>
      </c>
      <c r="HA181" s="44">
        <v>100</v>
      </c>
      <c r="HB181" s="44">
        <v>48</v>
      </c>
      <c r="HC181">
        <v>50</v>
      </c>
      <c r="HD181" s="44">
        <v>-6</v>
      </c>
      <c r="HE181" s="40"/>
      <c r="HF181" s="39"/>
      <c r="HJ181" s="44">
        <v>0</v>
      </c>
      <c r="HK181" s="40"/>
      <c r="HL181" s="39"/>
      <c r="HQ181" s="40"/>
      <c r="HW181" s="43"/>
      <c r="IC181" s="43"/>
      <c r="II181" s="43"/>
      <c r="IO181" s="40"/>
      <c r="IS181" s="40"/>
      <c r="IY181" s="43"/>
      <c r="JC181" s="40"/>
      <c r="JI181" s="40"/>
      <c r="JO181" s="43"/>
      <c r="JU181" s="43"/>
      <c r="KA181" s="43"/>
      <c r="KB181" s="42"/>
      <c r="KJ181" s="43"/>
      <c r="KP181" s="43"/>
      <c r="KV181" s="43"/>
      <c r="KW181" s="42"/>
      <c r="KZ181" s="43"/>
      <c r="LA181" s="42"/>
      <c r="LF181" s="43"/>
      <c r="LG181" s="42"/>
      <c r="LL181" s="43"/>
      <c r="LM181" s="42"/>
      <c r="LP181" s="43"/>
      <c r="LQ181" s="42"/>
      <c r="LV181" s="43"/>
      <c r="LW181" s="42"/>
      <c r="MB181" s="43"/>
      <c r="MC181" s="42"/>
      <c r="MH181" s="43"/>
      <c r="MI181" s="42"/>
      <c r="MN181" s="43"/>
      <c r="MO181" s="42"/>
      <c r="MT181" s="43"/>
      <c r="MU181" s="42"/>
      <c r="MZ181" s="43"/>
      <c r="NA181" s="42"/>
      <c r="NF181" s="43"/>
      <c r="NG181" s="42"/>
      <c r="NL181" s="43"/>
      <c r="NM181" s="42"/>
      <c r="NR181" s="43"/>
      <c r="NS181" s="42"/>
      <c r="NX181" s="43"/>
      <c r="NY181" s="42"/>
      <c r="OD181" s="43"/>
      <c r="OE181" s="42"/>
      <c r="OJ181" s="43"/>
      <c r="OK181" s="42"/>
      <c r="OP181" s="43"/>
      <c r="OQ181" s="42"/>
      <c r="OU181" s="44"/>
      <c r="OV181" s="43"/>
      <c r="OW181" s="42"/>
      <c r="PB181" s="43"/>
      <c r="PC181" s="42"/>
      <c r="PG181" s="44"/>
      <c r="PH181" s="43"/>
      <c r="PI181" s="42"/>
      <c r="PN181" s="43"/>
      <c r="PO181" s="42"/>
      <c r="PQ181" s="44"/>
      <c r="PT181" s="43"/>
      <c r="PU181" s="42"/>
      <c r="PZ181" s="43"/>
      <c r="QA181" s="42"/>
      <c r="QD181" s="43"/>
      <c r="QE181" s="42"/>
      <c r="QH181" s="43"/>
      <c r="QI181" s="42"/>
      <c r="QL181" s="43"/>
      <c r="QM181" s="42"/>
      <c r="QQ181" s="44"/>
      <c r="QR181" s="43"/>
      <c r="QS181" s="42"/>
      <c r="QV181" s="43"/>
      <c r="QW181" s="42"/>
      <c r="QY181" s="44"/>
      <c r="QZ181" s="43"/>
    </row>
    <row r="182" spans="1:468" x14ac:dyDescent="0.25">
      <c r="A182" s="47" t="s">
        <v>466</v>
      </c>
      <c r="B182" s="38">
        <v>0.3</v>
      </c>
      <c r="F182">
        <v>9</v>
      </c>
      <c r="J182">
        <v>36</v>
      </c>
      <c r="K182">
        <v>39</v>
      </c>
      <c r="N182" s="39"/>
      <c r="O182" s="48"/>
      <c r="P182" s="49">
        <v>42</v>
      </c>
      <c r="Q182" s="49">
        <v>40</v>
      </c>
      <c r="R182" s="48">
        <f t="shared" si="16"/>
        <v>2</v>
      </c>
      <c r="S182" s="40"/>
      <c r="T182" s="39"/>
      <c r="U182" s="48"/>
      <c r="V182" s="48">
        <f t="shared" si="17"/>
        <v>0</v>
      </c>
      <c r="W182" s="40"/>
      <c r="X182" s="39"/>
      <c r="Y182" s="48"/>
      <c r="Z182" s="49">
        <v>30</v>
      </c>
      <c r="AA182" s="49">
        <v>30</v>
      </c>
      <c r="AB182" s="48">
        <f t="shared" si="18"/>
        <v>0</v>
      </c>
      <c r="AC182" s="40"/>
      <c r="AD182" s="48"/>
      <c r="AF182">
        <v>90</v>
      </c>
      <c r="AG182">
        <v>90</v>
      </c>
      <c r="AH182" s="44">
        <v>0</v>
      </c>
      <c r="AI182" s="40"/>
      <c r="AN182" s="44">
        <v>0</v>
      </c>
      <c r="AO182" s="40"/>
      <c r="AT182" s="44">
        <v>0</v>
      </c>
      <c r="AU182" s="40"/>
      <c r="AV182" s="41">
        <v>102</v>
      </c>
      <c r="AW182">
        <v>100</v>
      </c>
      <c r="AX182" s="44">
        <v>2</v>
      </c>
      <c r="AY182" s="40"/>
      <c r="AZ182" s="39"/>
      <c r="BB182" s="44">
        <v>0</v>
      </c>
      <c r="BC182" s="40"/>
      <c r="BH182" s="44">
        <v>0</v>
      </c>
      <c r="BI182" s="40"/>
      <c r="BJ182">
        <v>60</v>
      </c>
      <c r="BK182">
        <v>61</v>
      </c>
      <c r="BL182" s="44">
        <v>-1</v>
      </c>
      <c r="BM182" s="40"/>
      <c r="BN182" s="39"/>
      <c r="BR182" s="44">
        <v>0</v>
      </c>
      <c r="BS182" s="40"/>
      <c r="BT182">
        <v>48</v>
      </c>
      <c r="BU182">
        <v>50</v>
      </c>
      <c r="BV182" s="44">
        <v>-2</v>
      </c>
      <c r="BW182" s="40"/>
      <c r="BX182" s="39"/>
      <c r="BZ182" s="44">
        <v>0</v>
      </c>
      <c r="CA182" s="40"/>
      <c r="CB182" s="39"/>
      <c r="CG182">
        <v>40</v>
      </c>
      <c r="CH182" s="46">
        <v>-40</v>
      </c>
      <c r="CI182" s="40">
        <v>12</v>
      </c>
      <c r="CL182">
        <v>48</v>
      </c>
      <c r="CM182">
        <v>49</v>
      </c>
      <c r="CN182" s="44">
        <v>-1</v>
      </c>
      <c r="CO182" s="40"/>
      <c r="CP182" s="39"/>
      <c r="CT182" s="44">
        <v>0</v>
      </c>
      <c r="CU182" s="40"/>
      <c r="CV182" s="39"/>
      <c r="CZ182" s="44">
        <v>0</v>
      </c>
      <c r="DA182" s="40"/>
      <c r="DB182" s="39"/>
      <c r="DD182">
        <v>24</v>
      </c>
      <c r="DE182">
        <v>25</v>
      </c>
      <c r="DF182" s="44">
        <v>-1</v>
      </c>
      <c r="DG182" s="40"/>
      <c r="DN182" s="44">
        <v>0</v>
      </c>
      <c r="DO182" s="40"/>
      <c r="DP182" s="39"/>
      <c r="DR182" s="44">
        <v>0</v>
      </c>
      <c r="DS182" s="40"/>
      <c r="DT182" s="39"/>
      <c r="DV182">
        <v>72</v>
      </c>
      <c r="DW182">
        <v>70</v>
      </c>
      <c r="DX182" s="44">
        <v>2</v>
      </c>
      <c r="DY182" s="40"/>
      <c r="DZ182" s="39"/>
      <c r="EB182" s="44">
        <v>0</v>
      </c>
      <c r="EC182" s="40"/>
      <c r="EF182">
        <v>30</v>
      </c>
      <c r="EH182">
        <v>30</v>
      </c>
      <c r="EI182">
        <v>42</v>
      </c>
      <c r="EJ182">
        <v>40</v>
      </c>
      <c r="EK182" s="44">
        <v>2</v>
      </c>
      <c r="EL182" s="40"/>
      <c r="ES182" s="44">
        <v>0</v>
      </c>
      <c r="ET182" s="40"/>
      <c r="EU182" s="39"/>
      <c r="EW182">
        <v>48</v>
      </c>
      <c r="EX182">
        <v>48</v>
      </c>
      <c r="EY182" s="44">
        <v>0</v>
      </c>
      <c r="EZ182" s="40"/>
      <c r="FA182" s="39"/>
      <c r="FD182" s="44">
        <v>0</v>
      </c>
      <c r="FE182" s="40"/>
      <c r="FH182" s="44">
        <v>0</v>
      </c>
      <c r="FI182" s="40"/>
      <c r="FJ182" s="39">
        <v>42</v>
      </c>
      <c r="FK182">
        <v>42</v>
      </c>
      <c r="FQ182" s="44">
        <v>0</v>
      </c>
      <c r="FR182" s="40"/>
      <c r="FW182" s="44">
        <v>0</v>
      </c>
      <c r="FX182" s="40"/>
      <c r="FY182" s="42"/>
      <c r="GD182" s="40"/>
      <c r="GJ182" s="40"/>
      <c r="GN182" s="40"/>
      <c r="GO182" s="41"/>
      <c r="GR182" s="40"/>
      <c r="GY182" s="40"/>
      <c r="HE182" s="40"/>
      <c r="HF182" s="39"/>
      <c r="HK182" s="40"/>
      <c r="HL182" s="39"/>
      <c r="HQ182" s="40"/>
      <c r="HW182" s="43"/>
      <c r="IC182" s="43"/>
      <c r="II182" s="43"/>
      <c r="IO182" s="40"/>
      <c r="IS182" s="40"/>
      <c r="IY182" s="43"/>
      <c r="JC182" s="40"/>
      <c r="JI182" s="40"/>
      <c r="JO182" s="43"/>
      <c r="JU182" s="43"/>
      <c r="KA182" s="43"/>
      <c r="KB182" s="42"/>
      <c r="KJ182" s="43"/>
      <c r="KP182" s="43"/>
      <c r="KV182" s="43"/>
      <c r="KW182" s="42"/>
      <c r="KZ182" s="43"/>
      <c r="LA182" s="42"/>
      <c r="LF182" s="43"/>
      <c r="LG182" s="42"/>
      <c r="LL182" s="43"/>
      <c r="LM182" s="42"/>
      <c r="LP182" s="43"/>
      <c r="LQ182" s="42"/>
      <c r="LV182" s="43"/>
      <c r="LW182" s="42"/>
      <c r="MB182" s="43"/>
      <c r="MC182" s="42"/>
      <c r="MH182" s="43"/>
      <c r="MI182" s="42"/>
      <c r="MN182" s="43"/>
      <c r="MO182" s="42"/>
      <c r="MT182" s="43"/>
      <c r="MU182" s="42"/>
      <c r="MZ182" s="43"/>
      <c r="NA182" s="42"/>
      <c r="NF182" s="43"/>
      <c r="NG182" s="42"/>
      <c r="NL182" s="43"/>
      <c r="NM182" s="42"/>
      <c r="NR182" s="43"/>
      <c r="NS182" s="42"/>
      <c r="NU182" s="44"/>
      <c r="NX182" s="43"/>
      <c r="NY182" s="42"/>
      <c r="OD182" s="43"/>
      <c r="OE182" s="42"/>
      <c r="OJ182" s="43"/>
      <c r="OK182" s="42"/>
      <c r="OP182" s="43"/>
      <c r="OQ182" s="42"/>
      <c r="OU182" s="44"/>
      <c r="OV182" s="43"/>
      <c r="OW182" s="42"/>
      <c r="PB182" s="43"/>
      <c r="PC182" s="42"/>
      <c r="PG182" s="44"/>
      <c r="PH182" s="43"/>
      <c r="PI182" s="42"/>
      <c r="PN182" s="43"/>
      <c r="PO182" s="42"/>
      <c r="PQ182" s="44"/>
      <c r="PT182" s="43"/>
      <c r="PU182" s="42"/>
      <c r="PZ182" s="43"/>
      <c r="QA182" s="42"/>
      <c r="QD182" s="43"/>
      <c r="QE182" s="42"/>
      <c r="QH182" s="43"/>
      <c r="QI182" s="42"/>
      <c r="QL182" s="43"/>
      <c r="QM182" s="42"/>
      <c r="QQ182" s="44"/>
      <c r="QR182" s="43"/>
      <c r="QS182" s="42"/>
      <c r="QV182" s="43"/>
      <c r="QW182" s="42"/>
      <c r="QY182" s="44"/>
      <c r="QZ182" s="43"/>
    </row>
    <row r="183" spans="1:468" x14ac:dyDescent="0.25">
      <c r="A183" s="47" t="s">
        <v>467</v>
      </c>
      <c r="B183" s="38">
        <v>0.18</v>
      </c>
      <c r="N183" s="39"/>
      <c r="O183" s="48"/>
      <c r="P183" s="48"/>
      <c r="Q183" s="48"/>
      <c r="R183" s="48">
        <f t="shared" si="16"/>
        <v>0</v>
      </c>
      <c r="S183" s="40"/>
      <c r="T183" s="39"/>
      <c r="U183" s="48"/>
      <c r="V183" s="48">
        <f t="shared" si="17"/>
        <v>0</v>
      </c>
      <c r="W183" s="40"/>
      <c r="X183" s="39"/>
      <c r="Y183" s="48"/>
      <c r="Z183" s="48"/>
      <c r="AA183" s="48"/>
      <c r="AB183" s="48">
        <f t="shared" si="18"/>
        <v>0</v>
      </c>
      <c r="AC183" s="40"/>
      <c r="AD183" s="48"/>
      <c r="AH183" s="44">
        <v>0</v>
      </c>
      <c r="AI183" s="40"/>
      <c r="AK183">
        <v>20</v>
      </c>
      <c r="AN183" s="46">
        <v>-20</v>
      </c>
      <c r="AO183" s="40">
        <v>3.6</v>
      </c>
      <c r="AS183">
        <v>20</v>
      </c>
      <c r="AT183" s="46">
        <v>-20</v>
      </c>
      <c r="AU183" s="40">
        <v>3.6</v>
      </c>
      <c r="AV183" s="39"/>
      <c r="AW183">
        <v>20</v>
      </c>
      <c r="AX183" s="46">
        <v>-20</v>
      </c>
      <c r="AY183" s="40">
        <v>3.6</v>
      </c>
      <c r="AZ183" s="39"/>
      <c r="BB183" s="44">
        <v>0</v>
      </c>
      <c r="BC183" s="40"/>
      <c r="BG183">
        <v>20</v>
      </c>
      <c r="BH183" s="46">
        <v>-20</v>
      </c>
      <c r="BI183" s="40">
        <v>3.6</v>
      </c>
      <c r="BL183" s="44">
        <v>0</v>
      </c>
      <c r="BM183" s="40"/>
      <c r="BN183" s="39"/>
      <c r="BQ183">
        <v>20</v>
      </c>
      <c r="BR183" s="46">
        <v>-20</v>
      </c>
      <c r="BS183" s="40">
        <v>3.6</v>
      </c>
      <c r="BV183" s="44">
        <v>0</v>
      </c>
      <c r="BW183" s="40"/>
      <c r="BX183" s="39"/>
      <c r="BZ183" s="44">
        <v>0</v>
      </c>
      <c r="CA183" s="40"/>
      <c r="CB183" s="39"/>
      <c r="CC183">
        <v>50</v>
      </c>
      <c r="CH183" s="46">
        <v>-50</v>
      </c>
      <c r="CI183" s="40">
        <v>9</v>
      </c>
      <c r="CN183" s="44">
        <v>0</v>
      </c>
      <c r="CO183" s="40"/>
      <c r="CP183" s="39"/>
      <c r="CS183">
        <v>20</v>
      </c>
      <c r="CT183" s="46">
        <v>-20</v>
      </c>
      <c r="CU183" s="40">
        <v>3.6</v>
      </c>
      <c r="CV183" s="39"/>
      <c r="CZ183" s="44">
        <v>0</v>
      </c>
      <c r="DA183" s="40"/>
      <c r="DB183" s="39"/>
      <c r="DE183">
        <v>50</v>
      </c>
      <c r="DF183" s="46">
        <v>-50</v>
      </c>
      <c r="DG183" s="40">
        <v>9</v>
      </c>
      <c r="DN183" s="44">
        <v>0</v>
      </c>
      <c r="DO183" s="40"/>
      <c r="DP183" s="39"/>
      <c r="DR183" s="44">
        <v>0</v>
      </c>
      <c r="DS183" s="40"/>
      <c r="DT183" s="39"/>
      <c r="DW183">
        <v>50</v>
      </c>
      <c r="DX183" s="46">
        <v>-50</v>
      </c>
      <c r="DY183" s="40">
        <v>9</v>
      </c>
      <c r="DZ183" s="39"/>
      <c r="EA183">
        <v>10</v>
      </c>
      <c r="EB183" s="46">
        <v>-10</v>
      </c>
      <c r="EC183" s="40">
        <v>1.8</v>
      </c>
      <c r="EJ183">
        <v>60</v>
      </c>
      <c r="EK183" s="46">
        <v>-60</v>
      </c>
      <c r="EL183" s="40">
        <v>10.8</v>
      </c>
      <c r="ES183" s="44">
        <v>0</v>
      </c>
      <c r="ET183" s="40"/>
      <c r="EU183" s="39"/>
      <c r="EW183">
        <v>64</v>
      </c>
      <c r="EY183" s="44">
        <v>64</v>
      </c>
      <c r="EZ183" s="40"/>
      <c r="FA183" s="39"/>
      <c r="FD183" s="44">
        <v>0</v>
      </c>
      <c r="FE183" s="40"/>
      <c r="FI183" s="40"/>
      <c r="FJ183" s="39"/>
      <c r="FR183" s="40"/>
      <c r="FX183" s="40"/>
      <c r="FY183" s="42"/>
      <c r="GD183" s="40"/>
      <c r="GJ183" s="40"/>
      <c r="GN183" s="40"/>
      <c r="GO183" s="41"/>
      <c r="GR183" s="40"/>
      <c r="GY183" s="40"/>
      <c r="HE183" s="40"/>
      <c r="HF183" s="39"/>
      <c r="HK183" s="40"/>
      <c r="HL183" s="39"/>
      <c r="HQ183" s="40"/>
      <c r="HW183" s="43"/>
      <c r="IC183" s="43"/>
      <c r="II183" s="43"/>
      <c r="IO183" s="40"/>
      <c r="IS183" s="40"/>
      <c r="IY183" s="43"/>
      <c r="JC183" s="40"/>
      <c r="JI183" s="40"/>
      <c r="JO183" s="43"/>
      <c r="JU183" s="43"/>
      <c r="KA183" s="43"/>
      <c r="KB183" s="42"/>
      <c r="KJ183" s="43"/>
      <c r="KP183" s="43"/>
      <c r="KV183" s="43"/>
      <c r="KW183" s="42"/>
      <c r="KZ183" s="43"/>
      <c r="LA183" s="42"/>
      <c r="LF183" s="43"/>
      <c r="LG183" s="42"/>
      <c r="LL183" s="43"/>
      <c r="LM183" s="42"/>
      <c r="LP183" s="43"/>
      <c r="LQ183" s="42"/>
      <c r="LV183" s="43"/>
      <c r="LW183" s="42"/>
      <c r="MB183" s="43"/>
      <c r="MC183" s="42"/>
      <c r="MH183" s="43"/>
      <c r="MI183" s="42"/>
      <c r="MN183" s="43"/>
      <c r="MO183" s="42"/>
      <c r="MT183" s="43"/>
      <c r="MU183" s="42"/>
      <c r="MZ183" s="43"/>
      <c r="NA183" s="42"/>
      <c r="NF183" s="43"/>
      <c r="NG183" s="42"/>
      <c r="NL183" s="43"/>
      <c r="NM183" s="42"/>
      <c r="NR183" s="43"/>
      <c r="NS183" s="42"/>
      <c r="NU183" s="44"/>
      <c r="NX183" s="43"/>
      <c r="NY183" s="42"/>
      <c r="OD183" s="43"/>
      <c r="OE183" s="42"/>
      <c r="OJ183" s="43"/>
      <c r="OK183" s="42"/>
      <c r="OP183" s="43"/>
      <c r="OQ183" s="42"/>
      <c r="OU183" s="44"/>
      <c r="OV183" s="43"/>
      <c r="OW183" s="42"/>
      <c r="PB183" s="43"/>
      <c r="PC183" s="42"/>
      <c r="PG183" s="44"/>
      <c r="PH183" s="43"/>
      <c r="PI183" s="42"/>
      <c r="PN183" s="43"/>
      <c r="PO183" s="42"/>
      <c r="PQ183" s="44"/>
      <c r="PT183" s="43"/>
      <c r="PU183" s="42"/>
      <c r="PZ183" s="43"/>
      <c r="QA183" s="42"/>
      <c r="QD183" s="43"/>
      <c r="QE183" s="42"/>
      <c r="QH183" s="43"/>
      <c r="QI183" s="42"/>
      <c r="QL183" s="43"/>
      <c r="QM183" s="42"/>
      <c r="QQ183" s="44"/>
      <c r="QR183" s="43"/>
      <c r="QS183" s="42"/>
      <c r="QV183" s="43"/>
      <c r="QW183" s="42"/>
      <c r="QY183" s="44"/>
      <c r="QZ183" s="43"/>
    </row>
    <row r="184" spans="1:468" x14ac:dyDescent="0.25">
      <c r="A184" s="47" t="s">
        <v>468</v>
      </c>
      <c r="B184" s="38">
        <v>0.18</v>
      </c>
      <c r="K184">
        <v>20</v>
      </c>
      <c r="N184" s="39"/>
      <c r="O184" s="49">
        <v>20</v>
      </c>
      <c r="P184" s="48"/>
      <c r="Q184" s="48"/>
      <c r="R184" s="53">
        <f t="shared" si="16"/>
        <v>-20</v>
      </c>
      <c r="S184" s="40">
        <f>-1*R184*B184</f>
        <v>3.5999999999999996</v>
      </c>
      <c r="T184" s="39"/>
      <c r="U184" s="49">
        <v>50</v>
      </c>
      <c r="V184" s="53">
        <f t="shared" si="17"/>
        <v>-50</v>
      </c>
      <c r="W184" s="40">
        <f>-1*V184*B184</f>
        <v>9</v>
      </c>
      <c r="X184" s="39"/>
      <c r="Y184" s="48"/>
      <c r="Z184" s="48"/>
      <c r="AA184" s="49">
        <v>10</v>
      </c>
      <c r="AB184" s="53">
        <f t="shared" si="18"/>
        <v>-10</v>
      </c>
      <c r="AC184" s="40">
        <f>-1*AB184*B184</f>
        <v>1.7999999999999998</v>
      </c>
      <c r="AD184" s="48"/>
      <c r="AG184">
        <v>20</v>
      </c>
      <c r="AH184" s="46">
        <v>-20</v>
      </c>
      <c r="AI184" s="40">
        <v>3.6</v>
      </c>
      <c r="AK184">
        <v>20</v>
      </c>
      <c r="AN184" s="46">
        <v>-20</v>
      </c>
      <c r="AO184" s="40">
        <v>3.6</v>
      </c>
      <c r="AS184">
        <v>20</v>
      </c>
      <c r="AT184" s="46">
        <v>-20</v>
      </c>
      <c r="AU184" s="40">
        <v>3.6</v>
      </c>
      <c r="AV184" s="39"/>
      <c r="AW184">
        <v>20</v>
      </c>
      <c r="AX184" s="46">
        <v>-20</v>
      </c>
      <c r="AY184" s="40">
        <v>3.6</v>
      </c>
      <c r="AZ184" s="39"/>
      <c r="BB184" s="44">
        <v>0</v>
      </c>
      <c r="BC184" s="40"/>
      <c r="BG184">
        <v>20</v>
      </c>
      <c r="BH184" s="46">
        <v>-20</v>
      </c>
      <c r="BI184" s="40">
        <v>3.6</v>
      </c>
      <c r="BL184" s="44">
        <v>0</v>
      </c>
      <c r="BM184" s="40"/>
      <c r="BN184" s="39"/>
      <c r="BQ184">
        <v>20</v>
      </c>
      <c r="BR184" s="46">
        <v>-20</v>
      </c>
      <c r="BS184" s="40">
        <v>3.6</v>
      </c>
      <c r="BV184" s="44">
        <v>0</v>
      </c>
      <c r="BW184" s="40"/>
      <c r="BX184" s="39"/>
      <c r="BZ184" s="44">
        <v>0</v>
      </c>
      <c r="CA184" s="40"/>
      <c r="CB184" s="39"/>
      <c r="CC184">
        <v>50</v>
      </c>
      <c r="CH184" s="46">
        <v>-50</v>
      </c>
      <c r="CI184" s="40">
        <v>9</v>
      </c>
      <c r="CN184" s="44">
        <v>0</v>
      </c>
      <c r="CO184" s="40"/>
      <c r="CP184" s="39"/>
      <c r="CS184">
        <v>20</v>
      </c>
      <c r="CT184" s="46">
        <v>-20</v>
      </c>
      <c r="CU184" s="40">
        <v>3.6</v>
      </c>
      <c r="CV184" s="39"/>
      <c r="CZ184" s="44">
        <v>0</v>
      </c>
      <c r="DA184" s="40"/>
      <c r="DB184" s="39"/>
      <c r="DE184">
        <v>50</v>
      </c>
      <c r="DF184" s="46">
        <v>-50</v>
      </c>
      <c r="DG184" s="40">
        <v>9</v>
      </c>
      <c r="DN184" s="44">
        <v>0</v>
      </c>
      <c r="DO184" s="40"/>
      <c r="DP184" s="39"/>
      <c r="DR184" s="44">
        <v>0</v>
      </c>
      <c r="DS184" s="40"/>
      <c r="DT184" s="39"/>
      <c r="DW184">
        <v>50</v>
      </c>
      <c r="DX184" s="46">
        <v>-50</v>
      </c>
      <c r="DY184" s="40">
        <v>9</v>
      </c>
      <c r="DZ184" s="39"/>
      <c r="EA184">
        <v>20</v>
      </c>
      <c r="EB184" s="46">
        <v>-20</v>
      </c>
      <c r="EC184" s="40">
        <v>3.6</v>
      </c>
      <c r="EJ184">
        <v>56</v>
      </c>
      <c r="EK184" s="46">
        <v>-56</v>
      </c>
      <c r="EL184" s="40">
        <v>10.08</v>
      </c>
      <c r="ES184" s="44">
        <v>0</v>
      </c>
      <c r="ET184" s="40"/>
      <c r="EU184" s="39"/>
      <c r="EW184">
        <v>56</v>
      </c>
      <c r="EY184" s="44">
        <v>56</v>
      </c>
      <c r="EZ184" s="40"/>
      <c r="FA184" s="39"/>
      <c r="FD184" s="44">
        <v>0</v>
      </c>
      <c r="FE184" s="40"/>
      <c r="FI184" s="40"/>
      <c r="FJ184" s="39"/>
      <c r="FR184" s="40"/>
      <c r="FX184" s="40"/>
      <c r="FY184" s="42"/>
      <c r="GD184" s="40"/>
      <c r="GJ184" s="40"/>
      <c r="GN184" s="40"/>
      <c r="GO184" s="41"/>
      <c r="GR184" s="40"/>
      <c r="GY184" s="40"/>
      <c r="HE184" s="40"/>
      <c r="HF184" s="39"/>
      <c r="HK184" s="40"/>
      <c r="HL184" s="39"/>
      <c r="HQ184" s="40"/>
      <c r="HW184" s="43"/>
      <c r="IC184" s="43"/>
      <c r="II184" s="43"/>
      <c r="IO184" s="40"/>
      <c r="IS184" s="40"/>
      <c r="IY184" s="43"/>
      <c r="JC184" s="40"/>
      <c r="JI184" s="40"/>
      <c r="JO184" s="43"/>
      <c r="JU184" s="43"/>
      <c r="KA184" s="43"/>
      <c r="KB184" s="42"/>
      <c r="KJ184" s="43"/>
      <c r="KP184" s="43"/>
      <c r="KV184" s="43"/>
      <c r="KW184" s="42"/>
      <c r="KZ184" s="43"/>
      <c r="LA184" s="42"/>
      <c r="LF184" s="43"/>
      <c r="LG184" s="42"/>
      <c r="LL184" s="43"/>
      <c r="LM184" s="42"/>
      <c r="LP184" s="43"/>
      <c r="LQ184" s="42"/>
      <c r="LV184" s="43"/>
      <c r="LW184" s="42"/>
      <c r="MB184" s="43"/>
      <c r="MC184" s="42"/>
      <c r="MH184" s="43"/>
      <c r="MI184" s="42"/>
      <c r="MN184" s="43"/>
      <c r="MO184" s="42"/>
      <c r="MT184" s="43"/>
      <c r="MU184" s="42"/>
      <c r="MZ184" s="43"/>
      <c r="NA184" s="42"/>
      <c r="NF184" s="43"/>
      <c r="NG184" s="42"/>
      <c r="NL184" s="43"/>
      <c r="NM184" s="42"/>
      <c r="NR184" s="43"/>
      <c r="NS184" s="42"/>
      <c r="NU184" s="44"/>
      <c r="NX184" s="43"/>
      <c r="NY184" s="42"/>
      <c r="OD184" s="43"/>
      <c r="OE184" s="42"/>
      <c r="OJ184" s="43"/>
      <c r="OK184" s="42"/>
      <c r="OP184" s="43"/>
      <c r="OQ184" s="42"/>
      <c r="OU184" s="44"/>
      <c r="OV184" s="43"/>
      <c r="OW184" s="42"/>
      <c r="PB184" s="43"/>
      <c r="PC184" s="42"/>
      <c r="PG184" s="44"/>
      <c r="PH184" s="43"/>
      <c r="PI184" s="42"/>
      <c r="PN184" s="43"/>
      <c r="PO184" s="42"/>
      <c r="PQ184" s="44"/>
      <c r="PT184" s="43"/>
      <c r="PU184" s="42"/>
      <c r="PZ184" s="43"/>
      <c r="QA184" s="42"/>
      <c r="QD184" s="43"/>
      <c r="QE184" s="42"/>
      <c r="QH184" s="43"/>
      <c r="QI184" s="42"/>
      <c r="QL184" s="43"/>
      <c r="QM184" s="42"/>
      <c r="QQ184" s="44"/>
      <c r="QR184" s="43"/>
      <c r="QS184" s="42"/>
      <c r="QV184" s="43"/>
      <c r="QW184" s="42"/>
      <c r="QY184" s="44"/>
      <c r="QZ184" s="43"/>
    </row>
    <row r="185" spans="1:468" x14ac:dyDescent="0.25">
      <c r="A185" s="47" t="s">
        <v>469</v>
      </c>
      <c r="B185" s="38">
        <v>0.18</v>
      </c>
      <c r="N185" s="39"/>
      <c r="O185" s="48"/>
      <c r="P185" s="48"/>
      <c r="Q185" s="48"/>
      <c r="R185" s="48">
        <f t="shared" si="16"/>
        <v>0</v>
      </c>
      <c r="S185" s="40"/>
      <c r="T185" s="39"/>
      <c r="U185" s="48"/>
      <c r="V185" s="48">
        <f t="shared" si="17"/>
        <v>0</v>
      </c>
      <c r="W185" s="40"/>
      <c r="X185" s="39"/>
      <c r="Y185" s="48"/>
      <c r="Z185" s="48"/>
      <c r="AA185" s="48"/>
      <c r="AB185" s="48">
        <f t="shared" si="18"/>
        <v>0</v>
      </c>
      <c r="AC185" s="40"/>
      <c r="AD185" s="48"/>
      <c r="AH185" s="44">
        <v>0</v>
      </c>
      <c r="AI185" s="40"/>
      <c r="AN185" s="44">
        <v>0</v>
      </c>
      <c r="AO185" s="40"/>
      <c r="AT185" s="44">
        <v>0</v>
      </c>
      <c r="AU185" s="40"/>
      <c r="AV185" s="39"/>
      <c r="AX185" s="44">
        <v>0</v>
      </c>
      <c r="AY185" s="40"/>
      <c r="AZ185" s="39"/>
      <c r="BB185" s="44">
        <v>0</v>
      </c>
      <c r="BC185" s="40"/>
      <c r="BH185" s="44">
        <v>0</v>
      </c>
      <c r="BI185" s="40"/>
      <c r="BL185" s="44">
        <v>0</v>
      </c>
      <c r="BM185" s="40"/>
      <c r="BN185" s="39"/>
      <c r="BP185">
        <v>48</v>
      </c>
      <c r="BQ185">
        <v>48</v>
      </c>
      <c r="BR185" s="44">
        <v>0</v>
      </c>
      <c r="BS185" s="40"/>
      <c r="BV185" s="44">
        <v>0</v>
      </c>
      <c r="BW185" s="40"/>
      <c r="BX185" s="39"/>
      <c r="BZ185" s="44">
        <v>0</v>
      </c>
      <c r="CA185" s="40"/>
      <c r="CB185" s="41">
        <v>48</v>
      </c>
      <c r="CC185">
        <v>50</v>
      </c>
      <c r="CH185" s="44">
        <v>-2</v>
      </c>
      <c r="CI185" s="40"/>
      <c r="CN185" s="44">
        <v>0</v>
      </c>
      <c r="CO185" s="40"/>
      <c r="CP185" s="39"/>
      <c r="CS185">
        <v>20</v>
      </c>
      <c r="CT185" s="46">
        <v>-20</v>
      </c>
      <c r="CU185" s="40">
        <v>3.6</v>
      </c>
      <c r="CV185" s="39"/>
      <c r="CZ185" s="44">
        <v>0</v>
      </c>
      <c r="DA185" s="40"/>
      <c r="DB185" s="39"/>
      <c r="DE185">
        <v>50</v>
      </c>
      <c r="DF185" s="46">
        <v>-50</v>
      </c>
      <c r="DG185" s="40">
        <v>9</v>
      </c>
      <c r="DN185" s="44">
        <v>0</v>
      </c>
      <c r="DO185" s="40"/>
      <c r="DP185" s="39"/>
      <c r="DR185" s="44">
        <v>0</v>
      </c>
      <c r="DS185" s="40"/>
      <c r="DT185" s="39"/>
      <c r="DW185">
        <v>60</v>
      </c>
      <c r="DX185" s="46">
        <v>-60</v>
      </c>
      <c r="DY185" s="40">
        <v>10.8</v>
      </c>
      <c r="DZ185" s="39"/>
      <c r="EB185" s="44">
        <v>0</v>
      </c>
      <c r="EC185" s="40"/>
      <c r="EF185">
        <v>40</v>
      </c>
      <c r="EH185">
        <v>40</v>
      </c>
      <c r="EJ185">
        <v>50</v>
      </c>
      <c r="EK185" s="46">
        <v>-50</v>
      </c>
      <c r="EL185" s="40">
        <v>9</v>
      </c>
      <c r="ES185" s="44">
        <v>0</v>
      </c>
      <c r="ET185" s="40"/>
      <c r="EU185" s="39"/>
      <c r="EW185">
        <v>64</v>
      </c>
      <c r="EY185" s="44">
        <v>64</v>
      </c>
      <c r="EZ185" s="40"/>
      <c r="FA185" s="39"/>
      <c r="FD185" s="44">
        <v>0</v>
      </c>
      <c r="FE185" s="40"/>
      <c r="FI185" s="40"/>
      <c r="FJ185" s="39"/>
      <c r="FR185" s="40"/>
      <c r="FX185" s="40"/>
      <c r="FY185" s="42"/>
      <c r="GD185" s="40"/>
      <c r="GJ185" s="40"/>
      <c r="GN185" s="40"/>
      <c r="GO185" s="41"/>
      <c r="GR185" s="40"/>
      <c r="GY185" s="40"/>
      <c r="HE185" s="40"/>
      <c r="HF185" s="39"/>
      <c r="HK185" s="40"/>
      <c r="HL185" s="39"/>
      <c r="HQ185" s="40"/>
      <c r="HW185" s="43"/>
      <c r="IC185" s="43"/>
      <c r="II185" s="43"/>
      <c r="IO185" s="40"/>
      <c r="IS185" s="40"/>
      <c r="IY185" s="43"/>
      <c r="JC185" s="40"/>
      <c r="JI185" s="40"/>
      <c r="JO185" s="43"/>
      <c r="JU185" s="43"/>
      <c r="KA185" s="43"/>
      <c r="KB185" s="42"/>
      <c r="KJ185" s="43"/>
      <c r="KP185" s="43"/>
      <c r="KV185" s="43"/>
      <c r="KW185" s="42"/>
      <c r="KZ185" s="43"/>
      <c r="LA185" s="42"/>
      <c r="LF185" s="43"/>
      <c r="LG185" s="42"/>
      <c r="LL185" s="43"/>
      <c r="LM185" s="42"/>
      <c r="LP185" s="43"/>
      <c r="LQ185" s="42"/>
      <c r="LV185" s="43"/>
      <c r="LW185" s="42"/>
      <c r="MB185" s="43"/>
      <c r="MC185" s="42"/>
      <c r="MH185" s="43"/>
      <c r="MI185" s="42"/>
      <c r="MN185" s="43"/>
      <c r="MO185" s="42"/>
      <c r="MT185" s="43"/>
      <c r="MU185" s="42"/>
      <c r="MZ185" s="43"/>
      <c r="NA185" s="42"/>
      <c r="NF185" s="43"/>
      <c r="NG185" s="42"/>
      <c r="NL185" s="43"/>
      <c r="NM185" s="42"/>
      <c r="NR185" s="43"/>
      <c r="NS185" s="42"/>
      <c r="NU185" s="44"/>
      <c r="NX185" s="43"/>
      <c r="NY185" s="42"/>
      <c r="OD185" s="43"/>
      <c r="OE185" s="42"/>
      <c r="OJ185" s="43"/>
      <c r="OK185" s="42"/>
      <c r="OP185" s="43"/>
      <c r="OQ185" s="42"/>
      <c r="OU185" s="44"/>
      <c r="OV185" s="43"/>
      <c r="OW185" s="42"/>
      <c r="PB185" s="43"/>
      <c r="PC185" s="42"/>
      <c r="PG185" s="44"/>
      <c r="PH185" s="43"/>
      <c r="PI185" s="42"/>
      <c r="PN185" s="43"/>
      <c r="PO185" s="42"/>
      <c r="PQ185" s="44"/>
      <c r="PT185" s="43"/>
      <c r="PU185" s="42"/>
      <c r="PZ185" s="43"/>
      <c r="QA185" s="42"/>
      <c r="QD185" s="43"/>
      <c r="QE185" s="42"/>
      <c r="QH185" s="43"/>
      <c r="QI185" s="42"/>
      <c r="QL185" s="43"/>
      <c r="QM185" s="42"/>
      <c r="QQ185" s="44"/>
      <c r="QR185" s="43"/>
      <c r="QS185" s="42"/>
      <c r="QV185" s="43"/>
      <c r="QW185" s="42"/>
      <c r="QY185" s="44"/>
      <c r="QZ185" s="43"/>
    </row>
    <row r="186" spans="1:468" x14ac:dyDescent="0.25">
      <c r="A186" s="47" t="s">
        <v>470</v>
      </c>
      <c r="B186" s="38">
        <v>0.18</v>
      </c>
      <c r="N186" s="39"/>
      <c r="O186" s="48"/>
      <c r="P186" s="48"/>
      <c r="Q186" s="48"/>
      <c r="R186" s="48">
        <f t="shared" si="16"/>
        <v>0</v>
      </c>
      <c r="S186" s="40"/>
      <c r="T186" s="39"/>
      <c r="U186" s="48"/>
      <c r="V186" s="48">
        <f t="shared" si="17"/>
        <v>0</v>
      </c>
      <c r="W186" s="40"/>
      <c r="X186" s="39"/>
      <c r="Y186" s="48"/>
      <c r="Z186" s="48"/>
      <c r="AA186" s="48"/>
      <c r="AB186" s="48">
        <f t="shared" si="18"/>
        <v>0</v>
      </c>
      <c r="AC186" s="40"/>
      <c r="AD186" s="48"/>
      <c r="AH186" s="44">
        <v>0</v>
      </c>
      <c r="AI186" s="40"/>
      <c r="AK186">
        <v>20</v>
      </c>
      <c r="AN186" s="46">
        <v>-20</v>
      </c>
      <c r="AO186" s="40">
        <v>3.6</v>
      </c>
      <c r="AQ186">
        <v>20</v>
      </c>
      <c r="AT186" s="46">
        <v>-20</v>
      </c>
      <c r="AU186" s="40">
        <v>3.6</v>
      </c>
      <c r="AV186" s="39"/>
      <c r="AW186">
        <v>20</v>
      </c>
      <c r="AX186" s="46">
        <v>-20</v>
      </c>
      <c r="AY186" s="40">
        <v>3.6</v>
      </c>
      <c r="AZ186" s="39"/>
      <c r="BB186" s="44">
        <v>0</v>
      </c>
      <c r="BC186" s="40"/>
      <c r="BG186">
        <v>20</v>
      </c>
      <c r="BH186" s="46">
        <v>-20</v>
      </c>
      <c r="BI186" s="40">
        <v>3.6</v>
      </c>
      <c r="BL186" s="44">
        <v>0</v>
      </c>
      <c r="BM186" s="40"/>
      <c r="BN186" s="39"/>
      <c r="BQ186">
        <v>50</v>
      </c>
      <c r="BR186" s="46">
        <v>-50</v>
      </c>
      <c r="BS186" s="40">
        <v>9</v>
      </c>
      <c r="BU186">
        <v>50</v>
      </c>
      <c r="BV186" s="46">
        <v>-50</v>
      </c>
      <c r="BW186" s="40">
        <v>9</v>
      </c>
      <c r="BX186" s="39"/>
      <c r="BZ186" s="44">
        <v>0</v>
      </c>
      <c r="CA186" s="40"/>
      <c r="CB186" s="39"/>
      <c r="CC186">
        <v>50</v>
      </c>
      <c r="CH186" s="46">
        <v>-50</v>
      </c>
      <c r="CI186" s="40">
        <v>9</v>
      </c>
      <c r="CN186" s="44">
        <v>0</v>
      </c>
      <c r="CO186" s="40"/>
      <c r="CP186" s="39"/>
      <c r="CS186">
        <v>20</v>
      </c>
      <c r="CT186" s="46">
        <v>-20</v>
      </c>
      <c r="CU186" s="40">
        <v>3.6</v>
      </c>
      <c r="CV186" s="39"/>
      <c r="CZ186" s="44">
        <v>0</v>
      </c>
      <c r="DA186" s="40"/>
      <c r="DB186" s="39"/>
      <c r="DE186">
        <v>50</v>
      </c>
      <c r="DF186" s="46">
        <v>-50</v>
      </c>
      <c r="DG186" s="40">
        <v>9</v>
      </c>
      <c r="DN186" s="44">
        <v>0</v>
      </c>
      <c r="DO186" s="40"/>
      <c r="DP186" s="39"/>
      <c r="DR186" s="44">
        <v>0</v>
      </c>
      <c r="DS186" s="40"/>
      <c r="DT186" s="39"/>
      <c r="DU186">
        <v>50</v>
      </c>
      <c r="DW186">
        <v>50</v>
      </c>
      <c r="DX186" s="46">
        <v>-100</v>
      </c>
      <c r="DY186" s="40">
        <v>18</v>
      </c>
      <c r="DZ186" s="39"/>
      <c r="EB186" s="44">
        <v>0</v>
      </c>
      <c r="EC186" s="40"/>
      <c r="EJ186">
        <v>60</v>
      </c>
      <c r="EK186" s="46">
        <v>-60</v>
      </c>
      <c r="EL186" s="40">
        <v>10.8</v>
      </c>
      <c r="ES186" s="44">
        <v>0</v>
      </c>
      <c r="ET186" s="40"/>
      <c r="EU186" s="39"/>
      <c r="EY186" s="44">
        <v>0</v>
      </c>
      <c r="EZ186" s="40"/>
      <c r="FA186" s="39"/>
      <c r="FD186" s="44">
        <v>0</v>
      </c>
      <c r="FE186" s="40"/>
      <c r="FI186" s="40"/>
      <c r="FJ186" s="39"/>
      <c r="FR186" s="40"/>
      <c r="FX186" s="40"/>
      <c r="FY186" s="42"/>
      <c r="GD186" s="40"/>
      <c r="GJ186" s="40"/>
      <c r="GN186" s="40"/>
      <c r="GO186" s="41"/>
      <c r="GR186" s="40"/>
      <c r="GY186" s="40"/>
      <c r="HE186" s="40"/>
      <c r="HF186" s="39"/>
      <c r="HK186" s="40"/>
      <c r="HL186" s="39"/>
      <c r="HQ186" s="40"/>
      <c r="HW186" s="43"/>
      <c r="IC186" s="43"/>
      <c r="II186" s="43"/>
      <c r="IO186" s="40"/>
      <c r="IS186" s="40"/>
      <c r="IY186" s="43"/>
      <c r="JC186" s="40"/>
      <c r="JI186" s="40"/>
      <c r="JO186" s="43"/>
      <c r="JU186" s="43"/>
      <c r="KA186" s="43"/>
      <c r="KB186" s="42"/>
      <c r="KJ186" s="43"/>
      <c r="KP186" s="43"/>
      <c r="KV186" s="43"/>
      <c r="KW186" s="42"/>
      <c r="KZ186" s="43"/>
      <c r="LA186" s="42"/>
      <c r="LF186" s="43"/>
      <c r="LG186" s="42"/>
      <c r="LL186" s="43"/>
      <c r="LM186" s="42"/>
      <c r="LP186" s="43"/>
      <c r="LQ186" s="42"/>
      <c r="LV186" s="43"/>
      <c r="LW186" s="42"/>
      <c r="MB186" s="43"/>
      <c r="MC186" s="42"/>
      <c r="MH186" s="43"/>
      <c r="MI186" s="42"/>
      <c r="MN186" s="43"/>
      <c r="MO186" s="42"/>
      <c r="MT186" s="43"/>
      <c r="MU186" s="42"/>
      <c r="MZ186" s="43"/>
      <c r="NA186" s="42"/>
      <c r="NF186" s="43"/>
      <c r="NG186" s="42"/>
      <c r="NL186" s="43"/>
      <c r="NM186" s="42"/>
      <c r="NR186" s="43"/>
      <c r="NS186" s="42"/>
      <c r="NU186" s="44"/>
      <c r="NX186" s="43"/>
      <c r="NY186" s="42"/>
      <c r="OD186" s="43"/>
      <c r="OE186" s="42"/>
      <c r="OJ186" s="43"/>
      <c r="OK186" s="42"/>
      <c r="OP186" s="43"/>
      <c r="OQ186" s="42"/>
      <c r="OU186" s="44"/>
      <c r="OV186" s="43"/>
      <c r="OW186" s="42"/>
      <c r="PB186" s="43"/>
      <c r="PC186" s="42"/>
      <c r="PG186" s="44"/>
      <c r="PH186" s="43"/>
      <c r="PI186" s="42"/>
      <c r="PN186" s="43"/>
      <c r="PO186" s="42"/>
      <c r="PQ186" s="44"/>
      <c r="PT186" s="43"/>
      <c r="PU186" s="42"/>
      <c r="PZ186" s="43"/>
      <c r="QA186" s="42"/>
      <c r="QD186" s="43"/>
      <c r="QE186" s="42"/>
      <c r="QH186" s="43"/>
      <c r="QI186" s="42"/>
      <c r="QL186" s="43"/>
      <c r="QM186" s="42"/>
      <c r="QQ186" s="44"/>
      <c r="QR186" s="43"/>
      <c r="QS186" s="42"/>
      <c r="QV186" s="43"/>
      <c r="QW186" s="42"/>
      <c r="QY186" s="44"/>
      <c r="QZ186" s="43"/>
    </row>
    <row r="187" spans="1:468" x14ac:dyDescent="0.25">
      <c r="A187" s="47" t="s">
        <v>471</v>
      </c>
      <c r="B187" s="38">
        <v>0.18</v>
      </c>
      <c r="N187" s="39"/>
      <c r="O187" s="48"/>
      <c r="P187" s="48"/>
      <c r="Q187" s="48"/>
      <c r="R187" s="48">
        <f t="shared" si="16"/>
        <v>0</v>
      </c>
      <c r="S187" s="40"/>
      <c r="T187" s="39"/>
      <c r="U187" s="48"/>
      <c r="V187" s="48">
        <f t="shared" si="17"/>
        <v>0</v>
      </c>
      <c r="W187" s="40"/>
      <c r="X187" s="39"/>
      <c r="Y187" s="48"/>
      <c r="Z187" s="48"/>
      <c r="AA187" s="48"/>
      <c r="AB187" s="48">
        <f t="shared" si="18"/>
        <v>0</v>
      </c>
      <c r="AC187" s="40"/>
      <c r="AD187" s="48"/>
      <c r="AH187" s="44">
        <v>0</v>
      </c>
      <c r="AI187" s="40"/>
      <c r="AK187">
        <v>20</v>
      </c>
      <c r="AN187" s="46">
        <v>-20</v>
      </c>
      <c r="AO187" s="40"/>
      <c r="AQ187">
        <v>20</v>
      </c>
      <c r="AT187" s="46">
        <v>-20</v>
      </c>
      <c r="AU187" s="40">
        <v>3.6</v>
      </c>
      <c r="AV187" s="39"/>
      <c r="AW187">
        <v>20</v>
      </c>
      <c r="AX187" s="46">
        <v>-20</v>
      </c>
      <c r="AY187" s="40">
        <v>3.6</v>
      </c>
      <c r="AZ187" s="39"/>
      <c r="BB187" s="44">
        <v>0</v>
      </c>
      <c r="BC187" s="40"/>
      <c r="BG187">
        <v>20</v>
      </c>
      <c r="BH187" s="46">
        <v>-20</v>
      </c>
      <c r="BI187" s="40">
        <v>3.6</v>
      </c>
      <c r="BL187" s="44">
        <v>0</v>
      </c>
      <c r="BM187" s="40"/>
      <c r="BN187" s="39"/>
      <c r="BQ187">
        <v>50</v>
      </c>
      <c r="BR187" s="46">
        <v>-50</v>
      </c>
      <c r="BS187" s="40">
        <v>9</v>
      </c>
      <c r="BU187">
        <v>50</v>
      </c>
      <c r="BV187" s="46">
        <v>-50</v>
      </c>
      <c r="BW187" s="40">
        <v>9</v>
      </c>
      <c r="BX187" s="39"/>
      <c r="BZ187" s="44">
        <v>0</v>
      </c>
      <c r="CA187" s="40"/>
      <c r="CB187" s="39"/>
      <c r="CC187">
        <v>50</v>
      </c>
      <c r="CH187" s="46">
        <v>-50</v>
      </c>
      <c r="CI187" s="40">
        <v>9</v>
      </c>
      <c r="CN187" s="44">
        <v>0</v>
      </c>
      <c r="CO187" s="40"/>
      <c r="CP187" s="39"/>
      <c r="CS187">
        <v>20</v>
      </c>
      <c r="CT187" s="46">
        <v>-20</v>
      </c>
      <c r="CU187" s="40">
        <v>3.6</v>
      </c>
      <c r="CV187" s="39"/>
      <c r="CZ187" s="44">
        <v>0</v>
      </c>
      <c r="DA187" s="40"/>
      <c r="DB187" s="39"/>
      <c r="DE187">
        <v>50</v>
      </c>
      <c r="DF187" s="46">
        <v>-50</v>
      </c>
      <c r="DG187" s="40">
        <v>9</v>
      </c>
      <c r="DK187">
        <v>30</v>
      </c>
      <c r="DN187" s="46">
        <v>-30</v>
      </c>
      <c r="DO187" s="40">
        <v>5.3999999999999986</v>
      </c>
      <c r="DP187" s="39"/>
      <c r="DR187" s="44">
        <v>0</v>
      </c>
      <c r="DS187" s="40"/>
      <c r="DT187" s="39"/>
      <c r="DU187">
        <v>50</v>
      </c>
      <c r="DW187">
        <v>50</v>
      </c>
      <c r="DX187" s="46">
        <v>-100</v>
      </c>
      <c r="DY187" s="40">
        <v>18</v>
      </c>
      <c r="DZ187" s="39"/>
      <c r="EA187" s="44">
        <v>50</v>
      </c>
      <c r="EB187" s="46">
        <v>-50</v>
      </c>
      <c r="EC187" s="40">
        <v>9</v>
      </c>
      <c r="EK187" s="44">
        <v>0</v>
      </c>
      <c r="EL187" s="40"/>
      <c r="ES187" s="44">
        <v>0</v>
      </c>
      <c r="ET187" s="40"/>
      <c r="EU187" s="39"/>
      <c r="EY187" s="44">
        <v>0</v>
      </c>
      <c r="EZ187" s="40"/>
      <c r="FA187" s="39"/>
      <c r="FD187" s="44">
        <v>0</v>
      </c>
      <c r="FE187" s="40"/>
      <c r="FI187" s="40"/>
      <c r="FJ187" s="39"/>
      <c r="FR187" s="40"/>
      <c r="FX187" s="40"/>
      <c r="FY187" s="42"/>
      <c r="GD187" s="40"/>
      <c r="GJ187" s="40"/>
      <c r="GN187" s="40"/>
      <c r="GO187" s="41"/>
      <c r="GR187" s="40"/>
      <c r="GY187" s="40"/>
      <c r="HE187" s="40"/>
      <c r="HF187" s="39"/>
      <c r="HK187" s="40"/>
      <c r="HL187" s="39"/>
      <c r="HQ187" s="40"/>
      <c r="HW187" s="43"/>
      <c r="IC187" s="43"/>
      <c r="II187" s="43"/>
      <c r="IO187" s="40"/>
      <c r="IS187" s="40"/>
      <c r="IY187" s="43"/>
      <c r="JC187" s="40"/>
      <c r="JI187" s="40"/>
      <c r="JO187" s="43"/>
      <c r="JU187" s="43"/>
      <c r="KA187" s="43"/>
      <c r="KB187" s="42"/>
      <c r="KJ187" s="43"/>
      <c r="KP187" s="43"/>
      <c r="KV187" s="43"/>
      <c r="KW187" s="42"/>
      <c r="KZ187" s="43"/>
      <c r="LA187" s="42"/>
      <c r="LF187" s="43"/>
      <c r="LG187" s="42"/>
      <c r="LL187" s="43"/>
      <c r="LM187" s="42"/>
      <c r="LP187" s="43"/>
      <c r="LQ187" s="42"/>
      <c r="LV187" s="43"/>
      <c r="LW187" s="42"/>
      <c r="MB187" s="43"/>
      <c r="MC187" s="42"/>
      <c r="MH187" s="43"/>
      <c r="MI187" s="42"/>
      <c r="MN187" s="43"/>
      <c r="MO187" s="42"/>
      <c r="MT187" s="43"/>
      <c r="MU187" s="42"/>
      <c r="MZ187" s="43"/>
      <c r="NA187" s="42"/>
      <c r="NF187" s="43"/>
      <c r="NG187" s="42"/>
      <c r="NL187" s="43"/>
      <c r="NM187" s="42"/>
      <c r="NR187" s="43"/>
      <c r="NS187" s="42"/>
      <c r="NU187" s="44"/>
      <c r="NX187" s="43"/>
      <c r="NY187" s="42"/>
      <c r="OD187" s="43"/>
      <c r="OE187" s="42"/>
      <c r="OJ187" s="43"/>
      <c r="OK187" s="42"/>
      <c r="OP187" s="43"/>
      <c r="OQ187" s="42"/>
      <c r="OU187" s="44"/>
      <c r="OV187" s="43"/>
      <c r="OW187" s="42"/>
      <c r="PB187" s="43"/>
      <c r="PC187" s="42"/>
      <c r="PG187" s="44"/>
      <c r="PH187" s="43"/>
      <c r="PI187" s="42"/>
      <c r="PN187" s="43"/>
      <c r="PO187" s="42"/>
      <c r="PQ187" s="44"/>
      <c r="PT187" s="43"/>
      <c r="PU187" s="42"/>
      <c r="PZ187" s="43"/>
      <c r="QA187" s="42"/>
      <c r="QD187" s="43"/>
      <c r="QE187" s="42"/>
      <c r="QH187" s="43"/>
      <c r="QI187" s="42"/>
      <c r="QL187" s="43"/>
      <c r="QM187" s="42"/>
      <c r="QQ187" s="44"/>
      <c r="QR187" s="43"/>
      <c r="QS187" s="42"/>
      <c r="QV187" s="43"/>
      <c r="QW187" s="42"/>
      <c r="QY187" s="44"/>
      <c r="QZ187" s="43"/>
    </row>
    <row r="188" spans="1:468" x14ac:dyDescent="0.25">
      <c r="A188" s="47" t="s">
        <v>472</v>
      </c>
      <c r="B188" s="38">
        <v>0.3</v>
      </c>
      <c r="J188">
        <v>16</v>
      </c>
      <c r="K188">
        <v>20</v>
      </c>
      <c r="N188" s="39"/>
      <c r="O188" s="48"/>
      <c r="P188" s="49">
        <v>32</v>
      </c>
      <c r="Q188" s="49">
        <v>37</v>
      </c>
      <c r="R188" s="48">
        <f t="shared" si="16"/>
        <v>-5</v>
      </c>
      <c r="S188" s="40"/>
      <c r="T188" s="39"/>
      <c r="U188" s="48"/>
      <c r="V188" s="48">
        <f t="shared" si="17"/>
        <v>0</v>
      </c>
      <c r="W188" s="40"/>
      <c r="X188" s="39"/>
      <c r="Y188" s="48"/>
      <c r="Z188" s="48"/>
      <c r="AA188" s="48"/>
      <c r="AB188" s="48">
        <f t="shared" si="18"/>
        <v>0</v>
      </c>
      <c r="AC188" s="40"/>
      <c r="AD188" s="48"/>
      <c r="AF188">
        <v>8</v>
      </c>
      <c r="AG188">
        <v>12</v>
      </c>
      <c r="AH188" s="44">
        <v>-4</v>
      </c>
      <c r="AI188" s="40"/>
      <c r="AJ188">
        <v>40</v>
      </c>
      <c r="AK188">
        <v>40</v>
      </c>
      <c r="AL188">
        <v>40</v>
      </c>
      <c r="AM188">
        <v>42</v>
      </c>
      <c r="AN188" s="44">
        <v>-2</v>
      </c>
      <c r="AO188" s="40"/>
      <c r="AR188">
        <v>24</v>
      </c>
      <c r="AS188">
        <v>29</v>
      </c>
      <c r="AT188" s="44">
        <v>-5</v>
      </c>
      <c r="AU188" s="40"/>
      <c r="AV188" s="41">
        <v>24</v>
      </c>
      <c r="AW188">
        <v>24</v>
      </c>
      <c r="AX188" s="44">
        <v>0</v>
      </c>
      <c r="AY188" s="40"/>
      <c r="AZ188" s="39"/>
      <c r="BB188" s="44">
        <v>0</v>
      </c>
      <c r="BC188" s="40"/>
      <c r="BH188" s="44">
        <v>0</v>
      </c>
      <c r="BI188" s="40"/>
      <c r="BL188" s="44">
        <v>0</v>
      </c>
      <c r="BM188" s="40"/>
      <c r="BN188" s="39"/>
      <c r="BR188" s="44">
        <v>0</v>
      </c>
      <c r="BS188" s="40"/>
      <c r="BV188" s="44">
        <v>0</v>
      </c>
      <c r="BW188" s="40"/>
      <c r="BX188" s="41">
        <v>72</v>
      </c>
      <c r="BY188">
        <v>70</v>
      </c>
      <c r="BZ188" s="44">
        <v>2</v>
      </c>
      <c r="CA188" s="40"/>
      <c r="CB188" s="39">
        <v>152</v>
      </c>
      <c r="CC188">
        <v>150</v>
      </c>
      <c r="CH188" s="44">
        <v>2</v>
      </c>
      <c r="CI188" s="40"/>
      <c r="CN188" s="44">
        <v>0</v>
      </c>
      <c r="CO188" s="40"/>
      <c r="CP188" s="39"/>
      <c r="CT188" s="44">
        <v>0</v>
      </c>
      <c r="CU188" s="40"/>
      <c r="CV188" s="42"/>
      <c r="CZ188" s="44">
        <v>0</v>
      </c>
      <c r="DA188" s="40"/>
      <c r="DB188" s="42"/>
      <c r="DF188" s="44">
        <v>0</v>
      </c>
      <c r="DG188" s="40"/>
      <c r="DO188" s="40"/>
      <c r="DP188" s="39"/>
      <c r="DS188" s="40"/>
      <c r="DT188" s="39"/>
      <c r="DY188" s="40"/>
      <c r="DZ188" s="39"/>
      <c r="EC188" s="40"/>
      <c r="EL188" s="40"/>
      <c r="ET188" s="40"/>
      <c r="EU188" s="39"/>
      <c r="EZ188" s="40"/>
      <c r="FA188" s="39"/>
      <c r="FE188" s="40"/>
      <c r="FI188" s="40"/>
      <c r="FJ188" s="39"/>
      <c r="FR188" s="40"/>
      <c r="FX188" s="40"/>
      <c r="FY188" s="42"/>
      <c r="GD188" s="40"/>
      <c r="GJ188" s="40"/>
      <c r="GN188" s="40"/>
      <c r="GO188" s="41"/>
      <c r="GR188" s="40"/>
      <c r="GY188" s="40"/>
      <c r="HE188" s="40"/>
      <c r="HF188" s="39"/>
      <c r="HK188" s="40"/>
      <c r="HL188" s="39"/>
      <c r="HQ188" s="40"/>
      <c r="HW188" s="43"/>
      <c r="IC188" s="43"/>
      <c r="II188" s="43"/>
      <c r="IO188" s="40"/>
      <c r="IS188" s="40"/>
      <c r="IY188" s="43"/>
      <c r="JC188" s="40"/>
      <c r="JI188" s="40"/>
      <c r="JO188" s="43"/>
      <c r="JU188" s="43"/>
      <c r="KA188" s="43"/>
      <c r="KB188" s="42"/>
      <c r="KJ188" s="43"/>
      <c r="KP188" s="43"/>
      <c r="KV188" s="43"/>
      <c r="KW188" s="42"/>
      <c r="KZ188" s="43"/>
      <c r="LA188" s="42"/>
      <c r="LE188" s="44"/>
      <c r="LF188" s="43"/>
      <c r="LG188" s="42"/>
      <c r="LL188" s="43"/>
      <c r="LM188" s="42"/>
      <c r="LO188" s="44"/>
      <c r="LP188" s="43"/>
      <c r="LQ188" s="42"/>
      <c r="LS188" s="44"/>
      <c r="LV188" s="43"/>
      <c r="LW188" s="42"/>
      <c r="MB188" s="43"/>
      <c r="MC188" s="42"/>
      <c r="MH188" s="43"/>
      <c r="MI188" s="42"/>
      <c r="MN188" s="43"/>
      <c r="MO188" s="42"/>
      <c r="MT188" s="43"/>
      <c r="MU188" s="42"/>
      <c r="MZ188" s="43"/>
      <c r="NA188" s="42"/>
      <c r="NF188" s="43"/>
      <c r="NG188" s="42"/>
      <c r="NL188" s="43"/>
      <c r="NM188" s="42"/>
      <c r="NR188" s="43"/>
      <c r="NS188" s="42"/>
      <c r="NU188" s="44"/>
      <c r="NX188" s="43"/>
      <c r="NY188" s="42"/>
      <c r="OD188" s="43"/>
      <c r="OE188" s="42"/>
      <c r="OJ188" s="43"/>
      <c r="OK188" s="42"/>
      <c r="OP188" s="43"/>
      <c r="OQ188" s="42"/>
      <c r="OU188" s="44"/>
      <c r="OV188" s="43"/>
      <c r="OW188" s="42"/>
      <c r="PB188" s="43"/>
      <c r="PC188" s="42"/>
      <c r="PG188" s="44"/>
      <c r="PH188" s="43"/>
      <c r="PI188" s="42"/>
      <c r="PN188" s="43"/>
      <c r="PO188" s="42"/>
      <c r="PQ188" s="44"/>
      <c r="PT188" s="43"/>
      <c r="PU188" s="42"/>
      <c r="PZ188" s="43"/>
      <c r="QA188" s="42"/>
      <c r="QD188" s="43"/>
      <c r="QE188" s="42"/>
      <c r="QH188" s="43"/>
      <c r="QI188" s="42"/>
      <c r="QL188" s="43"/>
      <c r="QM188" s="42"/>
      <c r="QQ188" s="44"/>
      <c r="QR188" s="43"/>
      <c r="QS188" s="42"/>
      <c r="QV188" s="43"/>
      <c r="QW188" s="42"/>
      <c r="QY188" s="44"/>
      <c r="QZ188" s="43"/>
    </row>
    <row r="189" spans="1:468" x14ac:dyDescent="0.25">
      <c r="A189" s="47" t="s">
        <v>473</v>
      </c>
      <c r="B189" s="38">
        <v>0.28000000000000003</v>
      </c>
      <c r="F189">
        <v>195</v>
      </c>
      <c r="I189">
        <v>120</v>
      </c>
      <c r="J189">
        <v>168</v>
      </c>
      <c r="K189">
        <v>166</v>
      </c>
      <c r="N189" s="41">
        <v>120</v>
      </c>
      <c r="O189" s="49">
        <v>120</v>
      </c>
      <c r="P189" s="49">
        <v>144</v>
      </c>
      <c r="Q189" s="49">
        <v>148</v>
      </c>
      <c r="R189" s="48">
        <f t="shared" si="16"/>
        <v>-4</v>
      </c>
      <c r="S189" s="40"/>
      <c r="T189" s="41">
        <v>224</v>
      </c>
      <c r="U189" s="49">
        <v>222</v>
      </c>
      <c r="V189" s="48">
        <f t="shared" si="17"/>
        <v>2</v>
      </c>
      <c r="W189" s="40"/>
      <c r="X189" s="41">
        <v>96</v>
      </c>
      <c r="Y189" s="49">
        <v>100</v>
      </c>
      <c r="Z189" s="49">
        <v>168</v>
      </c>
      <c r="AA189" s="49">
        <v>170</v>
      </c>
      <c r="AB189" s="48">
        <f t="shared" si="18"/>
        <v>-6</v>
      </c>
      <c r="AC189" s="40"/>
      <c r="AD189" s="49">
        <v>96</v>
      </c>
      <c r="AE189">
        <v>100</v>
      </c>
      <c r="AF189">
        <v>152</v>
      </c>
      <c r="AG189">
        <v>150</v>
      </c>
      <c r="AH189" s="44">
        <v>-2</v>
      </c>
      <c r="AI189" s="40"/>
      <c r="AJ189">
        <v>120</v>
      </c>
      <c r="AK189">
        <v>120</v>
      </c>
      <c r="AL189">
        <v>128</v>
      </c>
      <c r="AM189">
        <v>130</v>
      </c>
      <c r="AN189" s="44">
        <v>-2</v>
      </c>
      <c r="AO189" s="40"/>
      <c r="AP189">
        <v>136</v>
      </c>
      <c r="AQ189">
        <v>140</v>
      </c>
      <c r="AR189">
        <v>80</v>
      </c>
      <c r="AS189">
        <v>80</v>
      </c>
      <c r="AT189" s="44">
        <v>-4</v>
      </c>
      <c r="AU189" s="40"/>
      <c r="AV189" s="41">
        <v>232</v>
      </c>
      <c r="AW189">
        <v>230</v>
      </c>
      <c r="AX189" s="44">
        <v>2</v>
      </c>
      <c r="AY189" s="40"/>
      <c r="AZ189" s="39"/>
      <c r="BB189" s="44">
        <v>0</v>
      </c>
      <c r="BC189" s="40"/>
      <c r="BD189">
        <v>144</v>
      </c>
      <c r="BE189">
        <v>200</v>
      </c>
      <c r="BF189">
        <v>248</v>
      </c>
      <c r="BG189">
        <v>250</v>
      </c>
      <c r="BH189" s="46">
        <v>-58</v>
      </c>
      <c r="BI189" s="40">
        <v>16.239999999999998</v>
      </c>
      <c r="BJ189">
        <v>600</v>
      </c>
      <c r="BK189">
        <v>600</v>
      </c>
      <c r="BL189" s="44">
        <v>0</v>
      </c>
      <c r="BM189" s="40"/>
      <c r="BN189" s="39"/>
      <c r="BP189">
        <v>496</v>
      </c>
      <c r="BQ189">
        <v>496</v>
      </c>
      <c r="BR189" s="44">
        <v>0</v>
      </c>
      <c r="BS189" s="40"/>
      <c r="BT189">
        <v>232</v>
      </c>
      <c r="BU189">
        <v>230</v>
      </c>
      <c r="BV189" s="44">
        <v>2</v>
      </c>
      <c r="BW189" s="40"/>
      <c r="BX189" s="39"/>
      <c r="BZ189" s="44">
        <v>0</v>
      </c>
      <c r="CA189" s="40"/>
      <c r="CB189" s="39"/>
      <c r="CD189">
        <v>328</v>
      </c>
      <c r="CE189">
        <v>500</v>
      </c>
      <c r="CF189">
        <v>496</v>
      </c>
      <c r="CG189">
        <v>330</v>
      </c>
      <c r="CH189" s="44">
        <v>-6</v>
      </c>
      <c r="CI189" s="40"/>
      <c r="CL189">
        <v>248</v>
      </c>
      <c r="CM189">
        <v>246</v>
      </c>
      <c r="CN189" s="44">
        <v>2</v>
      </c>
      <c r="CO189" s="40"/>
      <c r="CP189" s="39"/>
      <c r="CR189">
        <v>176</v>
      </c>
      <c r="CS189">
        <v>180</v>
      </c>
      <c r="CT189" s="44">
        <v>-4</v>
      </c>
      <c r="CU189" s="40"/>
      <c r="CV189" s="39"/>
      <c r="CX189">
        <v>376</v>
      </c>
      <c r="CY189">
        <v>380</v>
      </c>
      <c r="CZ189" s="44">
        <v>-4</v>
      </c>
      <c r="DA189" s="40"/>
      <c r="DB189" s="39"/>
      <c r="DD189">
        <v>72</v>
      </c>
      <c r="DE189">
        <v>70</v>
      </c>
      <c r="DF189" s="44">
        <v>2</v>
      </c>
      <c r="DG189" s="40"/>
      <c r="DH189">
        <v>296</v>
      </c>
      <c r="DI189">
        <v>300</v>
      </c>
      <c r="DJ189">
        <v>272</v>
      </c>
      <c r="DK189">
        <v>270</v>
      </c>
      <c r="DL189">
        <v>432</v>
      </c>
      <c r="DM189">
        <v>430</v>
      </c>
      <c r="DN189" s="44">
        <v>0</v>
      </c>
      <c r="DO189" s="40"/>
      <c r="DP189" s="41">
        <v>256</v>
      </c>
      <c r="DQ189">
        <v>260</v>
      </c>
      <c r="DR189" s="44">
        <v>-4</v>
      </c>
      <c r="DS189" s="40"/>
      <c r="DT189" s="41">
        <v>96</v>
      </c>
      <c r="DU189">
        <v>100</v>
      </c>
      <c r="DV189">
        <v>48</v>
      </c>
      <c r="DW189">
        <v>50</v>
      </c>
      <c r="DX189" s="44">
        <v>-6</v>
      </c>
      <c r="DY189" s="40"/>
      <c r="DZ189" s="41">
        <v>136</v>
      </c>
      <c r="EA189">
        <v>140</v>
      </c>
      <c r="EB189" s="44">
        <v>-4</v>
      </c>
      <c r="EC189" s="40"/>
      <c r="ED189">
        <v>200</v>
      </c>
      <c r="EE189">
        <v>200</v>
      </c>
      <c r="EG189">
        <v>200</v>
      </c>
      <c r="EH189">
        <v>200</v>
      </c>
      <c r="EI189">
        <v>272</v>
      </c>
      <c r="EJ189">
        <v>270</v>
      </c>
      <c r="EK189" s="44">
        <v>2</v>
      </c>
      <c r="EL189" s="40"/>
      <c r="EQ189">
        <v>152</v>
      </c>
      <c r="ER189">
        <v>160</v>
      </c>
      <c r="ES189" s="46">
        <v>-8</v>
      </c>
      <c r="ET189" s="40">
        <v>2.2400000000000002</v>
      </c>
      <c r="EU189" s="41">
        <v>96</v>
      </c>
      <c r="EV189">
        <v>100</v>
      </c>
      <c r="EW189">
        <v>280</v>
      </c>
      <c r="EX189">
        <v>282</v>
      </c>
      <c r="EY189" s="44">
        <v>-6</v>
      </c>
      <c r="EZ189" s="40"/>
      <c r="FA189" s="39"/>
      <c r="FB189">
        <v>120</v>
      </c>
      <c r="FC189">
        <v>124</v>
      </c>
      <c r="FD189" s="44">
        <v>-4</v>
      </c>
      <c r="FE189" s="40"/>
      <c r="FF189">
        <v>56</v>
      </c>
      <c r="FG189">
        <v>60</v>
      </c>
      <c r="FH189" s="44">
        <v>-4</v>
      </c>
      <c r="FI189" s="40"/>
      <c r="FJ189" s="41">
        <v>152</v>
      </c>
      <c r="FO189">
        <v>312</v>
      </c>
      <c r="FQ189" s="44">
        <v>0</v>
      </c>
      <c r="FR189" s="40"/>
      <c r="FS189" s="35">
        <v>64</v>
      </c>
      <c r="FU189" s="34">
        <v>88</v>
      </c>
      <c r="FW189" s="44">
        <v>0</v>
      </c>
      <c r="FX189" s="40"/>
      <c r="FY189" s="42"/>
      <c r="GD189" s="40"/>
      <c r="GJ189" s="40"/>
      <c r="GN189" s="40"/>
      <c r="GO189" s="41"/>
      <c r="GR189" s="40"/>
      <c r="GY189" s="40"/>
      <c r="HE189" s="40"/>
      <c r="HF189" s="39"/>
      <c r="HK189" s="40"/>
      <c r="HL189" s="39"/>
      <c r="HQ189" s="40"/>
      <c r="HW189" s="43"/>
      <c r="IC189" s="43"/>
      <c r="II189" s="43"/>
      <c r="IO189" s="40"/>
      <c r="IS189" s="40"/>
      <c r="IY189" s="43"/>
      <c r="JC189" s="40"/>
      <c r="JI189" s="40"/>
      <c r="JO189" s="43"/>
      <c r="JU189" s="43"/>
      <c r="KA189" s="43"/>
      <c r="KB189" s="42"/>
      <c r="KJ189" s="43"/>
      <c r="KP189" s="43"/>
      <c r="KV189" s="43"/>
      <c r="KW189" s="42"/>
      <c r="KZ189" s="43"/>
      <c r="LA189" s="42"/>
      <c r="LF189" s="43"/>
      <c r="LG189" s="42"/>
      <c r="LL189" s="43"/>
      <c r="LM189" s="42"/>
      <c r="LP189" s="43"/>
      <c r="LQ189" s="42"/>
      <c r="LV189" s="43"/>
      <c r="LW189" s="42"/>
      <c r="MB189" s="43"/>
      <c r="MC189" s="42"/>
      <c r="MH189" s="43"/>
      <c r="MI189" s="42"/>
      <c r="MN189" s="43"/>
      <c r="MO189" s="42"/>
      <c r="MT189" s="43"/>
      <c r="MU189" s="42"/>
      <c r="MZ189" s="43"/>
      <c r="NA189" s="42"/>
      <c r="NF189" s="43"/>
      <c r="NG189" s="42"/>
      <c r="NL189" s="43"/>
      <c r="NM189" s="42"/>
      <c r="NR189" s="43"/>
      <c r="NS189" s="42"/>
      <c r="NU189" s="44"/>
      <c r="NX189" s="43"/>
      <c r="NY189" s="42"/>
      <c r="OD189" s="43"/>
      <c r="OE189" s="42"/>
      <c r="OJ189" s="43"/>
      <c r="OK189" s="42"/>
      <c r="OP189" s="43"/>
      <c r="OQ189" s="42"/>
      <c r="OU189" s="44"/>
      <c r="OV189" s="43"/>
      <c r="OW189" s="42"/>
      <c r="PB189" s="43"/>
      <c r="PC189" s="42"/>
      <c r="PG189" s="44"/>
      <c r="PH189" s="43"/>
      <c r="PI189" s="42"/>
      <c r="PN189" s="43"/>
      <c r="PO189" s="42"/>
      <c r="PQ189" s="44"/>
      <c r="PT189" s="43"/>
      <c r="PU189" s="42"/>
      <c r="PZ189" s="43"/>
      <c r="QA189" s="42"/>
      <c r="QD189" s="43"/>
      <c r="QE189" s="42"/>
      <c r="QH189" s="43"/>
      <c r="QI189" s="42"/>
      <c r="QL189" s="43"/>
      <c r="QM189" s="42"/>
      <c r="QQ189" s="44"/>
      <c r="QR189" s="43"/>
      <c r="QS189" s="42"/>
      <c r="QV189" s="43"/>
      <c r="QW189" s="42"/>
      <c r="QY189" s="44"/>
      <c r="QZ189" s="43"/>
    </row>
    <row r="190" spans="1:468" x14ac:dyDescent="0.25">
      <c r="A190" s="47" t="s">
        <v>474</v>
      </c>
      <c r="B190" s="38">
        <v>0.28000000000000003</v>
      </c>
      <c r="F190">
        <v>135</v>
      </c>
      <c r="I190">
        <v>220</v>
      </c>
      <c r="J190">
        <v>296</v>
      </c>
      <c r="K190">
        <v>300</v>
      </c>
      <c r="N190" s="41">
        <v>200</v>
      </c>
      <c r="O190" s="49">
        <v>200</v>
      </c>
      <c r="P190" s="49">
        <v>328</v>
      </c>
      <c r="Q190" s="49">
        <v>330</v>
      </c>
      <c r="R190" s="48">
        <f t="shared" si="16"/>
        <v>-2</v>
      </c>
      <c r="S190" s="40"/>
      <c r="T190" s="41">
        <v>296</v>
      </c>
      <c r="U190" s="49">
        <v>300</v>
      </c>
      <c r="V190" s="48">
        <f t="shared" si="17"/>
        <v>-4</v>
      </c>
      <c r="W190" s="40"/>
      <c r="X190" s="41">
        <v>296</v>
      </c>
      <c r="Y190" s="49">
        <v>300</v>
      </c>
      <c r="Z190" s="49">
        <v>376</v>
      </c>
      <c r="AA190" s="49">
        <v>375</v>
      </c>
      <c r="AB190" s="48">
        <f t="shared" si="18"/>
        <v>-3</v>
      </c>
      <c r="AC190" s="40"/>
      <c r="AD190" s="49">
        <v>40</v>
      </c>
      <c r="AE190">
        <v>40</v>
      </c>
      <c r="AF190">
        <v>96</v>
      </c>
      <c r="AG190">
        <v>89</v>
      </c>
      <c r="AH190" s="44">
        <v>7</v>
      </c>
      <c r="AI190" s="40"/>
      <c r="AN190" s="44">
        <v>0</v>
      </c>
      <c r="AO190" s="40"/>
      <c r="AP190">
        <v>400</v>
      </c>
      <c r="AQ190">
        <v>400</v>
      </c>
      <c r="AR190">
        <v>376</v>
      </c>
      <c r="AS190">
        <v>460</v>
      </c>
      <c r="AT190" s="46">
        <v>-84</v>
      </c>
      <c r="AU190" s="40">
        <v>23.52</v>
      </c>
      <c r="AV190" s="41">
        <v>272</v>
      </c>
      <c r="AW190">
        <v>271</v>
      </c>
      <c r="AX190" s="44">
        <v>1</v>
      </c>
      <c r="AY190" s="40"/>
      <c r="AZ190" s="39"/>
      <c r="BB190" s="44">
        <v>0</v>
      </c>
      <c r="BC190" s="40"/>
      <c r="BD190">
        <v>96</v>
      </c>
      <c r="BE190">
        <v>100</v>
      </c>
      <c r="BF190">
        <v>200</v>
      </c>
      <c r="BG190">
        <v>200</v>
      </c>
      <c r="BH190" s="44">
        <v>-4</v>
      </c>
      <c r="BI190" s="40"/>
      <c r="BJ190">
        <v>1000</v>
      </c>
      <c r="BK190">
        <v>1000</v>
      </c>
      <c r="BL190" s="44">
        <v>0</v>
      </c>
      <c r="BM190" s="40"/>
      <c r="BN190" s="39"/>
      <c r="BP190">
        <v>312</v>
      </c>
      <c r="BQ190">
        <v>317</v>
      </c>
      <c r="BR190" s="44">
        <v>-5</v>
      </c>
      <c r="BS190" s="40"/>
      <c r="BT190">
        <v>296</v>
      </c>
      <c r="BU190">
        <v>300</v>
      </c>
      <c r="BV190" s="44">
        <v>-4</v>
      </c>
      <c r="BW190" s="40"/>
      <c r="BX190" s="39"/>
      <c r="BZ190" s="44">
        <v>0</v>
      </c>
      <c r="CA190" s="40"/>
      <c r="CB190" s="39"/>
      <c r="CD190">
        <v>368</v>
      </c>
      <c r="CE190">
        <v>400</v>
      </c>
      <c r="CF190">
        <v>400</v>
      </c>
      <c r="CG190">
        <v>370</v>
      </c>
      <c r="CH190" s="44">
        <v>-2</v>
      </c>
      <c r="CI190" s="40"/>
      <c r="CJ190">
        <v>284</v>
      </c>
      <c r="CK190">
        <v>300</v>
      </c>
      <c r="CL190">
        <v>464</v>
      </c>
      <c r="CM190">
        <v>460</v>
      </c>
      <c r="CN190" s="46">
        <v>-12</v>
      </c>
      <c r="CO190" s="40">
        <v>3.36</v>
      </c>
      <c r="CP190" s="39"/>
      <c r="CR190">
        <v>160</v>
      </c>
      <c r="CS190">
        <v>160</v>
      </c>
      <c r="CT190" s="44">
        <v>0</v>
      </c>
      <c r="CU190" s="40"/>
      <c r="CV190" s="39"/>
      <c r="CX190">
        <v>280</v>
      </c>
      <c r="CY190">
        <v>280</v>
      </c>
      <c r="CZ190" s="44">
        <v>0</v>
      </c>
      <c r="DA190" s="40"/>
      <c r="DB190" s="41">
        <v>96</v>
      </c>
      <c r="DC190">
        <v>100</v>
      </c>
      <c r="DD190">
        <v>152</v>
      </c>
      <c r="DE190">
        <v>150</v>
      </c>
      <c r="DF190" s="44">
        <v>-2</v>
      </c>
      <c r="DG190" s="40"/>
      <c r="DH190">
        <v>296</v>
      </c>
      <c r="DI190">
        <v>300</v>
      </c>
      <c r="DJ190">
        <v>312</v>
      </c>
      <c r="DK190">
        <v>310</v>
      </c>
      <c r="DL190">
        <v>296</v>
      </c>
      <c r="DM190">
        <v>300</v>
      </c>
      <c r="DN190" s="44">
        <v>-6</v>
      </c>
      <c r="DO190" s="40"/>
      <c r="DP190" s="41">
        <v>240</v>
      </c>
      <c r="DQ190">
        <v>240</v>
      </c>
      <c r="DR190" s="44">
        <v>0</v>
      </c>
      <c r="DS190" s="40"/>
      <c r="DT190" s="41">
        <v>96</v>
      </c>
      <c r="DU190">
        <v>100</v>
      </c>
      <c r="DV190">
        <v>240</v>
      </c>
      <c r="DW190">
        <v>240</v>
      </c>
      <c r="DX190" s="44">
        <v>-4</v>
      </c>
      <c r="DY190" s="40"/>
      <c r="DZ190" s="41">
        <v>56</v>
      </c>
      <c r="EA190">
        <v>60</v>
      </c>
      <c r="EB190" s="44">
        <v>-4</v>
      </c>
      <c r="EC190" s="40"/>
      <c r="ED190">
        <v>152</v>
      </c>
      <c r="EE190">
        <v>150</v>
      </c>
      <c r="EG190">
        <v>152</v>
      </c>
      <c r="EH190">
        <v>150</v>
      </c>
      <c r="EI190">
        <v>280</v>
      </c>
      <c r="EJ190">
        <v>280</v>
      </c>
      <c r="EK190" s="44">
        <v>4</v>
      </c>
      <c r="EL190" s="40"/>
      <c r="EN190">
        <v>216</v>
      </c>
      <c r="EO190">
        <v>220</v>
      </c>
      <c r="EQ190">
        <v>216</v>
      </c>
      <c r="ER190">
        <v>220</v>
      </c>
      <c r="ES190" s="44">
        <v>-8</v>
      </c>
      <c r="ET190" s="40"/>
      <c r="EU190" s="41">
        <v>152</v>
      </c>
      <c r="EV190">
        <v>150</v>
      </c>
      <c r="EW190">
        <v>272</v>
      </c>
      <c r="EX190">
        <v>271</v>
      </c>
      <c r="EY190" s="44">
        <v>3</v>
      </c>
      <c r="EZ190" s="40"/>
      <c r="FA190" s="39"/>
      <c r="FB190">
        <v>128</v>
      </c>
      <c r="FD190" s="44">
        <v>0</v>
      </c>
      <c r="FE190" s="40"/>
      <c r="FH190" s="44">
        <v>0</v>
      </c>
      <c r="FI190" s="40"/>
      <c r="FJ190" s="41">
        <v>296</v>
      </c>
      <c r="FL190">
        <v>168</v>
      </c>
      <c r="FO190">
        <v>200</v>
      </c>
      <c r="FQ190" s="44">
        <v>0</v>
      </c>
      <c r="FR190" s="40"/>
      <c r="FX190" s="40"/>
      <c r="FY190" s="42"/>
      <c r="GD190" s="40"/>
      <c r="GJ190" s="40"/>
      <c r="GN190" s="40"/>
      <c r="GO190" s="41"/>
      <c r="GR190" s="40"/>
      <c r="GY190" s="40"/>
      <c r="HE190" s="40"/>
      <c r="HF190" s="39"/>
      <c r="HK190" s="40"/>
      <c r="HL190" s="39"/>
      <c r="HQ190" s="40"/>
      <c r="HW190" s="43"/>
      <c r="IC190" s="43"/>
      <c r="II190" s="43"/>
      <c r="IO190" s="40"/>
      <c r="IS190" s="40"/>
      <c r="IY190" s="43"/>
      <c r="JC190" s="40"/>
      <c r="JI190" s="40"/>
      <c r="JO190" s="43"/>
      <c r="JU190" s="43"/>
      <c r="KA190" s="43"/>
      <c r="KB190" s="42"/>
      <c r="KJ190" s="43"/>
      <c r="KP190" s="43"/>
      <c r="KV190" s="43"/>
      <c r="KW190" s="42"/>
      <c r="KZ190" s="43"/>
      <c r="LA190" s="42"/>
      <c r="LF190" s="43"/>
      <c r="LG190" s="42"/>
      <c r="LL190" s="43"/>
      <c r="LM190" s="42"/>
      <c r="LP190" s="43"/>
      <c r="LQ190" s="42"/>
      <c r="LV190" s="43"/>
      <c r="LW190" s="42"/>
      <c r="MB190" s="43"/>
      <c r="MC190" s="42"/>
      <c r="MH190" s="43"/>
      <c r="MI190" s="42"/>
      <c r="MN190" s="43"/>
      <c r="MO190" s="42"/>
      <c r="MT190" s="43"/>
      <c r="MU190" s="42"/>
      <c r="MZ190" s="43"/>
      <c r="NA190" s="42"/>
      <c r="NF190" s="43"/>
      <c r="NG190" s="42"/>
      <c r="NL190" s="43"/>
      <c r="NM190" s="42"/>
      <c r="NP190" s="44"/>
      <c r="NR190" s="43"/>
      <c r="NS190" s="42"/>
      <c r="NU190" s="44"/>
      <c r="NX190" s="43"/>
      <c r="NY190" s="42"/>
      <c r="OD190" s="43"/>
      <c r="OE190" s="42"/>
      <c r="OJ190" s="43"/>
      <c r="OK190" s="42"/>
      <c r="OP190" s="43"/>
      <c r="OQ190" s="42"/>
      <c r="OU190" s="44"/>
      <c r="OV190" s="43"/>
      <c r="OW190" s="42"/>
      <c r="PB190" s="43"/>
      <c r="PC190" s="42"/>
      <c r="PG190" s="44"/>
      <c r="PH190" s="43"/>
      <c r="PI190" s="42"/>
      <c r="PN190" s="43"/>
      <c r="PO190" s="42"/>
      <c r="PQ190" s="44"/>
      <c r="PT190" s="43"/>
      <c r="PU190" s="42"/>
      <c r="PZ190" s="43"/>
      <c r="QA190" s="42"/>
      <c r="QD190" s="43"/>
      <c r="QE190" s="42"/>
      <c r="QH190" s="43"/>
      <c r="QI190" s="42"/>
      <c r="QL190" s="43"/>
      <c r="QM190" s="42"/>
      <c r="QQ190" s="44"/>
      <c r="QR190" s="43"/>
      <c r="QS190" s="42"/>
      <c r="QV190" s="43"/>
      <c r="QW190" s="42"/>
      <c r="QY190" s="44"/>
      <c r="QZ190" s="43"/>
    </row>
    <row r="191" spans="1:468" x14ac:dyDescent="0.25">
      <c r="A191" s="47" t="s">
        <v>475</v>
      </c>
      <c r="B191" s="38">
        <v>0.28000000000000003</v>
      </c>
      <c r="F191">
        <v>60</v>
      </c>
      <c r="I191">
        <v>60</v>
      </c>
      <c r="J191">
        <v>40</v>
      </c>
      <c r="K191">
        <v>43</v>
      </c>
      <c r="N191" s="39"/>
      <c r="O191" s="48"/>
      <c r="P191" s="48"/>
      <c r="Q191" s="49">
        <v>140</v>
      </c>
      <c r="R191" s="53">
        <f t="shared" si="16"/>
        <v>-140</v>
      </c>
      <c r="S191" s="40">
        <f t="shared" ref="S191:S192" si="19">-1*R191*B191</f>
        <v>39.200000000000003</v>
      </c>
      <c r="T191" s="41">
        <v>80</v>
      </c>
      <c r="U191" s="49">
        <v>80</v>
      </c>
      <c r="V191" s="48">
        <f t="shared" si="17"/>
        <v>0</v>
      </c>
      <c r="W191" s="40"/>
      <c r="X191" s="41">
        <v>8</v>
      </c>
      <c r="Y191" s="49">
        <v>10</v>
      </c>
      <c r="Z191" s="48"/>
      <c r="AA191" s="48"/>
      <c r="AB191" s="48">
        <f t="shared" si="18"/>
        <v>-2</v>
      </c>
      <c r="AC191" s="40"/>
      <c r="AD191" s="48"/>
      <c r="AH191" s="44">
        <v>0</v>
      </c>
      <c r="AI191" s="40"/>
      <c r="AJ191">
        <v>120</v>
      </c>
      <c r="AK191">
        <v>120</v>
      </c>
      <c r="AL191">
        <v>176</v>
      </c>
      <c r="AM191">
        <v>180</v>
      </c>
      <c r="AN191" s="44">
        <v>-4</v>
      </c>
      <c r="AO191" s="40"/>
      <c r="AP191">
        <v>72</v>
      </c>
      <c r="AQ191">
        <v>70</v>
      </c>
      <c r="AT191" s="44">
        <v>2</v>
      </c>
      <c r="AU191" s="40"/>
      <c r="AV191" s="39"/>
      <c r="AX191" s="44">
        <v>0</v>
      </c>
      <c r="AY191" s="40"/>
      <c r="AZ191" s="41">
        <v>216</v>
      </c>
      <c r="BA191">
        <v>216</v>
      </c>
      <c r="BB191" s="44">
        <v>0</v>
      </c>
      <c r="BC191" s="40"/>
      <c r="BF191">
        <v>56</v>
      </c>
      <c r="BG191">
        <v>60</v>
      </c>
      <c r="BH191" s="44">
        <v>-4</v>
      </c>
      <c r="BI191" s="40"/>
      <c r="BJ191">
        <v>152</v>
      </c>
      <c r="BK191">
        <v>150</v>
      </c>
      <c r="BL191" s="44">
        <v>2</v>
      </c>
      <c r="BM191" s="40"/>
      <c r="BN191" s="39"/>
      <c r="BP191">
        <v>48</v>
      </c>
      <c r="BQ191">
        <v>50</v>
      </c>
      <c r="BR191" s="44">
        <v>-2</v>
      </c>
      <c r="BS191" s="40"/>
      <c r="BT191">
        <v>96</v>
      </c>
      <c r="BU191">
        <v>100</v>
      </c>
      <c r="BV191" s="44">
        <v>-4</v>
      </c>
      <c r="BW191" s="40"/>
      <c r="BX191" s="39"/>
      <c r="BZ191" s="44">
        <v>0</v>
      </c>
      <c r="CA191" s="40"/>
      <c r="CB191" s="39"/>
      <c r="CD191">
        <v>128</v>
      </c>
      <c r="CE191">
        <v>300</v>
      </c>
      <c r="CF191">
        <v>296</v>
      </c>
      <c r="CG191">
        <v>130</v>
      </c>
      <c r="CH191" s="44">
        <v>-6</v>
      </c>
      <c r="CI191" s="40"/>
      <c r="CN191" s="44">
        <v>0</v>
      </c>
      <c r="CO191" s="40"/>
      <c r="CP191" s="39"/>
      <c r="CR191">
        <v>8</v>
      </c>
      <c r="CS191">
        <v>8</v>
      </c>
      <c r="CT191" s="44">
        <v>0</v>
      </c>
      <c r="CU191" s="40"/>
      <c r="CV191" s="39"/>
      <c r="CX191">
        <v>448</v>
      </c>
      <c r="CY191">
        <v>450</v>
      </c>
      <c r="CZ191" s="44">
        <v>-2</v>
      </c>
      <c r="DA191" s="40"/>
      <c r="DB191" s="39"/>
      <c r="DD191">
        <v>56</v>
      </c>
      <c r="DE191">
        <v>60</v>
      </c>
      <c r="DF191" s="44">
        <v>-4</v>
      </c>
      <c r="DG191" s="40"/>
      <c r="DH191">
        <v>96</v>
      </c>
      <c r="DI191">
        <v>100</v>
      </c>
      <c r="DJ191">
        <v>200</v>
      </c>
      <c r="DK191">
        <v>200</v>
      </c>
      <c r="DL191">
        <v>96</v>
      </c>
      <c r="DM191">
        <v>100</v>
      </c>
      <c r="DN191" s="44">
        <v>-8</v>
      </c>
      <c r="DO191" s="40"/>
      <c r="DP191" s="39"/>
      <c r="DR191" s="44">
        <v>0</v>
      </c>
      <c r="DS191" s="40"/>
      <c r="DT191" s="41">
        <v>96</v>
      </c>
      <c r="DU191">
        <v>100</v>
      </c>
      <c r="DV191">
        <v>176</v>
      </c>
      <c r="DW191">
        <v>180</v>
      </c>
      <c r="DX191" s="44">
        <v>-8</v>
      </c>
      <c r="DY191" s="40"/>
      <c r="DZ191" s="41">
        <v>72</v>
      </c>
      <c r="EA191">
        <v>70</v>
      </c>
      <c r="EB191" s="44">
        <v>2</v>
      </c>
      <c r="EC191" s="40"/>
      <c r="EG191">
        <v>56</v>
      </c>
      <c r="EH191">
        <v>50</v>
      </c>
      <c r="EI191">
        <v>72</v>
      </c>
      <c r="EJ191">
        <v>70</v>
      </c>
      <c r="EK191" s="44">
        <v>8</v>
      </c>
      <c r="EL191" s="40"/>
      <c r="EQ191">
        <v>8</v>
      </c>
      <c r="ER191">
        <v>7</v>
      </c>
      <c r="ES191" s="44">
        <v>1</v>
      </c>
      <c r="ET191" s="40"/>
      <c r="EU191" s="39"/>
      <c r="EY191" s="44">
        <v>0</v>
      </c>
      <c r="EZ191" s="40"/>
      <c r="FA191" s="39"/>
      <c r="FB191">
        <v>16</v>
      </c>
      <c r="FC191">
        <v>21</v>
      </c>
      <c r="FD191" s="44">
        <v>-5</v>
      </c>
      <c r="FE191" s="40"/>
      <c r="FH191" s="44">
        <v>0</v>
      </c>
      <c r="FI191" s="40"/>
      <c r="FJ191" s="41">
        <v>152</v>
      </c>
      <c r="FO191">
        <v>248</v>
      </c>
      <c r="FQ191" s="44">
        <v>0</v>
      </c>
      <c r="FR191" s="40"/>
      <c r="FS191" s="35">
        <v>40</v>
      </c>
      <c r="FW191" s="44">
        <v>0</v>
      </c>
      <c r="FX191" s="40"/>
      <c r="FY191" s="42"/>
      <c r="GD191" s="40"/>
      <c r="GJ191" s="40"/>
      <c r="GN191" s="40"/>
      <c r="GO191" s="41"/>
      <c r="GR191" s="40"/>
      <c r="GY191" s="40"/>
      <c r="HE191" s="40"/>
      <c r="HF191" s="39"/>
      <c r="HK191" s="40"/>
      <c r="HL191" s="39"/>
      <c r="HQ191" s="40"/>
      <c r="HW191" s="43"/>
      <c r="IC191" s="43"/>
      <c r="II191" s="43"/>
      <c r="IO191" s="40"/>
      <c r="IS191" s="40"/>
      <c r="IY191" s="43"/>
      <c r="JC191" s="40"/>
      <c r="JI191" s="40"/>
      <c r="JO191" s="43"/>
      <c r="JU191" s="43"/>
      <c r="KA191" s="43"/>
      <c r="KB191" s="42"/>
      <c r="KJ191" s="43"/>
      <c r="KP191" s="43"/>
      <c r="KV191" s="43"/>
      <c r="KW191" s="42"/>
      <c r="KZ191" s="43"/>
      <c r="LA191" s="42"/>
      <c r="LF191" s="43"/>
      <c r="LG191" s="42"/>
      <c r="LL191" s="43"/>
      <c r="LM191" s="42"/>
      <c r="LP191" s="43"/>
      <c r="LQ191" s="42"/>
      <c r="LV191" s="43"/>
      <c r="LW191" s="42"/>
      <c r="MB191" s="43"/>
      <c r="MC191" s="42"/>
      <c r="MH191" s="43"/>
      <c r="MI191" s="42"/>
      <c r="MN191" s="43"/>
      <c r="MO191" s="42"/>
      <c r="MT191" s="43"/>
      <c r="MU191" s="42"/>
      <c r="MZ191" s="43"/>
      <c r="NA191" s="42"/>
      <c r="NF191" s="43"/>
      <c r="NG191" s="42"/>
      <c r="NL191" s="43"/>
      <c r="NM191" s="42"/>
      <c r="NR191" s="43"/>
      <c r="NS191" s="42"/>
      <c r="NU191" s="44"/>
      <c r="NX191" s="43"/>
      <c r="NY191" s="42"/>
      <c r="OD191" s="43"/>
      <c r="OE191" s="42"/>
      <c r="OJ191" s="43"/>
      <c r="OK191" s="42"/>
      <c r="OP191" s="43"/>
      <c r="OQ191" s="42"/>
      <c r="OU191" s="44"/>
      <c r="OV191" s="43"/>
      <c r="OW191" s="42"/>
      <c r="PB191" s="43"/>
      <c r="PC191" s="42"/>
      <c r="PG191" s="44"/>
      <c r="PH191" s="43"/>
      <c r="PI191" s="42"/>
      <c r="PN191" s="43"/>
      <c r="PO191" s="42"/>
      <c r="PQ191" s="44"/>
      <c r="PT191" s="43"/>
      <c r="PU191" s="42"/>
      <c r="PZ191" s="43"/>
      <c r="QA191" s="42"/>
      <c r="QD191" s="43"/>
      <c r="QE191" s="42"/>
      <c r="QH191" s="43"/>
      <c r="QI191" s="42"/>
      <c r="QL191" s="43"/>
      <c r="QM191" s="42"/>
      <c r="QQ191" s="44"/>
      <c r="QR191" s="43"/>
      <c r="QS191" s="42"/>
      <c r="QV191" s="43"/>
      <c r="QW191" s="42"/>
      <c r="QY191" s="44"/>
      <c r="QZ191" s="43"/>
    </row>
    <row r="192" spans="1:468" x14ac:dyDescent="0.25">
      <c r="A192" s="47" t="s">
        <v>476</v>
      </c>
      <c r="B192" s="38">
        <v>0.28000000000000003</v>
      </c>
      <c r="E192">
        <v>150</v>
      </c>
      <c r="F192">
        <v>174</v>
      </c>
      <c r="I192">
        <v>160</v>
      </c>
      <c r="J192">
        <v>224</v>
      </c>
      <c r="K192">
        <v>226</v>
      </c>
      <c r="N192" s="41">
        <v>96</v>
      </c>
      <c r="O192" s="49">
        <v>100</v>
      </c>
      <c r="P192" s="48"/>
      <c r="Q192" s="49">
        <v>226</v>
      </c>
      <c r="R192" s="53">
        <f t="shared" si="16"/>
        <v>-230</v>
      </c>
      <c r="S192" s="40">
        <f t="shared" si="19"/>
        <v>64.400000000000006</v>
      </c>
      <c r="T192" s="41">
        <v>280</v>
      </c>
      <c r="U192" s="49">
        <v>275</v>
      </c>
      <c r="V192" s="48">
        <f t="shared" si="17"/>
        <v>5</v>
      </c>
      <c r="W192" s="40"/>
      <c r="X192" s="41">
        <v>16</v>
      </c>
      <c r="Y192" s="49">
        <v>14</v>
      </c>
      <c r="Z192" s="48"/>
      <c r="AA192" s="48"/>
      <c r="AB192" s="48">
        <f t="shared" si="18"/>
        <v>2</v>
      </c>
      <c r="AC192" s="40"/>
      <c r="AD192" s="49">
        <v>200</v>
      </c>
      <c r="AE192">
        <v>200</v>
      </c>
      <c r="AF192">
        <v>248</v>
      </c>
      <c r="AG192">
        <v>248</v>
      </c>
      <c r="AH192" s="44">
        <v>0</v>
      </c>
      <c r="AI192" s="40"/>
      <c r="AL192">
        <v>24</v>
      </c>
      <c r="AM192">
        <v>26</v>
      </c>
      <c r="AN192" s="44">
        <v>-2</v>
      </c>
      <c r="AO192" s="40"/>
      <c r="AP192">
        <v>160</v>
      </c>
      <c r="AQ192">
        <v>160</v>
      </c>
      <c r="AR192">
        <v>152</v>
      </c>
      <c r="AS192">
        <v>150</v>
      </c>
      <c r="AT192" s="44">
        <v>2</v>
      </c>
      <c r="AU192" s="40"/>
      <c r="AV192" s="41">
        <v>216</v>
      </c>
      <c r="AW192">
        <v>215</v>
      </c>
      <c r="AX192" s="44">
        <v>1</v>
      </c>
      <c r="AY192" s="40"/>
      <c r="AZ192" s="41">
        <v>152</v>
      </c>
      <c r="BA192">
        <v>153</v>
      </c>
      <c r="BB192" s="44">
        <v>-1</v>
      </c>
      <c r="BC192" s="40"/>
      <c r="BD192">
        <v>96</v>
      </c>
      <c r="BE192">
        <v>100</v>
      </c>
      <c r="BF192">
        <v>152</v>
      </c>
      <c r="BG192">
        <v>150</v>
      </c>
      <c r="BH192" s="44">
        <v>-2</v>
      </c>
      <c r="BI192" s="40"/>
      <c r="BJ192">
        <v>192</v>
      </c>
      <c r="BK192">
        <v>195</v>
      </c>
      <c r="BL192" s="44">
        <v>-3</v>
      </c>
      <c r="BM192" s="40"/>
      <c r="BN192" s="41">
        <v>200</v>
      </c>
      <c r="BO192">
        <v>200</v>
      </c>
      <c r="BP192">
        <v>384</v>
      </c>
      <c r="BQ192">
        <v>383</v>
      </c>
      <c r="BR192" s="44">
        <v>1</v>
      </c>
      <c r="BS192" s="40"/>
      <c r="BT192">
        <v>248</v>
      </c>
      <c r="BU192">
        <v>250</v>
      </c>
      <c r="BV192" s="44">
        <v>-2</v>
      </c>
      <c r="BW192" s="40"/>
      <c r="BX192" s="39"/>
      <c r="BZ192" s="44">
        <v>0</v>
      </c>
      <c r="CA192" s="40"/>
      <c r="CB192" s="39"/>
      <c r="CD192">
        <v>168</v>
      </c>
      <c r="CE192">
        <v>400</v>
      </c>
      <c r="CF192">
        <v>400</v>
      </c>
      <c r="CG192">
        <v>170</v>
      </c>
      <c r="CH192" s="44">
        <v>-2</v>
      </c>
      <c r="CI192" s="40"/>
      <c r="CJ192">
        <v>224</v>
      </c>
      <c r="CK192">
        <v>200</v>
      </c>
      <c r="CL192">
        <v>232</v>
      </c>
      <c r="CM192">
        <v>234</v>
      </c>
      <c r="CN192" s="44">
        <v>22</v>
      </c>
      <c r="CO192" s="40"/>
      <c r="CP192" s="41">
        <v>96</v>
      </c>
      <c r="CQ192">
        <v>100</v>
      </c>
      <c r="CR192">
        <v>200</v>
      </c>
      <c r="CS192">
        <v>200</v>
      </c>
      <c r="CT192" s="44">
        <v>-4</v>
      </c>
      <c r="CU192" s="40"/>
      <c r="CV192" s="39"/>
      <c r="CX192">
        <v>128</v>
      </c>
      <c r="CY192">
        <v>130</v>
      </c>
      <c r="CZ192" s="44">
        <v>-2</v>
      </c>
      <c r="DA192" s="40"/>
      <c r="DB192" s="39"/>
      <c r="DD192">
        <v>128</v>
      </c>
      <c r="DE192">
        <v>130</v>
      </c>
      <c r="DF192" s="44">
        <v>-2</v>
      </c>
      <c r="DG192" s="40"/>
      <c r="DH192">
        <v>192</v>
      </c>
      <c r="DI192">
        <v>190</v>
      </c>
      <c r="DJ192">
        <v>200</v>
      </c>
      <c r="DK192">
        <v>200</v>
      </c>
      <c r="DL192">
        <v>200</v>
      </c>
      <c r="DM192">
        <v>200</v>
      </c>
      <c r="DN192" s="44">
        <v>2</v>
      </c>
      <c r="DO192" s="40"/>
      <c r="DP192" s="41">
        <v>128</v>
      </c>
      <c r="DQ192">
        <v>130</v>
      </c>
      <c r="DR192" s="44">
        <v>-2</v>
      </c>
      <c r="DS192" s="40"/>
      <c r="DT192" s="41">
        <v>96</v>
      </c>
      <c r="DU192">
        <v>100</v>
      </c>
      <c r="DV192">
        <v>128</v>
      </c>
      <c r="DW192">
        <v>130</v>
      </c>
      <c r="DX192" s="44">
        <v>-6</v>
      </c>
      <c r="DY192" s="40"/>
      <c r="DZ192" s="41">
        <v>216</v>
      </c>
      <c r="EA192">
        <v>220</v>
      </c>
      <c r="EB192" s="44">
        <v>-4</v>
      </c>
      <c r="EC192" s="40"/>
      <c r="EG192">
        <v>72</v>
      </c>
      <c r="EH192">
        <v>70</v>
      </c>
      <c r="EI192">
        <v>96</v>
      </c>
      <c r="EJ192">
        <v>100</v>
      </c>
      <c r="EK192" s="44">
        <v>-2</v>
      </c>
      <c r="EL192" s="40"/>
      <c r="EN192">
        <v>136</v>
      </c>
      <c r="EO192">
        <v>140</v>
      </c>
      <c r="EQ192">
        <v>152</v>
      </c>
      <c r="ER192">
        <v>150</v>
      </c>
      <c r="ES192" s="44">
        <v>-2</v>
      </c>
      <c r="ET192" s="40"/>
      <c r="EU192" s="39"/>
      <c r="EW192">
        <v>168</v>
      </c>
      <c r="EX192">
        <v>170</v>
      </c>
      <c r="EY192" s="44">
        <v>-2</v>
      </c>
      <c r="EZ192" s="40"/>
      <c r="FA192" s="39"/>
      <c r="FB192">
        <v>32</v>
      </c>
      <c r="FC192">
        <v>36</v>
      </c>
      <c r="FD192" s="44">
        <v>-4</v>
      </c>
      <c r="FE192" s="40"/>
      <c r="FF192">
        <v>216</v>
      </c>
      <c r="FG192">
        <v>220</v>
      </c>
      <c r="FH192" s="44">
        <v>-4</v>
      </c>
      <c r="FI192" s="40"/>
      <c r="FJ192" s="41">
        <v>96</v>
      </c>
      <c r="FO192">
        <v>168</v>
      </c>
      <c r="FQ192" s="44">
        <v>0</v>
      </c>
      <c r="FR192" s="40"/>
      <c r="FS192" s="35">
        <v>96</v>
      </c>
      <c r="FW192" s="44">
        <v>0</v>
      </c>
      <c r="FX192" s="40"/>
      <c r="FY192" s="42"/>
      <c r="GD192" s="40"/>
      <c r="GJ192" s="40"/>
      <c r="GN192" s="40"/>
      <c r="GO192" s="41"/>
      <c r="GR192" s="40"/>
      <c r="GY192" s="40"/>
      <c r="HE192" s="40"/>
      <c r="HF192" s="39"/>
      <c r="HK192" s="40"/>
      <c r="HL192" s="39"/>
      <c r="HQ192" s="40"/>
      <c r="HW192" s="43"/>
      <c r="IC192" s="43"/>
      <c r="II192" s="43"/>
      <c r="IO192" s="40"/>
      <c r="IS192" s="40"/>
      <c r="IY192" s="43"/>
      <c r="JC192" s="40"/>
      <c r="JI192" s="40"/>
      <c r="JO192" s="43"/>
      <c r="JU192" s="43"/>
      <c r="KA192" s="43"/>
      <c r="KB192" s="42"/>
      <c r="KJ192" s="43"/>
      <c r="KP192" s="43"/>
      <c r="KV192" s="43"/>
      <c r="KW192" s="42"/>
      <c r="KZ192" s="43"/>
      <c r="LA192" s="42"/>
      <c r="LF192" s="43"/>
      <c r="LG192" s="42"/>
      <c r="LL192" s="43"/>
      <c r="LM192" s="42"/>
      <c r="LP192" s="43"/>
      <c r="LQ192" s="42"/>
      <c r="LV192" s="43"/>
      <c r="LW192" s="42"/>
      <c r="MB192" s="43"/>
      <c r="MC192" s="42"/>
      <c r="MH192" s="43"/>
      <c r="MI192" s="42"/>
      <c r="MN192" s="43"/>
      <c r="MO192" s="42"/>
      <c r="MT192" s="43"/>
      <c r="MU192" s="42"/>
      <c r="MZ192" s="43"/>
      <c r="NA192" s="42"/>
      <c r="NF192" s="43"/>
      <c r="NG192" s="42"/>
      <c r="NL192" s="43"/>
      <c r="NM192" s="42"/>
      <c r="NR192" s="43"/>
      <c r="NS192" s="42"/>
      <c r="NU192" s="44"/>
      <c r="NX192" s="43"/>
      <c r="NY192" s="42"/>
      <c r="OD192" s="43"/>
      <c r="OE192" s="42"/>
      <c r="OJ192" s="43"/>
      <c r="OK192" s="42"/>
      <c r="OP192" s="43"/>
      <c r="OQ192" s="42"/>
      <c r="OU192" s="44"/>
      <c r="OV192" s="43"/>
      <c r="OW192" s="42"/>
      <c r="PB192" s="43"/>
      <c r="PC192" s="42"/>
      <c r="PG192" s="44"/>
      <c r="PH192" s="43"/>
      <c r="PI192" s="42"/>
      <c r="PN192" s="43"/>
      <c r="PO192" s="42"/>
      <c r="PQ192" s="44"/>
      <c r="PT192" s="43"/>
      <c r="PU192" s="42"/>
      <c r="PZ192" s="43"/>
      <c r="QA192" s="42"/>
      <c r="QD192" s="43"/>
      <c r="QE192" s="42"/>
      <c r="QH192" s="43"/>
      <c r="QI192" s="42"/>
      <c r="QL192" s="43"/>
      <c r="QM192" s="42"/>
      <c r="QQ192" s="44"/>
      <c r="QR192" s="43"/>
      <c r="QS192" s="42"/>
      <c r="QV192" s="43"/>
      <c r="QW192" s="42"/>
      <c r="QY192" s="44"/>
      <c r="QZ192" s="43"/>
    </row>
    <row r="193" spans="1:468" x14ac:dyDescent="0.25">
      <c r="A193" s="47" t="s">
        <v>477</v>
      </c>
      <c r="B193" s="38">
        <v>1</v>
      </c>
      <c r="N193" s="39"/>
      <c r="O193" s="48"/>
      <c r="P193" s="48"/>
      <c r="Q193" s="48"/>
      <c r="R193" s="48">
        <f t="shared" si="16"/>
        <v>0</v>
      </c>
      <c r="S193" s="40"/>
      <c r="T193" s="39"/>
      <c r="U193" s="48"/>
      <c r="V193" s="48">
        <f t="shared" si="17"/>
        <v>0</v>
      </c>
      <c r="W193" s="40"/>
      <c r="X193" s="39"/>
      <c r="Y193" s="48"/>
      <c r="Z193" s="48"/>
      <c r="AA193" s="48"/>
      <c r="AB193" s="48">
        <f t="shared" si="18"/>
        <v>0</v>
      </c>
      <c r="AC193" s="40"/>
      <c r="AD193" s="48"/>
      <c r="AH193" s="44">
        <v>0</v>
      </c>
      <c r="AI193" s="40"/>
      <c r="AN193" s="44">
        <v>0</v>
      </c>
      <c r="AO193" s="40"/>
      <c r="AT193" s="44">
        <v>0</v>
      </c>
      <c r="AU193" s="40"/>
      <c r="AV193" s="39"/>
      <c r="AX193" s="44">
        <v>0</v>
      </c>
      <c r="AY193" s="40"/>
      <c r="AZ193" s="39"/>
      <c r="BB193" s="44">
        <v>0</v>
      </c>
      <c r="BC193" s="40"/>
      <c r="BH193" s="44">
        <v>0</v>
      </c>
      <c r="BI193" s="40"/>
      <c r="BL193" s="44">
        <v>0</v>
      </c>
      <c r="BM193" s="40"/>
      <c r="BN193" s="39"/>
      <c r="BR193" s="44">
        <v>0</v>
      </c>
      <c r="BS193" s="40"/>
      <c r="BV193" s="44">
        <v>0</v>
      </c>
      <c r="BW193" s="40"/>
      <c r="BX193" s="39"/>
      <c r="BZ193" s="44">
        <v>0</v>
      </c>
      <c r="CA193" s="40"/>
      <c r="CB193" s="39"/>
      <c r="CH193" s="44">
        <v>0</v>
      </c>
      <c r="CI193" s="40"/>
      <c r="CN193" s="44">
        <v>0</v>
      </c>
      <c r="CO193" s="40"/>
      <c r="CP193" s="39"/>
      <c r="CT193" s="44">
        <v>0</v>
      </c>
      <c r="CU193" s="40"/>
      <c r="CV193" s="39">
        <v>150</v>
      </c>
      <c r="CZ193" s="44">
        <v>150</v>
      </c>
      <c r="DA193" s="40"/>
      <c r="DB193" s="39"/>
      <c r="DF193" s="44">
        <v>0</v>
      </c>
      <c r="DG193" s="40"/>
      <c r="DO193" s="40"/>
      <c r="DP193" s="41"/>
      <c r="DS193" s="40"/>
      <c r="DT193" s="41"/>
      <c r="DY193" s="40"/>
      <c r="DZ193" s="41"/>
      <c r="EC193" s="40"/>
      <c r="EL193" s="40"/>
      <c r="ET193" s="40"/>
      <c r="EU193" s="39"/>
      <c r="EZ193" s="40"/>
      <c r="FA193" s="39"/>
      <c r="FE193" s="40"/>
      <c r="FI193" s="40"/>
      <c r="FJ193" s="41"/>
      <c r="FR193" s="40"/>
      <c r="FS193" s="35"/>
      <c r="FX193" s="40"/>
      <c r="FY193" s="42"/>
      <c r="GD193" s="40"/>
      <c r="GJ193" s="40"/>
      <c r="GN193" s="40"/>
      <c r="GO193" s="41"/>
      <c r="GR193" s="40"/>
      <c r="GY193" s="40"/>
      <c r="HE193" s="40"/>
      <c r="HF193" s="39"/>
      <c r="HK193" s="40"/>
      <c r="HL193" s="39"/>
      <c r="HQ193" s="40"/>
      <c r="HW193" s="43"/>
      <c r="IC193" s="43"/>
      <c r="II193" s="43"/>
      <c r="IO193" s="40"/>
      <c r="IS193" s="40"/>
      <c r="IY193" s="43"/>
      <c r="JC193" s="40"/>
      <c r="JI193" s="40"/>
      <c r="JO193" s="43"/>
      <c r="JU193" s="43"/>
      <c r="KA193" s="43"/>
      <c r="KB193" s="42"/>
      <c r="KJ193" s="43"/>
      <c r="KP193" s="43"/>
      <c r="KV193" s="43"/>
      <c r="KW193" s="42"/>
      <c r="KZ193" s="43"/>
      <c r="LA193" s="42"/>
      <c r="LF193" s="43"/>
      <c r="LG193" s="42"/>
      <c r="LL193" s="43"/>
      <c r="LM193" s="42"/>
      <c r="LP193" s="43"/>
      <c r="LQ193" s="42"/>
      <c r="LV193" s="43"/>
      <c r="LW193" s="42"/>
      <c r="MB193" s="43"/>
      <c r="MC193" s="42"/>
      <c r="MH193" s="43"/>
      <c r="MI193" s="42"/>
      <c r="MN193" s="43"/>
      <c r="MO193" s="42"/>
      <c r="MT193" s="43"/>
      <c r="MU193" s="42"/>
      <c r="MZ193" s="43"/>
      <c r="NA193" s="42"/>
      <c r="NF193" s="43"/>
      <c r="NG193" s="42"/>
      <c r="NL193" s="43"/>
      <c r="NM193" s="42"/>
      <c r="NR193" s="43"/>
      <c r="NS193" s="42"/>
      <c r="NU193" s="44"/>
      <c r="NX193" s="43"/>
      <c r="NY193" s="42"/>
      <c r="OD193" s="43"/>
      <c r="OE193" s="42"/>
      <c r="OJ193" s="43"/>
      <c r="OK193" s="42"/>
      <c r="OP193" s="43"/>
      <c r="OQ193" s="42"/>
      <c r="OU193" s="44"/>
      <c r="OV193" s="43"/>
      <c r="OW193" s="42"/>
      <c r="PB193" s="43"/>
      <c r="PC193" s="42"/>
      <c r="PG193" s="44"/>
      <c r="PH193" s="43"/>
      <c r="PI193" s="42"/>
      <c r="PN193" s="43"/>
      <c r="PO193" s="42"/>
      <c r="PQ193" s="44"/>
      <c r="PT193" s="43"/>
      <c r="PU193" s="42"/>
      <c r="PZ193" s="43"/>
      <c r="QA193" s="42"/>
      <c r="QD193" s="43"/>
      <c r="QE193" s="42"/>
      <c r="QH193" s="43"/>
      <c r="QI193" s="42"/>
      <c r="QL193" s="43"/>
      <c r="QM193" s="42"/>
      <c r="QQ193" s="44"/>
      <c r="QR193" s="43"/>
      <c r="QS193" s="42"/>
      <c r="QV193" s="43"/>
      <c r="QW193" s="42"/>
      <c r="QY193" s="44"/>
      <c r="QZ193" s="43"/>
    </row>
    <row r="194" spans="1:468" x14ac:dyDescent="0.25">
      <c r="A194" s="47" t="s">
        <v>478</v>
      </c>
      <c r="B194" s="38">
        <v>0.3</v>
      </c>
      <c r="I194">
        <v>4</v>
      </c>
      <c r="N194" s="39"/>
      <c r="O194" s="48"/>
      <c r="P194" s="48"/>
      <c r="Q194" s="48"/>
      <c r="R194" s="48">
        <f t="shared" si="16"/>
        <v>0</v>
      </c>
      <c r="S194" s="40"/>
      <c r="T194" s="39"/>
      <c r="U194" s="48"/>
      <c r="V194" s="48">
        <f t="shared" si="17"/>
        <v>0</v>
      </c>
      <c r="W194" s="40"/>
      <c r="X194" s="39"/>
      <c r="Y194" s="48"/>
      <c r="Z194" s="48"/>
      <c r="AA194" s="48"/>
      <c r="AB194" s="48">
        <f t="shared" si="18"/>
        <v>0</v>
      </c>
      <c r="AC194" s="40"/>
      <c r="AD194" s="48"/>
      <c r="AF194">
        <v>21</v>
      </c>
      <c r="AG194">
        <v>24</v>
      </c>
      <c r="AH194" s="44">
        <v>-3</v>
      </c>
      <c r="AI194" s="40"/>
      <c r="AL194">
        <v>21</v>
      </c>
      <c r="AM194">
        <v>25</v>
      </c>
      <c r="AN194" s="44">
        <v>-4</v>
      </c>
      <c r="AO194" s="40"/>
      <c r="AT194" s="44">
        <v>0</v>
      </c>
      <c r="AU194" s="40"/>
      <c r="AV194" s="39"/>
      <c r="AX194" s="44">
        <v>0</v>
      </c>
      <c r="AY194" s="40"/>
      <c r="AZ194" s="39"/>
      <c r="BB194" s="44">
        <v>0</v>
      </c>
      <c r="BC194" s="40"/>
      <c r="BH194" s="44">
        <v>0</v>
      </c>
      <c r="BI194" s="40"/>
      <c r="BL194" s="44">
        <v>0</v>
      </c>
      <c r="BM194" s="40"/>
      <c r="BN194" s="39"/>
      <c r="BR194" s="44">
        <v>0</v>
      </c>
      <c r="BS194" s="40"/>
      <c r="BV194" s="44">
        <v>0</v>
      </c>
      <c r="BW194" s="40"/>
      <c r="BX194" s="41">
        <v>343</v>
      </c>
      <c r="BY194">
        <v>344</v>
      </c>
      <c r="BZ194" s="44">
        <v>-1</v>
      </c>
      <c r="CA194" s="40"/>
      <c r="CB194" s="39"/>
      <c r="CH194" s="44">
        <v>0</v>
      </c>
      <c r="CI194" s="40"/>
      <c r="CJ194">
        <v>98</v>
      </c>
      <c r="CK194">
        <v>100</v>
      </c>
      <c r="CN194" s="44">
        <v>-2</v>
      </c>
      <c r="CO194" s="40"/>
      <c r="CP194" s="39"/>
      <c r="CT194" s="44">
        <v>0</v>
      </c>
      <c r="CU194" s="40"/>
      <c r="CV194" s="39"/>
      <c r="CZ194" s="44">
        <v>0</v>
      </c>
      <c r="DA194" s="40"/>
      <c r="DB194" s="41">
        <v>252</v>
      </c>
      <c r="DC194" s="44">
        <v>250</v>
      </c>
      <c r="DD194">
        <v>329</v>
      </c>
      <c r="DE194" s="44">
        <v>330</v>
      </c>
      <c r="DF194" s="44">
        <v>1</v>
      </c>
      <c r="DG194" s="40"/>
      <c r="DN194" s="44">
        <v>0</v>
      </c>
      <c r="DO194" s="40"/>
      <c r="DP194" s="39"/>
      <c r="DR194" s="44">
        <v>0</v>
      </c>
      <c r="DS194" s="40"/>
      <c r="DT194" s="39"/>
      <c r="DX194" s="44">
        <v>0</v>
      </c>
      <c r="DY194" s="40"/>
      <c r="DZ194" s="39">
        <v>602</v>
      </c>
      <c r="EA194">
        <v>600</v>
      </c>
      <c r="EB194" s="44">
        <v>2</v>
      </c>
      <c r="EC194" s="40"/>
      <c r="EK194" s="44">
        <v>0</v>
      </c>
      <c r="EL194" s="40"/>
      <c r="ES194" s="44">
        <v>0</v>
      </c>
      <c r="ET194" s="40"/>
      <c r="EU194" s="39"/>
      <c r="EY194" s="44">
        <v>0</v>
      </c>
      <c r="EZ194" s="40"/>
      <c r="FA194" s="39"/>
      <c r="FD194" s="44">
        <v>0</v>
      </c>
      <c r="FE194" s="40"/>
      <c r="FI194" s="40"/>
      <c r="FJ194" s="41"/>
      <c r="FR194" s="40"/>
      <c r="FX194" s="40"/>
      <c r="FY194" s="42"/>
      <c r="GD194" s="40"/>
      <c r="GJ194" s="40"/>
      <c r="GN194" s="40"/>
      <c r="GO194" s="41"/>
      <c r="GR194" s="40"/>
      <c r="GY194" s="40"/>
      <c r="HE194" s="40"/>
      <c r="HF194" s="39"/>
      <c r="HK194" s="40"/>
      <c r="HL194" s="39"/>
      <c r="HQ194" s="40"/>
      <c r="HW194" s="43"/>
      <c r="IC194" s="43"/>
      <c r="II194" s="43"/>
      <c r="IO194" s="40"/>
      <c r="IS194" s="40"/>
      <c r="IY194" s="43"/>
      <c r="JC194" s="40"/>
      <c r="JI194" s="40"/>
      <c r="JO194" s="43"/>
      <c r="JU194" s="43"/>
      <c r="KA194" s="43"/>
      <c r="KB194" s="42"/>
      <c r="KJ194" s="43"/>
      <c r="KP194" s="43"/>
      <c r="KV194" s="43"/>
      <c r="KW194" s="42"/>
      <c r="KZ194" s="43"/>
      <c r="LA194" s="42"/>
      <c r="LF194" s="43"/>
      <c r="LG194" s="42"/>
      <c r="LL194" s="43"/>
      <c r="LM194" s="42"/>
      <c r="LP194" s="43"/>
      <c r="LQ194" s="42"/>
      <c r="LV194" s="43"/>
      <c r="LW194" s="42"/>
      <c r="MB194" s="43"/>
      <c r="MC194" s="42"/>
      <c r="MH194" s="43"/>
      <c r="MI194" s="42"/>
      <c r="MN194" s="43"/>
      <c r="MO194" s="42"/>
      <c r="MT194" s="43"/>
      <c r="MU194" s="42"/>
      <c r="MZ194" s="43"/>
      <c r="NA194" s="42"/>
      <c r="ND194" s="44"/>
      <c r="NF194" s="43"/>
      <c r="NG194" s="42"/>
      <c r="NL194" s="43"/>
      <c r="NM194" s="42"/>
      <c r="NR194" s="43"/>
      <c r="NS194" s="42"/>
      <c r="NU194" s="44"/>
      <c r="NX194" s="43"/>
      <c r="NY194" s="42"/>
      <c r="OD194" s="43"/>
      <c r="OE194" s="42"/>
      <c r="OJ194" s="43"/>
      <c r="OK194" s="42"/>
      <c r="OP194" s="43"/>
      <c r="OQ194" s="42"/>
      <c r="OU194" s="44"/>
      <c r="OV194" s="43"/>
      <c r="OW194" s="42"/>
      <c r="PB194" s="43"/>
      <c r="PC194" s="42"/>
      <c r="PG194" s="44"/>
      <c r="PH194" s="43"/>
      <c r="PI194" s="42"/>
      <c r="PN194" s="43"/>
      <c r="PO194" s="42"/>
      <c r="PQ194" s="44"/>
      <c r="PT194" s="43"/>
      <c r="PU194" s="42"/>
      <c r="PZ194" s="43"/>
      <c r="QA194" s="42"/>
      <c r="QD194" s="43"/>
      <c r="QE194" s="42"/>
      <c r="QH194" s="43"/>
      <c r="QI194" s="42"/>
      <c r="QL194" s="43"/>
      <c r="QM194" s="42"/>
      <c r="QQ194" s="44"/>
      <c r="QR194" s="43"/>
      <c r="QS194" s="42"/>
      <c r="QV194" s="43"/>
      <c r="QW194" s="42"/>
      <c r="QY194" s="44"/>
      <c r="QZ194" s="43"/>
    </row>
    <row r="195" spans="1:468" x14ac:dyDescent="0.25">
      <c r="A195" s="47" t="s">
        <v>479</v>
      </c>
      <c r="B195" s="38">
        <v>0.33</v>
      </c>
      <c r="N195" s="39"/>
      <c r="O195" s="48"/>
      <c r="P195" s="49">
        <v>12</v>
      </c>
      <c r="Q195" s="49">
        <v>12</v>
      </c>
      <c r="R195" s="48">
        <f t="shared" si="16"/>
        <v>0</v>
      </c>
      <c r="S195" s="40"/>
      <c r="T195" s="41">
        <v>12</v>
      </c>
      <c r="U195" s="49">
        <v>12</v>
      </c>
      <c r="V195" s="48">
        <f t="shared" si="17"/>
        <v>0</v>
      </c>
      <c r="W195" s="40"/>
      <c r="X195" s="39"/>
      <c r="Y195" s="48"/>
      <c r="Z195" s="48"/>
      <c r="AA195" s="48"/>
      <c r="AB195" s="48">
        <f t="shared" si="18"/>
        <v>0</v>
      </c>
      <c r="AC195" s="40"/>
      <c r="AD195" s="48"/>
      <c r="AH195" s="44">
        <v>0</v>
      </c>
      <c r="AI195" s="40"/>
      <c r="AN195" s="44">
        <v>0</v>
      </c>
      <c r="AO195" s="40"/>
      <c r="AT195" s="44">
        <v>0</v>
      </c>
      <c r="AU195" s="40"/>
      <c r="AV195" s="39"/>
      <c r="AX195" s="44">
        <v>0</v>
      </c>
      <c r="AY195" s="40"/>
      <c r="AZ195" s="39"/>
      <c r="BB195" s="44">
        <v>0</v>
      </c>
      <c r="BC195" s="40"/>
      <c r="BF195">
        <v>66</v>
      </c>
      <c r="BH195" s="44">
        <v>0</v>
      </c>
      <c r="BI195" s="40"/>
      <c r="BJ195">
        <v>48</v>
      </c>
      <c r="BL195" s="44">
        <v>0</v>
      </c>
      <c r="BM195" s="40"/>
      <c r="BN195" s="39"/>
      <c r="BR195" s="44">
        <v>0</v>
      </c>
      <c r="BS195" s="40"/>
      <c r="BT195" s="37">
        <v>30</v>
      </c>
      <c r="BV195" s="44">
        <v>0</v>
      </c>
      <c r="BW195" s="40"/>
      <c r="BX195" s="36">
        <v>42</v>
      </c>
      <c r="BZ195" s="44">
        <v>0</v>
      </c>
      <c r="CA195" s="40"/>
      <c r="CB195" s="39"/>
      <c r="CD195" s="37">
        <v>6</v>
      </c>
      <c r="CH195" s="44">
        <v>0</v>
      </c>
      <c r="CI195" s="40"/>
      <c r="CL195">
        <v>54</v>
      </c>
      <c r="CN195" s="44">
        <v>0</v>
      </c>
      <c r="CO195" s="40"/>
      <c r="CP195" s="39"/>
      <c r="CR195">
        <v>6</v>
      </c>
      <c r="CT195" s="44">
        <v>0</v>
      </c>
      <c r="CU195" s="40"/>
      <c r="CV195" s="39"/>
      <c r="CZ195" s="44">
        <v>0</v>
      </c>
      <c r="DA195" s="40"/>
      <c r="DB195" s="39"/>
      <c r="DD195">
        <v>48</v>
      </c>
      <c r="DF195" s="44">
        <v>0</v>
      </c>
      <c r="DG195" s="40"/>
      <c r="DN195" s="44">
        <v>0</v>
      </c>
      <c r="DO195" s="40"/>
      <c r="DP195" s="39"/>
      <c r="DR195" s="44">
        <v>0</v>
      </c>
      <c r="DS195" s="40"/>
      <c r="DT195" s="39"/>
      <c r="DX195" s="44">
        <v>0</v>
      </c>
      <c r="DY195" s="40"/>
      <c r="DZ195" s="39">
        <v>48</v>
      </c>
      <c r="EB195" s="44">
        <v>0</v>
      </c>
      <c r="EC195" s="40"/>
      <c r="EK195" s="44">
        <v>0</v>
      </c>
      <c r="EL195" s="40"/>
      <c r="ET195" s="40"/>
      <c r="EU195" s="39"/>
      <c r="EZ195" s="40"/>
      <c r="FA195" s="39"/>
      <c r="FE195" s="40"/>
      <c r="FI195" s="40"/>
      <c r="FJ195" s="41"/>
      <c r="FR195" s="40"/>
      <c r="FX195" s="40"/>
      <c r="FY195" s="42"/>
      <c r="GD195" s="40"/>
      <c r="GJ195" s="40"/>
      <c r="GN195" s="40"/>
      <c r="GO195" s="41"/>
      <c r="GR195" s="40"/>
      <c r="GY195" s="40"/>
      <c r="HE195" s="40"/>
      <c r="HF195" s="39"/>
      <c r="HK195" s="40"/>
      <c r="HL195" s="39"/>
      <c r="HQ195" s="40"/>
      <c r="HW195" s="43"/>
      <c r="IC195" s="43"/>
      <c r="II195" s="43"/>
      <c r="IO195" s="40"/>
      <c r="IS195" s="40"/>
      <c r="IY195" s="43"/>
      <c r="JC195" s="40"/>
      <c r="JI195" s="40"/>
      <c r="JO195" s="43"/>
      <c r="JU195" s="43"/>
      <c r="KA195" s="43"/>
      <c r="KB195" s="42"/>
      <c r="KJ195" s="43"/>
      <c r="KP195" s="43"/>
      <c r="KV195" s="43"/>
      <c r="KW195" s="42"/>
      <c r="KZ195" s="43"/>
      <c r="LA195" s="42"/>
      <c r="LF195" s="43"/>
      <c r="LG195" s="42"/>
      <c r="LL195" s="43"/>
      <c r="LM195" s="42"/>
      <c r="LP195" s="43"/>
      <c r="LQ195" s="42"/>
      <c r="LV195" s="43"/>
      <c r="LW195" s="42"/>
      <c r="MB195" s="43"/>
      <c r="MC195" s="42"/>
      <c r="MH195" s="43"/>
      <c r="MI195" s="42"/>
      <c r="MN195" s="43"/>
      <c r="MO195" s="42"/>
      <c r="MT195" s="43"/>
      <c r="MU195" s="42"/>
      <c r="MZ195" s="43"/>
      <c r="NA195" s="42"/>
      <c r="ND195" s="44"/>
      <c r="NF195" s="43"/>
      <c r="NG195" s="42"/>
      <c r="NL195" s="43"/>
      <c r="NM195" s="42"/>
      <c r="NR195" s="43"/>
      <c r="NS195" s="42"/>
      <c r="NU195" s="44"/>
      <c r="NX195" s="43"/>
      <c r="NY195" s="42"/>
      <c r="OD195" s="43"/>
      <c r="OE195" s="42"/>
      <c r="OJ195" s="43"/>
      <c r="OK195" s="42"/>
      <c r="OP195" s="43"/>
      <c r="OQ195" s="42"/>
      <c r="OU195" s="44"/>
      <c r="OV195" s="43"/>
      <c r="OW195" s="42"/>
      <c r="PB195" s="43"/>
      <c r="PC195" s="42"/>
      <c r="PG195" s="44"/>
      <c r="PH195" s="43"/>
      <c r="PI195" s="42"/>
      <c r="PN195" s="43"/>
      <c r="PO195" s="42"/>
      <c r="PQ195" s="44"/>
      <c r="PT195" s="43"/>
      <c r="PU195" s="42"/>
      <c r="PZ195" s="43"/>
      <c r="QA195" s="42"/>
      <c r="QD195" s="43"/>
      <c r="QE195" s="42"/>
      <c r="QH195" s="43"/>
      <c r="QI195" s="42"/>
      <c r="QL195" s="43"/>
      <c r="QM195" s="42"/>
      <c r="QQ195" s="44"/>
      <c r="QR195" s="43"/>
      <c r="QS195" s="42"/>
      <c r="QV195" s="43"/>
      <c r="QW195" s="42"/>
      <c r="QY195" s="44"/>
      <c r="QZ195" s="43"/>
    </row>
    <row r="196" spans="1:468" x14ac:dyDescent="0.25">
      <c r="A196" s="47" t="s">
        <v>480</v>
      </c>
      <c r="B196" s="38">
        <v>0.28000000000000003</v>
      </c>
      <c r="N196" s="39"/>
      <c r="O196" s="48"/>
      <c r="P196" s="49">
        <v>112</v>
      </c>
      <c r="Q196" s="49">
        <v>115</v>
      </c>
      <c r="R196" s="48">
        <f t="shared" ref="R196:R198" si="20">N196+P196-O196-Q196</f>
        <v>-3</v>
      </c>
      <c r="S196" s="40"/>
      <c r="T196" s="39"/>
      <c r="U196" s="48"/>
      <c r="V196" s="48">
        <f t="shared" ref="V196:V198" si="21">T196-U196</f>
        <v>0</v>
      </c>
      <c r="W196" s="40"/>
      <c r="X196" s="39"/>
      <c r="Y196" s="48"/>
      <c r="Z196" s="48"/>
      <c r="AA196" s="48"/>
      <c r="AB196" s="48">
        <f t="shared" ref="AB196:AB198" si="22">X196+Z196-Y196-AA196</f>
        <v>0</v>
      </c>
      <c r="AC196" s="40"/>
      <c r="AD196" s="48">
        <v>72</v>
      </c>
      <c r="AE196" s="44">
        <v>70</v>
      </c>
      <c r="AH196" s="44">
        <v>2</v>
      </c>
      <c r="AI196" s="40"/>
      <c r="AN196" s="44">
        <v>0</v>
      </c>
      <c r="AO196" s="40"/>
      <c r="AP196" s="47"/>
      <c r="AR196" s="47"/>
      <c r="AT196" s="44">
        <v>0</v>
      </c>
      <c r="AU196" s="40"/>
      <c r="AV196" s="42"/>
      <c r="AX196" s="44">
        <v>0</v>
      </c>
      <c r="AY196" s="40"/>
      <c r="AZ196" s="42"/>
      <c r="BB196" s="44">
        <v>0</v>
      </c>
      <c r="BC196" s="40"/>
      <c r="BF196" s="47"/>
      <c r="BI196" s="40"/>
      <c r="BJ196" s="47"/>
      <c r="BM196" s="40"/>
      <c r="BN196" s="39"/>
      <c r="BS196" s="40"/>
      <c r="BT196" s="47"/>
      <c r="BW196" s="40"/>
      <c r="BX196" s="41"/>
      <c r="CA196" s="40"/>
      <c r="CB196" s="39"/>
      <c r="CD196" s="47"/>
      <c r="CI196" s="40"/>
      <c r="CO196" s="40"/>
      <c r="CP196" s="39"/>
      <c r="CU196" s="40"/>
      <c r="CV196" s="39"/>
      <c r="DA196" s="40"/>
      <c r="DB196" s="39"/>
      <c r="DG196" s="40"/>
      <c r="DO196" s="40"/>
      <c r="DP196" s="39"/>
      <c r="DS196" s="40"/>
      <c r="DT196" s="39"/>
      <c r="DY196" s="40"/>
      <c r="DZ196" s="39"/>
      <c r="EC196" s="40"/>
      <c r="EL196" s="40"/>
      <c r="ET196" s="40"/>
      <c r="EU196" s="39"/>
      <c r="EZ196" s="40"/>
      <c r="FA196" s="39"/>
      <c r="FE196" s="40"/>
      <c r="FI196" s="40"/>
      <c r="FJ196" s="41"/>
      <c r="FR196" s="40"/>
      <c r="FX196" s="40"/>
      <c r="FY196" s="42"/>
      <c r="GD196" s="40"/>
      <c r="GJ196" s="40"/>
      <c r="GN196" s="40"/>
      <c r="GO196" s="41"/>
      <c r="GR196" s="40"/>
      <c r="GY196" s="40"/>
      <c r="HE196" s="40"/>
      <c r="HF196" s="39"/>
      <c r="HK196" s="40"/>
      <c r="HL196" s="39"/>
      <c r="HQ196" s="40"/>
      <c r="HW196" s="43"/>
      <c r="IC196" s="43"/>
      <c r="II196" s="43"/>
      <c r="IO196" s="40"/>
      <c r="IS196" s="40"/>
      <c r="IY196" s="43"/>
      <c r="JC196" s="40"/>
      <c r="JI196" s="40"/>
      <c r="JO196" s="43"/>
      <c r="JU196" s="43"/>
      <c r="KA196" s="43"/>
      <c r="KB196" s="42"/>
      <c r="KJ196" s="43"/>
      <c r="KM196" s="44"/>
      <c r="KP196" s="43"/>
      <c r="KV196" s="43"/>
      <c r="KW196" s="42"/>
      <c r="KZ196" s="43"/>
      <c r="LA196" s="42"/>
      <c r="LF196" s="43"/>
      <c r="LG196" s="42"/>
      <c r="LL196" s="43"/>
      <c r="LM196" s="42"/>
      <c r="LP196" s="43"/>
      <c r="LQ196" s="42"/>
      <c r="LV196" s="43"/>
      <c r="LW196" s="42"/>
      <c r="MB196" s="43"/>
      <c r="MC196" s="42"/>
      <c r="MH196" s="43"/>
      <c r="MI196" s="42"/>
      <c r="MN196" s="43"/>
      <c r="MO196" s="42"/>
      <c r="MT196" s="43"/>
      <c r="MU196" s="42"/>
      <c r="MZ196" s="43"/>
      <c r="NA196" s="42"/>
      <c r="ND196" s="44"/>
      <c r="NF196" s="43"/>
      <c r="NG196" s="42"/>
      <c r="NL196" s="43"/>
      <c r="NM196" s="42"/>
      <c r="NR196" s="43"/>
      <c r="NS196" s="42"/>
      <c r="NU196" s="44"/>
      <c r="NX196" s="43"/>
      <c r="NY196" s="42"/>
      <c r="OD196" s="43"/>
      <c r="OE196" s="42"/>
      <c r="OJ196" s="43"/>
      <c r="OK196" s="42"/>
      <c r="OP196" s="43"/>
      <c r="OQ196" s="42"/>
      <c r="OU196" s="44"/>
      <c r="OV196" s="43"/>
      <c r="OW196" s="42"/>
      <c r="PB196" s="43"/>
      <c r="PC196" s="42"/>
      <c r="PG196" s="44"/>
      <c r="PH196" s="43"/>
      <c r="PI196" s="42"/>
      <c r="PN196" s="43"/>
      <c r="PO196" s="42"/>
      <c r="PQ196" s="44"/>
      <c r="PT196" s="43"/>
      <c r="PU196" s="42"/>
      <c r="PZ196" s="43"/>
      <c r="QA196" s="42"/>
      <c r="QD196" s="43"/>
      <c r="QE196" s="42"/>
      <c r="QH196" s="43"/>
      <c r="QI196" s="42"/>
      <c r="QL196" s="43"/>
      <c r="QM196" s="42"/>
      <c r="QQ196" s="44"/>
      <c r="QR196" s="43"/>
      <c r="QS196" s="42"/>
      <c r="QV196" s="43"/>
      <c r="QW196" s="42"/>
      <c r="QY196" s="44"/>
      <c r="QZ196" s="43"/>
    </row>
    <row r="197" spans="1:468" x14ac:dyDescent="0.25">
      <c r="A197" s="47" t="s">
        <v>481</v>
      </c>
      <c r="B197" s="38">
        <v>0.28000000000000003</v>
      </c>
      <c r="N197" s="39"/>
      <c r="O197" s="48"/>
      <c r="P197" s="48"/>
      <c r="Q197" s="49">
        <v>118</v>
      </c>
      <c r="R197" s="53">
        <f t="shared" si="20"/>
        <v>-118</v>
      </c>
      <c r="S197" s="40">
        <f>-1*R197*B197</f>
        <v>33.040000000000006</v>
      </c>
      <c r="T197" s="39"/>
      <c r="U197" s="48"/>
      <c r="V197" s="48">
        <f t="shared" si="21"/>
        <v>0</v>
      </c>
      <c r="W197" s="40"/>
      <c r="X197" s="39"/>
      <c r="Y197" s="48"/>
      <c r="Z197" s="48"/>
      <c r="AA197" s="48"/>
      <c r="AB197" s="48">
        <f t="shared" si="22"/>
        <v>0</v>
      </c>
      <c r="AC197" s="40"/>
      <c r="AD197" s="48">
        <v>72</v>
      </c>
      <c r="AE197" s="44">
        <v>70</v>
      </c>
      <c r="AH197" s="44">
        <v>2</v>
      </c>
      <c r="AI197" s="40"/>
      <c r="AN197" s="44">
        <v>0</v>
      </c>
      <c r="AO197" s="40"/>
      <c r="AP197" s="47"/>
      <c r="AR197" s="47"/>
      <c r="AT197" s="44">
        <v>0</v>
      </c>
      <c r="AU197" s="40"/>
      <c r="AV197" s="42"/>
      <c r="AX197" s="44">
        <v>0</v>
      </c>
      <c r="AY197" s="40"/>
      <c r="AZ197" s="42"/>
      <c r="BB197" s="44">
        <v>0</v>
      </c>
      <c r="BC197" s="40"/>
      <c r="BF197" s="47"/>
      <c r="BI197" s="40"/>
      <c r="BJ197" s="47"/>
      <c r="BM197" s="40"/>
      <c r="BN197" s="39"/>
      <c r="BS197" s="40"/>
      <c r="BT197" s="47"/>
      <c r="BW197" s="40"/>
      <c r="BX197" s="41"/>
      <c r="CA197" s="40"/>
      <c r="CB197" s="39"/>
      <c r="CD197" s="47"/>
      <c r="CI197" s="40"/>
      <c r="CO197" s="40"/>
      <c r="CP197" s="39"/>
      <c r="CU197" s="40"/>
      <c r="CV197" s="39"/>
      <c r="DA197" s="40"/>
      <c r="DB197" s="39"/>
      <c r="DG197" s="40"/>
      <c r="DO197" s="40"/>
      <c r="DP197" s="39"/>
      <c r="DS197" s="40"/>
      <c r="DT197" s="39"/>
      <c r="DY197" s="40"/>
      <c r="DZ197" s="39"/>
      <c r="EC197" s="40"/>
      <c r="EL197" s="40"/>
      <c r="ET197" s="40"/>
      <c r="EU197" s="39"/>
      <c r="EZ197" s="40"/>
      <c r="FA197" s="39"/>
      <c r="FE197" s="40"/>
      <c r="FI197" s="40"/>
      <c r="FJ197" s="41"/>
      <c r="FR197" s="40"/>
      <c r="FX197" s="40"/>
      <c r="FY197" s="42"/>
      <c r="GD197" s="40"/>
      <c r="GJ197" s="40"/>
      <c r="GN197" s="40"/>
      <c r="GO197" s="41"/>
      <c r="GR197" s="40"/>
      <c r="GY197" s="40"/>
      <c r="HE197" s="40"/>
      <c r="HF197" s="39"/>
      <c r="HK197" s="40"/>
      <c r="HL197" s="39"/>
      <c r="HQ197" s="40"/>
      <c r="HW197" s="43"/>
      <c r="IC197" s="43"/>
      <c r="II197" s="43"/>
      <c r="IO197" s="40"/>
      <c r="IS197" s="40"/>
      <c r="IY197" s="43"/>
      <c r="JC197" s="40"/>
      <c r="JI197" s="40"/>
      <c r="JO197" s="43"/>
      <c r="JU197" s="43"/>
      <c r="KA197" s="43"/>
      <c r="KB197" s="42"/>
      <c r="KJ197" s="43"/>
      <c r="KM197" s="44"/>
      <c r="KP197" s="43"/>
      <c r="KV197" s="43"/>
      <c r="KW197" s="42"/>
      <c r="KZ197" s="43"/>
      <c r="LA197" s="42"/>
      <c r="LF197" s="43"/>
      <c r="LG197" s="42"/>
      <c r="LL197" s="43"/>
      <c r="LM197" s="42"/>
      <c r="LP197" s="43"/>
      <c r="LQ197" s="42"/>
      <c r="LV197" s="43"/>
      <c r="LW197" s="42"/>
      <c r="MB197" s="43"/>
      <c r="MC197" s="42"/>
      <c r="MH197" s="43"/>
      <c r="MI197" s="42"/>
      <c r="MN197" s="43"/>
      <c r="MO197" s="42"/>
      <c r="MT197" s="43"/>
      <c r="MU197" s="42"/>
      <c r="MZ197" s="43"/>
      <c r="NA197" s="42"/>
      <c r="ND197" s="44"/>
      <c r="NF197" s="43"/>
      <c r="NG197" s="42"/>
      <c r="NL197" s="43"/>
      <c r="NM197" s="42"/>
      <c r="NR197" s="43"/>
      <c r="NS197" s="42"/>
      <c r="NU197" s="44"/>
      <c r="NX197" s="43"/>
      <c r="NY197" s="42"/>
      <c r="OD197" s="43"/>
      <c r="OE197" s="42"/>
      <c r="OJ197" s="43"/>
      <c r="OK197" s="42"/>
      <c r="OP197" s="43"/>
      <c r="OQ197" s="42"/>
      <c r="OU197" s="44"/>
      <c r="OV197" s="43"/>
      <c r="OW197" s="42"/>
      <c r="PB197" s="43"/>
      <c r="PC197" s="42"/>
      <c r="PG197" s="44"/>
      <c r="PH197" s="43"/>
      <c r="PI197" s="42"/>
      <c r="PN197" s="43"/>
      <c r="PO197" s="42"/>
      <c r="PQ197" s="44"/>
      <c r="PT197" s="43"/>
      <c r="PU197" s="42"/>
      <c r="PZ197" s="43"/>
      <c r="QA197" s="42"/>
      <c r="QD197" s="43"/>
      <c r="QE197" s="42"/>
      <c r="QH197" s="43"/>
      <c r="QI197" s="42"/>
      <c r="QL197" s="43"/>
      <c r="QM197" s="42"/>
      <c r="QQ197" s="44"/>
      <c r="QR197" s="43"/>
      <c r="QS197" s="42"/>
      <c r="QV197" s="43"/>
      <c r="QW197" s="42"/>
      <c r="QY197" s="44"/>
      <c r="QZ197" s="43"/>
    </row>
    <row r="198" spans="1:468" ht="15.75" customHeight="1" thickBot="1" x14ac:dyDescent="0.3">
      <c r="A198" s="47" t="s">
        <v>482</v>
      </c>
      <c r="B198" s="38">
        <v>0.18</v>
      </c>
      <c r="N198" s="30"/>
      <c r="O198" s="9"/>
      <c r="P198" s="9"/>
      <c r="Q198" s="9"/>
      <c r="R198" s="9">
        <f t="shared" si="20"/>
        <v>0</v>
      </c>
      <c r="S198" s="28"/>
      <c r="T198" s="30"/>
      <c r="U198" s="9"/>
      <c r="V198" s="9">
        <f t="shared" si="21"/>
        <v>0</v>
      </c>
      <c r="W198" s="28"/>
      <c r="X198" s="30"/>
      <c r="Y198" s="9"/>
      <c r="Z198" s="9"/>
      <c r="AA198" s="9"/>
      <c r="AB198" s="9">
        <f t="shared" si="22"/>
        <v>0</v>
      </c>
      <c r="AC198" s="28"/>
      <c r="AD198" s="9"/>
      <c r="AE198" s="9"/>
      <c r="AF198" s="9"/>
      <c r="AG198" s="9"/>
      <c r="AH198" s="9">
        <v>0</v>
      </c>
      <c r="AI198" s="28"/>
      <c r="AJ198" s="9"/>
      <c r="AK198" s="9"/>
      <c r="AL198" s="9"/>
      <c r="AM198" s="9"/>
      <c r="AN198" s="9">
        <v>0</v>
      </c>
      <c r="AO198" s="28"/>
      <c r="AP198" s="9"/>
      <c r="AQ198" s="9"/>
      <c r="AR198" s="9"/>
      <c r="AS198" s="9"/>
      <c r="AT198" s="9">
        <v>0</v>
      </c>
      <c r="AU198" s="28"/>
      <c r="AV198" s="30"/>
      <c r="AW198" s="9"/>
      <c r="AX198" s="9">
        <v>0</v>
      </c>
      <c r="AY198" s="28"/>
      <c r="AZ198" s="30"/>
      <c r="BA198" s="9"/>
      <c r="BB198" s="9">
        <v>0</v>
      </c>
      <c r="BC198" s="28"/>
      <c r="BD198" s="9"/>
      <c r="BE198" s="9"/>
      <c r="BF198" s="9"/>
      <c r="BG198" s="9"/>
      <c r="BH198" s="9">
        <v>0</v>
      </c>
      <c r="BI198" s="28"/>
      <c r="BJ198" s="9"/>
      <c r="BK198" s="9"/>
      <c r="BL198" s="9">
        <v>0</v>
      </c>
      <c r="BM198" s="28"/>
      <c r="BN198" s="30"/>
      <c r="BO198" s="9"/>
      <c r="BP198" s="9"/>
      <c r="BQ198" s="9"/>
      <c r="BR198" s="9">
        <v>0</v>
      </c>
      <c r="BS198" s="28"/>
      <c r="BT198" s="9"/>
      <c r="BU198" s="9"/>
      <c r="BV198" s="9">
        <v>0</v>
      </c>
      <c r="BW198" s="28"/>
      <c r="BX198" s="30"/>
      <c r="BY198" s="9"/>
      <c r="BZ198" s="9">
        <v>0</v>
      </c>
      <c r="CA198" s="28"/>
      <c r="CB198" s="30"/>
      <c r="CC198" s="9"/>
      <c r="CD198" s="9"/>
      <c r="CE198" s="9"/>
      <c r="CF198" s="9"/>
      <c r="CG198" s="9"/>
      <c r="CH198" s="9">
        <v>0</v>
      </c>
      <c r="CI198" s="28"/>
      <c r="CJ198" s="9"/>
      <c r="CK198" s="9"/>
      <c r="CL198" s="9"/>
      <c r="CM198" s="9"/>
      <c r="CN198" s="9">
        <v>0</v>
      </c>
      <c r="CO198" s="28"/>
      <c r="CP198" s="30"/>
      <c r="CQ198" s="9"/>
      <c r="CR198" s="9"/>
      <c r="CS198" s="9"/>
      <c r="CT198" s="9">
        <v>0</v>
      </c>
      <c r="CU198" s="28"/>
      <c r="CV198" s="30"/>
      <c r="CW198" s="9"/>
      <c r="CX198" s="9"/>
      <c r="CY198" s="9"/>
      <c r="CZ198" s="9">
        <v>0</v>
      </c>
      <c r="DA198" s="28"/>
      <c r="DB198" s="30"/>
      <c r="DC198" s="9"/>
      <c r="DD198" s="9"/>
      <c r="DE198" s="9"/>
      <c r="DF198" s="9">
        <v>0</v>
      </c>
      <c r="DG198" s="28"/>
      <c r="DH198" s="9"/>
      <c r="DI198" s="9"/>
      <c r="DJ198" s="9"/>
      <c r="DK198" s="9"/>
      <c r="DL198" s="9"/>
      <c r="DM198" s="9"/>
      <c r="DN198" s="9">
        <v>0</v>
      </c>
      <c r="DO198" s="28"/>
      <c r="DP198" s="30"/>
      <c r="DQ198" s="9"/>
      <c r="DR198" s="9">
        <v>0</v>
      </c>
      <c r="DS198" s="28"/>
      <c r="DT198" s="30"/>
      <c r="DU198" s="9"/>
      <c r="DV198" s="9"/>
      <c r="DW198" s="9"/>
      <c r="DX198" s="9">
        <v>0</v>
      </c>
      <c r="DY198" s="28"/>
      <c r="DZ198" s="30"/>
      <c r="EA198" s="9"/>
      <c r="EB198" s="9">
        <v>0</v>
      </c>
      <c r="EC198" s="28"/>
      <c r="ED198" s="9"/>
      <c r="EE198" s="9"/>
      <c r="EF198" s="9"/>
      <c r="EG198" s="9"/>
      <c r="EH198" s="9"/>
      <c r="EI198" s="9"/>
      <c r="EJ198" s="9"/>
      <c r="EK198" s="9">
        <v>0</v>
      </c>
      <c r="EL198" s="28"/>
      <c r="EM198" s="9"/>
      <c r="EN198" s="9"/>
      <c r="EO198" s="9"/>
      <c r="EP198" s="9"/>
      <c r="EQ198" s="9"/>
      <c r="ER198" s="9"/>
      <c r="ES198" s="9">
        <v>0</v>
      </c>
      <c r="ET198" s="28"/>
      <c r="EU198" s="30"/>
      <c r="EV198" s="9"/>
      <c r="EW198" s="9"/>
      <c r="EX198" s="9"/>
      <c r="EY198" s="9">
        <v>0</v>
      </c>
      <c r="EZ198" s="28"/>
      <c r="FA198" s="30"/>
      <c r="FB198" s="9"/>
      <c r="FC198" s="9"/>
      <c r="FD198" s="9">
        <v>0</v>
      </c>
      <c r="FE198" s="28"/>
      <c r="FF198" s="9"/>
      <c r="FG198" s="9"/>
      <c r="FH198" s="9">
        <v>0</v>
      </c>
      <c r="FI198" s="28"/>
      <c r="FJ198" s="30"/>
      <c r="FK198" s="9"/>
      <c r="FL198" s="9"/>
      <c r="FM198" s="9"/>
      <c r="FN198" s="9"/>
      <c r="FO198" s="9"/>
      <c r="FP198" s="9"/>
      <c r="FQ198" s="9">
        <v>0</v>
      </c>
      <c r="FR198" s="28"/>
      <c r="FS198" s="9"/>
      <c r="FT198" s="9"/>
      <c r="FU198" s="9"/>
      <c r="FV198" s="9"/>
      <c r="FW198" s="9">
        <v>0</v>
      </c>
      <c r="FX198" s="28"/>
      <c r="FY198" s="30"/>
      <c r="FZ198" s="9"/>
      <c r="GA198" s="9"/>
      <c r="GB198" s="9"/>
      <c r="GC198" s="9">
        <v>0</v>
      </c>
      <c r="GD198" s="28"/>
      <c r="GE198" s="9"/>
      <c r="GF198" s="9"/>
      <c r="GG198" s="9"/>
      <c r="GH198" s="9"/>
      <c r="GI198" s="9">
        <v>0</v>
      </c>
      <c r="GJ198" s="28"/>
      <c r="GK198" s="9"/>
      <c r="GL198" s="9"/>
      <c r="GM198" s="9">
        <v>0</v>
      </c>
      <c r="GN198" s="28"/>
      <c r="GO198" s="30"/>
      <c r="GP198" s="9"/>
      <c r="GQ198" s="9">
        <v>0</v>
      </c>
      <c r="GR198" s="28"/>
      <c r="GS198" s="9"/>
      <c r="GT198" s="8"/>
      <c r="GU198" s="9"/>
      <c r="GV198" s="9"/>
      <c r="GW198" s="9"/>
      <c r="GX198" s="9">
        <v>0</v>
      </c>
      <c r="GY198" s="28"/>
      <c r="GZ198" s="9"/>
      <c r="HA198" s="9"/>
      <c r="HB198" s="9"/>
      <c r="HC198" s="9"/>
      <c r="HD198" s="9">
        <v>0</v>
      </c>
      <c r="HE198" s="28"/>
      <c r="HF198" s="30"/>
      <c r="HG198" s="9"/>
      <c r="HH198" s="8"/>
      <c r="HI198" s="9"/>
      <c r="HJ198" s="9">
        <v>0</v>
      </c>
      <c r="HK198" s="28"/>
      <c r="HL198" s="30"/>
      <c r="HM198" s="8"/>
      <c r="HN198" s="9"/>
      <c r="HO198" s="8"/>
      <c r="HP198" s="9">
        <v>0</v>
      </c>
      <c r="HQ198" s="28"/>
      <c r="HR198" s="9"/>
      <c r="HS198" s="9"/>
      <c r="HT198" s="9"/>
      <c r="HU198" s="9"/>
      <c r="HV198" s="9">
        <v>0</v>
      </c>
      <c r="HW198" s="20"/>
      <c r="HX198" s="9"/>
      <c r="HY198" s="9"/>
      <c r="HZ198" s="32">
        <v>100</v>
      </c>
      <c r="IA198" s="9"/>
      <c r="IB198" s="9">
        <v>0</v>
      </c>
      <c r="IC198" s="20"/>
      <c r="ID198" s="9"/>
      <c r="IE198" s="9"/>
      <c r="IF198" s="9"/>
      <c r="IG198" s="8"/>
      <c r="IH198" s="9">
        <v>0</v>
      </c>
      <c r="II198" s="20"/>
      <c r="IJ198" s="9"/>
      <c r="IK198" s="8"/>
      <c r="IL198" s="9"/>
      <c r="IM198" s="8"/>
      <c r="IN198" s="9">
        <v>0</v>
      </c>
      <c r="IO198" s="28"/>
      <c r="IP198" s="27">
        <v>150</v>
      </c>
      <c r="IQ198" s="27">
        <v>150</v>
      </c>
      <c r="IR198" s="9">
        <v>0</v>
      </c>
      <c r="IS198" s="28"/>
      <c r="IT198" s="27">
        <v>100</v>
      </c>
      <c r="IU198" s="27">
        <v>100</v>
      </c>
      <c r="IV198" s="27">
        <v>100</v>
      </c>
      <c r="IW198" s="27">
        <v>103</v>
      </c>
      <c r="IX198" s="9">
        <v>-3</v>
      </c>
      <c r="IY198" s="20"/>
      <c r="IZ198" s="27">
        <v>20</v>
      </c>
      <c r="JA198" s="8">
        <v>20</v>
      </c>
      <c r="JB198" s="9">
        <v>0</v>
      </c>
      <c r="JC198" s="28"/>
      <c r="JD198" s="8"/>
      <c r="JE198" s="8"/>
      <c r="JF198" s="8"/>
      <c r="JG198" s="8"/>
      <c r="JH198" s="9">
        <v>0</v>
      </c>
      <c r="JI198" s="28"/>
      <c r="JJ198" s="8"/>
      <c r="JK198" s="9"/>
      <c r="JL198" s="9"/>
      <c r="JM198" s="9"/>
      <c r="JN198" s="9">
        <v>0</v>
      </c>
      <c r="JO198" s="20"/>
      <c r="JP198" s="8"/>
      <c r="JQ198" s="9"/>
      <c r="JR198" s="9"/>
      <c r="JS198" s="8"/>
      <c r="JT198" s="9">
        <v>0</v>
      </c>
      <c r="JU198" s="20"/>
      <c r="JV198" s="27">
        <v>150</v>
      </c>
      <c r="JW198" s="27">
        <v>150</v>
      </c>
      <c r="JX198" s="27">
        <v>250</v>
      </c>
      <c r="JY198" s="27">
        <v>250</v>
      </c>
      <c r="JZ198" s="9">
        <v>0</v>
      </c>
      <c r="KA198" s="20"/>
      <c r="KB198" s="7"/>
      <c r="KC198" s="8"/>
      <c r="KD198" s="8"/>
      <c r="KE198" s="8"/>
      <c r="KF198" s="9"/>
      <c r="KG198" s="27">
        <v>30</v>
      </c>
      <c r="KH198" s="27">
        <v>30</v>
      </c>
      <c r="KI198" s="9">
        <v>0</v>
      </c>
      <c r="KJ198" s="20"/>
      <c r="KK198" s="8">
        <v>0</v>
      </c>
      <c r="KL198" s="8">
        <v>0</v>
      </c>
      <c r="KM198" s="8">
        <v>0</v>
      </c>
      <c r="KN198" s="8">
        <v>0</v>
      </c>
      <c r="KO198" s="9">
        <v>0</v>
      </c>
      <c r="KP198" s="20"/>
      <c r="KQ198" s="8">
        <v>0</v>
      </c>
      <c r="KR198" s="8">
        <v>0</v>
      </c>
      <c r="KS198" s="8">
        <v>190</v>
      </c>
      <c r="KT198" s="8">
        <v>190</v>
      </c>
      <c r="KU198" s="9">
        <v>0</v>
      </c>
      <c r="KV198" s="20"/>
      <c r="KW198" s="7">
        <v>70</v>
      </c>
      <c r="KX198" s="8">
        <v>70</v>
      </c>
      <c r="KY198" s="9">
        <v>0</v>
      </c>
      <c r="KZ198" s="20"/>
      <c r="LA198" s="7">
        <v>100</v>
      </c>
      <c r="LB198" s="8">
        <v>100</v>
      </c>
      <c r="LC198" s="8">
        <v>0</v>
      </c>
      <c r="LD198" s="8">
        <v>0</v>
      </c>
      <c r="LE198" s="9">
        <v>0</v>
      </c>
      <c r="LF198" s="20"/>
      <c r="LG198" s="7">
        <v>0</v>
      </c>
      <c r="LH198" s="8">
        <v>0</v>
      </c>
      <c r="LI198" s="8">
        <v>0</v>
      </c>
      <c r="LJ198" s="8">
        <v>0</v>
      </c>
      <c r="LK198" s="9">
        <v>0</v>
      </c>
      <c r="LL198" s="20"/>
      <c r="LM198" s="7">
        <v>250</v>
      </c>
      <c r="LN198" s="8">
        <v>250</v>
      </c>
      <c r="LO198" s="9">
        <v>0</v>
      </c>
      <c r="LP198" s="20"/>
      <c r="LQ198" s="7">
        <v>0</v>
      </c>
      <c r="LR198" s="8">
        <v>0</v>
      </c>
      <c r="LS198" s="8">
        <v>0</v>
      </c>
      <c r="LT198" s="19">
        <v>349</v>
      </c>
      <c r="LU198" s="14">
        <v>-349</v>
      </c>
      <c r="LV198" s="20">
        <v>62.82</v>
      </c>
      <c r="LW198" s="7">
        <v>0</v>
      </c>
      <c r="LX198" s="8">
        <v>0</v>
      </c>
      <c r="LY198" s="8">
        <v>0</v>
      </c>
      <c r="LZ198" s="8">
        <v>0</v>
      </c>
      <c r="MA198" s="9">
        <v>0</v>
      </c>
      <c r="MB198" s="20"/>
      <c r="MC198" s="7">
        <v>80</v>
      </c>
      <c r="MD198" s="8">
        <v>100</v>
      </c>
      <c r="ME198" s="8">
        <v>0</v>
      </c>
      <c r="MF198" s="19">
        <v>150</v>
      </c>
      <c r="MG198" s="14">
        <v>-170</v>
      </c>
      <c r="MH198" s="20">
        <v>30.6</v>
      </c>
      <c r="MI198" s="7">
        <v>150</v>
      </c>
      <c r="MJ198" s="8">
        <v>150</v>
      </c>
      <c r="MK198" s="8">
        <v>100</v>
      </c>
      <c r="ML198" s="8">
        <v>120</v>
      </c>
      <c r="MM198" s="14">
        <v>-20</v>
      </c>
      <c r="MN198" s="20">
        <v>3.6</v>
      </c>
      <c r="MO198" s="7">
        <v>0</v>
      </c>
      <c r="MP198" s="8">
        <v>0</v>
      </c>
      <c r="MQ198" s="8">
        <v>0</v>
      </c>
      <c r="MR198" s="8">
        <v>0</v>
      </c>
      <c r="MS198" s="9">
        <v>0</v>
      </c>
      <c r="MT198" s="20"/>
      <c r="MU198" s="7">
        <v>0</v>
      </c>
      <c r="MV198" s="19">
        <v>100</v>
      </c>
      <c r="MW198" s="8">
        <v>150</v>
      </c>
      <c r="MX198" s="8">
        <v>150</v>
      </c>
      <c r="MY198" s="14">
        <v>-100</v>
      </c>
      <c r="MZ198" s="20">
        <v>18</v>
      </c>
      <c r="NA198" s="7">
        <v>0</v>
      </c>
      <c r="NB198" s="8">
        <v>0</v>
      </c>
      <c r="NC198" s="8">
        <v>50</v>
      </c>
      <c r="ND198" s="8">
        <v>50</v>
      </c>
      <c r="NE198" s="9">
        <v>0</v>
      </c>
      <c r="NF198" s="20"/>
      <c r="NG198" s="7">
        <v>0</v>
      </c>
      <c r="NH198" s="8">
        <v>0</v>
      </c>
      <c r="NI198" s="8">
        <v>120</v>
      </c>
      <c r="NJ198" s="8">
        <v>120</v>
      </c>
      <c r="NK198" s="9">
        <v>0</v>
      </c>
      <c r="NL198" s="20"/>
      <c r="NM198" s="7">
        <v>0</v>
      </c>
      <c r="NN198" s="8">
        <v>0</v>
      </c>
      <c r="NO198" s="8">
        <v>100</v>
      </c>
      <c r="NP198" s="8">
        <v>100</v>
      </c>
      <c r="NQ198" s="9">
        <v>0</v>
      </c>
      <c r="NR198" s="20"/>
      <c r="NS198" s="7">
        <v>40</v>
      </c>
      <c r="NT198" s="8">
        <v>40</v>
      </c>
      <c r="NU198" s="8">
        <v>0</v>
      </c>
      <c r="NV198" s="8">
        <v>0</v>
      </c>
      <c r="NW198" s="9">
        <v>0</v>
      </c>
      <c r="NX198" s="20"/>
      <c r="NY198" s="7">
        <v>0</v>
      </c>
      <c r="NZ198" s="8">
        <v>0</v>
      </c>
      <c r="OA198" s="8">
        <v>180</v>
      </c>
      <c r="OB198" s="8">
        <v>180</v>
      </c>
      <c r="OC198" s="9">
        <v>0</v>
      </c>
      <c r="OD198" s="20"/>
      <c r="OE198" s="7">
        <v>0</v>
      </c>
      <c r="OF198" s="8">
        <v>0</v>
      </c>
      <c r="OG198" s="8">
        <v>0</v>
      </c>
      <c r="OH198" s="8">
        <v>0</v>
      </c>
      <c r="OI198" s="9">
        <v>0</v>
      </c>
      <c r="OJ198" s="20"/>
      <c r="OK198" s="7">
        <v>50</v>
      </c>
      <c r="OL198" s="8">
        <v>50</v>
      </c>
      <c r="OM198" s="8">
        <v>100</v>
      </c>
      <c r="ON198" s="8">
        <v>100</v>
      </c>
      <c r="OO198" s="9">
        <v>0</v>
      </c>
      <c r="OP198" s="20"/>
      <c r="OQ198" s="7">
        <v>0</v>
      </c>
      <c r="OR198" s="8">
        <v>0</v>
      </c>
      <c r="OS198" s="8">
        <v>50</v>
      </c>
      <c r="OT198" s="8">
        <v>50</v>
      </c>
      <c r="OU198" s="9">
        <v>0</v>
      </c>
      <c r="OV198" s="20"/>
      <c r="OW198" s="7">
        <v>0</v>
      </c>
      <c r="OX198" s="8">
        <v>0</v>
      </c>
      <c r="OY198" s="8">
        <v>50</v>
      </c>
      <c r="OZ198" s="8">
        <v>50</v>
      </c>
      <c r="PA198" s="9">
        <v>0</v>
      </c>
      <c r="PB198" s="20"/>
      <c r="PC198" s="7">
        <v>0</v>
      </c>
      <c r="PD198" s="8">
        <v>0</v>
      </c>
      <c r="PE198" s="8">
        <v>0</v>
      </c>
      <c r="PF198" s="19">
        <v>100</v>
      </c>
      <c r="PG198" s="14">
        <v>-100</v>
      </c>
      <c r="PH198" s="20">
        <v>18</v>
      </c>
      <c r="PI198" s="7">
        <v>0</v>
      </c>
      <c r="PJ198" s="8">
        <v>0</v>
      </c>
      <c r="PK198" s="8">
        <v>0</v>
      </c>
      <c r="PL198" s="8">
        <v>0</v>
      </c>
      <c r="PM198" s="9">
        <v>0</v>
      </c>
      <c r="PN198" s="20"/>
      <c r="PO198" s="7">
        <v>0</v>
      </c>
      <c r="PP198" s="8">
        <v>0</v>
      </c>
      <c r="PQ198" s="8">
        <v>0</v>
      </c>
      <c r="PR198" s="19">
        <v>60</v>
      </c>
      <c r="PS198" s="14">
        <v>-60</v>
      </c>
      <c r="PT198" s="20">
        <v>10.8</v>
      </c>
      <c r="PU198" s="7">
        <v>0</v>
      </c>
      <c r="PV198" s="8">
        <v>0</v>
      </c>
      <c r="PW198" s="8">
        <v>0</v>
      </c>
      <c r="PX198" s="8">
        <v>100</v>
      </c>
      <c r="PY198" s="14">
        <v>-100</v>
      </c>
      <c r="PZ198" s="20">
        <v>18</v>
      </c>
      <c r="QA198" s="7">
        <v>0</v>
      </c>
      <c r="QB198" s="8">
        <v>0</v>
      </c>
      <c r="QC198" s="9">
        <v>0</v>
      </c>
      <c r="QD198" s="20"/>
      <c r="QE198" s="7">
        <v>0</v>
      </c>
      <c r="QF198" s="8">
        <v>0</v>
      </c>
      <c r="QG198" s="9">
        <v>0</v>
      </c>
      <c r="QH198" s="20"/>
      <c r="QI198" s="7">
        <v>0</v>
      </c>
      <c r="QJ198" s="8">
        <v>0</v>
      </c>
      <c r="QK198" s="9">
        <v>0</v>
      </c>
      <c r="QL198" s="20"/>
      <c r="QM198" s="7">
        <v>0</v>
      </c>
      <c r="QN198" s="8">
        <v>0</v>
      </c>
      <c r="QO198" s="8">
        <v>0</v>
      </c>
      <c r="QP198" s="8">
        <v>0</v>
      </c>
      <c r="QQ198" s="9">
        <v>0</v>
      </c>
      <c r="QR198" s="20"/>
      <c r="QS198" s="7">
        <v>0</v>
      </c>
      <c r="QT198" s="8">
        <v>0</v>
      </c>
      <c r="QU198" s="9">
        <v>0</v>
      </c>
      <c r="QV198" s="20"/>
      <c r="QW198" s="7">
        <v>0</v>
      </c>
      <c r="QX198" s="8">
        <v>0</v>
      </c>
      <c r="QY198" s="9">
        <v>0</v>
      </c>
      <c r="QZ198" s="20"/>
    </row>
  </sheetData>
  <autoFilter ref="A1:JQ19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2025-11-07T12:09:25Z</dcterms:modified>
</cp:coreProperties>
</file>